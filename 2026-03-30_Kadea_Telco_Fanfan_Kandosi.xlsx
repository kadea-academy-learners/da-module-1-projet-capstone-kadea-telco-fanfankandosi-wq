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Music\"/>
    </mc:Choice>
  </mc:AlternateContent>
  <xr:revisionPtr revIDLastSave="0" documentId="8_{C872FDA5-9C5A-409D-BB30-45C27BDFFD43}" xr6:coauthVersionLast="47" xr6:coauthVersionMax="47" xr10:uidLastSave="{00000000-0000-0000-0000-000000000000}"/>
  <bookViews>
    <workbookView xWindow="-120" yWindow="-120" windowWidth="29040" windowHeight="15990" firstSheet="3" activeTab="8" xr2:uid="{ADEEA35A-8C70-4B7F-8454-F416E21462EE}"/>
  </bookViews>
  <sheets>
    <sheet name="Clients_Churn " sheetId="8" r:id="rId1"/>
    <sheet name="Logs_Reseau" sheetId="7" r:id="rId2"/>
    <sheet name="Registre_Maintenance" sheetId="4" r:id="rId3"/>
    <sheet name="Clients_Log" sheetId="2" r:id="rId4"/>
    <sheet name="Logs_Registre" sheetId="5" r:id="rId5"/>
    <sheet name="Registre_Log" sheetId="6" r:id="rId6"/>
    <sheet name="Heure_Indisponible" sheetId="9" r:id="rId7"/>
    <sheet name="Sous catégorisation" sheetId="10" r:id="rId8"/>
    <sheet name="Master" sheetId="3" r:id="rId9"/>
    <sheet name="Feuil1" sheetId="1" r:id="rId10"/>
  </sheets>
  <definedNames>
    <definedName name="DonnéesExternes_1" localSheetId="0" hidden="1">'Clients_Churn '!$A$1:$H$749</definedName>
    <definedName name="DonnéesExternes_1" localSheetId="3" hidden="1">Clients_Log!$A$1:$I$745</definedName>
    <definedName name="DonnéesExternes_1" localSheetId="4" hidden="1">Logs_Registre!$A$1:$F$1078</definedName>
    <definedName name="DonnéesExternes_1" localSheetId="1" hidden="1">Logs_Reseau!$A$1:$G$1080</definedName>
    <definedName name="DonnéesExternes_1" localSheetId="8" hidden="1">Master!$A$1:$M$1078</definedName>
    <definedName name="DonnéesExternes_1" localSheetId="5" hidden="1">Registre_Log!$A$1:$G$400</definedName>
    <definedName name="DonnéesExternes_1" localSheetId="2" hidden="1">'Registre_Maintenance'!$A$1:$G$400</definedName>
  </definedNames>
  <calcPr calcId="191029"/>
  <pivotCaches>
    <pivotCache cacheId="28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D2" i="3"/>
  <c r="D3" i="3"/>
  <c r="C3" i="3" s="1"/>
  <c r="D4" i="3"/>
  <c r="C4" i="3" s="1"/>
  <c r="D5" i="3"/>
  <c r="C5" i="3" s="1"/>
  <c r="D6" i="3"/>
  <c r="C6" i="3" s="1"/>
  <c r="D7" i="3"/>
  <c r="C7" i="3" s="1"/>
  <c r="D8" i="3"/>
  <c r="C8" i="3" s="1"/>
  <c r="D9" i="3"/>
  <c r="C9" i="3" s="1"/>
  <c r="D10" i="3"/>
  <c r="C10" i="3" s="1"/>
  <c r="D11" i="3"/>
  <c r="C11" i="3" s="1"/>
  <c r="D12" i="3"/>
  <c r="C12" i="3" s="1"/>
  <c r="D13" i="3"/>
  <c r="C13" i="3" s="1"/>
  <c r="D14" i="3"/>
  <c r="C14" i="3" s="1"/>
  <c r="D15" i="3"/>
  <c r="C15" i="3" s="1"/>
  <c r="D16" i="3"/>
  <c r="C16" i="3" s="1"/>
  <c r="D17" i="3"/>
  <c r="C17" i="3" s="1"/>
  <c r="D18" i="3"/>
  <c r="C18" i="3" s="1"/>
  <c r="D19" i="3"/>
  <c r="C19" i="3" s="1"/>
  <c r="D20" i="3"/>
  <c r="C20" i="3" s="1"/>
  <c r="D21" i="3"/>
  <c r="C21" i="3" s="1"/>
  <c r="D22" i="3"/>
  <c r="C22" i="3" s="1"/>
  <c r="D23" i="3"/>
  <c r="C23" i="3" s="1"/>
  <c r="D24" i="3"/>
  <c r="C24" i="3" s="1"/>
  <c r="D25" i="3"/>
  <c r="C25" i="3" s="1"/>
  <c r="D26" i="3"/>
  <c r="C26" i="3" s="1"/>
  <c r="D27" i="3"/>
  <c r="C27" i="3" s="1"/>
  <c r="D28" i="3"/>
  <c r="C28" i="3" s="1"/>
  <c r="D29" i="3"/>
  <c r="C29" i="3" s="1"/>
  <c r="D30" i="3"/>
  <c r="C30" i="3" s="1"/>
  <c r="D31" i="3"/>
  <c r="C31" i="3" s="1"/>
  <c r="D32" i="3"/>
  <c r="C32" i="3" s="1"/>
  <c r="D33" i="3"/>
  <c r="C33" i="3" s="1"/>
  <c r="D34" i="3"/>
  <c r="C34" i="3" s="1"/>
  <c r="D35" i="3"/>
  <c r="C35" i="3" s="1"/>
  <c r="D36" i="3"/>
  <c r="C36" i="3" s="1"/>
  <c r="D37" i="3"/>
  <c r="C37" i="3" s="1"/>
  <c r="D38" i="3"/>
  <c r="C38" i="3" s="1"/>
  <c r="D39" i="3"/>
  <c r="C39" i="3" s="1"/>
  <c r="D40" i="3"/>
  <c r="C40" i="3" s="1"/>
  <c r="D41" i="3"/>
  <c r="C41" i="3" s="1"/>
  <c r="D42" i="3"/>
  <c r="C42" i="3" s="1"/>
  <c r="D43" i="3"/>
  <c r="C43" i="3" s="1"/>
  <c r="D44" i="3"/>
  <c r="C44" i="3" s="1"/>
  <c r="D45" i="3"/>
  <c r="C45" i="3" s="1"/>
  <c r="D46" i="3"/>
  <c r="C46" i="3" s="1"/>
  <c r="D47" i="3"/>
  <c r="C47" i="3" s="1"/>
  <c r="D48" i="3"/>
  <c r="C48" i="3" s="1"/>
  <c r="D49" i="3"/>
  <c r="C49" i="3" s="1"/>
  <c r="D50" i="3"/>
  <c r="C50" i="3" s="1"/>
  <c r="D51" i="3"/>
  <c r="C51" i="3" s="1"/>
  <c r="D52" i="3"/>
  <c r="C52" i="3" s="1"/>
  <c r="D53" i="3"/>
  <c r="C53" i="3" s="1"/>
  <c r="D54" i="3"/>
  <c r="C54" i="3" s="1"/>
  <c r="D55" i="3"/>
  <c r="C55" i="3" s="1"/>
  <c r="D56" i="3"/>
  <c r="C56" i="3" s="1"/>
  <c r="D57" i="3"/>
  <c r="C57" i="3" s="1"/>
  <c r="D58" i="3"/>
  <c r="C58" i="3" s="1"/>
  <c r="D59" i="3"/>
  <c r="C59" i="3" s="1"/>
  <c r="D60" i="3"/>
  <c r="C60" i="3" s="1"/>
  <c r="D61" i="3"/>
  <c r="C61" i="3" s="1"/>
  <c r="D62" i="3"/>
  <c r="C62" i="3" s="1"/>
  <c r="D63" i="3"/>
  <c r="C63" i="3" s="1"/>
  <c r="D64" i="3"/>
  <c r="C64" i="3" s="1"/>
  <c r="D65" i="3"/>
  <c r="C65" i="3" s="1"/>
  <c r="D66" i="3"/>
  <c r="C66" i="3" s="1"/>
  <c r="D67" i="3"/>
  <c r="C67" i="3" s="1"/>
  <c r="D68" i="3"/>
  <c r="C68" i="3" s="1"/>
  <c r="D69" i="3"/>
  <c r="C69" i="3" s="1"/>
  <c r="D70" i="3"/>
  <c r="C70" i="3" s="1"/>
  <c r="D71" i="3"/>
  <c r="C71" i="3" s="1"/>
  <c r="D72" i="3"/>
  <c r="C72" i="3" s="1"/>
  <c r="D73" i="3"/>
  <c r="C73" i="3" s="1"/>
  <c r="D74" i="3"/>
  <c r="C74" i="3" s="1"/>
  <c r="D75" i="3"/>
  <c r="C75" i="3" s="1"/>
  <c r="D76" i="3"/>
  <c r="C76" i="3" s="1"/>
  <c r="D77" i="3"/>
  <c r="C77" i="3" s="1"/>
  <c r="D78" i="3"/>
  <c r="C78" i="3" s="1"/>
  <c r="D79" i="3"/>
  <c r="C79" i="3" s="1"/>
  <c r="D80" i="3"/>
  <c r="C80" i="3" s="1"/>
  <c r="D81" i="3"/>
  <c r="C81" i="3" s="1"/>
  <c r="D82" i="3"/>
  <c r="C82" i="3" s="1"/>
  <c r="D83" i="3"/>
  <c r="C83" i="3" s="1"/>
  <c r="D84" i="3"/>
  <c r="C84" i="3" s="1"/>
  <c r="D85" i="3"/>
  <c r="C85" i="3" s="1"/>
  <c r="D86" i="3"/>
  <c r="C86" i="3" s="1"/>
  <c r="D87" i="3"/>
  <c r="C87" i="3" s="1"/>
  <c r="D88" i="3"/>
  <c r="C88" i="3" s="1"/>
  <c r="D89" i="3"/>
  <c r="C89" i="3" s="1"/>
  <c r="D90" i="3"/>
  <c r="C90" i="3" s="1"/>
  <c r="D91" i="3"/>
  <c r="C91" i="3" s="1"/>
  <c r="D92" i="3"/>
  <c r="C92" i="3" s="1"/>
  <c r="D93" i="3"/>
  <c r="C93" i="3" s="1"/>
  <c r="D94" i="3"/>
  <c r="C94" i="3" s="1"/>
  <c r="D95" i="3"/>
  <c r="C95" i="3" s="1"/>
  <c r="D96" i="3"/>
  <c r="C96" i="3" s="1"/>
  <c r="D97" i="3"/>
  <c r="C97" i="3" s="1"/>
  <c r="D98" i="3"/>
  <c r="C98" i="3" s="1"/>
  <c r="D99" i="3"/>
  <c r="C99" i="3" s="1"/>
  <c r="D100" i="3"/>
  <c r="C100" i="3" s="1"/>
  <c r="D101" i="3"/>
  <c r="C101" i="3" s="1"/>
  <c r="D102" i="3"/>
  <c r="C102" i="3" s="1"/>
  <c r="D103" i="3"/>
  <c r="C103" i="3" s="1"/>
  <c r="D104" i="3"/>
  <c r="C104" i="3" s="1"/>
  <c r="D105" i="3"/>
  <c r="C105" i="3" s="1"/>
  <c r="D106" i="3"/>
  <c r="C106" i="3" s="1"/>
  <c r="D107" i="3"/>
  <c r="C107" i="3" s="1"/>
  <c r="D108" i="3"/>
  <c r="C108" i="3" s="1"/>
  <c r="D109" i="3"/>
  <c r="C109" i="3" s="1"/>
  <c r="D110" i="3"/>
  <c r="C110" i="3" s="1"/>
  <c r="D111" i="3"/>
  <c r="C111" i="3" s="1"/>
  <c r="D112" i="3"/>
  <c r="C112" i="3" s="1"/>
  <c r="D113" i="3"/>
  <c r="C113" i="3" s="1"/>
  <c r="D114" i="3"/>
  <c r="C114" i="3" s="1"/>
  <c r="D115" i="3"/>
  <c r="C115" i="3" s="1"/>
  <c r="D116" i="3"/>
  <c r="C116" i="3" s="1"/>
  <c r="D117" i="3"/>
  <c r="C117" i="3" s="1"/>
  <c r="D118" i="3"/>
  <c r="C118" i="3" s="1"/>
  <c r="D119" i="3"/>
  <c r="C119" i="3" s="1"/>
  <c r="D120" i="3"/>
  <c r="C120" i="3" s="1"/>
  <c r="D121" i="3"/>
  <c r="C121" i="3" s="1"/>
  <c r="D122" i="3"/>
  <c r="C122" i="3" s="1"/>
  <c r="D123" i="3"/>
  <c r="C123" i="3" s="1"/>
  <c r="D124" i="3"/>
  <c r="C124" i="3" s="1"/>
  <c r="D125" i="3"/>
  <c r="C125" i="3" s="1"/>
  <c r="D126" i="3"/>
  <c r="C126" i="3" s="1"/>
  <c r="D127" i="3"/>
  <c r="C127" i="3" s="1"/>
  <c r="D128" i="3"/>
  <c r="C128" i="3" s="1"/>
  <c r="D129" i="3"/>
  <c r="C129" i="3" s="1"/>
  <c r="D130" i="3"/>
  <c r="C130" i="3" s="1"/>
  <c r="D131" i="3"/>
  <c r="C131" i="3" s="1"/>
  <c r="D132" i="3"/>
  <c r="C132" i="3" s="1"/>
  <c r="D133" i="3"/>
  <c r="C133" i="3" s="1"/>
  <c r="D134" i="3"/>
  <c r="C134" i="3" s="1"/>
  <c r="D135" i="3"/>
  <c r="C135" i="3" s="1"/>
  <c r="D136" i="3"/>
  <c r="C136" i="3" s="1"/>
  <c r="D137" i="3"/>
  <c r="C137" i="3" s="1"/>
  <c r="D138" i="3"/>
  <c r="C138" i="3" s="1"/>
  <c r="D139" i="3"/>
  <c r="C139" i="3" s="1"/>
  <c r="D140" i="3"/>
  <c r="C140" i="3" s="1"/>
  <c r="D141" i="3"/>
  <c r="C141" i="3" s="1"/>
  <c r="D142" i="3"/>
  <c r="C142" i="3" s="1"/>
  <c r="D143" i="3"/>
  <c r="C143" i="3" s="1"/>
  <c r="D144" i="3"/>
  <c r="C144" i="3" s="1"/>
  <c r="D145" i="3"/>
  <c r="C145" i="3" s="1"/>
  <c r="D146" i="3"/>
  <c r="C146" i="3" s="1"/>
  <c r="D147" i="3"/>
  <c r="C147" i="3" s="1"/>
  <c r="D148" i="3"/>
  <c r="C148" i="3" s="1"/>
  <c r="D149" i="3"/>
  <c r="C149" i="3" s="1"/>
  <c r="D150" i="3"/>
  <c r="C150" i="3" s="1"/>
  <c r="D151" i="3"/>
  <c r="C151" i="3" s="1"/>
  <c r="D152" i="3"/>
  <c r="C152" i="3" s="1"/>
  <c r="D153" i="3"/>
  <c r="C153" i="3" s="1"/>
  <c r="D154" i="3"/>
  <c r="C154" i="3" s="1"/>
  <c r="D155" i="3"/>
  <c r="C155" i="3" s="1"/>
  <c r="D156" i="3"/>
  <c r="C156" i="3" s="1"/>
  <c r="D157" i="3"/>
  <c r="C157" i="3" s="1"/>
  <c r="D158" i="3"/>
  <c r="C158" i="3" s="1"/>
  <c r="D159" i="3"/>
  <c r="C159" i="3" s="1"/>
  <c r="D160" i="3"/>
  <c r="C160" i="3" s="1"/>
  <c r="D161" i="3"/>
  <c r="C161" i="3" s="1"/>
  <c r="D162" i="3"/>
  <c r="C162" i="3" s="1"/>
  <c r="D163" i="3"/>
  <c r="C163" i="3" s="1"/>
  <c r="D164" i="3"/>
  <c r="C164" i="3" s="1"/>
  <c r="D165" i="3"/>
  <c r="C165" i="3" s="1"/>
  <c r="D166" i="3"/>
  <c r="C166" i="3" s="1"/>
  <c r="D167" i="3"/>
  <c r="C167" i="3" s="1"/>
  <c r="D168" i="3"/>
  <c r="C168" i="3" s="1"/>
  <c r="D169" i="3"/>
  <c r="C169" i="3" s="1"/>
  <c r="D170" i="3"/>
  <c r="C170" i="3" s="1"/>
  <c r="D171" i="3"/>
  <c r="C171" i="3" s="1"/>
  <c r="D172" i="3"/>
  <c r="C172" i="3" s="1"/>
  <c r="D173" i="3"/>
  <c r="C173" i="3" s="1"/>
  <c r="D174" i="3"/>
  <c r="C174" i="3" s="1"/>
  <c r="D175" i="3"/>
  <c r="C175" i="3" s="1"/>
  <c r="D176" i="3"/>
  <c r="C176" i="3" s="1"/>
  <c r="D177" i="3"/>
  <c r="C177" i="3" s="1"/>
  <c r="D178" i="3"/>
  <c r="C178" i="3" s="1"/>
  <c r="D179" i="3"/>
  <c r="C179" i="3" s="1"/>
  <c r="D180" i="3"/>
  <c r="C180" i="3" s="1"/>
  <c r="D181" i="3"/>
  <c r="C181" i="3" s="1"/>
  <c r="D182" i="3"/>
  <c r="C182" i="3" s="1"/>
  <c r="D183" i="3"/>
  <c r="C183" i="3" s="1"/>
  <c r="D184" i="3"/>
  <c r="C184" i="3" s="1"/>
  <c r="D185" i="3"/>
  <c r="C185" i="3" s="1"/>
  <c r="D186" i="3"/>
  <c r="C186" i="3" s="1"/>
  <c r="D187" i="3"/>
  <c r="C187" i="3" s="1"/>
  <c r="D188" i="3"/>
  <c r="C188" i="3" s="1"/>
  <c r="D189" i="3"/>
  <c r="C189" i="3" s="1"/>
  <c r="D190" i="3"/>
  <c r="C190" i="3" s="1"/>
  <c r="D191" i="3"/>
  <c r="C191" i="3" s="1"/>
  <c r="D192" i="3"/>
  <c r="C192" i="3" s="1"/>
  <c r="D193" i="3"/>
  <c r="C193" i="3" s="1"/>
  <c r="D194" i="3"/>
  <c r="C194" i="3" s="1"/>
  <c r="D195" i="3"/>
  <c r="C195" i="3" s="1"/>
  <c r="D196" i="3"/>
  <c r="C196" i="3" s="1"/>
  <c r="D197" i="3"/>
  <c r="C197" i="3" s="1"/>
  <c r="D198" i="3"/>
  <c r="C198" i="3" s="1"/>
  <c r="D199" i="3"/>
  <c r="C199" i="3" s="1"/>
  <c r="D200" i="3"/>
  <c r="C200" i="3" s="1"/>
  <c r="D201" i="3"/>
  <c r="C201" i="3" s="1"/>
  <c r="D202" i="3"/>
  <c r="C202" i="3" s="1"/>
  <c r="D203" i="3"/>
  <c r="C203" i="3" s="1"/>
  <c r="D204" i="3"/>
  <c r="C204" i="3" s="1"/>
  <c r="D205" i="3"/>
  <c r="C205" i="3" s="1"/>
  <c r="D206" i="3"/>
  <c r="C206" i="3" s="1"/>
  <c r="D207" i="3"/>
  <c r="C207" i="3" s="1"/>
  <c r="D208" i="3"/>
  <c r="C208" i="3" s="1"/>
  <c r="D209" i="3"/>
  <c r="C209" i="3" s="1"/>
  <c r="D210" i="3"/>
  <c r="C210" i="3" s="1"/>
  <c r="D211" i="3"/>
  <c r="C211" i="3" s="1"/>
  <c r="D212" i="3"/>
  <c r="C212" i="3" s="1"/>
  <c r="D213" i="3"/>
  <c r="C213" i="3" s="1"/>
  <c r="D214" i="3"/>
  <c r="C214" i="3" s="1"/>
  <c r="D215" i="3"/>
  <c r="C215" i="3" s="1"/>
  <c r="D216" i="3"/>
  <c r="C216" i="3" s="1"/>
  <c r="D217" i="3"/>
  <c r="C217" i="3" s="1"/>
  <c r="D218" i="3"/>
  <c r="C218" i="3" s="1"/>
  <c r="D219" i="3"/>
  <c r="C219" i="3" s="1"/>
  <c r="D220" i="3"/>
  <c r="C220" i="3" s="1"/>
  <c r="D221" i="3"/>
  <c r="C221" i="3" s="1"/>
  <c r="D222" i="3"/>
  <c r="C222" i="3" s="1"/>
  <c r="D223" i="3"/>
  <c r="C223" i="3" s="1"/>
  <c r="D224" i="3"/>
  <c r="C224" i="3" s="1"/>
  <c r="D225" i="3"/>
  <c r="C225" i="3" s="1"/>
  <c r="D226" i="3"/>
  <c r="C226" i="3" s="1"/>
  <c r="D227" i="3"/>
  <c r="C227" i="3" s="1"/>
  <c r="D228" i="3"/>
  <c r="C228" i="3" s="1"/>
  <c r="D229" i="3"/>
  <c r="C229" i="3" s="1"/>
  <c r="D230" i="3"/>
  <c r="C230" i="3" s="1"/>
  <c r="D231" i="3"/>
  <c r="C231" i="3" s="1"/>
  <c r="D232" i="3"/>
  <c r="C232" i="3" s="1"/>
  <c r="D233" i="3"/>
  <c r="C233" i="3" s="1"/>
  <c r="D234" i="3"/>
  <c r="C234" i="3" s="1"/>
  <c r="D235" i="3"/>
  <c r="C235" i="3" s="1"/>
  <c r="D236" i="3"/>
  <c r="C236" i="3" s="1"/>
  <c r="D237" i="3"/>
  <c r="C237" i="3" s="1"/>
  <c r="D238" i="3"/>
  <c r="C238" i="3" s="1"/>
  <c r="D239" i="3"/>
  <c r="C239" i="3" s="1"/>
  <c r="D240" i="3"/>
  <c r="C240" i="3" s="1"/>
  <c r="D241" i="3"/>
  <c r="C241" i="3" s="1"/>
  <c r="D242" i="3"/>
  <c r="C242" i="3" s="1"/>
  <c r="D243" i="3"/>
  <c r="C243" i="3" s="1"/>
  <c r="D244" i="3"/>
  <c r="C244" i="3" s="1"/>
  <c r="D245" i="3"/>
  <c r="C245" i="3" s="1"/>
  <c r="D246" i="3"/>
  <c r="C246" i="3" s="1"/>
  <c r="D247" i="3"/>
  <c r="C247" i="3" s="1"/>
  <c r="D248" i="3"/>
  <c r="C248" i="3" s="1"/>
  <c r="D249" i="3"/>
  <c r="C249" i="3" s="1"/>
  <c r="D250" i="3"/>
  <c r="C250" i="3" s="1"/>
  <c r="D251" i="3"/>
  <c r="C251" i="3" s="1"/>
  <c r="D252" i="3"/>
  <c r="C252" i="3" s="1"/>
  <c r="D253" i="3"/>
  <c r="C253" i="3" s="1"/>
  <c r="D254" i="3"/>
  <c r="C254" i="3" s="1"/>
  <c r="D255" i="3"/>
  <c r="C255" i="3" s="1"/>
  <c r="D256" i="3"/>
  <c r="C256" i="3" s="1"/>
  <c r="D257" i="3"/>
  <c r="C257" i="3" s="1"/>
  <c r="D258" i="3"/>
  <c r="C258" i="3" s="1"/>
  <c r="D259" i="3"/>
  <c r="C259" i="3" s="1"/>
  <c r="D260" i="3"/>
  <c r="C260" i="3" s="1"/>
  <c r="D261" i="3"/>
  <c r="C261" i="3" s="1"/>
  <c r="D262" i="3"/>
  <c r="C262" i="3" s="1"/>
  <c r="D263" i="3"/>
  <c r="C263" i="3" s="1"/>
  <c r="D264" i="3"/>
  <c r="C264" i="3" s="1"/>
  <c r="D265" i="3"/>
  <c r="C265" i="3" s="1"/>
  <c r="D266" i="3"/>
  <c r="C266" i="3" s="1"/>
  <c r="D267" i="3"/>
  <c r="C267" i="3" s="1"/>
  <c r="D268" i="3"/>
  <c r="C268" i="3" s="1"/>
  <c r="D269" i="3"/>
  <c r="C269" i="3" s="1"/>
  <c r="D270" i="3"/>
  <c r="C270" i="3" s="1"/>
  <c r="D271" i="3"/>
  <c r="C271" i="3" s="1"/>
  <c r="D272" i="3"/>
  <c r="C272" i="3" s="1"/>
  <c r="D273" i="3"/>
  <c r="C273" i="3" s="1"/>
  <c r="D274" i="3"/>
  <c r="C274" i="3" s="1"/>
  <c r="D275" i="3"/>
  <c r="C275" i="3" s="1"/>
  <c r="D276" i="3"/>
  <c r="C276" i="3" s="1"/>
  <c r="D277" i="3"/>
  <c r="C277" i="3" s="1"/>
  <c r="D278" i="3"/>
  <c r="C278" i="3" s="1"/>
  <c r="D279" i="3"/>
  <c r="C279" i="3" s="1"/>
  <c r="D280" i="3"/>
  <c r="C280" i="3" s="1"/>
  <c r="D281" i="3"/>
  <c r="C281" i="3" s="1"/>
  <c r="D282" i="3"/>
  <c r="C282" i="3" s="1"/>
  <c r="D283" i="3"/>
  <c r="C283" i="3" s="1"/>
  <c r="D284" i="3"/>
  <c r="C284" i="3" s="1"/>
  <c r="D285" i="3"/>
  <c r="C285" i="3" s="1"/>
  <c r="D286" i="3"/>
  <c r="C286" i="3" s="1"/>
  <c r="D287" i="3"/>
  <c r="C287" i="3" s="1"/>
  <c r="D288" i="3"/>
  <c r="C288" i="3" s="1"/>
  <c r="D289" i="3"/>
  <c r="C289" i="3" s="1"/>
  <c r="D290" i="3"/>
  <c r="C290" i="3" s="1"/>
  <c r="D291" i="3"/>
  <c r="C291" i="3" s="1"/>
  <c r="D292" i="3"/>
  <c r="C292" i="3" s="1"/>
  <c r="D293" i="3"/>
  <c r="C293" i="3" s="1"/>
  <c r="D294" i="3"/>
  <c r="C294" i="3" s="1"/>
  <c r="D295" i="3"/>
  <c r="C295" i="3" s="1"/>
  <c r="D296" i="3"/>
  <c r="C296" i="3" s="1"/>
  <c r="D297" i="3"/>
  <c r="C297" i="3" s="1"/>
  <c r="D298" i="3"/>
  <c r="C298" i="3" s="1"/>
  <c r="D299" i="3"/>
  <c r="C299" i="3" s="1"/>
  <c r="D300" i="3"/>
  <c r="C300" i="3" s="1"/>
  <c r="D301" i="3"/>
  <c r="C301" i="3" s="1"/>
  <c r="D302" i="3"/>
  <c r="C302" i="3" s="1"/>
  <c r="D303" i="3"/>
  <c r="C303" i="3" s="1"/>
  <c r="D304" i="3"/>
  <c r="C304" i="3" s="1"/>
  <c r="D305" i="3"/>
  <c r="C305" i="3" s="1"/>
  <c r="D306" i="3"/>
  <c r="C306" i="3" s="1"/>
  <c r="D307" i="3"/>
  <c r="C307" i="3" s="1"/>
  <c r="D308" i="3"/>
  <c r="C308" i="3" s="1"/>
  <c r="D309" i="3"/>
  <c r="C309" i="3" s="1"/>
  <c r="D310" i="3"/>
  <c r="C310" i="3" s="1"/>
  <c r="D311" i="3"/>
  <c r="C311" i="3" s="1"/>
  <c r="D312" i="3"/>
  <c r="C312" i="3" s="1"/>
  <c r="D313" i="3"/>
  <c r="C313" i="3" s="1"/>
  <c r="D314" i="3"/>
  <c r="C314" i="3" s="1"/>
  <c r="D315" i="3"/>
  <c r="C315" i="3" s="1"/>
  <c r="D316" i="3"/>
  <c r="C316" i="3" s="1"/>
  <c r="D317" i="3"/>
  <c r="C317" i="3" s="1"/>
  <c r="D318" i="3"/>
  <c r="C318" i="3" s="1"/>
  <c r="D319" i="3"/>
  <c r="C319" i="3" s="1"/>
  <c r="D320" i="3"/>
  <c r="C320" i="3" s="1"/>
  <c r="D321" i="3"/>
  <c r="C321" i="3" s="1"/>
  <c r="D322" i="3"/>
  <c r="C322" i="3" s="1"/>
  <c r="D323" i="3"/>
  <c r="C323" i="3" s="1"/>
  <c r="D324" i="3"/>
  <c r="C324" i="3" s="1"/>
  <c r="D325" i="3"/>
  <c r="C325" i="3" s="1"/>
  <c r="D326" i="3"/>
  <c r="C326" i="3" s="1"/>
  <c r="D327" i="3"/>
  <c r="C327" i="3" s="1"/>
  <c r="D328" i="3"/>
  <c r="C328" i="3" s="1"/>
  <c r="D329" i="3"/>
  <c r="C329" i="3" s="1"/>
  <c r="D330" i="3"/>
  <c r="C330" i="3" s="1"/>
  <c r="D331" i="3"/>
  <c r="C331" i="3" s="1"/>
  <c r="D332" i="3"/>
  <c r="C332" i="3" s="1"/>
  <c r="D333" i="3"/>
  <c r="C333" i="3" s="1"/>
  <c r="D334" i="3"/>
  <c r="C334" i="3" s="1"/>
  <c r="D335" i="3"/>
  <c r="C335" i="3" s="1"/>
  <c r="D336" i="3"/>
  <c r="C336" i="3" s="1"/>
  <c r="D337" i="3"/>
  <c r="C337" i="3" s="1"/>
  <c r="D338" i="3"/>
  <c r="C338" i="3" s="1"/>
  <c r="D339" i="3"/>
  <c r="C339" i="3" s="1"/>
  <c r="D340" i="3"/>
  <c r="C340" i="3" s="1"/>
  <c r="D341" i="3"/>
  <c r="C341" i="3" s="1"/>
  <c r="D342" i="3"/>
  <c r="C342" i="3" s="1"/>
  <c r="D343" i="3"/>
  <c r="C343" i="3" s="1"/>
  <c r="D344" i="3"/>
  <c r="C344" i="3" s="1"/>
  <c r="D345" i="3"/>
  <c r="C345" i="3" s="1"/>
  <c r="D346" i="3"/>
  <c r="C346" i="3" s="1"/>
  <c r="D347" i="3"/>
  <c r="C347" i="3" s="1"/>
  <c r="D348" i="3"/>
  <c r="C348" i="3" s="1"/>
  <c r="D349" i="3"/>
  <c r="C349" i="3" s="1"/>
  <c r="D350" i="3"/>
  <c r="C350" i="3" s="1"/>
  <c r="D351" i="3"/>
  <c r="C351" i="3" s="1"/>
  <c r="D352" i="3"/>
  <c r="C352" i="3" s="1"/>
  <c r="N352" i="3" s="1"/>
  <c r="D353" i="3"/>
  <c r="C353" i="3" s="1"/>
  <c r="N353" i="3" s="1"/>
  <c r="O353" i="3" s="1"/>
  <c r="D354" i="3"/>
  <c r="C354" i="3" s="1"/>
  <c r="D355" i="3"/>
  <c r="C355" i="3" s="1"/>
  <c r="D356" i="3"/>
  <c r="C356" i="3" s="1"/>
  <c r="D357" i="3"/>
  <c r="C357" i="3" s="1"/>
  <c r="N357" i="3" s="1"/>
  <c r="O357" i="3" s="1"/>
  <c r="D358" i="3"/>
  <c r="C358" i="3" s="1"/>
  <c r="D359" i="3"/>
  <c r="C359" i="3" s="1"/>
  <c r="D360" i="3"/>
  <c r="C360" i="3" s="1"/>
  <c r="D361" i="3"/>
  <c r="C361" i="3" s="1"/>
  <c r="D362" i="3"/>
  <c r="C362" i="3" s="1"/>
  <c r="D363" i="3"/>
  <c r="C363" i="3" s="1"/>
  <c r="D364" i="3"/>
  <c r="C364" i="3" s="1"/>
  <c r="D365" i="3"/>
  <c r="C365" i="3" s="1"/>
  <c r="D366" i="3"/>
  <c r="C366" i="3" s="1"/>
  <c r="D367" i="3"/>
  <c r="C367" i="3" s="1"/>
  <c r="D368" i="3"/>
  <c r="C368" i="3" s="1"/>
  <c r="N368" i="3" s="1"/>
  <c r="D369" i="3"/>
  <c r="D370" i="3"/>
  <c r="C370" i="3" s="1"/>
  <c r="D371" i="3"/>
  <c r="C371" i="3" s="1"/>
  <c r="D372" i="3"/>
  <c r="C372" i="3" s="1"/>
  <c r="D373" i="3"/>
  <c r="C373" i="3" s="1"/>
  <c r="D374" i="3"/>
  <c r="C374" i="3" s="1"/>
  <c r="D375" i="3"/>
  <c r="C375" i="3" s="1"/>
  <c r="D376" i="3"/>
  <c r="C376" i="3" s="1"/>
  <c r="D377" i="3"/>
  <c r="C377" i="3" s="1"/>
  <c r="D378" i="3"/>
  <c r="C378" i="3" s="1"/>
  <c r="D379" i="3"/>
  <c r="C379" i="3" s="1"/>
  <c r="D380" i="3"/>
  <c r="C380" i="3" s="1"/>
  <c r="D381" i="3"/>
  <c r="C381" i="3" s="1"/>
  <c r="D382" i="3"/>
  <c r="C382" i="3" s="1"/>
  <c r="D383" i="3"/>
  <c r="C383" i="3" s="1"/>
  <c r="D384" i="3"/>
  <c r="C384" i="3" s="1"/>
  <c r="N384" i="3" s="1"/>
  <c r="D385" i="3"/>
  <c r="C385" i="3" s="1"/>
  <c r="D386" i="3"/>
  <c r="C386" i="3" s="1"/>
  <c r="D387" i="3"/>
  <c r="C387" i="3" s="1"/>
  <c r="D388" i="3"/>
  <c r="C388" i="3" s="1"/>
  <c r="D389" i="3"/>
  <c r="C389" i="3" s="1"/>
  <c r="D390" i="3"/>
  <c r="C390" i="3" s="1"/>
  <c r="D391" i="3"/>
  <c r="C391" i="3" s="1"/>
  <c r="D392" i="3"/>
  <c r="C392" i="3" s="1"/>
  <c r="D393" i="3"/>
  <c r="C393" i="3" s="1"/>
  <c r="D394" i="3"/>
  <c r="C394" i="3" s="1"/>
  <c r="D395" i="3"/>
  <c r="C395" i="3" s="1"/>
  <c r="D396" i="3"/>
  <c r="C396" i="3" s="1"/>
  <c r="D397" i="3"/>
  <c r="C397" i="3" s="1"/>
  <c r="D398" i="3"/>
  <c r="C398" i="3" s="1"/>
  <c r="D399" i="3"/>
  <c r="C399" i="3" s="1"/>
  <c r="D400" i="3"/>
  <c r="C400" i="3" s="1"/>
  <c r="N400" i="3" s="1"/>
  <c r="D401" i="3"/>
  <c r="C401" i="3" s="1"/>
  <c r="N401" i="3" s="1"/>
  <c r="O401" i="3" s="1"/>
  <c r="D402" i="3"/>
  <c r="C402" i="3" s="1"/>
  <c r="D403" i="3"/>
  <c r="C403" i="3" s="1"/>
  <c r="D404" i="3"/>
  <c r="C404" i="3" s="1"/>
  <c r="D405" i="3"/>
  <c r="D406" i="3"/>
  <c r="C406" i="3" s="1"/>
  <c r="D407" i="3"/>
  <c r="C407" i="3" s="1"/>
  <c r="D408" i="3"/>
  <c r="C408" i="3" s="1"/>
  <c r="D409" i="3"/>
  <c r="C409" i="3" s="1"/>
  <c r="D410" i="3"/>
  <c r="C410" i="3" s="1"/>
  <c r="D411" i="3"/>
  <c r="C411" i="3" s="1"/>
  <c r="D412" i="3"/>
  <c r="C412" i="3" s="1"/>
  <c r="D413" i="3"/>
  <c r="C413" i="3" s="1"/>
  <c r="D414" i="3"/>
  <c r="C414" i="3" s="1"/>
  <c r="D415" i="3"/>
  <c r="C415" i="3" s="1"/>
  <c r="D416" i="3"/>
  <c r="C416" i="3" s="1"/>
  <c r="N416" i="3" s="1"/>
  <c r="D417" i="3"/>
  <c r="C417" i="3" s="1"/>
  <c r="T417" i="3" s="1"/>
  <c r="D418" i="3"/>
  <c r="C418" i="3" s="1"/>
  <c r="D419" i="3"/>
  <c r="C419" i="3" s="1"/>
  <c r="D420" i="3"/>
  <c r="C420" i="3" s="1"/>
  <c r="D421" i="3"/>
  <c r="C421" i="3" s="1"/>
  <c r="T421" i="3" s="1"/>
  <c r="D422" i="3"/>
  <c r="C422" i="3" s="1"/>
  <c r="D423" i="3"/>
  <c r="C423" i="3" s="1"/>
  <c r="D424" i="3"/>
  <c r="C424" i="3" s="1"/>
  <c r="D425" i="3"/>
  <c r="C425" i="3" s="1"/>
  <c r="T425" i="3" s="1"/>
  <c r="D426" i="3"/>
  <c r="C426" i="3" s="1"/>
  <c r="D427" i="3"/>
  <c r="C427" i="3" s="1"/>
  <c r="D428" i="3"/>
  <c r="C428" i="3" s="1"/>
  <c r="D429" i="3"/>
  <c r="D430" i="3"/>
  <c r="C430" i="3" s="1"/>
  <c r="D431" i="3"/>
  <c r="C431" i="3" s="1"/>
  <c r="D432" i="3"/>
  <c r="C432" i="3" s="1"/>
  <c r="N432" i="3" s="1"/>
  <c r="D433" i="3"/>
  <c r="C433" i="3" s="1"/>
  <c r="N433" i="3" s="1"/>
  <c r="O433" i="3" s="1"/>
  <c r="D434" i="3"/>
  <c r="C434" i="3" s="1"/>
  <c r="D435" i="3"/>
  <c r="C435" i="3" s="1"/>
  <c r="D436" i="3"/>
  <c r="C436" i="3" s="1"/>
  <c r="D437" i="3"/>
  <c r="C437" i="3" s="1"/>
  <c r="N437" i="3" s="1"/>
  <c r="O437" i="3" s="1"/>
  <c r="D438" i="3"/>
  <c r="C438" i="3" s="1"/>
  <c r="D439" i="3"/>
  <c r="C439" i="3" s="1"/>
  <c r="D440" i="3"/>
  <c r="C440" i="3" s="1"/>
  <c r="D441" i="3"/>
  <c r="C441" i="3" s="1"/>
  <c r="N441" i="3" s="1"/>
  <c r="O441" i="3" s="1"/>
  <c r="D442" i="3"/>
  <c r="C442" i="3" s="1"/>
  <c r="D443" i="3"/>
  <c r="C443" i="3" s="1"/>
  <c r="D444" i="3"/>
  <c r="C444" i="3" s="1"/>
  <c r="D445" i="3"/>
  <c r="C445" i="3" s="1"/>
  <c r="N445" i="3" s="1"/>
  <c r="O445" i="3" s="1"/>
  <c r="D446" i="3"/>
  <c r="C446" i="3" s="1"/>
  <c r="D447" i="3"/>
  <c r="C447" i="3" s="1"/>
  <c r="D448" i="3"/>
  <c r="C448" i="3" s="1"/>
  <c r="D449" i="3"/>
  <c r="C449" i="3" s="1"/>
  <c r="D450" i="3"/>
  <c r="C450" i="3" s="1"/>
  <c r="D451" i="3"/>
  <c r="C451" i="3" s="1"/>
  <c r="D452" i="3"/>
  <c r="C452" i="3" s="1"/>
  <c r="D453" i="3"/>
  <c r="C453" i="3" s="1"/>
  <c r="D454" i="3"/>
  <c r="C454" i="3" s="1"/>
  <c r="D455" i="3"/>
  <c r="C455" i="3" s="1"/>
  <c r="D456" i="3"/>
  <c r="C456" i="3" s="1"/>
  <c r="D457" i="3"/>
  <c r="C457" i="3" s="1"/>
  <c r="D458" i="3"/>
  <c r="C458" i="3" s="1"/>
  <c r="D459" i="3"/>
  <c r="C459" i="3" s="1"/>
  <c r="D460" i="3"/>
  <c r="C460" i="3" s="1"/>
  <c r="D461" i="3"/>
  <c r="C461" i="3" s="1"/>
  <c r="D462" i="3"/>
  <c r="C462" i="3" s="1"/>
  <c r="D463" i="3"/>
  <c r="C463" i="3" s="1"/>
  <c r="D464" i="3"/>
  <c r="C464" i="3" s="1"/>
  <c r="P464" i="3" s="1"/>
  <c r="D465" i="3"/>
  <c r="C465" i="3" s="1"/>
  <c r="D466" i="3"/>
  <c r="C466" i="3" s="1"/>
  <c r="D467" i="3"/>
  <c r="C467" i="3" s="1"/>
  <c r="D468" i="3"/>
  <c r="C468" i="3" s="1"/>
  <c r="D469" i="3"/>
  <c r="C469" i="3" s="1"/>
  <c r="D470" i="3"/>
  <c r="C470" i="3" s="1"/>
  <c r="D471" i="3"/>
  <c r="C471" i="3" s="1"/>
  <c r="D472" i="3"/>
  <c r="C472" i="3" s="1"/>
  <c r="D473" i="3"/>
  <c r="D474" i="3"/>
  <c r="C474" i="3" s="1"/>
  <c r="D475" i="3"/>
  <c r="C475" i="3" s="1"/>
  <c r="D476" i="3"/>
  <c r="C476" i="3" s="1"/>
  <c r="D477" i="3"/>
  <c r="C477" i="3" s="1"/>
  <c r="D478" i="3"/>
  <c r="C478" i="3" s="1"/>
  <c r="D479" i="3"/>
  <c r="C479" i="3" s="1"/>
  <c r="D480" i="3"/>
  <c r="C480" i="3" s="1"/>
  <c r="P480" i="3" s="1"/>
  <c r="Q480" i="3" s="1"/>
  <c r="D481" i="3"/>
  <c r="C481" i="3" s="1"/>
  <c r="N481" i="3" s="1"/>
  <c r="O481" i="3" s="1"/>
  <c r="D482" i="3"/>
  <c r="C482" i="3" s="1"/>
  <c r="D483" i="3"/>
  <c r="C483" i="3" s="1"/>
  <c r="D484" i="3"/>
  <c r="C484" i="3" s="1"/>
  <c r="D485" i="3"/>
  <c r="C485" i="3" s="1"/>
  <c r="N485" i="3" s="1"/>
  <c r="O485" i="3" s="1"/>
  <c r="D486" i="3"/>
  <c r="C486" i="3" s="1"/>
  <c r="D487" i="3"/>
  <c r="C487" i="3" s="1"/>
  <c r="D488" i="3"/>
  <c r="C488" i="3" s="1"/>
  <c r="D489" i="3"/>
  <c r="C489" i="3" s="1"/>
  <c r="N489" i="3" s="1"/>
  <c r="O489" i="3" s="1"/>
  <c r="D490" i="3"/>
  <c r="C490" i="3" s="1"/>
  <c r="D491" i="3"/>
  <c r="C491" i="3" s="1"/>
  <c r="D492" i="3"/>
  <c r="C492" i="3" s="1"/>
  <c r="D493" i="3"/>
  <c r="C493" i="3" s="1"/>
  <c r="N493" i="3" s="1"/>
  <c r="O493" i="3" s="1"/>
  <c r="D494" i="3"/>
  <c r="C494" i="3" s="1"/>
  <c r="D495" i="3"/>
  <c r="C495" i="3" s="1"/>
  <c r="D496" i="3"/>
  <c r="C496" i="3" s="1"/>
  <c r="P496" i="3" s="1"/>
  <c r="D497" i="3"/>
  <c r="C497" i="3" s="1"/>
  <c r="N497" i="3" s="1"/>
  <c r="O497" i="3" s="1"/>
  <c r="D498" i="3"/>
  <c r="C498" i="3" s="1"/>
  <c r="D499" i="3"/>
  <c r="C499" i="3" s="1"/>
  <c r="D500" i="3"/>
  <c r="C500" i="3" s="1"/>
  <c r="R500" i="3" s="1"/>
  <c r="S500" i="3" s="1"/>
  <c r="D501" i="3"/>
  <c r="D502" i="3"/>
  <c r="C502" i="3" s="1"/>
  <c r="D503" i="3"/>
  <c r="C503" i="3" s="1"/>
  <c r="D504" i="3"/>
  <c r="C504" i="3" s="1"/>
  <c r="P504" i="3" s="1"/>
  <c r="D505" i="3"/>
  <c r="C505" i="3" s="1"/>
  <c r="N505" i="3" s="1"/>
  <c r="O505" i="3" s="1"/>
  <c r="D506" i="3"/>
  <c r="C506" i="3" s="1"/>
  <c r="D507" i="3"/>
  <c r="C507" i="3" s="1"/>
  <c r="D508" i="3"/>
  <c r="C508" i="3" s="1"/>
  <c r="D509" i="3"/>
  <c r="C509" i="3" s="1"/>
  <c r="N509" i="3" s="1"/>
  <c r="O509" i="3" s="1"/>
  <c r="D510" i="3"/>
  <c r="C510" i="3" s="1"/>
  <c r="D511" i="3"/>
  <c r="C511" i="3" s="1"/>
  <c r="D512" i="3"/>
  <c r="C512" i="3" s="1"/>
  <c r="D513" i="3"/>
  <c r="C513" i="3" s="1"/>
  <c r="D514" i="3"/>
  <c r="C514" i="3" s="1"/>
  <c r="D515" i="3"/>
  <c r="C515" i="3" s="1"/>
  <c r="D516" i="3"/>
  <c r="C516" i="3" s="1"/>
  <c r="T516" i="3" s="1"/>
  <c r="D517" i="3"/>
  <c r="C517" i="3" s="1"/>
  <c r="D518" i="3"/>
  <c r="C518" i="3" s="1"/>
  <c r="D519" i="3"/>
  <c r="C519" i="3" s="1"/>
  <c r="D520" i="3"/>
  <c r="C520" i="3" s="1"/>
  <c r="D521" i="3"/>
  <c r="C521" i="3" s="1"/>
  <c r="D522" i="3"/>
  <c r="C522" i="3" s="1"/>
  <c r="D523" i="3"/>
  <c r="C523" i="3" s="1"/>
  <c r="D524" i="3"/>
  <c r="C524" i="3" s="1"/>
  <c r="D525" i="3"/>
  <c r="C525" i="3" s="1"/>
  <c r="D526" i="3"/>
  <c r="C526" i="3" s="1"/>
  <c r="D527" i="3"/>
  <c r="C527" i="3" s="1"/>
  <c r="D528" i="3"/>
  <c r="C528" i="3" s="1"/>
  <c r="D529" i="3"/>
  <c r="C529" i="3" s="1"/>
  <c r="D530" i="3"/>
  <c r="C530" i="3" s="1"/>
  <c r="D531" i="3"/>
  <c r="C531" i="3" s="1"/>
  <c r="D532" i="3"/>
  <c r="C532" i="3" s="1"/>
  <c r="D533" i="3"/>
  <c r="C533" i="3" s="1"/>
  <c r="D534" i="3"/>
  <c r="C534" i="3" s="1"/>
  <c r="D535" i="3"/>
  <c r="C535" i="3" s="1"/>
  <c r="D536" i="3"/>
  <c r="C536" i="3" s="1"/>
  <c r="D537" i="3"/>
  <c r="C537" i="3" s="1"/>
  <c r="N537" i="3" s="1"/>
  <c r="O537" i="3" s="1"/>
  <c r="D538" i="3"/>
  <c r="C538" i="3" s="1"/>
  <c r="D539" i="3"/>
  <c r="C539" i="3" s="1"/>
  <c r="D540" i="3"/>
  <c r="C540" i="3" s="1"/>
  <c r="D541" i="3"/>
  <c r="C541" i="3" s="1"/>
  <c r="N541" i="3" s="1"/>
  <c r="O541" i="3" s="1"/>
  <c r="D542" i="3"/>
  <c r="C542" i="3" s="1"/>
  <c r="D543" i="3"/>
  <c r="C543" i="3" s="1"/>
  <c r="D544" i="3"/>
  <c r="C544" i="3" s="1"/>
  <c r="D545" i="3"/>
  <c r="C545" i="3" s="1"/>
  <c r="N545" i="3" s="1"/>
  <c r="O545" i="3" s="1"/>
  <c r="D546" i="3"/>
  <c r="C546" i="3" s="1"/>
  <c r="D547" i="3"/>
  <c r="C547" i="3" s="1"/>
  <c r="D548" i="3"/>
  <c r="C548" i="3" s="1"/>
  <c r="D549" i="3"/>
  <c r="C549" i="3" s="1"/>
  <c r="N549" i="3" s="1"/>
  <c r="O549" i="3" s="1"/>
  <c r="D550" i="3"/>
  <c r="C550" i="3" s="1"/>
  <c r="D551" i="3"/>
  <c r="C551" i="3" s="1"/>
  <c r="D552" i="3"/>
  <c r="C552" i="3" s="1"/>
  <c r="D553" i="3"/>
  <c r="C553" i="3" s="1"/>
  <c r="N553" i="3" s="1"/>
  <c r="O553" i="3" s="1"/>
  <c r="D554" i="3"/>
  <c r="C554" i="3" s="1"/>
  <c r="D555" i="3"/>
  <c r="C555" i="3" s="1"/>
  <c r="D556" i="3"/>
  <c r="C556" i="3" s="1"/>
  <c r="D557" i="3"/>
  <c r="C557" i="3" s="1"/>
  <c r="D558" i="3"/>
  <c r="C558" i="3" s="1"/>
  <c r="D559" i="3"/>
  <c r="C559" i="3" s="1"/>
  <c r="D560" i="3"/>
  <c r="C560" i="3" s="1"/>
  <c r="D561" i="3"/>
  <c r="C561" i="3" s="1"/>
  <c r="D562" i="3"/>
  <c r="C562" i="3" s="1"/>
  <c r="D563" i="3"/>
  <c r="C563" i="3" s="1"/>
  <c r="D564" i="3"/>
  <c r="C564" i="3" s="1"/>
  <c r="N564" i="3" s="1"/>
  <c r="O564" i="3" s="1"/>
  <c r="D565" i="3"/>
  <c r="C565" i="3" s="1"/>
  <c r="D566" i="3"/>
  <c r="C566" i="3" s="1"/>
  <c r="D567" i="3"/>
  <c r="C567" i="3" s="1"/>
  <c r="D568" i="3"/>
  <c r="C568" i="3" s="1"/>
  <c r="D569" i="3"/>
  <c r="C569" i="3" s="1"/>
  <c r="D570" i="3"/>
  <c r="C570" i="3" s="1"/>
  <c r="D571" i="3"/>
  <c r="C571" i="3" s="1"/>
  <c r="D572" i="3"/>
  <c r="C572" i="3" s="1"/>
  <c r="D573" i="3"/>
  <c r="C573" i="3" s="1"/>
  <c r="D574" i="3"/>
  <c r="C574" i="3" s="1"/>
  <c r="D575" i="3"/>
  <c r="C575" i="3" s="1"/>
  <c r="D576" i="3"/>
  <c r="C576" i="3" s="1"/>
  <c r="N576" i="3" s="1"/>
  <c r="O576" i="3" s="1"/>
  <c r="D577" i="3"/>
  <c r="C577" i="3" s="1"/>
  <c r="N577" i="3" s="1"/>
  <c r="O577" i="3" s="1"/>
  <c r="D578" i="3"/>
  <c r="C578" i="3" s="1"/>
  <c r="D579" i="3"/>
  <c r="C579" i="3" s="1"/>
  <c r="D580" i="3"/>
  <c r="C580" i="3" s="1"/>
  <c r="D581" i="3"/>
  <c r="C581" i="3" s="1"/>
  <c r="N581" i="3" s="1"/>
  <c r="O581" i="3" s="1"/>
  <c r="D582" i="3"/>
  <c r="C582" i="3" s="1"/>
  <c r="D583" i="3"/>
  <c r="C583" i="3" s="1"/>
  <c r="D584" i="3"/>
  <c r="C584" i="3" s="1"/>
  <c r="U584" i="3" s="1"/>
  <c r="D585" i="3"/>
  <c r="C585" i="3" s="1"/>
  <c r="D586" i="3"/>
  <c r="C586" i="3" s="1"/>
  <c r="D587" i="3"/>
  <c r="C587" i="3" s="1"/>
  <c r="D588" i="3"/>
  <c r="C588" i="3" s="1"/>
  <c r="N588" i="3" s="1"/>
  <c r="O588" i="3" s="1"/>
  <c r="D589" i="3"/>
  <c r="C589" i="3" s="1"/>
  <c r="D590" i="3"/>
  <c r="C590" i="3" s="1"/>
  <c r="D591" i="3"/>
  <c r="C591" i="3" s="1"/>
  <c r="D592" i="3"/>
  <c r="C592" i="3" s="1"/>
  <c r="D593" i="3"/>
  <c r="C593" i="3" s="1"/>
  <c r="T593" i="3" s="1"/>
  <c r="D594" i="3"/>
  <c r="C594" i="3" s="1"/>
  <c r="D595" i="3"/>
  <c r="C595" i="3" s="1"/>
  <c r="D596" i="3"/>
  <c r="C596" i="3" s="1"/>
  <c r="R596" i="3" s="1"/>
  <c r="S596" i="3" s="1"/>
  <c r="D597" i="3"/>
  <c r="C597" i="3" s="1"/>
  <c r="D598" i="3"/>
  <c r="C598" i="3" s="1"/>
  <c r="D599" i="3"/>
  <c r="C599" i="3" s="1"/>
  <c r="D600" i="3"/>
  <c r="C600" i="3" s="1"/>
  <c r="R600" i="3" s="1"/>
  <c r="S600" i="3" s="1"/>
  <c r="D601" i="3"/>
  <c r="C601" i="3" s="1"/>
  <c r="D602" i="3"/>
  <c r="C602" i="3" s="1"/>
  <c r="D603" i="3"/>
  <c r="C603" i="3" s="1"/>
  <c r="D604" i="3"/>
  <c r="C604" i="3" s="1"/>
  <c r="D605" i="3"/>
  <c r="C605" i="3" s="1"/>
  <c r="N605" i="3" s="1"/>
  <c r="O605" i="3" s="1"/>
  <c r="D606" i="3"/>
  <c r="C606" i="3" s="1"/>
  <c r="D607" i="3"/>
  <c r="C607" i="3" s="1"/>
  <c r="D608" i="3"/>
  <c r="C608" i="3" s="1"/>
  <c r="D609" i="3"/>
  <c r="C609" i="3" s="1"/>
  <c r="D610" i="3"/>
  <c r="C610" i="3" s="1"/>
  <c r="D611" i="3"/>
  <c r="C611" i="3" s="1"/>
  <c r="D612" i="3"/>
  <c r="C612" i="3" s="1"/>
  <c r="R612" i="3" s="1"/>
  <c r="S612" i="3" s="1"/>
  <c r="D613" i="3"/>
  <c r="C613" i="3" s="1"/>
  <c r="D614" i="3"/>
  <c r="C614" i="3" s="1"/>
  <c r="D615" i="3"/>
  <c r="C615" i="3" s="1"/>
  <c r="D616" i="3"/>
  <c r="C616" i="3" s="1"/>
  <c r="R616" i="3" s="1"/>
  <c r="S616" i="3" s="1"/>
  <c r="D617" i="3"/>
  <c r="C617" i="3" s="1"/>
  <c r="D618" i="3"/>
  <c r="C618" i="3" s="1"/>
  <c r="D619" i="3"/>
  <c r="C619" i="3" s="1"/>
  <c r="D620" i="3"/>
  <c r="C620" i="3" s="1"/>
  <c r="D621" i="3"/>
  <c r="C621" i="3" s="1"/>
  <c r="N621" i="3" s="1"/>
  <c r="O621" i="3" s="1"/>
  <c r="D622" i="3"/>
  <c r="C622" i="3" s="1"/>
  <c r="D623" i="3"/>
  <c r="C623" i="3" s="1"/>
  <c r="D624" i="3"/>
  <c r="C624" i="3" s="1"/>
  <c r="P624" i="3" s="1"/>
  <c r="Q624" i="3" s="1"/>
  <c r="D625" i="3"/>
  <c r="C625" i="3" s="1"/>
  <c r="N625" i="3" s="1"/>
  <c r="O625" i="3" s="1"/>
  <c r="D626" i="3"/>
  <c r="C626" i="3" s="1"/>
  <c r="D627" i="3"/>
  <c r="C627" i="3" s="1"/>
  <c r="D628" i="3"/>
  <c r="C628" i="3" s="1"/>
  <c r="R628" i="3" s="1"/>
  <c r="S628" i="3" s="1"/>
  <c r="D629" i="3"/>
  <c r="C629" i="3" s="1"/>
  <c r="D630" i="3"/>
  <c r="C630" i="3" s="1"/>
  <c r="D631" i="3"/>
  <c r="C631" i="3" s="1"/>
  <c r="D632" i="3"/>
  <c r="C632" i="3" s="1"/>
  <c r="R632" i="3" s="1"/>
  <c r="S632" i="3" s="1"/>
  <c r="D633" i="3"/>
  <c r="C633" i="3" s="1"/>
  <c r="N633" i="3" s="1"/>
  <c r="O633" i="3" s="1"/>
  <c r="D634" i="3"/>
  <c r="C634" i="3" s="1"/>
  <c r="D635" i="3"/>
  <c r="C635" i="3" s="1"/>
  <c r="D636" i="3"/>
  <c r="C636" i="3" s="1"/>
  <c r="P636" i="3" s="1"/>
  <c r="Q636" i="3" s="1"/>
  <c r="D637" i="3"/>
  <c r="C637" i="3" s="1"/>
  <c r="N637" i="3" s="1"/>
  <c r="O637" i="3" s="1"/>
  <c r="D638" i="3"/>
  <c r="C638" i="3" s="1"/>
  <c r="D639" i="3"/>
  <c r="C639" i="3" s="1"/>
  <c r="D640" i="3"/>
  <c r="C640" i="3" s="1"/>
  <c r="P640" i="3" s="1"/>
  <c r="Q640" i="3" s="1"/>
  <c r="D641" i="3"/>
  <c r="C641" i="3" s="1"/>
  <c r="D642" i="3"/>
  <c r="C642" i="3" s="1"/>
  <c r="D643" i="3"/>
  <c r="C643" i="3" s="1"/>
  <c r="D644" i="3"/>
  <c r="C644" i="3" s="1"/>
  <c r="R644" i="3" s="1"/>
  <c r="S644" i="3" s="1"/>
  <c r="D645" i="3"/>
  <c r="C645" i="3" s="1"/>
  <c r="D646" i="3"/>
  <c r="C646" i="3" s="1"/>
  <c r="D647" i="3"/>
  <c r="C647" i="3" s="1"/>
  <c r="D648" i="3"/>
  <c r="C648" i="3" s="1"/>
  <c r="D649" i="3"/>
  <c r="C649" i="3" s="1"/>
  <c r="N649" i="3" s="1"/>
  <c r="O649" i="3" s="1"/>
  <c r="D650" i="3"/>
  <c r="C650" i="3" s="1"/>
  <c r="D651" i="3"/>
  <c r="C651" i="3" s="1"/>
  <c r="D652" i="3"/>
  <c r="C652" i="3" s="1"/>
  <c r="P652" i="3" s="1"/>
  <c r="Q652" i="3" s="1"/>
  <c r="D653" i="3"/>
  <c r="C653" i="3" s="1"/>
  <c r="D654" i="3"/>
  <c r="C654" i="3" s="1"/>
  <c r="D655" i="3"/>
  <c r="C655" i="3" s="1"/>
  <c r="D656" i="3"/>
  <c r="C656" i="3" s="1"/>
  <c r="D657" i="3"/>
  <c r="C657" i="3" s="1"/>
  <c r="D658" i="3"/>
  <c r="C658" i="3" s="1"/>
  <c r="D659" i="3"/>
  <c r="C659" i="3" s="1"/>
  <c r="D660" i="3"/>
  <c r="C660" i="3" s="1"/>
  <c r="R660" i="3" s="1"/>
  <c r="S660" i="3" s="1"/>
  <c r="D661" i="3"/>
  <c r="C661" i="3" s="1"/>
  <c r="D662" i="3"/>
  <c r="C662" i="3" s="1"/>
  <c r="D663" i="3"/>
  <c r="C663" i="3" s="1"/>
  <c r="D664" i="3"/>
  <c r="C664" i="3" s="1"/>
  <c r="R664" i="3" s="1"/>
  <c r="S664" i="3" s="1"/>
  <c r="D665" i="3"/>
  <c r="C665" i="3" s="1"/>
  <c r="D666" i="3"/>
  <c r="C666" i="3" s="1"/>
  <c r="D667" i="3"/>
  <c r="C667" i="3" s="1"/>
  <c r="D668" i="3"/>
  <c r="C668" i="3" s="1"/>
  <c r="D669" i="3"/>
  <c r="C669" i="3" s="1"/>
  <c r="D670" i="3"/>
  <c r="C670" i="3" s="1"/>
  <c r="D671" i="3"/>
  <c r="C671" i="3" s="1"/>
  <c r="D672" i="3"/>
  <c r="C672" i="3" s="1"/>
  <c r="P672" i="3" s="1"/>
  <c r="Q672" i="3" s="1"/>
  <c r="D673" i="3"/>
  <c r="C673" i="3" s="1"/>
  <c r="N673" i="3" s="1"/>
  <c r="O673" i="3" s="1"/>
  <c r="D674" i="3"/>
  <c r="C674" i="3" s="1"/>
  <c r="D675" i="3"/>
  <c r="C675" i="3" s="1"/>
  <c r="D676" i="3"/>
  <c r="C676" i="3" s="1"/>
  <c r="R676" i="3" s="1"/>
  <c r="S676" i="3" s="1"/>
  <c r="D677" i="3"/>
  <c r="C677" i="3" s="1"/>
  <c r="D678" i="3"/>
  <c r="C678" i="3" s="1"/>
  <c r="D679" i="3"/>
  <c r="C679" i="3" s="1"/>
  <c r="D680" i="3"/>
  <c r="C680" i="3" s="1"/>
  <c r="R680" i="3" s="1"/>
  <c r="S680" i="3" s="1"/>
  <c r="D681" i="3"/>
  <c r="C681" i="3" s="1"/>
  <c r="D682" i="3"/>
  <c r="C682" i="3" s="1"/>
  <c r="D683" i="3"/>
  <c r="C683" i="3" s="1"/>
  <c r="D684" i="3"/>
  <c r="C684" i="3" s="1"/>
  <c r="D685" i="3"/>
  <c r="C685" i="3" s="1"/>
  <c r="N685" i="3" s="1"/>
  <c r="O685" i="3" s="1"/>
  <c r="D686" i="3"/>
  <c r="C686" i="3" s="1"/>
  <c r="D687" i="3"/>
  <c r="C687" i="3" s="1"/>
  <c r="D688" i="3"/>
  <c r="C688" i="3" s="1"/>
  <c r="D689" i="3"/>
  <c r="C689" i="3" s="1"/>
  <c r="N689" i="3" s="1"/>
  <c r="O689" i="3" s="1"/>
  <c r="D690" i="3"/>
  <c r="C690" i="3" s="1"/>
  <c r="D691" i="3"/>
  <c r="C691" i="3" s="1"/>
  <c r="D692" i="3"/>
  <c r="C692" i="3" s="1"/>
  <c r="R692" i="3" s="1"/>
  <c r="S692" i="3" s="1"/>
  <c r="D693" i="3"/>
  <c r="C693" i="3" s="1"/>
  <c r="D694" i="3"/>
  <c r="C694" i="3" s="1"/>
  <c r="D695" i="3"/>
  <c r="C695" i="3" s="1"/>
  <c r="D696" i="3"/>
  <c r="C696" i="3" s="1"/>
  <c r="R696" i="3" s="1"/>
  <c r="S696" i="3" s="1"/>
  <c r="D697" i="3"/>
  <c r="C697" i="3" s="1"/>
  <c r="N697" i="3" s="1"/>
  <c r="O697" i="3" s="1"/>
  <c r="D698" i="3"/>
  <c r="C698" i="3" s="1"/>
  <c r="D699" i="3"/>
  <c r="C699" i="3" s="1"/>
  <c r="D700" i="3"/>
  <c r="C700" i="3" s="1"/>
  <c r="D701" i="3"/>
  <c r="C701" i="3" s="1"/>
  <c r="N701" i="3" s="1"/>
  <c r="O701" i="3" s="1"/>
  <c r="D702" i="3"/>
  <c r="C702" i="3" s="1"/>
  <c r="D703" i="3"/>
  <c r="C703" i="3" s="1"/>
  <c r="D704" i="3"/>
  <c r="C704" i="3" s="1"/>
  <c r="P704" i="3" s="1"/>
  <c r="Q704" i="3" s="1"/>
  <c r="D705" i="3"/>
  <c r="C705" i="3" s="1"/>
  <c r="D706" i="3"/>
  <c r="C706" i="3" s="1"/>
  <c r="D707" i="3"/>
  <c r="C707" i="3" s="1"/>
  <c r="D708" i="3"/>
  <c r="C708" i="3" s="1"/>
  <c r="R708" i="3" s="1"/>
  <c r="S708" i="3" s="1"/>
  <c r="D709" i="3"/>
  <c r="C709" i="3" s="1"/>
  <c r="D710" i="3"/>
  <c r="C710" i="3" s="1"/>
  <c r="D711" i="3"/>
  <c r="C711" i="3" s="1"/>
  <c r="D712" i="3"/>
  <c r="C712" i="3" s="1"/>
  <c r="R712" i="3" s="1"/>
  <c r="S712" i="3" s="1"/>
  <c r="D713" i="3"/>
  <c r="C713" i="3" s="1"/>
  <c r="N713" i="3" s="1"/>
  <c r="O713" i="3" s="1"/>
  <c r="D714" i="3"/>
  <c r="C714" i="3" s="1"/>
  <c r="D715" i="3"/>
  <c r="C715" i="3" s="1"/>
  <c r="D716" i="3"/>
  <c r="C716" i="3" s="1"/>
  <c r="P716" i="3" s="1"/>
  <c r="Q716" i="3" s="1"/>
  <c r="D717" i="3"/>
  <c r="C717" i="3" s="1"/>
  <c r="D718" i="3"/>
  <c r="C718" i="3" s="1"/>
  <c r="D719" i="3"/>
  <c r="C719" i="3" s="1"/>
  <c r="D720" i="3"/>
  <c r="C720" i="3" s="1"/>
  <c r="D721" i="3"/>
  <c r="C721" i="3" s="1"/>
  <c r="D722" i="3"/>
  <c r="C722" i="3" s="1"/>
  <c r="D723" i="3"/>
  <c r="C723" i="3" s="1"/>
  <c r="D724" i="3"/>
  <c r="C724" i="3" s="1"/>
  <c r="R724" i="3" s="1"/>
  <c r="S724" i="3" s="1"/>
  <c r="D725" i="3"/>
  <c r="C725" i="3" s="1"/>
  <c r="D726" i="3"/>
  <c r="C726" i="3" s="1"/>
  <c r="D727" i="3"/>
  <c r="C727" i="3" s="1"/>
  <c r="D728" i="3"/>
  <c r="C728" i="3" s="1"/>
  <c r="D729" i="3"/>
  <c r="C729" i="3" s="1"/>
  <c r="D730" i="3"/>
  <c r="C730" i="3" s="1"/>
  <c r="D731" i="3"/>
  <c r="C731" i="3" s="1"/>
  <c r="D732" i="3"/>
  <c r="C732" i="3" s="1"/>
  <c r="D733" i="3"/>
  <c r="C733" i="3" s="1"/>
  <c r="D734" i="3"/>
  <c r="C734" i="3" s="1"/>
  <c r="D735" i="3"/>
  <c r="C735" i="3" s="1"/>
  <c r="D736" i="3"/>
  <c r="C736" i="3" s="1"/>
  <c r="P736" i="3" s="1"/>
  <c r="Q736" i="3" s="1"/>
  <c r="D737" i="3"/>
  <c r="C737" i="3" s="1"/>
  <c r="N737" i="3" s="1"/>
  <c r="O737" i="3" s="1"/>
  <c r="D738" i="3"/>
  <c r="C738" i="3" s="1"/>
  <c r="D739" i="3"/>
  <c r="C739" i="3" s="1"/>
  <c r="D740" i="3"/>
  <c r="C740" i="3" s="1"/>
  <c r="R740" i="3" s="1"/>
  <c r="S740" i="3" s="1"/>
  <c r="D741" i="3"/>
  <c r="C741" i="3" s="1"/>
  <c r="D742" i="3"/>
  <c r="C742" i="3" s="1"/>
  <c r="D743" i="3"/>
  <c r="C743" i="3" s="1"/>
  <c r="D744" i="3"/>
  <c r="C744" i="3" s="1"/>
  <c r="R744" i="3" s="1"/>
  <c r="S744" i="3" s="1"/>
  <c r="D745" i="3"/>
  <c r="C745" i="3" s="1"/>
  <c r="D746" i="3"/>
  <c r="C746" i="3" s="1"/>
  <c r="D747" i="3"/>
  <c r="C747" i="3" s="1"/>
  <c r="D748" i="3"/>
  <c r="C748" i="3" s="1"/>
  <c r="P748" i="3" s="1"/>
  <c r="Q748" i="3" s="1"/>
  <c r="D749" i="3"/>
  <c r="C749" i="3" s="1"/>
  <c r="N749" i="3" s="1"/>
  <c r="O749" i="3" s="1"/>
  <c r="D750" i="3"/>
  <c r="C750" i="3" s="1"/>
  <c r="D751" i="3"/>
  <c r="C751" i="3" s="1"/>
  <c r="D752" i="3"/>
  <c r="C752" i="3" s="1"/>
  <c r="D753" i="3"/>
  <c r="C753" i="3" s="1"/>
  <c r="N753" i="3" s="1"/>
  <c r="O753" i="3" s="1"/>
  <c r="D754" i="3"/>
  <c r="C754" i="3" s="1"/>
  <c r="D755" i="3"/>
  <c r="C755" i="3" s="1"/>
  <c r="D756" i="3"/>
  <c r="C756" i="3" s="1"/>
  <c r="R756" i="3" s="1"/>
  <c r="S756" i="3" s="1"/>
  <c r="D757" i="3"/>
  <c r="C757" i="3" s="1"/>
  <c r="D758" i="3"/>
  <c r="C758" i="3" s="1"/>
  <c r="D759" i="3"/>
  <c r="C759" i="3" s="1"/>
  <c r="D760" i="3"/>
  <c r="C760" i="3" s="1"/>
  <c r="D761" i="3"/>
  <c r="C761" i="3" s="1"/>
  <c r="N761" i="3" s="1"/>
  <c r="O761" i="3" s="1"/>
  <c r="D762" i="3"/>
  <c r="C762" i="3" s="1"/>
  <c r="D763" i="3"/>
  <c r="C763" i="3" s="1"/>
  <c r="D764" i="3"/>
  <c r="C764" i="3" s="1"/>
  <c r="D765" i="3"/>
  <c r="C765" i="3" s="1"/>
  <c r="N765" i="3" s="1"/>
  <c r="O765" i="3" s="1"/>
  <c r="D766" i="3"/>
  <c r="C766" i="3" s="1"/>
  <c r="D767" i="3"/>
  <c r="C767" i="3" s="1"/>
  <c r="D768" i="3"/>
  <c r="C768" i="3" s="1"/>
  <c r="T768" i="3" s="1"/>
  <c r="D769" i="3"/>
  <c r="C769" i="3" s="1"/>
  <c r="N769" i="3" s="1"/>
  <c r="O769" i="3" s="1"/>
  <c r="D770" i="3"/>
  <c r="C770" i="3" s="1"/>
  <c r="D771" i="3"/>
  <c r="C771" i="3" s="1"/>
  <c r="D772" i="3"/>
  <c r="C772" i="3" s="1"/>
  <c r="R772" i="3" s="1"/>
  <c r="S772" i="3" s="1"/>
  <c r="D773" i="3"/>
  <c r="C773" i="3" s="1"/>
  <c r="D774" i="3"/>
  <c r="C774" i="3" s="1"/>
  <c r="D775" i="3"/>
  <c r="C775" i="3" s="1"/>
  <c r="D776" i="3"/>
  <c r="C776" i="3" s="1"/>
  <c r="R776" i="3" s="1"/>
  <c r="S776" i="3" s="1"/>
  <c r="D777" i="3"/>
  <c r="C777" i="3" s="1"/>
  <c r="N777" i="3" s="1"/>
  <c r="O777" i="3" s="1"/>
  <c r="D778" i="3"/>
  <c r="C778" i="3" s="1"/>
  <c r="D779" i="3"/>
  <c r="C779" i="3" s="1"/>
  <c r="D780" i="3"/>
  <c r="C780" i="3" s="1"/>
  <c r="D781" i="3"/>
  <c r="C781" i="3" s="1"/>
  <c r="N781" i="3" s="1"/>
  <c r="O781" i="3" s="1"/>
  <c r="D782" i="3"/>
  <c r="C782" i="3" s="1"/>
  <c r="D783" i="3"/>
  <c r="C783" i="3" s="1"/>
  <c r="D784" i="3"/>
  <c r="C784" i="3" s="1"/>
  <c r="T784" i="3" s="1"/>
  <c r="D785" i="3"/>
  <c r="C785" i="3" s="1"/>
  <c r="N785" i="3" s="1"/>
  <c r="O785" i="3" s="1"/>
  <c r="D786" i="3"/>
  <c r="C786" i="3" s="1"/>
  <c r="D787" i="3"/>
  <c r="C787" i="3" s="1"/>
  <c r="D788" i="3"/>
  <c r="C788" i="3" s="1"/>
  <c r="T788" i="3" s="1"/>
  <c r="D789" i="3"/>
  <c r="C789" i="3" s="1"/>
  <c r="D790" i="3"/>
  <c r="C790" i="3" s="1"/>
  <c r="D791" i="3"/>
  <c r="C791" i="3" s="1"/>
  <c r="D792" i="3"/>
  <c r="C792" i="3" s="1"/>
  <c r="P792" i="3" s="1"/>
  <c r="Q792" i="3" s="1"/>
  <c r="D793" i="3"/>
  <c r="C793" i="3" s="1"/>
  <c r="N793" i="3" s="1"/>
  <c r="O793" i="3" s="1"/>
  <c r="D794" i="3"/>
  <c r="C794" i="3" s="1"/>
  <c r="D795" i="3"/>
  <c r="C795" i="3" s="1"/>
  <c r="D796" i="3"/>
  <c r="C796" i="3" s="1"/>
  <c r="D797" i="3"/>
  <c r="C797" i="3" s="1"/>
  <c r="N797" i="3" s="1"/>
  <c r="O797" i="3" s="1"/>
  <c r="D798" i="3"/>
  <c r="C798" i="3" s="1"/>
  <c r="D799" i="3"/>
  <c r="C799" i="3" s="1"/>
  <c r="D800" i="3"/>
  <c r="C800" i="3" s="1"/>
  <c r="T800" i="3" s="1"/>
  <c r="D801" i="3"/>
  <c r="C801" i="3" s="1"/>
  <c r="N801" i="3" s="1"/>
  <c r="O801" i="3" s="1"/>
  <c r="D802" i="3"/>
  <c r="C802" i="3" s="1"/>
  <c r="D803" i="3"/>
  <c r="C803" i="3" s="1"/>
  <c r="D804" i="3"/>
  <c r="C804" i="3" s="1"/>
  <c r="R804" i="3" s="1"/>
  <c r="S804" i="3" s="1"/>
  <c r="D805" i="3"/>
  <c r="C805" i="3" s="1"/>
  <c r="D806" i="3"/>
  <c r="C806" i="3" s="1"/>
  <c r="D807" i="3"/>
  <c r="C807" i="3" s="1"/>
  <c r="D808" i="3"/>
  <c r="C808" i="3" s="1"/>
  <c r="R808" i="3" s="1"/>
  <c r="S808" i="3" s="1"/>
  <c r="D809" i="3"/>
  <c r="C809" i="3" s="1"/>
  <c r="N809" i="3" s="1"/>
  <c r="O809" i="3" s="1"/>
  <c r="D810" i="3"/>
  <c r="C810" i="3" s="1"/>
  <c r="D811" i="3"/>
  <c r="C811" i="3" s="1"/>
  <c r="D812" i="3"/>
  <c r="C812" i="3" s="1"/>
  <c r="P812" i="3" s="1"/>
  <c r="Q812" i="3" s="1"/>
  <c r="D813" i="3"/>
  <c r="C813" i="3" s="1"/>
  <c r="N813" i="3" s="1"/>
  <c r="O813" i="3" s="1"/>
  <c r="D814" i="3"/>
  <c r="C814" i="3" s="1"/>
  <c r="D815" i="3"/>
  <c r="C815" i="3" s="1"/>
  <c r="D816" i="3"/>
  <c r="C816" i="3" s="1"/>
  <c r="D817" i="3"/>
  <c r="C817" i="3" s="1"/>
  <c r="N817" i="3" s="1"/>
  <c r="O817" i="3" s="1"/>
  <c r="D818" i="3"/>
  <c r="C818" i="3" s="1"/>
  <c r="D819" i="3"/>
  <c r="C819" i="3" s="1"/>
  <c r="D820" i="3"/>
  <c r="C820" i="3" s="1"/>
  <c r="T820" i="3" s="1"/>
  <c r="D821" i="3"/>
  <c r="C821" i="3" s="1"/>
  <c r="D822" i="3"/>
  <c r="C822" i="3" s="1"/>
  <c r="D823" i="3"/>
  <c r="C823" i="3" s="1"/>
  <c r="D824" i="3"/>
  <c r="C824" i="3" s="1"/>
  <c r="R824" i="3" s="1"/>
  <c r="S824" i="3" s="1"/>
  <c r="D825" i="3"/>
  <c r="C825" i="3" s="1"/>
  <c r="N825" i="3" s="1"/>
  <c r="O825" i="3" s="1"/>
  <c r="D826" i="3"/>
  <c r="C826" i="3" s="1"/>
  <c r="D827" i="3"/>
  <c r="C827" i="3" s="1"/>
  <c r="D828" i="3"/>
  <c r="C828" i="3" s="1"/>
  <c r="P828" i="3" s="1"/>
  <c r="Q828" i="3" s="1"/>
  <c r="D829" i="3"/>
  <c r="C829" i="3" s="1"/>
  <c r="N829" i="3" s="1"/>
  <c r="O829" i="3" s="1"/>
  <c r="D830" i="3"/>
  <c r="C830" i="3" s="1"/>
  <c r="D831" i="3"/>
  <c r="C831" i="3" s="1"/>
  <c r="D832" i="3"/>
  <c r="C832" i="3" s="1"/>
  <c r="D833" i="3"/>
  <c r="C833" i="3" s="1"/>
  <c r="N833" i="3" s="1"/>
  <c r="O833" i="3" s="1"/>
  <c r="D834" i="3"/>
  <c r="C834" i="3" s="1"/>
  <c r="D835" i="3"/>
  <c r="C835" i="3" s="1"/>
  <c r="D836" i="3"/>
  <c r="C836" i="3" s="1"/>
  <c r="D837" i="3"/>
  <c r="C837" i="3" s="1"/>
  <c r="D838" i="3"/>
  <c r="C838" i="3" s="1"/>
  <c r="D839" i="3"/>
  <c r="C839" i="3" s="1"/>
  <c r="D840" i="3"/>
  <c r="C840" i="3" s="1"/>
  <c r="D841" i="3"/>
  <c r="C841" i="3" s="1"/>
  <c r="N841" i="3" s="1"/>
  <c r="O841" i="3" s="1"/>
  <c r="D842" i="3"/>
  <c r="C842" i="3" s="1"/>
  <c r="D843" i="3"/>
  <c r="C843" i="3" s="1"/>
  <c r="D844" i="3"/>
  <c r="C844" i="3" s="1"/>
  <c r="D845" i="3"/>
  <c r="C845" i="3" s="1"/>
  <c r="N845" i="3" s="1"/>
  <c r="O845" i="3" s="1"/>
  <c r="D846" i="3"/>
  <c r="C846" i="3" s="1"/>
  <c r="D847" i="3"/>
  <c r="C847" i="3" s="1"/>
  <c r="D848" i="3"/>
  <c r="C848" i="3" s="1"/>
  <c r="D849" i="3"/>
  <c r="C849" i="3" s="1"/>
  <c r="D850" i="3"/>
  <c r="C850" i="3" s="1"/>
  <c r="D851" i="3"/>
  <c r="C851" i="3" s="1"/>
  <c r="D852" i="3"/>
  <c r="C852" i="3" s="1"/>
  <c r="R852" i="3" s="1"/>
  <c r="S852" i="3" s="1"/>
  <c r="D853" i="3"/>
  <c r="C853" i="3" s="1"/>
  <c r="T853" i="3" s="1"/>
  <c r="D854" i="3"/>
  <c r="C854" i="3" s="1"/>
  <c r="D855" i="3"/>
  <c r="C855" i="3" s="1"/>
  <c r="D856" i="3"/>
  <c r="C856" i="3" s="1"/>
  <c r="R856" i="3" s="1"/>
  <c r="S856" i="3" s="1"/>
  <c r="D857" i="3"/>
  <c r="C857" i="3" s="1"/>
  <c r="N857" i="3" s="1"/>
  <c r="O857" i="3" s="1"/>
  <c r="D858" i="3"/>
  <c r="C858" i="3" s="1"/>
  <c r="D859" i="3"/>
  <c r="C859" i="3" s="1"/>
  <c r="D860" i="3"/>
  <c r="C860" i="3" s="1"/>
  <c r="D861" i="3"/>
  <c r="C861" i="3" s="1"/>
  <c r="N861" i="3" s="1"/>
  <c r="O861" i="3" s="1"/>
  <c r="D862" i="3"/>
  <c r="C862" i="3" s="1"/>
  <c r="D863" i="3"/>
  <c r="C863" i="3" s="1"/>
  <c r="D864" i="3"/>
  <c r="C864" i="3" s="1"/>
  <c r="D865" i="3"/>
  <c r="C865" i="3" s="1"/>
  <c r="D866" i="3"/>
  <c r="C866" i="3" s="1"/>
  <c r="D867" i="3"/>
  <c r="C867" i="3" s="1"/>
  <c r="D868" i="3"/>
  <c r="C868" i="3" s="1"/>
  <c r="R868" i="3" s="1"/>
  <c r="S868" i="3" s="1"/>
  <c r="D869" i="3"/>
  <c r="C869" i="3" s="1"/>
  <c r="D870" i="3"/>
  <c r="C870" i="3" s="1"/>
  <c r="D871" i="3"/>
  <c r="C871" i="3" s="1"/>
  <c r="D872" i="3"/>
  <c r="C872" i="3" s="1"/>
  <c r="R872" i="3" s="1"/>
  <c r="S872" i="3" s="1"/>
  <c r="D873" i="3"/>
  <c r="C873" i="3" s="1"/>
  <c r="N873" i="3" s="1"/>
  <c r="O873" i="3" s="1"/>
  <c r="D874" i="3"/>
  <c r="C874" i="3" s="1"/>
  <c r="D875" i="3"/>
  <c r="C875" i="3" s="1"/>
  <c r="D876" i="3"/>
  <c r="C876" i="3" s="1"/>
  <c r="D877" i="3"/>
  <c r="C877" i="3" s="1"/>
  <c r="N877" i="3" s="1"/>
  <c r="O877" i="3" s="1"/>
  <c r="D878" i="3"/>
  <c r="C878" i="3" s="1"/>
  <c r="D879" i="3"/>
  <c r="C879" i="3" s="1"/>
  <c r="D880" i="3"/>
  <c r="C880" i="3" s="1"/>
  <c r="D881" i="3"/>
  <c r="C881" i="3" s="1"/>
  <c r="N881" i="3" s="1"/>
  <c r="O881" i="3" s="1"/>
  <c r="D882" i="3"/>
  <c r="C882" i="3" s="1"/>
  <c r="D883" i="3"/>
  <c r="C883" i="3" s="1"/>
  <c r="D884" i="3"/>
  <c r="C884" i="3" s="1"/>
  <c r="R884" i="3" s="1"/>
  <c r="S884" i="3" s="1"/>
  <c r="D885" i="3"/>
  <c r="C885" i="3" s="1"/>
  <c r="D886" i="3"/>
  <c r="C886" i="3" s="1"/>
  <c r="D887" i="3"/>
  <c r="C887" i="3" s="1"/>
  <c r="D888" i="3"/>
  <c r="C888" i="3" s="1"/>
  <c r="R888" i="3" s="1"/>
  <c r="S888" i="3" s="1"/>
  <c r="D889" i="3"/>
  <c r="C889" i="3" s="1"/>
  <c r="D890" i="3"/>
  <c r="C890" i="3" s="1"/>
  <c r="D891" i="3"/>
  <c r="C891" i="3" s="1"/>
  <c r="D892" i="3"/>
  <c r="C892" i="3" s="1"/>
  <c r="D893" i="3"/>
  <c r="C893" i="3" s="1"/>
  <c r="N893" i="3" s="1"/>
  <c r="O893" i="3" s="1"/>
  <c r="D894" i="3"/>
  <c r="C894" i="3" s="1"/>
  <c r="D895" i="3"/>
  <c r="C895" i="3" s="1"/>
  <c r="D896" i="3"/>
  <c r="C896" i="3" s="1"/>
  <c r="D897" i="3"/>
  <c r="C897" i="3" s="1"/>
  <c r="N897" i="3" s="1"/>
  <c r="O897" i="3" s="1"/>
  <c r="D898" i="3"/>
  <c r="C898" i="3" s="1"/>
  <c r="D899" i="3"/>
  <c r="C899" i="3" s="1"/>
  <c r="D900" i="3"/>
  <c r="C900" i="3" s="1"/>
  <c r="R900" i="3" s="1"/>
  <c r="S900" i="3" s="1"/>
  <c r="D901" i="3"/>
  <c r="C901" i="3" s="1"/>
  <c r="P901" i="3" s="1"/>
  <c r="Q901" i="3" s="1"/>
  <c r="D902" i="3"/>
  <c r="C902" i="3" s="1"/>
  <c r="D903" i="3"/>
  <c r="C903" i="3" s="1"/>
  <c r="D904" i="3"/>
  <c r="C904" i="3" s="1"/>
  <c r="R904" i="3" s="1"/>
  <c r="S904" i="3" s="1"/>
  <c r="D905" i="3"/>
  <c r="C905" i="3" s="1"/>
  <c r="D906" i="3"/>
  <c r="C906" i="3" s="1"/>
  <c r="D907" i="3"/>
  <c r="C907" i="3" s="1"/>
  <c r="D908" i="3"/>
  <c r="C908" i="3" s="1"/>
  <c r="D909" i="3"/>
  <c r="C909" i="3" s="1"/>
  <c r="N909" i="3" s="1"/>
  <c r="O909" i="3" s="1"/>
  <c r="D910" i="3"/>
  <c r="C910" i="3" s="1"/>
  <c r="D911" i="3"/>
  <c r="C911" i="3" s="1"/>
  <c r="D912" i="3"/>
  <c r="C912" i="3" s="1"/>
  <c r="D913" i="3"/>
  <c r="C913" i="3" s="1"/>
  <c r="D914" i="3"/>
  <c r="C914" i="3" s="1"/>
  <c r="D915" i="3"/>
  <c r="C915" i="3" s="1"/>
  <c r="D916" i="3"/>
  <c r="C916" i="3" s="1"/>
  <c r="R916" i="3" s="1"/>
  <c r="S916" i="3" s="1"/>
  <c r="D917" i="3"/>
  <c r="C917" i="3" s="1"/>
  <c r="T917" i="3" s="1"/>
  <c r="D918" i="3"/>
  <c r="C918" i="3" s="1"/>
  <c r="D919" i="3"/>
  <c r="C919" i="3" s="1"/>
  <c r="D920" i="3"/>
  <c r="C920" i="3" s="1"/>
  <c r="R920" i="3" s="1"/>
  <c r="S920" i="3" s="1"/>
  <c r="D921" i="3"/>
  <c r="C921" i="3" s="1"/>
  <c r="D922" i="3"/>
  <c r="C922" i="3" s="1"/>
  <c r="D923" i="3"/>
  <c r="C923" i="3" s="1"/>
  <c r="D924" i="3"/>
  <c r="C924" i="3" s="1"/>
  <c r="D925" i="3"/>
  <c r="C925" i="3" s="1"/>
  <c r="N925" i="3" s="1"/>
  <c r="O925" i="3" s="1"/>
  <c r="D926" i="3"/>
  <c r="C926" i="3" s="1"/>
  <c r="D927" i="3"/>
  <c r="C927" i="3" s="1"/>
  <c r="D928" i="3"/>
  <c r="C928" i="3" s="1"/>
  <c r="D929" i="3"/>
  <c r="C929" i="3" s="1"/>
  <c r="D930" i="3"/>
  <c r="C930" i="3" s="1"/>
  <c r="D931" i="3"/>
  <c r="C931" i="3" s="1"/>
  <c r="D932" i="3"/>
  <c r="C932" i="3" s="1"/>
  <c r="R932" i="3" s="1"/>
  <c r="S932" i="3" s="1"/>
  <c r="D933" i="3"/>
  <c r="C933" i="3" s="1"/>
  <c r="D934" i="3"/>
  <c r="C934" i="3" s="1"/>
  <c r="D935" i="3"/>
  <c r="C935" i="3" s="1"/>
  <c r="D936" i="3"/>
  <c r="C936" i="3" s="1"/>
  <c r="R936" i="3" s="1"/>
  <c r="S936" i="3" s="1"/>
  <c r="D937" i="3"/>
  <c r="C937" i="3" s="1"/>
  <c r="N937" i="3" s="1"/>
  <c r="O937" i="3" s="1"/>
  <c r="D938" i="3"/>
  <c r="C938" i="3" s="1"/>
  <c r="D939" i="3"/>
  <c r="C939" i="3" s="1"/>
  <c r="D940" i="3"/>
  <c r="C940" i="3" s="1"/>
  <c r="D941" i="3"/>
  <c r="C941" i="3" s="1"/>
  <c r="N941" i="3" s="1"/>
  <c r="O941" i="3" s="1"/>
  <c r="D942" i="3"/>
  <c r="C942" i="3" s="1"/>
  <c r="D943" i="3"/>
  <c r="C943" i="3" s="1"/>
  <c r="D944" i="3"/>
  <c r="C944" i="3" s="1"/>
  <c r="D945" i="3"/>
  <c r="C945" i="3" s="1"/>
  <c r="N945" i="3" s="1"/>
  <c r="O945" i="3" s="1"/>
  <c r="D946" i="3"/>
  <c r="C946" i="3" s="1"/>
  <c r="D947" i="3"/>
  <c r="C947" i="3" s="1"/>
  <c r="D948" i="3"/>
  <c r="C948" i="3" s="1"/>
  <c r="R948" i="3" s="1"/>
  <c r="S948" i="3" s="1"/>
  <c r="D949" i="3"/>
  <c r="C949" i="3" s="1"/>
  <c r="D950" i="3"/>
  <c r="C950" i="3" s="1"/>
  <c r="D951" i="3"/>
  <c r="C951" i="3" s="1"/>
  <c r="D952" i="3"/>
  <c r="C952" i="3" s="1"/>
  <c r="R952" i="3" s="1"/>
  <c r="S952" i="3" s="1"/>
  <c r="D953" i="3"/>
  <c r="C953" i="3" s="1"/>
  <c r="D954" i="3"/>
  <c r="C954" i="3" s="1"/>
  <c r="D955" i="3"/>
  <c r="C955" i="3" s="1"/>
  <c r="D956" i="3"/>
  <c r="C956" i="3" s="1"/>
  <c r="D957" i="3"/>
  <c r="C957" i="3" s="1"/>
  <c r="N957" i="3" s="1"/>
  <c r="O957" i="3" s="1"/>
  <c r="D958" i="3"/>
  <c r="C958" i="3" s="1"/>
  <c r="D959" i="3"/>
  <c r="C959" i="3" s="1"/>
  <c r="D960" i="3"/>
  <c r="C960" i="3" s="1"/>
  <c r="D961" i="3"/>
  <c r="C961" i="3" s="1"/>
  <c r="N961" i="3" s="1"/>
  <c r="O961" i="3" s="1"/>
  <c r="D962" i="3"/>
  <c r="C962" i="3" s="1"/>
  <c r="D963" i="3"/>
  <c r="C963" i="3" s="1"/>
  <c r="D964" i="3"/>
  <c r="C964" i="3" s="1"/>
  <c r="R964" i="3" s="1"/>
  <c r="S964" i="3" s="1"/>
  <c r="D965" i="3"/>
  <c r="C965" i="3" s="1"/>
  <c r="T965" i="3" s="1"/>
  <c r="D966" i="3"/>
  <c r="C966" i="3" s="1"/>
  <c r="D967" i="3"/>
  <c r="C967" i="3" s="1"/>
  <c r="D968" i="3"/>
  <c r="C968" i="3" s="1"/>
  <c r="R968" i="3" s="1"/>
  <c r="S968" i="3" s="1"/>
  <c r="D969" i="3"/>
  <c r="C969" i="3" s="1"/>
  <c r="D970" i="3"/>
  <c r="C970" i="3" s="1"/>
  <c r="D971" i="3"/>
  <c r="C971" i="3" s="1"/>
  <c r="D972" i="3"/>
  <c r="C972" i="3" s="1"/>
  <c r="D973" i="3"/>
  <c r="C973" i="3" s="1"/>
  <c r="N973" i="3" s="1"/>
  <c r="O973" i="3" s="1"/>
  <c r="D974" i="3"/>
  <c r="C974" i="3" s="1"/>
  <c r="D975" i="3"/>
  <c r="C975" i="3" s="1"/>
  <c r="D976" i="3"/>
  <c r="C976" i="3" s="1"/>
  <c r="D977" i="3"/>
  <c r="C977" i="3" s="1"/>
  <c r="D978" i="3"/>
  <c r="C978" i="3" s="1"/>
  <c r="D979" i="3"/>
  <c r="C979" i="3" s="1"/>
  <c r="D980" i="3"/>
  <c r="C980" i="3" s="1"/>
  <c r="R980" i="3" s="1"/>
  <c r="S980" i="3" s="1"/>
  <c r="D981" i="3"/>
  <c r="C981" i="3" s="1"/>
  <c r="T981" i="3" s="1"/>
  <c r="D982" i="3"/>
  <c r="C982" i="3" s="1"/>
  <c r="D983" i="3"/>
  <c r="C983" i="3" s="1"/>
  <c r="D984" i="3"/>
  <c r="C984" i="3" s="1"/>
  <c r="R984" i="3" s="1"/>
  <c r="S984" i="3" s="1"/>
  <c r="D985" i="3"/>
  <c r="C985" i="3" s="1"/>
  <c r="N985" i="3" s="1"/>
  <c r="O985" i="3" s="1"/>
  <c r="D986" i="3"/>
  <c r="C986" i="3" s="1"/>
  <c r="D987" i="3"/>
  <c r="C987" i="3" s="1"/>
  <c r="D988" i="3"/>
  <c r="C988" i="3" s="1"/>
  <c r="D989" i="3"/>
  <c r="C989" i="3" s="1"/>
  <c r="N989" i="3" s="1"/>
  <c r="O989" i="3" s="1"/>
  <c r="D990" i="3"/>
  <c r="C990" i="3" s="1"/>
  <c r="D991" i="3"/>
  <c r="C991" i="3" s="1"/>
  <c r="D992" i="3"/>
  <c r="C992" i="3" s="1"/>
  <c r="D993" i="3"/>
  <c r="C993" i="3" s="1"/>
  <c r="D994" i="3"/>
  <c r="C994" i="3" s="1"/>
  <c r="D995" i="3"/>
  <c r="C995" i="3" s="1"/>
  <c r="D996" i="3"/>
  <c r="C996" i="3" s="1"/>
  <c r="R996" i="3" s="1"/>
  <c r="S996" i="3" s="1"/>
  <c r="D997" i="3"/>
  <c r="C997" i="3" s="1"/>
  <c r="D998" i="3"/>
  <c r="C998" i="3" s="1"/>
  <c r="D999" i="3"/>
  <c r="C999" i="3" s="1"/>
  <c r="D1000" i="3"/>
  <c r="C1000" i="3" s="1"/>
  <c r="R1000" i="3" s="1"/>
  <c r="S1000" i="3" s="1"/>
  <c r="D1001" i="3"/>
  <c r="C1001" i="3" s="1"/>
  <c r="N1001" i="3" s="1"/>
  <c r="O1001" i="3" s="1"/>
  <c r="D1002" i="3"/>
  <c r="C1002" i="3" s="1"/>
  <c r="D1003" i="3"/>
  <c r="C1003" i="3" s="1"/>
  <c r="D1004" i="3"/>
  <c r="C1004" i="3" s="1"/>
  <c r="D1005" i="3"/>
  <c r="C1005" i="3" s="1"/>
  <c r="N1005" i="3" s="1"/>
  <c r="O1005" i="3" s="1"/>
  <c r="D1006" i="3"/>
  <c r="C1006" i="3" s="1"/>
  <c r="D1007" i="3"/>
  <c r="C1007" i="3" s="1"/>
  <c r="D1008" i="3"/>
  <c r="C1008" i="3" s="1"/>
  <c r="D1009" i="3"/>
  <c r="C1009" i="3" s="1"/>
  <c r="N1009" i="3" s="1"/>
  <c r="O1009" i="3" s="1"/>
  <c r="D1010" i="3"/>
  <c r="C1010" i="3" s="1"/>
  <c r="D1011" i="3"/>
  <c r="C1011" i="3" s="1"/>
  <c r="D1012" i="3"/>
  <c r="C1012" i="3" s="1"/>
  <c r="R1012" i="3" s="1"/>
  <c r="S1012" i="3" s="1"/>
  <c r="D1013" i="3"/>
  <c r="C1013" i="3" s="1"/>
  <c r="P1013" i="3" s="1"/>
  <c r="Q1013" i="3" s="1"/>
  <c r="D1014" i="3"/>
  <c r="C1014" i="3" s="1"/>
  <c r="D1015" i="3"/>
  <c r="C1015" i="3" s="1"/>
  <c r="D1016" i="3"/>
  <c r="C1016" i="3" s="1"/>
  <c r="R1016" i="3" s="1"/>
  <c r="S1016" i="3" s="1"/>
  <c r="D1017" i="3"/>
  <c r="C1017" i="3" s="1"/>
  <c r="D1018" i="3"/>
  <c r="C1018" i="3" s="1"/>
  <c r="D1019" i="3"/>
  <c r="C1019" i="3" s="1"/>
  <c r="D1020" i="3"/>
  <c r="C1020" i="3" s="1"/>
  <c r="D1021" i="3"/>
  <c r="C1021" i="3" s="1"/>
  <c r="N1021" i="3" s="1"/>
  <c r="O1021" i="3" s="1"/>
  <c r="D1022" i="3"/>
  <c r="C1022" i="3" s="1"/>
  <c r="D1023" i="3"/>
  <c r="C1023" i="3" s="1"/>
  <c r="D1024" i="3"/>
  <c r="C1024" i="3" s="1"/>
  <c r="D1025" i="3"/>
  <c r="C1025" i="3" s="1"/>
  <c r="D1026" i="3"/>
  <c r="C1026" i="3" s="1"/>
  <c r="D1027" i="3"/>
  <c r="C1027" i="3" s="1"/>
  <c r="D1028" i="3"/>
  <c r="C1028" i="3" s="1"/>
  <c r="R1028" i="3" s="1"/>
  <c r="S1028" i="3" s="1"/>
  <c r="D1029" i="3"/>
  <c r="C1029" i="3" s="1"/>
  <c r="T1029" i="3" s="1"/>
  <c r="D1030" i="3"/>
  <c r="C1030" i="3" s="1"/>
  <c r="D1031" i="3"/>
  <c r="C1031" i="3" s="1"/>
  <c r="D1032" i="3"/>
  <c r="C1032" i="3" s="1"/>
  <c r="R1032" i="3" s="1"/>
  <c r="S1032" i="3" s="1"/>
  <c r="D1033" i="3"/>
  <c r="C1033" i="3" s="1"/>
  <c r="D1034" i="3"/>
  <c r="C1034" i="3" s="1"/>
  <c r="D1035" i="3"/>
  <c r="C1035" i="3" s="1"/>
  <c r="D1036" i="3"/>
  <c r="C1036" i="3" s="1"/>
  <c r="D1037" i="3"/>
  <c r="C1037" i="3" s="1"/>
  <c r="N1037" i="3" s="1"/>
  <c r="O1037" i="3" s="1"/>
  <c r="D1038" i="3"/>
  <c r="C1038" i="3" s="1"/>
  <c r="D1039" i="3"/>
  <c r="C1039" i="3" s="1"/>
  <c r="D1040" i="3"/>
  <c r="C1040" i="3" s="1"/>
  <c r="D1041" i="3"/>
  <c r="C1041" i="3" s="1"/>
  <c r="D1042" i="3"/>
  <c r="C1042" i="3" s="1"/>
  <c r="D1043" i="3"/>
  <c r="C1043" i="3" s="1"/>
  <c r="D1044" i="3"/>
  <c r="C1044" i="3" s="1"/>
  <c r="R1044" i="3" s="1"/>
  <c r="S1044" i="3" s="1"/>
  <c r="D1045" i="3"/>
  <c r="C1045" i="3" s="1"/>
  <c r="T1045" i="3" s="1"/>
  <c r="D1046" i="3"/>
  <c r="C1046" i="3" s="1"/>
  <c r="D1047" i="3"/>
  <c r="C1047" i="3" s="1"/>
  <c r="D1048" i="3"/>
  <c r="C1048" i="3" s="1"/>
  <c r="R1048" i="3" s="1"/>
  <c r="S1048" i="3" s="1"/>
  <c r="D1049" i="3"/>
  <c r="C1049" i="3" s="1"/>
  <c r="N1049" i="3" s="1"/>
  <c r="O1049" i="3" s="1"/>
  <c r="D1050" i="3"/>
  <c r="C1050" i="3" s="1"/>
  <c r="D1051" i="3"/>
  <c r="C1051" i="3" s="1"/>
  <c r="D1052" i="3"/>
  <c r="C1052" i="3" s="1"/>
  <c r="D1053" i="3"/>
  <c r="C1053" i="3" s="1"/>
  <c r="N1053" i="3" s="1"/>
  <c r="O1053" i="3" s="1"/>
  <c r="D1054" i="3"/>
  <c r="C1054" i="3" s="1"/>
  <c r="D1055" i="3"/>
  <c r="C1055" i="3" s="1"/>
  <c r="D1056" i="3"/>
  <c r="C1056" i="3" s="1"/>
  <c r="D1057" i="3"/>
  <c r="C1057" i="3" s="1"/>
  <c r="N1057" i="3" s="1"/>
  <c r="O1057" i="3" s="1"/>
  <c r="D1058" i="3"/>
  <c r="C1058" i="3" s="1"/>
  <c r="D1059" i="3"/>
  <c r="C1059" i="3" s="1"/>
  <c r="D1060" i="3"/>
  <c r="C1060" i="3" s="1"/>
  <c r="R1060" i="3" s="1"/>
  <c r="S1060" i="3" s="1"/>
  <c r="D1061" i="3"/>
  <c r="C1061" i="3" s="1"/>
  <c r="P1061" i="3" s="1"/>
  <c r="Q1061" i="3" s="1"/>
  <c r="D1062" i="3"/>
  <c r="C1062" i="3" s="1"/>
  <c r="D1063" i="3"/>
  <c r="C1063" i="3" s="1"/>
  <c r="D1064" i="3"/>
  <c r="C1064" i="3" s="1"/>
  <c r="R1064" i="3" s="1"/>
  <c r="S1064" i="3" s="1"/>
  <c r="D1065" i="3"/>
  <c r="C1065" i="3" s="1"/>
  <c r="N1065" i="3" s="1"/>
  <c r="O1065" i="3" s="1"/>
  <c r="D1066" i="3"/>
  <c r="C1066" i="3" s="1"/>
  <c r="D1067" i="3"/>
  <c r="C1067" i="3" s="1"/>
  <c r="D1068" i="3"/>
  <c r="C1068" i="3" s="1"/>
  <c r="D1069" i="3"/>
  <c r="C1069" i="3" s="1"/>
  <c r="N1069" i="3" s="1"/>
  <c r="O1069" i="3" s="1"/>
  <c r="D1070" i="3"/>
  <c r="C1070" i="3" s="1"/>
  <c r="D1071" i="3"/>
  <c r="C1071" i="3" s="1"/>
  <c r="D1072" i="3"/>
  <c r="C1072" i="3" s="1"/>
  <c r="D1073" i="3"/>
  <c r="C1073" i="3" s="1"/>
  <c r="D1074" i="3"/>
  <c r="C1074" i="3" s="1"/>
  <c r="D1075" i="3"/>
  <c r="C1075" i="3" s="1"/>
  <c r="D1076" i="3"/>
  <c r="C1076" i="3" s="1"/>
  <c r="R1076" i="3" s="1"/>
  <c r="S1076" i="3" s="1"/>
  <c r="D1077" i="3"/>
  <c r="C1077" i="3" s="1"/>
  <c r="D1078" i="3"/>
  <c r="C1078" i="3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N3" i="3"/>
  <c r="O3" i="3" s="1"/>
  <c r="N4" i="3"/>
  <c r="N5" i="3"/>
  <c r="N6" i="3"/>
  <c r="O6" i="3" s="1"/>
  <c r="N7" i="3"/>
  <c r="O7" i="3" s="1"/>
  <c r="N8" i="3"/>
  <c r="O8" i="3" s="1"/>
  <c r="N9" i="3"/>
  <c r="N10" i="3"/>
  <c r="O10" i="3" s="1"/>
  <c r="N11" i="3"/>
  <c r="O11" i="3" s="1"/>
  <c r="N12" i="3"/>
  <c r="N13" i="3"/>
  <c r="N14" i="3"/>
  <c r="O14" i="3" s="1"/>
  <c r="N15" i="3"/>
  <c r="O15" i="3" s="1"/>
  <c r="N16" i="3"/>
  <c r="O16" i="3" s="1"/>
  <c r="N17" i="3"/>
  <c r="N18" i="3"/>
  <c r="O18" i="3" s="1"/>
  <c r="N19" i="3"/>
  <c r="O19" i="3" s="1"/>
  <c r="N20" i="3"/>
  <c r="N21" i="3"/>
  <c r="N22" i="3"/>
  <c r="O22" i="3" s="1"/>
  <c r="N23" i="3"/>
  <c r="O23" i="3" s="1"/>
  <c r="N24" i="3"/>
  <c r="O24" i="3" s="1"/>
  <c r="N25" i="3"/>
  <c r="N26" i="3"/>
  <c r="O26" i="3" s="1"/>
  <c r="N27" i="3"/>
  <c r="O27" i="3" s="1"/>
  <c r="N28" i="3"/>
  <c r="N29" i="3"/>
  <c r="O29" i="3" s="1"/>
  <c r="N30" i="3"/>
  <c r="O30" i="3" s="1"/>
  <c r="N31" i="3"/>
  <c r="O31" i="3" s="1"/>
  <c r="N32" i="3"/>
  <c r="N33" i="3"/>
  <c r="O33" i="3" s="1"/>
  <c r="N34" i="3"/>
  <c r="O34" i="3" s="1"/>
  <c r="N35" i="3"/>
  <c r="O35" i="3" s="1"/>
  <c r="N36" i="3"/>
  <c r="O36" i="3" s="1"/>
  <c r="N37" i="3"/>
  <c r="O37" i="3" s="1"/>
  <c r="N38" i="3"/>
  <c r="O38" i="3" s="1"/>
  <c r="N39" i="3"/>
  <c r="O39" i="3" s="1"/>
  <c r="N40" i="3"/>
  <c r="O40" i="3" s="1"/>
  <c r="N41" i="3"/>
  <c r="O41" i="3" s="1"/>
  <c r="N42" i="3"/>
  <c r="O42" i="3" s="1"/>
  <c r="N43" i="3"/>
  <c r="O43" i="3" s="1"/>
  <c r="N44" i="3"/>
  <c r="N45" i="3"/>
  <c r="O45" i="3" s="1"/>
  <c r="N46" i="3"/>
  <c r="O46" i="3" s="1"/>
  <c r="N47" i="3"/>
  <c r="O47" i="3" s="1"/>
  <c r="N48" i="3"/>
  <c r="N49" i="3"/>
  <c r="O49" i="3" s="1"/>
  <c r="N50" i="3"/>
  <c r="O50" i="3" s="1"/>
  <c r="N51" i="3"/>
  <c r="O51" i="3" s="1"/>
  <c r="N52" i="3"/>
  <c r="O52" i="3" s="1"/>
  <c r="N53" i="3"/>
  <c r="O53" i="3" s="1"/>
  <c r="N54" i="3"/>
  <c r="O54" i="3" s="1"/>
  <c r="N55" i="3"/>
  <c r="O55" i="3" s="1"/>
  <c r="N56" i="3"/>
  <c r="O56" i="3" s="1"/>
  <c r="N57" i="3"/>
  <c r="O57" i="3" s="1"/>
  <c r="N58" i="3"/>
  <c r="O58" i="3" s="1"/>
  <c r="N59" i="3"/>
  <c r="O59" i="3" s="1"/>
  <c r="N60" i="3"/>
  <c r="N61" i="3"/>
  <c r="O61" i="3" s="1"/>
  <c r="N62" i="3"/>
  <c r="O62" i="3" s="1"/>
  <c r="N63" i="3"/>
  <c r="O63" i="3" s="1"/>
  <c r="N64" i="3"/>
  <c r="N65" i="3"/>
  <c r="O65" i="3" s="1"/>
  <c r="N66" i="3"/>
  <c r="O66" i="3" s="1"/>
  <c r="N67" i="3"/>
  <c r="O67" i="3" s="1"/>
  <c r="N68" i="3"/>
  <c r="O68" i="3" s="1"/>
  <c r="N69" i="3"/>
  <c r="O69" i="3" s="1"/>
  <c r="N70" i="3"/>
  <c r="O70" i="3" s="1"/>
  <c r="N71" i="3"/>
  <c r="O71" i="3" s="1"/>
  <c r="N72" i="3"/>
  <c r="O72" i="3" s="1"/>
  <c r="N73" i="3"/>
  <c r="O73" i="3" s="1"/>
  <c r="N74" i="3"/>
  <c r="O74" i="3" s="1"/>
  <c r="N75" i="3"/>
  <c r="O75" i="3" s="1"/>
  <c r="N76" i="3"/>
  <c r="N77" i="3"/>
  <c r="O77" i="3" s="1"/>
  <c r="N78" i="3"/>
  <c r="O78" i="3" s="1"/>
  <c r="N79" i="3"/>
  <c r="O79" i="3" s="1"/>
  <c r="N80" i="3"/>
  <c r="N81" i="3"/>
  <c r="O81" i="3" s="1"/>
  <c r="N82" i="3"/>
  <c r="O82" i="3" s="1"/>
  <c r="N83" i="3"/>
  <c r="O83" i="3" s="1"/>
  <c r="N84" i="3"/>
  <c r="O84" i="3" s="1"/>
  <c r="N85" i="3"/>
  <c r="O85" i="3" s="1"/>
  <c r="N86" i="3"/>
  <c r="O86" i="3" s="1"/>
  <c r="N87" i="3"/>
  <c r="O87" i="3" s="1"/>
  <c r="N88" i="3"/>
  <c r="O88" i="3" s="1"/>
  <c r="N89" i="3"/>
  <c r="O89" i="3" s="1"/>
  <c r="N90" i="3"/>
  <c r="O90" i="3" s="1"/>
  <c r="N91" i="3"/>
  <c r="O91" i="3" s="1"/>
  <c r="N92" i="3"/>
  <c r="N93" i="3"/>
  <c r="O93" i="3" s="1"/>
  <c r="N94" i="3"/>
  <c r="O94" i="3" s="1"/>
  <c r="N95" i="3"/>
  <c r="O95" i="3" s="1"/>
  <c r="N96" i="3"/>
  <c r="N97" i="3"/>
  <c r="O97" i="3" s="1"/>
  <c r="N98" i="3"/>
  <c r="O98" i="3" s="1"/>
  <c r="N99" i="3"/>
  <c r="O99" i="3" s="1"/>
  <c r="N100" i="3"/>
  <c r="O100" i="3" s="1"/>
  <c r="N101" i="3"/>
  <c r="O101" i="3" s="1"/>
  <c r="N102" i="3"/>
  <c r="O102" i="3" s="1"/>
  <c r="N103" i="3"/>
  <c r="O103" i="3" s="1"/>
  <c r="N104" i="3"/>
  <c r="O104" i="3" s="1"/>
  <c r="N105" i="3"/>
  <c r="O105" i="3" s="1"/>
  <c r="N106" i="3"/>
  <c r="O106" i="3" s="1"/>
  <c r="N107" i="3"/>
  <c r="O107" i="3" s="1"/>
  <c r="N108" i="3"/>
  <c r="N109" i="3"/>
  <c r="O109" i="3" s="1"/>
  <c r="N110" i="3"/>
  <c r="O110" i="3" s="1"/>
  <c r="N111" i="3"/>
  <c r="O111" i="3" s="1"/>
  <c r="N112" i="3"/>
  <c r="N113" i="3"/>
  <c r="O113" i="3" s="1"/>
  <c r="N114" i="3"/>
  <c r="O114" i="3" s="1"/>
  <c r="N115" i="3"/>
  <c r="O115" i="3" s="1"/>
  <c r="N116" i="3"/>
  <c r="O116" i="3" s="1"/>
  <c r="N117" i="3"/>
  <c r="O117" i="3" s="1"/>
  <c r="N118" i="3"/>
  <c r="O118" i="3" s="1"/>
  <c r="N119" i="3"/>
  <c r="O119" i="3" s="1"/>
  <c r="N120" i="3"/>
  <c r="O120" i="3" s="1"/>
  <c r="N121" i="3"/>
  <c r="O121" i="3" s="1"/>
  <c r="N122" i="3"/>
  <c r="O122" i="3" s="1"/>
  <c r="N123" i="3"/>
  <c r="O123" i="3" s="1"/>
  <c r="N124" i="3"/>
  <c r="N125" i="3"/>
  <c r="O125" i="3" s="1"/>
  <c r="N126" i="3"/>
  <c r="O126" i="3" s="1"/>
  <c r="N127" i="3"/>
  <c r="O127" i="3" s="1"/>
  <c r="N128" i="3"/>
  <c r="N129" i="3"/>
  <c r="O129" i="3" s="1"/>
  <c r="N130" i="3"/>
  <c r="O130" i="3" s="1"/>
  <c r="N131" i="3"/>
  <c r="O131" i="3" s="1"/>
  <c r="N132" i="3"/>
  <c r="O132" i="3" s="1"/>
  <c r="N133" i="3"/>
  <c r="O133" i="3" s="1"/>
  <c r="N134" i="3"/>
  <c r="O134" i="3" s="1"/>
  <c r="N135" i="3"/>
  <c r="O135" i="3" s="1"/>
  <c r="N136" i="3"/>
  <c r="O136" i="3" s="1"/>
  <c r="N137" i="3"/>
  <c r="O137" i="3" s="1"/>
  <c r="N138" i="3"/>
  <c r="O138" i="3" s="1"/>
  <c r="N139" i="3"/>
  <c r="O139" i="3" s="1"/>
  <c r="N140" i="3"/>
  <c r="N141" i="3"/>
  <c r="O141" i="3" s="1"/>
  <c r="N142" i="3"/>
  <c r="O142" i="3" s="1"/>
  <c r="N143" i="3"/>
  <c r="O143" i="3" s="1"/>
  <c r="N144" i="3"/>
  <c r="N145" i="3"/>
  <c r="O145" i="3" s="1"/>
  <c r="N146" i="3"/>
  <c r="O146" i="3" s="1"/>
  <c r="N147" i="3"/>
  <c r="O147" i="3" s="1"/>
  <c r="N148" i="3"/>
  <c r="O148" i="3" s="1"/>
  <c r="N149" i="3"/>
  <c r="O149" i="3" s="1"/>
  <c r="N150" i="3"/>
  <c r="O150" i="3" s="1"/>
  <c r="N151" i="3"/>
  <c r="O151" i="3" s="1"/>
  <c r="N152" i="3"/>
  <c r="O152" i="3" s="1"/>
  <c r="N153" i="3"/>
  <c r="O153" i="3" s="1"/>
  <c r="N154" i="3"/>
  <c r="O154" i="3" s="1"/>
  <c r="N155" i="3"/>
  <c r="O155" i="3" s="1"/>
  <c r="N156" i="3"/>
  <c r="N157" i="3"/>
  <c r="O157" i="3" s="1"/>
  <c r="N158" i="3"/>
  <c r="O158" i="3" s="1"/>
  <c r="N159" i="3"/>
  <c r="O159" i="3" s="1"/>
  <c r="N160" i="3"/>
  <c r="N161" i="3"/>
  <c r="O161" i="3" s="1"/>
  <c r="N162" i="3"/>
  <c r="O162" i="3" s="1"/>
  <c r="N163" i="3"/>
  <c r="O163" i="3" s="1"/>
  <c r="N164" i="3"/>
  <c r="O164" i="3" s="1"/>
  <c r="N165" i="3"/>
  <c r="O165" i="3" s="1"/>
  <c r="N166" i="3"/>
  <c r="O166" i="3" s="1"/>
  <c r="N167" i="3"/>
  <c r="O167" i="3" s="1"/>
  <c r="N168" i="3"/>
  <c r="O168" i="3" s="1"/>
  <c r="N169" i="3"/>
  <c r="O169" i="3" s="1"/>
  <c r="N170" i="3"/>
  <c r="O170" i="3" s="1"/>
  <c r="N171" i="3"/>
  <c r="O171" i="3" s="1"/>
  <c r="N172" i="3"/>
  <c r="N173" i="3"/>
  <c r="O173" i="3" s="1"/>
  <c r="N174" i="3"/>
  <c r="O174" i="3" s="1"/>
  <c r="N175" i="3"/>
  <c r="O175" i="3" s="1"/>
  <c r="N176" i="3"/>
  <c r="N177" i="3"/>
  <c r="O177" i="3" s="1"/>
  <c r="N178" i="3"/>
  <c r="O178" i="3" s="1"/>
  <c r="N179" i="3"/>
  <c r="O179" i="3" s="1"/>
  <c r="N180" i="3"/>
  <c r="O180" i="3" s="1"/>
  <c r="N181" i="3"/>
  <c r="O181" i="3" s="1"/>
  <c r="N182" i="3"/>
  <c r="O182" i="3" s="1"/>
  <c r="N183" i="3"/>
  <c r="O183" i="3" s="1"/>
  <c r="N184" i="3"/>
  <c r="O184" i="3" s="1"/>
  <c r="N185" i="3"/>
  <c r="O185" i="3" s="1"/>
  <c r="N186" i="3"/>
  <c r="O186" i="3" s="1"/>
  <c r="N187" i="3"/>
  <c r="O187" i="3" s="1"/>
  <c r="N188" i="3"/>
  <c r="N189" i="3"/>
  <c r="O189" i="3" s="1"/>
  <c r="N190" i="3"/>
  <c r="O190" i="3" s="1"/>
  <c r="N191" i="3"/>
  <c r="O191" i="3" s="1"/>
  <c r="V191" i="3" s="1"/>
  <c r="N192" i="3"/>
  <c r="N193" i="3"/>
  <c r="O193" i="3" s="1"/>
  <c r="N194" i="3"/>
  <c r="O194" i="3" s="1"/>
  <c r="N195" i="3"/>
  <c r="O195" i="3" s="1"/>
  <c r="N196" i="3"/>
  <c r="O196" i="3" s="1"/>
  <c r="N197" i="3"/>
  <c r="O197" i="3" s="1"/>
  <c r="N198" i="3"/>
  <c r="O198" i="3" s="1"/>
  <c r="N199" i="3"/>
  <c r="O199" i="3" s="1"/>
  <c r="N200" i="3"/>
  <c r="O200" i="3" s="1"/>
  <c r="N201" i="3"/>
  <c r="O201" i="3" s="1"/>
  <c r="N202" i="3"/>
  <c r="O202" i="3" s="1"/>
  <c r="N203" i="3"/>
  <c r="O203" i="3" s="1"/>
  <c r="N204" i="3"/>
  <c r="N205" i="3"/>
  <c r="O205" i="3" s="1"/>
  <c r="N206" i="3"/>
  <c r="O206" i="3" s="1"/>
  <c r="N207" i="3"/>
  <c r="O207" i="3" s="1"/>
  <c r="N208" i="3"/>
  <c r="N209" i="3"/>
  <c r="O209" i="3" s="1"/>
  <c r="N210" i="3"/>
  <c r="O210" i="3" s="1"/>
  <c r="N211" i="3"/>
  <c r="O211" i="3" s="1"/>
  <c r="N212" i="3"/>
  <c r="O212" i="3" s="1"/>
  <c r="N213" i="3"/>
  <c r="O213" i="3" s="1"/>
  <c r="N214" i="3"/>
  <c r="O214" i="3" s="1"/>
  <c r="N215" i="3"/>
  <c r="O215" i="3" s="1"/>
  <c r="N216" i="3"/>
  <c r="O216" i="3" s="1"/>
  <c r="N217" i="3"/>
  <c r="O217" i="3" s="1"/>
  <c r="N218" i="3"/>
  <c r="O218" i="3" s="1"/>
  <c r="N219" i="3"/>
  <c r="O219" i="3" s="1"/>
  <c r="N220" i="3"/>
  <c r="N221" i="3"/>
  <c r="O221" i="3" s="1"/>
  <c r="N222" i="3"/>
  <c r="O222" i="3" s="1"/>
  <c r="N223" i="3"/>
  <c r="O223" i="3" s="1"/>
  <c r="N224" i="3"/>
  <c r="N225" i="3"/>
  <c r="O225" i="3" s="1"/>
  <c r="N226" i="3"/>
  <c r="O226" i="3" s="1"/>
  <c r="N227" i="3"/>
  <c r="O227" i="3" s="1"/>
  <c r="N228" i="3"/>
  <c r="O228" i="3" s="1"/>
  <c r="N229" i="3"/>
  <c r="O229" i="3" s="1"/>
  <c r="N230" i="3"/>
  <c r="O230" i="3" s="1"/>
  <c r="N231" i="3"/>
  <c r="O231" i="3" s="1"/>
  <c r="N232" i="3"/>
  <c r="O232" i="3" s="1"/>
  <c r="V232" i="3" s="1"/>
  <c r="W232" i="3" s="1"/>
  <c r="N233" i="3"/>
  <c r="O233" i="3" s="1"/>
  <c r="N234" i="3"/>
  <c r="O234" i="3" s="1"/>
  <c r="N235" i="3"/>
  <c r="O235" i="3" s="1"/>
  <c r="N236" i="3"/>
  <c r="N237" i="3"/>
  <c r="O237" i="3" s="1"/>
  <c r="N238" i="3"/>
  <c r="O238" i="3" s="1"/>
  <c r="N239" i="3"/>
  <c r="O239" i="3" s="1"/>
  <c r="N240" i="3"/>
  <c r="N241" i="3"/>
  <c r="O241" i="3" s="1"/>
  <c r="N242" i="3"/>
  <c r="O242" i="3" s="1"/>
  <c r="N243" i="3"/>
  <c r="O243" i="3" s="1"/>
  <c r="N244" i="3"/>
  <c r="O244" i="3" s="1"/>
  <c r="N245" i="3"/>
  <c r="O245" i="3" s="1"/>
  <c r="N246" i="3"/>
  <c r="O246" i="3" s="1"/>
  <c r="N247" i="3"/>
  <c r="O247" i="3" s="1"/>
  <c r="N248" i="3"/>
  <c r="O248" i="3" s="1"/>
  <c r="N249" i="3"/>
  <c r="O249" i="3" s="1"/>
  <c r="N250" i="3"/>
  <c r="O250" i="3" s="1"/>
  <c r="N251" i="3"/>
  <c r="O251" i="3" s="1"/>
  <c r="N252" i="3"/>
  <c r="N253" i="3"/>
  <c r="O253" i="3" s="1"/>
  <c r="N254" i="3"/>
  <c r="O254" i="3" s="1"/>
  <c r="N255" i="3"/>
  <c r="O255" i="3" s="1"/>
  <c r="N256" i="3"/>
  <c r="N257" i="3"/>
  <c r="O257" i="3" s="1"/>
  <c r="N258" i="3"/>
  <c r="O258" i="3" s="1"/>
  <c r="N259" i="3"/>
  <c r="O259" i="3" s="1"/>
  <c r="N260" i="3"/>
  <c r="O260" i="3" s="1"/>
  <c r="N261" i="3"/>
  <c r="O261" i="3" s="1"/>
  <c r="N262" i="3"/>
  <c r="O262" i="3" s="1"/>
  <c r="N263" i="3"/>
  <c r="O263" i="3" s="1"/>
  <c r="N264" i="3"/>
  <c r="O264" i="3" s="1"/>
  <c r="N265" i="3"/>
  <c r="O265" i="3" s="1"/>
  <c r="N266" i="3"/>
  <c r="O266" i="3" s="1"/>
  <c r="N267" i="3"/>
  <c r="O267" i="3" s="1"/>
  <c r="N268" i="3"/>
  <c r="N269" i="3"/>
  <c r="O269" i="3" s="1"/>
  <c r="N270" i="3"/>
  <c r="O270" i="3" s="1"/>
  <c r="N271" i="3"/>
  <c r="O271" i="3" s="1"/>
  <c r="N272" i="3"/>
  <c r="N273" i="3"/>
  <c r="O273" i="3" s="1"/>
  <c r="N274" i="3"/>
  <c r="O274" i="3" s="1"/>
  <c r="N275" i="3"/>
  <c r="O275" i="3" s="1"/>
  <c r="N276" i="3"/>
  <c r="O276" i="3" s="1"/>
  <c r="N277" i="3"/>
  <c r="O277" i="3" s="1"/>
  <c r="N278" i="3"/>
  <c r="O278" i="3" s="1"/>
  <c r="N279" i="3"/>
  <c r="O279" i="3" s="1"/>
  <c r="N280" i="3"/>
  <c r="O280" i="3" s="1"/>
  <c r="N281" i="3"/>
  <c r="O281" i="3" s="1"/>
  <c r="N282" i="3"/>
  <c r="O282" i="3" s="1"/>
  <c r="N283" i="3"/>
  <c r="O283" i="3" s="1"/>
  <c r="N284" i="3"/>
  <c r="N285" i="3"/>
  <c r="O285" i="3" s="1"/>
  <c r="N286" i="3"/>
  <c r="O286" i="3" s="1"/>
  <c r="N287" i="3"/>
  <c r="O287" i="3" s="1"/>
  <c r="N288" i="3"/>
  <c r="N289" i="3"/>
  <c r="O289" i="3" s="1"/>
  <c r="N290" i="3"/>
  <c r="O290" i="3" s="1"/>
  <c r="N291" i="3"/>
  <c r="O291" i="3" s="1"/>
  <c r="N292" i="3"/>
  <c r="O292" i="3" s="1"/>
  <c r="N293" i="3"/>
  <c r="O293" i="3" s="1"/>
  <c r="N294" i="3"/>
  <c r="O294" i="3" s="1"/>
  <c r="N295" i="3"/>
  <c r="O295" i="3" s="1"/>
  <c r="N296" i="3"/>
  <c r="O296" i="3" s="1"/>
  <c r="N297" i="3"/>
  <c r="O297" i="3" s="1"/>
  <c r="N298" i="3"/>
  <c r="O298" i="3" s="1"/>
  <c r="N299" i="3"/>
  <c r="O299" i="3" s="1"/>
  <c r="N300" i="3"/>
  <c r="N301" i="3"/>
  <c r="O301" i="3" s="1"/>
  <c r="N302" i="3"/>
  <c r="O302" i="3" s="1"/>
  <c r="N303" i="3"/>
  <c r="O303" i="3" s="1"/>
  <c r="N304" i="3"/>
  <c r="N305" i="3"/>
  <c r="O305" i="3" s="1"/>
  <c r="N306" i="3"/>
  <c r="O306" i="3" s="1"/>
  <c r="N307" i="3"/>
  <c r="O307" i="3" s="1"/>
  <c r="N308" i="3"/>
  <c r="O308" i="3" s="1"/>
  <c r="N309" i="3"/>
  <c r="O309" i="3" s="1"/>
  <c r="N310" i="3"/>
  <c r="O310" i="3" s="1"/>
  <c r="N311" i="3"/>
  <c r="O311" i="3" s="1"/>
  <c r="N312" i="3"/>
  <c r="O312" i="3" s="1"/>
  <c r="N313" i="3"/>
  <c r="O313" i="3" s="1"/>
  <c r="N314" i="3"/>
  <c r="O314" i="3" s="1"/>
  <c r="N315" i="3"/>
  <c r="O315" i="3" s="1"/>
  <c r="N316" i="3"/>
  <c r="N317" i="3"/>
  <c r="O317" i="3" s="1"/>
  <c r="N318" i="3"/>
  <c r="O318" i="3" s="1"/>
  <c r="N319" i="3"/>
  <c r="O319" i="3" s="1"/>
  <c r="V319" i="3" s="1"/>
  <c r="N320" i="3"/>
  <c r="N321" i="3"/>
  <c r="O321" i="3" s="1"/>
  <c r="N322" i="3"/>
  <c r="O322" i="3" s="1"/>
  <c r="N323" i="3"/>
  <c r="O323" i="3" s="1"/>
  <c r="N324" i="3"/>
  <c r="O324" i="3" s="1"/>
  <c r="N325" i="3"/>
  <c r="O325" i="3" s="1"/>
  <c r="N326" i="3"/>
  <c r="O326" i="3" s="1"/>
  <c r="N327" i="3"/>
  <c r="O327" i="3" s="1"/>
  <c r="N328" i="3"/>
  <c r="O328" i="3" s="1"/>
  <c r="N329" i="3"/>
  <c r="O329" i="3" s="1"/>
  <c r="N330" i="3"/>
  <c r="O330" i="3" s="1"/>
  <c r="N331" i="3"/>
  <c r="O331" i="3" s="1"/>
  <c r="V331" i="3" s="1"/>
  <c r="N332" i="3"/>
  <c r="N333" i="3"/>
  <c r="O333" i="3" s="1"/>
  <c r="N334" i="3"/>
  <c r="O334" i="3" s="1"/>
  <c r="N335" i="3"/>
  <c r="O335" i="3" s="1"/>
  <c r="N336" i="3"/>
  <c r="N337" i="3"/>
  <c r="O337" i="3" s="1"/>
  <c r="N338" i="3"/>
  <c r="O338" i="3" s="1"/>
  <c r="N339" i="3"/>
  <c r="O339" i="3" s="1"/>
  <c r="N340" i="3"/>
  <c r="O340" i="3" s="1"/>
  <c r="N341" i="3"/>
  <c r="O341" i="3" s="1"/>
  <c r="N342" i="3"/>
  <c r="O342" i="3" s="1"/>
  <c r="N343" i="3"/>
  <c r="O343" i="3" s="1"/>
  <c r="N344" i="3"/>
  <c r="O344" i="3" s="1"/>
  <c r="N345" i="3"/>
  <c r="O345" i="3" s="1"/>
  <c r="N346" i="3"/>
  <c r="O346" i="3" s="1"/>
  <c r="N347" i="3"/>
  <c r="O347" i="3" s="1"/>
  <c r="N348" i="3"/>
  <c r="N349" i="3"/>
  <c r="O349" i="3" s="1"/>
  <c r="N350" i="3"/>
  <c r="O350" i="3" s="1"/>
  <c r="N351" i="3"/>
  <c r="O351" i="3" s="1"/>
  <c r="N354" i="3"/>
  <c r="O354" i="3" s="1"/>
  <c r="N355" i="3"/>
  <c r="O355" i="3" s="1"/>
  <c r="N356" i="3"/>
  <c r="O356" i="3" s="1"/>
  <c r="N358" i="3"/>
  <c r="O358" i="3" s="1"/>
  <c r="N359" i="3"/>
  <c r="O359" i="3" s="1"/>
  <c r="N360" i="3"/>
  <c r="O360" i="3" s="1"/>
  <c r="V360" i="3" s="1"/>
  <c r="W360" i="3" s="1"/>
  <c r="N362" i="3"/>
  <c r="O362" i="3" s="1"/>
  <c r="N363" i="3"/>
  <c r="O363" i="3" s="1"/>
  <c r="N364" i="3"/>
  <c r="N366" i="3"/>
  <c r="O366" i="3" s="1"/>
  <c r="N367" i="3"/>
  <c r="O367" i="3" s="1"/>
  <c r="N370" i="3"/>
  <c r="O370" i="3" s="1"/>
  <c r="N371" i="3"/>
  <c r="O371" i="3" s="1"/>
  <c r="N372" i="3"/>
  <c r="O372" i="3" s="1"/>
  <c r="N373" i="3"/>
  <c r="O373" i="3" s="1"/>
  <c r="N374" i="3"/>
  <c r="O374" i="3" s="1"/>
  <c r="N375" i="3"/>
  <c r="O375" i="3" s="1"/>
  <c r="N376" i="3"/>
  <c r="O376" i="3" s="1"/>
  <c r="N377" i="3"/>
  <c r="O377" i="3" s="1"/>
  <c r="N378" i="3"/>
  <c r="O378" i="3" s="1"/>
  <c r="N379" i="3"/>
  <c r="O379" i="3" s="1"/>
  <c r="N380" i="3"/>
  <c r="O380" i="3" s="1"/>
  <c r="N381" i="3"/>
  <c r="O381" i="3" s="1"/>
  <c r="N382" i="3"/>
  <c r="O382" i="3" s="1"/>
  <c r="N383" i="3"/>
  <c r="O383" i="3" s="1"/>
  <c r="N385" i="3"/>
  <c r="O385" i="3" s="1"/>
  <c r="N386" i="3"/>
  <c r="O386" i="3" s="1"/>
  <c r="N387" i="3"/>
  <c r="O387" i="3" s="1"/>
  <c r="N388" i="3"/>
  <c r="O388" i="3" s="1"/>
  <c r="N389" i="3"/>
  <c r="O389" i="3" s="1"/>
  <c r="N390" i="3"/>
  <c r="O390" i="3" s="1"/>
  <c r="N391" i="3"/>
  <c r="O391" i="3" s="1"/>
  <c r="N392" i="3"/>
  <c r="O392" i="3" s="1"/>
  <c r="N393" i="3"/>
  <c r="O393" i="3" s="1"/>
  <c r="N394" i="3"/>
  <c r="O394" i="3" s="1"/>
  <c r="N395" i="3"/>
  <c r="O395" i="3" s="1"/>
  <c r="N396" i="3"/>
  <c r="O396" i="3" s="1"/>
  <c r="N397" i="3"/>
  <c r="O397" i="3" s="1"/>
  <c r="N398" i="3"/>
  <c r="O398" i="3" s="1"/>
  <c r="N399" i="3"/>
  <c r="O399" i="3" s="1"/>
  <c r="N402" i="3"/>
  <c r="O402" i="3" s="1"/>
  <c r="N403" i="3"/>
  <c r="O403" i="3" s="1"/>
  <c r="N404" i="3"/>
  <c r="O404" i="3" s="1"/>
  <c r="N406" i="3"/>
  <c r="O406" i="3" s="1"/>
  <c r="N407" i="3"/>
  <c r="O407" i="3" s="1"/>
  <c r="N408" i="3"/>
  <c r="O408" i="3" s="1"/>
  <c r="N410" i="3"/>
  <c r="O410" i="3" s="1"/>
  <c r="N411" i="3"/>
  <c r="O411" i="3" s="1"/>
  <c r="N412" i="3"/>
  <c r="N414" i="3"/>
  <c r="O414" i="3" s="1"/>
  <c r="N415" i="3"/>
  <c r="O415" i="3" s="1"/>
  <c r="N418" i="3"/>
  <c r="O418" i="3" s="1"/>
  <c r="N419" i="3"/>
  <c r="O419" i="3" s="1"/>
  <c r="N420" i="3"/>
  <c r="O420" i="3" s="1"/>
  <c r="N422" i="3"/>
  <c r="O422" i="3" s="1"/>
  <c r="N423" i="3"/>
  <c r="O423" i="3" s="1"/>
  <c r="N424" i="3"/>
  <c r="O424" i="3" s="1"/>
  <c r="N426" i="3"/>
  <c r="O426" i="3" s="1"/>
  <c r="N427" i="3"/>
  <c r="O427" i="3" s="1"/>
  <c r="N428" i="3"/>
  <c r="O428" i="3" s="1"/>
  <c r="N430" i="3"/>
  <c r="O430" i="3" s="1"/>
  <c r="N431" i="3"/>
  <c r="O431" i="3" s="1"/>
  <c r="N434" i="3"/>
  <c r="O434" i="3" s="1"/>
  <c r="N435" i="3"/>
  <c r="O435" i="3" s="1"/>
  <c r="N436" i="3"/>
  <c r="O436" i="3" s="1"/>
  <c r="N438" i="3"/>
  <c r="O438" i="3" s="1"/>
  <c r="N439" i="3"/>
  <c r="O439" i="3" s="1"/>
  <c r="N440" i="3"/>
  <c r="O440" i="3" s="1"/>
  <c r="N442" i="3"/>
  <c r="O442" i="3" s="1"/>
  <c r="N443" i="3"/>
  <c r="O443" i="3" s="1"/>
  <c r="N444" i="3"/>
  <c r="O444" i="3" s="1"/>
  <c r="N446" i="3"/>
  <c r="O446" i="3" s="1"/>
  <c r="N447" i="3"/>
  <c r="O447" i="3" s="1"/>
  <c r="N450" i="3"/>
  <c r="O450" i="3" s="1"/>
  <c r="N451" i="3"/>
  <c r="O451" i="3" s="1"/>
  <c r="N452" i="3"/>
  <c r="O452" i="3" s="1"/>
  <c r="V452" i="3" s="1"/>
  <c r="N454" i="3"/>
  <c r="O454" i="3" s="1"/>
  <c r="N455" i="3"/>
  <c r="O455" i="3" s="1"/>
  <c r="N456" i="3"/>
  <c r="O456" i="3" s="1"/>
  <c r="N458" i="3"/>
  <c r="O458" i="3" s="1"/>
  <c r="N459" i="3"/>
  <c r="O459" i="3" s="1"/>
  <c r="N460" i="3"/>
  <c r="O460" i="3" s="1"/>
  <c r="N462" i="3"/>
  <c r="O462" i="3" s="1"/>
  <c r="N463" i="3"/>
  <c r="O463" i="3" s="1"/>
  <c r="N464" i="3"/>
  <c r="O464" i="3" s="1"/>
  <c r="N466" i="3"/>
  <c r="O466" i="3" s="1"/>
  <c r="N467" i="3"/>
  <c r="O467" i="3" s="1"/>
  <c r="N468" i="3"/>
  <c r="O468" i="3" s="1"/>
  <c r="N470" i="3"/>
  <c r="O470" i="3" s="1"/>
  <c r="N471" i="3"/>
  <c r="O471" i="3" s="1"/>
  <c r="N472" i="3"/>
  <c r="O472" i="3" s="1"/>
  <c r="N474" i="3"/>
  <c r="O474" i="3" s="1"/>
  <c r="V474" i="3" s="1"/>
  <c r="N475" i="3"/>
  <c r="O475" i="3" s="1"/>
  <c r="N476" i="3"/>
  <c r="O476" i="3" s="1"/>
  <c r="N478" i="3"/>
  <c r="O478" i="3" s="1"/>
  <c r="N479" i="3"/>
  <c r="O479" i="3" s="1"/>
  <c r="N480" i="3"/>
  <c r="O480" i="3" s="1"/>
  <c r="N482" i="3"/>
  <c r="O482" i="3" s="1"/>
  <c r="N483" i="3"/>
  <c r="O483" i="3" s="1"/>
  <c r="N484" i="3"/>
  <c r="O484" i="3" s="1"/>
  <c r="N486" i="3"/>
  <c r="O486" i="3" s="1"/>
  <c r="N487" i="3"/>
  <c r="O487" i="3" s="1"/>
  <c r="N488" i="3"/>
  <c r="O488" i="3" s="1"/>
  <c r="N490" i="3"/>
  <c r="O490" i="3" s="1"/>
  <c r="V490" i="3" s="1"/>
  <c r="N491" i="3"/>
  <c r="O491" i="3" s="1"/>
  <c r="N492" i="3"/>
  <c r="O492" i="3" s="1"/>
  <c r="N494" i="3"/>
  <c r="O494" i="3" s="1"/>
  <c r="N495" i="3"/>
  <c r="O495" i="3" s="1"/>
  <c r="N496" i="3"/>
  <c r="O496" i="3" s="1"/>
  <c r="N498" i="3"/>
  <c r="O498" i="3" s="1"/>
  <c r="N499" i="3"/>
  <c r="O499" i="3" s="1"/>
  <c r="N500" i="3"/>
  <c r="O500" i="3" s="1"/>
  <c r="N502" i="3"/>
  <c r="O502" i="3" s="1"/>
  <c r="N503" i="3"/>
  <c r="O503" i="3" s="1"/>
  <c r="N504" i="3"/>
  <c r="O504" i="3" s="1"/>
  <c r="N506" i="3"/>
  <c r="O506" i="3" s="1"/>
  <c r="N507" i="3"/>
  <c r="O507" i="3" s="1"/>
  <c r="N510" i="3"/>
  <c r="O510" i="3" s="1"/>
  <c r="N511" i="3"/>
  <c r="O511" i="3" s="1"/>
  <c r="N514" i="3"/>
  <c r="O514" i="3" s="1"/>
  <c r="N515" i="3"/>
  <c r="O515" i="3" s="1"/>
  <c r="N516" i="3"/>
  <c r="O516" i="3" s="1"/>
  <c r="N518" i="3"/>
  <c r="O518" i="3" s="1"/>
  <c r="N519" i="3"/>
  <c r="O519" i="3" s="1"/>
  <c r="N522" i="3"/>
  <c r="O522" i="3" s="1"/>
  <c r="N523" i="3"/>
  <c r="O523" i="3" s="1"/>
  <c r="N526" i="3"/>
  <c r="O526" i="3" s="1"/>
  <c r="N527" i="3"/>
  <c r="O527" i="3" s="1"/>
  <c r="N530" i="3"/>
  <c r="O530" i="3" s="1"/>
  <c r="N531" i="3"/>
  <c r="O531" i="3" s="1"/>
  <c r="N534" i="3"/>
  <c r="O534" i="3" s="1"/>
  <c r="N535" i="3"/>
  <c r="O535" i="3" s="1"/>
  <c r="N538" i="3"/>
  <c r="O538" i="3" s="1"/>
  <c r="N539" i="3"/>
  <c r="O539" i="3" s="1"/>
  <c r="N542" i="3"/>
  <c r="O542" i="3" s="1"/>
  <c r="N543" i="3"/>
  <c r="O543" i="3" s="1"/>
  <c r="N546" i="3"/>
  <c r="O546" i="3" s="1"/>
  <c r="N547" i="3"/>
  <c r="O547" i="3" s="1"/>
  <c r="N550" i="3"/>
  <c r="O550" i="3" s="1"/>
  <c r="N551" i="3"/>
  <c r="O551" i="3" s="1"/>
  <c r="N554" i="3"/>
  <c r="O554" i="3" s="1"/>
  <c r="N555" i="3"/>
  <c r="O555" i="3" s="1"/>
  <c r="N558" i="3"/>
  <c r="O558" i="3" s="1"/>
  <c r="N559" i="3"/>
  <c r="O559" i="3" s="1"/>
  <c r="N562" i="3"/>
  <c r="O562" i="3" s="1"/>
  <c r="N563" i="3"/>
  <c r="O563" i="3" s="1"/>
  <c r="N566" i="3"/>
  <c r="O566" i="3" s="1"/>
  <c r="N567" i="3"/>
  <c r="O567" i="3" s="1"/>
  <c r="N570" i="3"/>
  <c r="O570" i="3" s="1"/>
  <c r="N571" i="3"/>
  <c r="O571" i="3" s="1"/>
  <c r="N574" i="3"/>
  <c r="O574" i="3" s="1"/>
  <c r="N575" i="3"/>
  <c r="O575" i="3" s="1"/>
  <c r="N578" i="3"/>
  <c r="O578" i="3" s="1"/>
  <c r="N579" i="3"/>
  <c r="O579" i="3" s="1"/>
  <c r="N580" i="3"/>
  <c r="O580" i="3" s="1"/>
  <c r="N582" i="3"/>
  <c r="O582" i="3" s="1"/>
  <c r="N583" i="3"/>
  <c r="O583" i="3" s="1"/>
  <c r="N586" i="3"/>
  <c r="O586" i="3" s="1"/>
  <c r="N587" i="3"/>
  <c r="O587" i="3" s="1"/>
  <c r="N590" i="3"/>
  <c r="O590" i="3" s="1"/>
  <c r="N591" i="3"/>
  <c r="O591" i="3" s="1"/>
  <c r="N594" i="3"/>
  <c r="O594" i="3" s="1"/>
  <c r="N595" i="3"/>
  <c r="O595" i="3" s="1"/>
  <c r="N598" i="3"/>
  <c r="O598" i="3" s="1"/>
  <c r="N599" i="3"/>
  <c r="O599" i="3" s="1"/>
  <c r="N602" i="3"/>
  <c r="O602" i="3" s="1"/>
  <c r="N603" i="3"/>
  <c r="O603" i="3" s="1"/>
  <c r="N606" i="3"/>
  <c r="O606" i="3" s="1"/>
  <c r="N607" i="3"/>
  <c r="O607" i="3" s="1"/>
  <c r="N610" i="3"/>
  <c r="O610" i="3" s="1"/>
  <c r="N611" i="3"/>
  <c r="O611" i="3" s="1"/>
  <c r="N614" i="3"/>
  <c r="O614" i="3" s="1"/>
  <c r="N615" i="3"/>
  <c r="O615" i="3" s="1"/>
  <c r="N618" i="3"/>
  <c r="O618" i="3" s="1"/>
  <c r="N619" i="3"/>
  <c r="O619" i="3" s="1"/>
  <c r="N622" i="3"/>
  <c r="O622" i="3" s="1"/>
  <c r="N623" i="3"/>
  <c r="N626" i="3"/>
  <c r="O626" i="3" s="1"/>
  <c r="N627" i="3"/>
  <c r="O627" i="3" s="1"/>
  <c r="N630" i="3"/>
  <c r="O630" i="3" s="1"/>
  <c r="N631" i="3"/>
  <c r="O631" i="3" s="1"/>
  <c r="N634" i="3"/>
  <c r="O634" i="3" s="1"/>
  <c r="N635" i="3"/>
  <c r="O635" i="3" s="1"/>
  <c r="N638" i="3"/>
  <c r="O638" i="3" s="1"/>
  <c r="N639" i="3"/>
  <c r="O639" i="3" s="1"/>
  <c r="N642" i="3"/>
  <c r="O642" i="3" s="1"/>
  <c r="N643" i="3"/>
  <c r="O643" i="3" s="1"/>
  <c r="N646" i="3"/>
  <c r="O646" i="3" s="1"/>
  <c r="N647" i="3"/>
  <c r="O647" i="3" s="1"/>
  <c r="N650" i="3"/>
  <c r="O650" i="3" s="1"/>
  <c r="N651" i="3"/>
  <c r="O651" i="3" s="1"/>
  <c r="N654" i="3"/>
  <c r="O654" i="3" s="1"/>
  <c r="N655" i="3"/>
  <c r="O655" i="3" s="1"/>
  <c r="N658" i="3"/>
  <c r="O658" i="3" s="1"/>
  <c r="N659" i="3"/>
  <c r="O659" i="3" s="1"/>
  <c r="N662" i="3"/>
  <c r="O662" i="3" s="1"/>
  <c r="N663" i="3"/>
  <c r="O663" i="3" s="1"/>
  <c r="N666" i="3"/>
  <c r="O666" i="3" s="1"/>
  <c r="N667" i="3"/>
  <c r="O667" i="3" s="1"/>
  <c r="N670" i="3"/>
  <c r="O670" i="3" s="1"/>
  <c r="N671" i="3"/>
  <c r="O671" i="3" s="1"/>
  <c r="N674" i="3"/>
  <c r="O674" i="3" s="1"/>
  <c r="N675" i="3"/>
  <c r="O675" i="3" s="1"/>
  <c r="N678" i="3"/>
  <c r="O678" i="3" s="1"/>
  <c r="N679" i="3"/>
  <c r="O679" i="3" s="1"/>
  <c r="N682" i="3"/>
  <c r="O682" i="3" s="1"/>
  <c r="N683" i="3"/>
  <c r="O683" i="3" s="1"/>
  <c r="N686" i="3"/>
  <c r="O686" i="3" s="1"/>
  <c r="N687" i="3"/>
  <c r="O687" i="3" s="1"/>
  <c r="N690" i="3"/>
  <c r="O690" i="3" s="1"/>
  <c r="N691" i="3"/>
  <c r="O691" i="3" s="1"/>
  <c r="N694" i="3"/>
  <c r="O694" i="3" s="1"/>
  <c r="N695" i="3"/>
  <c r="O695" i="3" s="1"/>
  <c r="N698" i="3"/>
  <c r="O698" i="3" s="1"/>
  <c r="N699" i="3"/>
  <c r="O699" i="3" s="1"/>
  <c r="N702" i="3"/>
  <c r="O702" i="3" s="1"/>
  <c r="N703" i="3"/>
  <c r="O703" i="3" s="1"/>
  <c r="N706" i="3"/>
  <c r="O706" i="3" s="1"/>
  <c r="N707" i="3"/>
  <c r="O707" i="3" s="1"/>
  <c r="N710" i="3"/>
  <c r="O710" i="3" s="1"/>
  <c r="N711" i="3"/>
  <c r="O711" i="3" s="1"/>
  <c r="N714" i="3"/>
  <c r="O714" i="3" s="1"/>
  <c r="N715" i="3"/>
  <c r="O715" i="3" s="1"/>
  <c r="N718" i="3"/>
  <c r="O718" i="3" s="1"/>
  <c r="N719" i="3"/>
  <c r="O719" i="3" s="1"/>
  <c r="N722" i="3"/>
  <c r="O722" i="3" s="1"/>
  <c r="N723" i="3"/>
  <c r="O723" i="3" s="1"/>
  <c r="N726" i="3"/>
  <c r="O726" i="3" s="1"/>
  <c r="N727" i="3"/>
  <c r="O727" i="3" s="1"/>
  <c r="N730" i="3"/>
  <c r="O730" i="3" s="1"/>
  <c r="N731" i="3"/>
  <c r="O731" i="3" s="1"/>
  <c r="N734" i="3"/>
  <c r="O734" i="3" s="1"/>
  <c r="N735" i="3"/>
  <c r="O735" i="3" s="1"/>
  <c r="N738" i="3"/>
  <c r="O738" i="3" s="1"/>
  <c r="N739" i="3"/>
  <c r="O739" i="3" s="1"/>
  <c r="N742" i="3"/>
  <c r="O742" i="3" s="1"/>
  <c r="N743" i="3"/>
  <c r="O743" i="3" s="1"/>
  <c r="N746" i="3"/>
  <c r="O746" i="3" s="1"/>
  <c r="N747" i="3"/>
  <c r="O747" i="3" s="1"/>
  <c r="N750" i="3"/>
  <c r="O750" i="3" s="1"/>
  <c r="N751" i="3"/>
  <c r="O751" i="3" s="1"/>
  <c r="N754" i="3"/>
  <c r="O754" i="3" s="1"/>
  <c r="N755" i="3"/>
  <c r="O755" i="3" s="1"/>
  <c r="N758" i="3"/>
  <c r="O758" i="3" s="1"/>
  <c r="N759" i="3"/>
  <c r="O759" i="3" s="1"/>
  <c r="N762" i="3"/>
  <c r="O762" i="3" s="1"/>
  <c r="N763" i="3"/>
  <c r="O763" i="3" s="1"/>
  <c r="N766" i="3"/>
  <c r="O766" i="3" s="1"/>
  <c r="N767" i="3"/>
  <c r="O767" i="3" s="1"/>
  <c r="N770" i="3"/>
  <c r="O770" i="3" s="1"/>
  <c r="N771" i="3"/>
  <c r="O771" i="3" s="1"/>
  <c r="N774" i="3"/>
  <c r="O774" i="3" s="1"/>
  <c r="N775" i="3"/>
  <c r="O775" i="3" s="1"/>
  <c r="N778" i="3"/>
  <c r="O778" i="3" s="1"/>
  <c r="N779" i="3"/>
  <c r="O779" i="3" s="1"/>
  <c r="N782" i="3"/>
  <c r="O782" i="3" s="1"/>
  <c r="N783" i="3"/>
  <c r="O783" i="3" s="1"/>
  <c r="N786" i="3"/>
  <c r="O786" i="3" s="1"/>
  <c r="N787" i="3"/>
  <c r="O787" i="3" s="1"/>
  <c r="N790" i="3"/>
  <c r="O790" i="3" s="1"/>
  <c r="N791" i="3"/>
  <c r="O791" i="3" s="1"/>
  <c r="N794" i="3"/>
  <c r="O794" i="3" s="1"/>
  <c r="N795" i="3"/>
  <c r="O795" i="3" s="1"/>
  <c r="N798" i="3"/>
  <c r="O798" i="3" s="1"/>
  <c r="N799" i="3"/>
  <c r="O799" i="3" s="1"/>
  <c r="N802" i="3"/>
  <c r="O802" i="3" s="1"/>
  <c r="N803" i="3"/>
  <c r="O803" i="3" s="1"/>
  <c r="N806" i="3"/>
  <c r="O806" i="3" s="1"/>
  <c r="N807" i="3"/>
  <c r="O807" i="3" s="1"/>
  <c r="N810" i="3"/>
  <c r="O810" i="3" s="1"/>
  <c r="N811" i="3"/>
  <c r="O811" i="3" s="1"/>
  <c r="N814" i="3"/>
  <c r="O814" i="3" s="1"/>
  <c r="N815" i="3"/>
  <c r="O815" i="3" s="1"/>
  <c r="N818" i="3"/>
  <c r="O818" i="3" s="1"/>
  <c r="N819" i="3"/>
  <c r="O819" i="3" s="1"/>
  <c r="N822" i="3"/>
  <c r="O822" i="3" s="1"/>
  <c r="N823" i="3"/>
  <c r="O823" i="3" s="1"/>
  <c r="N826" i="3"/>
  <c r="O826" i="3" s="1"/>
  <c r="N827" i="3"/>
  <c r="O827" i="3" s="1"/>
  <c r="N830" i="3"/>
  <c r="O830" i="3" s="1"/>
  <c r="N831" i="3"/>
  <c r="O831" i="3" s="1"/>
  <c r="N834" i="3"/>
  <c r="O834" i="3" s="1"/>
  <c r="N835" i="3"/>
  <c r="O835" i="3" s="1"/>
  <c r="N838" i="3"/>
  <c r="O838" i="3" s="1"/>
  <c r="N839" i="3"/>
  <c r="O839" i="3" s="1"/>
  <c r="N842" i="3"/>
  <c r="O842" i="3" s="1"/>
  <c r="N843" i="3"/>
  <c r="O843" i="3" s="1"/>
  <c r="N846" i="3"/>
  <c r="O846" i="3" s="1"/>
  <c r="N847" i="3"/>
  <c r="O847" i="3" s="1"/>
  <c r="N850" i="3"/>
  <c r="O850" i="3" s="1"/>
  <c r="N851" i="3"/>
  <c r="O851" i="3" s="1"/>
  <c r="N854" i="3"/>
  <c r="O854" i="3" s="1"/>
  <c r="N855" i="3"/>
  <c r="O855" i="3" s="1"/>
  <c r="N858" i="3"/>
  <c r="O858" i="3" s="1"/>
  <c r="N859" i="3"/>
  <c r="O859" i="3" s="1"/>
  <c r="N862" i="3"/>
  <c r="O862" i="3" s="1"/>
  <c r="N863" i="3"/>
  <c r="O863" i="3" s="1"/>
  <c r="N866" i="3"/>
  <c r="O866" i="3" s="1"/>
  <c r="N867" i="3"/>
  <c r="O867" i="3" s="1"/>
  <c r="N870" i="3"/>
  <c r="O870" i="3" s="1"/>
  <c r="N871" i="3"/>
  <c r="O871" i="3" s="1"/>
  <c r="N874" i="3"/>
  <c r="O874" i="3" s="1"/>
  <c r="N875" i="3"/>
  <c r="O875" i="3" s="1"/>
  <c r="N878" i="3"/>
  <c r="O878" i="3" s="1"/>
  <c r="N879" i="3"/>
  <c r="O879" i="3" s="1"/>
  <c r="N882" i="3"/>
  <c r="O882" i="3" s="1"/>
  <c r="N883" i="3"/>
  <c r="O883" i="3" s="1"/>
  <c r="N886" i="3"/>
  <c r="O886" i="3" s="1"/>
  <c r="N887" i="3"/>
  <c r="O887" i="3" s="1"/>
  <c r="N890" i="3"/>
  <c r="O890" i="3" s="1"/>
  <c r="N891" i="3"/>
  <c r="O891" i="3" s="1"/>
  <c r="N894" i="3"/>
  <c r="O894" i="3" s="1"/>
  <c r="N895" i="3"/>
  <c r="O895" i="3" s="1"/>
  <c r="N898" i="3"/>
  <c r="O898" i="3" s="1"/>
  <c r="N899" i="3"/>
  <c r="O899" i="3" s="1"/>
  <c r="N902" i="3"/>
  <c r="O902" i="3" s="1"/>
  <c r="N903" i="3"/>
  <c r="O903" i="3" s="1"/>
  <c r="N906" i="3"/>
  <c r="O906" i="3" s="1"/>
  <c r="N907" i="3"/>
  <c r="O907" i="3" s="1"/>
  <c r="N910" i="3"/>
  <c r="O910" i="3" s="1"/>
  <c r="N911" i="3"/>
  <c r="O911" i="3" s="1"/>
  <c r="N914" i="3"/>
  <c r="O914" i="3" s="1"/>
  <c r="N915" i="3"/>
  <c r="O915" i="3" s="1"/>
  <c r="N918" i="3"/>
  <c r="O918" i="3" s="1"/>
  <c r="N919" i="3"/>
  <c r="O919" i="3" s="1"/>
  <c r="N922" i="3"/>
  <c r="O922" i="3" s="1"/>
  <c r="N923" i="3"/>
  <c r="O923" i="3" s="1"/>
  <c r="N926" i="3"/>
  <c r="O926" i="3" s="1"/>
  <c r="N927" i="3"/>
  <c r="O927" i="3" s="1"/>
  <c r="N930" i="3"/>
  <c r="O930" i="3" s="1"/>
  <c r="N931" i="3"/>
  <c r="O931" i="3" s="1"/>
  <c r="N934" i="3"/>
  <c r="O934" i="3" s="1"/>
  <c r="N935" i="3"/>
  <c r="O935" i="3" s="1"/>
  <c r="N938" i="3"/>
  <c r="O938" i="3" s="1"/>
  <c r="V938" i="3" s="1"/>
  <c r="N939" i="3"/>
  <c r="O939" i="3" s="1"/>
  <c r="N942" i="3"/>
  <c r="O942" i="3" s="1"/>
  <c r="N943" i="3"/>
  <c r="O943" i="3" s="1"/>
  <c r="N946" i="3"/>
  <c r="O946" i="3" s="1"/>
  <c r="N947" i="3"/>
  <c r="O947" i="3" s="1"/>
  <c r="N950" i="3"/>
  <c r="O950" i="3" s="1"/>
  <c r="N951" i="3"/>
  <c r="O951" i="3" s="1"/>
  <c r="N954" i="3"/>
  <c r="O954" i="3" s="1"/>
  <c r="N955" i="3"/>
  <c r="O955" i="3" s="1"/>
  <c r="N958" i="3"/>
  <c r="O958" i="3" s="1"/>
  <c r="N959" i="3"/>
  <c r="O959" i="3" s="1"/>
  <c r="N962" i="3"/>
  <c r="O962" i="3" s="1"/>
  <c r="N963" i="3"/>
  <c r="O963" i="3" s="1"/>
  <c r="N966" i="3"/>
  <c r="O966" i="3" s="1"/>
  <c r="N967" i="3"/>
  <c r="O967" i="3" s="1"/>
  <c r="N970" i="3"/>
  <c r="O970" i="3" s="1"/>
  <c r="N971" i="3"/>
  <c r="O971" i="3" s="1"/>
  <c r="N974" i="3"/>
  <c r="O974" i="3" s="1"/>
  <c r="N975" i="3"/>
  <c r="O975" i="3" s="1"/>
  <c r="N978" i="3"/>
  <c r="O978" i="3" s="1"/>
  <c r="N979" i="3"/>
  <c r="O979" i="3" s="1"/>
  <c r="N982" i="3"/>
  <c r="O982" i="3" s="1"/>
  <c r="N983" i="3"/>
  <c r="O983" i="3" s="1"/>
  <c r="N986" i="3"/>
  <c r="O986" i="3" s="1"/>
  <c r="N987" i="3"/>
  <c r="O987" i="3" s="1"/>
  <c r="N990" i="3"/>
  <c r="O990" i="3" s="1"/>
  <c r="N991" i="3"/>
  <c r="O991" i="3" s="1"/>
  <c r="N994" i="3"/>
  <c r="O994" i="3" s="1"/>
  <c r="N995" i="3"/>
  <c r="O995" i="3" s="1"/>
  <c r="N998" i="3"/>
  <c r="O998" i="3" s="1"/>
  <c r="N999" i="3"/>
  <c r="O999" i="3" s="1"/>
  <c r="N1002" i="3"/>
  <c r="O1002" i="3" s="1"/>
  <c r="V1002" i="3" s="1"/>
  <c r="N1003" i="3"/>
  <c r="O1003" i="3" s="1"/>
  <c r="N1006" i="3"/>
  <c r="O1006" i="3" s="1"/>
  <c r="N1007" i="3"/>
  <c r="O1007" i="3" s="1"/>
  <c r="N1010" i="3"/>
  <c r="O1010" i="3" s="1"/>
  <c r="N1011" i="3"/>
  <c r="O1011" i="3" s="1"/>
  <c r="N1014" i="3"/>
  <c r="O1014" i="3" s="1"/>
  <c r="N1015" i="3"/>
  <c r="O1015" i="3" s="1"/>
  <c r="N1018" i="3"/>
  <c r="O1018" i="3" s="1"/>
  <c r="N1019" i="3"/>
  <c r="O1019" i="3" s="1"/>
  <c r="N1022" i="3"/>
  <c r="O1022" i="3" s="1"/>
  <c r="N1023" i="3"/>
  <c r="O1023" i="3" s="1"/>
  <c r="N1026" i="3"/>
  <c r="O1026" i="3" s="1"/>
  <c r="N1027" i="3"/>
  <c r="O1027" i="3" s="1"/>
  <c r="N1030" i="3"/>
  <c r="O1030" i="3" s="1"/>
  <c r="N1031" i="3"/>
  <c r="O1031" i="3" s="1"/>
  <c r="N1034" i="3"/>
  <c r="O1034" i="3" s="1"/>
  <c r="N1035" i="3"/>
  <c r="O1035" i="3" s="1"/>
  <c r="N1038" i="3"/>
  <c r="O1038" i="3" s="1"/>
  <c r="N1039" i="3"/>
  <c r="O1039" i="3" s="1"/>
  <c r="N1042" i="3"/>
  <c r="O1042" i="3" s="1"/>
  <c r="N1043" i="3"/>
  <c r="O1043" i="3" s="1"/>
  <c r="N1046" i="3"/>
  <c r="O1046" i="3" s="1"/>
  <c r="N1047" i="3"/>
  <c r="O1047" i="3" s="1"/>
  <c r="N1050" i="3"/>
  <c r="O1050" i="3" s="1"/>
  <c r="N1051" i="3"/>
  <c r="O1051" i="3" s="1"/>
  <c r="N1054" i="3"/>
  <c r="O1054" i="3" s="1"/>
  <c r="N1055" i="3"/>
  <c r="O1055" i="3" s="1"/>
  <c r="N1058" i="3"/>
  <c r="O1058" i="3" s="1"/>
  <c r="N1059" i="3"/>
  <c r="O1059" i="3" s="1"/>
  <c r="N1062" i="3"/>
  <c r="O1062" i="3" s="1"/>
  <c r="N1063" i="3"/>
  <c r="O1063" i="3" s="1"/>
  <c r="N1066" i="3"/>
  <c r="O1066" i="3" s="1"/>
  <c r="N1067" i="3"/>
  <c r="O1067" i="3" s="1"/>
  <c r="N1070" i="3"/>
  <c r="O1070" i="3" s="1"/>
  <c r="N1071" i="3"/>
  <c r="O1071" i="3" s="1"/>
  <c r="N1074" i="3"/>
  <c r="O1074" i="3" s="1"/>
  <c r="N1075" i="3"/>
  <c r="O1075" i="3" s="1"/>
  <c r="N1078" i="3"/>
  <c r="O1078" i="3" s="1"/>
  <c r="O4" i="3"/>
  <c r="O5" i="3"/>
  <c r="O9" i="3"/>
  <c r="O12" i="3"/>
  <c r="O13" i="3"/>
  <c r="O17" i="3"/>
  <c r="O20" i="3"/>
  <c r="O21" i="3"/>
  <c r="O25" i="3"/>
  <c r="O28" i="3"/>
  <c r="O32" i="3"/>
  <c r="O44" i="3"/>
  <c r="O48" i="3"/>
  <c r="O60" i="3"/>
  <c r="O64" i="3"/>
  <c r="O76" i="3"/>
  <c r="O80" i="3"/>
  <c r="O92" i="3"/>
  <c r="O96" i="3"/>
  <c r="O108" i="3"/>
  <c r="O112" i="3"/>
  <c r="O124" i="3"/>
  <c r="O128" i="3"/>
  <c r="O140" i="3"/>
  <c r="O144" i="3"/>
  <c r="O156" i="3"/>
  <c r="O160" i="3"/>
  <c r="O172" i="3"/>
  <c r="O176" i="3"/>
  <c r="O188" i="3"/>
  <c r="O192" i="3"/>
  <c r="O204" i="3"/>
  <c r="O208" i="3"/>
  <c r="O220" i="3"/>
  <c r="O224" i="3"/>
  <c r="O236" i="3"/>
  <c r="O240" i="3"/>
  <c r="O252" i="3"/>
  <c r="O256" i="3"/>
  <c r="O268" i="3"/>
  <c r="O272" i="3"/>
  <c r="O284" i="3"/>
  <c r="O288" i="3"/>
  <c r="O300" i="3"/>
  <c r="O304" i="3"/>
  <c r="O316" i="3"/>
  <c r="O320" i="3"/>
  <c r="O332" i="3"/>
  <c r="O336" i="3"/>
  <c r="O348" i="3"/>
  <c r="O352" i="3"/>
  <c r="O364" i="3"/>
  <c r="O368" i="3"/>
  <c r="O384" i="3"/>
  <c r="O400" i="3"/>
  <c r="O412" i="3"/>
  <c r="O416" i="3"/>
  <c r="O432" i="3"/>
  <c r="O623" i="3"/>
  <c r="P3" i="3"/>
  <c r="Q3" i="3" s="1"/>
  <c r="P4" i="3"/>
  <c r="Q4" i="3" s="1"/>
  <c r="P5" i="3"/>
  <c r="Q5" i="3" s="1"/>
  <c r="P6" i="3"/>
  <c r="Q6" i="3" s="1"/>
  <c r="P7" i="3"/>
  <c r="Q7" i="3" s="1"/>
  <c r="P8" i="3"/>
  <c r="Q8" i="3" s="1"/>
  <c r="P9" i="3"/>
  <c r="Q9" i="3" s="1"/>
  <c r="P10" i="3"/>
  <c r="Q10" i="3" s="1"/>
  <c r="P11" i="3"/>
  <c r="Q11" i="3" s="1"/>
  <c r="P12" i="3"/>
  <c r="Q12" i="3" s="1"/>
  <c r="P13" i="3"/>
  <c r="Q13" i="3" s="1"/>
  <c r="P14" i="3"/>
  <c r="Q14" i="3" s="1"/>
  <c r="P15" i="3"/>
  <c r="Q15" i="3" s="1"/>
  <c r="P16" i="3"/>
  <c r="Q16" i="3" s="1"/>
  <c r="P17" i="3"/>
  <c r="Q17" i="3" s="1"/>
  <c r="P18" i="3"/>
  <c r="Q18" i="3" s="1"/>
  <c r="P19" i="3"/>
  <c r="Q19" i="3" s="1"/>
  <c r="P20" i="3"/>
  <c r="Q20" i="3" s="1"/>
  <c r="P21" i="3"/>
  <c r="Q21" i="3" s="1"/>
  <c r="P22" i="3"/>
  <c r="Q22" i="3" s="1"/>
  <c r="P23" i="3"/>
  <c r="Q23" i="3" s="1"/>
  <c r="P24" i="3"/>
  <c r="Q24" i="3" s="1"/>
  <c r="P25" i="3"/>
  <c r="Q25" i="3" s="1"/>
  <c r="P26" i="3"/>
  <c r="P27" i="3"/>
  <c r="Q27" i="3" s="1"/>
  <c r="P28" i="3"/>
  <c r="Q28" i="3" s="1"/>
  <c r="P29" i="3"/>
  <c r="Q29" i="3" s="1"/>
  <c r="P30" i="3"/>
  <c r="Q30" i="3" s="1"/>
  <c r="P31" i="3"/>
  <c r="Q31" i="3" s="1"/>
  <c r="P32" i="3"/>
  <c r="Q32" i="3" s="1"/>
  <c r="P33" i="3"/>
  <c r="Q33" i="3" s="1"/>
  <c r="P34" i="3"/>
  <c r="Q34" i="3" s="1"/>
  <c r="P35" i="3"/>
  <c r="Q35" i="3" s="1"/>
  <c r="P36" i="3"/>
  <c r="Q36" i="3" s="1"/>
  <c r="P37" i="3"/>
  <c r="Q37" i="3" s="1"/>
  <c r="P38" i="3"/>
  <c r="Q38" i="3" s="1"/>
  <c r="P39" i="3"/>
  <c r="Q39" i="3" s="1"/>
  <c r="P40" i="3"/>
  <c r="Q40" i="3" s="1"/>
  <c r="P41" i="3"/>
  <c r="Q41" i="3" s="1"/>
  <c r="P42" i="3"/>
  <c r="P43" i="3"/>
  <c r="Q43" i="3" s="1"/>
  <c r="P44" i="3"/>
  <c r="Q44" i="3" s="1"/>
  <c r="P45" i="3"/>
  <c r="Q45" i="3" s="1"/>
  <c r="P46" i="3"/>
  <c r="Q46" i="3" s="1"/>
  <c r="P47" i="3"/>
  <c r="Q47" i="3" s="1"/>
  <c r="P48" i="3"/>
  <c r="Q48" i="3" s="1"/>
  <c r="P49" i="3"/>
  <c r="Q49" i="3" s="1"/>
  <c r="P50" i="3"/>
  <c r="Q50" i="3" s="1"/>
  <c r="P51" i="3"/>
  <c r="Q51" i="3" s="1"/>
  <c r="P52" i="3"/>
  <c r="Q52" i="3" s="1"/>
  <c r="P53" i="3"/>
  <c r="Q53" i="3" s="1"/>
  <c r="P54" i="3"/>
  <c r="Q54" i="3" s="1"/>
  <c r="P55" i="3"/>
  <c r="Q55" i="3" s="1"/>
  <c r="P56" i="3"/>
  <c r="Q56" i="3" s="1"/>
  <c r="P57" i="3"/>
  <c r="Q57" i="3" s="1"/>
  <c r="P58" i="3"/>
  <c r="Q58" i="3" s="1"/>
  <c r="P59" i="3"/>
  <c r="Q59" i="3" s="1"/>
  <c r="P60" i="3"/>
  <c r="Q60" i="3" s="1"/>
  <c r="P61" i="3"/>
  <c r="Q61" i="3" s="1"/>
  <c r="P62" i="3"/>
  <c r="Q62" i="3" s="1"/>
  <c r="P63" i="3"/>
  <c r="Q63" i="3" s="1"/>
  <c r="P64" i="3"/>
  <c r="Q64" i="3" s="1"/>
  <c r="P65" i="3"/>
  <c r="Q65" i="3" s="1"/>
  <c r="P66" i="3"/>
  <c r="Q66" i="3" s="1"/>
  <c r="P67" i="3"/>
  <c r="Q67" i="3" s="1"/>
  <c r="P68" i="3"/>
  <c r="Q68" i="3" s="1"/>
  <c r="P69" i="3"/>
  <c r="Q69" i="3" s="1"/>
  <c r="P70" i="3"/>
  <c r="Q70" i="3" s="1"/>
  <c r="P71" i="3"/>
  <c r="Q71" i="3" s="1"/>
  <c r="P72" i="3"/>
  <c r="Q72" i="3" s="1"/>
  <c r="P73" i="3"/>
  <c r="Q73" i="3" s="1"/>
  <c r="P74" i="3"/>
  <c r="Q74" i="3" s="1"/>
  <c r="P75" i="3"/>
  <c r="Q75" i="3" s="1"/>
  <c r="P76" i="3"/>
  <c r="Q76" i="3" s="1"/>
  <c r="P77" i="3"/>
  <c r="Q77" i="3" s="1"/>
  <c r="P78" i="3"/>
  <c r="Q78" i="3" s="1"/>
  <c r="P79" i="3"/>
  <c r="Q79" i="3" s="1"/>
  <c r="P80" i="3"/>
  <c r="Q80" i="3" s="1"/>
  <c r="P81" i="3"/>
  <c r="Q81" i="3" s="1"/>
  <c r="P82" i="3"/>
  <c r="Q82" i="3" s="1"/>
  <c r="P83" i="3"/>
  <c r="Q83" i="3" s="1"/>
  <c r="P84" i="3"/>
  <c r="Q84" i="3" s="1"/>
  <c r="P85" i="3"/>
  <c r="Q85" i="3" s="1"/>
  <c r="P86" i="3"/>
  <c r="Q86" i="3" s="1"/>
  <c r="P87" i="3"/>
  <c r="Q87" i="3" s="1"/>
  <c r="P88" i="3"/>
  <c r="Q88" i="3" s="1"/>
  <c r="P89" i="3"/>
  <c r="Q89" i="3" s="1"/>
  <c r="P90" i="3"/>
  <c r="P91" i="3"/>
  <c r="Q91" i="3" s="1"/>
  <c r="P92" i="3"/>
  <c r="P93" i="3"/>
  <c r="Q93" i="3" s="1"/>
  <c r="P94" i="3"/>
  <c r="Q94" i="3" s="1"/>
  <c r="P95" i="3"/>
  <c r="Q95" i="3" s="1"/>
  <c r="P96" i="3"/>
  <c r="Q96" i="3" s="1"/>
  <c r="P97" i="3"/>
  <c r="Q97" i="3" s="1"/>
  <c r="P98" i="3"/>
  <c r="Q98" i="3" s="1"/>
  <c r="P99" i="3"/>
  <c r="Q99" i="3" s="1"/>
  <c r="P100" i="3"/>
  <c r="Q100" i="3" s="1"/>
  <c r="P101" i="3"/>
  <c r="Q101" i="3" s="1"/>
  <c r="P102" i="3"/>
  <c r="Q102" i="3" s="1"/>
  <c r="P103" i="3"/>
  <c r="Q103" i="3" s="1"/>
  <c r="P104" i="3"/>
  <c r="Q104" i="3" s="1"/>
  <c r="P105" i="3"/>
  <c r="Q105" i="3" s="1"/>
  <c r="P106" i="3"/>
  <c r="Q106" i="3" s="1"/>
  <c r="P107" i="3"/>
  <c r="Q107" i="3" s="1"/>
  <c r="P108" i="3"/>
  <c r="Q108" i="3" s="1"/>
  <c r="P109" i="3"/>
  <c r="Q109" i="3" s="1"/>
  <c r="P110" i="3"/>
  <c r="Q110" i="3" s="1"/>
  <c r="P111" i="3"/>
  <c r="Q111" i="3" s="1"/>
  <c r="P112" i="3"/>
  <c r="P113" i="3"/>
  <c r="Q113" i="3" s="1"/>
  <c r="P114" i="3"/>
  <c r="Q114" i="3" s="1"/>
  <c r="P115" i="3"/>
  <c r="Q115" i="3" s="1"/>
  <c r="P116" i="3"/>
  <c r="Q116" i="3" s="1"/>
  <c r="P117" i="3"/>
  <c r="Q117" i="3" s="1"/>
  <c r="P118" i="3"/>
  <c r="Q118" i="3" s="1"/>
  <c r="P119" i="3"/>
  <c r="Q119" i="3" s="1"/>
  <c r="P120" i="3"/>
  <c r="Q120" i="3" s="1"/>
  <c r="P121" i="3"/>
  <c r="Q121" i="3" s="1"/>
  <c r="P122" i="3"/>
  <c r="Q122" i="3" s="1"/>
  <c r="P123" i="3"/>
  <c r="Q123" i="3" s="1"/>
  <c r="P124" i="3"/>
  <c r="Q124" i="3" s="1"/>
  <c r="P125" i="3"/>
  <c r="Q125" i="3" s="1"/>
  <c r="P126" i="3"/>
  <c r="P127" i="3"/>
  <c r="Q127" i="3" s="1"/>
  <c r="P128" i="3"/>
  <c r="P129" i="3"/>
  <c r="Q129" i="3" s="1"/>
  <c r="P130" i="3"/>
  <c r="Q130" i="3" s="1"/>
  <c r="P131" i="3"/>
  <c r="Q131" i="3" s="1"/>
  <c r="P132" i="3"/>
  <c r="P133" i="3"/>
  <c r="Q133" i="3" s="1"/>
  <c r="P134" i="3"/>
  <c r="Q134" i="3" s="1"/>
  <c r="P135" i="3"/>
  <c r="Q135" i="3" s="1"/>
  <c r="P136" i="3"/>
  <c r="Q136" i="3" s="1"/>
  <c r="P137" i="3"/>
  <c r="Q137" i="3" s="1"/>
  <c r="P138" i="3"/>
  <c r="Q138" i="3" s="1"/>
  <c r="P139" i="3"/>
  <c r="Q139" i="3" s="1"/>
  <c r="P140" i="3"/>
  <c r="Q140" i="3" s="1"/>
  <c r="P141" i="3"/>
  <c r="Q141" i="3" s="1"/>
  <c r="P142" i="3"/>
  <c r="Q142" i="3" s="1"/>
  <c r="P143" i="3"/>
  <c r="Q143" i="3" s="1"/>
  <c r="P144" i="3"/>
  <c r="Q144" i="3" s="1"/>
  <c r="P145" i="3"/>
  <c r="Q145" i="3" s="1"/>
  <c r="P146" i="3"/>
  <c r="Q146" i="3" s="1"/>
  <c r="P147" i="3"/>
  <c r="Q147" i="3" s="1"/>
  <c r="P148" i="3"/>
  <c r="Q148" i="3" s="1"/>
  <c r="P149" i="3"/>
  <c r="Q149" i="3" s="1"/>
  <c r="P150" i="3"/>
  <c r="Q150" i="3" s="1"/>
  <c r="P151" i="3"/>
  <c r="Q151" i="3" s="1"/>
  <c r="P152" i="3"/>
  <c r="Q152" i="3" s="1"/>
  <c r="P153" i="3"/>
  <c r="Q153" i="3" s="1"/>
  <c r="P154" i="3"/>
  <c r="Q154" i="3" s="1"/>
  <c r="P155" i="3"/>
  <c r="Q155" i="3" s="1"/>
  <c r="P156" i="3"/>
  <c r="Q156" i="3" s="1"/>
  <c r="P157" i="3"/>
  <c r="Q157" i="3" s="1"/>
  <c r="P158" i="3"/>
  <c r="Q158" i="3" s="1"/>
  <c r="P159" i="3"/>
  <c r="Q159" i="3" s="1"/>
  <c r="P160" i="3"/>
  <c r="Q160" i="3" s="1"/>
  <c r="P161" i="3"/>
  <c r="Q161" i="3" s="1"/>
  <c r="P162" i="3"/>
  <c r="Q162" i="3" s="1"/>
  <c r="P163" i="3"/>
  <c r="Q163" i="3" s="1"/>
  <c r="P164" i="3"/>
  <c r="Q164" i="3" s="1"/>
  <c r="P165" i="3"/>
  <c r="Q165" i="3" s="1"/>
  <c r="P166" i="3"/>
  <c r="P167" i="3"/>
  <c r="Q167" i="3" s="1"/>
  <c r="P168" i="3"/>
  <c r="Q168" i="3" s="1"/>
  <c r="P169" i="3"/>
  <c r="Q169" i="3" s="1"/>
  <c r="P170" i="3"/>
  <c r="P171" i="3"/>
  <c r="Q171" i="3" s="1"/>
  <c r="P172" i="3"/>
  <c r="Q172" i="3" s="1"/>
  <c r="P173" i="3"/>
  <c r="Q173" i="3" s="1"/>
  <c r="P174" i="3"/>
  <c r="Q174" i="3" s="1"/>
  <c r="P175" i="3"/>
  <c r="Q175" i="3" s="1"/>
  <c r="P176" i="3"/>
  <c r="Q176" i="3" s="1"/>
  <c r="P177" i="3"/>
  <c r="Q177" i="3" s="1"/>
  <c r="P178" i="3"/>
  <c r="Q178" i="3" s="1"/>
  <c r="P179" i="3"/>
  <c r="Q179" i="3" s="1"/>
  <c r="P180" i="3"/>
  <c r="Q180" i="3" s="1"/>
  <c r="P181" i="3"/>
  <c r="Q181" i="3" s="1"/>
  <c r="P182" i="3"/>
  <c r="Q182" i="3" s="1"/>
  <c r="P183" i="3"/>
  <c r="Q183" i="3" s="1"/>
  <c r="P184" i="3"/>
  <c r="Q184" i="3" s="1"/>
  <c r="P185" i="3"/>
  <c r="Q185" i="3" s="1"/>
  <c r="P186" i="3"/>
  <c r="Q186" i="3" s="1"/>
  <c r="P187" i="3"/>
  <c r="Q187" i="3" s="1"/>
  <c r="P188" i="3"/>
  <c r="Q188" i="3" s="1"/>
  <c r="P189" i="3"/>
  <c r="Q189" i="3" s="1"/>
  <c r="P190" i="3"/>
  <c r="Q190" i="3" s="1"/>
  <c r="P191" i="3"/>
  <c r="Q191" i="3" s="1"/>
  <c r="P192" i="3"/>
  <c r="Q192" i="3" s="1"/>
  <c r="P193" i="3"/>
  <c r="Q193" i="3" s="1"/>
  <c r="P194" i="3"/>
  <c r="Q194" i="3" s="1"/>
  <c r="P195" i="3"/>
  <c r="Q195" i="3" s="1"/>
  <c r="P196" i="3"/>
  <c r="Q196" i="3" s="1"/>
  <c r="P197" i="3"/>
  <c r="Q197" i="3" s="1"/>
  <c r="P198" i="3"/>
  <c r="Q198" i="3" s="1"/>
  <c r="P199" i="3"/>
  <c r="Q199" i="3" s="1"/>
  <c r="P200" i="3"/>
  <c r="Q200" i="3" s="1"/>
  <c r="P201" i="3"/>
  <c r="Q201" i="3" s="1"/>
  <c r="P202" i="3"/>
  <c r="Q202" i="3" s="1"/>
  <c r="P203" i="3"/>
  <c r="Q203" i="3" s="1"/>
  <c r="P204" i="3"/>
  <c r="Q204" i="3" s="1"/>
  <c r="P205" i="3"/>
  <c r="Q205" i="3" s="1"/>
  <c r="P206" i="3"/>
  <c r="Q206" i="3" s="1"/>
  <c r="P207" i="3"/>
  <c r="Q207" i="3" s="1"/>
  <c r="P208" i="3"/>
  <c r="Q208" i="3" s="1"/>
  <c r="P209" i="3"/>
  <c r="Q209" i="3" s="1"/>
  <c r="P210" i="3"/>
  <c r="Q210" i="3" s="1"/>
  <c r="P211" i="3"/>
  <c r="Q211" i="3" s="1"/>
  <c r="P212" i="3"/>
  <c r="P213" i="3"/>
  <c r="Q213" i="3" s="1"/>
  <c r="P214" i="3"/>
  <c r="Q214" i="3" s="1"/>
  <c r="P215" i="3"/>
  <c r="Q215" i="3" s="1"/>
  <c r="P216" i="3"/>
  <c r="Q216" i="3" s="1"/>
  <c r="P217" i="3"/>
  <c r="Q217" i="3" s="1"/>
  <c r="P218" i="3"/>
  <c r="Q218" i="3" s="1"/>
  <c r="P219" i="3"/>
  <c r="Q219" i="3" s="1"/>
  <c r="P220" i="3"/>
  <c r="Q220" i="3" s="1"/>
  <c r="P221" i="3"/>
  <c r="Q221" i="3" s="1"/>
  <c r="P222" i="3"/>
  <c r="Q222" i="3" s="1"/>
  <c r="P223" i="3"/>
  <c r="Q223" i="3" s="1"/>
  <c r="P224" i="3"/>
  <c r="Q224" i="3" s="1"/>
  <c r="P225" i="3"/>
  <c r="Q225" i="3" s="1"/>
  <c r="P226" i="3"/>
  <c r="Q226" i="3" s="1"/>
  <c r="P227" i="3"/>
  <c r="Q227" i="3" s="1"/>
  <c r="P228" i="3"/>
  <c r="Q228" i="3" s="1"/>
  <c r="P229" i="3"/>
  <c r="Q229" i="3" s="1"/>
  <c r="P230" i="3"/>
  <c r="Q230" i="3" s="1"/>
  <c r="P231" i="3"/>
  <c r="Q231" i="3" s="1"/>
  <c r="P232" i="3"/>
  <c r="Q232" i="3" s="1"/>
  <c r="P233" i="3"/>
  <c r="Q233" i="3" s="1"/>
  <c r="P234" i="3"/>
  <c r="P235" i="3"/>
  <c r="Q235" i="3" s="1"/>
  <c r="P236" i="3"/>
  <c r="Q236" i="3" s="1"/>
  <c r="P237" i="3"/>
  <c r="Q237" i="3" s="1"/>
  <c r="P238" i="3"/>
  <c r="Q238" i="3" s="1"/>
  <c r="P239" i="3"/>
  <c r="Q239" i="3" s="1"/>
  <c r="P240" i="3"/>
  <c r="Q240" i="3" s="1"/>
  <c r="P241" i="3"/>
  <c r="Q241" i="3" s="1"/>
  <c r="P242" i="3"/>
  <c r="Q242" i="3" s="1"/>
  <c r="P243" i="3"/>
  <c r="Q243" i="3" s="1"/>
  <c r="P244" i="3"/>
  <c r="Q244" i="3" s="1"/>
  <c r="P245" i="3"/>
  <c r="Q245" i="3" s="1"/>
  <c r="P246" i="3"/>
  <c r="Q246" i="3" s="1"/>
  <c r="P247" i="3"/>
  <c r="Q247" i="3" s="1"/>
  <c r="P248" i="3"/>
  <c r="Q248" i="3" s="1"/>
  <c r="P249" i="3"/>
  <c r="Q249" i="3" s="1"/>
  <c r="P250" i="3"/>
  <c r="Q250" i="3" s="1"/>
  <c r="P251" i="3"/>
  <c r="Q251" i="3" s="1"/>
  <c r="P252" i="3"/>
  <c r="Q252" i="3" s="1"/>
  <c r="P253" i="3"/>
  <c r="Q253" i="3" s="1"/>
  <c r="P254" i="3"/>
  <c r="Q254" i="3" s="1"/>
  <c r="P255" i="3"/>
  <c r="Q255" i="3" s="1"/>
  <c r="P256" i="3"/>
  <c r="Q256" i="3" s="1"/>
  <c r="P257" i="3"/>
  <c r="Q257" i="3" s="1"/>
  <c r="P258" i="3"/>
  <c r="Q258" i="3" s="1"/>
  <c r="P259" i="3"/>
  <c r="Q259" i="3" s="1"/>
  <c r="P260" i="3"/>
  <c r="Q260" i="3" s="1"/>
  <c r="P261" i="3"/>
  <c r="Q261" i="3" s="1"/>
  <c r="P262" i="3"/>
  <c r="Q262" i="3" s="1"/>
  <c r="P263" i="3"/>
  <c r="Q263" i="3" s="1"/>
  <c r="P264" i="3"/>
  <c r="Q264" i="3" s="1"/>
  <c r="P265" i="3"/>
  <c r="Q265" i="3" s="1"/>
  <c r="P266" i="3"/>
  <c r="Q266" i="3" s="1"/>
  <c r="P267" i="3"/>
  <c r="Q267" i="3" s="1"/>
  <c r="P268" i="3"/>
  <c r="Q268" i="3" s="1"/>
  <c r="P269" i="3"/>
  <c r="Q269" i="3" s="1"/>
  <c r="P270" i="3"/>
  <c r="Q270" i="3" s="1"/>
  <c r="P271" i="3"/>
  <c r="Q271" i="3" s="1"/>
  <c r="P272" i="3"/>
  <c r="Q272" i="3" s="1"/>
  <c r="P273" i="3"/>
  <c r="Q273" i="3" s="1"/>
  <c r="P274" i="3"/>
  <c r="Q274" i="3" s="1"/>
  <c r="P275" i="3"/>
  <c r="Q275" i="3" s="1"/>
  <c r="P276" i="3"/>
  <c r="Q276" i="3" s="1"/>
  <c r="P277" i="3"/>
  <c r="Q277" i="3" s="1"/>
  <c r="P278" i="3"/>
  <c r="Q278" i="3" s="1"/>
  <c r="P279" i="3"/>
  <c r="Q279" i="3" s="1"/>
  <c r="P280" i="3"/>
  <c r="Q280" i="3" s="1"/>
  <c r="P281" i="3"/>
  <c r="Q281" i="3" s="1"/>
  <c r="P282" i="3"/>
  <c r="P283" i="3"/>
  <c r="Q283" i="3" s="1"/>
  <c r="P284" i="3"/>
  <c r="Q284" i="3" s="1"/>
  <c r="P285" i="3"/>
  <c r="Q285" i="3" s="1"/>
  <c r="P286" i="3"/>
  <c r="P287" i="3"/>
  <c r="Q287" i="3" s="1"/>
  <c r="P288" i="3"/>
  <c r="Q288" i="3" s="1"/>
  <c r="P289" i="3"/>
  <c r="Q289" i="3" s="1"/>
  <c r="P290" i="3"/>
  <c r="Q290" i="3" s="1"/>
  <c r="P291" i="3"/>
  <c r="Q291" i="3" s="1"/>
  <c r="P292" i="3"/>
  <c r="Q292" i="3" s="1"/>
  <c r="P293" i="3"/>
  <c r="Q293" i="3" s="1"/>
  <c r="P294" i="3"/>
  <c r="Q294" i="3" s="1"/>
  <c r="P295" i="3"/>
  <c r="Q295" i="3" s="1"/>
  <c r="P296" i="3"/>
  <c r="P297" i="3"/>
  <c r="Q297" i="3" s="1"/>
  <c r="P298" i="3"/>
  <c r="Q298" i="3" s="1"/>
  <c r="P299" i="3"/>
  <c r="Q299" i="3" s="1"/>
  <c r="P300" i="3"/>
  <c r="Q300" i="3" s="1"/>
  <c r="P301" i="3"/>
  <c r="Q301" i="3" s="1"/>
  <c r="P302" i="3"/>
  <c r="Q302" i="3" s="1"/>
  <c r="P303" i="3"/>
  <c r="Q303" i="3" s="1"/>
  <c r="P304" i="3"/>
  <c r="Q304" i="3" s="1"/>
  <c r="P305" i="3"/>
  <c r="Q305" i="3" s="1"/>
  <c r="P306" i="3"/>
  <c r="Q306" i="3" s="1"/>
  <c r="P307" i="3"/>
  <c r="Q307" i="3" s="1"/>
  <c r="P308" i="3"/>
  <c r="Q308" i="3" s="1"/>
  <c r="P309" i="3"/>
  <c r="Q309" i="3" s="1"/>
  <c r="P310" i="3"/>
  <c r="Q310" i="3" s="1"/>
  <c r="P311" i="3"/>
  <c r="Q311" i="3" s="1"/>
  <c r="P312" i="3"/>
  <c r="Q312" i="3" s="1"/>
  <c r="P313" i="3"/>
  <c r="Q313" i="3" s="1"/>
  <c r="P314" i="3"/>
  <c r="P315" i="3"/>
  <c r="Q315" i="3" s="1"/>
  <c r="P316" i="3"/>
  <c r="Q316" i="3" s="1"/>
  <c r="P317" i="3"/>
  <c r="Q317" i="3" s="1"/>
  <c r="P318" i="3"/>
  <c r="Q318" i="3" s="1"/>
  <c r="P319" i="3"/>
  <c r="Q319" i="3" s="1"/>
  <c r="P320" i="3"/>
  <c r="P321" i="3"/>
  <c r="Q321" i="3" s="1"/>
  <c r="P322" i="3"/>
  <c r="Q322" i="3" s="1"/>
  <c r="P323" i="3"/>
  <c r="Q323" i="3" s="1"/>
  <c r="P324" i="3"/>
  <c r="Q324" i="3" s="1"/>
  <c r="P325" i="3"/>
  <c r="Q325" i="3" s="1"/>
  <c r="P326" i="3"/>
  <c r="Q326" i="3" s="1"/>
  <c r="P327" i="3"/>
  <c r="Q327" i="3" s="1"/>
  <c r="P328" i="3"/>
  <c r="Q328" i="3" s="1"/>
  <c r="P329" i="3"/>
  <c r="Q329" i="3" s="1"/>
  <c r="P330" i="3"/>
  <c r="Q330" i="3" s="1"/>
  <c r="P331" i="3"/>
  <c r="Q331" i="3" s="1"/>
  <c r="P332" i="3"/>
  <c r="Q332" i="3" s="1"/>
  <c r="P333" i="3"/>
  <c r="Q333" i="3" s="1"/>
  <c r="P334" i="3"/>
  <c r="Q334" i="3" s="1"/>
  <c r="P335" i="3"/>
  <c r="Q335" i="3" s="1"/>
  <c r="P336" i="3"/>
  <c r="Q336" i="3" s="1"/>
  <c r="P337" i="3"/>
  <c r="Q337" i="3" s="1"/>
  <c r="P338" i="3"/>
  <c r="Q338" i="3" s="1"/>
  <c r="P339" i="3"/>
  <c r="Q339" i="3" s="1"/>
  <c r="P340" i="3"/>
  <c r="Q340" i="3" s="1"/>
  <c r="P341" i="3"/>
  <c r="Q341" i="3" s="1"/>
  <c r="P342" i="3"/>
  <c r="Q342" i="3" s="1"/>
  <c r="P343" i="3"/>
  <c r="Q343" i="3" s="1"/>
  <c r="P344" i="3"/>
  <c r="Q344" i="3" s="1"/>
  <c r="P345" i="3"/>
  <c r="Q345" i="3" s="1"/>
  <c r="P346" i="3"/>
  <c r="Q346" i="3" s="1"/>
  <c r="P347" i="3"/>
  <c r="Q347" i="3" s="1"/>
  <c r="P348" i="3"/>
  <c r="Q348" i="3" s="1"/>
  <c r="P349" i="3"/>
  <c r="Q349" i="3" s="1"/>
  <c r="P350" i="3"/>
  <c r="Q350" i="3" s="1"/>
  <c r="P351" i="3"/>
  <c r="Q351" i="3" s="1"/>
  <c r="P352" i="3"/>
  <c r="Q352" i="3" s="1"/>
  <c r="P353" i="3"/>
  <c r="Q353" i="3" s="1"/>
  <c r="P354" i="3"/>
  <c r="Q354" i="3" s="1"/>
  <c r="P355" i="3"/>
  <c r="Q355" i="3" s="1"/>
  <c r="P356" i="3"/>
  <c r="Q356" i="3" s="1"/>
  <c r="P357" i="3"/>
  <c r="Q357" i="3" s="1"/>
  <c r="P358" i="3"/>
  <c r="Q358" i="3" s="1"/>
  <c r="P359" i="3"/>
  <c r="Q359" i="3" s="1"/>
  <c r="P360" i="3"/>
  <c r="Q360" i="3" s="1"/>
  <c r="P362" i="3"/>
  <c r="Q362" i="3" s="1"/>
  <c r="P363" i="3"/>
  <c r="Q363" i="3" s="1"/>
  <c r="P364" i="3"/>
  <c r="Q364" i="3" s="1"/>
  <c r="P366" i="3"/>
  <c r="P367" i="3"/>
  <c r="Q367" i="3" s="1"/>
  <c r="P368" i="3"/>
  <c r="Q368" i="3" s="1"/>
  <c r="P370" i="3"/>
  <c r="Q370" i="3" s="1"/>
  <c r="P371" i="3"/>
  <c r="Q371" i="3" s="1"/>
  <c r="P372" i="3"/>
  <c r="P374" i="3"/>
  <c r="Q374" i="3" s="1"/>
  <c r="P375" i="3"/>
  <c r="Q375" i="3" s="1"/>
  <c r="P376" i="3"/>
  <c r="Q376" i="3" s="1"/>
  <c r="P378" i="3"/>
  <c r="Q378" i="3" s="1"/>
  <c r="P379" i="3"/>
  <c r="Q379" i="3" s="1"/>
  <c r="P380" i="3"/>
  <c r="Q380" i="3" s="1"/>
  <c r="P382" i="3"/>
  <c r="Q382" i="3" s="1"/>
  <c r="P383" i="3"/>
  <c r="Q383" i="3" s="1"/>
  <c r="P384" i="3"/>
  <c r="Q384" i="3" s="1"/>
  <c r="P386" i="3"/>
  <c r="Q386" i="3" s="1"/>
  <c r="P387" i="3"/>
  <c r="Q387" i="3" s="1"/>
  <c r="P388" i="3"/>
  <c r="Q388" i="3" s="1"/>
  <c r="P390" i="3"/>
  <c r="Q390" i="3" s="1"/>
  <c r="P391" i="3"/>
  <c r="Q391" i="3" s="1"/>
  <c r="P392" i="3"/>
  <c r="P394" i="3"/>
  <c r="Q394" i="3" s="1"/>
  <c r="P395" i="3"/>
  <c r="Q395" i="3" s="1"/>
  <c r="P396" i="3"/>
  <c r="Q396" i="3" s="1"/>
  <c r="P398" i="3"/>
  <c r="Q398" i="3" s="1"/>
  <c r="P399" i="3"/>
  <c r="Q399" i="3" s="1"/>
  <c r="P400" i="3"/>
  <c r="P402" i="3"/>
  <c r="Q402" i="3" s="1"/>
  <c r="P403" i="3"/>
  <c r="Q403" i="3" s="1"/>
  <c r="P404" i="3"/>
  <c r="Q404" i="3" s="1"/>
  <c r="P406" i="3"/>
  <c r="Q406" i="3" s="1"/>
  <c r="P407" i="3"/>
  <c r="Q407" i="3" s="1"/>
  <c r="P408" i="3"/>
  <c r="Q408" i="3" s="1"/>
  <c r="P410" i="3"/>
  <c r="Q410" i="3" s="1"/>
  <c r="P411" i="3"/>
  <c r="Q411" i="3" s="1"/>
  <c r="P412" i="3"/>
  <c r="Q412" i="3" s="1"/>
  <c r="P414" i="3"/>
  <c r="Q414" i="3" s="1"/>
  <c r="P415" i="3"/>
  <c r="Q415" i="3" s="1"/>
  <c r="P416" i="3"/>
  <c r="Q416" i="3" s="1"/>
  <c r="P418" i="3"/>
  <c r="Q418" i="3" s="1"/>
  <c r="P419" i="3"/>
  <c r="Q419" i="3" s="1"/>
  <c r="P420" i="3"/>
  <c r="Q420" i="3" s="1"/>
  <c r="P422" i="3"/>
  <c r="Q422" i="3" s="1"/>
  <c r="P423" i="3"/>
  <c r="Q423" i="3" s="1"/>
  <c r="P424" i="3"/>
  <c r="Q424" i="3" s="1"/>
  <c r="P426" i="3"/>
  <c r="Q426" i="3" s="1"/>
  <c r="P427" i="3"/>
  <c r="Q427" i="3" s="1"/>
  <c r="P428" i="3"/>
  <c r="Q428" i="3" s="1"/>
  <c r="P430" i="3"/>
  <c r="P431" i="3"/>
  <c r="Q431" i="3" s="1"/>
  <c r="P432" i="3"/>
  <c r="Q432" i="3" s="1"/>
  <c r="P434" i="3"/>
  <c r="Q434" i="3" s="1"/>
  <c r="P435" i="3"/>
  <c r="Q435" i="3" s="1"/>
  <c r="P436" i="3"/>
  <c r="Q436" i="3" s="1"/>
  <c r="P438" i="3"/>
  <c r="Q438" i="3" s="1"/>
  <c r="P439" i="3"/>
  <c r="Q439" i="3" s="1"/>
  <c r="P440" i="3"/>
  <c r="Q440" i="3" s="1"/>
  <c r="P442" i="3"/>
  <c r="Q442" i="3" s="1"/>
  <c r="P443" i="3"/>
  <c r="Q443" i="3" s="1"/>
  <c r="P444" i="3"/>
  <c r="Q444" i="3" s="1"/>
  <c r="P446" i="3"/>
  <c r="Q446" i="3" s="1"/>
  <c r="P447" i="3"/>
  <c r="Q447" i="3" s="1"/>
  <c r="P450" i="3"/>
  <c r="Q450" i="3" s="1"/>
  <c r="P451" i="3"/>
  <c r="Q451" i="3" s="1"/>
  <c r="P452" i="3"/>
  <c r="Q452" i="3" s="1"/>
  <c r="P454" i="3"/>
  <c r="Q454" i="3" s="1"/>
  <c r="P455" i="3"/>
  <c r="Q455" i="3" s="1"/>
  <c r="P456" i="3"/>
  <c r="Q456" i="3" s="1"/>
  <c r="P458" i="3"/>
  <c r="Q458" i="3" s="1"/>
  <c r="P459" i="3"/>
  <c r="Q459" i="3" s="1"/>
  <c r="P460" i="3"/>
  <c r="Q460" i="3" s="1"/>
  <c r="P462" i="3"/>
  <c r="Q462" i="3" s="1"/>
  <c r="P463" i="3"/>
  <c r="Q463" i="3" s="1"/>
  <c r="P466" i="3"/>
  <c r="Q466" i="3" s="1"/>
  <c r="P467" i="3"/>
  <c r="Q467" i="3" s="1"/>
  <c r="P468" i="3"/>
  <c r="Q468" i="3" s="1"/>
  <c r="P470" i="3"/>
  <c r="Q470" i="3" s="1"/>
  <c r="P471" i="3"/>
  <c r="Q471" i="3" s="1"/>
  <c r="P472" i="3"/>
  <c r="P474" i="3"/>
  <c r="Q474" i="3" s="1"/>
  <c r="P475" i="3"/>
  <c r="Q475" i="3" s="1"/>
  <c r="P476" i="3"/>
  <c r="Q476" i="3" s="1"/>
  <c r="P478" i="3"/>
  <c r="Q478" i="3" s="1"/>
  <c r="P479" i="3"/>
  <c r="Q479" i="3" s="1"/>
  <c r="P482" i="3"/>
  <c r="Q482" i="3" s="1"/>
  <c r="P483" i="3"/>
  <c r="Q483" i="3" s="1"/>
  <c r="P484" i="3"/>
  <c r="Q484" i="3" s="1"/>
  <c r="P486" i="3"/>
  <c r="Q486" i="3" s="1"/>
  <c r="P487" i="3"/>
  <c r="Q487" i="3" s="1"/>
  <c r="P488" i="3"/>
  <c r="Q488" i="3" s="1"/>
  <c r="P490" i="3"/>
  <c r="Q490" i="3" s="1"/>
  <c r="P491" i="3"/>
  <c r="Q491" i="3" s="1"/>
  <c r="P492" i="3"/>
  <c r="Q492" i="3" s="1"/>
  <c r="P494" i="3"/>
  <c r="Q494" i="3" s="1"/>
  <c r="P495" i="3"/>
  <c r="Q495" i="3" s="1"/>
  <c r="P498" i="3"/>
  <c r="Q498" i="3" s="1"/>
  <c r="P499" i="3"/>
  <c r="Q499" i="3" s="1"/>
  <c r="P500" i="3"/>
  <c r="Q500" i="3" s="1"/>
  <c r="P502" i="3"/>
  <c r="Q502" i="3" s="1"/>
  <c r="P503" i="3"/>
  <c r="Q503" i="3" s="1"/>
  <c r="P506" i="3"/>
  <c r="Q506" i="3" s="1"/>
  <c r="P507" i="3"/>
  <c r="P508" i="3"/>
  <c r="Q508" i="3" s="1"/>
  <c r="P510" i="3"/>
  <c r="P511" i="3"/>
  <c r="Q511" i="3" s="1"/>
  <c r="P514" i="3"/>
  <c r="Q514" i="3" s="1"/>
  <c r="P515" i="3"/>
  <c r="Q515" i="3" s="1"/>
  <c r="P518" i="3"/>
  <c r="Q518" i="3" s="1"/>
  <c r="P519" i="3"/>
  <c r="Q519" i="3" s="1"/>
  <c r="P522" i="3"/>
  <c r="Q522" i="3" s="1"/>
  <c r="P523" i="3"/>
  <c r="Q523" i="3" s="1"/>
  <c r="P524" i="3"/>
  <c r="Q524" i="3" s="1"/>
  <c r="P526" i="3"/>
  <c r="Q526" i="3" s="1"/>
  <c r="P527" i="3"/>
  <c r="Q527" i="3" s="1"/>
  <c r="P530" i="3"/>
  <c r="Q530" i="3" s="1"/>
  <c r="P531" i="3"/>
  <c r="Q531" i="3" s="1"/>
  <c r="P534" i="3"/>
  <c r="Q534" i="3" s="1"/>
  <c r="P535" i="3"/>
  <c r="Q535" i="3" s="1"/>
  <c r="P538" i="3"/>
  <c r="Q538" i="3" s="1"/>
  <c r="P539" i="3"/>
  <c r="P542" i="3"/>
  <c r="Q542" i="3" s="1"/>
  <c r="P543" i="3"/>
  <c r="Q543" i="3" s="1"/>
  <c r="P546" i="3"/>
  <c r="Q546" i="3" s="1"/>
  <c r="P547" i="3"/>
  <c r="Q547" i="3" s="1"/>
  <c r="P550" i="3"/>
  <c r="Q550" i="3" s="1"/>
  <c r="P551" i="3"/>
  <c r="Q551" i="3" s="1"/>
  <c r="P554" i="3"/>
  <c r="Q554" i="3" s="1"/>
  <c r="P555" i="3"/>
  <c r="Q555" i="3" s="1"/>
  <c r="P558" i="3"/>
  <c r="Q558" i="3" s="1"/>
  <c r="P559" i="3"/>
  <c r="Q559" i="3" s="1"/>
  <c r="P562" i="3"/>
  <c r="Q562" i="3" s="1"/>
  <c r="P563" i="3"/>
  <c r="Q563" i="3" s="1"/>
  <c r="P566" i="3"/>
  <c r="Q566" i="3" s="1"/>
  <c r="P567" i="3"/>
  <c r="Q567" i="3" s="1"/>
  <c r="P570" i="3"/>
  <c r="Q570" i="3" s="1"/>
  <c r="P571" i="3"/>
  <c r="Q571" i="3" s="1"/>
  <c r="P574" i="3"/>
  <c r="Q574" i="3" s="1"/>
  <c r="P575" i="3"/>
  <c r="P578" i="3"/>
  <c r="Q578" i="3" s="1"/>
  <c r="P579" i="3"/>
  <c r="Q579" i="3" s="1"/>
  <c r="P582" i="3"/>
  <c r="Q582" i="3" s="1"/>
  <c r="P583" i="3"/>
  <c r="Q583" i="3" s="1"/>
  <c r="P586" i="3"/>
  <c r="Q586" i="3" s="1"/>
  <c r="P587" i="3"/>
  <c r="Q587" i="3" s="1"/>
  <c r="P590" i="3"/>
  <c r="Q590" i="3" s="1"/>
  <c r="P591" i="3"/>
  <c r="Q591" i="3" s="1"/>
  <c r="P594" i="3"/>
  <c r="Q594" i="3" s="1"/>
  <c r="P595" i="3"/>
  <c r="Q595" i="3" s="1"/>
  <c r="P598" i="3"/>
  <c r="Q598" i="3" s="1"/>
  <c r="P599" i="3"/>
  <c r="Q599" i="3" s="1"/>
  <c r="P602" i="3"/>
  <c r="P603" i="3"/>
  <c r="Q603" i="3" s="1"/>
  <c r="P606" i="3"/>
  <c r="Q606" i="3" s="1"/>
  <c r="P607" i="3"/>
  <c r="Q607" i="3" s="1"/>
  <c r="P610" i="3"/>
  <c r="Q610" i="3" s="1"/>
  <c r="P611" i="3"/>
  <c r="Q611" i="3" s="1"/>
  <c r="P614" i="3"/>
  <c r="Q614" i="3" s="1"/>
  <c r="P615" i="3"/>
  <c r="Q615" i="3" s="1"/>
  <c r="P618" i="3"/>
  <c r="Q618" i="3" s="1"/>
  <c r="P619" i="3"/>
  <c r="Q619" i="3" s="1"/>
  <c r="P622" i="3"/>
  <c r="Q622" i="3" s="1"/>
  <c r="P623" i="3"/>
  <c r="Q623" i="3" s="1"/>
  <c r="P626" i="3"/>
  <c r="Q626" i="3" s="1"/>
  <c r="P627" i="3"/>
  <c r="Q627" i="3" s="1"/>
  <c r="P630" i="3"/>
  <c r="Q630" i="3" s="1"/>
  <c r="P631" i="3"/>
  <c r="Q631" i="3" s="1"/>
  <c r="P634" i="3"/>
  <c r="Q634" i="3" s="1"/>
  <c r="P635" i="3"/>
  <c r="Q635" i="3" s="1"/>
  <c r="P638" i="3"/>
  <c r="P639" i="3"/>
  <c r="Q639" i="3" s="1"/>
  <c r="P642" i="3"/>
  <c r="Q642" i="3" s="1"/>
  <c r="P643" i="3"/>
  <c r="Q643" i="3" s="1"/>
  <c r="P646" i="3"/>
  <c r="Q646" i="3" s="1"/>
  <c r="P647" i="3"/>
  <c r="Q647" i="3" s="1"/>
  <c r="P650" i="3"/>
  <c r="Q650" i="3" s="1"/>
  <c r="P651" i="3"/>
  <c r="Q651" i="3" s="1"/>
  <c r="P654" i="3"/>
  <c r="Q654" i="3" s="1"/>
  <c r="P655" i="3"/>
  <c r="Q655" i="3" s="1"/>
  <c r="P658" i="3"/>
  <c r="Q658" i="3" s="1"/>
  <c r="P659" i="3"/>
  <c r="Q659" i="3" s="1"/>
  <c r="P662" i="3"/>
  <c r="Q662" i="3" s="1"/>
  <c r="P663" i="3"/>
  <c r="Q663" i="3" s="1"/>
  <c r="P666" i="3"/>
  <c r="Q666" i="3" s="1"/>
  <c r="P667" i="3"/>
  <c r="Q667" i="3" s="1"/>
  <c r="P670" i="3"/>
  <c r="Q670" i="3" s="1"/>
  <c r="P671" i="3"/>
  <c r="Q671" i="3" s="1"/>
  <c r="P674" i="3"/>
  <c r="Q674" i="3" s="1"/>
  <c r="P675" i="3"/>
  <c r="Q675" i="3" s="1"/>
  <c r="P678" i="3"/>
  <c r="Q678" i="3" s="1"/>
  <c r="P679" i="3"/>
  <c r="Q679" i="3" s="1"/>
  <c r="P682" i="3"/>
  <c r="Q682" i="3" s="1"/>
  <c r="P683" i="3"/>
  <c r="Q683" i="3" s="1"/>
  <c r="P686" i="3"/>
  <c r="Q686" i="3" s="1"/>
  <c r="P687" i="3"/>
  <c r="Q687" i="3" s="1"/>
  <c r="P690" i="3"/>
  <c r="P691" i="3"/>
  <c r="Q691" i="3" s="1"/>
  <c r="P694" i="3"/>
  <c r="Q694" i="3" s="1"/>
  <c r="P695" i="3"/>
  <c r="Q695" i="3" s="1"/>
  <c r="P698" i="3"/>
  <c r="Q698" i="3" s="1"/>
  <c r="P699" i="3"/>
  <c r="Q699" i="3" s="1"/>
  <c r="P702" i="3"/>
  <c r="Q702" i="3" s="1"/>
  <c r="P703" i="3"/>
  <c r="Q703" i="3" s="1"/>
  <c r="P706" i="3"/>
  <c r="Q706" i="3" s="1"/>
  <c r="P707" i="3"/>
  <c r="Q707" i="3" s="1"/>
  <c r="P710" i="3"/>
  <c r="Q710" i="3" s="1"/>
  <c r="P711" i="3"/>
  <c r="Q711" i="3" s="1"/>
  <c r="P714" i="3"/>
  <c r="Q714" i="3" s="1"/>
  <c r="P715" i="3"/>
  <c r="Q715" i="3" s="1"/>
  <c r="P718" i="3"/>
  <c r="Q718" i="3" s="1"/>
  <c r="P719" i="3"/>
  <c r="Q719" i="3" s="1"/>
  <c r="P722" i="3"/>
  <c r="Q722" i="3" s="1"/>
  <c r="P723" i="3"/>
  <c r="Q723" i="3" s="1"/>
  <c r="P726" i="3"/>
  <c r="Q726" i="3" s="1"/>
  <c r="P727" i="3"/>
  <c r="Q727" i="3" s="1"/>
  <c r="P730" i="3"/>
  <c r="Q730" i="3" s="1"/>
  <c r="P731" i="3"/>
  <c r="Q731" i="3" s="1"/>
  <c r="P734" i="3"/>
  <c r="Q734" i="3" s="1"/>
  <c r="P735" i="3"/>
  <c r="Q735" i="3" s="1"/>
  <c r="P738" i="3"/>
  <c r="Q738" i="3" s="1"/>
  <c r="P739" i="3"/>
  <c r="Q739" i="3" s="1"/>
  <c r="P742" i="3"/>
  <c r="Q742" i="3" s="1"/>
  <c r="P743" i="3"/>
  <c r="Q743" i="3" s="1"/>
  <c r="P746" i="3"/>
  <c r="Q746" i="3" s="1"/>
  <c r="P747" i="3"/>
  <c r="Q747" i="3" s="1"/>
  <c r="P750" i="3"/>
  <c r="Q750" i="3" s="1"/>
  <c r="P751" i="3"/>
  <c r="Q751" i="3" s="1"/>
  <c r="P754" i="3"/>
  <c r="Q754" i="3" s="1"/>
  <c r="P755" i="3"/>
  <c r="Q755" i="3" s="1"/>
  <c r="P758" i="3"/>
  <c r="Q758" i="3" s="1"/>
  <c r="P759" i="3"/>
  <c r="Q759" i="3" s="1"/>
  <c r="P762" i="3"/>
  <c r="Q762" i="3" s="1"/>
  <c r="P763" i="3"/>
  <c r="Q763" i="3" s="1"/>
  <c r="P766" i="3"/>
  <c r="Q766" i="3" s="1"/>
  <c r="P767" i="3"/>
  <c r="Q767" i="3" s="1"/>
  <c r="P770" i="3"/>
  <c r="Q770" i="3" s="1"/>
  <c r="P771" i="3"/>
  <c r="Q771" i="3" s="1"/>
  <c r="P774" i="3"/>
  <c r="Q774" i="3" s="1"/>
  <c r="P775" i="3"/>
  <c r="Q775" i="3" s="1"/>
  <c r="P778" i="3"/>
  <c r="Q778" i="3" s="1"/>
  <c r="P779" i="3"/>
  <c r="Q779" i="3" s="1"/>
  <c r="P782" i="3"/>
  <c r="Q782" i="3" s="1"/>
  <c r="P783" i="3"/>
  <c r="Q783" i="3" s="1"/>
  <c r="P786" i="3"/>
  <c r="Q786" i="3" s="1"/>
  <c r="P787" i="3"/>
  <c r="Q787" i="3" s="1"/>
  <c r="P790" i="3"/>
  <c r="Q790" i="3" s="1"/>
  <c r="P791" i="3"/>
  <c r="Q791" i="3" s="1"/>
  <c r="P794" i="3"/>
  <c r="P795" i="3"/>
  <c r="P798" i="3"/>
  <c r="Q798" i="3" s="1"/>
  <c r="P799" i="3"/>
  <c r="Q799" i="3" s="1"/>
  <c r="P802" i="3"/>
  <c r="Q802" i="3" s="1"/>
  <c r="P803" i="3"/>
  <c r="Q803" i="3" s="1"/>
  <c r="P806" i="3"/>
  <c r="Q806" i="3" s="1"/>
  <c r="P807" i="3"/>
  <c r="Q807" i="3" s="1"/>
  <c r="P810" i="3"/>
  <c r="Q810" i="3" s="1"/>
  <c r="P811" i="3"/>
  <c r="Q811" i="3" s="1"/>
  <c r="P814" i="3"/>
  <c r="Q814" i="3" s="1"/>
  <c r="P815" i="3"/>
  <c r="P818" i="3"/>
  <c r="Q818" i="3" s="1"/>
  <c r="P819" i="3"/>
  <c r="Q819" i="3" s="1"/>
  <c r="P822" i="3"/>
  <c r="Q822" i="3" s="1"/>
  <c r="P823" i="3"/>
  <c r="Q823" i="3" s="1"/>
  <c r="P826" i="3"/>
  <c r="P827" i="3"/>
  <c r="Q827" i="3" s="1"/>
  <c r="P830" i="3"/>
  <c r="Q830" i="3" s="1"/>
  <c r="P831" i="3"/>
  <c r="P834" i="3"/>
  <c r="Q834" i="3" s="1"/>
  <c r="P835" i="3"/>
  <c r="Q835" i="3" s="1"/>
  <c r="P838" i="3"/>
  <c r="Q838" i="3" s="1"/>
  <c r="P839" i="3"/>
  <c r="Q839" i="3" s="1"/>
  <c r="P842" i="3"/>
  <c r="Q842" i="3" s="1"/>
  <c r="P843" i="3"/>
  <c r="Q843" i="3" s="1"/>
  <c r="P846" i="3"/>
  <c r="Q846" i="3" s="1"/>
  <c r="P847" i="3"/>
  <c r="P850" i="3"/>
  <c r="Q850" i="3" s="1"/>
  <c r="P851" i="3"/>
  <c r="P854" i="3"/>
  <c r="Q854" i="3" s="1"/>
  <c r="P855" i="3"/>
  <c r="Q855" i="3" s="1"/>
  <c r="P858" i="3"/>
  <c r="Q858" i="3" s="1"/>
  <c r="P859" i="3"/>
  <c r="Q859" i="3" s="1"/>
  <c r="P862" i="3"/>
  <c r="Q862" i="3" s="1"/>
  <c r="P863" i="3"/>
  <c r="P866" i="3"/>
  <c r="P867" i="3"/>
  <c r="Q867" i="3" s="1"/>
  <c r="P870" i="3"/>
  <c r="Q870" i="3" s="1"/>
  <c r="P871" i="3"/>
  <c r="Q871" i="3" s="1"/>
  <c r="P874" i="3"/>
  <c r="Q874" i="3" s="1"/>
  <c r="P875" i="3"/>
  <c r="Q875" i="3" s="1"/>
  <c r="P878" i="3"/>
  <c r="Q878" i="3" s="1"/>
  <c r="P879" i="3"/>
  <c r="Q879" i="3" s="1"/>
  <c r="P882" i="3"/>
  <c r="Q882" i="3" s="1"/>
  <c r="P883" i="3"/>
  <c r="Q883" i="3" s="1"/>
  <c r="P886" i="3"/>
  <c r="Q886" i="3" s="1"/>
  <c r="P887" i="3"/>
  <c r="Q887" i="3" s="1"/>
  <c r="P890" i="3"/>
  <c r="Q890" i="3" s="1"/>
  <c r="P891" i="3"/>
  <c r="Q891" i="3" s="1"/>
  <c r="P894" i="3"/>
  <c r="Q894" i="3" s="1"/>
  <c r="P895" i="3"/>
  <c r="Q895" i="3" s="1"/>
  <c r="P898" i="3"/>
  <c r="Q898" i="3" s="1"/>
  <c r="P899" i="3"/>
  <c r="Q899" i="3" s="1"/>
  <c r="P902" i="3"/>
  <c r="Q902" i="3" s="1"/>
  <c r="P903" i="3"/>
  <c r="Q903" i="3" s="1"/>
  <c r="P906" i="3"/>
  <c r="Q906" i="3" s="1"/>
  <c r="P907" i="3"/>
  <c r="Q907" i="3" s="1"/>
  <c r="P910" i="3"/>
  <c r="Q910" i="3" s="1"/>
  <c r="P911" i="3"/>
  <c r="Q911" i="3" s="1"/>
  <c r="P914" i="3"/>
  <c r="Q914" i="3" s="1"/>
  <c r="P915" i="3"/>
  <c r="Q915" i="3" s="1"/>
  <c r="P918" i="3"/>
  <c r="Q918" i="3" s="1"/>
  <c r="P919" i="3"/>
  <c r="Q919" i="3" s="1"/>
  <c r="P922" i="3"/>
  <c r="Q922" i="3" s="1"/>
  <c r="P923" i="3"/>
  <c r="Q923" i="3" s="1"/>
  <c r="P926" i="3"/>
  <c r="Q926" i="3" s="1"/>
  <c r="P927" i="3"/>
  <c r="Q927" i="3" s="1"/>
  <c r="P930" i="3"/>
  <c r="Q930" i="3" s="1"/>
  <c r="P931" i="3"/>
  <c r="Q931" i="3" s="1"/>
  <c r="P934" i="3"/>
  <c r="Q934" i="3" s="1"/>
  <c r="P935" i="3"/>
  <c r="Q935" i="3" s="1"/>
  <c r="P938" i="3"/>
  <c r="Q938" i="3" s="1"/>
  <c r="P939" i="3"/>
  <c r="Q939" i="3" s="1"/>
  <c r="P942" i="3"/>
  <c r="Q942" i="3" s="1"/>
  <c r="P943" i="3"/>
  <c r="P946" i="3"/>
  <c r="Q946" i="3" s="1"/>
  <c r="P947" i="3"/>
  <c r="Q947" i="3" s="1"/>
  <c r="P950" i="3"/>
  <c r="Q950" i="3" s="1"/>
  <c r="P951" i="3"/>
  <c r="Q951" i="3" s="1"/>
  <c r="P954" i="3"/>
  <c r="Q954" i="3" s="1"/>
  <c r="P955" i="3"/>
  <c r="Q955" i="3" s="1"/>
  <c r="P958" i="3"/>
  <c r="Q958" i="3" s="1"/>
  <c r="P959" i="3"/>
  <c r="Q959" i="3" s="1"/>
  <c r="P962" i="3"/>
  <c r="Q962" i="3" s="1"/>
  <c r="P963" i="3"/>
  <c r="Q963" i="3" s="1"/>
  <c r="P966" i="3"/>
  <c r="Q966" i="3" s="1"/>
  <c r="P967" i="3"/>
  <c r="Q967" i="3" s="1"/>
  <c r="P970" i="3"/>
  <c r="Q970" i="3" s="1"/>
  <c r="P971" i="3"/>
  <c r="Q971" i="3" s="1"/>
  <c r="P974" i="3"/>
  <c r="Q974" i="3" s="1"/>
  <c r="P975" i="3"/>
  <c r="P978" i="3"/>
  <c r="Q978" i="3" s="1"/>
  <c r="P979" i="3"/>
  <c r="Q979" i="3" s="1"/>
  <c r="P982" i="3"/>
  <c r="Q982" i="3" s="1"/>
  <c r="P983" i="3"/>
  <c r="Q983" i="3" s="1"/>
  <c r="P986" i="3"/>
  <c r="Q986" i="3" s="1"/>
  <c r="P987" i="3"/>
  <c r="Q987" i="3" s="1"/>
  <c r="P990" i="3"/>
  <c r="Q990" i="3" s="1"/>
  <c r="P991" i="3"/>
  <c r="P994" i="3"/>
  <c r="Q994" i="3" s="1"/>
  <c r="P995" i="3"/>
  <c r="Q995" i="3" s="1"/>
  <c r="P998" i="3"/>
  <c r="Q998" i="3" s="1"/>
  <c r="P999" i="3"/>
  <c r="Q999" i="3" s="1"/>
  <c r="P1002" i="3"/>
  <c r="P1003" i="3"/>
  <c r="Q1003" i="3" s="1"/>
  <c r="P1006" i="3"/>
  <c r="Q1006" i="3" s="1"/>
  <c r="P1007" i="3"/>
  <c r="P1010" i="3"/>
  <c r="Q1010" i="3" s="1"/>
  <c r="P1011" i="3"/>
  <c r="Q1011" i="3" s="1"/>
  <c r="P1014" i="3"/>
  <c r="Q1014" i="3" s="1"/>
  <c r="P1015" i="3"/>
  <c r="Q1015" i="3" s="1"/>
  <c r="P1018" i="3"/>
  <c r="Q1018" i="3" s="1"/>
  <c r="P1019" i="3"/>
  <c r="Q1019" i="3" s="1"/>
  <c r="P1022" i="3"/>
  <c r="Q1022" i="3" s="1"/>
  <c r="P1023" i="3"/>
  <c r="Q1023" i="3" s="1"/>
  <c r="P1026" i="3"/>
  <c r="Q1026" i="3" s="1"/>
  <c r="P1027" i="3"/>
  <c r="Q1027" i="3" s="1"/>
  <c r="P1030" i="3"/>
  <c r="Q1030" i="3" s="1"/>
  <c r="P1031" i="3"/>
  <c r="Q1031" i="3" s="1"/>
  <c r="P1034" i="3"/>
  <c r="Q1034" i="3" s="1"/>
  <c r="P1035" i="3"/>
  <c r="Q1035" i="3" s="1"/>
  <c r="P1038" i="3"/>
  <c r="Q1038" i="3" s="1"/>
  <c r="P1039" i="3"/>
  <c r="Q1039" i="3" s="1"/>
  <c r="P1042" i="3"/>
  <c r="Q1042" i="3" s="1"/>
  <c r="P1043" i="3"/>
  <c r="Q1043" i="3" s="1"/>
  <c r="P1046" i="3"/>
  <c r="Q1046" i="3" s="1"/>
  <c r="P1047" i="3"/>
  <c r="Q1047" i="3" s="1"/>
  <c r="P1050" i="3"/>
  <c r="Q1050" i="3" s="1"/>
  <c r="P1051" i="3"/>
  <c r="Q1051" i="3" s="1"/>
  <c r="P1054" i="3"/>
  <c r="Q1054" i="3" s="1"/>
  <c r="P1055" i="3"/>
  <c r="Q1055" i="3" s="1"/>
  <c r="P1058" i="3"/>
  <c r="Q1058" i="3" s="1"/>
  <c r="P1059" i="3"/>
  <c r="Q1059" i="3" s="1"/>
  <c r="P1062" i="3"/>
  <c r="Q1062" i="3" s="1"/>
  <c r="P1063" i="3"/>
  <c r="Q1063" i="3" s="1"/>
  <c r="P1066" i="3"/>
  <c r="Q1066" i="3" s="1"/>
  <c r="P1067" i="3"/>
  <c r="Q1067" i="3" s="1"/>
  <c r="P1070" i="3"/>
  <c r="Q1070" i="3" s="1"/>
  <c r="P1071" i="3"/>
  <c r="Q1071" i="3" s="1"/>
  <c r="P1074" i="3"/>
  <c r="P1075" i="3"/>
  <c r="Q1075" i="3" s="1"/>
  <c r="P1078" i="3"/>
  <c r="Q1078" i="3" s="1"/>
  <c r="Q26" i="3"/>
  <c r="Q42" i="3"/>
  <c r="Q90" i="3"/>
  <c r="Q92" i="3"/>
  <c r="Q112" i="3"/>
  <c r="Q126" i="3"/>
  <c r="Q128" i="3"/>
  <c r="Q132" i="3"/>
  <c r="Q166" i="3"/>
  <c r="Q170" i="3"/>
  <c r="Q212" i="3"/>
  <c r="Q234" i="3"/>
  <c r="Q282" i="3"/>
  <c r="Q286" i="3"/>
  <c r="Q296" i="3"/>
  <c r="Q314" i="3"/>
  <c r="Q320" i="3"/>
  <c r="Q366" i="3"/>
  <c r="Q372" i="3"/>
  <c r="Q392" i="3"/>
  <c r="Q400" i="3"/>
  <c r="Q430" i="3"/>
  <c r="Q464" i="3"/>
  <c r="Q472" i="3"/>
  <c r="Q496" i="3"/>
  <c r="Q504" i="3"/>
  <c r="Q507" i="3"/>
  <c r="Q510" i="3"/>
  <c r="Q575" i="3"/>
  <c r="Q602" i="3"/>
  <c r="Q638" i="3"/>
  <c r="Q690" i="3"/>
  <c r="Q794" i="3"/>
  <c r="Q795" i="3"/>
  <c r="Q815" i="3"/>
  <c r="Q826" i="3"/>
  <c r="Q831" i="3"/>
  <c r="Q847" i="3"/>
  <c r="Q863" i="3"/>
  <c r="Q866" i="3"/>
  <c r="Q943" i="3"/>
  <c r="Q975" i="3"/>
  <c r="Q991" i="3"/>
  <c r="Q1002" i="3"/>
  <c r="Q1007" i="3"/>
  <c r="Q1074" i="3"/>
  <c r="R3" i="3"/>
  <c r="S3" i="3" s="1"/>
  <c r="R4" i="3"/>
  <c r="S4" i="3" s="1"/>
  <c r="R5" i="3"/>
  <c r="S5" i="3" s="1"/>
  <c r="R6" i="3"/>
  <c r="S6" i="3" s="1"/>
  <c r="R7" i="3"/>
  <c r="S7" i="3" s="1"/>
  <c r="R8" i="3"/>
  <c r="S8" i="3" s="1"/>
  <c r="R9" i="3"/>
  <c r="S9" i="3" s="1"/>
  <c r="V9" i="3" s="1"/>
  <c r="R10" i="3"/>
  <c r="S10" i="3" s="1"/>
  <c r="R11" i="3"/>
  <c r="S11" i="3" s="1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V17" i="3" s="1"/>
  <c r="R18" i="3"/>
  <c r="S18" i="3" s="1"/>
  <c r="R19" i="3"/>
  <c r="S19" i="3" s="1"/>
  <c r="R20" i="3"/>
  <c r="S20" i="3" s="1"/>
  <c r="R21" i="3"/>
  <c r="S21" i="3" s="1"/>
  <c r="R22" i="3"/>
  <c r="S22" i="3" s="1"/>
  <c r="R23" i="3"/>
  <c r="S23" i="3" s="1"/>
  <c r="R24" i="3"/>
  <c r="S24" i="3" s="1"/>
  <c r="R25" i="3"/>
  <c r="S25" i="3" s="1"/>
  <c r="V25" i="3" s="1"/>
  <c r="R26" i="3"/>
  <c r="S26" i="3" s="1"/>
  <c r="R27" i="3"/>
  <c r="S27" i="3" s="1"/>
  <c r="R28" i="3"/>
  <c r="S28" i="3" s="1"/>
  <c r="R29" i="3"/>
  <c r="S29" i="3" s="1"/>
  <c r="V29" i="3" s="1"/>
  <c r="R30" i="3"/>
  <c r="S30" i="3" s="1"/>
  <c r="R31" i="3"/>
  <c r="S31" i="3" s="1"/>
  <c r="R32" i="3"/>
  <c r="S32" i="3" s="1"/>
  <c r="R33" i="3"/>
  <c r="S33" i="3" s="1"/>
  <c r="V33" i="3" s="1"/>
  <c r="R34" i="3"/>
  <c r="S34" i="3" s="1"/>
  <c r="R35" i="3"/>
  <c r="S35" i="3" s="1"/>
  <c r="R36" i="3"/>
  <c r="S36" i="3" s="1"/>
  <c r="R37" i="3"/>
  <c r="S37" i="3" s="1"/>
  <c r="V37" i="3" s="1"/>
  <c r="R38" i="3"/>
  <c r="S38" i="3" s="1"/>
  <c r="R39" i="3"/>
  <c r="S39" i="3" s="1"/>
  <c r="R40" i="3"/>
  <c r="S40" i="3" s="1"/>
  <c r="R41" i="3"/>
  <c r="S41" i="3" s="1"/>
  <c r="V41" i="3" s="1"/>
  <c r="R42" i="3"/>
  <c r="S42" i="3" s="1"/>
  <c r="R43" i="3"/>
  <c r="S43" i="3" s="1"/>
  <c r="R44" i="3"/>
  <c r="S44" i="3" s="1"/>
  <c r="R45" i="3"/>
  <c r="S45" i="3" s="1"/>
  <c r="R46" i="3"/>
  <c r="S46" i="3" s="1"/>
  <c r="R47" i="3"/>
  <c r="S47" i="3" s="1"/>
  <c r="R48" i="3"/>
  <c r="S48" i="3" s="1"/>
  <c r="R49" i="3"/>
  <c r="S49" i="3" s="1"/>
  <c r="R50" i="3"/>
  <c r="S50" i="3" s="1"/>
  <c r="R51" i="3"/>
  <c r="S51" i="3" s="1"/>
  <c r="R52" i="3"/>
  <c r="S52" i="3" s="1"/>
  <c r="R53" i="3"/>
  <c r="S53" i="3" s="1"/>
  <c r="R54" i="3"/>
  <c r="S54" i="3" s="1"/>
  <c r="R55" i="3"/>
  <c r="S55" i="3" s="1"/>
  <c r="R56" i="3"/>
  <c r="S56" i="3" s="1"/>
  <c r="R57" i="3"/>
  <c r="S57" i="3" s="1"/>
  <c r="R58" i="3"/>
  <c r="S58" i="3" s="1"/>
  <c r="R59" i="3"/>
  <c r="S59" i="3" s="1"/>
  <c r="R60" i="3"/>
  <c r="S60" i="3" s="1"/>
  <c r="R61" i="3"/>
  <c r="S61" i="3" s="1"/>
  <c r="R62" i="3"/>
  <c r="S62" i="3" s="1"/>
  <c r="R63" i="3"/>
  <c r="S63" i="3" s="1"/>
  <c r="R64" i="3"/>
  <c r="S64" i="3" s="1"/>
  <c r="R65" i="3"/>
  <c r="S65" i="3" s="1"/>
  <c r="R66" i="3"/>
  <c r="S66" i="3" s="1"/>
  <c r="R67" i="3"/>
  <c r="S67" i="3" s="1"/>
  <c r="R68" i="3"/>
  <c r="S68" i="3" s="1"/>
  <c r="R69" i="3"/>
  <c r="S69" i="3" s="1"/>
  <c r="R70" i="3"/>
  <c r="S70" i="3" s="1"/>
  <c r="R71" i="3"/>
  <c r="S71" i="3" s="1"/>
  <c r="R72" i="3"/>
  <c r="S72" i="3" s="1"/>
  <c r="R73" i="3"/>
  <c r="S73" i="3" s="1"/>
  <c r="R74" i="3"/>
  <c r="S74" i="3" s="1"/>
  <c r="R75" i="3"/>
  <c r="S75" i="3" s="1"/>
  <c r="R76" i="3"/>
  <c r="S76" i="3" s="1"/>
  <c r="R77" i="3"/>
  <c r="S77" i="3" s="1"/>
  <c r="R78" i="3"/>
  <c r="S78" i="3" s="1"/>
  <c r="R79" i="3"/>
  <c r="S79" i="3" s="1"/>
  <c r="R80" i="3"/>
  <c r="S80" i="3" s="1"/>
  <c r="R81" i="3"/>
  <c r="S81" i="3" s="1"/>
  <c r="R82" i="3"/>
  <c r="S82" i="3" s="1"/>
  <c r="R83" i="3"/>
  <c r="S83" i="3" s="1"/>
  <c r="R84" i="3"/>
  <c r="S84" i="3" s="1"/>
  <c r="R85" i="3"/>
  <c r="S85" i="3" s="1"/>
  <c r="R86" i="3"/>
  <c r="S86" i="3" s="1"/>
  <c r="R87" i="3"/>
  <c r="S87" i="3" s="1"/>
  <c r="R88" i="3"/>
  <c r="S88" i="3" s="1"/>
  <c r="R89" i="3"/>
  <c r="S89" i="3" s="1"/>
  <c r="R90" i="3"/>
  <c r="S90" i="3" s="1"/>
  <c r="R91" i="3"/>
  <c r="S91" i="3" s="1"/>
  <c r="R92" i="3"/>
  <c r="S92" i="3" s="1"/>
  <c r="R93" i="3"/>
  <c r="S93" i="3" s="1"/>
  <c r="R94" i="3"/>
  <c r="S94" i="3" s="1"/>
  <c r="R95" i="3"/>
  <c r="S95" i="3" s="1"/>
  <c r="R96" i="3"/>
  <c r="S96" i="3" s="1"/>
  <c r="R97" i="3"/>
  <c r="S97" i="3" s="1"/>
  <c r="R98" i="3"/>
  <c r="S98" i="3" s="1"/>
  <c r="R99" i="3"/>
  <c r="R100" i="3"/>
  <c r="S100" i="3" s="1"/>
  <c r="R101" i="3"/>
  <c r="S101" i="3" s="1"/>
  <c r="R102" i="3"/>
  <c r="S102" i="3" s="1"/>
  <c r="R103" i="3"/>
  <c r="S103" i="3" s="1"/>
  <c r="R104" i="3"/>
  <c r="S104" i="3" s="1"/>
  <c r="R105" i="3"/>
  <c r="S105" i="3" s="1"/>
  <c r="R106" i="3"/>
  <c r="S106" i="3" s="1"/>
  <c r="R107" i="3"/>
  <c r="S107" i="3" s="1"/>
  <c r="R108" i="3"/>
  <c r="S108" i="3" s="1"/>
  <c r="R109" i="3"/>
  <c r="S109" i="3" s="1"/>
  <c r="R110" i="3"/>
  <c r="S110" i="3" s="1"/>
  <c r="R111" i="3"/>
  <c r="S111" i="3" s="1"/>
  <c r="R112" i="3"/>
  <c r="S112" i="3" s="1"/>
  <c r="R113" i="3"/>
  <c r="S113" i="3" s="1"/>
  <c r="R114" i="3"/>
  <c r="S114" i="3" s="1"/>
  <c r="R115" i="3"/>
  <c r="S115" i="3" s="1"/>
  <c r="R116" i="3"/>
  <c r="S116" i="3" s="1"/>
  <c r="R117" i="3"/>
  <c r="S117" i="3" s="1"/>
  <c r="R118" i="3"/>
  <c r="S118" i="3" s="1"/>
  <c r="R119" i="3"/>
  <c r="S119" i="3" s="1"/>
  <c r="R120" i="3"/>
  <c r="S120" i="3" s="1"/>
  <c r="R121" i="3"/>
  <c r="S121" i="3" s="1"/>
  <c r="R122" i="3"/>
  <c r="S122" i="3" s="1"/>
  <c r="R123" i="3"/>
  <c r="S123" i="3" s="1"/>
  <c r="R124" i="3"/>
  <c r="S124" i="3" s="1"/>
  <c r="R125" i="3"/>
  <c r="S125" i="3" s="1"/>
  <c r="R126" i="3"/>
  <c r="S126" i="3" s="1"/>
  <c r="R127" i="3"/>
  <c r="S127" i="3" s="1"/>
  <c r="R128" i="3"/>
  <c r="S128" i="3" s="1"/>
  <c r="R129" i="3"/>
  <c r="S129" i="3" s="1"/>
  <c r="R130" i="3"/>
  <c r="S130" i="3" s="1"/>
  <c r="R131" i="3"/>
  <c r="S131" i="3" s="1"/>
  <c r="R132" i="3"/>
  <c r="S132" i="3" s="1"/>
  <c r="R133" i="3"/>
  <c r="S133" i="3" s="1"/>
  <c r="R134" i="3"/>
  <c r="S134" i="3" s="1"/>
  <c r="R135" i="3"/>
  <c r="S135" i="3" s="1"/>
  <c r="R136" i="3"/>
  <c r="S136" i="3" s="1"/>
  <c r="R137" i="3"/>
  <c r="S137" i="3" s="1"/>
  <c r="R138" i="3"/>
  <c r="S138" i="3" s="1"/>
  <c r="R139" i="3"/>
  <c r="S139" i="3" s="1"/>
  <c r="R140" i="3"/>
  <c r="S140" i="3" s="1"/>
  <c r="R141" i="3"/>
  <c r="S141" i="3" s="1"/>
  <c r="R142" i="3"/>
  <c r="S142" i="3" s="1"/>
  <c r="R143" i="3"/>
  <c r="S143" i="3" s="1"/>
  <c r="R144" i="3"/>
  <c r="S144" i="3" s="1"/>
  <c r="R145" i="3"/>
  <c r="S145" i="3" s="1"/>
  <c r="R146" i="3"/>
  <c r="S146" i="3" s="1"/>
  <c r="R147" i="3"/>
  <c r="S147" i="3" s="1"/>
  <c r="R148" i="3"/>
  <c r="S148" i="3" s="1"/>
  <c r="R149" i="3"/>
  <c r="S149" i="3" s="1"/>
  <c r="R150" i="3"/>
  <c r="S150" i="3" s="1"/>
  <c r="R151" i="3"/>
  <c r="S151" i="3" s="1"/>
  <c r="R152" i="3"/>
  <c r="S152" i="3" s="1"/>
  <c r="R153" i="3"/>
  <c r="S153" i="3" s="1"/>
  <c r="R154" i="3"/>
  <c r="S154" i="3" s="1"/>
  <c r="R155" i="3"/>
  <c r="S155" i="3" s="1"/>
  <c r="R156" i="3"/>
  <c r="S156" i="3" s="1"/>
  <c r="R157" i="3"/>
  <c r="S157" i="3" s="1"/>
  <c r="R158" i="3"/>
  <c r="S158" i="3" s="1"/>
  <c r="R159" i="3"/>
  <c r="S159" i="3" s="1"/>
  <c r="R160" i="3"/>
  <c r="S160" i="3" s="1"/>
  <c r="R161" i="3"/>
  <c r="S161" i="3" s="1"/>
  <c r="R162" i="3"/>
  <c r="S162" i="3" s="1"/>
  <c r="R163" i="3"/>
  <c r="S163" i="3" s="1"/>
  <c r="R164" i="3"/>
  <c r="S164" i="3" s="1"/>
  <c r="R165" i="3"/>
  <c r="S165" i="3" s="1"/>
  <c r="R166" i="3"/>
  <c r="S166" i="3" s="1"/>
  <c r="R167" i="3"/>
  <c r="S167" i="3" s="1"/>
  <c r="R168" i="3"/>
  <c r="S168" i="3" s="1"/>
  <c r="R169" i="3"/>
  <c r="S169" i="3" s="1"/>
  <c r="R170" i="3"/>
  <c r="S170" i="3" s="1"/>
  <c r="R171" i="3"/>
  <c r="S171" i="3" s="1"/>
  <c r="R172" i="3"/>
  <c r="S172" i="3" s="1"/>
  <c r="R173" i="3"/>
  <c r="S173" i="3" s="1"/>
  <c r="R174" i="3"/>
  <c r="S174" i="3" s="1"/>
  <c r="R175" i="3"/>
  <c r="S175" i="3" s="1"/>
  <c r="R176" i="3"/>
  <c r="S176" i="3" s="1"/>
  <c r="R177" i="3"/>
  <c r="S177" i="3" s="1"/>
  <c r="R178" i="3"/>
  <c r="S178" i="3" s="1"/>
  <c r="R179" i="3"/>
  <c r="S179" i="3" s="1"/>
  <c r="R180" i="3"/>
  <c r="S180" i="3" s="1"/>
  <c r="R181" i="3"/>
  <c r="S181" i="3" s="1"/>
  <c r="R182" i="3"/>
  <c r="S182" i="3" s="1"/>
  <c r="R183" i="3"/>
  <c r="S183" i="3" s="1"/>
  <c r="R184" i="3"/>
  <c r="S184" i="3" s="1"/>
  <c r="R185" i="3"/>
  <c r="S185" i="3" s="1"/>
  <c r="R186" i="3"/>
  <c r="S186" i="3" s="1"/>
  <c r="R187" i="3"/>
  <c r="S187" i="3" s="1"/>
  <c r="R188" i="3"/>
  <c r="S188" i="3" s="1"/>
  <c r="R189" i="3"/>
  <c r="S189" i="3" s="1"/>
  <c r="R190" i="3"/>
  <c r="S190" i="3" s="1"/>
  <c r="R191" i="3"/>
  <c r="S191" i="3" s="1"/>
  <c r="R192" i="3"/>
  <c r="S192" i="3" s="1"/>
  <c r="R193" i="3"/>
  <c r="S193" i="3" s="1"/>
  <c r="R194" i="3"/>
  <c r="S194" i="3" s="1"/>
  <c r="R195" i="3"/>
  <c r="S195" i="3" s="1"/>
  <c r="R196" i="3"/>
  <c r="S196" i="3" s="1"/>
  <c r="R197" i="3"/>
  <c r="S197" i="3" s="1"/>
  <c r="R198" i="3"/>
  <c r="S198" i="3" s="1"/>
  <c r="R199" i="3"/>
  <c r="S199" i="3" s="1"/>
  <c r="R200" i="3"/>
  <c r="S200" i="3" s="1"/>
  <c r="R201" i="3"/>
  <c r="S201" i="3" s="1"/>
  <c r="R202" i="3"/>
  <c r="S202" i="3" s="1"/>
  <c r="R203" i="3"/>
  <c r="S203" i="3" s="1"/>
  <c r="R204" i="3"/>
  <c r="S204" i="3" s="1"/>
  <c r="R205" i="3"/>
  <c r="S205" i="3" s="1"/>
  <c r="R206" i="3"/>
  <c r="S206" i="3" s="1"/>
  <c r="R207" i="3"/>
  <c r="S207" i="3" s="1"/>
  <c r="R208" i="3"/>
  <c r="S208" i="3" s="1"/>
  <c r="R209" i="3"/>
  <c r="S209" i="3" s="1"/>
  <c r="R210" i="3"/>
  <c r="S210" i="3" s="1"/>
  <c r="R211" i="3"/>
  <c r="S211" i="3" s="1"/>
  <c r="R212" i="3"/>
  <c r="S212" i="3" s="1"/>
  <c r="R213" i="3"/>
  <c r="S213" i="3" s="1"/>
  <c r="R214" i="3"/>
  <c r="S214" i="3" s="1"/>
  <c r="R215" i="3"/>
  <c r="S215" i="3" s="1"/>
  <c r="R216" i="3"/>
  <c r="S216" i="3" s="1"/>
  <c r="R217" i="3"/>
  <c r="S217" i="3" s="1"/>
  <c r="R218" i="3"/>
  <c r="S218" i="3" s="1"/>
  <c r="R219" i="3"/>
  <c r="S219" i="3" s="1"/>
  <c r="R220" i="3"/>
  <c r="S220" i="3" s="1"/>
  <c r="R221" i="3"/>
  <c r="S221" i="3" s="1"/>
  <c r="R222" i="3"/>
  <c r="S222" i="3" s="1"/>
  <c r="R223" i="3"/>
  <c r="S223" i="3" s="1"/>
  <c r="R224" i="3"/>
  <c r="S224" i="3" s="1"/>
  <c r="V224" i="3" s="1"/>
  <c r="W224" i="3" s="1"/>
  <c r="R225" i="3"/>
  <c r="S225" i="3" s="1"/>
  <c r="R226" i="3"/>
  <c r="S226" i="3" s="1"/>
  <c r="R227" i="3"/>
  <c r="S227" i="3" s="1"/>
  <c r="R228" i="3"/>
  <c r="S228" i="3" s="1"/>
  <c r="R229" i="3"/>
  <c r="S229" i="3" s="1"/>
  <c r="R230" i="3"/>
  <c r="S230" i="3" s="1"/>
  <c r="R231" i="3"/>
  <c r="S231" i="3" s="1"/>
  <c r="R232" i="3"/>
  <c r="S232" i="3" s="1"/>
  <c r="R233" i="3"/>
  <c r="S233" i="3" s="1"/>
  <c r="R234" i="3"/>
  <c r="S234" i="3" s="1"/>
  <c r="R235" i="3"/>
  <c r="S235" i="3" s="1"/>
  <c r="R236" i="3"/>
  <c r="S236" i="3" s="1"/>
  <c r="R237" i="3"/>
  <c r="S237" i="3" s="1"/>
  <c r="R238" i="3"/>
  <c r="S238" i="3" s="1"/>
  <c r="R239" i="3"/>
  <c r="S239" i="3" s="1"/>
  <c r="R240" i="3"/>
  <c r="S240" i="3" s="1"/>
  <c r="R241" i="3"/>
  <c r="S241" i="3" s="1"/>
  <c r="R242" i="3"/>
  <c r="S242" i="3" s="1"/>
  <c r="R243" i="3"/>
  <c r="S243" i="3" s="1"/>
  <c r="R244" i="3"/>
  <c r="S244" i="3" s="1"/>
  <c r="R245" i="3"/>
  <c r="S245" i="3" s="1"/>
  <c r="R246" i="3"/>
  <c r="S246" i="3" s="1"/>
  <c r="R247" i="3"/>
  <c r="S247" i="3" s="1"/>
  <c r="R248" i="3"/>
  <c r="S248" i="3" s="1"/>
  <c r="R249" i="3"/>
  <c r="S249" i="3" s="1"/>
  <c r="R250" i="3"/>
  <c r="S250" i="3" s="1"/>
  <c r="R251" i="3"/>
  <c r="S251" i="3" s="1"/>
  <c r="R252" i="3"/>
  <c r="S252" i="3" s="1"/>
  <c r="R253" i="3"/>
  <c r="S253" i="3" s="1"/>
  <c r="R254" i="3"/>
  <c r="S254" i="3" s="1"/>
  <c r="R255" i="3"/>
  <c r="S255" i="3" s="1"/>
  <c r="R256" i="3"/>
  <c r="S256" i="3" s="1"/>
  <c r="R257" i="3"/>
  <c r="S257" i="3" s="1"/>
  <c r="R258" i="3"/>
  <c r="S258" i="3" s="1"/>
  <c r="R259" i="3"/>
  <c r="S259" i="3" s="1"/>
  <c r="R260" i="3"/>
  <c r="S260" i="3" s="1"/>
  <c r="R261" i="3"/>
  <c r="S261" i="3" s="1"/>
  <c r="R262" i="3"/>
  <c r="S262" i="3" s="1"/>
  <c r="R263" i="3"/>
  <c r="S263" i="3" s="1"/>
  <c r="R264" i="3"/>
  <c r="S264" i="3" s="1"/>
  <c r="R265" i="3"/>
  <c r="S265" i="3" s="1"/>
  <c r="R266" i="3"/>
  <c r="S266" i="3" s="1"/>
  <c r="R267" i="3"/>
  <c r="S267" i="3" s="1"/>
  <c r="R268" i="3"/>
  <c r="S268" i="3" s="1"/>
  <c r="R269" i="3"/>
  <c r="S269" i="3" s="1"/>
  <c r="R270" i="3"/>
  <c r="S270" i="3" s="1"/>
  <c r="R271" i="3"/>
  <c r="S271" i="3" s="1"/>
  <c r="R272" i="3"/>
  <c r="S272" i="3" s="1"/>
  <c r="R273" i="3"/>
  <c r="S273" i="3" s="1"/>
  <c r="R274" i="3"/>
  <c r="S274" i="3" s="1"/>
  <c r="R275" i="3"/>
  <c r="S275" i="3" s="1"/>
  <c r="R276" i="3"/>
  <c r="S276" i="3" s="1"/>
  <c r="R277" i="3"/>
  <c r="S277" i="3" s="1"/>
  <c r="R278" i="3"/>
  <c r="S278" i="3" s="1"/>
  <c r="R279" i="3"/>
  <c r="S279" i="3" s="1"/>
  <c r="R280" i="3"/>
  <c r="S280" i="3" s="1"/>
  <c r="R281" i="3"/>
  <c r="R282" i="3"/>
  <c r="S282" i="3" s="1"/>
  <c r="R283" i="3"/>
  <c r="S283" i="3" s="1"/>
  <c r="R284" i="3"/>
  <c r="S284" i="3" s="1"/>
  <c r="R285" i="3"/>
  <c r="S285" i="3" s="1"/>
  <c r="R286" i="3"/>
  <c r="S286" i="3" s="1"/>
  <c r="R287" i="3"/>
  <c r="S287" i="3" s="1"/>
  <c r="R288" i="3"/>
  <c r="S288" i="3" s="1"/>
  <c r="R289" i="3"/>
  <c r="S289" i="3" s="1"/>
  <c r="R290" i="3"/>
  <c r="S290" i="3" s="1"/>
  <c r="R291" i="3"/>
  <c r="S291" i="3" s="1"/>
  <c r="R292" i="3"/>
  <c r="S292" i="3" s="1"/>
  <c r="R293" i="3"/>
  <c r="S293" i="3" s="1"/>
  <c r="R294" i="3"/>
  <c r="S294" i="3" s="1"/>
  <c r="R295" i="3"/>
  <c r="S295" i="3" s="1"/>
  <c r="R296" i="3"/>
  <c r="S296" i="3" s="1"/>
  <c r="R297" i="3"/>
  <c r="S297" i="3" s="1"/>
  <c r="R298" i="3"/>
  <c r="S298" i="3" s="1"/>
  <c r="R299" i="3"/>
  <c r="S299" i="3" s="1"/>
  <c r="R300" i="3"/>
  <c r="S300" i="3" s="1"/>
  <c r="R301" i="3"/>
  <c r="S301" i="3" s="1"/>
  <c r="R302" i="3"/>
  <c r="S302" i="3" s="1"/>
  <c r="R303" i="3"/>
  <c r="S303" i="3" s="1"/>
  <c r="R304" i="3"/>
  <c r="S304" i="3" s="1"/>
  <c r="R305" i="3"/>
  <c r="S305" i="3" s="1"/>
  <c r="R306" i="3"/>
  <c r="S306" i="3" s="1"/>
  <c r="R307" i="3"/>
  <c r="S307" i="3" s="1"/>
  <c r="R308" i="3"/>
  <c r="S308" i="3" s="1"/>
  <c r="R309" i="3"/>
  <c r="S309" i="3" s="1"/>
  <c r="R310" i="3"/>
  <c r="S310" i="3" s="1"/>
  <c r="R311" i="3"/>
  <c r="S311" i="3" s="1"/>
  <c r="R312" i="3"/>
  <c r="S312" i="3" s="1"/>
  <c r="R313" i="3"/>
  <c r="S313" i="3" s="1"/>
  <c r="R314" i="3"/>
  <c r="S314" i="3" s="1"/>
  <c r="R315" i="3"/>
  <c r="S315" i="3" s="1"/>
  <c r="R316" i="3"/>
  <c r="S316" i="3" s="1"/>
  <c r="R317" i="3"/>
  <c r="S317" i="3" s="1"/>
  <c r="R318" i="3"/>
  <c r="S318" i="3" s="1"/>
  <c r="R319" i="3"/>
  <c r="S319" i="3" s="1"/>
  <c r="R320" i="3"/>
  <c r="S320" i="3" s="1"/>
  <c r="R321" i="3"/>
  <c r="S321" i="3" s="1"/>
  <c r="R322" i="3"/>
  <c r="S322" i="3" s="1"/>
  <c r="R323" i="3"/>
  <c r="S323" i="3" s="1"/>
  <c r="R324" i="3"/>
  <c r="S324" i="3" s="1"/>
  <c r="R325" i="3"/>
  <c r="S325" i="3" s="1"/>
  <c r="R326" i="3"/>
  <c r="S326" i="3" s="1"/>
  <c r="R327" i="3"/>
  <c r="S327" i="3" s="1"/>
  <c r="R328" i="3"/>
  <c r="S328" i="3" s="1"/>
  <c r="R329" i="3"/>
  <c r="S329" i="3" s="1"/>
  <c r="R330" i="3"/>
  <c r="S330" i="3" s="1"/>
  <c r="R331" i="3"/>
  <c r="S331" i="3" s="1"/>
  <c r="R332" i="3"/>
  <c r="S332" i="3" s="1"/>
  <c r="R333" i="3"/>
  <c r="S333" i="3" s="1"/>
  <c r="R334" i="3"/>
  <c r="S334" i="3" s="1"/>
  <c r="R335" i="3"/>
  <c r="S335" i="3" s="1"/>
  <c r="R336" i="3"/>
  <c r="S336" i="3" s="1"/>
  <c r="R337" i="3"/>
  <c r="S337" i="3" s="1"/>
  <c r="R338" i="3"/>
  <c r="S338" i="3" s="1"/>
  <c r="R339" i="3"/>
  <c r="S339" i="3" s="1"/>
  <c r="R340" i="3"/>
  <c r="S340" i="3" s="1"/>
  <c r="R341" i="3"/>
  <c r="S341" i="3" s="1"/>
  <c r="R342" i="3"/>
  <c r="S342" i="3" s="1"/>
  <c r="R343" i="3"/>
  <c r="S343" i="3" s="1"/>
  <c r="R344" i="3"/>
  <c r="S344" i="3" s="1"/>
  <c r="R345" i="3"/>
  <c r="S345" i="3" s="1"/>
  <c r="R346" i="3"/>
  <c r="S346" i="3" s="1"/>
  <c r="R347" i="3"/>
  <c r="S347" i="3" s="1"/>
  <c r="R348" i="3"/>
  <c r="S348" i="3" s="1"/>
  <c r="R349" i="3"/>
  <c r="S349" i="3" s="1"/>
  <c r="R350" i="3"/>
  <c r="S350" i="3" s="1"/>
  <c r="R351" i="3"/>
  <c r="S351" i="3" s="1"/>
  <c r="R352" i="3"/>
  <c r="S352" i="3" s="1"/>
  <c r="R353" i="3"/>
  <c r="S353" i="3" s="1"/>
  <c r="V353" i="3" s="1"/>
  <c r="R354" i="3"/>
  <c r="S354" i="3" s="1"/>
  <c r="R355" i="3"/>
  <c r="S355" i="3" s="1"/>
  <c r="R356" i="3"/>
  <c r="S356" i="3" s="1"/>
  <c r="R357" i="3"/>
  <c r="S357" i="3" s="1"/>
  <c r="V357" i="3" s="1"/>
  <c r="R358" i="3"/>
  <c r="S358" i="3" s="1"/>
  <c r="R359" i="3"/>
  <c r="S359" i="3" s="1"/>
  <c r="R360" i="3"/>
  <c r="S360" i="3" s="1"/>
  <c r="R361" i="3"/>
  <c r="S361" i="3" s="1"/>
  <c r="R362" i="3"/>
  <c r="S362" i="3" s="1"/>
  <c r="R363" i="3"/>
  <c r="S363" i="3" s="1"/>
  <c r="R364" i="3"/>
  <c r="S364" i="3" s="1"/>
  <c r="R365" i="3"/>
  <c r="S365" i="3" s="1"/>
  <c r="R366" i="3"/>
  <c r="S366" i="3" s="1"/>
  <c r="R367" i="3"/>
  <c r="S367" i="3" s="1"/>
  <c r="R368" i="3"/>
  <c r="S368" i="3" s="1"/>
  <c r="R370" i="3"/>
  <c r="S370" i="3" s="1"/>
  <c r="R371" i="3"/>
  <c r="S371" i="3" s="1"/>
  <c r="R372" i="3"/>
  <c r="S372" i="3" s="1"/>
  <c r="R374" i="3"/>
  <c r="S374" i="3" s="1"/>
  <c r="R375" i="3"/>
  <c r="S375" i="3" s="1"/>
  <c r="V375" i="3" s="1"/>
  <c r="R376" i="3"/>
  <c r="S376" i="3" s="1"/>
  <c r="R378" i="3"/>
  <c r="S378" i="3" s="1"/>
  <c r="R379" i="3"/>
  <c r="S379" i="3" s="1"/>
  <c r="R380" i="3"/>
  <c r="S380" i="3" s="1"/>
  <c r="R382" i="3"/>
  <c r="S382" i="3" s="1"/>
  <c r="R383" i="3"/>
  <c r="S383" i="3" s="1"/>
  <c r="R384" i="3"/>
  <c r="S384" i="3" s="1"/>
  <c r="V384" i="3" s="1"/>
  <c r="R386" i="3"/>
  <c r="S386" i="3" s="1"/>
  <c r="R387" i="3"/>
  <c r="S387" i="3" s="1"/>
  <c r="R388" i="3"/>
  <c r="S388" i="3" s="1"/>
  <c r="R390" i="3"/>
  <c r="S390" i="3" s="1"/>
  <c r="R391" i="3"/>
  <c r="S391" i="3" s="1"/>
  <c r="R392" i="3"/>
  <c r="S392" i="3" s="1"/>
  <c r="V392" i="3" s="1"/>
  <c r="R394" i="3"/>
  <c r="S394" i="3" s="1"/>
  <c r="R395" i="3"/>
  <c r="S395" i="3" s="1"/>
  <c r="R396" i="3"/>
  <c r="S396" i="3" s="1"/>
  <c r="R398" i="3"/>
  <c r="S398" i="3" s="1"/>
  <c r="R399" i="3"/>
  <c r="S399" i="3" s="1"/>
  <c r="R400" i="3"/>
  <c r="S400" i="3" s="1"/>
  <c r="R402" i="3"/>
  <c r="S402" i="3" s="1"/>
  <c r="R403" i="3"/>
  <c r="S403" i="3" s="1"/>
  <c r="R404" i="3"/>
  <c r="S404" i="3" s="1"/>
  <c r="R406" i="3"/>
  <c r="S406" i="3" s="1"/>
  <c r="R407" i="3"/>
  <c r="S407" i="3" s="1"/>
  <c r="R408" i="3"/>
  <c r="S408" i="3" s="1"/>
  <c r="R410" i="3"/>
  <c r="S410" i="3" s="1"/>
  <c r="R411" i="3"/>
  <c r="S411" i="3" s="1"/>
  <c r="R412" i="3"/>
  <c r="S412" i="3" s="1"/>
  <c r="R414" i="3"/>
  <c r="S414" i="3" s="1"/>
  <c r="R415" i="3"/>
  <c r="S415" i="3" s="1"/>
  <c r="R416" i="3"/>
  <c r="S416" i="3" s="1"/>
  <c r="R418" i="3"/>
  <c r="S418" i="3" s="1"/>
  <c r="R419" i="3"/>
  <c r="S419" i="3" s="1"/>
  <c r="R420" i="3"/>
  <c r="S420" i="3" s="1"/>
  <c r="R422" i="3"/>
  <c r="S422" i="3" s="1"/>
  <c r="R423" i="3"/>
  <c r="S423" i="3" s="1"/>
  <c r="R424" i="3"/>
  <c r="S424" i="3" s="1"/>
  <c r="V424" i="3" s="1"/>
  <c r="R426" i="3"/>
  <c r="S426" i="3" s="1"/>
  <c r="R427" i="3"/>
  <c r="S427" i="3" s="1"/>
  <c r="R428" i="3"/>
  <c r="S428" i="3" s="1"/>
  <c r="R430" i="3"/>
  <c r="S430" i="3" s="1"/>
  <c r="R431" i="3"/>
  <c r="S431" i="3" s="1"/>
  <c r="R432" i="3"/>
  <c r="S432" i="3" s="1"/>
  <c r="R434" i="3"/>
  <c r="S434" i="3" s="1"/>
  <c r="R435" i="3"/>
  <c r="S435" i="3" s="1"/>
  <c r="R436" i="3"/>
  <c r="S436" i="3" s="1"/>
  <c r="R438" i="3"/>
  <c r="S438" i="3" s="1"/>
  <c r="R439" i="3"/>
  <c r="S439" i="3" s="1"/>
  <c r="R440" i="3"/>
  <c r="S440" i="3" s="1"/>
  <c r="R442" i="3"/>
  <c r="S442" i="3" s="1"/>
  <c r="R443" i="3"/>
  <c r="S443" i="3" s="1"/>
  <c r="R444" i="3"/>
  <c r="S444" i="3" s="1"/>
  <c r="R446" i="3"/>
  <c r="S446" i="3" s="1"/>
  <c r="R447" i="3"/>
  <c r="S447" i="3" s="1"/>
  <c r="R448" i="3"/>
  <c r="S448" i="3" s="1"/>
  <c r="R450" i="3"/>
  <c r="S450" i="3" s="1"/>
  <c r="R451" i="3"/>
  <c r="S451" i="3" s="1"/>
  <c r="R452" i="3"/>
  <c r="S452" i="3" s="1"/>
  <c r="R454" i="3"/>
  <c r="S454" i="3" s="1"/>
  <c r="R455" i="3"/>
  <c r="S455" i="3" s="1"/>
  <c r="R456" i="3"/>
  <c r="S456" i="3" s="1"/>
  <c r="R458" i="3"/>
  <c r="S458" i="3" s="1"/>
  <c r="R459" i="3"/>
  <c r="S459" i="3" s="1"/>
  <c r="R460" i="3"/>
  <c r="S460" i="3" s="1"/>
  <c r="R462" i="3"/>
  <c r="S462" i="3" s="1"/>
  <c r="R463" i="3"/>
  <c r="S463" i="3" s="1"/>
  <c r="R464" i="3"/>
  <c r="S464" i="3" s="1"/>
  <c r="R466" i="3"/>
  <c r="S466" i="3" s="1"/>
  <c r="R467" i="3"/>
  <c r="S467" i="3" s="1"/>
  <c r="R468" i="3"/>
  <c r="S468" i="3" s="1"/>
  <c r="R470" i="3"/>
  <c r="S470" i="3" s="1"/>
  <c r="R471" i="3"/>
  <c r="S471" i="3" s="1"/>
  <c r="R472" i="3"/>
  <c r="S472" i="3" s="1"/>
  <c r="R474" i="3"/>
  <c r="S474" i="3" s="1"/>
  <c r="R475" i="3"/>
  <c r="S475" i="3" s="1"/>
  <c r="R476" i="3"/>
  <c r="S476" i="3" s="1"/>
  <c r="R478" i="3"/>
  <c r="S478" i="3" s="1"/>
  <c r="R479" i="3"/>
  <c r="S479" i="3" s="1"/>
  <c r="R480" i="3"/>
  <c r="S480" i="3" s="1"/>
  <c r="R482" i="3"/>
  <c r="S482" i="3" s="1"/>
  <c r="R483" i="3"/>
  <c r="S483" i="3" s="1"/>
  <c r="R484" i="3"/>
  <c r="S484" i="3" s="1"/>
  <c r="R486" i="3"/>
  <c r="S486" i="3" s="1"/>
  <c r="R487" i="3"/>
  <c r="S487" i="3" s="1"/>
  <c r="R488" i="3"/>
  <c r="S488" i="3" s="1"/>
  <c r="R490" i="3"/>
  <c r="S490" i="3" s="1"/>
  <c r="R491" i="3"/>
  <c r="S491" i="3" s="1"/>
  <c r="R492" i="3"/>
  <c r="S492" i="3" s="1"/>
  <c r="R494" i="3"/>
  <c r="S494" i="3" s="1"/>
  <c r="R495" i="3"/>
  <c r="S495" i="3" s="1"/>
  <c r="R496" i="3"/>
  <c r="S496" i="3" s="1"/>
  <c r="R498" i="3"/>
  <c r="S498" i="3" s="1"/>
  <c r="R499" i="3"/>
  <c r="S499" i="3" s="1"/>
  <c r="R502" i="3"/>
  <c r="R503" i="3"/>
  <c r="S503" i="3" s="1"/>
  <c r="R504" i="3"/>
  <c r="S504" i="3" s="1"/>
  <c r="R506" i="3"/>
  <c r="S506" i="3" s="1"/>
  <c r="R507" i="3"/>
  <c r="S507" i="3" s="1"/>
  <c r="R508" i="3"/>
  <c r="S508" i="3" s="1"/>
  <c r="R510" i="3"/>
  <c r="S510" i="3" s="1"/>
  <c r="R511" i="3"/>
  <c r="S511" i="3" s="1"/>
  <c r="R514" i="3"/>
  <c r="S514" i="3" s="1"/>
  <c r="R515" i="3"/>
  <c r="S515" i="3" s="1"/>
  <c r="R518" i="3"/>
  <c r="S518" i="3" s="1"/>
  <c r="R519" i="3"/>
  <c r="S519" i="3" s="1"/>
  <c r="R520" i="3"/>
  <c r="S520" i="3" s="1"/>
  <c r="R522" i="3"/>
  <c r="S522" i="3" s="1"/>
  <c r="R523" i="3"/>
  <c r="S523" i="3" s="1"/>
  <c r="R526" i="3"/>
  <c r="S526" i="3" s="1"/>
  <c r="R527" i="3"/>
  <c r="S527" i="3" s="1"/>
  <c r="R530" i="3"/>
  <c r="S530" i="3" s="1"/>
  <c r="R531" i="3"/>
  <c r="S531" i="3" s="1"/>
  <c r="R534" i="3"/>
  <c r="S534" i="3" s="1"/>
  <c r="R535" i="3"/>
  <c r="S535" i="3" s="1"/>
  <c r="R536" i="3"/>
  <c r="S536" i="3" s="1"/>
  <c r="R538" i="3"/>
  <c r="S538" i="3" s="1"/>
  <c r="R539" i="3"/>
  <c r="S539" i="3" s="1"/>
  <c r="R542" i="3"/>
  <c r="R543" i="3"/>
  <c r="S543" i="3" s="1"/>
  <c r="R546" i="3"/>
  <c r="S546" i="3" s="1"/>
  <c r="R547" i="3"/>
  <c r="S547" i="3" s="1"/>
  <c r="R550" i="3"/>
  <c r="S550" i="3" s="1"/>
  <c r="R551" i="3"/>
  <c r="S551" i="3" s="1"/>
  <c r="R554" i="3"/>
  <c r="S554" i="3" s="1"/>
  <c r="R555" i="3"/>
  <c r="S555" i="3" s="1"/>
  <c r="R556" i="3"/>
  <c r="S556" i="3" s="1"/>
  <c r="R558" i="3"/>
  <c r="S558" i="3" s="1"/>
  <c r="R559" i="3"/>
  <c r="S559" i="3" s="1"/>
  <c r="R562" i="3"/>
  <c r="S562" i="3" s="1"/>
  <c r="R563" i="3"/>
  <c r="S563" i="3" s="1"/>
  <c r="R566" i="3"/>
  <c r="S566" i="3" s="1"/>
  <c r="V566" i="3" s="1"/>
  <c r="R567" i="3"/>
  <c r="S567" i="3" s="1"/>
  <c r="R570" i="3"/>
  <c r="S570" i="3" s="1"/>
  <c r="R571" i="3"/>
  <c r="S571" i="3" s="1"/>
  <c r="R574" i="3"/>
  <c r="S574" i="3" s="1"/>
  <c r="R575" i="3"/>
  <c r="S575" i="3" s="1"/>
  <c r="R578" i="3"/>
  <c r="S578" i="3" s="1"/>
  <c r="R579" i="3"/>
  <c r="S579" i="3" s="1"/>
  <c r="R582" i="3"/>
  <c r="S582" i="3" s="1"/>
  <c r="R583" i="3"/>
  <c r="S583" i="3" s="1"/>
  <c r="R586" i="3"/>
  <c r="S586" i="3" s="1"/>
  <c r="R587" i="3"/>
  <c r="R590" i="3"/>
  <c r="S590" i="3" s="1"/>
  <c r="R591" i="3"/>
  <c r="S591" i="3" s="1"/>
  <c r="R594" i="3"/>
  <c r="S594" i="3" s="1"/>
  <c r="R595" i="3"/>
  <c r="S595" i="3" s="1"/>
  <c r="R598" i="3"/>
  <c r="S598" i="3" s="1"/>
  <c r="R599" i="3"/>
  <c r="S599" i="3" s="1"/>
  <c r="V599" i="3" s="1"/>
  <c r="R602" i="3"/>
  <c r="S602" i="3" s="1"/>
  <c r="R603" i="3"/>
  <c r="S603" i="3" s="1"/>
  <c r="R606" i="3"/>
  <c r="S606" i="3" s="1"/>
  <c r="V606" i="3" s="1"/>
  <c r="R607" i="3"/>
  <c r="S607" i="3" s="1"/>
  <c r="R610" i="3"/>
  <c r="S610" i="3" s="1"/>
  <c r="R611" i="3"/>
  <c r="S611" i="3" s="1"/>
  <c r="R614" i="3"/>
  <c r="S614" i="3" s="1"/>
  <c r="R615" i="3"/>
  <c r="S615" i="3" s="1"/>
  <c r="R618" i="3"/>
  <c r="S618" i="3" s="1"/>
  <c r="R619" i="3"/>
  <c r="S619" i="3" s="1"/>
  <c r="R622" i="3"/>
  <c r="R623" i="3"/>
  <c r="S623" i="3" s="1"/>
  <c r="V623" i="3" s="1"/>
  <c r="R626" i="3"/>
  <c r="S626" i="3" s="1"/>
  <c r="R627" i="3"/>
  <c r="S627" i="3" s="1"/>
  <c r="V627" i="3" s="1"/>
  <c r="R630" i="3"/>
  <c r="S630" i="3" s="1"/>
  <c r="R631" i="3"/>
  <c r="S631" i="3" s="1"/>
  <c r="R634" i="3"/>
  <c r="S634" i="3" s="1"/>
  <c r="R635" i="3"/>
  <c r="S635" i="3" s="1"/>
  <c r="V635" i="3" s="1"/>
  <c r="R638" i="3"/>
  <c r="R639" i="3"/>
  <c r="S639" i="3" s="1"/>
  <c r="V639" i="3" s="1"/>
  <c r="R642" i="3"/>
  <c r="S642" i="3" s="1"/>
  <c r="R643" i="3"/>
  <c r="S643" i="3" s="1"/>
  <c r="R646" i="3"/>
  <c r="S646" i="3" s="1"/>
  <c r="R647" i="3"/>
  <c r="S647" i="3" s="1"/>
  <c r="R650" i="3"/>
  <c r="S650" i="3" s="1"/>
  <c r="R651" i="3"/>
  <c r="S651" i="3" s="1"/>
  <c r="R654" i="3"/>
  <c r="S654" i="3" s="1"/>
  <c r="R655" i="3"/>
  <c r="S655" i="3" s="1"/>
  <c r="V655" i="3" s="1"/>
  <c r="R658" i="3"/>
  <c r="S658" i="3" s="1"/>
  <c r="R659" i="3"/>
  <c r="S659" i="3" s="1"/>
  <c r="R662" i="3"/>
  <c r="S662" i="3" s="1"/>
  <c r="R663" i="3"/>
  <c r="S663" i="3" s="1"/>
  <c r="R666" i="3"/>
  <c r="S666" i="3" s="1"/>
  <c r="R667" i="3"/>
  <c r="S667" i="3" s="1"/>
  <c r="R670" i="3"/>
  <c r="S670" i="3" s="1"/>
  <c r="R671" i="3"/>
  <c r="S671" i="3" s="1"/>
  <c r="R674" i="3"/>
  <c r="S674" i="3" s="1"/>
  <c r="R675" i="3"/>
  <c r="S675" i="3" s="1"/>
  <c r="R678" i="3"/>
  <c r="S678" i="3" s="1"/>
  <c r="R679" i="3"/>
  <c r="S679" i="3" s="1"/>
  <c r="R682" i="3"/>
  <c r="S682" i="3" s="1"/>
  <c r="R683" i="3"/>
  <c r="S683" i="3" s="1"/>
  <c r="R686" i="3"/>
  <c r="S686" i="3" s="1"/>
  <c r="R687" i="3"/>
  <c r="S687" i="3" s="1"/>
  <c r="R690" i="3"/>
  <c r="S690" i="3" s="1"/>
  <c r="R691" i="3"/>
  <c r="S691" i="3" s="1"/>
  <c r="R694" i="3"/>
  <c r="S694" i="3" s="1"/>
  <c r="R695" i="3"/>
  <c r="S695" i="3" s="1"/>
  <c r="R698" i="3"/>
  <c r="S698" i="3" s="1"/>
  <c r="R699" i="3"/>
  <c r="S699" i="3" s="1"/>
  <c r="R702" i="3"/>
  <c r="R703" i="3"/>
  <c r="S703" i="3" s="1"/>
  <c r="R706" i="3"/>
  <c r="S706" i="3" s="1"/>
  <c r="R707" i="3"/>
  <c r="S707" i="3" s="1"/>
  <c r="R710" i="3"/>
  <c r="S710" i="3" s="1"/>
  <c r="R711" i="3"/>
  <c r="S711" i="3" s="1"/>
  <c r="V711" i="3" s="1"/>
  <c r="R714" i="3"/>
  <c r="S714" i="3" s="1"/>
  <c r="R715" i="3"/>
  <c r="S715" i="3" s="1"/>
  <c r="R718" i="3"/>
  <c r="S718" i="3" s="1"/>
  <c r="R719" i="3"/>
  <c r="S719" i="3" s="1"/>
  <c r="R722" i="3"/>
  <c r="S722" i="3" s="1"/>
  <c r="R723" i="3"/>
  <c r="S723" i="3" s="1"/>
  <c r="R726" i="3"/>
  <c r="S726" i="3" s="1"/>
  <c r="R727" i="3"/>
  <c r="S727" i="3" s="1"/>
  <c r="R730" i="3"/>
  <c r="S730" i="3" s="1"/>
  <c r="R731" i="3"/>
  <c r="S731" i="3" s="1"/>
  <c r="R734" i="3"/>
  <c r="R735" i="3"/>
  <c r="S735" i="3" s="1"/>
  <c r="R738" i="3"/>
  <c r="S738" i="3" s="1"/>
  <c r="R739" i="3"/>
  <c r="S739" i="3" s="1"/>
  <c r="R742" i="3"/>
  <c r="S742" i="3" s="1"/>
  <c r="R743" i="3"/>
  <c r="S743" i="3" s="1"/>
  <c r="R746" i="3"/>
  <c r="S746" i="3" s="1"/>
  <c r="R747" i="3"/>
  <c r="S747" i="3" s="1"/>
  <c r="R750" i="3"/>
  <c r="S750" i="3" s="1"/>
  <c r="R751" i="3"/>
  <c r="S751" i="3" s="1"/>
  <c r="V751" i="3" s="1"/>
  <c r="R754" i="3"/>
  <c r="S754" i="3" s="1"/>
  <c r="R755" i="3"/>
  <c r="S755" i="3" s="1"/>
  <c r="R758" i="3"/>
  <c r="S758" i="3" s="1"/>
  <c r="R759" i="3"/>
  <c r="S759" i="3" s="1"/>
  <c r="V759" i="3" s="1"/>
  <c r="R762" i="3"/>
  <c r="S762" i="3" s="1"/>
  <c r="R763" i="3"/>
  <c r="S763" i="3" s="1"/>
  <c r="R766" i="3"/>
  <c r="R767" i="3"/>
  <c r="S767" i="3" s="1"/>
  <c r="V767" i="3" s="1"/>
  <c r="R770" i="3"/>
  <c r="S770" i="3" s="1"/>
  <c r="R771" i="3"/>
  <c r="S771" i="3" s="1"/>
  <c r="R774" i="3"/>
  <c r="S774" i="3" s="1"/>
  <c r="R775" i="3"/>
  <c r="S775" i="3" s="1"/>
  <c r="V775" i="3" s="1"/>
  <c r="R778" i="3"/>
  <c r="S778" i="3" s="1"/>
  <c r="R779" i="3"/>
  <c r="S779" i="3" s="1"/>
  <c r="R782" i="3"/>
  <c r="S782" i="3" s="1"/>
  <c r="R783" i="3"/>
  <c r="S783" i="3" s="1"/>
  <c r="R786" i="3"/>
  <c r="S786" i="3" s="1"/>
  <c r="R787" i="3"/>
  <c r="S787" i="3" s="1"/>
  <c r="R790" i="3"/>
  <c r="R791" i="3"/>
  <c r="S791" i="3" s="1"/>
  <c r="V791" i="3" s="1"/>
  <c r="R794" i="3"/>
  <c r="S794" i="3" s="1"/>
  <c r="R795" i="3"/>
  <c r="S795" i="3" s="1"/>
  <c r="R798" i="3"/>
  <c r="S798" i="3" s="1"/>
  <c r="R799" i="3"/>
  <c r="S799" i="3" s="1"/>
  <c r="V799" i="3" s="1"/>
  <c r="R802" i="3"/>
  <c r="S802" i="3" s="1"/>
  <c r="R803" i="3"/>
  <c r="S803" i="3" s="1"/>
  <c r="R806" i="3"/>
  <c r="S806" i="3" s="1"/>
  <c r="R807" i="3"/>
  <c r="S807" i="3" s="1"/>
  <c r="V807" i="3" s="1"/>
  <c r="R810" i="3"/>
  <c r="S810" i="3" s="1"/>
  <c r="R811" i="3"/>
  <c r="S811" i="3" s="1"/>
  <c r="R814" i="3"/>
  <c r="S814" i="3" s="1"/>
  <c r="R815" i="3"/>
  <c r="S815" i="3" s="1"/>
  <c r="R818" i="3"/>
  <c r="S818" i="3" s="1"/>
  <c r="R819" i="3"/>
  <c r="S819" i="3" s="1"/>
  <c r="R822" i="3"/>
  <c r="S822" i="3" s="1"/>
  <c r="R823" i="3"/>
  <c r="S823" i="3" s="1"/>
  <c r="V823" i="3" s="1"/>
  <c r="R826" i="3"/>
  <c r="S826" i="3" s="1"/>
  <c r="R827" i="3"/>
  <c r="S827" i="3" s="1"/>
  <c r="R830" i="3"/>
  <c r="S830" i="3" s="1"/>
  <c r="R831" i="3"/>
  <c r="S831" i="3" s="1"/>
  <c r="R834" i="3"/>
  <c r="S834" i="3" s="1"/>
  <c r="R835" i="3"/>
  <c r="S835" i="3" s="1"/>
  <c r="R838" i="3"/>
  <c r="S838" i="3" s="1"/>
  <c r="R839" i="3"/>
  <c r="S839" i="3" s="1"/>
  <c r="R842" i="3"/>
  <c r="S842" i="3" s="1"/>
  <c r="R843" i="3"/>
  <c r="S843" i="3" s="1"/>
  <c r="R846" i="3"/>
  <c r="S846" i="3" s="1"/>
  <c r="R847" i="3"/>
  <c r="S847" i="3" s="1"/>
  <c r="R850" i="3"/>
  <c r="R851" i="3"/>
  <c r="S851" i="3" s="1"/>
  <c r="R854" i="3"/>
  <c r="S854" i="3" s="1"/>
  <c r="R855" i="3"/>
  <c r="S855" i="3" s="1"/>
  <c r="R858" i="3"/>
  <c r="S858" i="3" s="1"/>
  <c r="R859" i="3"/>
  <c r="S859" i="3" s="1"/>
  <c r="R862" i="3"/>
  <c r="S862" i="3" s="1"/>
  <c r="R863" i="3"/>
  <c r="S863" i="3" s="1"/>
  <c r="R866" i="3"/>
  <c r="S866" i="3" s="1"/>
  <c r="R867" i="3"/>
  <c r="S867" i="3" s="1"/>
  <c r="R870" i="3"/>
  <c r="S870" i="3" s="1"/>
  <c r="R871" i="3"/>
  <c r="S871" i="3" s="1"/>
  <c r="R874" i="3"/>
  <c r="S874" i="3" s="1"/>
  <c r="R875" i="3"/>
  <c r="R878" i="3"/>
  <c r="S878" i="3" s="1"/>
  <c r="R879" i="3"/>
  <c r="S879" i="3" s="1"/>
  <c r="R882" i="3"/>
  <c r="S882" i="3" s="1"/>
  <c r="R883" i="3"/>
  <c r="S883" i="3" s="1"/>
  <c r="R886" i="3"/>
  <c r="S886" i="3" s="1"/>
  <c r="R887" i="3"/>
  <c r="S887" i="3" s="1"/>
  <c r="V887" i="3" s="1"/>
  <c r="R890" i="3"/>
  <c r="S890" i="3" s="1"/>
  <c r="R891" i="3"/>
  <c r="S891" i="3" s="1"/>
  <c r="R894" i="3"/>
  <c r="S894" i="3" s="1"/>
  <c r="R895" i="3"/>
  <c r="S895" i="3" s="1"/>
  <c r="V895" i="3" s="1"/>
  <c r="R898" i="3"/>
  <c r="S898" i="3" s="1"/>
  <c r="R899" i="3"/>
  <c r="S899" i="3" s="1"/>
  <c r="R902" i="3"/>
  <c r="S902" i="3" s="1"/>
  <c r="R903" i="3"/>
  <c r="S903" i="3" s="1"/>
  <c r="V903" i="3" s="1"/>
  <c r="R906" i="3"/>
  <c r="S906" i="3" s="1"/>
  <c r="R907" i="3"/>
  <c r="S907" i="3" s="1"/>
  <c r="R910" i="3"/>
  <c r="S910" i="3" s="1"/>
  <c r="R911" i="3"/>
  <c r="S911" i="3" s="1"/>
  <c r="R914" i="3"/>
  <c r="S914" i="3" s="1"/>
  <c r="R915" i="3"/>
  <c r="S915" i="3" s="1"/>
  <c r="R918" i="3"/>
  <c r="S918" i="3" s="1"/>
  <c r="R919" i="3"/>
  <c r="S919" i="3" s="1"/>
  <c r="R922" i="3"/>
  <c r="S922" i="3" s="1"/>
  <c r="R923" i="3"/>
  <c r="S923" i="3" s="1"/>
  <c r="R926" i="3"/>
  <c r="S926" i="3" s="1"/>
  <c r="R927" i="3"/>
  <c r="S927" i="3" s="1"/>
  <c r="R930" i="3"/>
  <c r="S930" i="3" s="1"/>
  <c r="R931" i="3"/>
  <c r="S931" i="3" s="1"/>
  <c r="R934" i="3"/>
  <c r="S934" i="3" s="1"/>
  <c r="R935" i="3"/>
  <c r="S935" i="3" s="1"/>
  <c r="R938" i="3"/>
  <c r="S938" i="3" s="1"/>
  <c r="R939" i="3"/>
  <c r="S939" i="3" s="1"/>
  <c r="R942" i="3"/>
  <c r="S942" i="3" s="1"/>
  <c r="R943" i="3"/>
  <c r="S943" i="3" s="1"/>
  <c r="R946" i="3"/>
  <c r="S946" i="3" s="1"/>
  <c r="R947" i="3"/>
  <c r="S947" i="3" s="1"/>
  <c r="R950" i="3"/>
  <c r="S950" i="3" s="1"/>
  <c r="R951" i="3"/>
  <c r="S951" i="3" s="1"/>
  <c r="R954" i="3"/>
  <c r="S954" i="3" s="1"/>
  <c r="R955" i="3"/>
  <c r="S955" i="3" s="1"/>
  <c r="R958" i="3"/>
  <c r="R959" i="3"/>
  <c r="S959" i="3" s="1"/>
  <c r="R962" i="3"/>
  <c r="R963" i="3"/>
  <c r="S963" i="3" s="1"/>
  <c r="R966" i="3"/>
  <c r="S966" i="3" s="1"/>
  <c r="R967" i="3"/>
  <c r="S967" i="3" s="1"/>
  <c r="R970" i="3"/>
  <c r="S970" i="3" s="1"/>
  <c r="R971" i="3"/>
  <c r="S971" i="3" s="1"/>
  <c r="R974" i="3"/>
  <c r="S974" i="3" s="1"/>
  <c r="R975" i="3"/>
  <c r="S975" i="3" s="1"/>
  <c r="R978" i="3"/>
  <c r="S978" i="3" s="1"/>
  <c r="V978" i="3" s="1"/>
  <c r="R979" i="3"/>
  <c r="S979" i="3" s="1"/>
  <c r="R982" i="3"/>
  <c r="S982" i="3" s="1"/>
  <c r="R983" i="3"/>
  <c r="S983" i="3" s="1"/>
  <c r="R986" i="3"/>
  <c r="S986" i="3" s="1"/>
  <c r="R987" i="3"/>
  <c r="S987" i="3" s="1"/>
  <c r="R990" i="3"/>
  <c r="S990" i="3" s="1"/>
  <c r="R991" i="3"/>
  <c r="S991" i="3" s="1"/>
  <c r="R994" i="3"/>
  <c r="S994" i="3" s="1"/>
  <c r="R995" i="3"/>
  <c r="S995" i="3" s="1"/>
  <c r="R998" i="3"/>
  <c r="S998" i="3" s="1"/>
  <c r="R999" i="3"/>
  <c r="S999" i="3" s="1"/>
  <c r="R1002" i="3"/>
  <c r="S1002" i="3" s="1"/>
  <c r="R1003" i="3"/>
  <c r="S1003" i="3" s="1"/>
  <c r="R1006" i="3"/>
  <c r="S1006" i="3" s="1"/>
  <c r="R1007" i="3"/>
  <c r="S1007" i="3" s="1"/>
  <c r="R1010" i="3"/>
  <c r="S1010" i="3" s="1"/>
  <c r="R1011" i="3"/>
  <c r="S1011" i="3" s="1"/>
  <c r="R1014" i="3"/>
  <c r="S1014" i="3" s="1"/>
  <c r="R1015" i="3"/>
  <c r="S1015" i="3" s="1"/>
  <c r="R1018" i="3"/>
  <c r="S1018" i="3" s="1"/>
  <c r="R1019" i="3"/>
  <c r="S1019" i="3" s="1"/>
  <c r="R1022" i="3"/>
  <c r="S1022" i="3" s="1"/>
  <c r="R1023" i="3"/>
  <c r="S1023" i="3" s="1"/>
  <c r="R1026" i="3"/>
  <c r="S1026" i="3" s="1"/>
  <c r="R1027" i="3"/>
  <c r="S1027" i="3" s="1"/>
  <c r="R1030" i="3"/>
  <c r="S1030" i="3" s="1"/>
  <c r="R1031" i="3"/>
  <c r="S1031" i="3" s="1"/>
  <c r="R1034" i="3"/>
  <c r="S1034" i="3" s="1"/>
  <c r="R1035" i="3"/>
  <c r="S1035" i="3" s="1"/>
  <c r="R1038" i="3"/>
  <c r="S1038" i="3" s="1"/>
  <c r="R1039" i="3"/>
  <c r="S1039" i="3" s="1"/>
  <c r="R1042" i="3"/>
  <c r="S1042" i="3" s="1"/>
  <c r="R1043" i="3"/>
  <c r="S1043" i="3" s="1"/>
  <c r="R1046" i="3"/>
  <c r="S1046" i="3" s="1"/>
  <c r="R1047" i="3"/>
  <c r="S1047" i="3" s="1"/>
  <c r="R1050" i="3"/>
  <c r="S1050" i="3" s="1"/>
  <c r="R1051" i="3"/>
  <c r="S1051" i="3" s="1"/>
  <c r="R1054" i="3"/>
  <c r="S1054" i="3" s="1"/>
  <c r="R1055" i="3"/>
  <c r="S1055" i="3" s="1"/>
  <c r="R1058" i="3"/>
  <c r="S1058" i="3" s="1"/>
  <c r="R1059" i="3"/>
  <c r="S1059" i="3" s="1"/>
  <c r="R1062" i="3"/>
  <c r="S1062" i="3" s="1"/>
  <c r="V1062" i="3" s="1"/>
  <c r="R1063" i="3"/>
  <c r="S1063" i="3" s="1"/>
  <c r="R1066" i="3"/>
  <c r="S1066" i="3" s="1"/>
  <c r="R1067" i="3"/>
  <c r="S1067" i="3" s="1"/>
  <c r="R1070" i="3"/>
  <c r="S1070" i="3" s="1"/>
  <c r="R1071" i="3"/>
  <c r="S1071" i="3" s="1"/>
  <c r="R1074" i="3"/>
  <c r="R1075" i="3"/>
  <c r="S1075" i="3" s="1"/>
  <c r="R1078" i="3"/>
  <c r="S1078" i="3" s="1"/>
  <c r="S99" i="3"/>
  <c r="S281" i="3"/>
  <c r="S502" i="3"/>
  <c r="S542" i="3"/>
  <c r="S587" i="3"/>
  <c r="S622" i="3"/>
  <c r="S638" i="3"/>
  <c r="S702" i="3"/>
  <c r="S734" i="3"/>
  <c r="S766" i="3"/>
  <c r="S790" i="3"/>
  <c r="S850" i="3"/>
  <c r="S875" i="3"/>
  <c r="S958" i="3"/>
  <c r="S962" i="3"/>
  <c r="S1074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6" i="3"/>
  <c r="T407" i="3"/>
  <c r="T408" i="3"/>
  <c r="T410" i="3"/>
  <c r="T411" i="3"/>
  <c r="T412" i="3"/>
  <c r="T414" i="3"/>
  <c r="T415" i="3"/>
  <c r="T416" i="3"/>
  <c r="T418" i="3"/>
  <c r="T419" i="3"/>
  <c r="T420" i="3"/>
  <c r="T422" i="3"/>
  <c r="T423" i="3"/>
  <c r="T424" i="3"/>
  <c r="T426" i="3"/>
  <c r="T427" i="3"/>
  <c r="T428" i="3"/>
  <c r="T430" i="3"/>
  <c r="T431" i="3"/>
  <c r="T432" i="3"/>
  <c r="T434" i="3"/>
  <c r="T435" i="3"/>
  <c r="T436" i="3"/>
  <c r="T438" i="3"/>
  <c r="T439" i="3"/>
  <c r="T440" i="3"/>
  <c r="T442" i="3"/>
  <c r="T443" i="3"/>
  <c r="T444" i="3"/>
  <c r="T446" i="3"/>
  <c r="T447" i="3"/>
  <c r="T448" i="3"/>
  <c r="T450" i="3"/>
  <c r="T451" i="3"/>
  <c r="T452" i="3"/>
  <c r="T454" i="3"/>
  <c r="T455" i="3"/>
  <c r="T456" i="3"/>
  <c r="T458" i="3"/>
  <c r="T459" i="3"/>
  <c r="T460" i="3"/>
  <c r="T462" i="3"/>
  <c r="T463" i="3"/>
  <c r="T464" i="3"/>
  <c r="T466" i="3"/>
  <c r="T467" i="3"/>
  <c r="T468" i="3"/>
  <c r="T470" i="3"/>
  <c r="T471" i="3"/>
  <c r="T472" i="3"/>
  <c r="T474" i="3"/>
  <c r="T475" i="3"/>
  <c r="T476" i="3"/>
  <c r="T478" i="3"/>
  <c r="T479" i="3"/>
  <c r="T482" i="3"/>
  <c r="T483" i="3"/>
  <c r="T484" i="3"/>
  <c r="T486" i="3"/>
  <c r="T487" i="3"/>
  <c r="T488" i="3"/>
  <c r="T490" i="3"/>
  <c r="T491" i="3"/>
  <c r="T492" i="3"/>
  <c r="T494" i="3"/>
  <c r="T495" i="3"/>
  <c r="T498" i="3"/>
  <c r="T499" i="3"/>
  <c r="T500" i="3"/>
  <c r="T502" i="3"/>
  <c r="T503" i="3"/>
  <c r="T504" i="3"/>
  <c r="T506" i="3"/>
  <c r="T507" i="3"/>
  <c r="T508" i="3"/>
  <c r="T510" i="3"/>
  <c r="T511" i="3"/>
  <c r="T514" i="3"/>
  <c r="T515" i="3"/>
  <c r="T518" i="3"/>
  <c r="T519" i="3"/>
  <c r="T520" i="3"/>
  <c r="T522" i="3"/>
  <c r="T523" i="3"/>
  <c r="T524" i="3"/>
  <c r="T526" i="3"/>
  <c r="T527" i="3"/>
  <c r="T530" i="3"/>
  <c r="T531" i="3"/>
  <c r="T532" i="3"/>
  <c r="T534" i="3"/>
  <c r="T535" i="3"/>
  <c r="T536" i="3"/>
  <c r="T538" i="3"/>
  <c r="T539" i="3"/>
  <c r="T542" i="3"/>
  <c r="T543" i="3"/>
  <c r="T546" i="3"/>
  <c r="T547" i="3"/>
  <c r="T550" i="3"/>
  <c r="T551" i="3"/>
  <c r="T554" i="3"/>
  <c r="T555" i="3"/>
  <c r="T558" i="3"/>
  <c r="T559" i="3"/>
  <c r="T562" i="3"/>
  <c r="T563" i="3"/>
  <c r="T566" i="3"/>
  <c r="T567" i="3"/>
  <c r="T570" i="3"/>
  <c r="T571" i="3"/>
  <c r="T574" i="3"/>
  <c r="T575" i="3"/>
  <c r="T578" i="3"/>
  <c r="T579" i="3"/>
  <c r="T582" i="3"/>
  <c r="T583" i="3"/>
  <c r="T586" i="3"/>
  <c r="T587" i="3"/>
  <c r="T590" i="3"/>
  <c r="T591" i="3"/>
  <c r="T594" i="3"/>
  <c r="T595" i="3"/>
  <c r="T598" i="3"/>
  <c r="T599" i="3"/>
  <c r="T602" i="3"/>
  <c r="T603" i="3"/>
  <c r="T606" i="3"/>
  <c r="T607" i="3"/>
  <c r="T610" i="3"/>
  <c r="T611" i="3"/>
  <c r="T614" i="3"/>
  <c r="T615" i="3"/>
  <c r="T618" i="3"/>
  <c r="T619" i="3"/>
  <c r="T622" i="3"/>
  <c r="T623" i="3"/>
  <c r="T626" i="3"/>
  <c r="T627" i="3"/>
  <c r="T630" i="3"/>
  <c r="T631" i="3"/>
  <c r="T634" i="3"/>
  <c r="T635" i="3"/>
  <c r="T638" i="3"/>
  <c r="T639" i="3"/>
  <c r="T642" i="3"/>
  <c r="T643" i="3"/>
  <c r="T646" i="3"/>
  <c r="T647" i="3"/>
  <c r="T650" i="3"/>
  <c r="T651" i="3"/>
  <c r="T654" i="3"/>
  <c r="T655" i="3"/>
  <c r="T658" i="3"/>
  <c r="T659" i="3"/>
  <c r="T662" i="3"/>
  <c r="T663" i="3"/>
  <c r="T666" i="3"/>
  <c r="T667" i="3"/>
  <c r="T670" i="3"/>
  <c r="T671" i="3"/>
  <c r="T674" i="3"/>
  <c r="T675" i="3"/>
  <c r="T678" i="3"/>
  <c r="T679" i="3"/>
  <c r="T682" i="3"/>
  <c r="T683" i="3"/>
  <c r="T686" i="3"/>
  <c r="T687" i="3"/>
  <c r="T690" i="3"/>
  <c r="T691" i="3"/>
  <c r="T694" i="3"/>
  <c r="T695" i="3"/>
  <c r="T698" i="3"/>
  <c r="T699" i="3"/>
  <c r="T702" i="3"/>
  <c r="T703" i="3"/>
  <c r="T706" i="3"/>
  <c r="T707" i="3"/>
  <c r="T710" i="3"/>
  <c r="T711" i="3"/>
  <c r="T714" i="3"/>
  <c r="T715" i="3"/>
  <c r="T718" i="3"/>
  <c r="T719" i="3"/>
  <c r="T722" i="3"/>
  <c r="T723" i="3"/>
  <c r="T726" i="3"/>
  <c r="T727" i="3"/>
  <c r="T730" i="3"/>
  <c r="T731" i="3"/>
  <c r="T734" i="3"/>
  <c r="T735" i="3"/>
  <c r="T738" i="3"/>
  <c r="T739" i="3"/>
  <c r="T742" i="3"/>
  <c r="T743" i="3"/>
  <c r="T746" i="3"/>
  <c r="T747" i="3"/>
  <c r="T750" i="3"/>
  <c r="T751" i="3"/>
  <c r="T754" i="3"/>
  <c r="T755" i="3"/>
  <c r="T758" i="3"/>
  <c r="T759" i="3"/>
  <c r="T762" i="3"/>
  <c r="T763" i="3"/>
  <c r="T766" i="3"/>
  <c r="T767" i="3"/>
  <c r="T770" i="3"/>
  <c r="T771" i="3"/>
  <c r="T774" i="3"/>
  <c r="T775" i="3"/>
  <c r="T778" i="3"/>
  <c r="T779" i="3"/>
  <c r="T782" i="3"/>
  <c r="T783" i="3"/>
  <c r="T786" i="3"/>
  <c r="T787" i="3"/>
  <c r="T790" i="3"/>
  <c r="T791" i="3"/>
  <c r="T794" i="3"/>
  <c r="T795" i="3"/>
  <c r="T798" i="3"/>
  <c r="T799" i="3"/>
  <c r="T802" i="3"/>
  <c r="T803" i="3"/>
  <c r="T806" i="3"/>
  <c r="T807" i="3"/>
  <c r="T810" i="3"/>
  <c r="T811" i="3"/>
  <c r="T814" i="3"/>
  <c r="T815" i="3"/>
  <c r="T818" i="3"/>
  <c r="T819" i="3"/>
  <c r="T822" i="3"/>
  <c r="T823" i="3"/>
  <c r="T826" i="3"/>
  <c r="T827" i="3"/>
  <c r="T830" i="3"/>
  <c r="T831" i="3"/>
  <c r="T832" i="3"/>
  <c r="T834" i="3"/>
  <c r="T835" i="3"/>
  <c r="T838" i="3"/>
  <c r="T839" i="3"/>
  <c r="T842" i="3"/>
  <c r="T843" i="3"/>
  <c r="T846" i="3"/>
  <c r="T847" i="3"/>
  <c r="T850" i="3"/>
  <c r="T851" i="3"/>
  <c r="T854" i="3"/>
  <c r="T855" i="3"/>
  <c r="T858" i="3"/>
  <c r="T859" i="3"/>
  <c r="T862" i="3"/>
  <c r="T863" i="3"/>
  <c r="T866" i="3"/>
  <c r="T867" i="3"/>
  <c r="T870" i="3"/>
  <c r="T871" i="3"/>
  <c r="T874" i="3"/>
  <c r="T875" i="3"/>
  <c r="T878" i="3"/>
  <c r="T879" i="3"/>
  <c r="T882" i="3"/>
  <c r="T883" i="3"/>
  <c r="T886" i="3"/>
  <c r="T887" i="3"/>
  <c r="T890" i="3"/>
  <c r="T891" i="3"/>
  <c r="T894" i="3"/>
  <c r="T895" i="3"/>
  <c r="T898" i="3"/>
  <c r="T899" i="3"/>
  <c r="T902" i="3"/>
  <c r="T903" i="3"/>
  <c r="T906" i="3"/>
  <c r="T907" i="3"/>
  <c r="T910" i="3"/>
  <c r="T911" i="3"/>
  <c r="T914" i="3"/>
  <c r="T915" i="3"/>
  <c r="T918" i="3"/>
  <c r="T919" i="3"/>
  <c r="T922" i="3"/>
  <c r="T923" i="3"/>
  <c r="T926" i="3"/>
  <c r="T927" i="3"/>
  <c r="T930" i="3"/>
  <c r="T931" i="3"/>
  <c r="T934" i="3"/>
  <c r="T935" i="3"/>
  <c r="T938" i="3"/>
  <c r="T939" i="3"/>
  <c r="T942" i="3"/>
  <c r="T943" i="3"/>
  <c r="T946" i="3"/>
  <c r="T947" i="3"/>
  <c r="T950" i="3"/>
  <c r="T951" i="3"/>
  <c r="T954" i="3"/>
  <c r="T955" i="3"/>
  <c r="T958" i="3"/>
  <c r="T959" i="3"/>
  <c r="T962" i="3"/>
  <c r="T963" i="3"/>
  <c r="T966" i="3"/>
  <c r="T967" i="3"/>
  <c r="T970" i="3"/>
  <c r="T971" i="3"/>
  <c r="T974" i="3"/>
  <c r="T975" i="3"/>
  <c r="T978" i="3"/>
  <c r="T979" i="3"/>
  <c r="T982" i="3"/>
  <c r="T983" i="3"/>
  <c r="T986" i="3"/>
  <c r="T987" i="3"/>
  <c r="T990" i="3"/>
  <c r="T991" i="3"/>
  <c r="T994" i="3"/>
  <c r="T995" i="3"/>
  <c r="T998" i="3"/>
  <c r="T999" i="3"/>
  <c r="T1002" i="3"/>
  <c r="T1003" i="3"/>
  <c r="T1006" i="3"/>
  <c r="T1007" i="3"/>
  <c r="T1010" i="3"/>
  <c r="T1011" i="3"/>
  <c r="T1014" i="3"/>
  <c r="T1015" i="3"/>
  <c r="T1018" i="3"/>
  <c r="T1019" i="3"/>
  <c r="T1022" i="3"/>
  <c r="T1023" i="3"/>
  <c r="T1026" i="3"/>
  <c r="T1027" i="3"/>
  <c r="T1030" i="3"/>
  <c r="T1031" i="3"/>
  <c r="T1034" i="3"/>
  <c r="T1035" i="3"/>
  <c r="T1038" i="3"/>
  <c r="T1039" i="3"/>
  <c r="T1042" i="3"/>
  <c r="T1043" i="3"/>
  <c r="T1046" i="3"/>
  <c r="T1047" i="3"/>
  <c r="T1050" i="3"/>
  <c r="T1051" i="3"/>
  <c r="T1054" i="3"/>
  <c r="T1055" i="3"/>
  <c r="T1058" i="3"/>
  <c r="T1059" i="3"/>
  <c r="T1062" i="3"/>
  <c r="T1063" i="3"/>
  <c r="T1066" i="3"/>
  <c r="T1067" i="3"/>
  <c r="T1070" i="3"/>
  <c r="T1071" i="3"/>
  <c r="T1074" i="3"/>
  <c r="T1075" i="3"/>
  <c r="T1078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30" i="3"/>
  <c r="U431" i="3"/>
  <c r="U432" i="3"/>
  <c r="U434" i="3"/>
  <c r="U435" i="3"/>
  <c r="U436" i="3"/>
  <c r="U438" i="3"/>
  <c r="U439" i="3"/>
  <c r="U440" i="3"/>
  <c r="U442" i="3"/>
  <c r="U443" i="3"/>
  <c r="U444" i="3"/>
  <c r="U446" i="3"/>
  <c r="U447" i="3"/>
  <c r="U448" i="3"/>
  <c r="U450" i="3"/>
  <c r="U451" i="3"/>
  <c r="U452" i="3"/>
  <c r="U454" i="3"/>
  <c r="U455" i="3"/>
  <c r="U456" i="3"/>
  <c r="U458" i="3"/>
  <c r="U459" i="3"/>
  <c r="U460" i="3"/>
  <c r="U462" i="3"/>
  <c r="U463" i="3"/>
  <c r="U464" i="3"/>
  <c r="U466" i="3"/>
  <c r="U467" i="3"/>
  <c r="U468" i="3"/>
  <c r="U470" i="3"/>
  <c r="U471" i="3"/>
  <c r="U472" i="3"/>
  <c r="U474" i="3"/>
  <c r="U475" i="3"/>
  <c r="U476" i="3"/>
  <c r="U478" i="3"/>
  <c r="U479" i="3"/>
  <c r="U480" i="3"/>
  <c r="U482" i="3"/>
  <c r="U483" i="3"/>
  <c r="U484" i="3"/>
  <c r="U486" i="3"/>
  <c r="U487" i="3"/>
  <c r="U488" i="3"/>
  <c r="U490" i="3"/>
  <c r="U491" i="3"/>
  <c r="U492" i="3"/>
  <c r="U494" i="3"/>
  <c r="U495" i="3"/>
  <c r="U496" i="3"/>
  <c r="U498" i="3"/>
  <c r="U499" i="3"/>
  <c r="U500" i="3"/>
  <c r="U502" i="3"/>
  <c r="U503" i="3"/>
  <c r="U504" i="3"/>
  <c r="U506" i="3"/>
  <c r="U507" i="3"/>
  <c r="U510" i="3"/>
  <c r="U511" i="3"/>
  <c r="U512" i="3"/>
  <c r="U514" i="3"/>
  <c r="U515" i="3"/>
  <c r="U516" i="3"/>
  <c r="U518" i="3"/>
  <c r="U519" i="3"/>
  <c r="U520" i="3"/>
  <c r="U522" i="3"/>
  <c r="U523" i="3"/>
  <c r="U526" i="3"/>
  <c r="U527" i="3"/>
  <c r="U528" i="3"/>
  <c r="U530" i="3"/>
  <c r="U531" i="3"/>
  <c r="U532" i="3"/>
  <c r="U534" i="3"/>
  <c r="U535" i="3"/>
  <c r="U536" i="3"/>
  <c r="U538" i="3"/>
  <c r="U539" i="3"/>
  <c r="U542" i="3"/>
  <c r="U543" i="3"/>
  <c r="U544" i="3"/>
  <c r="U546" i="3"/>
  <c r="U547" i="3"/>
  <c r="U548" i="3"/>
  <c r="U550" i="3"/>
  <c r="U551" i="3"/>
  <c r="U552" i="3"/>
  <c r="U554" i="3"/>
  <c r="U555" i="3"/>
  <c r="U558" i="3"/>
  <c r="U559" i="3"/>
  <c r="U562" i="3"/>
  <c r="U563" i="3"/>
  <c r="U564" i="3"/>
  <c r="U566" i="3"/>
  <c r="U567" i="3"/>
  <c r="U570" i="3"/>
  <c r="U571" i="3"/>
  <c r="U572" i="3"/>
  <c r="U574" i="3"/>
  <c r="U575" i="3"/>
  <c r="U578" i="3"/>
  <c r="U579" i="3"/>
  <c r="U582" i="3"/>
  <c r="U583" i="3"/>
  <c r="U586" i="3"/>
  <c r="U587" i="3"/>
  <c r="U590" i="3"/>
  <c r="U591" i="3"/>
  <c r="U594" i="3"/>
  <c r="U595" i="3"/>
  <c r="U598" i="3"/>
  <c r="U599" i="3"/>
  <c r="U602" i="3"/>
  <c r="U603" i="3"/>
  <c r="U606" i="3"/>
  <c r="U607" i="3"/>
  <c r="U610" i="3"/>
  <c r="U611" i="3"/>
  <c r="U614" i="3"/>
  <c r="U615" i="3"/>
  <c r="U618" i="3"/>
  <c r="U619" i="3"/>
  <c r="U622" i="3"/>
  <c r="U623" i="3"/>
  <c r="U626" i="3"/>
  <c r="U627" i="3"/>
  <c r="U630" i="3"/>
  <c r="U631" i="3"/>
  <c r="U634" i="3"/>
  <c r="U635" i="3"/>
  <c r="U638" i="3"/>
  <c r="U639" i="3"/>
  <c r="U642" i="3"/>
  <c r="U643" i="3"/>
  <c r="U646" i="3"/>
  <c r="U647" i="3"/>
  <c r="U650" i="3"/>
  <c r="U651" i="3"/>
  <c r="U654" i="3"/>
  <c r="U655" i="3"/>
  <c r="U658" i="3"/>
  <c r="U659" i="3"/>
  <c r="U662" i="3"/>
  <c r="U663" i="3"/>
  <c r="U666" i="3"/>
  <c r="U667" i="3"/>
  <c r="U670" i="3"/>
  <c r="U671" i="3"/>
  <c r="U674" i="3"/>
  <c r="U675" i="3"/>
  <c r="U678" i="3"/>
  <c r="U679" i="3"/>
  <c r="U682" i="3"/>
  <c r="U683" i="3"/>
  <c r="U686" i="3"/>
  <c r="U687" i="3"/>
  <c r="U690" i="3"/>
  <c r="U691" i="3"/>
  <c r="U694" i="3"/>
  <c r="U695" i="3"/>
  <c r="U698" i="3"/>
  <c r="U699" i="3"/>
  <c r="U702" i="3"/>
  <c r="U703" i="3"/>
  <c r="U706" i="3"/>
  <c r="U707" i="3"/>
  <c r="U710" i="3"/>
  <c r="U711" i="3"/>
  <c r="U714" i="3"/>
  <c r="U715" i="3"/>
  <c r="U718" i="3"/>
  <c r="U719" i="3"/>
  <c r="U722" i="3"/>
  <c r="U723" i="3"/>
  <c r="U726" i="3"/>
  <c r="U727" i="3"/>
  <c r="U730" i="3"/>
  <c r="U731" i="3"/>
  <c r="U734" i="3"/>
  <c r="U735" i="3"/>
  <c r="U738" i="3"/>
  <c r="U739" i="3"/>
  <c r="U742" i="3"/>
  <c r="U743" i="3"/>
  <c r="U746" i="3"/>
  <c r="U747" i="3"/>
  <c r="U750" i="3"/>
  <c r="U751" i="3"/>
  <c r="U754" i="3"/>
  <c r="U755" i="3"/>
  <c r="U758" i="3"/>
  <c r="U759" i="3"/>
  <c r="U762" i="3"/>
  <c r="U763" i="3"/>
  <c r="U766" i="3"/>
  <c r="U767" i="3"/>
  <c r="U770" i="3"/>
  <c r="U771" i="3"/>
  <c r="U774" i="3"/>
  <c r="U775" i="3"/>
  <c r="U778" i="3"/>
  <c r="U779" i="3"/>
  <c r="U782" i="3"/>
  <c r="U783" i="3"/>
  <c r="U786" i="3"/>
  <c r="U787" i="3"/>
  <c r="U790" i="3"/>
  <c r="U791" i="3"/>
  <c r="U794" i="3"/>
  <c r="U795" i="3"/>
  <c r="U798" i="3"/>
  <c r="U799" i="3"/>
  <c r="U802" i="3"/>
  <c r="U803" i="3"/>
  <c r="U806" i="3"/>
  <c r="U807" i="3"/>
  <c r="U810" i="3"/>
  <c r="U811" i="3"/>
  <c r="U814" i="3"/>
  <c r="U815" i="3"/>
  <c r="U818" i="3"/>
  <c r="U819" i="3"/>
  <c r="U822" i="3"/>
  <c r="U823" i="3"/>
  <c r="U826" i="3"/>
  <c r="U827" i="3"/>
  <c r="U830" i="3"/>
  <c r="U831" i="3"/>
  <c r="U834" i="3"/>
  <c r="U835" i="3"/>
  <c r="U838" i="3"/>
  <c r="U839" i="3"/>
  <c r="U842" i="3"/>
  <c r="U843" i="3"/>
  <c r="U846" i="3"/>
  <c r="U847" i="3"/>
  <c r="U850" i="3"/>
  <c r="U851" i="3"/>
  <c r="U854" i="3"/>
  <c r="U855" i="3"/>
  <c r="U858" i="3"/>
  <c r="U859" i="3"/>
  <c r="U862" i="3"/>
  <c r="U863" i="3"/>
  <c r="U866" i="3"/>
  <c r="U867" i="3"/>
  <c r="U870" i="3"/>
  <c r="U871" i="3"/>
  <c r="U874" i="3"/>
  <c r="U875" i="3"/>
  <c r="U878" i="3"/>
  <c r="U879" i="3"/>
  <c r="U882" i="3"/>
  <c r="U883" i="3"/>
  <c r="U886" i="3"/>
  <c r="U887" i="3"/>
  <c r="U890" i="3"/>
  <c r="U891" i="3"/>
  <c r="U894" i="3"/>
  <c r="U895" i="3"/>
  <c r="U898" i="3"/>
  <c r="U899" i="3"/>
  <c r="U902" i="3"/>
  <c r="U903" i="3"/>
  <c r="U906" i="3"/>
  <c r="U907" i="3"/>
  <c r="U910" i="3"/>
  <c r="U911" i="3"/>
  <c r="U914" i="3"/>
  <c r="U915" i="3"/>
  <c r="U918" i="3"/>
  <c r="U919" i="3"/>
  <c r="U922" i="3"/>
  <c r="U923" i="3"/>
  <c r="U926" i="3"/>
  <c r="U927" i="3"/>
  <c r="U930" i="3"/>
  <c r="U931" i="3"/>
  <c r="U934" i="3"/>
  <c r="U935" i="3"/>
  <c r="U938" i="3"/>
  <c r="U939" i="3"/>
  <c r="U942" i="3"/>
  <c r="U943" i="3"/>
  <c r="U946" i="3"/>
  <c r="U947" i="3"/>
  <c r="U950" i="3"/>
  <c r="U951" i="3"/>
  <c r="U954" i="3"/>
  <c r="U955" i="3"/>
  <c r="U958" i="3"/>
  <c r="U959" i="3"/>
  <c r="U962" i="3"/>
  <c r="U963" i="3"/>
  <c r="U966" i="3"/>
  <c r="U967" i="3"/>
  <c r="U970" i="3"/>
  <c r="U971" i="3"/>
  <c r="U974" i="3"/>
  <c r="U975" i="3"/>
  <c r="U978" i="3"/>
  <c r="U979" i="3"/>
  <c r="U982" i="3"/>
  <c r="U983" i="3"/>
  <c r="U986" i="3"/>
  <c r="U987" i="3"/>
  <c r="U990" i="3"/>
  <c r="U991" i="3"/>
  <c r="U994" i="3"/>
  <c r="U995" i="3"/>
  <c r="U998" i="3"/>
  <c r="U999" i="3"/>
  <c r="U1002" i="3"/>
  <c r="U1003" i="3"/>
  <c r="U1006" i="3"/>
  <c r="U1007" i="3"/>
  <c r="U1010" i="3"/>
  <c r="U1011" i="3"/>
  <c r="U1014" i="3"/>
  <c r="U1015" i="3"/>
  <c r="U1018" i="3"/>
  <c r="U1019" i="3"/>
  <c r="U1022" i="3"/>
  <c r="U1023" i="3"/>
  <c r="U1026" i="3"/>
  <c r="U1027" i="3"/>
  <c r="U1030" i="3"/>
  <c r="U1031" i="3"/>
  <c r="U1034" i="3"/>
  <c r="U1035" i="3"/>
  <c r="U1038" i="3"/>
  <c r="U1039" i="3"/>
  <c r="U1042" i="3"/>
  <c r="U1043" i="3"/>
  <c r="U1046" i="3"/>
  <c r="U1047" i="3"/>
  <c r="U1050" i="3"/>
  <c r="U1051" i="3"/>
  <c r="U1054" i="3"/>
  <c r="U1055" i="3"/>
  <c r="U1058" i="3"/>
  <c r="U1059" i="3"/>
  <c r="U1062" i="3"/>
  <c r="U1063" i="3"/>
  <c r="U1066" i="3"/>
  <c r="U1067" i="3"/>
  <c r="U1070" i="3"/>
  <c r="U1071" i="3"/>
  <c r="U1074" i="3"/>
  <c r="U1075" i="3"/>
  <c r="U1078" i="3"/>
  <c r="V52" i="3"/>
  <c r="W52" i="3" s="1"/>
  <c r="V80" i="3"/>
  <c r="W80" i="3" s="1"/>
  <c r="V340" i="3"/>
  <c r="W340" i="3" s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C369" i="2"/>
  <c r="B2" i="7"/>
  <c r="C401" i="2" s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V850" i="3" l="1"/>
  <c r="V866" i="3"/>
  <c r="V674" i="3"/>
  <c r="Q851" i="3"/>
  <c r="V851" i="3"/>
  <c r="W851" i="3" s="1"/>
  <c r="V523" i="3"/>
  <c r="W523" i="3" s="1"/>
  <c r="V510" i="3"/>
  <c r="W41" i="3"/>
  <c r="V13" i="3"/>
  <c r="V5" i="3"/>
  <c r="V368" i="3"/>
  <c r="W368" i="3" s="1"/>
  <c r="V352" i="3"/>
  <c r="W352" i="3" s="1"/>
  <c r="V336" i="3"/>
  <c r="W336" i="3" s="1"/>
  <c r="V324" i="3"/>
  <c r="W324" i="3" s="1"/>
  <c r="V320" i="3"/>
  <c r="W320" i="3" s="1"/>
  <c r="V312" i="3"/>
  <c r="W312" i="3" s="1"/>
  <c r="V308" i="3"/>
  <c r="W308" i="3" s="1"/>
  <c r="V292" i="3"/>
  <c r="W292" i="3" s="1"/>
  <c r="V288" i="3"/>
  <c r="W288" i="3" s="1"/>
  <c r="V276" i="3"/>
  <c r="W276" i="3" s="1"/>
  <c r="V272" i="3"/>
  <c r="W272" i="3" s="1"/>
  <c r="V260" i="3"/>
  <c r="W260" i="3" s="1"/>
  <c r="V248" i="3"/>
  <c r="W248" i="3" s="1"/>
  <c r="V244" i="3"/>
  <c r="W244" i="3" s="1"/>
  <c r="V240" i="3"/>
  <c r="W240" i="3" s="1"/>
  <c r="V228" i="3"/>
  <c r="W228" i="3" s="1"/>
  <c r="V216" i="3"/>
  <c r="W216" i="3" s="1"/>
  <c r="V212" i="3"/>
  <c r="W212" i="3" s="1"/>
  <c r="V200" i="3"/>
  <c r="W200" i="3" s="1"/>
  <c r="V196" i="3"/>
  <c r="W196" i="3" s="1"/>
  <c r="V184" i="3"/>
  <c r="W184" i="3" s="1"/>
  <c r="V176" i="3"/>
  <c r="W176" i="3" s="1"/>
  <c r="V168" i="3"/>
  <c r="W168" i="3" s="1"/>
  <c r="V152" i="3"/>
  <c r="W152" i="3" s="1"/>
  <c r="V148" i="3"/>
  <c r="W148" i="3" s="1"/>
  <c r="V136" i="3"/>
  <c r="W136" i="3" s="1"/>
  <c r="V132" i="3"/>
  <c r="W132" i="3" s="1"/>
  <c r="V128" i="3"/>
  <c r="W128" i="3" s="1"/>
  <c r="V120" i="3"/>
  <c r="W120" i="3" s="1"/>
  <c r="V104" i="3"/>
  <c r="W104" i="3" s="1"/>
  <c r="V96" i="3"/>
  <c r="W96" i="3" s="1"/>
  <c r="V88" i="3"/>
  <c r="W88" i="3" s="1"/>
  <c r="V72" i="3"/>
  <c r="W72" i="3" s="1"/>
  <c r="V56" i="3"/>
  <c r="W56" i="3" s="1"/>
  <c r="V48" i="3"/>
  <c r="W48" i="3" s="1"/>
  <c r="V40" i="3"/>
  <c r="W40" i="3" s="1"/>
  <c r="V36" i="3"/>
  <c r="W36" i="3" s="1"/>
  <c r="V782" i="3"/>
  <c r="V750" i="3"/>
  <c r="V710" i="3"/>
  <c r="W331" i="3"/>
  <c r="W319" i="3"/>
  <c r="W191" i="3"/>
  <c r="V63" i="3"/>
  <c r="W63" i="3" s="1"/>
  <c r="V11" i="3"/>
  <c r="W11" i="3" s="1"/>
  <c r="V643" i="3"/>
  <c r="V563" i="3"/>
  <c r="V388" i="3"/>
  <c r="V296" i="3"/>
  <c r="W296" i="3" s="1"/>
  <c r="V192" i="3"/>
  <c r="W192" i="3" s="1"/>
  <c r="V843" i="3"/>
  <c r="V603" i="3"/>
  <c r="W603" i="3" s="1"/>
  <c r="J260" i="6"/>
  <c r="U580" i="3"/>
  <c r="T580" i="3"/>
  <c r="U568" i="3"/>
  <c r="R568" i="3"/>
  <c r="S568" i="3" s="1"/>
  <c r="V411" i="3"/>
  <c r="W411" i="3" s="1"/>
  <c r="V406" i="3"/>
  <c r="V374" i="3"/>
  <c r="V99" i="3"/>
  <c r="W99" i="3" s="1"/>
  <c r="P921" i="3"/>
  <c r="Q921" i="3" s="1"/>
  <c r="N921" i="3"/>
  <c r="O921" i="3" s="1"/>
  <c r="N913" i="3"/>
  <c r="O913" i="3" s="1"/>
  <c r="T913" i="3"/>
  <c r="C647" i="2"/>
  <c r="V410" i="3"/>
  <c r="V390" i="3"/>
  <c r="V356" i="3"/>
  <c r="W356" i="3" s="1"/>
  <c r="R760" i="3"/>
  <c r="S760" i="3" s="1"/>
  <c r="P760" i="3"/>
  <c r="Q760" i="3" s="1"/>
  <c r="C449" i="2"/>
  <c r="R792" i="3"/>
  <c r="S792" i="3" s="1"/>
  <c r="J396" i="6"/>
  <c r="J380" i="6"/>
  <c r="J364" i="6"/>
  <c r="J348" i="6"/>
  <c r="J332" i="6"/>
  <c r="J316" i="6"/>
  <c r="J300" i="6"/>
  <c r="J284" i="6"/>
  <c r="J268" i="6"/>
  <c r="J392" i="6"/>
  <c r="J376" i="6"/>
  <c r="J360" i="6"/>
  <c r="J344" i="6"/>
  <c r="J328" i="6"/>
  <c r="J312" i="6"/>
  <c r="J296" i="6"/>
  <c r="J280" i="6"/>
  <c r="J264" i="6"/>
  <c r="J388" i="6"/>
  <c r="J372" i="6"/>
  <c r="J356" i="6"/>
  <c r="J340" i="6"/>
  <c r="J324" i="6"/>
  <c r="J308" i="6"/>
  <c r="J292" i="6"/>
  <c r="J276" i="6"/>
  <c r="W353" i="3"/>
  <c r="V1075" i="3"/>
  <c r="V1067" i="3"/>
  <c r="V1059" i="3"/>
  <c r="V1051" i="3"/>
  <c r="V1043" i="3"/>
  <c r="V1035" i="3"/>
  <c r="V1027" i="3"/>
  <c r="V1003" i="3"/>
  <c r="V995" i="3"/>
  <c r="V979" i="3"/>
  <c r="V971" i="3"/>
  <c r="V963" i="3"/>
  <c r="V955" i="3"/>
  <c r="W955" i="3" s="1"/>
  <c r="V947" i="3"/>
  <c r="V915" i="3"/>
  <c r="V803" i="3"/>
  <c r="V795" i="3"/>
  <c r="W655" i="3"/>
  <c r="W639" i="3"/>
  <c r="V550" i="3"/>
  <c r="V4" i="3"/>
  <c r="W4" i="3" s="1"/>
  <c r="V438" i="3"/>
  <c r="V431" i="3"/>
  <c r="V426" i="3"/>
  <c r="V372" i="3"/>
  <c r="V1058" i="3"/>
  <c r="V787" i="3"/>
  <c r="V779" i="3"/>
  <c r="V771" i="3"/>
  <c r="W771" i="3" s="1"/>
  <c r="V755" i="3"/>
  <c r="V747" i="3"/>
  <c r="W747" i="3" s="1"/>
  <c r="V739" i="3"/>
  <c r="V731" i="3"/>
  <c r="V715" i="3"/>
  <c r="V691" i="3"/>
  <c r="V654" i="3"/>
  <c r="V646" i="3"/>
  <c r="V607" i="3"/>
  <c r="V547" i="3"/>
  <c r="V534" i="3"/>
  <c r="V526" i="3"/>
  <c r="V499" i="3"/>
  <c r="V488" i="3"/>
  <c r="V483" i="3"/>
  <c r="V467" i="3"/>
  <c r="W467" i="3" s="1"/>
  <c r="V440" i="3"/>
  <c r="W440" i="3" s="1"/>
  <c r="W424" i="3"/>
  <c r="V419" i="3"/>
  <c r="W419" i="3" s="1"/>
  <c r="V408" i="3"/>
  <c r="W408" i="3" s="1"/>
  <c r="W392" i="3"/>
  <c r="V376" i="3"/>
  <c r="W376" i="3" s="1"/>
  <c r="V354" i="3"/>
  <c r="V350" i="3"/>
  <c r="V222" i="3"/>
  <c r="V170" i="3"/>
  <c r="V126" i="3"/>
  <c r="V70" i="3"/>
  <c r="V42" i="3"/>
  <c r="V26" i="3"/>
  <c r="V22" i="3"/>
  <c r="V400" i="3"/>
  <c r="V436" i="3"/>
  <c r="C2" i="3"/>
  <c r="H2" i="6"/>
  <c r="H6" i="6"/>
  <c r="H10" i="6"/>
  <c r="H14" i="6"/>
  <c r="H18" i="6"/>
  <c r="H22" i="6"/>
  <c r="H26" i="6"/>
  <c r="H30" i="6"/>
  <c r="H34" i="6"/>
  <c r="H38" i="6"/>
  <c r="H42" i="6"/>
  <c r="H46" i="6"/>
  <c r="H50" i="6"/>
  <c r="H54" i="6"/>
  <c r="H58" i="6"/>
  <c r="H62" i="6"/>
  <c r="H66" i="6"/>
  <c r="H70" i="6"/>
  <c r="H74" i="6"/>
  <c r="H78" i="6"/>
  <c r="H82" i="6"/>
  <c r="H86" i="6"/>
  <c r="H90" i="6"/>
  <c r="H94" i="6"/>
  <c r="H98" i="6"/>
  <c r="H102" i="6"/>
  <c r="H106" i="6"/>
  <c r="H110" i="6"/>
  <c r="H114" i="6"/>
  <c r="H118" i="6"/>
  <c r="H122" i="6"/>
  <c r="H126" i="6"/>
  <c r="H130" i="6"/>
  <c r="H134" i="6"/>
  <c r="H138" i="6"/>
  <c r="H142" i="6"/>
  <c r="H146" i="6"/>
  <c r="H150" i="6"/>
  <c r="H154" i="6"/>
  <c r="H158" i="6"/>
  <c r="H162" i="6"/>
  <c r="H166" i="6"/>
  <c r="H170" i="6"/>
  <c r="H174" i="6"/>
  <c r="H178" i="6"/>
  <c r="H182" i="6"/>
  <c r="H186" i="6"/>
  <c r="H190" i="6"/>
  <c r="H194" i="6"/>
  <c r="H198" i="6"/>
  <c r="H202" i="6"/>
  <c r="H206" i="6"/>
  <c r="H210" i="6"/>
  <c r="H214" i="6"/>
  <c r="H218" i="6"/>
  <c r="H222" i="6"/>
  <c r="H226" i="6"/>
  <c r="H230" i="6"/>
  <c r="H234" i="6"/>
  <c r="H238" i="6"/>
  <c r="H242" i="6"/>
  <c r="H246" i="6"/>
  <c r="H250" i="6"/>
  <c r="H254" i="6"/>
  <c r="H258" i="6"/>
  <c r="H262" i="6"/>
  <c r="H266" i="6"/>
  <c r="H270" i="6"/>
  <c r="H274" i="6"/>
  <c r="H278" i="6"/>
  <c r="H282" i="6"/>
  <c r="H286" i="6"/>
  <c r="H290" i="6"/>
  <c r="H294" i="6"/>
  <c r="H298" i="6"/>
  <c r="H302" i="6"/>
  <c r="H306" i="6"/>
  <c r="H310" i="6"/>
  <c r="H314" i="6"/>
  <c r="H318" i="6"/>
  <c r="H322" i="6"/>
  <c r="H326" i="6"/>
  <c r="H330" i="6"/>
  <c r="H334" i="6"/>
  <c r="H338" i="6"/>
  <c r="H3" i="6"/>
  <c r="H7" i="6"/>
  <c r="H11" i="6"/>
  <c r="H15" i="6"/>
  <c r="H19" i="6"/>
  <c r="H23" i="6"/>
  <c r="H27" i="6"/>
  <c r="H31" i="6"/>
  <c r="H35" i="6"/>
  <c r="H39" i="6"/>
  <c r="H43" i="6"/>
  <c r="H47" i="6"/>
  <c r="H51" i="6"/>
  <c r="H55" i="6"/>
  <c r="H59" i="6"/>
  <c r="H63" i="6"/>
  <c r="H67" i="6"/>
  <c r="H71" i="6"/>
  <c r="H75" i="6"/>
  <c r="H79" i="6"/>
  <c r="H83" i="6"/>
  <c r="H87" i="6"/>
  <c r="H91" i="6"/>
  <c r="H95" i="6"/>
  <c r="H99" i="6"/>
  <c r="H103" i="6"/>
  <c r="H107" i="6"/>
  <c r="H111" i="6"/>
  <c r="H115" i="6"/>
  <c r="H119" i="6"/>
  <c r="H123" i="6"/>
  <c r="H127" i="6"/>
  <c r="H131" i="6"/>
  <c r="H135" i="6"/>
  <c r="H139" i="6"/>
  <c r="H143" i="6"/>
  <c r="H147" i="6"/>
  <c r="H151" i="6"/>
  <c r="H155" i="6"/>
  <c r="H159" i="6"/>
  <c r="H163" i="6"/>
  <c r="H167" i="6"/>
  <c r="H171" i="6"/>
  <c r="H175" i="6"/>
  <c r="H179" i="6"/>
  <c r="H183" i="6"/>
  <c r="H187" i="6"/>
  <c r="H191" i="6"/>
  <c r="H195" i="6"/>
  <c r="H199" i="6"/>
  <c r="H203" i="6"/>
  <c r="H207" i="6"/>
  <c r="H211" i="6"/>
  <c r="H215" i="6"/>
  <c r="H219" i="6"/>
  <c r="H223" i="6"/>
  <c r="H227" i="6"/>
  <c r="H231" i="6"/>
  <c r="H235" i="6"/>
  <c r="H239" i="6"/>
  <c r="H243" i="6"/>
  <c r="H247" i="6"/>
  <c r="H251" i="6"/>
  <c r="H255" i="6"/>
  <c r="H259" i="6"/>
  <c r="H263" i="6"/>
  <c r="H267" i="6"/>
  <c r="H4" i="6"/>
  <c r="H8" i="6"/>
  <c r="H12" i="6"/>
  <c r="H16" i="6"/>
  <c r="H20" i="6"/>
  <c r="H24" i="6"/>
  <c r="H28" i="6"/>
  <c r="H32" i="6"/>
  <c r="H36" i="6"/>
  <c r="H40" i="6"/>
  <c r="H44" i="6"/>
  <c r="H48" i="6"/>
  <c r="H52" i="6"/>
  <c r="H56" i="6"/>
  <c r="H60" i="6"/>
  <c r="H64" i="6"/>
  <c r="H68" i="6"/>
  <c r="H72" i="6"/>
  <c r="H76" i="6"/>
  <c r="H80" i="6"/>
  <c r="H84" i="6"/>
  <c r="H88" i="6"/>
  <c r="H92" i="6"/>
  <c r="H96" i="6"/>
  <c r="H100" i="6"/>
  <c r="H104" i="6"/>
  <c r="H108" i="6"/>
  <c r="H112" i="6"/>
  <c r="H116" i="6"/>
  <c r="H120" i="6"/>
  <c r="H124" i="6"/>
  <c r="H128" i="6"/>
  <c r="H132" i="6"/>
  <c r="H136" i="6"/>
  <c r="H140" i="6"/>
  <c r="H144" i="6"/>
  <c r="H148" i="6"/>
  <c r="H152" i="6"/>
  <c r="H156" i="6"/>
  <c r="H160" i="6"/>
  <c r="H164" i="6"/>
  <c r="H168" i="6"/>
  <c r="H172" i="6"/>
  <c r="H176" i="6"/>
  <c r="H180" i="6"/>
  <c r="H184" i="6"/>
  <c r="H188" i="6"/>
  <c r="H192" i="6"/>
  <c r="H196" i="6"/>
  <c r="H200" i="6"/>
  <c r="H204" i="6"/>
  <c r="H208" i="6"/>
  <c r="H212" i="6"/>
  <c r="H216" i="6"/>
  <c r="H220" i="6"/>
  <c r="H224" i="6"/>
  <c r="H228" i="6"/>
  <c r="H232" i="6"/>
  <c r="H236" i="6"/>
  <c r="H240" i="6"/>
  <c r="H244" i="6"/>
  <c r="H248" i="6"/>
  <c r="H252" i="6"/>
  <c r="H256" i="6"/>
  <c r="H260" i="6"/>
  <c r="H264" i="6"/>
  <c r="H268" i="6"/>
  <c r="H272" i="6"/>
  <c r="H276" i="6"/>
  <c r="H280" i="6"/>
  <c r="H284" i="6"/>
  <c r="H288" i="6"/>
  <c r="H292" i="6"/>
  <c r="H296" i="6"/>
  <c r="H300" i="6"/>
  <c r="H304" i="6"/>
  <c r="H308" i="6"/>
  <c r="H312" i="6"/>
  <c r="H316" i="6"/>
  <c r="H320" i="6"/>
  <c r="H324" i="6"/>
  <c r="H328" i="6"/>
  <c r="H332" i="6"/>
  <c r="H336" i="6"/>
  <c r="H340" i="6"/>
  <c r="H5" i="6"/>
  <c r="H21" i="6"/>
  <c r="H37" i="6"/>
  <c r="H53" i="6"/>
  <c r="H69" i="6"/>
  <c r="H85" i="6"/>
  <c r="H101" i="6"/>
  <c r="H117" i="6"/>
  <c r="H133" i="6"/>
  <c r="H149" i="6"/>
  <c r="H165" i="6"/>
  <c r="H181" i="6"/>
  <c r="H197" i="6"/>
  <c r="H213" i="6"/>
  <c r="H229" i="6"/>
  <c r="H245" i="6"/>
  <c r="H261" i="6"/>
  <c r="H273" i="6"/>
  <c r="H281" i="6"/>
  <c r="H289" i="6"/>
  <c r="H297" i="6"/>
  <c r="H305" i="6"/>
  <c r="H313" i="6"/>
  <c r="H321" i="6"/>
  <c r="H329" i="6"/>
  <c r="H337" i="6"/>
  <c r="H343" i="6"/>
  <c r="H347" i="6"/>
  <c r="H351" i="6"/>
  <c r="H355" i="6"/>
  <c r="H359" i="6"/>
  <c r="H363" i="6"/>
  <c r="H367" i="6"/>
  <c r="H371" i="6"/>
  <c r="H375" i="6"/>
  <c r="H379" i="6"/>
  <c r="H383" i="6"/>
  <c r="H387" i="6"/>
  <c r="H391" i="6"/>
  <c r="H395" i="6"/>
  <c r="H399" i="6"/>
  <c r="I4" i="6"/>
  <c r="I8" i="6"/>
  <c r="I12" i="6"/>
  <c r="I16" i="6"/>
  <c r="I20" i="6"/>
  <c r="I24" i="6"/>
  <c r="I28" i="6"/>
  <c r="I32" i="6"/>
  <c r="I36" i="6"/>
  <c r="I40" i="6"/>
  <c r="I44" i="6"/>
  <c r="I48" i="6"/>
  <c r="I52" i="6"/>
  <c r="I56" i="6"/>
  <c r="I60" i="6"/>
  <c r="I64" i="6"/>
  <c r="I68" i="6"/>
  <c r="I72" i="6"/>
  <c r="I76" i="6"/>
  <c r="I80" i="6"/>
  <c r="I84" i="6"/>
  <c r="I88" i="6"/>
  <c r="I92" i="6"/>
  <c r="I96" i="6"/>
  <c r="I100" i="6"/>
  <c r="I104" i="6"/>
  <c r="I108" i="6"/>
  <c r="I112" i="6"/>
  <c r="I116" i="6"/>
  <c r="I120" i="6"/>
  <c r="I124" i="6"/>
  <c r="I128" i="6"/>
  <c r="I132" i="6"/>
  <c r="I136" i="6"/>
  <c r="I140" i="6"/>
  <c r="I144" i="6"/>
  <c r="I148" i="6"/>
  <c r="I152" i="6"/>
  <c r="I156" i="6"/>
  <c r="I160" i="6"/>
  <c r="I164" i="6"/>
  <c r="I168" i="6"/>
  <c r="I172" i="6"/>
  <c r="I176" i="6"/>
  <c r="H9" i="6"/>
  <c r="H25" i="6"/>
  <c r="H41" i="6"/>
  <c r="H57" i="6"/>
  <c r="H73" i="6"/>
  <c r="H89" i="6"/>
  <c r="H105" i="6"/>
  <c r="H121" i="6"/>
  <c r="H137" i="6"/>
  <c r="H153" i="6"/>
  <c r="H169" i="6"/>
  <c r="H185" i="6"/>
  <c r="H201" i="6"/>
  <c r="H217" i="6"/>
  <c r="H233" i="6"/>
  <c r="H249" i="6"/>
  <c r="H265" i="6"/>
  <c r="H275" i="6"/>
  <c r="H283" i="6"/>
  <c r="H291" i="6"/>
  <c r="H299" i="6"/>
  <c r="H307" i="6"/>
  <c r="H315" i="6"/>
  <c r="H323" i="6"/>
  <c r="H331" i="6"/>
  <c r="H339" i="6"/>
  <c r="H344" i="6"/>
  <c r="H348" i="6"/>
  <c r="H352" i="6"/>
  <c r="H356" i="6"/>
  <c r="H360" i="6"/>
  <c r="H364" i="6"/>
  <c r="H368" i="6"/>
  <c r="H372" i="6"/>
  <c r="H376" i="6"/>
  <c r="H380" i="6"/>
  <c r="H384" i="6"/>
  <c r="H388" i="6"/>
  <c r="H392" i="6"/>
  <c r="H396" i="6"/>
  <c r="H400" i="6"/>
  <c r="I5" i="6"/>
  <c r="I9" i="6"/>
  <c r="I13" i="6"/>
  <c r="I17" i="6"/>
  <c r="I21" i="6"/>
  <c r="I25" i="6"/>
  <c r="I29" i="6"/>
  <c r="I33" i="6"/>
  <c r="I37" i="6"/>
  <c r="I41" i="6"/>
  <c r="I45" i="6"/>
  <c r="I49" i="6"/>
  <c r="I53" i="6"/>
  <c r="I57" i="6"/>
  <c r="I61" i="6"/>
  <c r="I65" i="6"/>
  <c r="I69" i="6"/>
  <c r="I73" i="6"/>
  <c r="I77" i="6"/>
  <c r="I81" i="6"/>
  <c r="I85" i="6"/>
  <c r="I89" i="6"/>
  <c r="I93" i="6"/>
  <c r="I97" i="6"/>
  <c r="I101" i="6"/>
  <c r="I105" i="6"/>
  <c r="I109" i="6"/>
  <c r="I113" i="6"/>
  <c r="H13" i="6"/>
  <c r="H29" i="6"/>
  <c r="H45" i="6"/>
  <c r="H61" i="6"/>
  <c r="H77" i="6"/>
  <c r="H93" i="6"/>
  <c r="H109" i="6"/>
  <c r="H125" i="6"/>
  <c r="H141" i="6"/>
  <c r="H157" i="6"/>
  <c r="H173" i="6"/>
  <c r="H189" i="6"/>
  <c r="H205" i="6"/>
  <c r="H221" i="6"/>
  <c r="H237" i="6"/>
  <c r="H253" i="6"/>
  <c r="H269" i="6"/>
  <c r="H277" i="6"/>
  <c r="H285" i="6"/>
  <c r="H293" i="6"/>
  <c r="H301" i="6"/>
  <c r="H309" i="6"/>
  <c r="H317" i="6"/>
  <c r="H325" i="6"/>
  <c r="H333" i="6"/>
  <c r="H341" i="6"/>
  <c r="H345" i="6"/>
  <c r="H349" i="6"/>
  <c r="H353" i="6"/>
  <c r="H357" i="6"/>
  <c r="H361" i="6"/>
  <c r="H365" i="6"/>
  <c r="H369" i="6"/>
  <c r="H373" i="6"/>
  <c r="H377" i="6"/>
  <c r="H381" i="6"/>
  <c r="H385" i="6"/>
  <c r="H389" i="6"/>
  <c r="H393" i="6"/>
  <c r="H397" i="6"/>
  <c r="I2" i="6"/>
  <c r="I6" i="6"/>
  <c r="I10" i="6"/>
  <c r="I14" i="6"/>
  <c r="I18" i="6"/>
  <c r="I22" i="6"/>
  <c r="I26" i="6"/>
  <c r="I30" i="6"/>
  <c r="I34" i="6"/>
  <c r="I38" i="6"/>
  <c r="I42" i="6"/>
  <c r="I46" i="6"/>
  <c r="I50" i="6"/>
  <c r="I54" i="6"/>
  <c r="I58" i="6"/>
  <c r="I62" i="6"/>
  <c r="I66" i="6"/>
  <c r="I70" i="6"/>
  <c r="I74" i="6"/>
  <c r="I78" i="6"/>
  <c r="I82" i="6"/>
  <c r="I86" i="6"/>
  <c r="I90" i="6"/>
  <c r="I94" i="6"/>
  <c r="I98" i="6"/>
  <c r="I102" i="6"/>
  <c r="I106" i="6"/>
  <c r="I110" i="6"/>
  <c r="I114" i="6"/>
  <c r="I118" i="6"/>
  <c r="I122" i="6"/>
  <c r="I126" i="6"/>
  <c r="I130" i="6"/>
  <c r="I134" i="6"/>
  <c r="I138" i="6"/>
  <c r="I142" i="6"/>
  <c r="I146" i="6"/>
  <c r="I150" i="6"/>
  <c r="I154" i="6"/>
  <c r="I158" i="6"/>
  <c r="I162" i="6"/>
  <c r="I166" i="6"/>
  <c r="I170" i="6"/>
  <c r="I174" i="6"/>
  <c r="I178" i="6"/>
  <c r="H17" i="6"/>
  <c r="H81" i="6"/>
  <c r="H145" i="6"/>
  <c r="H209" i="6"/>
  <c r="H271" i="6"/>
  <c r="H303" i="6"/>
  <c r="H335" i="6"/>
  <c r="H354" i="6"/>
  <c r="H370" i="6"/>
  <c r="H386" i="6"/>
  <c r="I3" i="6"/>
  <c r="I19" i="6"/>
  <c r="I35" i="6"/>
  <c r="I51" i="6"/>
  <c r="I67" i="6"/>
  <c r="I83" i="6"/>
  <c r="I99" i="6"/>
  <c r="I115" i="6"/>
  <c r="I123" i="6"/>
  <c r="I131" i="6"/>
  <c r="I139" i="6"/>
  <c r="I147" i="6"/>
  <c r="I155" i="6"/>
  <c r="I163" i="6"/>
  <c r="I171" i="6"/>
  <c r="I179" i="6"/>
  <c r="I183" i="6"/>
  <c r="I187" i="6"/>
  <c r="I191" i="6"/>
  <c r="I195" i="6"/>
  <c r="I199" i="6"/>
  <c r="I203" i="6"/>
  <c r="I207" i="6"/>
  <c r="I211" i="6"/>
  <c r="I215" i="6"/>
  <c r="I219" i="6"/>
  <c r="I223" i="6"/>
  <c r="I227" i="6"/>
  <c r="I231" i="6"/>
  <c r="I235" i="6"/>
  <c r="I239" i="6"/>
  <c r="I243" i="6"/>
  <c r="I247" i="6"/>
  <c r="I251" i="6"/>
  <c r="I255" i="6"/>
  <c r="I259" i="6"/>
  <c r="I263" i="6"/>
  <c r="I267" i="6"/>
  <c r="I271" i="6"/>
  <c r="I275" i="6"/>
  <c r="I279" i="6"/>
  <c r="I283" i="6"/>
  <c r="I287" i="6"/>
  <c r="I291" i="6"/>
  <c r="I295" i="6"/>
  <c r="I299" i="6"/>
  <c r="I303" i="6"/>
  <c r="I307" i="6"/>
  <c r="I311" i="6"/>
  <c r="I315" i="6"/>
  <c r="I319" i="6"/>
  <c r="I323" i="6"/>
  <c r="I327" i="6"/>
  <c r="I331" i="6"/>
  <c r="I335" i="6"/>
  <c r="I339" i="6"/>
  <c r="I343" i="6"/>
  <c r="I347" i="6"/>
  <c r="I351" i="6"/>
  <c r="I355" i="6"/>
  <c r="I359" i="6"/>
  <c r="I363" i="6"/>
  <c r="I367" i="6"/>
  <c r="I371" i="6"/>
  <c r="I375" i="6"/>
  <c r="I379" i="6"/>
  <c r="I383" i="6"/>
  <c r="I387" i="6"/>
  <c r="I391" i="6"/>
  <c r="I395" i="6"/>
  <c r="I399" i="6"/>
  <c r="J4" i="6"/>
  <c r="J8" i="6"/>
  <c r="J12" i="6"/>
  <c r="J16" i="6"/>
  <c r="J20" i="6"/>
  <c r="J24" i="6"/>
  <c r="J28" i="6"/>
  <c r="J32" i="6"/>
  <c r="J36" i="6"/>
  <c r="J40" i="6"/>
  <c r="J44" i="6"/>
  <c r="J48" i="6"/>
  <c r="J52" i="6"/>
  <c r="J56" i="6"/>
  <c r="J60" i="6"/>
  <c r="J64" i="6"/>
  <c r="J68" i="6"/>
  <c r="J72" i="6"/>
  <c r="J76" i="6"/>
  <c r="J80" i="6"/>
  <c r="J84" i="6"/>
  <c r="J88" i="6"/>
  <c r="J92" i="6"/>
  <c r="J96" i="6"/>
  <c r="J100" i="6"/>
  <c r="J104" i="6"/>
  <c r="J108" i="6"/>
  <c r="J112" i="6"/>
  <c r="J116" i="6"/>
  <c r="H33" i="6"/>
  <c r="H97" i="6"/>
  <c r="H161" i="6"/>
  <c r="H225" i="6"/>
  <c r="H279" i="6"/>
  <c r="H311" i="6"/>
  <c r="H342" i="6"/>
  <c r="H358" i="6"/>
  <c r="H374" i="6"/>
  <c r="H390" i="6"/>
  <c r="I7" i="6"/>
  <c r="I23" i="6"/>
  <c r="I39" i="6"/>
  <c r="I55" i="6"/>
  <c r="I71" i="6"/>
  <c r="I87" i="6"/>
  <c r="I103" i="6"/>
  <c r="I117" i="6"/>
  <c r="I125" i="6"/>
  <c r="I133" i="6"/>
  <c r="I141" i="6"/>
  <c r="I149" i="6"/>
  <c r="I157" i="6"/>
  <c r="I165" i="6"/>
  <c r="I173" i="6"/>
  <c r="I180" i="6"/>
  <c r="I184" i="6"/>
  <c r="I188" i="6"/>
  <c r="I192" i="6"/>
  <c r="I196" i="6"/>
  <c r="I200" i="6"/>
  <c r="I204" i="6"/>
  <c r="I208" i="6"/>
  <c r="I212" i="6"/>
  <c r="I216" i="6"/>
  <c r="I220" i="6"/>
  <c r="I224" i="6"/>
  <c r="I228" i="6"/>
  <c r="I232" i="6"/>
  <c r="I236" i="6"/>
  <c r="I240" i="6"/>
  <c r="I244" i="6"/>
  <c r="I248" i="6"/>
  <c r="I252" i="6"/>
  <c r="I256" i="6"/>
  <c r="I260" i="6"/>
  <c r="I264" i="6"/>
  <c r="I268" i="6"/>
  <c r="I272" i="6"/>
  <c r="I276" i="6"/>
  <c r="I280" i="6"/>
  <c r="I284" i="6"/>
  <c r="I288" i="6"/>
  <c r="I292" i="6"/>
  <c r="I296" i="6"/>
  <c r="I300" i="6"/>
  <c r="I304" i="6"/>
  <c r="I308" i="6"/>
  <c r="I312" i="6"/>
  <c r="I316" i="6"/>
  <c r="I320" i="6"/>
  <c r="I324" i="6"/>
  <c r="I328" i="6"/>
  <c r="I332" i="6"/>
  <c r="I336" i="6"/>
  <c r="I340" i="6"/>
  <c r="I344" i="6"/>
  <c r="I348" i="6"/>
  <c r="I352" i="6"/>
  <c r="I356" i="6"/>
  <c r="I360" i="6"/>
  <c r="I364" i="6"/>
  <c r="I368" i="6"/>
  <c r="I372" i="6"/>
  <c r="I376" i="6"/>
  <c r="I380" i="6"/>
  <c r="I384" i="6"/>
  <c r="I388" i="6"/>
  <c r="I392" i="6"/>
  <c r="I396" i="6"/>
  <c r="I400" i="6"/>
  <c r="J5" i="6"/>
  <c r="J9" i="6"/>
  <c r="J13" i="6"/>
  <c r="J17" i="6"/>
  <c r="H49" i="6"/>
  <c r="H113" i="6"/>
  <c r="H177" i="6"/>
  <c r="H241" i="6"/>
  <c r="H287" i="6"/>
  <c r="H319" i="6"/>
  <c r="H346" i="6"/>
  <c r="H362" i="6"/>
  <c r="H378" i="6"/>
  <c r="H394" i="6"/>
  <c r="I11" i="6"/>
  <c r="I27" i="6"/>
  <c r="I43" i="6"/>
  <c r="I59" i="6"/>
  <c r="I75" i="6"/>
  <c r="I91" i="6"/>
  <c r="I107" i="6"/>
  <c r="I119" i="6"/>
  <c r="I127" i="6"/>
  <c r="I135" i="6"/>
  <c r="I143" i="6"/>
  <c r="I151" i="6"/>
  <c r="I159" i="6"/>
  <c r="I167" i="6"/>
  <c r="I175" i="6"/>
  <c r="I181" i="6"/>
  <c r="I185" i="6"/>
  <c r="I189" i="6"/>
  <c r="I193" i="6"/>
  <c r="I197" i="6"/>
  <c r="I201" i="6"/>
  <c r="I205" i="6"/>
  <c r="I209" i="6"/>
  <c r="I213" i="6"/>
  <c r="I217" i="6"/>
  <c r="I221" i="6"/>
  <c r="I225" i="6"/>
  <c r="I229" i="6"/>
  <c r="H65" i="6"/>
  <c r="H295" i="6"/>
  <c r="H382" i="6"/>
  <c r="I47" i="6"/>
  <c r="I111" i="6"/>
  <c r="I145" i="6"/>
  <c r="I177" i="6"/>
  <c r="I194" i="6"/>
  <c r="I210" i="6"/>
  <c r="I226" i="6"/>
  <c r="I237" i="6"/>
  <c r="I245" i="6"/>
  <c r="I253" i="6"/>
  <c r="I261" i="6"/>
  <c r="I269" i="6"/>
  <c r="I277" i="6"/>
  <c r="I285" i="6"/>
  <c r="I293" i="6"/>
  <c r="I301" i="6"/>
  <c r="I309" i="6"/>
  <c r="I317" i="6"/>
  <c r="I325" i="6"/>
  <c r="I333" i="6"/>
  <c r="I341" i="6"/>
  <c r="I349" i="6"/>
  <c r="I357" i="6"/>
  <c r="I365" i="6"/>
  <c r="I373" i="6"/>
  <c r="I381" i="6"/>
  <c r="I389" i="6"/>
  <c r="I397" i="6"/>
  <c r="J6" i="6"/>
  <c r="J14" i="6"/>
  <c r="J21" i="6"/>
  <c r="J26" i="6"/>
  <c r="J31" i="6"/>
  <c r="J37" i="6"/>
  <c r="J42" i="6"/>
  <c r="J47" i="6"/>
  <c r="J53" i="6"/>
  <c r="J58" i="6"/>
  <c r="J63" i="6"/>
  <c r="J69" i="6"/>
  <c r="J74" i="6"/>
  <c r="J79" i="6"/>
  <c r="J85" i="6"/>
  <c r="J90" i="6"/>
  <c r="J95" i="6"/>
  <c r="J101" i="6"/>
  <c r="J106" i="6"/>
  <c r="J111" i="6"/>
  <c r="J117" i="6"/>
  <c r="J121" i="6"/>
  <c r="J125" i="6"/>
  <c r="J129" i="6"/>
  <c r="J133" i="6"/>
  <c r="J137" i="6"/>
  <c r="J141" i="6"/>
  <c r="J145" i="6"/>
  <c r="J149" i="6"/>
  <c r="J153" i="6"/>
  <c r="J157" i="6"/>
  <c r="J161" i="6"/>
  <c r="J165" i="6"/>
  <c r="J169" i="6"/>
  <c r="J173" i="6"/>
  <c r="J177" i="6"/>
  <c r="J181" i="6"/>
  <c r="J185" i="6"/>
  <c r="J189" i="6"/>
  <c r="J193" i="6"/>
  <c r="J197" i="6"/>
  <c r="J201" i="6"/>
  <c r="J205" i="6"/>
  <c r="J209" i="6"/>
  <c r="J213" i="6"/>
  <c r="J217" i="6"/>
  <c r="J221" i="6"/>
  <c r="J225" i="6"/>
  <c r="J229" i="6"/>
  <c r="J233" i="6"/>
  <c r="J237" i="6"/>
  <c r="J241" i="6"/>
  <c r="J245" i="6"/>
  <c r="J249" i="6"/>
  <c r="J253" i="6"/>
  <c r="J257" i="6"/>
  <c r="J261" i="6"/>
  <c r="J265" i="6"/>
  <c r="J269" i="6"/>
  <c r="J273" i="6"/>
  <c r="J277" i="6"/>
  <c r="J281" i="6"/>
  <c r="J285" i="6"/>
  <c r="J289" i="6"/>
  <c r="J293" i="6"/>
  <c r="J297" i="6"/>
  <c r="J301" i="6"/>
  <c r="J305" i="6"/>
  <c r="J309" i="6"/>
  <c r="J313" i="6"/>
  <c r="J317" i="6"/>
  <c r="J321" i="6"/>
  <c r="J325" i="6"/>
  <c r="J329" i="6"/>
  <c r="J333" i="6"/>
  <c r="J337" i="6"/>
  <c r="J341" i="6"/>
  <c r="J345" i="6"/>
  <c r="J349" i="6"/>
  <c r="J353" i="6"/>
  <c r="J357" i="6"/>
  <c r="J361" i="6"/>
  <c r="J365" i="6"/>
  <c r="J369" i="6"/>
  <c r="J373" i="6"/>
  <c r="J377" i="6"/>
  <c r="J381" i="6"/>
  <c r="J385" i="6"/>
  <c r="J389" i="6"/>
  <c r="J393" i="6"/>
  <c r="J397" i="6"/>
  <c r="H129" i="6"/>
  <c r="H327" i="6"/>
  <c r="H398" i="6"/>
  <c r="I63" i="6"/>
  <c r="I121" i="6"/>
  <c r="I153" i="6"/>
  <c r="I182" i="6"/>
  <c r="I198" i="6"/>
  <c r="I214" i="6"/>
  <c r="I230" i="6"/>
  <c r="I238" i="6"/>
  <c r="I246" i="6"/>
  <c r="I254" i="6"/>
  <c r="I262" i="6"/>
  <c r="I270" i="6"/>
  <c r="I278" i="6"/>
  <c r="I286" i="6"/>
  <c r="I294" i="6"/>
  <c r="I302" i="6"/>
  <c r="I310" i="6"/>
  <c r="I318" i="6"/>
  <c r="I326" i="6"/>
  <c r="I334" i="6"/>
  <c r="I342" i="6"/>
  <c r="I350" i="6"/>
  <c r="I358" i="6"/>
  <c r="I366" i="6"/>
  <c r="I374" i="6"/>
  <c r="I382" i="6"/>
  <c r="I390" i="6"/>
  <c r="I398" i="6"/>
  <c r="J7" i="6"/>
  <c r="J15" i="6"/>
  <c r="J22" i="6"/>
  <c r="J27" i="6"/>
  <c r="J33" i="6"/>
  <c r="J38" i="6"/>
  <c r="J43" i="6"/>
  <c r="J49" i="6"/>
  <c r="J54" i="6"/>
  <c r="J59" i="6"/>
  <c r="J65" i="6"/>
  <c r="J70" i="6"/>
  <c r="J75" i="6"/>
  <c r="J81" i="6"/>
  <c r="J86" i="6"/>
  <c r="J91" i="6"/>
  <c r="J97" i="6"/>
  <c r="J102" i="6"/>
  <c r="J107" i="6"/>
  <c r="J113" i="6"/>
  <c r="J118" i="6"/>
  <c r="J122" i="6"/>
  <c r="J126" i="6"/>
  <c r="J130" i="6"/>
  <c r="J134" i="6"/>
  <c r="J138" i="6"/>
  <c r="J142" i="6"/>
  <c r="J146" i="6"/>
  <c r="J150" i="6"/>
  <c r="J154" i="6"/>
  <c r="J158" i="6"/>
  <c r="J162" i="6"/>
  <c r="J166" i="6"/>
  <c r="J170" i="6"/>
  <c r="J174" i="6"/>
  <c r="J178" i="6"/>
  <c r="J182" i="6"/>
  <c r="J186" i="6"/>
  <c r="J190" i="6"/>
  <c r="J194" i="6"/>
  <c r="J198" i="6"/>
  <c r="J202" i="6"/>
  <c r="J206" i="6"/>
  <c r="J210" i="6"/>
  <c r="J214" i="6"/>
  <c r="J218" i="6"/>
  <c r="J222" i="6"/>
  <c r="J226" i="6"/>
  <c r="J230" i="6"/>
  <c r="J234" i="6"/>
  <c r="J238" i="6"/>
  <c r="J242" i="6"/>
  <c r="J246" i="6"/>
  <c r="J250" i="6"/>
  <c r="J254" i="6"/>
  <c r="J258" i="6"/>
  <c r="J262" i="6"/>
  <c r="J266" i="6"/>
  <c r="J270" i="6"/>
  <c r="J274" i="6"/>
  <c r="J278" i="6"/>
  <c r="J282" i="6"/>
  <c r="J286" i="6"/>
  <c r="J290" i="6"/>
  <c r="J294" i="6"/>
  <c r="J298" i="6"/>
  <c r="J302" i="6"/>
  <c r="J306" i="6"/>
  <c r="J310" i="6"/>
  <c r="J314" i="6"/>
  <c r="J318" i="6"/>
  <c r="J322" i="6"/>
  <c r="J326" i="6"/>
  <c r="J330" i="6"/>
  <c r="J334" i="6"/>
  <c r="J338" i="6"/>
  <c r="J342" i="6"/>
  <c r="J346" i="6"/>
  <c r="J350" i="6"/>
  <c r="J354" i="6"/>
  <c r="J358" i="6"/>
  <c r="J362" i="6"/>
  <c r="J366" i="6"/>
  <c r="J370" i="6"/>
  <c r="J374" i="6"/>
  <c r="J378" i="6"/>
  <c r="J382" i="6"/>
  <c r="J386" i="6"/>
  <c r="J390" i="6"/>
  <c r="J394" i="6"/>
  <c r="J398" i="6"/>
  <c r="H193" i="6"/>
  <c r="H350" i="6"/>
  <c r="I15" i="6"/>
  <c r="I79" i="6"/>
  <c r="I129" i="6"/>
  <c r="I161" i="6"/>
  <c r="I186" i="6"/>
  <c r="I202" i="6"/>
  <c r="I218" i="6"/>
  <c r="I233" i="6"/>
  <c r="I241" i="6"/>
  <c r="I249" i="6"/>
  <c r="I257" i="6"/>
  <c r="I265" i="6"/>
  <c r="I273" i="6"/>
  <c r="I281" i="6"/>
  <c r="I289" i="6"/>
  <c r="I297" i="6"/>
  <c r="I305" i="6"/>
  <c r="I313" i="6"/>
  <c r="I321" i="6"/>
  <c r="I329" i="6"/>
  <c r="I337" i="6"/>
  <c r="I345" i="6"/>
  <c r="I353" i="6"/>
  <c r="I361" i="6"/>
  <c r="I369" i="6"/>
  <c r="I377" i="6"/>
  <c r="I385" i="6"/>
  <c r="I393" i="6"/>
  <c r="J2" i="6"/>
  <c r="J10" i="6"/>
  <c r="J18" i="6"/>
  <c r="J23" i="6"/>
  <c r="J29" i="6"/>
  <c r="J34" i="6"/>
  <c r="J39" i="6"/>
  <c r="J45" i="6"/>
  <c r="J50" i="6"/>
  <c r="J55" i="6"/>
  <c r="J61" i="6"/>
  <c r="J66" i="6"/>
  <c r="J71" i="6"/>
  <c r="J77" i="6"/>
  <c r="J82" i="6"/>
  <c r="J87" i="6"/>
  <c r="J93" i="6"/>
  <c r="J98" i="6"/>
  <c r="J103" i="6"/>
  <c r="J109" i="6"/>
  <c r="J114" i="6"/>
  <c r="J119" i="6"/>
  <c r="J123" i="6"/>
  <c r="J127" i="6"/>
  <c r="J131" i="6"/>
  <c r="J135" i="6"/>
  <c r="J139" i="6"/>
  <c r="J143" i="6"/>
  <c r="J147" i="6"/>
  <c r="J151" i="6"/>
  <c r="J155" i="6"/>
  <c r="J159" i="6"/>
  <c r="J163" i="6"/>
  <c r="J167" i="6"/>
  <c r="J171" i="6"/>
  <c r="J175" i="6"/>
  <c r="J179" i="6"/>
  <c r="J183" i="6"/>
  <c r="J187" i="6"/>
  <c r="J191" i="6"/>
  <c r="J195" i="6"/>
  <c r="J199" i="6"/>
  <c r="J203" i="6"/>
  <c r="J207" i="6"/>
  <c r="J211" i="6"/>
  <c r="J215" i="6"/>
  <c r="J219" i="6"/>
  <c r="J223" i="6"/>
  <c r="J227" i="6"/>
  <c r="J231" i="6"/>
  <c r="J235" i="6"/>
  <c r="J239" i="6"/>
  <c r="J243" i="6"/>
  <c r="J247" i="6"/>
  <c r="J251" i="6"/>
  <c r="J255" i="6"/>
  <c r="J259" i="6"/>
  <c r="J263" i="6"/>
  <c r="J267" i="6"/>
  <c r="J271" i="6"/>
  <c r="J275" i="6"/>
  <c r="J279" i="6"/>
  <c r="J283" i="6"/>
  <c r="J287" i="6"/>
  <c r="J291" i="6"/>
  <c r="J295" i="6"/>
  <c r="J299" i="6"/>
  <c r="J303" i="6"/>
  <c r="J307" i="6"/>
  <c r="J311" i="6"/>
  <c r="J315" i="6"/>
  <c r="J319" i="6"/>
  <c r="J323" i="6"/>
  <c r="J327" i="6"/>
  <c r="J331" i="6"/>
  <c r="J335" i="6"/>
  <c r="J339" i="6"/>
  <c r="J343" i="6"/>
  <c r="J347" i="6"/>
  <c r="J351" i="6"/>
  <c r="J355" i="6"/>
  <c r="J359" i="6"/>
  <c r="J363" i="6"/>
  <c r="J367" i="6"/>
  <c r="J371" i="6"/>
  <c r="J375" i="6"/>
  <c r="J379" i="6"/>
  <c r="J383" i="6"/>
  <c r="J387" i="6"/>
  <c r="J391" i="6"/>
  <c r="J395" i="6"/>
  <c r="J399" i="6"/>
  <c r="H257" i="6"/>
  <c r="H366" i="6"/>
  <c r="I31" i="6"/>
  <c r="I95" i="6"/>
  <c r="I137" i="6"/>
  <c r="I169" i="6"/>
  <c r="I190" i="6"/>
  <c r="I206" i="6"/>
  <c r="I222" i="6"/>
  <c r="I234" i="6"/>
  <c r="I242" i="6"/>
  <c r="I250" i="6"/>
  <c r="I258" i="6"/>
  <c r="I266" i="6"/>
  <c r="I274" i="6"/>
  <c r="I282" i="6"/>
  <c r="I290" i="6"/>
  <c r="I298" i="6"/>
  <c r="I306" i="6"/>
  <c r="I314" i="6"/>
  <c r="I322" i="6"/>
  <c r="I330" i="6"/>
  <c r="I338" i="6"/>
  <c r="I346" i="6"/>
  <c r="I354" i="6"/>
  <c r="I362" i="6"/>
  <c r="I370" i="6"/>
  <c r="I378" i="6"/>
  <c r="I386" i="6"/>
  <c r="I394" i="6"/>
  <c r="J3" i="6"/>
  <c r="J11" i="6"/>
  <c r="J19" i="6"/>
  <c r="J25" i="6"/>
  <c r="J30" i="6"/>
  <c r="J35" i="6"/>
  <c r="J41" i="6"/>
  <c r="J46" i="6"/>
  <c r="J51" i="6"/>
  <c r="J57" i="6"/>
  <c r="J62" i="6"/>
  <c r="J67" i="6"/>
  <c r="J73" i="6"/>
  <c r="J78" i="6"/>
  <c r="J83" i="6"/>
  <c r="J89" i="6"/>
  <c r="J94" i="6"/>
  <c r="J99" i="6"/>
  <c r="J105" i="6"/>
  <c r="J110" i="6"/>
  <c r="J115" i="6"/>
  <c r="J120" i="6"/>
  <c r="J124" i="6"/>
  <c r="J128" i="6"/>
  <c r="J132" i="6"/>
  <c r="J136" i="6"/>
  <c r="J140" i="6"/>
  <c r="J144" i="6"/>
  <c r="J148" i="6"/>
  <c r="J152" i="6"/>
  <c r="J156" i="6"/>
  <c r="J160" i="6"/>
  <c r="J164" i="6"/>
  <c r="J168" i="6"/>
  <c r="J172" i="6"/>
  <c r="J176" i="6"/>
  <c r="J180" i="6"/>
  <c r="J184" i="6"/>
  <c r="J188" i="6"/>
  <c r="J192" i="6"/>
  <c r="J196" i="6"/>
  <c r="J200" i="6"/>
  <c r="J204" i="6"/>
  <c r="J208" i="6"/>
  <c r="J212" i="6"/>
  <c r="J216" i="6"/>
  <c r="J220" i="6"/>
  <c r="J224" i="6"/>
  <c r="J228" i="6"/>
  <c r="J232" i="6"/>
  <c r="J236" i="6"/>
  <c r="J240" i="6"/>
  <c r="J244" i="6"/>
  <c r="J248" i="6"/>
  <c r="J252" i="6"/>
  <c r="J400" i="6"/>
  <c r="J384" i="6"/>
  <c r="J368" i="6"/>
  <c r="J352" i="6"/>
  <c r="J336" i="6"/>
  <c r="J320" i="6"/>
  <c r="J304" i="6"/>
  <c r="J288" i="6"/>
  <c r="J272" i="6"/>
  <c r="J256" i="6"/>
  <c r="N477" i="3"/>
  <c r="O477" i="3" s="1"/>
  <c r="P477" i="3"/>
  <c r="Q477" i="3" s="1"/>
  <c r="C405" i="3"/>
  <c r="U405" i="3" s="1"/>
  <c r="N556" i="3"/>
  <c r="O556" i="3" s="1"/>
  <c r="V556" i="3" s="1"/>
  <c r="W556" i="3" s="1"/>
  <c r="U556" i="3"/>
  <c r="N552" i="3"/>
  <c r="O552" i="3" s="1"/>
  <c r="R552" i="3"/>
  <c r="S552" i="3" s="1"/>
  <c r="P548" i="3"/>
  <c r="Q548" i="3" s="1"/>
  <c r="N548" i="3"/>
  <c r="O548" i="3" s="1"/>
  <c r="N544" i="3"/>
  <c r="O544" i="3" s="1"/>
  <c r="R544" i="3"/>
  <c r="S544" i="3" s="1"/>
  <c r="R540" i="3"/>
  <c r="S540" i="3" s="1"/>
  <c r="N540" i="3"/>
  <c r="O540" i="3" s="1"/>
  <c r="V540" i="3" s="1"/>
  <c r="W540" i="3" s="1"/>
  <c r="U540" i="3"/>
  <c r="R528" i="3"/>
  <c r="S528" i="3" s="1"/>
  <c r="N528" i="3"/>
  <c r="O528" i="3" s="1"/>
  <c r="N524" i="3"/>
  <c r="O524" i="3" s="1"/>
  <c r="R524" i="3"/>
  <c r="S524" i="3" s="1"/>
  <c r="U524" i="3"/>
  <c r="N520" i="3"/>
  <c r="O520" i="3" s="1"/>
  <c r="P520" i="3"/>
  <c r="Q520" i="3" s="1"/>
  <c r="P512" i="3"/>
  <c r="Q512" i="3" s="1"/>
  <c r="N512" i="3"/>
  <c r="O512" i="3" s="1"/>
  <c r="R512" i="3"/>
  <c r="S512" i="3" s="1"/>
  <c r="U508" i="3"/>
  <c r="N508" i="3"/>
  <c r="O508" i="3" s="1"/>
  <c r="C6" i="2"/>
  <c r="C718" i="2"/>
  <c r="C686" i="2"/>
  <c r="C611" i="2"/>
  <c r="C574" i="2"/>
  <c r="C547" i="2"/>
  <c r="C515" i="2"/>
  <c r="C478" i="2"/>
  <c r="C425" i="2"/>
  <c r="C334" i="2"/>
  <c r="C294" i="2"/>
  <c r="C245" i="2"/>
  <c r="C202" i="2"/>
  <c r="C151" i="2"/>
  <c r="C102" i="2"/>
  <c r="C53" i="2"/>
  <c r="C10" i="2"/>
  <c r="W13" i="3"/>
  <c r="W787" i="3"/>
  <c r="V291" i="3"/>
  <c r="W291" i="3" s="1"/>
  <c r="V211" i="3"/>
  <c r="W211" i="3" s="1"/>
  <c r="V203" i="3"/>
  <c r="W203" i="3" s="1"/>
  <c r="V75" i="3"/>
  <c r="W75" i="3" s="1"/>
  <c r="N705" i="3"/>
  <c r="O705" i="3" s="1"/>
  <c r="T705" i="3"/>
  <c r="C38" i="2"/>
  <c r="C74" i="2"/>
  <c r="C109" i="2"/>
  <c r="C150" i="2"/>
  <c r="C181" i="2"/>
  <c r="C215" i="2"/>
  <c r="C258" i="2"/>
  <c r="C287" i="2"/>
  <c r="C315" i="2"/>
  <c r="C350" i="2"/>
  <c r="C371" i="2"/>
  <c r="C398" i="2"/>
  <c r="C409" i="2"/>
  <c r="C438" i="2"/>
  <c r="C451" i="2"/>
  <c r="C477" i="2"/>
  <c r="C499" i="2"/>
  <c r="C526" i="2"/>
  <c r="C553" i="2"/>
  <c r="C569" i="2"/>
  <c r="C595" i="2"/>
  <c r="C627" i="2"/>
  <c r="C649" i="2"/>
  <c r="C675" i="2"/>
  <c r="C707" i="2"/>
  <c r="C734" i="2"/>
  <c r="C713" i="2"/>
  <c r="C670" i="2"/>
  <c r="C638" i="2"/>
  <c r="C606" i="2"/>
  <c r="C563" i="2"/>
  <c r="C537" i="2"/>
  <c r="C510" i="2"/>
  <c r="C473" i="2"/>
  <c r="C446" i="2"/>
  <c r="C419" i="2"/>
  <c r="C393" i="2"/>
  <c r="C361" i="2"/>
  <c r="C329" i="2"/>
  <c r="C285" i="2"/>
  <c r="C237" i="2"/>
  <c r="C187" i="2"/>
  <c r="C138" i="2"/>
  <c r="C95" i="2"/>
  <c r="C45" i="2"/>
  <c r="W739" i="3"/>
  <c r="V875" i="3"/>
  <c r="W25" i="3"/>
  <c r="W488" i="3"/>
  <c r="V451" i="3"/>
  <c r="W451" i="3" s="1"/>
  <c r="V446" i="3"/>
  <c r="V387" i="3"/>
  <c r="W387" i="3" s="1"/>
  <c r="V382" i="3"/>
  <c r="W382" i="3" s="1"/>
  <c r="V422" i="3"/>
  <c r="W422" i="3" s="1"/>
  <c r="P840" i="3"/>
  <c r="Q840" i="3" s="1"/>
  <c r="R840" i="3"/>
  <c r="S840" i="3" s="1"/>
  <c r="R728" i="3"/>
  <c r="S728" i="3" s="1"/>
  <c r="P728" i="3"/>
  <c r="Q728" i="3" s="1"/>
  <c r="C739" i="2"/>
  <c r="C697" i="2"/>
  <c r="C665" i="2"/>
  <c r="C633" i="2"/>
  <c r="C590" i="2"/>
  <c r="C561" i="2"/>
  <c r="C531" i="2"/>
  <c r="C494" i="2"/>
  <c r="C462" i="2"/>
  <c r="C441" i="2"/>
  <c r="C406" i="2"/>
  <c r="C387" i="2"/>
  <c r="C355" i="2"/>
  <c r="C309" i="2"/>
  <c r="C273" i="2"/>
  <c r="C230" i="2"/>
  <c r="C173" i="2"/>
  <c r="C130" i="2"/>
  <c r="C81" i="2"/>
  <c r="C23" i="2"/>
  <c r="V1030" i="3"/>
  <c r="W1030" i="3" s="1"/>
  <c r="W1051" i="3"/>
  <c r="W1027" i="3"/>
  <c r="W1003" i="3"/>
  <c r="W995" i="3"/>
  <c r="W947" i="3"/>
  <c r="W923" i="3"/>
  <c r="W887" i="3"/>
  <c r="V899" i="3"/>
  <c r="W899" i="3" s="1"/>
  <c r="V891" i="3"/>
  <c r="W891" i="3" s="1"/>
  <c r="V883" i="3"/>
  <c r="W883" i="3" s="1"/>
  <c r="V867" i="3"/>
  <c r="V859" i="3"/>
  <c r="R820" i="3"/>
  <c r="S820" i="3" s="1"/>
  <c r="V719" i="3"/>
  <c r="W719" i="3" s="1"/>
  <c r="V687" i="3"/>
  <c r="W687" i="3" s="1"/>
  <c r="V439" i="3"/>
  <c r="W439" i="3" s="1"/>
  <c r="V412" i="3"/>
  <c r="W412" i="3" s="1"/>
  <c r="W5" i="3"/>
  <c r="V618" i="3"/>
  <c r="C729" i="2"/>
  <c r="C691" i="2"/>
  <c r="C654" i="2"/>
  <c r="C617" i="2"/>
  <c r="C585" i="2"/>
  <c r="C558" i="2"/>
  <c r="C519" i="2"/>
  <c r="C489" i="2"/>
  <c r="C457" i="2"/>
  <c r="C430" i="2"/>
  <c r="C403" i="2"/>
  <c r="C377" i="2"/>
  <c r="C339" i="2"/>
  <c r="C305" i="2"/>
  <c r="C266" i="2"/>
  <c r="C209" i="2"/>
  <c r="C159" i="2"/>
  <c r="C123" i="2"/>
  <c r="C66" i="2"/>
  <c r="C17" i="2"/>
  <c r="V974" i="3"/>
  <c r="W599" i="3"/>
  <c r="V1047" i="3"/>
  <c r="W1047" i="3" s="1"/>
  <c r="V1039" i="3"/>
  <c r="W1039" i="3" s="1"/>
  <c r="V1023" i="3"/>
  <c r="V1007" i="3"/>
  <c r="W1007" i="3" s="1"/>
  <c r="V999" i="3"/>
  <c r="W999" i="3" s="1"/>
  <c r="V983" i="3"/>
  <c r="W983" i="3" s="1"/>
  <c r="V975" i="3"/>
  <c r="V967" i="3"/>
  <c r="W967" i="3" s="1"/>
  <c r="V959" i="3"/>
  <c r="V943" i="3"/>
  <c r="W943" i="3" s="1"/>
  <c r="V515" i="3"/>
  <c r="W515" i="3" s="1"/>
  <c r="V486" i="3"/>
  <c r="V124" i="3"/>
  <c r="W124" i="3" s="1"/>
  <c r="V108" i="3"/>
  <c r="W108" i="3" s="1"/>
  <c r="V416" i="3"/>
  <c r="W416" i="3" s="1"/>
  <c r="V112" i="3"/>
  <c r="W112" i="3" s="1"/>
  <c r="V954" i="3"/>
  <c r="W875" i="3"/>
  <c r="W711" i="3"/>
  <c r="V935" i="3"/>
  <c r="W935" i="3" s="1"/>
  <c r="V927" i="3"/>
  <c r="W927" i="3" s="1"/>
  <c r="W903" i="3"/>
  <c r="V551" i="3"/>
  <c r="V531" i="3"/>
  <c r="W531" i="3" s="1"/>
  <c r="V815" i="3"/>
  <c r="V682" i="3"/>
  <c r="V554" i="3"/>
  <c r="V1071" i="3"/>
  <c r="W1071" i="3" s="1"/>
  <c r="V1063" i="3"/>
  <c r="W1063" i="3" s="1"/>
  <c r="V1055" i="3"/>
  <c r="W1055" i="3" s="1"/>
  <c r="V923" i="3"/>
  <c r="V879" i="3"/>
  <c r="W879" i="3" s="1"/>
  <c r="V871" i="3"/>
  <c r="W871" i="3" s="1"/>
  <c r="V847" i="3"/>
  <c r="V819" i="3"/>
  <c r="V811" i="3"/>
  <c r="W811" i="3" s="1"/>
  <c r="V718" i="3"/>
  <c r="V671" i="3"/>
  <c r="W671" i="3" s="1"/>
  <c r="W627" i="3"/>
  <c r="V619" i="3"/>
  <c r="W619" i="3" s="1"/>
  <c r="V595" i="3"/>
  <c r="V579" i="3"/>
  <c r="W579" i="3" s="1"/>
  <c r="V468" i="3"/>
  <c r="W468" i="3" s="1"/>
  <c r="V934" i="3"/>
  <c r="W934" i="3" s="1"/>
  <c r="V858" i="3"/>
  <c r="V502" i="3"/>
  <c r="W502" i="3" s="1"/>
  <c r="V480" i="3"/>
  <c r="V459" i="3"/>
  <c r="W459" i="3" s="1"/>
  <c r="V454" i="3"/>
  <c r="V358" i="3"/>
  <c r="W358" i="3" s="1"/>
  <c r="N1073" i="3"/>
  <c r="O1073" i="3" s="1"/>
  <c r="P1073" i="3"/>
  <c r="Q1073" i="3" s="1"/>
  <c r="N1041" i="3"/>
  <c r="O1041" i="3" s="1"/>
  <c r="T1041" i="3"/>
  <c r="P1041" i="3"/>
  <c r="Q1041" i="3" s="1"/>
  <c r="N1033" i="3"/>
  <c r="O1033" i="3" s="1"/>
  <c r="T1033" i="3"/>
  <c r="P1025" i="3"/>
  <c r="Q1025" i="3" s="1"/>
  <c r="N1025" i="3"/>
  <c r="O1025" i="3" s="1"/>
  <c r="N1017" i="3"/>
  <c r="O1017" i="3" s="1"/>
  <c r="T1017" i="3"/>
  <c r="N993" i="3"/>
  <c r="O993" i="3" s="1"/>
  <c r="T993" i="3"/>
  <c r="N977" i="3"/>
  <c r="O977" i="3" s="1"/>
  <c r="T977" i="3"/>
  <c r="T969" i="3"/>
  <c r="N969" i="3"/>
  <c r="O969" i="3" s="1"/>
  <c r="N953" i="3"/>
  <c r="O953" i="3" s="1"/>
  <c r="P953" i="3"/>
  <c r="Q953" i="3" s="1"/>
  <c r="T953" i="3"/>
  <c r="N929" i="3"/>
  <c r="O929" i="3" s="1"/>
  <c r="T929" i="3"/>
  <c r="N905" i="3"/>
  <c r="O905" i="3" s="1"/>
  <c r="T905" i="3"/>
  <c r="N889" i="3"/>
  <c r="O889" i="3" s="1"/>
  <c r="T889" i="3"/>
  <c r="P889" i="3"/>
  <c r="Q889" i="3" s="1"/>
  <c r="N865" i="3"/>
  <c r="O865" i="3" s="1"/>
  <c r="T865" i="3"/>
  <c r="N849" i="3"/>
  <c r="O849" i="3" s="1"/>
  <c r="V849" i="3" s="1"/>
  <c r="W849" i="3" s="1"/>
  <c r="T849" i="3"/>
  <c r="N745" i="3"/>
  <c r="O745" i="3" s="1"/>
  <c r="T745" i="3"/>
  <c r="N733" i="3"/>
  <c r="O733" i="3" s="1"/>
  <c r="T733" i="3"/>
  <c r="N729" i="3"/>
  <c r="O729" i="3" s="1"/>
  <c r="T729" i="3"/>
  <c r="T721" i="3"/>
  <c r="N721" i="3"/>
  <c r="O721" i="3" s="1"/>
  <c r="N717" i="3"/>
  <c r="O717" i="3" s="1"/>
  <c r="T717" i="3"/>
  <c r="T681" i="3"/>
  <c r="N681" i="3"/>
  <c r="O681" i="3" s="1"/>
  <c r="T669" i="3"/>
  <c r="N669" i="3"/>
  <c r="O669" i="3" s="1"/>
  <c r="V669" i="3" s="1"/>
  <c r="W669" i="3" s="1"/>
  <c r="T665" i="3"/>
  <c r="N665" i="3"/>
  <c r="O665" i="3" s="1"/>
  <c r="T657" i="3"/>
  <c r="N657" i="3"/>
  <c r="O657" i="3" s="1"/>
  <c r="T653" i="3"/>
  <c r="N653" i="3"/>
  <c r="O653" i="3" s="1"/>
  <c r="N641" i="3"/>
  <c r="O641" i="3" s="1"/>
  <c r="T641" i="3"/>
  <c r="N617" i="3"/>
  <c r="O617" i="3" s="1"/>
  <c r="T617" i="3"/>
  <c r="T601" i="3"/>
  <c r="N601" i="3"/>
  <c r="O601" i="3" s="1"/>
  <c r="N589" i="3"/>
  <c r="O589" i="3" s="1"/>
  <c r="T589" i="3"/>
  <c r="N585" i="3"/>
  <c r="O585" i="3" s="1"/>
  <c r="T585" i="3"/>
  <c r="N573" i="3"/>
  <c r="O573" i="3" s="1"/>
  <c r="P573" i="3"/>
  <c r="Q573" i="3" s="1"/>
  <c r="N569" i="3"/>
  <c r="O569" i="3" s="1"/>
  <c r="P569" i="3"/>
  <c r="Q569" i="3" s="1"/>
  <c r="N565" i="3"/>
  <c r="O565" i="3" s="1"/>
  <c r="P565" i="3"/>
  <c r="Q565" i="3" s="1"/>
  <c r="N561" i="3"/>
  <c r="O561" i="3" s="1"/>
  <c r="P561" i="3"/>
  <c r="Q561" i="3" s="1"/>
  <c r="N557" i="3"/>
  <c r="O557" i="3" s="1"/>
  <c r="V557" i="3" s="1"/>
  <c r="W557" i="3" s="1"/>
  <c r="T557" i="3"/>
  <c r="N533" i="3"/>
  <c r="O533" i="3" s="1"/>
  <c r="P533" i="3"/>
  <c r="Q533" i="3" s="1"/>
  <c r="N529" i="3"/>
  <c r="O529" i="3" s="1"/>
  <c r="P529" i="3"/>
  <c r="Q529" i="3" s="1"/>
  <c r="N525" i="3"/>
  <c r="O525" i="3" s="1"/>
  <c r="T525" i="3"/>
  <c r="N521" i="3"/>
  <c r="O521" i="3" s="1"/>
  <c r="T521" i="3"/>
  <c r="N517" i="3"/>
  <c r="O517" i="3" s="1"/>
  <c r="T517" i="3"/>
  <c r="N513" i="3"/>
  <c r="O513" i="3" s="1"/>
  <c r="T513" i="3"/>
  <c r="C501" i="3"/>
  <c r="N501" i="3" s="1"/>
  <c r="O501" i="3" s="1"/>
  <c r="V802" i="3"/>
  <c r="W802" i="3" s="1"/>
  <c r="W1043" i="3"/>
  <c r="C7" i="2"/>
  <c r="C22" i="2"/>
  <c r="C37" i="2"/>
  <c r="C50" i="2"/>
  <c r="C65" i="2"/>
  <c r="C79" i="2"/>
  <c r="C93" i="2"/>
  <c r="C107" i="2"/>
  <c r="C122" i="2"/>
  <c r="C135" i="2"/>
  <c r="C171" i="2"/>
  <c r="C186" i="2"/>
  <c r="C199" i="2"/>
  <c r="C214" i="2"/>
  <c r="C229" i="2"/>
  <c r="C242" i="2"/>
  <c r="C257" i="2"/>
  <c r="C271" i="2"/>
  <c r="C299" i="2"/>
  <c r="C314" i="2"/>
  <c r="C327" i="2"/>
  <c r="C338" i="2"/>
  <c r="C349" i="2"/>
  <c r="C359" i="2"/>
  <c r="C370" i="2"/>
  <c r="C381" i="2"/>
  <c r="C391" i="2"/>
  <c r="C397" i="2"/>
  <c r="C407" i="2"/>
  <c r="C418" i="2"/>
  <c r="C429" i="2"/>
  <c r="C439" i="2"/>
  <c r="C450" i="2"/>
  <c r="C461" i="2"/>
  <c r="C471" i="2"/>
  <c r="C482" i="2"/>
  <c r="C493" i="2"/>
  <c r="C503" i="2"/>
  <c r="C514" i="2"/>
  <c r="C525" i="2"/>
  <c r="C530" i="2"/>
  <c r="C541" i="2"/>
  <c r="C551" i="2"/>
  <c r="C562" i="2"/>
  <c r="C573" i="2"/>
  <c r="C583" i="2"/>
  <c r="C594" i="2"/>
  <c r="C605" i="2"/>
  <c r="C615" i="2"/>
  <c r="C626" i="2"/>
  <c r="C637" i="2"/>
  <c r="C658" i="2"/>
  <c r="C669" i="2"/>
  <c r="C679" i="2"/>
  <c r="C690" i="2"/>
  <c r="C701" i="2"/>
  <c r="C711" i="2"/>
  <c r="C722" i="2"/>
  <c r="C733" i="2"/>
  <c r="C743" i="2"/>
  <c r="C15" i="2"/>
  <c r="C29" i="2"/>
  <c r="C43" i="2"/>
  <c r="C58" i="2"/>
  <c r="C71" i="2"/>
  <c r="C86" i="2"/>
  <c r="C101" i="2"/>
  <c r="C114" i="2"/>
  <c r="C129" i="2"/>
  <c r="C143" i="2"/>
  <c r="C157" i="2"/>
  <c r="C165" i="2"/>
  <c r="C178" i="2"/>
  <c r="C193" i="2"/>
  <c r="C207" i="2"/>
  <c r="C221" i="2"/>
  <c r="C235" i="2"/>
  <c r="C250" i="2"/>
  <c r="C263" i="2"/>
  <c r="C278" i="2"/>
  <c r="C293" i="2"/>
  <c r="C306" i="2"/>
  <c r="C321" i="2"/>
  <c r="C333" i="2"/>
  <c r="C343" i="2"/>
  <c r="C354" i="2"/>
  <c r="C365" i="2"/>
  <c r="C375" i="2"/>
  <c r="C386" i="2"/>
  <c r="C402" i="2"/>
  <c r="C413" i="2"/>
  <c r="C423" i="2"/>
  <c r="C434" i="2"/>
  <c r="C445" i="2"/>
  <c r="C455" i="2"/>
  <c r="C466" i="2"/>
  <c r="C487" i="2"/>
  <c r="C498" i="2"/>
  <c r="C509" i="2"/>
  <c r="C535" i="2"/>
  <c r="C546" i="2"/>
  <c r="C557" i="2"/>
  <c r="C567" i="2"/>
  <c r="C578" i="2"/>
  <c r="C589" i="2"/>
  <c r="C599" i="2"/>
  <c r="C610" i="2"/>
  <c r="C621" i="2"/>
  <c r="C631" i="2"/>
  <c r="C642" i="2"/>
  <c r="C653" i="2"/>
  <c r="C663" i="2"/>
  <c r="C674" i="2"/>
  <c r="C685" i="2"/>
  <c r="C695" i="2"/>
  <c r="C706" i="2"/>
  <c r="C717" i="2"/>
  <c r="C727" i="2"/>
  <c r="C738" i="2"/>
  <c r="C745" i="2"/>
  <c r="C723" i="2"/>
  <c r="C702" i="2"/>
  <c r="C681" i="2"/>
  <c r="C659" i="2"/>
  <c r="C643" i="2"/>
  <c r="C622" i="2"/>
  <c r="C601" i="2"/>
  <c r="C579" i="2"/>
  <c r="C542" i="2"/>
  <c r="C521" i="2"/>
  <c r="C505" i="2"/>
  <c r="C483" i="2"/>
  <c r="C467" i="2"/>
  <c r="C435" i="2"/>
  <c r="C414" i="2"/>
  <c r="C382" i="2"/>
  <c r="C366" i="2"/>
  <c r="C345" i="2"/>
  <c r="C322" i="2"/>
  <c r="C301" i="2"/>
  <c r="C279" i="2"/>
  <c r="C251" i="2"/>
  <c r="C223" i="2"/>
  <c r="C194" i="2"/>
  <c r="C166" i="2"/>
  <c r="C145" i="2"/>
  <c r="C117" i="2"/>
  <c r="C87" i="2"/>
  <c r="C59" i="2"/>
  <c r="C31" i="2"/>
  <c r="C2" i="2"/>
  <c r="V746" i="3"/>
  <c r="W746" i="3" s="1"/>
  <c r="W400" i="3"/>
  <c r="T1057" i="3"/>
  <c r="T901" i="3"/>
  <c r="T605" i="3"/>
  <c r="V675" i="3"/>
  <c r="R469" i="3"/>
  <c r="S469" i="3" s="1"/>
  <c r="P469" i="3"/>
  <c r="Q469" i="3" s="1"/>
  <c r="T469" i="3"/>
  <c r="U469" i="3"/>
  <c r="N469" i="3"/>
  <c r="O469" i="3" s="1"/>
  <c r="R465" i="3"/>
  <c r="S465" i="3" s="1"/>
  <c r="P465" i="3"/>
  <c r="Q465" i="3" s="1"/>
  <c r="T465" i="3"/>
  <c r="U465" i="3"/>
  <c r="N465" i="3"/>
  <c r="O465" i="3" s="1"/>
  <c r="T461" i="3"/>
  <c r="U461" i="3"/>
  <c r="N461" i="3"/>
  <c r="O461" i="3" s="1"/>
  <c r="V461" i="3" s="1"/>
  <c r="T457" i="3"/>
  <c r="U457" i="3"/>
  <c r="N457" i="3"/>
  <c r="O457" i="3" s="1"/>
  <c r="T453" i="3"/>
  <c r="U453" i="3"/>
  <c r="N453" i="3"/>
  <c r="O453" i="3" s="1"/>
  <c r="V453" i="3" s="1"/>
  <c r="T449" i="3"/>
  <c r="U449" i="3"/>
  <c r="N449" i="3"/>
  <c r="O449" i="3" s="1"/>
  <c r="T445" i="3"/>
  <c r="W445" i="3" s="1"/>
  <c r="U445" i="3"/>
  <c r="T441" i="3"/>
  <c r="U441" i="3"/>
  <c r="T437" i="3"/>
  <c r="U437" i="3"/>
  <c r="T433" i="3"/>
  <c r="U433" i="3"/>
  <c r="C429" i="3"/>
  <c r="P429" i="3" s="1"/>
  <c r="Q429" i="3" s="1"/>
  <c r="P588" i="3"/>
  <c r="Q588" i="3" s="1"/>
  <c r="R588" i="3"/>
  <c r="S588" i="3" s="1"/>
  <c r="T588" i="3"/>
  <c r="U588" i="3"/>
  <c r="N584" i="3"/>
  <c r="O584" i="3" s="1"/>
  <c r="R584" i="3"/>
  <c r="S584" i="3" s="1"/>
  <c r="P580" i="3"/>
  <c r="Q580" i="3" s="1"/>
  <c r="R580" i="3"/>
  <c r="S580" i="3" s="1"/>
  <c r="V580" i="3" s="1"/>
  <c r="W580" i="3" s="1"/>
  <c r="U576" i="3"/>
  <c r="R576" i="3"/>
  <c r="S576" i="3" s="1"/>
  <c r="T572" i="3"/>
  <c r="P572" i="3"/>
  <c r="Q572" i="3" s="1"/>
  <c r="N572" i="3"/>
  <c r="O572" i="3" s="1"/>
  <c r="R572" i="3"/>
  <c r="S572" i="3" s="1"/>
  <c r="N568" i="3"/>
  <c r="O568" i="3" s="1"/>
  <c r="P568" i="3"/>
  <c r="Q568" i="3" s="1"/>
  <c r="T568" i="3"/>
  <c r="R564" i="3"/>
  <c r="S564" i="3" s="1"/>
  <c r="V564" i="3" s="1"/>
  <c r="P564" i="3"/>
  <c r="Q564" i="3" s="1"/>
  <c r="T564" i="3"/>
  <c r="U560" i="3"/>
  <c r="N560" i="3"/>
  <c r="O560" i="3" s="1"/>
  <c r="R560" i="3"/>
  <c r="S560" i="3" s="1"/>
  <c r="W452" i="3"/>
  <c r="W384" i="3"/>
  <c r="V1011" i="3"/>
  <c r="W1011" i="3" s="1"/>
  <c r="V902" i="3"/>
  <c r="V370" i="3"/>
  <c r="W370" i="3" s="1"/>
  <c r="V986" i="3"/>
  <c r="W986" i="3" s="1"/>
  <c r="V398" i="3"/>
  <c r="W398" i="3" s="1"/>
  <c r="V362" i="3"/>
  <c r="W362" i="3" s="1"/>
  <c r="V346" i="3"/>
  <c r="W346" i="3" s="1"/>
  <c r="V342" i="3"/>
  <c r="W342" i="3" s="1"/>
  <c r="V334" i="3"/>
  <c r="V326" i="3"/>
  <c r="V318" i="3"/>
  <c r="V302" i="3"/>
  <c r="W302" i="3" s="1"/>
  <c r="V298" i="3"/>
  <c r="W298" i="3" s="1"/>
  <c r="V294" i="3"/>
  <c r="W294" i="3" s="1"/>
  <c r="V282" i="3"/>
  <c r="W282" i="3" s="1"/>
  <c r="V278" i="3"/>
  <c r="V270" i="3"/>
  <c r="W270" i="3" s="1"/>
  <c r="V262" i="3"/>
  <c r="W262" i="3" s="1"/>
  <c r="V246" i="3"/>
  <c r="V238" i="3"/>
  <c r="W238" i="3" s="1"/>
  <c r="V234" i="3"/>
  <c r="W234" i="3" s="1"/>
  <c r="V230" i="3"/>
  <c r="W230" i="3" s="1"/>
  <c r="V218" i="3"/>
  <c r="V214" i="3"/>
  <c r="W214" i="3" s="1"/>
  <c r="V198" i="3"/>
  <c r="W198" i="3" s="1"/>
  <c r="V190" i="3"/>
  <c r="W190" i="3" s="1"/>
  <c r="V182" i="3"/>
  <c r="W182" i="3" s="1"/>
  <c r="V174" i="3"/>
  <c r="W174" i="3" s="1"/>
  <c r="V166" i="3"/>
  <c r="W166" i="3" s="1"/>
  <c r="V154" i="3"/>
  <c r="W154" i="3" s="1"/>
  <c r="V150" i="3"/>
  <c r="W150" i="3" s="1"/>
  <c r="V134" i="3"/>
  <c r="W134" i="3" s="1"/>
  <c r="V118" i="3"/>
  <c r="W118" i="3" s="1"/>
  <c r="V106" i="3"/>
  <c r="W106" i="3" s="1"/>
  <c r="V102" i="3"/>
  <c r="W102" i="3" s="1"/>
  <c r="V90" i="3"/>
  <c r="W90" i="3" s="1"/>
  <c r="V86" i="3"/>
  <c r="W86" i="3" s="1"/>
  <c r="V62" i="3"/>
  <c r="W62" i="3" s="1"/>
  <c r="V54" i="3"/>
  <c r="V46" i="3"/>
  <c r="W46" i="3" s="1"/>
  <c r="V38" i="3"/>
  <c r="W38" i="3" s="1"/>
  <c r="V14" i="3"/>
  <c r="W14" i="3" s="1"/>
  <c r="V6" i="3"/>
  <c r="W6" i="3" s="1"/>
  <c r="R836" i="3"/>
  <c r="S836" i="3" s="1"/>
  <c r="T836" i="3"/>
  <c r="T816" i="3"/>
  <c r="P816" i="3"/>
  <c r="Q816" i="3" s="1"/>
  <c r="P648" i="3"/>
  <c r="Q648" i="3" s="1"/>
  <c r="R648" i="3"/>
  <c r="S648" i="3" s="1"/>
  <c r="C742" i="2"/>
  <c r="C737" i="2"/>
  <c r="C731" i="2"/>
  <c r="C726" i="2"/>
  <c r="C721" i="2"/>
  <c r="C715" i="2"/>
  <c r="C710" i="2"/>
  <c r="C705" i="2"/>
  <c r="C699" i="2"/>
  <c r="C694" i="2"/>
  <c r="C689" i="2"/>
  <c r="C683" i="2"/>
  <c r="C678" i="2"/>
  <c r="C673" i="2"/>
  <c r="C667" i="2"/>
  <c r="C662" i="2"/>
  <c r="C657" i="2"/>
  <c r="C651" i="2"/>
  <c r="C646" i="2"/>
  <c r="C641" i="2"/>
  <c r="C635" i="2"/>
  <c r="C630" i="2"/>
  <c r="C625" i="2"/>
  <c r="C619" i="2"/>
  <c r="C614" i="2"/>
  <c r="C609" i="2"/>
  <c r="C603" i="2"/>
  <c r="C598" i="2"/>
  <c r="C593" i="2"/>
  <c r="C587" i="2"/>
  <c r="C582" i="2"/>
  <c r="C577" i="2"/>
  <c r="C571" i="2"/>
  <c r="C566" i="2"/>
  <c r="C555" i="2"/>
  <c r="C550" i="2"/>
  <c r="C545" i="2"/>
  <c r="C539" i="2"/>
  <c r="C534" i="2"/>
  <c r="C529" i="2"/>
  <c r="C523" i="2"/>
  <c r="C518" i="2"/>
  <c r="C513" i="2"/>
  <c r="C507" i="2"/>
  <c r="C502" i="2"/>
  <c r="C497" i="2"/>
  <c r="C491" i="2"/>
  <c r="C486" i="2"/>
  <c r="C481" i="2"/>
  <c r="C475" i="2"/>
  <c r="C470" i="2"/>
  <c r="C465" i="2"/>
  <c r="C459" i="2"/>
  <c r="C454" i="2"/>
  <c r="C443" i="2"/>
  <c r="C433" i="2"/>
  <c r="C427" i="2"/>
  <c r="C422" i="2"/>
  <c r="C417" i="2"/>
  <c r="C411" i="2"/>
  <c r="C395" i="2"/>
  <c r="C390" i="2"/>
  <c r="C385" i="2"/>
  <c r="C379" i="2"/>
  <c r="C374" i="2"/>
  <c r="C363" i="2"/>
  <c r="C358" i="2"/>
  <c r="C353" i="2"/>
  <c r="C347" i="2"/>
  <c r="C342" i="2"/>
  <c r="C337" i="2"/>
  <c r="C331" i="2"/>
  <c r="C326" i="2"/>
  <c r="C319" i="2"/>
  <c r="C311" i="2"/>
  <c r="C298" i="2"/>
  <c r="C290" i="2"/>
  <c r="C283" i="2"/>
  <c r="C277" i="2"/>
  <c r="C269" i="2"/>
  <c r="C262" i="2"/>
  <c r="C255" i="2"/>
  <c r="C247" i="2"/>
  <c r="C241" i="2"/>
  <c r="C234" i="2"/>
  <c r="C226" i="2"/>
  <c r="C219" i="2"/>
  <c r="C213" i="2"/>
  <c r="C205" i="2"/>
  <c r="C198" i="2"/>
  <c r="C191" i="2"/>
  <c r="C183" i="2"/>
  <c r="C177" i="2"/>
  <c r="C170" i="2"/>
  <c r="C162" i="2"/>
  <c r="C155" i="2"/>
  <c r="C149" i="2"/>
  <c r="C141" i="2"/>
  <c r="C134" i="2"/>
  <c r="C127" i="2"/>
  <c r="C119" i="2"/>
  <c r="C113" i="2"/>
  <c r="C106" i="2"/>
  <c r="C98" i="2"/>
  <c r="C91" i="2"/>
  <c r="C85" i="2"/>
  <c r="C77" i="2"/>
  <c r="C70" i="2"/>
  <c r="C63" i="2"/>
  <c r="C55" i="2"/>
  <c r="C49" i="2"/>
  <c r="C42" i="2"/>
  <c r="C34" i="2"/>
  <c r="C27" i="2"/>
  <c r="C21" i="2"/>
  <c r="C13" i="2"/>
  <c r="T772" i="3"/>
  <c r="W731" i="3"/>
  <c r="V846" i="3"/>
  <c r="W846" i="3" s="1"/>
  <c r="V1031" i="3"/>
  <c r="W1031" i="3" s="1"/>
  <c r="W915" i="3"/>
  <c r="V707" i="3"/>
  <c r="W707" i="3" s="1"/>
  <c r="V659" i="3"/>
  <c r="W659" i="3" s="1"/>
  <c r="P824" i="3"/>
  <c r="Q824" i="3" s="1"/>
  <c r="V962" i="3"/>
  <c r="W962" i="3" s="1"/>
  <c r="V758" i="3"/>
  <c r="C4" i="2"/>
  <c r="C8" i="2"/>
  <c r="C12" i="2"/>
  <c r="C16" i="2"/>
  <c r="C20" i="2"/>
  <c r="C24" i="2"/>
  <c r="C28" i="2"/>
  <c r="C32" i="2"/>
  <c r="C36" i="2"/>
  <c r="C40" i="2"/>
  <c r="C44" i="2"/>
  <c r="C48" i="2"/>
  <c r="C52" i="2"/>
  <c r="C56" i="2"/>
  <c r="C60" i="2"/>
  <c r="C64" i="2"/>
  <c r="C68" i="2"/>
  <c r="C72" i="2"/>
  <c r="C76" i="2"/>
  <c r="C80" i="2"/>
  <c r="C84" i="2"/>
  <c r="C88" i="2"/>
  <c r="C92" i="2"/>
  <c r="C96" i="2"/>
  <c r="C100" i="2"/>
  <c r="C104" i="2"/>
  <c r="C108" i="2"/>
  <c r="C112" i="2"/>
  <c r="C116" i="2"/>
  <c r="C120" i="2"/>
  <c r="C124" i="2"/>
  <c r="C128" i="2"/>
  <c r="C132" i="2"/>
  <c r="C136" i="2"/>
  <c r="C140" i="2"/>
  <c r="C144" i="2"/>
  <c r="C148" i="2"/>
  <c r="C152" i="2"/>
  <c r="C156" i="2"/>
  <c r="C160" i="2"/>
  <c r="C164" i="2"/>
  <c r="C168" i="2"/>
  <c r="C172" i="2"/>
  <c r="C176" i="2"/>
  <c r="C180" i="2"/>
  <c r="C184" i="2"/>
  <c r="C188" i="2"/>
  <c r="C192" i="2"/>
  <c r="C196" i="2"/>
  <c r="C200" i="2"/>
  <c r="C204" i="2"/>
  <c r="C208" i="2"/>
  <c r="C212" i="2"/>
  <c r="C216" i="2"/>
  <c r="C220" i="2"/>
  <c r="C224" i="2"/>
  <c r="C228" i="2"/>
  <c r="C232" i="2"/>
  <c r="C236" i="2"/>
  <c r="C240" i="2"/>
  <c r="C244" i="2"/>
  <c r="C248" i="2"/>
  <c r="C252" i="2"/>
  <c r="C256" i="2"/>
  <c r="C260" i="2"/>
  <c r="C264" i="2"/>
  <c r="C268" i="2"/>
  <c r="C272" i="2"/>
  <c r="C276" i="2"/>
  <c r="C280" i="2"/>
  <c r="C284" i="2"/>
  <c r="C288" i="2"/>
  <c r="C292" i="2"/>
  <c r="C296" i="2"/>
  <c r="C300" i="2"/>
  <c r="C304" i="2"/>
  <c r="C308" i="2"/>
  <c r="C312" i="2"/>
  <c r="C316" i="2"/>
  <c r="C320" i="2"/>
  <c r="C324" i="2"/>
  <c r="C3" i="2"/>
  <c r="C9" i="2"/>
  <c r="C14" i="2"/>
  <c r="C19" i="2"/>
  <c r="C25" i="2"/>
  <c r="C30" i="2"/>
  <c r="C35" i="2"/>
  <c r="C41" i="2"/>
  <c r="C46" i="2"/>
  <c r="C51" i="2"/>
  <c r="C57" i="2"/>
  <c r="C62" i="2"/>
  <c r="C67" i="2"/>
  <c r="C73" i="2"/>
  <c r="C78" i="2"/>
  <c r="C83" i="2"/>
  <c r="C89" i="2"/>
  <c r="C94" i="2"/>
  <c r="C99" i="2"/>
  <c r="C105" i="2"/>
  <c r="C110" i="2"/>
  <c r="C115" i="2"/>
  <c r="C121" i="2"/>
  <c r="C126" i="2"/>
  <c r="C131" i="2"/>
  <c r="C137" i="2"/>
  <c r="C142" i="2"/>
  <c r="C147" i="2"/>
  <c r="C153" i="2"/>
  <c r="C158" i="2"/>
  <c r="C163" i="2"/>
  <c r="C169" i="2"/>
  <c r="C174" i="2"/>
  <c r="C179" i="2"/>
  <c r="C185" i="2"/>
  <c r="C190" i="2"/>
  <c r="C195" i="2"/>
  <c r="C201" i="2"/>
  <c r="C206" i="2"/>
  <c r="C211" i="2"/>
  <c r="C217" i="2"/>
  <c r="C222" i="2"/>
  <c r="C227" i="2"/>
  <c r="C233" i="2"/>
  <c r="C238" i="2"/>
  <c r="C243" i="2"/>
  <c r="C249" i="2"/>
  <c r="C254" i="2"/>
  <c r="C259" i="2"/>
  <c r="C265" i="2"/>
  <c r="C270" i="2"/>
  <c r="C275" i="2"/>
  <c r="C281" i="2"/>
  <c r="C286" i="2"/>
  <c r="C291" i="2"/>
  <c r="C297" i="2"/>
  <c r="C302" i="2"/>
  <c r="C307" i="2"/>
  <c r="C313" i="2"/>
  <c r="C318" i="2"/>
  <c r="C323" i="2"/>
  <c r="C328" i="2"/>
  <c r="C332" i="2"/>
  <c r="C336" i="2"/>
  <c r="C340" i="2"/>
  <c r="C344" i="2"/>
  <c r="C348" i="2"/>
  <c r="C352" i="2"/>
  <c r="C356" i="2"/>
  <c r="C360" i="2"/>
  <c r="C364" i="2"/>
  <c r="C368" i="2"/>
  <c r="C372" i="2"/>
  <c r="C376" i="2"/>
  <c r="C380" i="2"/>
  <c r="C384" i="2"/>
  <c r="C388" i="2"/>
  <c r="C392" i="2"/>
  <c r="C396" i="2"/>
  <c r="C400" i="2"/>
  <c r="C404" i="2"/>
  <c r="C408" i="2"/>
  <c r="C412" i="2"/>
  <c r="C416" i="2"/>
  <c r="C420" i="2"/>
  <c r="C424" i="2"/>
  <c r="C428" i="2"/>
  <c r="C432" i="2"/>
  <c r="C436" i="2"/>
  <c r="C440" i="2"/>
  <c r="C444" i="2"/>
  <c r="C448" i="2"/>
  <c r="C452" i="2"/>
  <c r="C456" i="2"/>
  <c r="C460" i="2"/>
  <c r="C464" i="2"/>
  <c r="C468" i="2"/>
  <c r="C472" i="2"/>
  <c r="C476" i="2"/>
  <c r="C480" i="2"/>
  <c r="C484" i="2"/>
  <c r="C488" i="2"/>
  <c r="C492" i="2"/>
  <c r="C496" i="2"/>
  <c r="C500" i="2"/>
  <c r="C504" i="2"/>
  <c r="C508" i="2"/>
  <c r="C512" i="2"/>
  <c r="C516" i="2"/>
  <c r="C520" i="2"/>
  <c r="C524" i="2"/>
  <c r="C528" i="2"/>
  <c r="C532" i="2"/>
  <c r="C536" i="2"/>
  <c r="C540" i="2"/>
  <c r="C544" i="2"/>
  <c r="C548" i="2"/>
  <c r="C552" i="2"/>
  <c r="C556" i="2"/>
  <c r="C560" i="2"/>
  <c r="C564" i="2"/>
  <c r="C568" i="2"/>
  <c r="C572" i="2"/>
  <c r="C576" i="2"/>
  <c r="C580" i="2"/>
  <c r="C584" i="2"/>
  <c r="C588" i="2"/>
  <c r="C592" i="2"/>
  <c r="C596" i="2"/>
  <c r="C600" i="2"/>
  <c r="C604" i="2"/>
  <c r="C608" i="2"/>
  <c r="C612" i="2"/>
  <c r="C616" i="2"/>
  <c r="C620" i="2"/>
  <c r="C624" i="2"/>
  <c r="C628" i="2"/>
  <c r="C632" i="2"/>
  <c r="C636" i="2"/>
  <c r="C640" i="2"/>
  <c r="C644" i="2"/>
  <c r="C648" i="2"/>
  <c r="C652" i="2"/>
  <c r="C656" i="2"/>
  <c r="C660" i="2"/>
  <c r="C664" i="2"/>
  <c r="C668" i="2"/>
  <c r="C672" i="2"/>
  <c r="C676" i="2"/>
  <c r="C680" i="2"/>
  <c r="C684" i="2"/>
  <c r="C688" i="2"/>
  <c r="C692" i="2"/>
  <c r="C696" i="2"/>
  <c r="C700" i="2"/>
  <c r="C704" i="2"/>
  <c r="C708" i="2"/>
  <c r="C712" i="2"/>
  <c r="C716" i="2"/>
  <c r="C720" i="2"/>
  <c r="C724" i="2"/>
  <c r="C728" i="2"/>
  <c r="C732" i="2"/>
  <c r="C736" i="2"/>
  <c r="C740" i="2"/>
  <c r="C744" i="2"/>
  <c r="C741" i="2"/>
  <c r="C735" i="2"/>
  <c r="C730" i="2"/>
  <c r="C725" i="2"/>
  <c r="C719" i="2"/>
  <c r="C714" i="2"/>
  <c r="C709" i="2"/>
  <c r="C703" i="2"/>
  <c r="C698" i="2"/>
  <c r="C693" i="2"/>
  <c r="C687" i="2"/>
  <c r="C682" i="2"/>
  <c r="C677" i="2"/>
  <c r="C671" i="2"/>
  <c r="C666" i="2"/>
  <c r="C661" i="2"/>
  <c r="C655" i="2"/>
  <c r="C650" i="2"/>
  <c r="C645" i="2"/>
  <c r="C639" i="2"/>
  <c r="C634" i="2"/>
  <c r="C629" i="2"/>
  <c r="C623" i="2"/>
  <c r="C618" i="2"/>
  <c r="C613" i="2"/>
  <c r="C607" i="2"/>
  <c r="C602" i="2"/>
  <c r="C597" i="2"/>
  <c r="C591" i="2"/>
  <c r="C586" i="2"/>
  <c r="C581" i="2"/>
  <c r="C575" i="2"/>
  <c r="C570" i="2"/>
  <c r="C565" i="2"/>
  <c r="C559" i="2"/>
  <c r="C554" i="2"/>
  <c r="C549" i="2"/>
  <c r="C543" i="2"/>
  <c r="C538" i="2"/>
  <c r="C533" i="2"/>
  <c r="C527" i="2"/>
  <c r="C522" i="2"/>
  <c r="C517" i="2"/>
  <c r="C511" i="2"/>
  <c r="C506" i="2"/>
  <c r="C501" i="2"/>
  <c r="C495" i="2"/>
  <c r="C490" i="2"/>
  <c r="C485" i="2"/>
  <c r="C479" i="2"/>
  <c r="C474" i="2"/>
  <c r="C469" i="2"/>
  <c r="C463" i="2"/>
  <c r="C458" i="2"/>
  <c r="C453" i="2"/>
  <c r="C447" i="2"/>
  <c r="C442" i="2"/>
  <c r="C437" i="2"/>
  <c r="C431" i="2"/>
  <c r="C426" i="2"/>
  <c r="C421" i="2"/>
  <c r="C415" i="2"/>
  <c r="C410" i="2"/>
  <c r="C405" i="2"/>
  <c r="C399" i="2"/>
  <c r="C394" i="2"/>
  <c r="C389" i="2"/>
  <c r="C383" i="2"/>
  <c r="C378" i="2"/>
  <c r="C373" i="2"/>
  <c r="C367" i="2"/>
  <c r="C362" i="2"/>
  <c r="C357" i="2"/>
  <c r="C351" i="2"/>
  <c r="C346" i="2"/>
  <c r="C341" i="2"/>
  <c r="C335" i="2"/>
  <c r="C330" i="2"/>
  <c r="C325" i="2"/>
  <c r="C317" i="2"/>
  <c r="C310" i="2"/>
  <c r="C303" i="2"/>
  <c r="C295" i="2"/>
  <c r="C289" i="2"/>
  <c r="C282" i="2"/>
  <c r="C274" i="2"/>
  <c r="C267" i="2"/>
  <c r="C261" i="2"/>
  <c r="C253" i="2"/>
  <c r="C246" i="2"/>
  <c r="C239" i="2"/>
  <c r="C231" i="2"/>
  <c r="C225" i="2"/>
  <c r="C218" i="2"/>
  <c r="C210" i="2"/>
  <c r="C203" i="2"/>
  <c r="C197" i="2"/>
  <c r="C189" i="2"/>
  <c r="C182" i="2"/>
  <c r="C175" i="2"/>
  <c r="C167" i="2"/>
  <c r="C161" i="2"/>
  <c r="C154" i="2"/>
  <c r="C146" i="2"/>
  <c r="C139" i="2"/>
  <c r="C133" i="2"/>
  <c r="C125" i="2"/>
  <c r="C118" i="2"/>
  <c r="C111" i="2"/>
  <c r="C103" i="2"/>
  <c r="C97" i="2"/>
  <c r="C90" i="2"/>
  <c r="C82" i="2"/>
  <c r="C75" i="2"/>
  <c r="C69" i="2"/>
  <c r="C61" i="2"/>
  <c r="C54" i="2"/>
  <c r="C47" i="2"/>
  <c r="C39" i="2"/>
  <c r="C33" i="2"/>
  <c r="C26" i="2"/>
  <c r="C18" i="2"/>
  <c r="C11" i="2"/>
  <c r="C5" i="2"/>
  <c r="T804" i="3"/>
  <c r="W534" i="3"/>
  <c r="W499" i="3"/>
  <c r="W867" i="3"/>
  <c r="V794" i="3"/>
  <c r="W794" i="3" s="1"/>
  <c r="R788" i="3"/>
  <c r="S788" i="3" s="1"/>
  <c r="V1050" i="3"/>
  <c r="W1050" i="3" s="1"/>
  <c r="V1006" i="3"/>
  <c r="W1006" i="3" s="1"/>
  <c r="V538" i="3"/>
  <c r="V518" i="3"/>
  <c r="W518" i="3" s="1"/>
  <c r="V470" i="3"/>
  <c r="W470" i="3" s="1"/>
  <c r="N413" i="3"/>
  <c r="O413" i="3" s="1"/>
  <c r="V413" i="3" s="1"/>
  <c r="W413" i="3" s="1"/>
  <c r="T413" i="3"/>
  <c r="N409" i="3"/>
  <c r="O409" i="3" s="1"/>
  <c r="T409" i="3"/>
  <c r="N405" i="3"/>
  <c r="O405" i="3" s="1"/>
  <c r="V405" i="3" s="1"/>
  <c r="W715" i="3"/>
  <c r="W631" i="3"/>
  <c r="W551" i="3"/>
  <c r="W354" i="3"/>
  <c r="W971" i="3"/>
  <c r="W759" i="3"/>
  <c r="V587" i="3"/>
  <c r="W587" i="3" s="1"/>
  <c r="V434" i="3"/>
  <c r="W434" i="3" s="1"/>
  <c r="V939" i="3"/>
  <c r="V831" i="3"/>
  <c r="W831" i="3" s="1"/>
  <c r="W819" i="3"/>
  <c r="V763" i="3"/>
  <c r="W763" i="3" s="1"/>
  <c r="W751" i="3"/>
  <c r="V703" i="3"/>
  <c r="W703" i="3" s="1"/>
  <c r="V683" i="3"/>
  <c r="W683" i="3" s="1"/>
  <c r="W623" i="3"/>
  <c r="V503" i="3"/>
  <c r="W503" i="3" s="1"/>
  <c r="V471" i="3"/>
  <c r="W471" i="3" s="1"/>
  <c r="V455" i="3"/>
  <c r="W455" i="3" s="1"/>
  <c r="V428" i="3"/>
  <c r="W428" i="3" s="1"/>
  <c r="V391" i="3"/>
  <c r="W391" i="3" s="1"/>
  <c r="W375" i="3"/>
  <c r="V574" i="3"/>
  <c r="W574" i="3" s="1"/>
  <c r="V822" i="3"/>
  <c r="W822" i="3" s="1"/>
  <c r="V814" i="3"/>
  <c r="W436" i="3"/>
  <c r="W431" i="3"/>
  <c r="W372" i="3"/>
  <c r="V366" i="3"/>
  <c r="W366" i="3" s="1"/>
  <c r="W1075" i="3"/>
  <c r="W643" i="3"/>
  <c r="W357" i="3"/>
  <c r="W33" i="3"/>
  <c r="W29" i="3"/>
  <c r="W17" i="3"/>
  <c r="W9" i="3"/>
  <c r="V919" i="3"/>
  <c r="W919" i="3" s="1"/>
  <c r="V855" i="3"/>
  <c r="W855" i="3" s="1"/>
  <c r="V622" i="3"/>
  <c r="W1059" i="3"/>
  <c r="V991" i="3"/>
  <c r="W991" i="3" s="1"/>
  <c r="W979" i="3"/>
  <c r="V931" i="3"/>
  <c r="V863" i="3"/>
  <c r="W803" i="3"/>
  <c r="V783" i="3"/>
  <c r="W783" i="3" s="1"/>
  <c r="V735" i="3"/>
  <c r="W735" i="3" s="1"/>
  <c r="V723" i="3"/>
  <c r="W723" i="3" s="1"/>
  <c r="V615" i="3"/>
  <c r="W615" i="3" s="1"/>
  <c r="W607" i="3"/>
  <c r="W595" i="3"/>
  <c r="W547" i="3"/>
  <c r="V519" i="3"/>
  <c r="W519" i="3" s="1"/>
  <c r="V507" i="3"/>
  <c r="W507" i="3" s="1"/>
  <c r="V475" i="3"/>
  <c r="W475" i="3" s="1"/>
  <c r="V432" i="3"/>
  <c r="W432" i="3" s="1"/>
  <c r="V395" i="3"/>
  <c r="W395" i="3" s="1"/>
  <c r="V344" i="3"/>
  <c r="W344" i="3" s="1"/>
  <c r="V332" i="3"/>
  <c r="W332" i="3" s="1"/>
  <c r="V316" i="3"/>
  <c r="W316" i="3" s="1"/>
  <c r="V284" i="3"/>
  <c r="W284" i="3" s="1"/>
  <c r="V268" i="3"/>
  <c r="W268" i="3" s="1"/>
  <c r="V256" i="3"/>
  <c r="W256" i="3" s="1"/>
  <c r="V252" i="3"/>
  <c r="W252" i="3" s="1"/>
  <c r="V220" i="3"/>
  <c r="W220" i="3" s="1"/>
  <c r="V172" i="3"/>
  <c r="W172" i="3" s="1"/>
  <c r="V156" i="3"/>
  <c r="W156" i="3" s="1"/>
  <c r="V64" i="3"/>
  <c r="W64" i="3" s="1"/>
  <c r="V160" i="3"/>
  <c r="W160" i="3" s="1"/>
  <c r="V1038" i="3"/>
  <c r="V1026" i="3"/>
  <c r="W1026" i="3" s="1"/>
  <c r="V890" i="3"/>
  <c r="W890" i="3" s="1"/>
  <c r="V730" i="3"/>
  <c r="W730" i="3" s="1"/>
  <c r="V694" i="3"/>
  <c r="N365" i="3"/>
  <c r="O365" i="3" s="1"/>
  <c r="V365" i="3" s="1"/>
  <c r="W365" i="3" s="1"/>
  <c r="P365" i="3"/>
  <c r="Q365" i="3" s="1"/>
  <c r="N361" i="3"/>
  <c r="O361" i="3" s="1"/>
  <c r="V361" i="3" s="1"/>
  <c r="W361" i="3" s="1"/>
  <c r="P361" i="3"/>
  <c r="Q361" i="3" s="1"/>
  <c r="T548" i="3"/>
  <c r="R548" i="3"/>
  <c r="S548" i="3" s="1"/>
  <c r="V548" i="3" s="1"/>
  <c r="W548" i="3" s="1"/>
  <c r="P536" i="3"/>
  <c r="Q536" i="3" s="1"/>
  <c r="N536" i="3"/>
  <c r="O536" i="3" s="1"/>
  <c r="P532" i="3"/>
  <c r="Q532" i="3" s="1"/>
  <c r="R532" i="3"/>
  <c r="S532" i="3" s="1"/>
  <c r="P516" i="3"/>
  <c r="Q516" i="3" s="1"/>
  <c r="R516" i="3"/>
  <c r="S516" i="3" s="1"/>
  <c r="W1035" i="3"/>
  <c r="W1023" i="3"/>
  <c r="W975" i="3"/>
  <c r="W963" i="3"/>
  <c r="W895" i="3"/>
  <c r="W859" i="3"/>
  <c r="W847" i="3"/>
  <c r="W635" i="3"/>
  <c r="V818" i="3"/>
  <c r="W818" i="3" s="1"/>
  <c r="V1015" i="3"/>
  <c r="W1015" i="3" s="1"/>
  <c r="V951" i="3"/>
  <c r="W951" i="3" s="1"/>
  <c r="W823" i="3"/>
  <c r="V727" i="3"/>
  <c r="W727" i="3" s="1"/>
  <c r="V663" i="3"/>
  <c r="W663" i="3" s="1"/>
  <c r="V631" i="3"/>
  <c r="V535" i="3"/>
  <c r="W535" i="3" s="1"/>
  <c r="V68" i="3"/>
  <c r="W68" i="3" s="1"/>
  <c r="V930" i="3"/>
  <c r="V878" i="3"/>
  <c r="W878" i="3" s="1"/>
  <c r="V870" i="3"/>
  <c r="W870" i="3" s="1"/>
  <c r="V862" i="3"/>
  <c r="W862" i="3" s="1"/>
  <c r="N532" i="3"/>
  <c r="O532" i="3" s="1"/>
  <c r="V575" i="3"/>
  <c r="W575" i="3" s="1"/>
  <c r="V559" i="3"/>
  <c r="W559" i="3" s="1"/>
  <c r="V543" i="3"/>
  <c r="W543" i="3" s="1"/>
  <c r="V511" i="3"/>
  <c r="W511" i="3" s="1"/>
  <c r="V495" i="3"/>
  <c r="W495" i="3" s="1"/>
  <c r="V479" i="3"/>
  <c r="W479" i="3" s="1"/>
  <c r="V463" i="3"/>
  <c r="W463" i="3" s="1"/>
  <c r="V442" i="3"/>
  <c r="W442" i="3" s="1"/>
  <c r="V404" i="3"/>
  <c r="W404" i="3" s="1"/>
  <c r="W388" i="3"/>
  <c r="V378" i="3"/>
  <c r="W378" i="3" s="1"/>
  <c r="V359" i="3"/>
  <c r="W359" i="3" s="1"/>
  <c r="V304" i="3"/>
  <c r="W304" i="3" s="1"/>
  <c r="V164" i="3"/>
  <c r="W164" i="3" s="1"/>
  <c r="V20" i="3"/>
  <c r="W20" i="3" s="1"/>
  <c r="V1066" i="3"/>
  <c r="W1066" i="3" s="1"/>
  <c r="V1018" i="3"/>
  <c r="W1018" i="3" s="1"/>
  <c r="V998" i="3"/>
  <c r="W998" i="3" s="1"/>
  <c r="V990" i="3"/>
  <c r="W990" i="3" s="1"/>
  <c r="V942" i="3"/>
  <c r="W942" i="3" s="1"/>
  <c r="V922" i="3"/>
  <c r="W922" i="3" s="1"/>
  <c r="V886" i="3"/>
  <c r="W886" i="3" s="1"/>
  <c r="V810" i="3"/>
  <c r="V774" i="3"/>
  <c r="W774" i="3" s="1"/>
  <c r="V666" i="3"/>
  <c r="V630" i="3"/>
  <c r="W630" i="3" s="1"/>
  <c r="V590" i="3"/>
  <c r="W590" i="3" s="1"/>
  <c r="V558" i="3"/>
  <c r="W558" i="3" s="1"/>
  <c r="V602" i="3"/>
  <c r="V280" i="3"/>
  <c r="W280" i="3" s="1"/>
  <c r="V1074" i="3"/>
  <c r="V1046" i="3"/>
  <c r="W1046" i="3" s="1"/>
  <c r="V1034" i="3"/>
  <c r="V970" i="3"/>
  <c r="V918" i="3"/>
  <c r="V894" i="3"/>
  <c r="W894" i="3" s="1"/>
  <c r="V854" i="3"/>
  <c r="W854" i="3" s="1"/>
  <c r="V790" i="3"/>
  <c r="V766" i="3"/>
  <c r="W766" i="3" s="1"/>
  <c r="V726" i="3"/>
  <c r="W726" i="3" s="1"/>
  <c r="V662" i="3"/>
  <c r="W662" i="3" s="1"/>
  <c r="V638" i="3"/>
  <c r="V464" i="3"/>
  <c r="W464" i="3" s="1"/>
  <c r="V430" i="3"/>
  <c r="W430" i="3" s="1"/>
  <c r="W675" i="3"/>
  <c r="W815" i="3"/>
  <c r="V403" i="3"/>
  <c r="W403" i="3" s="1"/>
  <c r="V1054" i="3"/>
  <c r="W1054" i="3" s="1"/>
  <c r="Q539" i="3"/>
  <c r="V539" i="3"/>
  <c r="W539" i="3" s="1"/>
  <c r="V1014" i="3"/>
  <c r="V754" i="3"/>
  <c r="R1077" i="3"/>
  <c r="S1077" i="3" s="1"/>
  <c r="T1077" i="3"/>
  <c r="P1077" i="3"/>
  <c r="Q1077" i="3" s="1"/>
  <c r="U1077" i="3"/>
  <c r="R1073" i="3"/>
  <c r="S1073" i="3" s="1"/>
  <c r="T1073" i="3"/>
  <c r="U1073" i="3"/>
  <c r="P1069" i="3"/>
  <c r="Q1069" i="3" s="1"/>
  <c r="R1069" i="3"/>
  <c r="S1069" i="3" s="1"/>
  <c r="T1069" i="3"/>
  <c r="U1069" i="3"/>
  <c r="R1065" i="3"/>
  <c r="S1065" i="3" s="1"/>
  <c r="V1065" i="3" s="1"/>
  <c r="T1065" i="3"/>
  <c r="P1065" i="3"/>
  <c r="Q1065" i="3" s="1"/>
  <c r="U1065" i="3"/>
  <c r="R1061" i="3"/>
  <c r="S1061" i="3" s="1"/>
  <c r="T1061" i="3"/>
  <c r="U1061" i="3"/>
  <c r="P1057" i="3"/>
  <c r="Q1057" i="3" s="1"/>
  <c r="R1057" i="3"/>
  <c r="S1057" i="3" s="1"/>
  <c r="V1057" i="3" s="1"/>
  <c r="W1057" i="3" s="1"/>
  <c r="U1057" i="3"/>
  <c r="P1053" i="3"/>
  <c r="Q1053" i="3" s="1"/>
  <c r="R1053" i="3"/>
  <c r="S1053" i="3" s="1"/>
  <c r="V1053" i="3" s="1"/>
  <c r="T1053" i="3"/>
  <c r="U1053" i="3"/>
  <c r="P1049" i="3"/>
  <c r="Q1049" i="3" s="1"/>
  <c r="R1049" i="3"/>
  <c r="S1049" i="3" s="1"/>
  <c r="V1049" i="3" s="1"/>
  <c r="T1049" i="3"/>
  <c r="U1049" i="3"/>
  <c r="P1045" i="3"/>
  <c r="Q1045" i="3" s="1"/>
  <c r="R1045" i="3"/>
  <c r="S1045" i="3" s="1"/>
  <c r="U1045" i="3"/>
  <c r="R1041" i="3"/>
  <c r="S1041" i="3" s="1"/>
  <c r="U1041" i="3"/>
  <c r="P1037" i="3"/>
  <c r="Q1037" i="3" s="1"/>
  <c r="R1037" i="3"/>
  <c r="S1037" i="3" s="1"/>
  <c r="V1037" i="3" s="1"/>
  <c r="T1037" i="3"/>
  <c r="U1037" i="3"/>
  <c r="P1033" i="3"/>
  <c r="Q1033" i="3" s="1"/>
  <c r="R1033" i="3"/>
  <c r="S1033" i="3" s="1"/>
  <c r="U1033" i="3"/>
  <c r="P1029" i="3"/>
  <c r="Q1029" i="3" s="1"/>
  <c r="R1029" i="3"/>
  <c r="S1029" i="3" s="1"/>
  <c r="U1029" i="3"/>
  <c r="R1025" i="3"/>
  <c r="S1025" i="3" s="1"/>
  <c r="T1025" i="3"/>
  <c r="U1025" i="3"/>
  <c r="P1021" i="3"/>
  <c r="Q1021" i="3" s="1"/>
  <c r="R1021" i="3"/>
  <c r="S1021" i="3" s="1"/>
  <c r="T1021" i="3"/>
  <c r="U1021" i="3"/>
  <c r="P1017" i="3"/>
  <c r="Q1017" i="3" s="1"/>
  <c r="R1017" i="3"/>
  <c r="S1017" i="3" s="1"/>
  <c r="U1017" i="3"/>
  <c r="R1013" i="3"/>
  <c r="S1013" i="3" s="1"/>
  <c r="T1013" i="3"/>
  <c r="U1013" i="3"/>
  <c r="R1009" i="3"/>
  <c r="S1009" i="3" s="1"/>
  <c r="P1009" i="3"/>
  <c r="Q1009" i="3" s="1"/>
  <c r="T1009" i="3"/>
  <c r="U1009" i="3"/>
  <c r="P1005" i="3"/>
  <c r="Q1005" i="3" s="1"/>
  <c r="R1005" i="3"/>
  <c r="S1005" i="3" s="1"/>
  <c r="V1005" i="3" s="1"/>
  <c r="T1005" i="3"/>
  <c r="U1005" i="3"/>
  <c r="R1001" i="3"/>
  <c r="S1001" i="3" s="1"/>
  <c r="V1001" i="3" s="1"/>
  <c r="T1001" i="3"/>
  <c r="U1001" i="3"/>
  <c r="R997" i="3"/>
  <c r="S997" i="3" s="1"/>
  <c r="P997" i="3"/>
  <c r="Q997" i="3" s="1"/>
  <c r="T997" i="3"/>
  <c r="U997" i="3"/>
  <c r="P993" i="3"/>
  <c r="Q993" i="3" s="1"/>
  <c r="R993" i="3"/>
  <c r="S993" i="3" s="1"/>
  <c r="U993" i="3"/>
  <c r="P989" i="3"/>
  <c r="Q989" i="3" s="1"/>
  <c r="R989" i="3"/>
  <c r="S989" i="3" s="1"/>
  <c r="V989" i="3" s="1"/>
  <c r="T989" i="3"/>
  <c r="U989" i="3"/>
  <c r="R985" i="3"/>
  <c r="S985" i="3" s="1"/>
  <c r="P985" i="3"/>
  <c r="Q985" i="3" s="1"/>
  <c r="T985" i="3"/>
  <c r="U985" i="3"/>
  <c r="P981" i="3"/>
  <c r="Q981" i="3" s="1"/>
  <c r="R981" i="3"/>
  <c r="S981" i="3" s="1"/>
  <c r="U981" i="3"/>
  <c r="R977" i="3"/>
  <c r="S977" i="3" s="1"/>
  <c r="P977" i="3"/>
  <c r="Q977" i="3" s="1"/>
  <c r="U977" i="3"/>
  <c r="P973" i="3"/>
  <c r="Q973" i="3" s="1"/>
  <c r="R973" i="3"/>
  <c r="S973" i="3" s="1"/>
  <c r="V973" i="3" s="1"/>
  <c r="T973" i="3"/>
  <c r="U973" i="3"/>
  <c r="P969" i="3"/>
  <c r="Q969" i="3" s="1"/>
  <c r="R969" i="3"/>
  <c r="S969" i="3" s="1"/>
  <c r="U969" i="3"/>
  <c r="R965" i="3"/>
  <c r="S965" i="3" s="1"/>
  <c r="P965" i="3"/>
  <c r="Q965" i="3" s="1"/>
  <c r="U965" i="3"/>
  <c r="P961" i="3"/>
  <c r="Q961" i="3" s="1"/>
  <c r="R961" i="3"/>
  <c r="S961" i="3" s="1"/>
  <c r="T961" i="3"/>
  <c r="U961" i="3"/>
  <c r="P957" i="3"/>
  <c r="Q957" i="3" s="1"/>
  <c r="R957" i="3"/>
  <c r="S957" i="3" s="1"/>
  <c r="V957" i="3" s="1"/>
  <c r="T957" i="3"/>
  <c r="U957" i="3"/>
  <c r="R953" i="3"/>
  <c r="S953" i="3" s="1"/>
  <c r="U953" i="3"/>
  <c r="P949" i="3"/>
  <c r="Q949" i="3" s="1"/>
  <c r="R949" i="3"/>
  <c r="S949" i="3" s="1"/>
  <c r="T949" i="3"/>
  <c r="U949" i="3"/>
  <c r="R945" i="3"/>
  <c r="S945" i="3" s="1"/>
  <c r="V945" i="3" s="1"/>
  <c r="P945" i="3"/>
  <c r="Q945" i="3" s="1"/>
  <c r="T945" i="3"/>
  <c r="U945" i="3"/>
  <c r="P941" i="3"/>
  <c r="Q941" i="3" s="1"/>
  <c r="R941" i="3"/>
  <c r="S941" i="3" s="1"/>
  <c r="T941" i="3"/>
  <c r="U941" i="3"/>
  <c r="P937" i="3"/>
  <c r="Q937" i="3" s="1"/>
  <c r="R937" i="3"/>
  <c r="S937" i="3" s="1"/>
  <c r="V937" i="3" s="1"/>
  <c r="T937" i="3"/>
  <c r="U937" i="3"/>
  <c r="R933" i="3"/>
  <c r="S933" i="3" s="1"/>
  <c r="T933" i="3"/>
  <c r="U933" i="3"/>
  <c r="P929" i="3"/>
  <c r="Q929" i="3" s="1"/>
  <c r="R929" i="3"/>
  <c r="S929" i="3" s="1"/>
  <c r="U929" i="3"/>
  <c r="P925" i="3"/>
  <c r="Q925" i="3" s="1"/>
  <c r="R925" i="3"/>
  <c r="S925" i="3" s="1"/>
  <c r="V925" i="3" s="1"/>
  <c r="T925" i="3"/>
  <c r="U925" i="3"/>
  <c r="R921" i="3"/>
  <c r="S921" i="3" s="1"/>
  <c r="V921" i="3" s="1"/>
  <c r="T921" i="3"/>
  <c r="U921" i="3"/>
  <c r="P917" i="3"/>
  <c r="Q917" i="3" s="1"/>
  <c r="R917" i="3"/>
  <c r="S917" i="3" s="1"/>
  <c r="U917" i="3"/>
  <c r="R913" i="3"/>
  <c r="S913" i="3" s="1"/>
  <c r="V913" i="3" s="1"/>
  <c r="W913" i="3" s="1"/>
  <c r="U913" i="3"/>
  <c r="P909" i="3"/>
  <c r="Q909" i="3" s="1"/>
  <c r="R909" i="3"/>
  <c r="S909" i="3" s="1"/>
  <c r="V909" i="3" s="1"/>
  <c r="T909" i="3"/>
  <c r="U909" i="3"/>
  <c r="P905" i="3"/>
  <c r="Q905" i="3" s="1"/>
  <c r="R905" i="3"/>
  <c r="S905" i="3" s="1"/>
  <c r="V905" i="3" s="1"/>
  <c r="U905" i="3"/>
  <c r="R901" i="3"/>
  <c r="S901" i="3" s="1"/>
  <c r="U901" i="3"/>
  <c r="R897" i="3"/>
  <c r="S897" i="3" s="1"/>
  <c r="V897" i="3" s="1"/>
  <c r="P897" i="3"/>
  <c r="Q897" i="3" s="1"/>
  <c r="T897" i="3"/>
  <c r="U897" i="3"/>
  <c r="P893" i="3"/>
  <c r="Q893" i="3" s="1"/>
  <c r="R893" i="3"/>
  <c r="S893" i="3" s="1"/>
  <c r="T893" i="3"/>
  <c r="U893" i="3"/>
  <c r="R889" i="3"/>
  <c r="S889" i="3" s="1"/>
  <c r="U889" i="3"/>
  <c r="R885" i="3"/>
  <c r="S885" i="3" s="1"/>
  <c r="P885" i="3"/>
  <c r="Q885" i="3" s="1"/>
  <c r="T885" i="3"/>
  <c r="U885" i="3"/>
  <c r="P881" i="3"/>
  <c r="Q881" i="3" s="1"/>
  <c r="R881" i="3"/>
  <c r="S881" i="3" s="1"/>
  <c r="V881" i="3" s="1"/>
  <c r="T881" i="3"/>
  <c r="U881" i="3"/>
  <c r="P877" i="3"/>
  <c r="Q877" i="3" s="1"/>
  <c r="R877" i="3"/>
  <c r="S877" i="3" s="1"/>
  <c r="V877" i="3" s="1"/>
  <c r="T877" i="3"/>
  <c r="U877" i="3"/>
  <c r="R873" i="3"/>
  <c r="S873" i="3" s="1"/>
  <c r="V873" i="3" s="1"/>
  <c r="T873" i="3"/>
  <c r="P873" i="3"/>
  <c r="Q873" i="3" s="1"/>
  <c r="U873" i="3"/>
  <c r="P869" i="3"/>
  <c r="Q869" i="3" s="1"/>
  <c r="R869" i="3"/>
  <c r="S869" i="3" s="1"/>
  <c r="T869" i="3"/>
  <c r="U869" i="3"/>
  <c r="P865" i="3"/>
  <c r="Q865" i="3" s="1"/>
  <c r="R865" i="3"/>
  <c r="S865" i="3" s="1"/>
  <c r="V865" i="3" s="1"/>
  <c r="W865" i="3" s="1"/>
  <c r="U865" i="3"/>
  <c r="P861" i="3"/>
  <c r="Q861" i="3" s="1"/>
  <c r="R861" i="3"/>
  <c r="S861" i="3" s="1"/>
  <c r="T861" i="3"/>
  <c r="U861" i="3"/>
  <c r="R857" i="3"/>
  <c r="S857" i="3" s="1"/>
  <c r="P857" i="3"/>
  <c r="Q857" i="3" s="1"/>
  <c r="T857" i="3"/>
  <c r="U857" i="3"/>
  <c r="P853" i="3"/>
  <c r="Q853" i="3" s="1"/>
  <c r="R853" i="3"/>
  <c r="S853" i="3" s="1"/>
  <c r="U853" i="3"/>
  <c r="P849" i="3"/>
  <c r="Q849" i="3" s="1"/>
  <c r="R849" i="3"/>
  <c r="S849" i="3" s="1"/>
  <c r="U849" i="3"/>
  <c r="P845" i="3"/>
  <c r="Q845" i="3" s="1"/>
  <c r="R845" i="3"/>
  <c r="S845" i="3" s="1"/>
  <c r="V845" i="3" s="1"/>
  <c r="T845" i="3"/>
  <c r="U845" i="3"/>
  <c r="P841" i="3"/>
  <c r="Q841" i="3" s="1"/>
  <c r="R841" i="3"/>
  <c r="S841" i="3" s="1"/>
  <c r="T841" i="3"/>
  <c r="U841" i="3"/>
  <c r="P837" i="3"/>
  <c r="Q837" i="3" s="1"/>
  <c r="R837" i="3"/>
  <c r="S837" i="3" s="1"/>
  <c r="T837" i="3"/>
  <c r="U837" i="3"/>
  <c r="P833" i="3"/>
  <c r="Q833" i="3" s="1"/>
  <c r="R833" i="3"/>
  <c r="S833" i="3" s="1"/>
  <c r="T833" i="3"/>
  <c r="U833" i="3"/>
  <c r="P829" i="3"/>
  <c r="Q829" i="3" s="1"/>
  <c r="R829" i="3"/>
  <c r="S829" i="3" s="1"/>
  <c r="T829" i="3"/>
  <c r="U829" i="3"/>
  <c r="P825" i="3"/>
  <c r="Q825" i="3" s="1"/>
  <c r="R825" i="3"/>
  <c r="S825" i="3" s="1"/>
  <c r="T825" i="3"/>
  <c r="U825" i="3"/>
  <c r="P821" i="3"/>
  <c r="Q821" i="3" s="1"/>
  <c r="R821" i="3"/>
  <c r="S821" i="3" s="1"/>
  <c r="T821" i="3"/>
  <c r="U821" i="3"/>
  <c r="P817" i="3"/>
  <c r="Q817" i="3" s="1"/>
  <c r="R817" i="3"/>
  <c r="S817" i="3" s="1"/>
  <c r="T817" i="3"/>
  <c r="U817" i="3"/>
  <c r="P813" i="3"/>
  <c r="Q813" i="3" s="1"/>
  <c r="R813" i="3"/>
  <c r="S813" i="3" s="1"/>
  <c r="V813" i="3" s="1"/>
  <c r="T813" i="3"/>
  <c r="U813" i="3"/>
  <c r="P809" i="3"/>
  <c r="Q809" i="3" s="1"/>
  <c r="R809" i="3"/>
  <c r="S809" i="3" s="1"/>
  <c r="V809" i="3" s="1"/>
  <c r="T809" i="3"/>
  <c r="U809" i="3"/>
  <c r="P805" i="3"/>
  <c r="Q805" i="3" s="1"/>
  <c r="R805" i="3"/>
  <c r="S805" i="3" s="1"/>
  <c r="T805" i="3"/>
  <c r="U805" i="3"/>
  <c r="P801" i="3"/>
  <c r="Q801" i="3" s="1"/>
  <c r="R801" i="3"/>
  <c r="S801" i="3" s="1"/>
  <c r="V801" i="3" s="1"/>
  <c r="T801" i="3"/>
  <c r="U801" i="3"/>
  <c r="P797" i="3"/>
  <c r="Q797" i="3" s="1"/>
  <c r="R797" i="3"/>
  <c r="S797" i="3" s="1"/>
  <c r="T797" i="3"/>
  <c r="U797" i="3"/>
  <c r="P793" i="3"/>
  <c r="Q793" i="3" s="1"/>
  <c r="R793" i="3"/>
  <c r="S793" i="3" s="1"/>
  <c r="T793" i="3"/>
  <c r="U793" i="3"/>
  <c r="P789" i="3"/>
  <c r="Q789" i="3" s="1"/>
  <c r="R789" i="3"/>
  <c r="S789" i="3" s="1"/>
  <c r="T789" i="3"/>
  <c r="U789" i="3"/>
  <c r="P785" i="3"/>
  <c r="Q785" i="3" s="1"/>
  <c r="R785" i="3"/>
  <c r="S785" i="3" s="1"/>
  <c r="V785" i="3" s="1"/>
  <c r="T785" i="3"/>
  <c r="U785" i="3"/>
  <c r="P781" i="3"/>
  <c r="Q781" i="3" s="1"/>
  <c r="R781" i="3"/>
  <c r="S781" i="3" s="1"/>
  <c r="T781" i="3"/>
  <c r="U781" i="3"/>
  <c r="P777" i="3"/>
  <c r="Q777" i="3" s="1"/>
  <c r="R777" i="3"/>
  <c r="S777" i="3" s="1"/>
  <c r="T777" i="3"/>
  <c r="U777" i="3"/>
  <c r="P773" i="3"/>
  <c r="Q773" i="3" s="1"/>
  <c r="R773" i="3"/>
  <c r="S773" i="3" s="1"/>
  <c r="T773" i="3"/>
  <c r="U773" i="3"/>
  <c r="P769" i="3"/>
  <c r="Q769" i="3" s="1"/>
  <c r="R769" i="3"/>
  <c r="S769" i="3" s="1"/>
  <c r="V769" i="3" s="1"/>
  <c r="T769" i="3"/>
  <c r="U769" i="3"/>
  <c r="P765" i="3"/>
  <c r="Q765" i="3" s="1"/>
  <c r="R765" i="3"/>
  <c r="S765" i="3" s="1"/>
  <c r="V765" i="3" s="1"/>
  <c r="T765" i="3"/>
  <c r="U765" i="3"/>
  <c r="P761" i="3"/>
  <c r="Q761" i="3" s="1"/>
  <c r="R761" i="3"/>
  <c r="S761" i="3" s="1"/>
  <c r="V761" i="3" s="1"/>
  <c r="T761" i="3"/>
  <c r="U761" i="3"/>
  <c r="P757" i="3"/>
  <c r="Q757" i="3" s="1"/>
  <c r="R757" i="3"/>
  <c r="S757" i="3" s="1"/>
  <c r="T757" i="3"/>
  <c r="U757" i="3"/>
  <c r="P753" i="3"/>
  <c r="Q753" i="3" s="1"/>
  <c r="R753" i="3"/>
  <c r="S753" i="3" s="1"/>
  <c r="V753" i="3" s="1"/>
  <c r="T753" i="3"/>
  <c r="U753" i="3"/>
  <c r="P749" i="3"/>
  <c r="Q749" i="3" s="1"/>
  <c r="R749" i="3"/>
  <c r="S749" i="3" s="1"/>
  <c r="V749" i="3" s="1"/>
  <c r="T749" i="3"/>
  <c r="U749" i="3"/>
  <c r="P745" i="3"/>
  <c r="Q745" i="3" s="1"/>
  <c r="R745" i="3"/>
  <c r="S745" i="3" s="1"/>
  <c r="U745" i="3"/>
  <c r="P741" i="3"/>
  <c r="Q741" i="3" s="1"/>
  <c r="R741" i="3"/>
  <c r="S741" i="3" s="1"/>
  <c r="T741" i="3"/>
  <c r="U741" i="3"/>
  <c r="P737" i="3"/>
  <c r="Q737" i="3" s="1"/>
  <c r="R737" i="3"/>
  <c r="S737" i="3" s="1"/>
  <c r="T737" i="3"/>
  <c r="U737" i="3"/>
  <c r="P733" i="3"/>
  <c r="Q733" i="3" s="1"/>
  <c r="R733" i="3"/>
  <c r="S733" i="3" s="1"/>
  <c r="V733" i="3" s="1"/>
  <c r="W733" i="3" s="1"/>
  <c r="U733" i="3"/>
  <c r="P729" i="3"/>
  <c r="Q729" i="3" s="1"/>
  <c r="R729" i="3"/>
  <c r="S729" i="3" s="1"/>
  <c r="V729" i="3" s="1"/>
  <c r="U729" i="3"/>
  <c r="P725" i="3"/>
  <c r="Q725" i="3" s="1"/>
  <c r="R725" i="3"/>
  <c r="S725" i="3" s="1"/>
  <c r="T725" i="3"/>
  <c r="U725" i="3"/>
  <c r="P721" i="3"/>
  <c r="Q721" i="3" s="1"/>
  <c r="R721" i="3"/>
  <c r="S721" i="3" s="1"/>
  <c r="U721" i="3"/>
  <c r="P717" i="3"/>
  <c r="Q717" i="3" s="1"/>
  <c r="R717" i="3"/>
  <c r="S717" i="3" s="1"/>
  <c r="U717" i="3"/>
  <c r="P713" i="3"/>
  <c r="Q713" i="3" s="1"/>
  <c r="R713" i="3"/>
  <c r="S713" i="3" s="1"/>
  <c r="V713" i="3" s="1"/>
  <c r="T713" i="3"/>
  <c r="U713" i="3"/>
  <c r="P709" i="3"/>
  <c r="Q709" i="3" s="1"/>
  <c r="R709" i="3"/>
  <c r="S709" i="3" s="1"/>
  <c r="T709" i="3"/>
  <c r="U709" i="3"/>
  <c r="P705" i="3"/>
  <c r="Q705" i="3" s="1"/>
  <c r="R705" i="3"/>
  <c r="S705" i="3" s="1"/>
  <c r="V705" i="3" s="1"/>
  <c r="W705" i="3" s="1"/>
  <c r="U705" i="3"/>
  <c r="P701" i="3"/>
  <c r="Q701" i="3" s="1"/>
  <c r="R701" i="3"/>
  <c r="S701" i="3" s="1"/>
  <c r="T701" i="3"/>
  <c r="U701" i="3"/>
  <c r="P697" i="3"/>
  <c r="Q697" i="3" s="1"/>
  <c r="R697" i="3"/>
  <c r="S697" i="3" s="1"/>
  <c r="V697" i="3" s="1"/>
  <c r="T697" i="3"/>
  <c r="U697" i="3"/>
  <c r="P693" i="3"/>
  <c r="Q693" i="3" s="1"/>
  <c r="R693" i="3"/>
  <c r="S693" i="3" s="1"/>
  <c r="V693" i="3" s="1"/>
  <c r="T693" i="3"/>
  <c r="U693" i="3"/>
  <c r="P689" i="3"/>
  <c r="Q689" i="3" s="1"/>
  <c r="R689" i="3"/>
  <c r="S689" i="3" s="1"/>
  <c r="V689" i="3" s="1"/>
  <c r="W689" i="3" s="1"/>
  <c r="T689" i="3"/>
  <c r="U689" i="3"/>
  <c r="P685" i="3"/>
  <c r="Q685" i="3" s="1"/>
  <c r="R685" i="3"/>
  <c r="S685" i="3" s="1"/>
  <c r="V685" i="3" s="1"/>
  <c r="T685" i="3"/>
  <c r="U685" i="3"/>
  <c r="P681" i="3"/>
  <c r="Q681" i="3" s="1"/>
  <c r="R681" i="3"/>
  <c r="S681" i="3" s="1"/>
  <c r="V681" i="3" s="1"/>
  <c r="W681" i="3" s="1"/>
  <c r="U681" i="3"/>
  <c r="P677" i="3"/>
  <c r="Q677" i="3" s="1"/>
  <c r="R677" i="3"/>
  <c r="S677" i="3" s="1"/>
  <c r="T677" i="3"/>
  <c r="U677" i="3"/>
  <c r="P673" i="3"/>
  <c r="Q673" i="3" s="1"/>
  <c r="R673" i="3"/>
  <c r="S673" i="3" s="1"/>
  <c r="V673" i="3" s="1"/>
  <c r="T673" i="3"/>
  <c r="W673" i="3" s="1"/>
  <c r="U673" i="3"/>
  <c r="P669" i="3"/>
  <c r="Q669" i="3" s="1"/>
  <c r="R669" i="3"/>
  <c r="S669" i="3" s="1"/>
  <c r="U669" i="3"/>
  <c r="P665" i="3"/>
  <c r="Q665" i="3" s="1"/>
  <c r="R665" i="3"/>
  <c r="S665" i="3" s="1"/>
  <c r="U665" i="3"/>
  <c r="P661" i="3"/>
  <c r="Q661" i="3" s="1"/>
  <c r="R661" i="3"/>
  <c r="S661" i="3" s="1"/>
  <c r="T661" i="3"/>
  <c r="U661" i="3"/>
  <c r="P657" i="3"/>
  <c r="Q657" i="3" s="1"/>
  <c r="R657" i="3"/>
  <c r="S657" i="3" s="1"/>
  <c r="V657" i="3" s="1"/>
  <c r="W657" i="3" s="1"/>
  <c r="U657" i="3"/>
  <c r="P653" i="3"/>
  <c r="Q653" i="3" s="1"/>
  <c r="R653" i="3"/>
  <c r="S653" i="3" s="1"/>
  <c r="V653" i="3" s="1"/>
  <c r="U653" i="3"/>
  <c r="P649" i="3"/>
  <c r="Q649" i="3" s="1"/>
  <c r="R649" i="3"/>
  <c r="S649" i="3" s="1"/>
  <c r="T649" i="3"/>
  <c r="U649" i="3"/>
  <c r="P645" i="3"/>
  <c r="Q645" i="3" s="1"/>
  <c r="R645" i="3"/>
  <c r="S645" i="3" s="1"/>
  <c r="T645" i="3"/>
  <c r="U645" i="3"/>
  <c r="P641" i="3"/>
  <c r="Q641" i="3" s="1"/>
  <c r="R641" i="3"/>
  <c r="S641" i="3" s="1"/>
  <c r="U641" i="3"/>
  <c r="P637" i="3"/>
  <c r="Q637" i="3" s="1"/>
  <c r="R637" i="3"/>
  <c r="S637" i="3" s="1"/>
  <c r="V637" i="3" s="1"/>
  <c r="T637" i="3"/>
  <c r="U637" i="3"/>
  <c r="P633" i="3"/>
  <c r="Q633" i="3" s="1"/>
  <c r="R633" i="3"/>
  <c r="S633" i="3" s="1"/>
  <c r="V633" i="3" s="1"/>
  <c r="T633" i="3"/>
  <c r="U633" i="3"/>
  <c r="P629" i="3"/>
  <c r="Q629" i="3" s="1"/>
  <c r="R629" i="3"/>
  <c r="S629" i="3" s="1"/>
  <c r="T629" i="3"/>
  <c r="U629" i="3"/>
  <c r="P625" i="3"/>
  <c r="Q625" i="3" s="1"/>
  <c r="R625" i="3"/>
  <c r="S625" i="3" s="1"/>
  <c r="T625" i="3"/>
  <c r="U625" i="3"/>
  <c r="P621" i="3"/>
  <c r="Q621" i="3" s="1"/>
  <c r="R621" i="3"/>
  <c r="S621" i="3" s="1"/>
  <c r="V621" i="3" s="1"/>
  <c r="T621" i="3"/>
  <c r="U621" i="3"/>
  <c r="P617" i="3"/>
  <c r="Q617" i="3" s="1"/>
  <c r="R617" i="3"/>
  <c r="S617" i="3" s="1"/>
  <c r="U617" i="3"/>
  <c r="P613" i="3"/>
  <c r="Q613" i="3" s="1"/>
  <c r="R613" i="3"/>
  <c r="S613" i="3" s="1"/>
  <c r="T613" i="3"/>
  <c r="U613" i="3"/>
  <c r="P609" i="3"/>
  <c r="Q609" i="3" s="1"/>
  <c r="R609" i="3"/>
  <c r="S609" i="3" s="1"/>
  <c r="T609" i="3"/>
  <c r="U609" i="3"/>
  <c r="P605" i="3"/>
  <c r="Q605" i="3" s="1"/>
  <c r="R605" i="3"/>
  <c r="S605" i="3" s="1"/>
  <c r="U605" i="3"/>
  <c r="P601" i="3"/>
  <c r="Q601" i="3" s="1"/>
  <c r="R601" i="3"/>
  <c r="S601" i="3" s="1"/>
  <c r="U601" i="3"/>
  <c r="P597" i="3"/>
  <c r="Q597" i="3" s="1"/>
  <c r="R597" i="3"/>
  <c r="S597" i="3" s="1"/>
  <c r="T597" i="3"/>
  <c r="U597" i="3"/>
  <c r="P593" i="3"/>
  <c r="Q593" i="3" s="1"/>
  <c r="R593" i="3"/>
  <c r="S593" i="3" s="1"/>
  <c r="U593" i="3"/>
  <c r="R589" i="3"/>
  <c r="S589" i="3" s="1"/>
  <c r="P589" i="3"/>
  <c r="Q589" i="3" s="1"/>
  <c r="U589" i="3"/>
  <c r="P585" i="3"/>
  <c r="Q585" i="3" s="1"/>
  <c r="R585" i="3"/>
  <c r="S585" i="3" s="1"/>
  <c r="V585" i="3" s="1"/>
  <c r="W585" i="3" s="1"/>
  <c r="U585" i="3"/>
  <c r="R581" i="3"/>
  <c r="S581" i="3" s="1"/>
  <c r="P581" i="3"/>
  <c r="Q581" i="3" s="1"/>
  <c r="T581" i="3"/>
  <c r="U581" i="3"/>
  <c r="R577" i="3"/>
  <c r="S577" i="3" s="1"/>
  <c r="T577" i="3"/>
  <c r="P577" i="3"/>
  <c r="Q577" i="3" s="1"/>
  <c r="U577" i="3"/>
  <c r="T573" i="3"/>
  <c r="R573" i="3"/>
  <c r="S573" i="3" s="1"/>
  <c r="U573" i="3"/>
  <c r="T569" i="3"/>
  <c r="R569" i="3"/>
  <c r="S569" i="3" s="1"/>
  <c r="U569" i="3"/>
  <c r="T565" i="3"/>
  <c r="R565" i="3"/>
  <c r="S565" i="3" s="1"/>
  <c r="U565" i="3"/>
  <c r="T561" i="3"/>
  <c r="R561" i="3"/>
  <c r="S561" i="3" s="1"/>
  <c r="V561" i="3" s="1"/>
  <c r="W561" i="3" s="1"/>
  <c r="U561" i="3"/>
  <c r="P557" i="3"/>
  <c r="Q557" i="3" s="1"/>
  <c r="R557" i="3"/>
  <c r="S557" i="3" s="1"/>
  <c r="U557" i="3"/>
  <c r="P553" i="3"/>
  <c r="Q553" i="3" s="1"/>
  <c r="R553" i="3"/>
  <c r="S553" i="3" s="1"/>
  <c r="T553" i="3"/>
  <c r="U553" i="3"/>
  <c r="P549" i="3"/>
  <c r="Q549" i="3" s="1"/>
  <c r="R549" i="3"/>
  <c r="S549" i="3" s="1"/>
  <c r="T549" i="3"/>
  <c r="U549" i="3"/>
  <c r="P545" i="3"/>
  <c r="Q545" i="3" s="1"/>
  <c r="R545" i="3"/>
  <c r="S545" i="3" s="1"/>
  <c r="V545" i="3" s="1"/>
  <c r="W545" i="3" s="1"/>
  <c r="T545" i="3"/>
  <c r="U545" i="3"/>
  <c r="P541" i="3"/>
  <c r="Q541" i="3" s="1"/>
  <c r="R541" i="3"/>
  <c r="S541" i="3" s="1"/>
  <c r="T541" i="3"/>
  <c r="U541" i="3"/>
  <c r="P537" i="3"/>
  <c r="Q537" i="3" s="1"/>
  <c r="R537" i="3"/>
  <c r="S537" i="3" s="1"/>
  <c r="T537" i="3"/>
  <c r="U537" i="3"/>
  <c r="R533" i="3"/>
  <c r="S533" i="3" s="1"/>
  <c r="T533" i="3"/>
  <c r="U533" i="3"/>
  <c r="R529" i="3"/>
  <c r="S529" i="3" s="1"/>
  <c r="T529" i="3"/>
  <c r="U529" i="3"/>
  <c r="P525" i="3"/>
  <c r="Q525" i="3" s="1"/>
  <c r="R525" i="3"/>
  <c r="S525" i="3" s="1"/>
  <c r="V525" i="3" s="1"/>
  <c r="W525" i="3" s="1"/>
  <c r="U525" i="3"/>
  <c r="P521" i="3"/>
  <c r="Q521" i="3" s="1"/>
  <c r="R521" i="3"/>
  <c r="S521" i="3" s="1"/>
  <c r="U521" i="3"/>
  <c r="P517" i="3"/>
  <c r="Q517" i="3" s="1"/>
  <c r="R517" i="3"/>
  <c r="S517" i="3" s="1"/>
  <c r="U517" i="3"/>
  <c r="P513" i="3"/>
  <c r="Q513" i="3" s="1"/>
  <c r="R513" i="3"/>
  <c r="S513" i="3" s="1"/>
  <c r="U513" i="3"/>
  <c r="T509" i="3"/>
  <c r="P509" i="3"/>
  <c r="Q509" i="3" s="1"/>
  <c r="R509" i="3"/>
  <c r="S509" i="3" s="1"/>
  <c r="U509" i="3"/>
  <c r="T505" i="3"/>
  <c r="P505" i="3"/>
  <c r="Q505" i="3" s="1"/>
  <c r="R505" i="3"/>
  <c r="S505" i="3" s="1"/>
  <c r="U505" i="3"/>
  <c r="T501" i="3"/>
  <c r="P501" i="3"/>
  <c r="Q501" i="3" s="1"/>
  <c r="T497" i="3"/>
  <c r="P497" i="3"/>
  <c r="Q497" i="3" s="1"/>
  <c r="R497" i="3"/>
  <c r="S497" i="3" s="1"/>
  <c r="V497" i="3" s="1"/>
  <c r="W497" i="3" s="1"/>
  <c r="U497" i="3"/>
  <c r="P493" i="3"/>
  <c r="Q493" i="3" s="1"/>
  <c r="R493" i="3"/>
  <c r="S493" i="3" s="1"/>
  <c r="V493" i="3" s="1"/>
  <c r="T493" i="3"/>
  <c r="U493" i="3"/>
  <c r="P489" i="3"/>
  <c r="Q489" i="3" s="1"/>
  <c r="R489" i="3"/>
  <c r="S489" i="3" s="1"/>
  <c r="V489" i="3" s="1"/>
  <c r="T489" i="3"/>
  <c r="U489" i="3"/>
  <c r="P485" i="3"/>
  <c r="Q485" i="3" s="1"/>
  <c r="R485" i="3"/>
  <c r="S485" i="3" s="1"/>
  <c r="V485" i="3" s="1"/>
  <c r="W485" i="3" s="1"/>
  <c r="T485" i="3"/>
  <c r="U485" i="3"/>
  <c r="P481" i="3"/>
  <c r="Q481" i="3" s="1"/>
  <c r="R481" i="3"/>
  <c r="S481" i="3" s="1"/>
  <c r="V481" i="3" s="1"/>
  <c r="T481" i="3"/>
  <c r="U481" i="3"/>
  <c r="R477" i="3"/>
  <c r="S477" i="3" s="1"/>
  <c r="T477" i="3"/>
  <c r="U477" i="3"/>
  <c r="C473" i="3"/>
  <c r="W795" i="3"/>
  <c r="W674" i="3"/>
  <c r="V982" i="3"/>
  <c r="W982" i="3" s="1"/>
  <c r="V582" i="3"/>
  <c r="W582" i="3" s="1"/>
  <c r="V494" i="3"/>
  <c r="W494" i="3" s="1"/>
  <c r="W755" i="3"/>
  <c r="V1021" i="3"/>
  <c r="W1021" i="3" s="1"/>
  <c r="V898" i="3"/>
  <c r="W898" i="3" s="1"/>
  <c r="V893" i="3"/>
  <c r="V861" i="3"/>
  <c r="V254" i="3"/>
  <c r="W254" i="3" s="1"/>
  <c r="V110" i="3"/>
  <c r="W110" i="3" s="1"/>
  <c r="U1076" i="3"/>
  <c r="N1076" i="3"/>
  <c r="O1076" i="3" s="1"/>
  <c r="R1072" i="3"/>
  <c r="S1072" i="3" s="1"/>
  <c r="U1072" i="3"/>
  <c r="N1072" i="3"/>
  <c r="O1072" i="3" s="1"/>
  <c r="U1068" i="3"/>
  <c r="N1068" i="3"/>
  <c r="O1068" i="3" s="1"/>
  <c r="R1068" i="3"/>
  <c r="S1068" i="3" s="1"/>
  <c r="U1064" i="3"/>
  <c r="N1064" i="3"/>
  <c r="O1064" i="3" s="1"/>
  <c r="U1060" i="3"/>
  <c r="N1060" i="3"/>
  <c r="O1060" i="3" s="1"/>
  <c r="R1056" i="3"/>
  <c r="S1056" i="3" s="1"/>
  <c r="U1056" i="3"/>
  <c r="N1056" i="3"/>
  <c r="O1056" i="3" s="1"/>
  <c r="U1052" i="3"/>
  <c r="N1052" i="3"/>
  <c r="O1052" i="3" s="1"/>
  <c r="R1052" i="3"/>
  <c r="S1052" i="3" s="1"/>
  <c r="U1048" i="3"/>
  <c r="N1048" i="3"/>
  <c r="O1048" i="3" s="1"/>
  <c r="V1048" i="3" s="1"/>
  <c r="U1044" i="3"/>
  <c r="N1044" i="3"/>
  <c r="O1044" i="3" s="1"/>
  <c r="V1044" i="3" s="1"/>
  <c r="R1040" i="3"/>
  <c r="S1040" i="3" s="1"/>
  <c r="U1040" i="3"/>
  <c r="N1040" i="3"/>
  <c r="O1040" i="3" s="1"/>
  <c r="U1036" i="3"/>
  <c r="N1036" i="3"/>
  <c r="O1036" i="3" s="1"/>
  <c r="R1036" i="3"/>
  <c r="S1036" i="3" s="1"/>
  <c r="U1032" i="3"/>
  <c r="N1032" i="3"/>
  <c r="O1032" i="3" s="1"/>
  <c r="V1032" i="3" s="1"/>
  <c r="U1028" i="3"/>
  <c r="N1028" i="3"/>
  <c r="O1028" i="3" s="1"/>
  <c r="V1028" i="3" s="1"/>
  <c r="R1024" i="3"/>
  <c r="S1024" i="3" s="1"/>
  <c r="U1024" i="3"/>
  <c r="N1024" i="3"/>
  <c r="O1024" i="3" s="1"/>
  <c r="U1020" i="3"/>
  <c r="N1020" i="3"/>
  <c r="O1020" i="3" s="1"/>
  <c r="R1020" i="3"/>
  <c r="S1020" i="3" s="1"/>
  <c r="U1016" i="3"/>
  <c r="N1016" i="3"/>
  <c r="O1016" i="3" s="1"/>
  <c r="V1016" i="3" s="1"/>
  <c r="U1012" i="3"/>
  <c r="N1012" i="3"/>
  <c r="O1012" i="3" s="1"/>
  <c r="V1012" i="3" s="1"/>
  <c r="R1008" i="3"/>
  <c r="S1008" i="3" s="1"/>
  <c r="U1008" i="3"/>
  <c r="N1008" i="3"/>
  <c r="O1008" i="3" s="1"/>
  <c r="U1004" i="3"/>
  <c r="N1004" i="3"/>
  <c r="O1004" i="3" s="1"/>
  <c r="R1004" i="3"/>
  <c r="S1004" i="3" s="1"/>
  <c r="U1000" i="3"/>
  <c r="N1000" i="3"/>
  <c r="O1000" i="3" s="1"/>
  <c r="U996" i="3"/>
  <c r="N996" i="3"/>
  <c r="O996" i="3" s="1"/>
  <c r="V996" i="3" s="1"/>
  <c r="R992" i="3"/>
  <c r="S992" i="3" s="1"/>
  <c r="U992" i="3"/>
  <c r="N992" i="3"/>
  <c r="O992" i="3" s="1"/>
  <c r="U988" i="3"/>
  <c r="N988" i="3"/>
  <c r="O988" i="3" s="1"/>
  <c r="R988" i="3"/>
  <c r="S988" i="3" s="1"/>
  <c r="U984" i="3"/>
  <c r="N984" i="3"/>
  <c r="O984" i="3" s="1"/>
  <c r="V984" i="3" s="1"/>
  <c r="U980" i="3"/>
  <c r="N980" i="3"/>
  <c r="O980" i="3" s="1"/>
  <c r="V980" i="3" s="1"/>
  <c r="R976" i="3"/>
  <c r="S976" i="3" s="1"/>
  <c r="U976" i="3"/>
  <c r="N976" i="3"/>
  <c r="O976" i="3" s="1"/>
  <c r="U972" i="3"/>
  <c r="N972" i="3"/>
  <c r="O972" i="3" s="1"/>
  <c r="R972" i="3"/>
  <c r="S972" i="3" s="1"/>
  <c r="U968" i="3"/>
  <c r="N968" i="3"/>
  <c r="O968" i="3" s="1"/>
  <c r="U964" i="3"/>
  <c r="N964" i="3"/>
  <c r="O964" i="3" s="1"/>
  <c r="R960" i="3"/>
  <c r="S960" i="3" s="1"/>
  <c r="U960" i="3"/>
  <c r="N960" i="3"/>
  <c r="O960" i="3" s="1"/>
  <c r="V960" i="3" s="1"/>
  <c r="U956" i="3"/>
  <c r="N956" i="3"/>
  <c r="O956" i="3" s="1"/>
  <c r="R956" i="3"/>
  <c r="S956" i="3" s="1"/>
  <c r="U952" i="3"/>
  <c r="N952" i="3"/>
  <c r="O952" i="3" s="1"/>
  <c r="U948" i="3"/>
  <c r="N948" i="3"/>
  <c r="O948" i="3" s="1"/>
  <c r="V948" i="3" s="1"/>
  <c r="R944" i="3"/>
  <c r="S944" i="3" s="1"/>
  <c r="U944" i="3"/>
  <c r="N944" i="3"/>
  <c r="O944" i="3" s="1"/>
  <c r="U940" i="3"/>
  <c r="N940" i="3"/>
  <c r="O940" i="3" s="1"/>
  <c r="R940" i="3"/>
  <c r="S940" i="3" s="1"/>
  <c r="U936" i="3"/>
  <c r="N936" i="3"/>
  <c r="O936" i="3" s="1"/>
  <c r="U932" i="3"/>
  <c r="N932" i="3"/>
  <c r="O932" i="3" s="1"/>
  <c r="R928" i="3"/>
  <c r="S928" i="3" s="1"/>
  <c r="U928" i="3"/>
  <c r="N928" i="3"/>
  <c r="O928" i="3" s="1"/>
  <c r="U924" i="3"/>
  <c r="N924" i="3"/>
  <c r="O924" i="3" s="1"/>
  <c r="R924" i="3"/>
  <c r="S924" i="3" s="1"/>
  <c r="U920" i="3"/>
  <c r="N920" i="3"/>
  <c r="O920" i="3" s="1"/>
  <c r="V920" i="3" s="1"/>
  <c r="U916" i="3"/>
  <c r="N916" i="3"/>
  <c r="O916" i="3" s="1"/>
  <c r="V916" i="3" s="1"/>
  <c r="R912" i="3"/>
  <c r="S912" i="3" s="1"/>
  <c r="U912" i="3"/>
  <c r="N912" i="3"/>
  <c r="O912" i="3" s="1"/>
  <c r="U908" i="3"/>
  <c r="N908" i="3"/>
  <c r="O908" i="3" s="1"/>
  <c r="R908" i="3"/>
  <c r="S908" i="3" s="1"/>
  <c r="U904" i="3"/>
  <c r="N904" i="3"/>
  <c r="O904" i="3" s="1"/>
  <c r="V904" i="3" s="1"/>
  <c r="U900" i="3"/>
  <c r="N900" i="3"/>
  <c r="O900" i="3" s="1"/>
  <c r="R896" i="3"/>
  <c r="S896" i="3" s="1"/>
  <c r="U896" i="3"/>
  <c r="N896" i="3"/>
  <c r="O896" i="3" s="1"/>
  <c r="V896" i="3" s="1"/>
  <c r="U892" i="3"/>
  <c r="N892" i="3"/>
  <c r="O892" i="3" s="1"/>
  <c r="R892" i="3"/>
  <c r="S892" i="3" s="1"/>
  <c r="U888" i="3"/>
  <c r="N888" i="3"/>
  <c r="O888" i="3" s="1"/>
  <c r="V888" i="3" s="1"/>
  <c r="U884" i="3"/>
  <c r="N884" i="3"/>
  <c r="O884" i="3" s="1"/>
  <c r="V884" i="3" s="1"/>
  <c r="R880" i="3"/>
  <c r="S880" i="3" s="1"/>
  <c r="U880" i="3"/>
  <c r="N880" i="3"/>
  <c r="O880" i="3" s="1"/>
  <c r="U876" i="3"/>
  <c r="N876" i="3"/>
  <c r="O876" i="3" s="1"/>
  <c r="R876" i="3"/>
  <c r="S876" i="3" s="1"/>
  <c r="U872" i="3"/>
  <c r="N872" i="3"/>
  <c r="O872" i="3" s="1"/>
  <c r="V872" i="3" s="1"/>
  <c r="U868" i="3"/>
  <c r="N868" i="3"/>
  <c r="O868" i="3" s="1"/>
  <c r="R864" i="3"/>
  <c r="S864" i="3" s="1"/>
  <c r="U864" i="3"/>
  <c r="N864" i="3"/>
  <c r="O864" i="3" s="1"/>
  <c r="V864" i="3" s="1"/>
  <c r="U860" i="3"/>
  <c r="N860" i="3"/>
  <c r="O860" i="3" s="1"/>
  <c r="R860" i="3"/>
  <c r="S860" i="3" s="1"/>
  <c r="U856" i="3"/>
  <c r="N856" i="3"/>
  <c r="O856" i="3" s="1"/>
  <c r="V856" i="3" s="1"/>
  <c r="U852" i="3"/>
  <c r="N852" i="3"/>
  <c r="O852" i="3" s="1"/>
  <c r="R848" i="3"/>
  <c r="S848" i="3" s="1"/>
  <c r="U848" i="3"/>
  <c r="N848" i="3"/>
  <c r="O848" i="3" s="1"/>
  <c r="T844" i="3"/>
  <c r="U844" i="3"/>
  <c r="N844" i="3"/>
  <c r="O844" i="3" s="1"/>
  <c r="P844" i="3"/>
  <c r="Q844" i="3" s="1"/>
  <c r="R844" i="3"/>
  <c r="S844" i="3" s="1"/>
  <c r="U840" i="3"/>
  <c r="N840" i="3"/>
  <c r="O840" i="3" s="1"/>
  <c r="T840" i="3"/>
  <c r="P836" i="3"/>
  <c r="Q836" i="3" s="1"/>
  <c r="U836" i="3"/>
  <c r="N836" i="3"/>
  <c r="O836" i="3" s="1"/>
  <c r="R832" i="3"/>
  <c r="S832" i="3" s="1"/>
  <c r="U832" i="3"/>
  <c r="N832" i="3"/>
  <c r="O832" i="3" s="1"/>
  <c r="V832" i="3" s="1"/>
  <c r="W832" i="3" s="1"/>
  <c r="P832" i="3"/>
  <c r="Q832" i="3" s="1"/>
  <c r="T828" i="3"/>
  <c r="U828" i="3"/>
  <c r="N828" i="3"/>
  <c r="O828" i="3" s="1"/>
  <c r="R828" i="3"/>
  <c r="S828" i="3" s="1"/>
  <c r="U824" i="3"/>
  <c r="N824" i="3"/>
  <c r="O824" i="3" s="1"/>
  <c r="V824" i="3" s="1"/>
  <c r="T824" i="3"/>
  <c r="P820" i="3"/>
  <c r="Q820" i="3" s="1"/>
  <c r="U820" i="3"/>
  <c r="N820" i="3"/>
  <c r="O820" i="3" s="1"/>
  <c r="R816" i="3"/>
  <c r="S816" i="3" s="1"/>
  <c r="U816" i="3"/>
  <c r="N816" i="3"/>
  <c r="O816" i="3" s="1"/>
  <c r="T812" i="3"/>
  <c r="U812" i="3"/>
  <c r="N812" i="3"/>
  <c r="O812" i="3" s="1"/>
  <c r="R812" i="3"/>
  <c r="S812" i="3" s="1"/>
  <c r="P808" i="3"/>
  <c r="Q808" i="3" s="1"/>
  <c r="U808" i="3"/>
  <c r="N808" i="3"/>
  <c r="O808" i="3" s="1"/>
  <c r="V808" i="3" s="1"/>
  <c r="T808" i="3"/>
  <c r="P804" i="3"/>
  <c r="Q804" i="3" s="1"/>
  <c r="U804" i="3"/>
  <c r="N804" i="3"/>
  <c r="O804" i="3" s="1"/>
  <c r="V804" i="3" s="1"/>
  <c r="P800" i="3"/>
  <c r="Q800" i="3" s="1"/>
  <c r="R800" i="3"/>
  <c r="S800" i="3" s="1"/>
  <c r="U800" i="3"/>
  <c r="N800" i="3"/>
  <c r="O800" i="3" s="1"/>
  <c r="P796" i="3"/>
  <c r="Q796" i="3" s="1"/>
  <c r="T796" i="3"/>
  <c r="U796" i="3"/>
  <c r="N796" i="3"/>
  <c r="O796" i="3" s="1"/>
  <c r="R796" i="3"/>
  <c r="S796" i="3" s="1"/>
  <c r="U792" i="3"/>
  <c r="N792" i="3"/>
  <c r="O792" i="3" s="1"/>
  <c r="V792" i="3" s="1"/>
  <c r="T792" i="3"/>
  <c r="P788" i="3"/>
  <c r="Q788" i="3" s="1"/>
  <c r="U788" i="3"/>
  <c r="N788" i="3"/>
  <c r="O788" i="3" s="1"/>
  <c r="V788" i="3" s="1"/>
  <c r="W788" i="3" s="1"/>
  <c r="P784" i="3"/>
  <c r="Q784" i="3" s="1"/>
  <c r="R784" i="3"/>
  <c r="S784" i="3" s="1"/>
  <c r="U784" i="3"/>
  <c r="N784" i="3"/>
  <c r="O784" i="3" s="1"/>
  <c r="V784" i="3" s="1"/>
  <c r="W784" i="3" s="1"/>
  <c r="P780" i="3"/>
  <c r="Q780" i="3" s="1"/>
  <c r="T780" i="3"/>
  <c r="U780" i="3"/>
  <c r="N780" i="3"/>
  <c r="O780" i="3" s="1"/>
  <c r="R780" i="3"/>
  <c r="S780" i="3" s="1"/>
  <c r="U776" i="3"/>
  <c r="N776" i="3"/>
  <c r="O776" i="3" s="1"/>
  <c r="V776" i="3" s="1"/>
  <c r="P776" i="3"/>
  <c r="Q776" i="3" s="1"/>
  <c r="T776" i="3"/>
  <c r="P772" i="3"/>
  <c r="Q772" i="3" s="1"/>
  <c r="U772" i="3"/>
  <c r="N772" i="3"/>
  <c r="O772" i="3" s="1"/>
  <c r="V772" i="3" s="1"/>
  <c r="W772" i="3" s="1"/>
  <c r="P768" i="3"/>
  <c r="Q768" i="3" s="1"/>
  <c r="R768" i="3"/>
  <c r="S768" i="3" s="1"/>
  <c r="U768" i="3"/>
  <c r="N768" i="3"/>
  <c r="O768" i="3" s="1"/>
  <c r="V768" i="3" s="1"/>
  <c r="W768" i="3" s="1"/>
  <c r="T764" i="3"/>
  <c r="U764" i="3"/>
  <c r="N764" i="3"/>
  <c r="O764" i="3" s="1"/>
  <c r="P764" i="3"/>
  <c r="Q764" i="3" s="1"/>
  <c r="R764" i="3"/>
  <c r="S764" i="3" s="1"/>
  <c r="U760" i="3"/>
  <c r="N760" i="3"/>
  <c r="O760" i="3" s="1"/>
  <c r="V760" i="3" s="1"/>
  <c r="T760" i="3"/>
  <c r="P756" i="3"/>
  <c r="Q756" i="3" s="1"/>
  <c r="T756" i="3"/>
  <c r="U756" i="3"/>
  <c r="N756" i="3"/>
  <c r="O756" i="3" s="1"/>
  <c r="V756" i="3" s="1"/>
  <c r="W756" i="3" s="1"/>
  <c r="T752" i="3"/>
  <c r="R752" i="3"/>
  <c r="S752" i="3" s="1"/>
  <c r="U752" i="3"/>
  <c r="N752" i="3"/>
  <c r="O752" i="3" s="1"/>
  <c r="V752" i="3" s="1"/>
  <c r="P752" i="3"/>
  <c r="Q752" i="3" s="1"/>
  <c r="T748" i="3"/>
  <c r="U748" i="3"/>
  <c r="N748" i="3"/>
  <c r="O748" i="3" s="1"/>
  <c r="R748" i="3"/>
  <c r="S748" i="3" s="1"/>
  <c r="T744" i="3"/>
  <c r="P744" i="3"/>
  <c r="Q744" i="3" s="1"/>
  <c r="U744" i="3"/>
  <c r="N744" i="3"/>
  <c r="O744" i="3" s="1"/>
  <c r="P740" i="3"/>
  <c r="Q740" i="3" s="1"/>
  <c r="T740" i="3"/>
  <c r="U740" i="3"/>
  <c r="N740" i="3"/>
  <c r="O740" i="3" s="1"/>
  <c r="V740" i="3" s="1"/>
  <c r="T736" i="3"/>
  <c r="R736" i="3"/>
  <c r="S736" i="3" s="1"/>
  <c r="U736" i="3"/>
  <c r="N736" i="3"/>
  <c r="O736" i="3" s="1"/>
  <c r="T732" i="3"/>
  <c r="P732" i="3"/>
  <c r="Q732" i="3" s="1"/>
  <c r="U732" i="3"/>
  <c r="N732" i="3"/>
  <c r="O732" i="3" s="1"/>
  <c r="R732" i="3"/>
  <c r="S732" i="3" s="1"/>
  <c r="T728" i="3"/>
  <c r="U728" i="3"/>
  <c r="N728" i="3"/>
  <c r="O728" i="3" s="1"/>
  <c r="P724" i="3"/>
  <c r="Q724" i="3" s="1"/>
  <c r="T724" i="3"/>
  <c r="U724" i="3"/>
  <c r="N724" i="3"/>
  <c r="O724" i="3" s="1"/>
  <c r="V724" i="3" s="1"/>
  <c r="T720" i="3"/>
  <c r="P720" i="3"/>
  <c r="Q720" i="3" s="1"/>
  <c r="R720" i="3"/>
  <c r="S720" i="3" s="1"/>
  <c r="U720" i="3"/>
  <c r="N720" i="3"/>
  <c r="O720" i="3" s="1"/>
  <c r="T716" i="3"/>
  <c r="U716" i="3"/>
  <c r="N716" i="3"/>
  <c r="O716" i="3" s="1"/>
  <c r="R716" i="3"/>
  <c r="S716" i="3" s="1"/>
  <c r="T712" i="3"/>
  <c r="P712" i="3"/>
  <c r="Q712" i="3" s="1"/>
  <c r="U712" i="3"/>
  <c r="N712" i="3"/>
  <c r="O712" i="3" s="1"/>
  <c r="P708" i="3"/>
  <c r="Q708" i="3" s="1"/>
  <c r="T708" i="3"/>
  <c r="U708" i="3"/>
  <c r="N708" i="3"/>
  <c r="O708" i="3" s="1"/>
  <c r="V708" i="3" s="1"/>
  <c r="T704" i="3"/>
  <c r="R704" i="3"/>
  <c r="S704" i="3" s="1"/>
  <c r="U704" i="3"/>
  <c r="N704" i="3"/>
  <c r="O704" i="3" s="1"/>
  <c r="T700" i="3"/>
  <c r="P700" i="3"/>
  <c r="Q700" i="3" s="1"/>
  <c r="U700" i="3"/>
  <c r="N700" i="3"/>
  <c r="O700" i="3" s="1"/>
  <c r="R700" i="3"/>
  <c r="S700" i="3" s="1"/>
  <c r="V700" i="3" s="1"/>
  <c r="W700" i="3" s="1"/>
  <c r="T696" i="3"/>
  <c r="U696" i="3"/>
  <c r="N696" i="3"/>
  <c r="O696" i="3" s="1"/>
  <c r="P696" i="3"/>
  <c r="Q696" i="3" s="1"/>
  <c r="P692" i="3"/>
  <c r="Q692" i="3" s="1"/>
  <c r="T692" i="3"/>
  <c r="U692" i="3"/>
  <c r="N692" i="3"/>
  <c r="O692" i="3" s="1"/>
  <c r="V692" i="3" s="1"/>
  <c r="T688" i="3"/>
  <c r="P688" i="3"/>
  <c r="Q688" i="3" s="1"/>
  <c r="R688" i="3"/>
  <c r="S688" i="3" s="1"/>
  <c r="U688" i="3"/>
  <c r="N688" i="3"/>
  <c r="O688" i="3" s="1"/>
  <c r="V688" i="3" s="1"/>
  <c r="W688" i="3" s="1"/>
  <c r="T684" i="3"/>
  <c r="U684" i="3"/>
  <c r="N684" i="3"/>
  <c r="O684" i="3" s="1"/>
  <c r="P684" i="3"/>
  <c r="Q684" i="3" s="1"/>
  <c r="R684" i="3"/>
  <c r="S684" i="3" s="1"/>
  <c r="T680" i="3"/>
  <c r="P680" i="3"/>
  <c r="Q680" i="3" s="1"/>
  <c r="U680" i="3"/>
  <c r="N680" i="3"/>
  <c r="O680" i="3" s="1"/>
  <c r="V680" i="3" s="1"/>
  <c r="P676" i="3"/>
  <c r="Q676" i="3" s="1"/>
  <c r="T676" i="3"/>
  <c r="U676" i="3"/>
  <c r="N676" i="3"/>
  <c r="O676" i="3" s="1"/>
  <c r="T672" i="3"/>
  <c r="R672" i="3"/>
  <c r="S672" i="3" s="1"/>
  <c r="U672" i="3"/>
  <c r="N672" i="3"/>
  <c r="O672" i="3" s="1"/>
  <c r="T668" i="3"/>
  <c r="P668" i="3"/>
  <c r="Q668" i="3" s="1"/>
  <c r="U668" i="3"/>
  <c r="N668" i="3"/>
  <c r="O668" i="3" s="1"/>
  <c r="R668" i="3"/>
  <c r="S668" i="3" s="1"/>
  <c r="T664" i="3"/>
  <c r="U664" i="3"/>
  <c r="N664" i="3"/>
  <c r="O664" i="3" s="1"/>
  <c r="P664" i="3"/>
  <c r="Q664" i="3" s="1"/>
  <c r="P660" i="3"/>
  <c r="Q660" i="3" s="1"/>
  <c r="T660" i="3"/>
  <c r="U660" i="3"/>
  <c r="N660" i="3"/>
  <c r="O660" i="3" s="1"/>
  <c r="V660" i="3" s="1"/>
  <c r="T656" i="3"/>
  <c r="P656" i="3"/>
  <c r="Q656" i="3" s="1"/>
  <c r="R656" i="3"/>
  <c r="S656" i="3" s="1"/>
  <c r="U656" i="3"/>
  <c r="N656" i="3"/>
  <c r="O656" i="3" s="1"/>
  <c r="T652" i="3"/>
  <c r="U652" i="3"/>
  <c r="N652" i="3"/>
  <c r="O652" i="3" s="1"/>
  <c r="R652" i="3"/>
  <c r="S652" i="3" s="1"/>
  <c r="V652" i="3" s="1"/>
  <c r="W652" i="3" s="1"/>
  <c r="T648" i="3"/>
  <c r="U648" i="3"/>
  <c r="N648" i="3"/>
  <c r="O648" i="3" s="1"/>
  <c r="P644" i="3"/>
  <c r="Q644" i="3" s="1"/>
  <c r="T644" i="3"/>
  <c r="U644" i="3"/>
  <c r="N644" i="3"/>
  <c r="O644" i="3" s="1"/>
  <c r="T640" i="3"/>
  <c r="R640" i="3"/>
  <c r="S640" i="3" s="1"/>
  <c r="U640" i="3"/>
  <c r="N640" i="3"/>
  <c r="O640" i="3" s="1"/>
  <c r="T636" i="3"/>
  <c r="U636" i="3"/>
  <c r="N636" i="3"/>
  <c r="O636" i="3" s="1"/>
  <c r="R636" i="3"/>
  <c r="S636" i="3" s="1"/>
  <c r="T632" i="3"/>
  <c r="P632" i="3"/>
  <c r="Q632" i="3" s="1"/>
  <c r="U632" i="3"/>
  <c r="N632" i="3"/>
  <c r="O632" i="3" s="1"/>
  <c r="V632" i="3" s="1"/>
  <c r="P628" i="3"/>
  <c r="Q628" i="3" s="1"/>
  <c r="T628" i="3"/>
  <c r="U628" i="3"/>
  <c r="N628" i="3"/>
  <c r="O628" i="3" s="1"/>
  <c r="T624" i="3"/>
  <c r="R624" i="3"/>
  <c r="S624" i="3" s="1"/>
  <c r="U624" i="3"/>
  <c r="N624" i="3"/>
  <c r="O624" i="3" s="1"/>
  <c r="T620" i="3"/>
  <c r="P620" i="3"/>
  <c r="Q620" i="3" s="1"/>
  <c r="U620" i="3"/>
  <c r="N620" i="3"/>
  <c r="O620" i="3" s="1"/>
  <c r="R620" i="3"/>
  <c r="S620" i="3" s="1"/>
  <c r="T616" i="3"/>
  <c r="P616" i="3"/>
  <c r="Q616" i="3" s="1"/>
  <c r="U616" i="3"/>
  <c r="N616" i="3"/>
  <c r="O616" i="3" s="1"/>
  <c r="P612" i="3"/>
  <c r="Q612" i="3" s="1"/>
  <c r="T612" i="3"/>
  <c r="U612" i="3"/>
  <c r="N612" i="3"/>
  <c r="O612" i="3" s="1"/>
  <c r="T608" i="3"/>
  <c r="R608" i="3"/>
  <c r="S608" i="3" s="1"/>
  <c r="U608" i="3"/>
  <c r="N608" i="3"/>
  <c r="O608" i="3" s="1"/>
  <c r="P608" i="3"/>
  <c r="Q608" i="3" s="1"/>
  <c r="T604" i="3"/>
  <c r="P604" i="3"/>
  <c r="Q604" i="3" s="1"/>
  <c r="U604" i="3"/>
  <c r="N604" i="3"/>
  <c r="O604" i="3" s="1"/>
  <c r="R604" i="3"/>
  <c r="S604" i="3" s="1"/>
  <c r="T600" i="3"/>
  <c r="P600" i="3"/>
  <c r="Q600" i="3" s="1"/>
  <c r="U600" i="3"/>
  <c r="N600" i="3"/>
  <c r="O600" i="3" s="1"/>
  <c r="P596" i="3"/>
  <c r="Q596" i="3" s="1"/>
  <c r="T596" i="3"/>
  <c r="U596" i="3"/>
  <c r="N596" i="3"/>
  <c r="O596" i="3" s="1"/>
  <c r="V596" i="3" s="1"/>
  <c r="R592" i="3"/>
  <c r="S592" i="3" s="1"/>
  <c r="U592" i="3"/>
  <c r="N592" i="3"/>
  <c r="O592" i="3" s="1"/>
  <c r="N609" i="3"/>
  <c r="O609" i="3" s="1"/>
  <c r="V598" i="3"/>
  <c r="N593" i="3"/>
  <c r="O593" i="3" s="1"/>
  <c r="V593" i="3" s="1"/>
  <c r="W593" i="3" s="1"/>
  <c r="W959" i="3"/>
  <c r="W843" i="3"/>
  <c r="W799" i="3"/>
  <c r="W779" i="3"/>
  <c r="W767" i="3"/>
  <c r="W691" i="3"/>
  <c r="W563" i="3"/>
  <c r="W22" i="3"/>
  <c r="V1070" i="3"/>
  <c r="W1070" i="3" s="1"/>
  <c r="V910" i="3"/>
  <c r="W910" i="3" s="1"/>
  <c r="V911" i="3"/>
  <c r="W911" i="3" s="1"/>
  <c r="V835" i="3"/>
  <c r="W835" i="3" s="1"/>
  <c r="V611" i="3"/>
  <c r="W611" i="3" s="1"/>
  <c r="V527" i="3"/>
  <c r="W527" i="3" s="1"/>
  <c r="V420" i="3"/>
  <c r="W420" i="3" s="1"/>
  <c r="V415" i="3"/>
  <c r="W415" i="3" s="1"/>
  <c r="V399" i="3"/>
  <c r="W399" i="3" s="1"/>
  <c r="V367" i="3"/>
  <c r="W367" i="3" s="1"/>
  <c r="V363" i="3"/>
  <c r="W363" i="3" s="1"/>
  <c r="V355" i="3"/>
  <c r="W355" i="3" s="1"/>
  <c r="V347" i="3"/>
  <c r="W347" i="3" s="1"/>
  <c r="V343" i="3"/>
  <c r="W343" i="3" s="1"/>
  <c r="V339" i="3"/>
  <c r="W339" i="3" s="1"/>
  <c r="V335" i="3"/>
  <c r="W335" i="3" s="1"/>
  <c r="V327" i="3"/>
  <c r="W327" i="3" s="1"/>
  <c r="V323" i="3"/>
  <c r="W323" i="3" s="1"/>
  <c r="V315" i="3"/>
  <c r="W315" i="3" s="1"/>
  <c r="V311" i="3"/>
  <c r="W311" i="3" s="1"/>
  <c r="V307" i="3"/>
  <c r="W307" i="3" s="1"/>
  <c r="V303" i="3"/>
  <c r="W303" i="3" s="1"/>
  <c r="V299" i="3"/>
  <c r="W299" i="3" s="1"/>
  <c r="V295" i="3"/>
  <c r="W295" i="3" s="1"/>
  <c r="V287" i="3"/>
  <c r="W287" i="3" s="1"/>
  <c r="V283" i="3"/>
  <c r="W283" i="3" s="1"/>
  <c r="V279" i="3"/>
  <c r="W279" i="3" s="1"/>
  <c r="V275" i="3"/>
  <c r="W275" i="3" s="1"/>
  <c r="V271" i="3"/>
  <c r="W271" i="3" s="1"/>
  <c r="V267" i="3"/>
  <c r="W267" i="3" s="1"/>
  <c r="V263" i="3"/>
  <c r="W263" i="3" s="1"/>
  <c r="V259" i="3"/>
  <c r="W259" i="3" s="1"/>
  <c r="V255" i="3"/>
  <c r="W255" i="3" s="1"/>
  <c r="V247" i="3"/>
  <c r="W247" i="3" s="1"/>
  <c r="V243" i="3"/>
  <c r="W243" i="3" s="1"/>
  <c r="V239" i="3"/>
  <c r="W239" i="3" s="1"/>
  <c r="V235" i="3"/>
  <c r="W235" i="3" s="1"/>
  <c r="V231" i="3"/>
  <c r="W231" i="3" s="1"/>
  <c r="V227" i="3"/>
  <c r="W227" i="3" s="1"/>
  <c r="V223" i="3"/>
  <c r="W223" i="3" s="1"/>
  <c r="V219" i="3"/>
  <c r="W219" i="3" s="1"/>
  <c r="V215" i="3"/>
  <c r="W215" i="3" s="1"/>
  <c r="V207" i="3"/>
  <c r="W207" i="3" s="1"/>
  <c r="V199" i="3"/>
  <c r="W199" i="3" s="1"/>
  <c r="V195" i="3"/>
  <c r="W195" i="3" s="1"/>
  <c r="V187" i="3"/>
  <c r="W187" i="3" s="1"/>
  <c r="V183" i="3"/>
  <c r="W183" i="3" s="1"/>
  <c r="V179" i="3"/>
  <c r="W179" i="3" s="1"/>
  <c r="V175" i="3"/>
  <c r="W175" i="3" s="1"/>
  <c r="V171" i="3"/>
  <c r="W171" i="3" s="1"/>
  <c r="V167" i="3"/>
  <c r="W167" i="3" s="1"/>
  <c r="V163" i="3"/>
  <c r="W163" i="3" s="1"/>
  <c r="V159" i="3"/>
  <c r="W159" i="3" s="1"/>
  <c r="V155" i="3"/>
  <c r="W155" i="3" s="1"/>
  <c r="V151" i="3"/>
  <c r="W151" i="3" s="1"/>
  <c r="V147" i="3"/>
  <c r="W147" i="3" s="1"/>
  <c r="V143" i="3"/>
  <c r="W143" i="3" s="1"/>
  <c r="V139" i="3"/>
  <c r="W139" i="3" s="1"/>
  <c r="V135" i="3"/>
  <c r="W135" i="3" s="1"/>
  <c r="V131" i="3"/>
  <c r="W131" i="3" s="1"/>
  <c r="V127" i="3"/>
  <c r="W127" i="3" s="1"/>
  <c r="V123" i="3"/>
  <c r="W123" i="3" s="1"/>
  <c r="V119" i="3"/>
  <c r="W119" i="3" s="1"/>
  <c r="V115" i="3"/>
  <c r="W115" i="3" s="1"/>
  <c r="V111" i="3"/>
  <c r="W111" i="3" s="1"/>
  <c r="V107" i="3"/>
  <c r="W107" i="3" s="1"/>
  <c r="V103" i="3"/>
  <c r="W103" i="3" s="1"/>
  <c r="V95" i="3"/>
  <c r="W95" i="3" s="1"/>
  <c r="V91" i="3"/>
  <c r="W91" i="3" s="1"/>
  <c r="V87" i="3"/>
  <c r="W87" i="3" s="1"/>
  <c r="V83" i="3"/>
  <c r="W83" i="3" s="1"/>
  <c r="V79" i="3"/>
  <c r="W79" i="3" s="1"/>
  <c r="V71" i="3"/>
  <c r="W71" i="3" s="1"/>
  <c r="V67" i="3"/>
  <c r="W67" i="3" s="1"/>
  <c r="V59" i="3"/>
  <c r="W59" i="3" s="1"/>
  <c r="V55" i="3"/>
  <c r="W55" i="3" s="1"/>
  <c r="V51" i="3"/>
  <c r="W51" i="3" s="1"/>
  <c r="V47" i="3"/>
  <c r="W47" i="3" s="1"/>
  <c r="V43" i="3"/>
  <c r="W43" i="3" s="1"/>
  <c r="V35" i="3"/>
  <c r="W35" i="3" s="1"/>
  <c r="V31" i="3"/>
  <c r="W31" i="3" s="1"/>
  <c r="V27" i="3"/>
  <c r="W27" i="3" s="1"/>
  <c r="V19" i="3"/>
  <c r="W19" i="3" s="1"/>
  <c r="V7" i="3"/>
  <c r="W7" i="3" s="1"/>
  <c r="P1001" i="3"/>
  <c r="Q1001" i="3" s="1"/>
  <c r="P933" i="3"/>
  <c r="Q933" i="3" s="1"/>
  <c r="P913" i="3"/>
  <c r="Q913" i="3" s="1"/>
  <c r="N1077" i="3"/>
  <c r="O1077" i="3" s="1"/>
  <c r="N1061" i="3"/>
  <c r="O1061" i="3" s="1"/>
  <c r="N1045" i="3"/>
  <c r="O1045" i="3" s="1"/>
  <c r="N1029" i="3"/>
  <c r="O1029" i="3" s="1"/>
  <c r="N1013" i="3"/>
  <c r="O1013" i="3" s="1"/>
  <c r="V1013" i="3" s="1"/>
  <c r="N997" i="3"/>
  <c r="O997" i="3" s="1"/>
  <c r="N981" i="3"/>
  <c r="O981" i="3" s="1"/>
  <c r="N965" i="3"/>
  <c r="O965" i="3" s="1"/>
  <c r="N949" i="3"/>
  <c r="O949" i="3" s="1"/>
  <c r="N933" i="3"/>
  <c r="O933" i="3" s="1"/>
  <c r="N917" i="3"/>
  <c r="O917" i="3" s="1"/>
  <c r="V906" i="3"/>
  <c r="W906" i="3" s="1"/>
  <c r="N901" i="3"/>
  <c r="O901" i="3" s="1"/>
  <c r="N885" i="3"/>
  <c r="O885" i="3" s="1"/>
  <c r="V874" i="3"/>
  <c r="W874" i="3" s="1"/>
  <c r="N869" i="3"/>
  <c r="O869" i="3" s="1"/>
  <c r="N853" i="3"/>
  <c r="O853" i="3" s="1"/>
  <c r="N837" i="3"/>
  <c r="O837" i="3" s="1"/>
  <c r="V837" i="3" s="1"/>
  <c r="W837" i="3" s="1"/>
  <c r="N821" i="3"/>
  <c r="O821" i="3" s="1"/>
  <c r="N805" i="3"/>
  <c r="O805" i="3" s="1"/>
  <c r="N789" i="3"/>
  <c r="O789" i="3" s="1"/>
  <c r="N773" i="3"/>
  <c r="O773" i="3" s="1"/>
  <c r="N757" i="3"/>
  <c r="O757" i="3" s="1"/>
  <c r="N741" i="3"/>
  <c r="O741" i="3" s="1"/>
  <c r="N725" i="3"/>
  <c r="O725" i="3" s="1"/>
  <c r="V725" i="3" s="1"/>
  <c r="W725" i="3" s="1"/>
  <c r="N709" i="3"/>
  <c r="O709" i="3" s="1"/>
  <c r="N693" i="3"/>
  <c r="O693" i="3" s="1"/>
  <c r="N677" i="3"/>
  <c r="O677" i="3" s="1"/>
  <c r="V677" i="3" s="1"/>
  <c r="N661" i="3"/>
  <c r="O661" i="3" s="1"/>
  <c r="N645" i="3"/>
  <c r="O645" i="3" s="1"/>
  <c r="V645" i="3" s="1"/>
  <c r="W645" i="3" s="1"/>
  <c r="N629" i="3"/>
  <c r="O629" i="3" s="1"/>
  <c r="N613" i="3"/>
  <c r="O613" i="3" s="1"/>
  <c r="N597" i="3"/>
  <c r="O597" i="3" s="1"/>
  <c r="P461" i="3"/>
  <c r="Q461" i="3" s="1"/>
  <c r="R461" i="3"/>
  <c r="S461" i="3" s="1"/>
  <c r="P457" i="3"/>
  <c r="Q457" i="3" s="1"/>
  <c r="R457" i="3"/>
  <c r="S457" i="3" s="1"/>
  <c r="V457" i="3" s="1"/>
  <c r="W457" i="3" s="1"/>
  <c r="P453" i="3"/>
  <c r="Q453" i="3" s="1"/>
  <c r="R453" i="3"/>
  <c r="S453" i="3" s="1"/>
  <c r="P449" i="3"/>
  <c r="Q449" i="3" s="1"/>
  <c r="R449" i="3"/>
  <c r="S449" i="3" s="1"/>
  <c r="V449" i="3" s="1"/>
  <c r="W449" i="3" s="1"/>
  <c r="P445" i="3"/>
  <c r="Q445" i="3" s="1"/>
  <c r="R445" i="3"/>
  <c r="S445" i="3" s="1"/>
  <c r="V445" i="3" s="1"/>
  <c r="P441" i="3"/>
  <c r="Q441" i="3" s="1"/>
  <c r="R441" i="3"/>
  <c r="S441" i="3" s="1"/>
  <c r="P437" i="3"/>
  <c r="Q437" i="3" s="1"/>
  <c r="R437" i="3"/>
  <c r="S437" i="3" s="1"/>
  <c r="P433" i="3"/>
  <c r="Q433" i="3" s="1"/>
  <c r="R433" i="3"/>
  <c r="S433" i="3" s="1"/>
  <c r="V433" i="3" s="1"/>
  <c r="N429" i="3"/>
  <c r="O429" i="3" s="1"/>
  <c r="N425" i="3"/>
  <c r="O425" i="3" s="1"/>
  <c r="P425" i="3"/>
  <c r="Q425" i="3" s="1"/>
  <c r="R425" i="3"/>
  <c r="S425" i="3" s="1"/>
  <c r="N421" i="3"/>
  <c r="O421" i="3" s="1"/>
  <c r="P421" i="3"/>
  <c r="Q421" i="3" s="1"/>
  <c r="R421" i="3"/>
  <c r="S421" i="3" s="1"/>
  <c r="N417" i="3"/>
  <c r="O417" i="3" s="1"/>
  <c r="P417" i="3"/>
  <c r="R417" i="3"/>
  <c r="S417" i="3" s="1"/>
  <c r="P413" i="3"/>
  <c r="Q413" i="3" s="1"/>
  <c r="R413" i="3"/>
  <c r="S413" i="3" s="1"/>
  <c r="P409" i="3"/>
  <c r="Q409" i="3" s="1"/>
  <c r="R409" i="3"/>
  <c r="S409" i="3" s="1"/>
  <c r="P405" i="3"/>
  <c r="Q405" i="3" s="1"/>
  <c r="R405" i="3"/>
  <c r="S405" i="3" s="1"/>
  <c r="P401" i="3"/>
  <c r="Q401" i="3" s="1"/>
  <c r="R401" i="3"/>
  <c r="S401" i="3" s="1"/>
  <c r="P397" i="3"/>
  <c r="Q397" i="3" s="1"/>
  <c r="R397" i="3"/>
  <c r="S397" i="3" s="1"/>
  <c r="P393" i="3"/>
  <c r="Q393" i="3" s="1"/>
  <c r="R393" i="3"/>
  <c r="S393" i="3" s="1"/>
  <c r="P389" i="3"/>
  <c r="Q389" i="3" s="1"/>
  <c r="R389" i="3"/>
  <c r="S389" i="3" s="1"/>
  <c r="P385" i="3"/>
  <c r="Q385" i="3" s="1"/>
  <c r="R385" i="3"/>
  <c r="S385" i="3" s="1"/>
  <c r="P381" i="3"/>
  <c r="Q381" i="3" s="1"/>
  <c r="R381" i="3"/>
  <c r="S381" i="3" s="1"/>
  <c r="V381" i="3" s="1"/>
  <c r="W381" i="3" s="1"/>
  <c r="P377" i="3"/>
  <c r="Q377" i="3" s="1"/>
  <c r="R377" i="3"/>
  <c r="S377" i="3" s="1"/>
  <c r="V377" i="3" s="1"/>
  <c r="W377" i="3" s="1"/>
  <c r="P373" i="3"/>
  <c r="Q373" i="3" s="1"/>
  <c r="R373" i="3"/>
  <c r="S373" i="3" s="1"/>
  <c r="V373" i="3" s="1"/>
  <c r="W373" i="3" s="1"/>
  <c r="C369" i="3"/>
  <c r="T556" i="3"/>
  <c r="P556" i="3"/>
  <c r="Q556" i="3" s="1"/>
  <c r="P552" i="3"/>
  <c r="Q552" i="3" s="1"/>
  <c r="T552" i="3"/>
  <c r="P540" i="3"/>
  <c r="Q540" i="3" s="1"/>
  <c r="T540" i="3"/>
  <c r="W863" i="3"/>
  <c r="W483" i="3"/>
  <c r="W37" i="3"/>
  <c r="V1078" i="3"/>
  <c r="V1022" i="3"/>
  <c r="W1022" i="3" s="1"/>
  <c r="V830" i="3"/>
  <c r="W830" i="3" s="1"/>
  <c r="V734" i="3"/>
  <c r="W734" i="3" s="1"/>
  <c r="V686" i="3"/>
  <c r="W686" i="3" s="1"/>
  <c r="V658" i="3"/>
  <c r="W658" i="3" s="1"/>
  <c r="V614" i="3"/>
  <c r="W614" i="3" s="1"/>
  <c r="V578" i="3"/>
  <c r="W578" i="3" s="1"/>
  <c r="V514" i="3"/>
  <c r="W514" i="3" s="1"/>
  <c r="V478" i="3"/>
  <c r="W478" i="3" s="1"/>
  <c r="V158" i="3"/>
  <c r="W158" i="3" s="1"/>
  <c r="V839" i="3"/>
  <c r="W839" i="3" s="1"/>
  <c r="V743" i="3"/>
  <c r="W743" i="3" s="1"/>
  <c r="V695" i="3"/>
  <c r="W695" i="3" s="1"/>
  <c r="V679" i="3"/>
  <c r="W679" i="3" s="1"/>
  <c r="V647" i="3"/>
  <c r="W647" i="3" s="1"/>
  <c r="V567" i="3"/>
  <c r="W567" i="3" s="1"/>
  <c r="V487" i="3"/>
  <c r="W487" i="3" s="1"/>
  <c r="V407" i="3"/>
  <c r="W407" i="3" s="1"/>
  <c r="V536" i="3"/>
  <c r="W536" i="3" s="1"/>
  <c r="V504" i="3"/>
  <c r="W504" i="3" s="1"/>
  <c r="V500" i="3"/>
  <c r="W500" i="3" s="1"/>
  <c r="V484" i="3"/>
  <c r="W484" i="3" s="1"/>
  <c r="V472" i="3"/>
  <c r="W472" i="3" s="1"/>
  <c r="V456" i="3"/>
  <c r="W456" i="3" s="1"/>
  <c r="V447" i="3"/>
  <c r="W447" i="3" s="1"/>
  <c r="V383" i="3"/>
  <c r="W383" i="3" s="1"/>
  <c r="W931" i="3"/>
  <c r="W807" i="3"/>
  <c r="W791" i="3"/>
  <c r="W775" i="3"/>
  <c r="V994" i="3"/>
  <c r="W994" i="3" s="1"/>
  <c r="V950" i="3"/>
  <c r="W950" i="3" s="1"/>
  <c r="V907" i="3"/>
  <c r="W907" i="3" s="1"/>
  <c r="V882" i="3"/>
  <c r="V838" i="3"/>
  <c r="W838" i="3" s="1"/>
  <c r="V786" i="3"/>
  <c r="W786" i="3" s="1"/>
  <c r="V742" i="3"/>
  <c r="W742" i="3" s="1"/>
  <c r="V678" i="3"/>
  <c r="W678" i="3" s="1"/>
  <c r="V642" i="3"/>
  <c r="W642" i="3" s="1"/>
  <c r="V498" i="3"/>
  <c r="W498" i="3" s="1"/>
  <c r="V466" i="3"/>
  <c r="W466" i="3" s="1"/>
  <c r="V414" i="3"/>
  <c r="W414" i="3" s="1"/>
  <c r="V310" i="3"/>
  <c r="W310" i="3" s="1"/>
  <c r="V94" i="3"/>
  <c r="W94" i="3" s="1"/>
  <c r="W1067" i="3"/>
  <c r="V1019" i="3"/>
  <c r="W1019" i="3" s="1"/>
  <c r="V987" i="3"/>
  <c r="W987" i="3" s="1"/>
  <c r="W939" i="3"/>
  <c r="V827" i="3"/>
  <c r="W827" i="3" s="1"/>
  <c r="V699" i="3"/>
  <c r="W699" i="3" s="1"/>
  <c r="V667" i="3"/>
  <c r="W667" i="3" s="1"/>
  <c r="V651" i="3"/>
  <c r="W651" i="3" s="1"/>
  <c r="V571" i="3"/>
  <c r="W571" i="3" s="1"/>
  <c r="V555" i="3"/>
  <c r="W555" i="3" s="1"/>
  <c r="V496" i="3"/>
  <c r="V348" i="3"/>
  <c r="W348" i="3" s="1"/>
  <c r="V328" i="3"/>
  <c r="W328" i="3" s="1"/>
  <c r="V300" i="3"/>
  <c r="W300" i="3" s="1"/>
  <c r="V264" i="3"/>
  <c r="W264" i="3" s="1"/>
  <c r="V204" i="3"/>
  <c r="W204" i="3" s="1"/>
  <c r="V180" i="3"/>
  <c r="W180" i="3" s="1"/>
  <c r="V140" i="3"/>
  <c r="W140" i="3" s="1"/>
  <c r="V116" i="3"/>
  <c r="W116" i="3" s="1"/>
  <c r="V100" i="3"/>
  <c r="W100" i="3" s="1"/>
  <c r="V92" i="3"/>
  <c r="W92" i="3" s="1"/>
  <c r="V60" i="3"/>
  <c r="W60" i="3" s="1"/>
  <c r="V1010" i="3"/>
  <c r="W1010" i="3" s="1"/>
  <c r="V946" i="3"/>
  <c r="W946" i="3" s="1"/>
  <c r="V926" i="3"/>
  <c r="W926" i="3" s="1"/>
  <c r="V914" i="3"/>
  <c r="W914" i="3" s="1"/>
  <c r="V738" i="3"/>
  <c r="W738" i="3" s="1"/>
  <c r="V702" i="3"/>
  <c r="W702" i="3" s="1"/>
  <c r="V670" i="3"/>
  <c r="W670" i="3" s="1"/>
  <c r="V594" i="3"/>
  <c r="W594" i="3" s="1"/>
  <c r="V562" i="3"/>
  <c r="W562" i="3" s="1"/>
  <c r="V542" i="3"/>
  <c r="W542" i="3" s="1"/>
  <c r="V482" i="3"/>
  <c r="W482" i="3" s="1"/>
  <c r="V450" i="3"/>
  <c r="W450" i="3" s="1"/>
  <c r="V386" i="3"/>
  <c r="W386" i="3" s="1"/>
  <c r="V286" i="3"/>
  <c r="W286" i="3" s="1"/>
  <c r="V142" i="3"/>
  <c r="W142" i="3" s="1"/>
  <c r="V50" i="3"/>
  <c r="W50" i="3" s="1"/>
  <c r="V30" i="3"/>
  <c r="W30" i="3" s="1"/>
  <c r="V45" i="3"/>
  <c r="W45" i="3" s="1"/>
  <c r="V84" i="3"/>
  <c r="W84" i="3" s="1"/>
  <c r="V32" i="3"/>
  <c r="W32" i="3" s="1"/>
  <c r="V16" i="3"/>
  <c r="W16" i="3" s="1"/>
  <c r="V1042" i="3"/>
  <c r="W1042" i="3" s="1"/>
  <c r="V966" i="3"/>
  <c r="W966" i="3" s="1"/>
  <c r="V958" i="3"/>
  <c r="V806" i="3"/>
  <c r="W806" i="3" s="1"/>
  <c r="V798" i="3"/>
  <c r="W798" i="3" s="1"/>
  <c r="V722" i="3"/>
  <c r="W722" i="3" s="1"/>
  <c r="V706" i="3"/>
  <c r="W706" i="3" s="1"/>
  <c r="V690" i="3"/>
  <c r="W690" i="3" s="1"/>
  <c r="V626" i="3"/>
  <c r="W626" i="3" s="1"/>
  <c r="V530" i="3"/>
  <c r="W530" i="3" s="1"/>
  <c r="V462" i="3"/>
  <c r="V206" i="3"/>
  <c r="W206" i="3" s="1"/>
  <c r="V78" i="3"/>
  <c r="W78" i="3" s="1"/>
  <c r="V18" i="3"/>
  <c r="W18" i="3" s="1"/>
  <c r="V842" i="3"/>
  <c r="V826" i="3"/>
  <c r="W826" i="3" s="1"/>
  <c r="V778" i="3"/>
  <c r="W778" i="3" s="1"/>
  <c r="V762" i="3"/>
  <c r="W762" i="3" s="1"/>
  <c r="V714" i="3"/>
  <c r="V698" i="3"/>
  <c r="W698" i="3" s="1"/>
  <c r="V650" i="3"/>
  <c r="W650" i="3" s="1"/>
  <c r="V634" i="3"/>
  <c r="W634" i="3" s="1"/>
  <c r="V586" i="3"/>
  <c r="W586" i="3" s="1"/>
  <c r="V570" i="3"/>
  <c r="W570" i="3" s="1"/>
  <c r="V522" i="3"/>
  <c r="W522" i="3" s="1"/>
  <c r="V506" i="3"/>
  <c r="V458" i="3"/>
  <c r="W458" i="3" s="1"/>
  <c r="V394" i="3"/>
  <c r="W394" i="3" s="1"/>
  <c r="V10" i="3"/>
  <c r="W10" i="3" s="1"/>
  <c r="V24" i="3"/>
  <c r="W24" i="3" s="1"/>
  <c r="V8" i="3"/>
  <c r="W8" i="3" s="1"/>
  <c r="V208" i="3"/>
  <c r="W208" i="3" s="1"/>
  <c r="V144" i="3"/>
  <c r="W144" i="3" s="1"/>
  <c r="W1034" i="3"/>
  <c r="W1002" i="3"/>
  <c r="W970" i="3"/>
  <c r="W954" i="3"/>
  <c r="W938" i="3"/>
  <c r="W858" i="3"/>
  <c r="W538" i="3"/>
  <c r="W474" i="3"/>
  <c r="W462" i="3"/>
  <c r="W454" i="3"/>
  <c r="W446" i="3"/>
  <c r="W438" i="3"/>
  <c r="W426" i="3"/>
  <c r="W410" i="3"/>
  <c r="W406" i="3"/>
  <c r="W390" i="3"/>
  <c r="W374" i="3"/>
  <c r="W350" i="3"/>
  <c r="W334" i="3"/>
  <c r="W326" i="3"/>
  <c r="W318" i="3"/>
  <c r="W278" i="3"/>
  <c r="W246" i="3"/>
  <c r="W222" i="3"/>
  <c r="W218" i="3"/>
  <c r="W170" i="3"/>
  <c r="W126" i="3"/>
  <c r="W70" i="3"/>
  <c r="W54" i="3"/>
  <c r="W42" i="3"/>
  <c r="W26" i="3"/>
  <c r="V833" i="3"/>
  <c r="W833" i="3" s="1"/>
  <c r="V577" i="3"/>
  <c r="V553" i="3"/>
  <c r="W553" i="3" s="1"/>
  <c r="V306" i="3"/>
  <c r="W306" i="3" s="1"/>
  <c r="V297" i="3"/>
  <c r="W297" i="3" s="1"/>
  <c r="V242" i="3"/>
  <c r="W242" i="3" s="1"/>
  <c r="V233" i="3"/>
  <c r="W233" i="3" s="1"/>
  <c r="V178" i="3"/>
  <c r="W178" i="3" s="1"/>
  <c r="V169" i="3"/>
  <c r="W169" i="3" s="1"/>
  <c r="V114" i="3"/>
  <c r="W114" i="3" s="1"/>
  <c r="V105" i="3"/>
  <c r="W105" i="3" s="1"/>
  <c r="V330" i="3"/>
  <c r="W330" i="3" s="1"/>
  <c r="V314" i="3"/>
  <c r="W314" i="3" s="1"/>
  <c r="V266" i="3"/>
  <c r="W266" i="3" s="1"/>
  <c r="V250" i="3"/>
  <c r="W250" i="3" s="1"/>
  <c r="V202" i="3"/>
  <c r="W202" i="3" s="1"/>
  <c r="V186" i="3"/>
  <c r="W186" i="3" s="1"/>
  <c r="V138" i="3"/>
  <c r="W138" i="3" s="1"/>
  <c r="V122" i="3"/>
  <c r="W122" i="3" s="1"/>
  <c r="V74" i="3"/>
  <c r="W74" i="3" s="1"/>
  <c r="V58" i="3"/>
  <c r="W58" i="3" s="1"/>
  <c r="W1078" i="3"/>
  <c r="W1062" i="3"/>
  <c r="W1014" i="3"/>
  <c r="W918" i="3"/>
  <c r="W902" i="3"/>
  <c r="W526" i="3"/>
  <c r="V941" i="3"/>
  <c r="V737" i="3"/>
  <c r="W737" i="3" s="1"/>
  <c r="V477" i="3"/>
  <c r="V435" i="3"/>
  <c r="W435" i="3" s="1"/>
  <c r="V371" i="3"/>
  <c r="W371" i="3" s="1"/>
  <c r="V349" i="3"/>
  <c r="W349" i="3" s="1"/>
  <c r="V322" i="3"/>
  <c r="W322" i="3" s="1"/>
  <c r="V313" i="3"/>
  <c r="W313" i="3" s="1"/>
  <c r="V301" i="3"/>
  <c r="W301" i="3" s="1"/>
  <c r="V285" i="3"/>
  <c r="W285" i="3" s="1"/>
  <c r="V258" i="3"/>
  <c r="W258" i="3" s="1"/>
  <c r="V249" i="3"/>
  <c r="W249" i="3" s="1"/>
  <c r="V237" i="3"/>
  <c r="W237" i="3" s="1"/>
  <c r="V221" i="3"/>
  <c r="W221" i="3" s="1"/>
  <c r="V194" i="3"/>
  <c r="W194" i="3" s="1"/>
  <c r="V185" i="3"/>
  <c r="W185" i="3" s="1"/>
  <c r="V173" i="3"/>
  <c r="W173" i="3" s="1"/>
  <c r="V157" i="3"/>
  <c r="W157" i="3" s="1"/>
  <c r="V130" i="3"/>
  <c r="W130" i="3" s="1"/>
  <c r="V121" i="3"/>
  <c r="W121" i="3" s="1"/>
  <c r="V109" i="3"/>
  <c r="W109" i="3" s="1"/>
  <c r="V93" i="3"/>
  <c r="W93" i="3" s="1"/>
  <c r="V66" i="3"/>
  <c r="W66" i="3" s="1"/>
  <c r="V57" i="3"/>
  <c r="W57" i="3" s="1"/>
  <c r="V591" i="3"/>
  <c r="W591" i="3" s="1"/>
  <c r="V583" i="3"/>
  <c r="W583" i="3" s="1"/>
  <c r="V491" i="3"/>
  <c r="W491" i="3" s="1"/>
  <c r="V443" i="3"/>
  <c r="W443" i="3" s="1"/>
  <c r="V427" i="3"/>
  <c r="W427" i="3" s="1"/>
  <c r="V423" i="3"/>
  <c r="W423" i="3" s="1"/>
  <c r="V379" i="3"/>
  <c r="W379" i="3" s="1"/>
  <c r="V351" i="3"/>
  <c r="W351" i="3" s="1"/>
  <c r="V251" i="3"/>
  <c r="W251" i="3" s="1"/>
  <c r="V39" i="3"/>
  <c r="W39" i="3" s="1"/>
  <c r="V23" i="3"/>
  <c r="W23" i="3" s="1"/>
  <c r="V15" i="3"/>
  <c r="W15" i="3" s="1"/>
  <c r="V3" i="3"/>
  <c r="W3" i="3" s="1"/>
  <c r="W1074" i="3"/>
  <c r="W1058" i="3"/>
  <c r="W978" i="3"/>
  <c r="W930" i="3"/>
  <c r="W882" i="3"/>
  <c r="W866" i="3"/>
  <c r="W850" i="3"/>
  <c r="W566" i="3"/>
  <c r="W510" i="3"/>
  <c r="W506" i="3"/>
  <c r="V834" i="3"/>
  <c r="V770" i="3"/>
  <c r="W770" i="3" s="1"/>
  <c r="V610" i="3"/>
  <c r="W610" i="3" s="1"/>
  <c r="V402" i="3"/>
  <c r="W402" i="3" s="1"/>
  <c r="V338" i="3"/>
  <c r="W338" i="3" s="1"/>
  <c r="V329" i="3"/>
  <c r="W329" i="3" s="1"/>
  <c r="V317" i="3"/>
  <c r="W317" i="3" s="1"/>
  <c r="V274" i="3"/>
  <c r="W274" i="3" s="1"/>
  <c r="V265" i="3"/>
  <c r="W265" i="3" s="1"/>
  <c r="V253" i="3"/>
  <c r="W253" i="3" s="1"/>
  <c r="V210" i="3"/>
  <c r="W210" i="3" s="1"/>
  <c r="V201" i="3"/>
  <c r="W201" i="3" s="1"/>
  <c r="V189" i="3"/>
  <c r="W189" i="3" s="1"/>
  <c r="V146" i="3"/>
  <c r="W146" i="3" s="1"/>
  <c r="V137" i="3"/>
  <c r="W137" i="3" s="1"/>
  <c r="V125" i="3"/>
  <c r="W125" i="3" s="1"/>
  <c r="V82" i="3"/>
  <c r="W82" i="3" s="1"/>
  <c r="V73" i="3"/>
  <c r="W73" i="3" s="1"/>
  <c r="V61" i="3"/>
  <c r="W61" i="3" s="1"/>
  <c r="V780" i="3"/>
  <c r="W780" i="3" s="1"/>
  <c r="V588" i="3"/>
  <c r="V508" i="3"/>
  <c r="W508" i="3" s="1"/>
  <c r="V492" i="3"/>
  <c r="W492" i="3" s="1"/>
  <c r="V476" i="3"/>
  <c r="W476" i="3" s="1"/>
  <c r="V460" i="3"/>
  <c r="W460" i="3" s="1"/>
  <c r="V444" i="3"/>
  <c r="W444" i="3" s="1"/>
  <c r="V396" i="3"/>
  <c r="W396" i="3" s="1"/>
  <c r="V380" i="3"/>
  <c r="W380" i="3" s="1"/>
  <c r="V364" i="3"/>
  <c r="W364" i="3" s="1"/>
  <c r="V236" i="3"/>
  <c r="W236" i="3" s="1"/>
  <c r="V188" i="3"/>
  <c r="W188" i="3" s="1"/>
  <c r="V76" i="3"/>
  <c r="W76" i="3" s="1"/>
  <c r="V44" i="3"/>
  <c r="W44" i="3" s="1"/>
  <c r="V28" i="3"/>
  <c r="W28" i="3" s="1"/>
  <c r="V12" i="3"/>
  <c r="W12" i="3" s="1"/>
  <c r="P1076" i="3"/>
  <c r="Q1076" i="3" s="1"/>
  <c r="T1076" i="3"/>
  <c r="P1072" i="3"/>
  <c r="Q1072" i="3" s="1"/>
  <c r="T1072" i="3"/>
  <c r="P1068" i="3"/>
  <c r="T1068" i="3"/>
  <c r="P1064" i="3"/>
  <c r="Q1064" i="3" s="1"/>
  <c r="T1064" i="3"/>
  <c r="P1060" i="3"/>
  <c r="Q1060" i="3" s="1"/>
  <c r="T1060" i="3"/>
  <c r="P1056" i="3"/>
  <c r="Q1056" i="3" s="1"/>
  <c r="T1056" i="3"/>
  <c r="P1052" i="3"/>
  <c r="T1052" i="3"/>
  <c r="P1048" i="3"/>
  <c r="Q1048" i="3" s="1"/>
  <c r="T1048" i="3"/>
  <c r="P1044" i="3"/>
  <c r="Q1044" i="3" s="1"/>
  <c r="T1044" i="3"/>
  <c r="P1040" i="3"/>
  <c r="Q1040" i="3" s="1"/>
  <c r="T1040" i="3"/>
  <c r="P1036" i="3"/>
  <c r="Q1036" i="3" s="1"/>
  <c r="T1036" i="3"/>
  <c r="P1032" i="3"/>
  <c r="Q1032" i="3" s="1"/>
  <c r="T1032" i="3"/>
  <c r="P1028" i="3"/>
  <c r="Q1028" i="3" s="1"/>
  <c r="T1028" i="3"/>
  <c r="P1024" i="3"/>
  <c r="T1024" i="3"/>
  <c r="P1020" i="3"/>
  <c r="Q1020" i="3" s="1"/>
  <c r="T1020" i="3"/>
  <c r="P1016" i="3"/>
  <c r="Q1016" i="3" s="1"/>
  <c r="T1016" i="3"/>
  <c r="P1012" i="3"/>
  <c r="Q1012" i="3" s="1"/>
  <c r="T1012" i="3"/>
  <c r="P1008" i="3"/>
  <c r="Q1008" i="3" s="1"/>
  <c r="T1008" i="3"/>
  <c r="P1004" i="3"/>
  <c r="T1004" i="3"/>
  <c r="P1000" i="3"/>
  <c r="Q1000" i="3" s="1"/>
  <c r="T1000" i="3"/>
  <c r="P996" i="3"/>
  <c r="Q996" i="3" s="1"/>
  <c r="T996" i="3"/>
  <c r="P992" i="3"/>
  <c r="Q992" i="3" s="1"/>
  <c r="T992" i="3"/>
  <c r="P988" i="3"/>
  <c r="Q988" i="3" s="1"/>
  <c r="T988" i="3"/>
  <c r="P984" i="3"/>
  <c r="Q984" i="3" s="1"/>
  <c r="T984" i="3"/>
  <c r="P980" i="3"/>
  <c r="Q980" i="3" s="1"/>
  <c r="T980" i="3"/>
  <c r="P976" i="3"/>
  <c r="T976" i="3"/>
  <c r="P972" i="3"/>
  <c r="Q972" i="3" s="1"/>
  <c r="T972" i="3"/>
  <c r="P968" i="3"/>
  <c r="Q968" i="3" s="1"/>
  <c r="T968" i="3"/>
  <c r="P964" i="3"/>
  <c r="T964" i="3"/>
  <c r="P960" i="3"/>
  <c r="Q960" i="3" s="1"/>
  <c r="T960" i="3"/>
  <c r="P956" i="3"/>
  <c r="T956" i="3"/>
  <c r="P952" i="3"/>
  <c r="Q952" i="3" s="1"/>
  <c r="T952" i="3"/>
  <c r="P948" i="3"/>
  <c r="Q948" i="3" s="1"/>
  <c r="T948" i="3"/>
  <c r="P944" i="3"/>
  <c r="Q944" i="3" s="1"/>
  <c r="T944" i="3"/>
  <c r="P940" i="3"/>
  <c r="T940" i="3"/>
  <c r="P936" i="3"/>
  <c r="Q936" i="3" s="1"/>
  <c r="T936" i="3"/>
  <c r="P932" i="3"/>
  <c r="Q932" i="3" s="1"/>
  <c r="T932" i="3"/>
  <c r="P928" i="3"/>
  <c r="T928" i="3"/>
  <c r="P924" i="3"/>
  <c r="Q924" i="3" s="1"/>
  <c r="T924" i="3"/>
  <c r="P920" i="3"/>
  <c r="Q920" i="3" s="1"/>
  <c r="T920" i="3"/>
  <c r="P916" i="3"/>
  <c r="Q916" i="3" s="1"/>
  <c r="T916" i="3"/>
  <c r="P912" i="3"/>
  <c r="Q912" i="3" s="1"/>
  <c r="T912" i="3"/>
  <c r="P908" i="3"/>
  <c r="Q908" i="3" s="1"/>
  <c r="T908" i="3"/>
  <c r="P904" i="3"/>
  <c r="Q904" i="3" s="1"/>
  <c r="T904" i="3"/>
  <c r="P900" i="3"/>
  <c r="T900" i="3"/>
  <c r="P896" i="3"/>
  <c r="Q896" i="3" s="1"/>
  <c r="T896" i="3"/>
  <c r="P892" i="3"/>
  <c r="T892" i="3"/>
  <c r="P888" i="3"/>
  <c r="Q888" i="3" s="1"/>
  <c r="T888" i="3"/>
  <c r="P884" i="3"/>
  <c r="Q884" i="3" s="1"/>
  <c r="T884" i="3"/>
  <c r="P880" i="3"/>
  <c r="T880" i="3"/>
  <c r="P876" i="3"/>
  <c r="Q876" i="3" s="1"/>
  <c r="T876" i="3"/>
  <c r="P872" i="3"/>
  <c r="Q872" i="3" s="1"/>
  <c r="T872" i="3"/>
  <c r="P868" i="3"/>
  <c r="Q868" i="3" s="1"/>
  <c r="T868" i="3"/>
  <c r="P864" i="3"/>
  <c r="Q864" i="3" s="1"/>
  <c r="T864" i="3"/>
  <c r="P860" i="3"/>
  <c r="Q860" i="3" s="1"/>
  <c r="T860" i="3"/>
  <c r="P856" i="3"/>
  <c r="Q856" i="3" s="1"/>
  <c r="T856" i="3"/>
  <c r="P852" i="3"/>
  <c r="Q852" i="3" s="1"/>
  <c r="T852" i="3"/>
  <c r="P848" i="3"/>
  <c r="Q848" i="3" s="1"/>
  <c r="T848" i="3"/>
  <c r="P592" i="3"/>
  <c r="Q592" i="3" s="1"/>
  <c r="T592" i="3"/>
  <c r="P584" i="3"/>
  <c r="Q584" i="3" s="1"/>
  <c r="T584" i="3"/>
  <c r="P576" i="3"/>
  <c r="Q576" i="3" s="1"/>
  <c r="T576" i="3"/>
  <c r="P560" i="3"/>
  <c r="T560" i="3"/>
  <c r="P544" i="3"/>
  <c r="Q544" i="3" s="1"/>
  <c r="T544" i="3"/>
  <c r="P528" i="3"/>
  <c r="Q528" i="3" s="1"/>
  <c r="T528" i="3"/>
  <c r="W1038" i="3"/>
  <c r="W974" i="3"/>
  <c r="W958" i="3"/>
  <c r="W842" i="3"/>
  <c r="W834" i="3"/>
  <c r="W814" i="3"/>
  <c r="W810" i="3"/>
  <c r="W790" i="3"/>
  <c r="W782" i="3"/>
  <c r="W758" i="3"/>
  <c r="W754" i="3"/>
  <c r="W750" i="3"/>
  <c r="W718" i="3"/>
  <c r="W714" i="3"/>
  <c r="W710" i="3"/>
  <c r="W694" i="3"/>
  <c r="W682" i="3"/>
  <c r="W666" i="3"/>
  <c r="W654" i="3"/>
  <c r="W646" i="3"/>
  <c r="W638" i="3"/>
  <c r="W622" i="3"/>
  <c r="W618" i="3"/>
  <c r="W606" i="3"/>
  <c r="W602" i="3"/>
  <c r="W598" i="3"/>
  <c r="W554" i="3"/>
  <c r="W550" i="3"/>
  <c r="W490" i="3"/>
  <c r="W486" i="3"/>
  <c r="V829" i="3"/>
  <c r="W829" i="3" s="1"/>
  <c r="V721" i="3"/>
  <c r="V701" i="3"/>
  <c r="V649" i="3"/>
  <c r="V605" i="3"/>
  <c r="W605" i="3" s="1"/>
  <c r="V546" i="3"/>
  <c r="W546" i="3" s="1"/>
  <c r="V537" i="3"/>
  <c r="V418" i="3"/>
  <c r="W418" i="3" s="1"/>
  <c r="V345" i="3"/>
  <c r="W345" i="3" s="1"/>
  <c r="V333" i="3"/>
  <c r="W333" i="3" s="1"/>
  <c r="V290" i="3"/>
  <c r="W290" i="3" s="1"/>
  <c r="V281" i="3"/>
  <c r="W281" i="3" s="1"/>
  <c r="V269" i="3"/>
  <c r="W269" i="3" s="1"/>
  <c r="V226" i="3"/>
  <c r="W226" i="3" s="1"/>
  <c r="V217" i="3"/>
  <c r="W217" i="3" s="1"/>
  <c r="V205" i="3"/>
  <c r="W205" i="3" s="1"/>
  <c r="V162" i="3"/>
  <c r="W162" i="3" s="1"/>
  <c r="V153" i="3"/>
  <c r="W153" i="3" s="1"/>
  <c r="V141" i="3"/>
  <c r="W141" i="3" s="1"/>
  <c r="V98" i="3"/>
  <c r="W98" i="3" s="1"/>
  <c r="V89" i="3"/>
  <c r="W89" i="3" s="1"/>
  <c r="V77" i="3"/>
  <c r="W77" i="3" s="1"/>
  <c r="V34" i="3"/>
  <c r="W34" i="3" s="1"/>
  <c r="T512" i="3"/>
  <c r="T496" i="3"/>
  <c r="T480" i="3"/>
  <c r="V597" i="3"/>
  <c r="W597" i="3" s="1"/>
  <c r="V581" i="3"/>
  <c r="V341" i="3"/>
  <c r="W341" i="3" s="1"/>
  <c r="V325" i="3"/>
  <c r="W325" i="3" s="1"/>
  <c r="V309" i="3"/>
  <c r="W309" i="3" s="1"/>
  <c r="V293" i="3"/>
  <c r="W293" i="3" s="1"/>
  <c r="V277" i="3"/>
  <c r="W277" i="3" s="1"/>
  <c r="V261" i="3"/>
  <c r="W261" i="3" s="1"/>
  <c r="V245" i="3"/>
  <c r="W245" i="3" s="1"/>
  <c r="V229" i="3"/>
  <c r="W229" i="3" s="1"/>
  <c r="V213" i="3"/>
  <c r="W213" i="3" s="1"/>
  <c r="V197" i="3"/>
  <c r="W197" i="3" s="1"/>
  <c r="V181" i="3"/>
  <c r="W181" i="3" s="1"/>
  <c r="V165" i="3"/>
  <c r="W165" i="3" s="1"/>
  <c r="V149" i="3"/>
  <c r="W149" i="3" s="1"/>
  <c r="V133" i="3"/>
  <c r="W133" i="3" s="1"/>
  <c r="V117" i="3"/>
  <c r="W117" i="3" s="1"/>
  <c r="V101" i="3"/>
  <c r="W101" i="3" s="1"/>
  <c r="V85" i="3"/>
  <c r="W85" i="3" s="1"/>
  <c r="V69" i="3"/>
  <c r="W69" i="3" s="1"/>
  <c r="V53" i="3"/>
  <c r="W53" i="3" s="1"/>
  <c r="V21" i="3"/>
  <c r="W21" i="3" s="1"/>
  <c r="N448" i="3"/>
  <c r="O448" i="3" s="1"/>
  <c r="V448" i="3" s="1"/>
  <c r="W448" i="3" s="1"/>
  <c r="P448" i="3"/>
  <c r="Q448" i="3" s="1"/>
  <c r="V401" i="3"/>
  <c r="W401" i="3" s="1"/>
  <c r="V385" i="3"/>
  <c r="W385" i="3" s="1"/>
  <c r="V337" i="3"/>
  <c r="W337" i="3" s="1"/>
  <c r="V321" i="3"/>
  <c r="W321" i="3" s="1"/>
  <c r="V305" i="3"/>
  <c r="W305" i="3" s="1"/>
  <c r="V289" i="3"/>
  <c r="W289" i="3" s="1"/>
  <c r="V273" i="3"/>
  <c r="W273" i="3" s="1"/>
  <c r="V257" i="3"/>
  <c r="W257" i="3" s="1"/>
  <c r="V241" i="3"/>
  <c r="W241" i="3" s="1"/>
  <c r="V225" i="3"/>
  <c r="W225" i="3" s="1"/>
  <c r="V209" i="3"/>
  <c r="W209" i="3" s="1"/>
  <c r="V193" i="3"/>
  <c r="W193" i="3" s="1"/>
  <c r="V177" i="3"/>
  <c r="W177" i="3" s="1"/>
  <c r="V161" i="3"/>
  <c r="W161" i="3" s="1"/>
  <c r="V145" i="3"/>
  <c r="W145" i="3" s="1"/>
  <c r="V129" i="3"/>
  <c r="W129" i="3" s="1"/>
  <c r="V113" i="3"/>
  <c r="W113" i="3" s="1"/>
  <c r="V97" i="3"/>
  <c r="W97" i="3" s="1"/>
  <c r="V81" i="3"/>
  <c r="W81" i="3" s="1"/>
  <c r="V65" i="3"/>
  <c r="W65" i="3" s="1"/>
  <c r="V49" i="3"/>
  <c r="W49" i="3" s="1"/>
  <c r="W481" i="3" l="1"/>
  <c r="W493" i="3"/>
  <c r="V521" i="3"/>
  <c r="W521" i="3" s="1"/>
  <c r="V573" i="3"/>
  <c r="W573" i="3" s="1"/>
  <c r="V853" i="3"/>
  <c r="W853" i="3" s="1"/>
  <c r="V532" i="3"/>
  <c r="W532" i="3" s="1"/>
  <c r="V568" i="3"/>
  <c r="W568" i="3" s="1"/>
  <c r="V465" i="3"/>
  <c r="W465" i="3" s="1"/>
  <c r="W537" i="3"/>
  <c r="W588" i="3"/>
  <c r="V569" i="3"/>
  <c r="W577" i="3"/>
  <c r="W677" i="3"/>
  <c r="V1029" i="3"/>
  <c r="W1029" i="3" s="1"/>
  <c r="W564" i="3"/>
  <c r="W461" i="3"/>
  <c r="W480" i="3"/>
  <c r="V777" i="3"/>
  <c r="W777" i="3" s="1"/>
  <c r="V716" i="3"/>
  <c r="V728" i="3"/>
  <c r="V748" i="3"/>
  <c r="W748" i="3" s="1"/>
  <c r="W808" i="3"/>
  <c r="V812" i="3"/>
  <c r="V840" i="3"/>
  <c r="R501" i="3"/>
  <c r="S501" i="3" s="1"/>
  <c r="V565" i="3"/>
  <c r="V617" i="3"/>
  <c r="W617" i="3" s="1"/>
  <c r="W621" i="3"/>
  <c r="V629" i="3"/>
  <c r="W629" i="3" s="1"/>
  <c r="W633" i="3"/>
  <c r="W637" i="3"/>
  <c r="V717" i="3"/>
  <c r="V745" i="3"/>
  <c r="W749" i="3"/>
  <c r="W753" i="3"/>
  <c r="V757" i="3"/>
  <c r="W757" i="3" s="1"/>
  <c r="W761" i="3"/>
  <c r="W765" i="3"/>
  <c r="W785" i="3"/>
  <c r="V789" i="3"/>
  <c r="W789" i="3" s="1"/>
  <c r="W809" i="3"/>
  <c r="W813" i="3"/>
  <c r="V817" i="3"/>
  <c r="W817" i="3" s="1"/>
  <c r="W905" i="3"/>
  <c r="W909" i="3"/>
  <c r="W925" i="3"/>
  <c r="W957" i="3"/>
  <c r="W989" i="3"/>
  <c r="V1017" i="3"/>
  <c r="W1017" i="3" s="1"/>
  <c r="T405" i="3"/>
  <c r="W405" i="3" s="1"/>
  <c r="V524" i="3"/>
  <c r="W524" i="3" s="1"/>
  <c r="V552" i="3"/>
  <c r="P2" i="3"/>
  <c r="Q2" i="3" s="1"/>
  <c r="R2" i="3"/>
  <c r="S2" i="3" s="1"/>
  <c r="U2" i="3"/>
  <c r="N2" i="3"/>
  <c r="O2" i="3" s="1"/>
  <c r="T2" i="3"/>
  <c r="V517" i="3"/>
  <c r="W496" i="3"/>
  <c r="W996" i="3"/>
  <c r="W1028" i="3"/>
  <c r="W569" i="3"/>
  <c r="V816" i="3"/>
  <c r="W816" i="3" s="1"/>
  <c r="W489" i="3"/>
  <c r="V529" i="3"/>
  <c r="W529" i="3" s="1"/>
  <c r="V589" i="3"/>
  <c r="W589" i="3" s="1"/>
  <c r="V609" i="3"/>
  <c r="W609" i="3" s="1"/>
  <c r="V661" i="3"/>
  <c r="W661" i="3" s="1"/>
  <c r="W713" i="3"/>
  <c r="W881" i="3"/>
  <c r="W921" i="3"/>
  <c r="V953" i="3"/>
  <c r="W953" i="3" s="1"/>
  <c r="V985" i="3"/>
  <c r="W985" i="3" s="1"/>
  <c r="V1033" i="3"/>
  <c r="W1033" i="3" s="1"/>
  <c r="W1037" i="3"/>
  <c r="W1065" i="3"/>
  <c r="V437" i="3"/>
  <c r="W437" i="3" s="1"/>
  <c r="V549" i="3"/>
  <c r="W549" i="3" s="1"/>
  <c r="W653" i="3"/>
  <c r="V520" i="3"/>
  <c r="W520" i="3" s="1"/>
  <c r="R429" i="3"/>
  <c r="S429" i="3" s="1"/>
  <c r="V613" i="3"/>
  <c r="W613" i="3" s="1"/>
  <c r="V741" i="3"/>
  <c r="W741" i="3" s="1"/>
  <c r="V805" i="3"/>
  <c r="W805" i="3" s="1"/>
  <c r="V869" i="3"/>
  <c r="W869" i="3" s="1"/>
  <c r="V965" i="3"/>
  <c r="W965" i="3" s="1"/>
  <c r="V612" i="3"/>
  <c r="V616" i="3"/>
  <c r="W616" i="3" s="1"/>
  <c r="V620" i="3"/>
  <c r="W620" i="3" s="1"/>
  <c r="V684" i="3"/>
  <c r="W684" i="3" s="1"/>
  <c r="W760" i="3"/>
  <c r="V820" i="3"/>
  <c r="W820" i="3" s="1"/>
  <c r="W824" i="3"/>
  <c r="V844" i="3"/>
  <c r="W844" i="3" s="1"/>
  <c r="W861" i="3"/>
  <c r="V572" i="3"/>
  <c r="W572" i="3" s="1"/>
  <c r="V469" i="3"/>
  <c r="W469" i="3" s="1"/>
  <c r="W649" i="3"/>
  <c r="W721" i="3"/>
  <c r="W856" i="3"/>
  <c r="W864" i="3"/>
  <c r="W872" i="3"/>
  <c r="W888" i="3"/>
  <c r="W896" i="3"/>
  <c r="W904" i="3"/>
  <c r="W920" i="3"/>
  <c r="W960" i="3"/>
  <c r="W984" i="3"/>
  <c r="W1016" i="3"/>
  <c r="W1032" i="3"/>
  <c r="W1048" i="3"/>
  <c r="V541" i="3"/>
  <c r="W541" i="3" s="1"/>
  <c r="V981" i="3"/>
  <c r="W981" i="3" s="1"/>
  <c r="V648" i="3"/>
  <c r="W893" i="3"/>
  <c r="U501" i="3"/>
  <c r="V641" i="3"/>
  <c r="V993" i="3"/>
  <c r="V512" i="3"/>
  <c r="W512" i="3" s="1"/>
  <c r="V393" i="3"/>
  <c r="W393" i="3" s="1"/>
  <c r="V409" i="3"/>
  <c r="W409" i="3" s="1"/>
  <c r="Q417" i="3"/>
  <c r="V417" i="3" s="1"/>
  <c r="W417" i="3" s="1"/>
  <c r="V501" i="3"/>
  <c r="W501" i="3" s="1"/>
  <c r="W745" i="3"/>
  <c r="V513" i="3"/>
  <c r="W513" i="3" s="1"/>
  <c r="W453" i="3"/>
  <c r="W517" i="3"/>
  <c r="W581" i="3"/>
  <c r="W693" i="3"/>
  <c r="V821" i="3"/>
  <c r="W821" i="3" s="1"/>
  <c r="V625" i="3"/>
  <c r="W625" i="3" s="1"/>
  <c r="V797" i="3"/>
  <c r="W797" i="3" s="1"/>
  <c r="V841" i="3"/>
  <c r="W841" i="3" s="1"/>
  <c r="W884" i="3"/>
  <c r="W980" i="3"/>
  <c r="W1044" i="3"/>
  <c r="W716" i="3"/>
  <c r="W685" i="3"/>
  <c r="V825" i="3"/>
  <c r="W825" i="3" s="1"/>
  <c r="V793" i="3"/>
  <c r="W793" i="3" s="1"/>
  <c r="V421" i="3"/>
  <c r="W421" i="3" s="1"/>
  <c r="V709" i="3"/>
  <c r="W709" i="3" s="1"/>
  <c r="V773" i="3"/>
  <c r="W773" i="3" s="1"/>
  <c r="W596" i="3"/>
  <c r="V600" i="3"/>
  <c r="W600" i="3" s="1"/>
  <c r="V604" i="3"/>
  <c r="W604" i="3" s="1"/>
  <c r="V636" i="3"/>
  <c r="W636" i="3" s="1"/>
  <c r="V664" i="3"/>
  <c r="W664" i="3" s="1"/>
  <c r="V668" i="3"/>
  <c r="W668" i="3" s="1"/>
  <c r="V676" i="3"/>
  <c r="W676" i="3" s="1"/>
  <c r="W680" i="3"/>
  <c r="W724" i="3"/>
  <c r="W728" i="3"/>
  <c r="V732" i="3"/>
  <c r="W732" i="3" s="1"/>
  <c r="W740" i="3"/>
  <c r="V744" i="3"/>
  <c r="W744" i="3" s="1"/>
  <c r="V764" i="3"/>
  <c r="W764" i="3" s="1"/>
  <c r="V796" i="3"/>
  <c r="W796" i="3" s="1"/>
  <c r="V800" i="3"/>
  <c r="W800" i="3" s="1"/>
  <c r="W804" i="3"/>
  <c r="V828" i="3"/>
  <c r="W828" i="3" s="1"/>
  <c r="V836" i="3"/>
  <c r="W836" i="3" s="1"/>
  <c r="W840" i="3"/>
  <c r="V908" i="3"/>
  <c r="W908" i="3" s="1"/>
  <c r="W641" i="3"/>
  <c r="V929" i="3"/>
  <c r="W929" i="3" s="1"/>
  <c r="W945" i="3"/>
  <c r="W993" i="3"/>
  <c r="W1001" i="3"/>
  <c r="V1009" i="3"/>
  <c r="W1009" i="3" s="1"/>
  <c r="T429" i="3"/>
  <c r="U429" i="3"/>
  <c r="V533" i="3"/>
  <c r="W533" i="3" s="1"/>
  <c r="W477" i="3"/>
  <c r="W697" i="3"/>
  <c r="W941" i="3"/>
  <c r="V665" i="3"/>
  <c r="W665" i="3" s="1"/>
  <c r="W552" i="3"/>
  <c r="W433" i="3"/>
  <c r="W1013" i="3"/>
  <c r="V1069" i="3"/>
  <c r="W1069" i="3" s="1"/>
  <c r="W717" i="3"/>
  <c r="V889" i="3"/>
  <c r="W889" i="3" s="1"/>
  <c r="V961" i="3"/>
  <c r="W961" i="3" s="1"/>
  <c r="V1025" i="3"/>
  <c r="W1025" i="3" s="1"/>
  <c r="V1041" i="3"/>
  <c r="W1041" i="3" s="1"/>
  <c r="V1073" i="3"/>
  <c r="W1073" i="3" s="1"/>
  <c r="W565" i="3"/>
  <c r="W701" i="3"/>
  <c r="W812" i="3"/>
  <c r="V509" i="3"/>
  <c r="W509" i="3" s="1"/>
  <c r="V505" i="3"/>
  <c r="W505" i="3" s="1"/>
  <c r="V781" i="3"/>
  <c r="W781" i="3" s="1"/>
  <c r="V425" i="3"/>
  <c r="W425" i="3" s="1"/>
  <c r="V917" i="3"/>
  <c r="W917" i="3" s="1"/>
  <c r="V516" i="3"/>
  <c r="W516" i="3" s="1"/>
  <c r="V624" i="3"/>
  <c r="V640" i="3"/>
  <c r="W640" i="3" s="1"/>
  <c r="V644" i="3"/>
  <c r="W644" i="3" s="1"/>
  <c r="W648" i="3"/>
  <c r="W660" i="3"/>
  <c r="V696" i="3"/>
  <c r="W696" i="3" s="1"/>
  <c r="V848" i="3"/>
  <c r="W848" i="3" s="1"/>
  <c r="V912" i="3"/>
  <c r="W912" i="3" s="1"/>
  <c r="V944" i="3"/>
  <c r="W944" i="3" s="1"/>
  <c r="V992" i="3"/>
  <c r="W992" i="3" s="1"/>
  <c r="V1008" i="3"/>
  <c r="W1008" i="3" s="1"/>
  <c r="V601" i="3"/>
  <c r="W601" i="3" s="1"/>
  <c r="W729" i="3"/>
  <c r="W873" i="3"/>
  <c r="W937" i="3"/>
  <c r="V969" i="3"/>
  <c r="W969" i="3" s="1"/>
  <c r="W1005" i="3"/>
  <c r="W1049" i="3"/>
  <c r="W1053" i="3"/>
  <c r="W877" i="3"/>
  <c r="V1061" i="3"/>
  <c r="V389" i="3"/>
  <c r="W389" i="3" s="1"/>
  <c r="V397" i="3"/>
  <c r="W397" i="3" s="1"/>
  <c r="V441" i="3"/>
  <c r="W441" i="3" s="1"/>
  <c r="V592" i="3"/>
  <c r="W592" i="3" s="1"/>
  <c r="W752" i="3"/>
  <c r="W792" i="3"/>
  <c r="V972" i="3"/>
  <c r="W972" i="3" s="1"/>
  <c r="V1036" i="3"/>
  <c r="W1036" i="3" s="1"/>
  <c r="V1040" i="3"/>
  <c r="W1040" i="3" s="1"/>
  <c r="V1072" i="3"/>
  <c r="W1072" i="3" s="1"/>
  <c r="V885" i="3"/>
  <c r="W885" i="3" s="1"/>
  <c r="V901" i="3"/>
  <c r="W901" i="3" s="1"/>
  <c r="V949" i="3"/>
  <c r="W949" i="3" s="1"/>
  <c r="W973" i="3"/>
  <c r="V977" i="3"/>
  <c r="W977" i="3" s="1"/>
  <c r="V1045" i="3"/>
  <c r="W1045" i="3" s="1"/>
  <c r="R473" i="3"/>
  <c r="S473" i="3" s="1"/>
  <c r="T473" i="3"/>
  <c r="U473" i="3"/>
  <c r="N473" i="3"/>
  <c r="O473" i="3" s="1"/>
  <c r="P473" i="3"/>
  <c r="Q473" i="3" s="1"/>
  <c r="W769" i="3"/>
  <c r="W801" i="3"/>
  <c r="V857" i="3"/>
  <c r="W857" i="3" s="1"/>
  <c r="V933" i="3"/>
  <c r="W933" i="3" s="1"/>
  <c r="W916" i="3"/>
  <c r="W948" i="3"/>
  <c r="W1012" i="3"/>
  <c r="P369" i="3"/>
  <c r="Q369" i="3" s="1"/>
  <c r="R369" i="3"/>
  <c r="S369" i="3" s="1"/>
  <c r="T369" i="3"/>
  <c r="U369" i="3"/>
  <c r="N369" i="3"/>
  <c r="O369" i="3" s="1"/>
  <c r="V429" i="3"/>
  <c r="V608" i="3"/>
  <c r="W608" i="3" s="1"/>
  <c r="W612" i="3"/>
  <c r="V656" i="3"/>
  <c r="W656" i="3" s="1"/>
  <c r="V672" i="3"/>
  <c r="W672" i="3" s="1"/>
  <c r="W692" i="3"/>
  <c r="V736" i="3"/>
  <c r="W736" i="3" s="1"/>
  <c r="W776" i="3"/>
  <c r="W624" i="3"/>
  <c r="V628" i="3"/>
  <c r="W628" i="3" s="1"/>
  <c r="W632" i="3"/>
  <c r="V704" i="3"/>
  <c r="W704" i="3" s="1"/>
  <c r="W708" i="3"/>
  <c r="V712" i="3"/>
  <c r="W712" i="3" s="1"/>
  <c r="V720" i="3"/>
  <c r="W720" i="3" s="1"/>
  <c r="V924" i="3"/>
  <c r="W924" i="3" s="1"/>
  <c r="V1020" i="3"/>
  <c r="W1020" i="3" s="1"/>
  <c r="V1056" i="3"/>
  <c r="W1056" i="3" s="1"/>
  <c r="W845" i="3"/>
  <c r="W897" i="3"/>
  <c r="V997" i="3"/>
  <c r="W997" i="3" s="1"/>
  <c r="W1061" i="3"/>
  <c r="V1077" i="3"/>
  <c r="W1077" i="3" s="1"/>
  <c r="Q560" i="3"/>
  <c r="V560" i="3" s="1"/>
  <c r="W560" i="3" s="1"/>
  <c r="Q880" i="3"/>
  <c r="V880" i="3" s="1"/>
  <c r="W880" i="3" s="1"/>
  <c r="Q928" i="3"/>
  <c r="V928" i="3"/>
  <c r="V976" i="3"/>
  <c r="W976" i="3" s="1"/>
  <c r="Q976" i="3"/>
  <c r="Q1024" i="3"/>
  <c r="V1024" i="3"/>
  <c r="V584" i="3"/>
  <c r="W584" i="3" s="1"/>
  <c r="V1000" i="3"/>
  <c r="V860" i="3"/>
  <c r="W860" i="3" s="1"/>
  <c r="V988" i="3"/>
  <c r="W988" i="3" s="1"/>
  <c r="V1060" i="3"/>
  <c r="W1060" i="3" s="1"/>
  <c r="V868" i="3"/>
  <c r="W868" i="3" s="1"/>
  <c r="V1064" i="3"/>
  <c r="W1064" i="3" s="1"/>
  <c r="Q892" i="3"/>
  <c r="V892" i="3"/>
  <c r="W892" i="3" s="1"/>
  <c r="Q900" i="3"/>
  <c r="V900" i="3"/>
  <c r="W900" i="3" s="1"/>
  <c r="Q940" i="3"/>
  <c r="V940" i="3" s="1"/>
  <c r="W940" i="3" s="1"/>
  <c r="Q956" i="3"/>
  <c r="V956" i="3"/>
  <c r="W956" i="3" s="1"/>
  <c r="Q964" i="3"/>
  <c r="V964" i="3"/>
  <c r="W964" i="3" s="1"/>
  <c r="Q1004" i="3"/>
  <c r="V1004" i="3"/>
  <c r="W1004" i="3" s="1"/>
  <c r="Q1052" i="3"/>
  <c r="V1052" i="3"/>
  <c r="W1052" i="3" s="1"/>
  <c r="Q1068" i="3"/>
  <c r="V1068" i="3"/>
  <c r="W1068" i="3" s="1"/>
  <c r="V528" i="3"/>
  <c r="W528" i="3" s="1"/>
  <c r="V936" i="3"/>
  <c r="W936" i="3" s="1"/>
  <c r="V544" i="3"/>
  <c r="W544" i="3" s="1"/>
  <c r="V876" i="3"/>
  <c r="W876" i="3" s="1"/>
  <c r="V1076" i="3"/>
  <c r="W1076" i="3" s="1"/>
  <c r="W928" i="3"/>
  <c r="W1000" i="3"/>
  <c r="W1024" i="3"/>
  <c r="V576" i="3"/>
  <c r="W576" i="3" s="1"/>
  <c r="V968" i="3"/>
  <c r="W968" i="3" s="1"/>
  <c r="V852" i="3"/>
  <c r="W852" i="3" s="1"/>
  <c r="V952" i="3"/>
  <c r="W952" i="3" s="1"/>
  <c r="V932" i="3"/>
  <c r="W932" i="3" s="1"/>
  <c r="V2" i="3" l="1"/>
  <c r="W2" i="3" s="1"/>
  <c r="W429" i="3"/>
  <c r="V369" i="3"/>
  <c r="W369" i="3" s="1"/>
  <c r="V473" i="3"/>
  <c r="W47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E3CC3A-B190-4186-8CD6-7BBCC229635F}" keepAlive="1" name="Requête - Clients_Churn" description="Connexion à la requête « Clients_Churn » dans le classeur." type="5" refreshedVersion="8" background="1" saveData="1">
    <dbPr connection="Provider=Microsoft.Mashup.OleDb.1;Data Source=$Workbook$;Location=Clients_Churn;Extended Properties=&quot;&quot;" command="SELECT * FROM [Clients_Churn]"/>
  </connection>
  <connection id="2" xr16:uid="{C82AA6B9-0A5E-409C-B269-4303D714B828}" keepAlive="1" name="Requête - Clients_Churn (2)" description="Connexion à la requête « Clients_Churn (2) » dans le classeur." type="5" refreshedVersion="8" background="1" saveData="1">
    <dbPr connection="Provider=Microsoft.Mashup.OleDb.1;Data Source=$Workbook$;Location=&quot;Clients_Churn (2)&quot;;Extended Properties=&quot;&quot;" command="SELECT * FROM [Clients_Churn (2)]"/>
  </connection>
  <connection id="3" xr16:uid="{F0227148-8573-4813-93BA-7A7CA641CCF4}" keepAlive="1" name="Requête - Logs" description="Connexion à la requête « Logs » dans le classeur." type="5" refreshedVersion="8" background="1" saveData="1">
    <dbPr connection="Provider=Microsoft.Mashup.OleDb.1;Data Source=$Workbook$;Location=Logs;Extended Properties=&quot;&quot;" command="SELECT * FROM [Logs]"/>
  </connection>
  <connection id="4" xr16:uid="{6D2D19D5-95D4-40E5-9841-BB3FFBC2BA1E}" keepAlive="1" name="Requête - Logs (2)" description="Connexion à la requête « Logs (2) » dans le classeur." type="5" refreshedVersion="8" background="1" saveData="1">
    <dbPr connection="Provider=Microsoft.Mashup.OleDb.1;Data Source=$Workbook$;Location=&quot;Logs (2)&quot;;Extended Properties=&quot;&quot;" command="SELECT * FROM [Logs (2)]"/>
  </connection>
  <connection id="5" xr16:uid="{4D354A99-F533-4894-952F-10F9E2C3BA7B}" keepAlive="1" name="Requête - Logs (3)" description="Connexion à la requête « Logs (3) » dans le classeur." type="5" refreshedVersion="8" background="1" saveData="1">
    <dbPr connection="Provider=Microsoft.Mashup.OleDb.1;Data Source=$Workbook$;Location=&quot;Logs (3)&quot;;Extended Properties=&quot;&quot;" command="SELECT * FROM [Logs (3)]"/>
  </connection>
  <connection id="6" xr16:uid="{B2E9BC71-1AF6-47A4-BE55-9410121CAEAB}" keepAlive="1" name="Requête - Registre_Maintenance" description="Connexion à la requête « Registre_Maintenance » dans le classeur." type="5" refreshedVersion="8" background="1" saveData="1">
    <dbPr connection="Provider=Microsoft.Mashup.OleDb.1;Data Source=$Workbook$;Location=Registre_Maintenance;Extended Properties=&quot;&quot;" command="SELECT * FROM [Registre_Maintenance]"/>
  </connection>
  <connection id="7" xr16:uid="{799D0276-35FB-4CF0-BB32-235001EF8D66}" keepAlive="1" name="Requête - Registre_Maintenance (2)" description="Connexion à la requête « Registre_Maintenance (2) » dans le classeur." type="5" refreshedVersion="8" background="1" saveData="1">
    <dbPr connection="Provider=Microsoft.Mashup.OleDb.1;Data Source=$Workbook$;Location=&quot;Registre_Maintenance (2)&quot;;Extended Properties=&quot;&quot;" command="SELECT * FROM [Registre_Maintenance (2)]"/>
  </connection>
</connections>
</file>

<file path=xl/sharedStrings.xml><?xml version="1.0" encoding="utf-8"?>
<sst xmlns="http://schemas.openxmlformats.org/spreadsheetml/2006/main" count="19867" uniqueCount="1677">
  <si>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</si>
  <si>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</si>
  <si>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</si>
  <si>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</si>
  <si>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</si>
  <si>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</si>
  <si>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</si>
  <si>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</si>
  <si>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Clients_Churn_Part_01.xlsx</t>
  </si>
  <si>
    <t>CLI-01147</t>
  </si>
  <si>
    <t>Ituri</t>
  </si>
  <si>
    <t>Premium 5G 150Go</t>
  </si>
  <si>
    <t>CLI-00894</t>
  </si>
  <si>
    <t>Tshuapa</t>
  </si>
  <si>
    <t>Pro Monde</t>
  </si>
  <si>
    <t>CLI-00865</t>
  </si>
  <si>
    <t>Mongala</t>
  </si>
  <si>
    <t>CLI-01325</t>
  </si>
  <si>
    <t>Haut-Lomami</t>
  </si>
  <si>
    <t>Bloqué 5Go</t>
  </si>
  <si>
    <t>CLI-01855</t>
  </si>
  <si>
    <t>Sud-Kivu</t>
  </si>
  <si>
    <t>Illimité 50Go</t>
  </si>
  <si>
    <t>CLI-00076</t>
  </si>
  <si>
    <t>Haut-Katanga</t>
  </si>
  <si>
    <t>CLI-00414</t>
  </si>
  <si>
    <t>Bas-Uele</t>
  </si>
  <si>
    <t>CLI-00327</t>
  </si>
  <si>
    <t>CLI-00559</t>
  </si>
  <si>
    <t>Kasai</t>
  </si>
  <si>
    <t>CLI-00280</t>
  </si>
  <si>
    <t>Sud-Ubangi</t>
  </si>
  <si>
    <t>CLI-00060</t>
  </si>
  <si>
    <t>Kasai-Central</t>
  </si>
  <si>
    <t>CLI-00530</t>
  </si>
  <si>
    <t>Sankuru</t>
  </si>
  <si>
    <t>CLI-01618</t>
  </si>
  <si>
    <t>Tanganyika</t>
  </si>
  <si>
    <t>CLI-01646</t>
  </si>
  <si>
    <t>CLI-00569</t>
  </si>
  <si>
    <t>Kwango</t>
  </si>
  <si>
    <t>CLI-01349</t>
  </si>
  <si>
    <t>CLI-01128</t>
  </si>
  <si>
    <t>CLI-00361</t>
  </si>
  <si>
    <t>Mai-Ndombe</t>
  </si>
  <si>
    <t>CLI-01320</t>
  </si>
  <si>
    <t>CLI-01746</t>
  </si>
  <si>
    <t>CLI-00087</t>
  </si>
  <si>
    <t>CLI-01974</t>
  </si>
  <si>
    <t>CLI-01480</t>
  </si>
  <si>
    <t>CLI-00996</t>
  </si>
  <si>
    <t>Kwilu</t>
  </si>
  <si>
    <t>CLI-01603</t>
  </si>
  <si>
    <t>CLI-00041</t>
  </si>
  <si>
    <t>CLI-00114</t>
  </si>
  <si>
    <t>CLI-01761</t>
  </si>
  <si>
    <t>CLI-01837</t>
  </si>
  <si>
    <t>Kasai-Oriental</t>
  </si>
  <si>
    <t>CLI-00172</t>
  </si>
  <si>
    <t>CLI-00643</t>
  </si>
  <si>
    <t>Equateur</t>
  </si>
  <si>
    <t>CLI-01233</t>
  </si>
  <si>
    <t>Kongo-Central</t>
  </si>
  <si>
    <t>CLI-00611</t>
  </si>
  <si>
    <t>Kinshasa</t>
  </si>
  <si>
    <t>CLI-01776</t>
  </si>
  <si>
    <t>CLI-00131</t>
  </si>
  <si>
    <t>Lomami</t>
  </si>
  <si>
    <t>CLI-01845</t>
  </si>
  <si>
    <t>CLI-01957</t>
  </si>
  <si>
    <t>CLI-00834</t>
  </si>
  <si>
    <t>CLI-01972</t>
  </si>
  <si>
    <t>CLI-00745</t>
  </si>
  <si>
    <t>Tshopo</t>
  </si>
  <si>
    <t>CLI-01376</t>
  </si>
  <si>
    <t>CLI-01347</t>
  </si>
  <si>
    <t>CLI-01814</t>
  </si>
  <si>
    <t>CLI-00185</t>
  </si>
  <si>
    <t>Maniema</t>
  </si>
  <si>
    <t>CLI-00813</t>
  </si>
  <si>
    <t>CLI-01932</t>
  </si>
  <si>
    <t>CLI-01720</t>
  </si>
  <si>
    <t>CLI-01484</t>
  </si>
  <si>
    <t>CLI-01726</t>
  </si>
  <si>
    <t>CLI-00288</t>
  </si>
  <si>
    <t>Clients_Churn_Part_02.xlsx</t>
  </si>
  <si>
    <t>CLI-00484</t>
  </si>
  <si>
    <t>CLI-00230</t>
  </si>
  <si>
    <t>CLI-01170</t>
  </si>
  <si>
    <t>Nord-Ubangi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</si>
  <si>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</si>
  <si>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</si>
  <si>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</si>
  <si>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</si>
  <si>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</si>
  <si>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</si>
  <si>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</si>
  <si>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</si>
  <si>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</si>
  <si>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</si>
  <si>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CLI-01076</t>
  </si>
  <si>
    <t>CLI-00516</t>
  </si>
  <si>
    <t>CLI-01017</t>
  </si>
  <si>
    <t>CLI-01812</t>
  </si>
  <si>
    <t>CLI-01964</t>
  </si>
  <si>
    <t>CLI-00488</t>
  </si>
  <si>
    <t>CLI-01229</t>
  </si>
  <si>
    <t>CLI-00251</t>
  </si>
  <si>
    <t>CLI-01584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</si>
  <si>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</si>
  <si>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</si>
  <si>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</si>
  <si>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</si>
  <si>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</si>
  <si>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</si>
  <si>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</si>
  <si>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</si>
  <si>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</si>
  <si>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</si>
  <si>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</si>
  <si>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</si>
  <si>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</si>
  <si>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</si>
  <si>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</si>
  <si>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</si>
  <si>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</si>
  <si>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</si>
  <si>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Haut-Uele</t>
  </si>
  <si>
    <t>CLI-00563</t>
  </si>
  <si>
    <t>CLI-00901</t>
  </si>
  <si>
    <t>CLI-00837</t>
  </si>
  <si>
    <t>Nord-Kivu</t>
  </si>
  <si>
    <t>CLI-00521</t>
  </si>
  <si>
    <t>CLI-01768</t>
  </si>
  <si>
    <t>CLI-01208</t>
  </si>
  <si>
    <t>CLI-00115</t>
  </si>
  <si>
    <t>CLI-01005</t>
  </si>
  <si>
    <t>Lualaba</t>
  </si>
  <si>
    <t>CLI-01093</t>
  </si>
  <si>
    <t>CLI-00768</t>
  </si>
  <si>
    <t>Clients_Churn_Part_03.xlsx</t>
  </si>
  <si>
    <t>CLI-01433</t>
  </si>
  <si>
    <t>CLI-00232</t>
  </si>
  <si>
    <t>CLI-00649</t>
  </si>
  <si>
    <t>CLI-01118</t>
  </si>
  <si>
    <t>CLI-00868</t>
  </si>
  <si>
    <t>CLI-00973</t>
  </si>
  <si>
    <t>CLI-01399</t>
  </si>
  <si>
    <t>CLI-00505</t>
  </si>
  <si>
    <t>CLI-01986</t>
  </si>
  <si>
    <t>CLI-01802</t>
  </si>
  <si>
    <t>CLI-01607</t>
  </si>
  <si>
    <t>CLI-00297</t>
  </si>
  <si>
    <t>CLI-00744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</si>
  <si>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</si>
  <si>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</si>
  <si>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</si>
  <si>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</si>
  <si>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</si>
  <si>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</si>
  <si>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</si>
  <si>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</si>
  <si>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</si>
  <si>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</si>
  <si>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</si>
  <si>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</si>
  <si>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</si>
  <si>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</si>
  <si>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</si>
  <si>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</si>
  <si>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</si>
  <si>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</si>
  <si>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</si>
  <si>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</si>
  <si>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CLI-00788</t>
  </si>
  <si>
    <t>CLI-00634</t>
  </si>
  <si>
    <t>CLI-01309</t>
  </si>
  <si>
    <t>CLI-01435</t>
  </si>
  <si>
    <t>CLI-01888</t>
  </si>
  <si>
    <t>CLI-01850</t>
  </si>
  <si>
    <t>CLI-01664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</si>
  <si>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</si>
  <si>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</si>
  <si>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</si>
  <si>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</si>
  <si>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</si>
  <si>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</si>
  <si>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</si>
  <si>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</si>
  <si>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</si>
  <si>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Clients_Churn_Part_04.xlsx</t>
  </si>
  <si>
    <t>CLI-00805</t>
  </si>
  <si>
    <t>CLI-00524</t>
  </si>
  <si>
    <t>CLI-00617</t>
  </si>
  <si>
    <t>CLI-01933</t>
  </si>
  <si>
    <t>CLI-01685</t>
  </si>
  <si>
    <t>CLI-01550</t>
  </si>
  <si>
    <t>CLI-00483</t>
  </si>
  <si>
    <t>CLI-00610</t>
  </si>
  <si>
    <t>CLI-00431</t>
  </si>
  <si>
    <t>CLI-01973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</si>
  <si>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</si>
  <si>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</si>
  <si>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</si>
  <si>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</si>
  <si>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</si>
  <si>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</si>
  <si>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</si>
  <si>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</si>
  <si>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</si>
  <si>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</si>
  <si>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</si>
  <si>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</si>
  <si>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</si>
  <si>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</si>
  <si>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</si>
  <si>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</si>
  <si>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CLI-01597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</si>
  <si>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</si>
  <si>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</si>
  <si>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</si>
  <si>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</si>
  <si>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</si>
  <si>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</si>
  <si>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</si>
  <si>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</si>
  <si>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</si>
  <si>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</si>
  <si>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</si>
  <si>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CLI-01689</t>
  </si>
  <si>
    <t>CLI-01839</t>
  </si>
  <si>
    <t>CLI-01431</t>
  </si>
  <si>
    <t>CLI-00535</t>
  </si>
  <si>
    <t>CLI-01037</t>
  </si>
  <si>
    <t>CLI-00136</t>
  </si>
  <si>
    <t>CLI-00721</t>
  </si>
  <si>
    <t>CLI-00862</t>
  </si>
  <si>
    <t>CLI-01234</t>
  </si>
  <si>
    <t>CLI-01494</t>
  </si>
  <si>
    <t>CLI-01666</t>
  </si>
  <si>
    <t>CLI-01122</t>
  </si>
  <si>
    <t>Clients_Churn_Part_05.xlsx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</si>
  <si>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</si>
  <si>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</si>
  <si>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</si>
  <si>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</si>
  <si>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</si>
  <si>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</si>
  <si>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</si>
  <si>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</si>
  <si>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</si>
  <si>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</si>
  <si>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</si>
  <si>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</si>
  <si>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</si>
  <si>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</si>
  <si>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</si>
  <si>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</si>
  <si>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</si>
  <si>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</si>
  <si>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</si>
  <si>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CLI-00626</t>
  </si>
  <si>
    <t>CLI-01970</t>
  </si>
  <si>
    <t>CLI-01180</t>
  </si>
  <si>
    <t>CLI-00169</t>
  </si>
  <si>
    <t>CLI-00227</t>
  </si>
  <si>
    <t>CLI-00324</t>
  </si>
  <si>
    <t>CLI-00512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</si>
  <si>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</si>
  <si>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</si>
  <si>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</si>
  <si>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</si>
  <si>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</si>
  <si>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</si>
  <si>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</si>
  <si>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</si>
  <si>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</si>
  <si>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</si>
  <si>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</si>
  <si>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</si>
  <si>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</si>
  <si>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</si>
  <si>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</si>
  <si>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</si>
  <si>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</si>
  <si>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</si>
  <si>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CLI-00356</t>
  </si>
  <si>
    <t>CLI-01408</t>
  </si>
  <si>
    <t>CLI-01215</t>
  </si>
  <si>
    <t>CLI-01694</t>
  </si>
  <si>
    <t>CLI-00671</t>
  </si>
  <si>
    <t>CLI-01638</t>
  </si>
  <si>
    <t>Clients_Churn_Part_06.xlsx</t>
  </si>
  <si>
    <t>CLI-00578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</si>
  <si>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</si>
  <si>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</si>
  <si>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</si>
  <si>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</si>
  <si>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</si>
  <si>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</si>
  <si>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</si>
  <si>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</si>
  <si>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</si>
  <si>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</si>
  <si>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</si>
  <si>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</si>
  <si>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</si>
  <si>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</si>
  <si>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</si>
  <si>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</si>
  <si>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</si>
  <si>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</si>
  <si>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</si>
  <si>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</si>
  <si>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</si>
  <si>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</si>
  <si>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</si>
  <si>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</si>
  <si>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</si>
  <si>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</si>
  <si>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CLI-01230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</si>
  <si>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</si>
  <si>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</si>
  <si>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</si>
  <si>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</si>
  <si>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</si>
  <si>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</si>
  <si>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</si>
  <si>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</si>
  <si>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</si>
  <si>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</si>
  <si>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CLI-00892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</si>
  <si>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</si>
  <si>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</si>
  <si>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</si>
  <si>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</si>
  <si>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</si>
  <si>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</si>
  <si>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</si>
  <si>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</si>
  <si>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</si>
  <si>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</si>
  <si>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Clients_Churn_Part_07.xlsx</t>
  </si>
  <si>
    <t>CLI-01835</t>
  </si>
  <si>
    <t>CLI-01602</t>
  </si>
  <si>
    <t>CLI-00546</t>
  </si>
  <si>
    <t>CLI-00590</t>
  </si>
  <si>
    <t>CLI-01529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</si>
  <si>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</si>
  <si>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</si>
  <si>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</si>
  <si>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</si>
  <si>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</si>
  <si>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</si>
  <si>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</si>
  <si>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</si>
  <si>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</si>
  <si>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</si>
  <si>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CLI-01387</t>
  </si>
  <si>
    <t>CLI-00388</t>
  </si>
  <si>
    <t>CLI-00857</t>
  </si>
  <si>
    <t>CLI-00370</t>
  </si>
  <si>
    <t>CLI-01938</t>
  </si>
  <si>
    <t>CLI-01623</t>
  </si>
  <si>
    <t>CLI-00299</t>
  </si>
  <si>
    <t>CLI-00059</t>
  </si>
  <si>
    <t>CLI-00595</t>
  </si>
  <si>
    <t>CLI-01729</t>
  </si>
  <si>
    <t>CLI-01844</t>
  </si>
  <si>
    <t>CLI-01877</t>
  </si>
  <si>
    <t>CLI-00924</t>
  </si>
  <si>
    <t>CLI-00509</t>
  </si>
  <si>
    <t>CLI-00758</t>
  </si>
  <si>
    <t>CLI-01194</t>
  </si>
  <si>
    <t>CLI-01402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</si>
  <si>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</si>
  <si>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</si>
  <si>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</si>
  <si>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</si>
  <si>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</si>
  <si>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</si>
  <si>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</si>
  <si>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</si>
  <si>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</si>
  <si>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</si>
  <si>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</si>
  <si>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</si>
  <si>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</si>
  <si>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</si>
  <si>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</si>
  <si>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</si>
  <si>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</si>
  <si>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</si>
  <si>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Clients_Churn_Part_08.xlsx</t>
  </si>
  <si>
    <t>CLI-00150</t>
  </si>
  <si>
    <t>CLI-00196</t>
  </si>
  <si>
    <t>CLI-01141</t>
  </si>
  <si>
    <t>CLI-00121</t>
  </si>
  <si>
    <t>CLI-01794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</si>
  <si>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</si>
  <si>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</si>
  <si>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</si>
  <si>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</si>
  <si>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</si>
  <si>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</si>
  <si>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</si>
  <si>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CLI-01454</t>
  </si>
  <si>
    <t>CLI-01920</t>
  </si>
  <si>
    <t>CLI-00094</t>
  </si>
  <si>
    <t>CLI-00011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</si>
  <si>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</si>
  <si>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</si>
  <si>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</si>
  <si>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</si>
  <si>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</si>
  <si>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</si>
  <si>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</si>
  <si>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</si>
  <si>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</si>
  <si>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</si>
  <si>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</si>
  <si>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</si>
  <si>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</si>
  <si>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</si>
  <si>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CLI-00348</t>
  </si>
  <si>
    <t>CLI-01032</t>
  </si>
  <si>
    <t>CLI-01010</t>
  </si>
  <si>
    <t>CLI-00695</t>
  </si>
  <si>
    <t>CLI-00959</t>
  </si>
  <si>
    <t>CLI-01626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</si>
  <si>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</si>
  <si>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</si>
  <si>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</si>
  <si>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</si>
  <si>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</si>
  <si>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</si>
  <si>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</si>
  <si>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</si>
  <si>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</si>
  <si>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</si>
  <si>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</si>
  <si>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</si>
  <si>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</si>
  <si>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CLI-01532</t>
  </si>
  <si>
    <t>Clients_Churn_Part_09.xlsx</t>
  </si>
  <si>
    <t>CLI-00739</t>
  </si>
  <si>
    <t>CLI-00881</t>
  </si>
  <si>
    <t>CLI-01687</t>
  </si>
  <si>
    <t>CLI-00540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</si>
  <si>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</si>
  <si>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</si>
  <si>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</si>
  <si>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</si>
  <si>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</si>
  <si>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</si>
  <si>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</si>
  <si>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</si>
  <si>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</si>
  <si>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</si>
  <si>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</si>
  <si>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</si>
  <si>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</si>
  <si>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</si>
  <si>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</si>
  <si>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</si>
  <si>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</si>
  <si>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</si>
  <si>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</si>
  <si>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</si>
  <si>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</si>
  <si>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</si>
  <si>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</si>
  <si>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</si>
  <si>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</si>
  <si>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</si>
  <si>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CLI-01446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</si>
  <si>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</si>
  <si>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</si>
  <si>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</si>
  <si>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</si>
  <si>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</si>
  <si>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</si>
  <si>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</si>
  <si>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</si>
  <si>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</si>
  <si>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</si>
  <si>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</si>
  <si>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</si>
  <si>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CLI-00231</t>
  </si>
  <si>
    <t>CLI-01475</t>
  </si>
  <si>
    <t>CLI-00304</t>
  </si>
  <si>
    <t>CLI-00254</t>
  </si>
  <si>
    <t>CLI-00716</t>
  </si>
  <si>
    <t>CLI-00192</t>
  </si>
  <si>
    <t>CLI-00418</t>
  </si>
  <si>
    <t>Clients_Churn_Part_10.xlsx</t>
  </si>
  <si>
    <t>CLI-00582</t>
  </si>
  <si>
    <t>CLI-01682</t>
  </si>
  <si>
    <t>CLI-00345</t>
  </si>
  <si>
    <t>CLI-01536</t>
  </si>
  <si>
    <t>CLI-01042</t>
  </si>
  <si>
    <t>CLI-01992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</si>
  <si>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</si>
  <si>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</si>
  <si>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</si>
  <si>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</si>
  <si>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</si>
  <si>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</si>
  <si>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</si>
  <si>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</si>
  <si>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</si>
  <si>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</si>
  <si>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</si>
  <si>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</si>
  <si>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</si>
  <si>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</si>
  <si>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</si>
  <si>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</si>
  <si>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</si>
  <si>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CLI-00583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</si>
  <si>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</si>
  <si>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</si>
  <si>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</si>
  <si>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</si>
  <si>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</si>
  <si>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</si>
  <si>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</si>
  <si>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</si>
  <si>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</si>
  <si>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</si>
  <si>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CLI-00167</t>
  </si>
  <si>
    <t>CLI-00943</t>
  </si>
  <si>
    <t>CLI-01450</t>
  </si>
  <si>
    <t>CLI-01351</t>
  </si>
  <si>
    <t>CLI-00983</t>
  </si>
  <si>
    <t>CLI-01709</t>
  </si>
  <si>
    <t>CLI-01782</t>
  </si>
  <si>
    <t>CLI-00552</t>
  </si>
  <si>
    <t>CLI-01766</t>
  </si>
  <si>
    <t>CLI-01348</t>
  </si>
  <si>
    <t>CLI-00012</t>
  </si>
  <si>
    <t>CLI-01926</t>
  </si>
  <si>
    <t>CLI-00090</t>
  </si>
  <si>
    <t>CLI-01344</t>
  </si>
  <si>
    <t>CLI-01275</t>
  </si>
  <si>
    <t>CLI-00928</t>
  </si>
  <si>
    <t>Clients_Churn_Part_11.xlsx</t>
  </si>
  <si>
    <t>CLI-00666</t>
  </si>
  <si>
    <t>CLI-01499</t>
  </si>
  <si>
    <t>CLI-01166</t>
  </si>
  <si>
    <t>CLI-00265</t>
  </si>
  <si>
    <t>CLI-00433</t>
  </si>
  <si>
    <t>CLI-00100</t>
  </si>
  <si>
    <t>CLI-01319</t>
  </si>
  <si>
    <t>CLI-01598</t>
  </si>
  <si>
    <t>CLI-00662</t>
  </si>
  <si>
    <t>CLI-01979</t>
  </si>
  <si>
    <t>CLI-00145</t>
  </si>
  <si>
    <t>CLI-01121</t>
  </si>
  <si>
    <t>CLI-01804</t>
  </si>
  <si>
    <t>CLI-00782</t>
  </si>
  <si>
    <t>CLI-00190</t>
  </si>
  <si>
    <t>CLI-00817</t>
  </si>
  <si>
    <t>CLI-00523</t>
  </si>
  <si>
    <t>CLI-00365</t>
  </si>
  <si>
    <t>CLI-00492</t>
  </si>
  <si>
    <t>CLI-01485</t>
  </si>
  <si>
    <t>CLI-01719</t>
  </si>
  <si>
    <t>CLI-01739</t>
  </si>
  <si>
    <t>CLI-00427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</si>
  <si>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</si>
  <si>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</si>
  <si>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</si>
  <si>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</si>
  <si>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</si>
  <si>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</si>
  <si>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</si>
  <si>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</si>
  <si>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</si>
  <si>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</si>
  <si>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</si>
  <si>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</si>
  <si>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</si>
  <si>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</si>
  <si>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</si>
  <si>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</si>
  <si>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</si>
  <si>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</si>
  <si>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</si>
  <si>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</si>
  <si>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</si>
  <si>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</si>
  <si>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CLI-00913</t>
  </si>
  <si>
    <t>CLI-00795</t>
  </si>
  <si>
    <t>CLI-00976</t>
  </si>
  <si>
    <t>CLI-00550</t>
  </si>
  <si>
    <t>CLI-01544</t>
  </si>
  <si>
    <t>Clients_Churn_Part_12.xlsx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</si>
  <si>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</si>
  <si>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</si>
  <si>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</si>
  <si>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</si>
  <si>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</si>
  <si>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</si>
  <si>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</si>
  <si>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</si>
  <si>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</si>
  <si>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</si>
  <si>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</si>
  <si>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</si>
  <si>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</si>
  <si>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</si>
  <si>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</si>
  <si>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</si>
  <si>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</si>
  <si>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</si>
  <si>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</si>
  <si>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</si>
  <si>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</si>
  <si>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</si>
  <si>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</si>
  <si>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</si>
  <si>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</si>
  <si>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</si>
  <si>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</si>
  <si>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</si>
  <si>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</si>
  <si>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</si>
  <si>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</si>
  <si>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</si>
  <si>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</si>
  <si>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</si>
  <si>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</si>
  <si>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</si>
  <si>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</si>
  <si>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</si>
  <si>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</si>
  <si>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</si>
  <si>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</si>
  <si>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</si>
  <si>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</si>
  <si>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</si>
  <si>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</si>
  <si>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</si>
  <si>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</si>
  <si>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</si>
  <si>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</si>
  <si>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</si>
  <si>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Clients_Churn_Part_13.xlsx</t>
  </si>
  <si>
    <t>CLI-01530</t>
  </si>
  <si>
    <t>CLI-00952</t>
  </si>
  <si>
    <t>CLI-01354</t>
  </si>
  <si>
    <t>CLI-01410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</si>
  <si>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</si>
  <si>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</si>
  <si>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</si>
  <si>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</si>
  <si>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</si>
  <si>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</si>
  <si>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</si>
  <si>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</si>
  <si>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</si>
  <si>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</si>
  <si>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</si>
  <si>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</si>
  <si>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</si>
  <si>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</si>
  <si>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</si>
  <si>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</si>
  <si>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</si>
  <si>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</si>
  <si>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</si>
  <si>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</si>
  <si>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</si>
  <si>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</si>
  <si>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</si>
  <si>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</si>
  <si>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</si>
  <si>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</si>
  <si>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</si>
  <si>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CLI-00380</t>
  </si>
  <si>
    <t>CLI-00161</t>
  </si>
  <si>
    <t>CLI-01238</t>
  </si>
  <si>
    <t>CLI-00532</t>
  </si>
  <si>
    <t>CLI-01520</t>
  </si>
  <si>
    <t>CLI-00889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</si>
  <si>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</si>
  <si>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</si>
  <si>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</si>
  <si>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</si>
  <si>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</si>
  <si>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</si>
  <si>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</si>
  <si>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</si>
  <si>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</si>
  <si>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</si>
  <si>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</si>
  <si>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</si>
  <si>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</si>
  <si>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Clients_Churn_Part_14.xlsx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</si>
  <si>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</si>
  <si>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</si>
  <si>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</si>
  <si>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</si>
  <si>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</si>
  <si>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</si>
  <si>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</si>
  <si>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CLI-00180</t>
  </si>
  <si>
    <t>CLI-00257</t>
  </si>
  <si>
    <t>CLI-00277</t>
  </si>
  <si>
    <t>CLI-01714</t>
  </si>
  <si>
    <t>CLI-01701</t>
  </si>
  <si>
    <t>CLI-01949</t>
  </si>
  <si>
    <t>CLI-00033</t>
  </si>
  <si>
    <t>CLI-00386</t>
  </si>
  <si>
    <t>CLI-00055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</si>
  <si>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</si>
  <si>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</si>
  <si>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</si>
  <si>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</si>
  <si>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</si>
  <si>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</si>
  <si>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</si>
  <si>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</si>
  <si>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</si>
  <si>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</si>
  <si>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</si>
  <si>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</si>
  <si>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</si>
  <si>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CLI-00971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</si>
  <si>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</si>
  <si>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</si>
  <si>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</si>
  <si>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</si>
  <si>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</si>
  <si>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</si>
  <si>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</si>
  <si>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</si>
  <si>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</si>
  <si>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</si>
  <si>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</si>
  <si>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CLI-00497</t>
  </si>
  <si>
    <t>CLI-00413</t>
  </si>
  <si>
    <t>CLI-00604</t>
  </si>
  <si>
    <t>CLI-01167</t>
  </si>
  <si>
    <t>CLI-00803</t>
  </si>
  <si>
    <t>CLI-00105</t>
  </si>
  <si>
    <t>CLI-00684</t>
  </si>
  <si>
    <t>CLI-01851</t>
  </si>
  <si>
    <t>CLI-00211</t>
  </si>
  <si>
    <t>Clients_Churn_Part_15.xlsx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</si>
  <si>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</si>
  <si>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</si>
  <si>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</si>
  <si>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</si>
  <si>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</si>
  <si>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</si>
  <si>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</si>
  <si>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CLI-01797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</si>
  <si>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</si>
  <si>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</si>
  <si>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</si>
  <si>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</si>
  <si>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</si>
  <si>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</si>
  <si>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</si>
  <si>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</si>
  <si>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CLI-00475</t>
  </si>
  <si>
    <t>CLI-00125</t>
  </si>
  <si>
    <t>CLI-01082</t>
  </si>
  <si>
    <t>CLI-00039</t>
  </si>
  <si>
    <t>CLI-01832</t>
  </si>
  <si>
    <t>CLI-01181</t>
  </si>
  <si>
    <t>CLI-01589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</si>
  <si>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</si>
  <si>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</si>
  <si>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</si>
  <si>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</si>
  <si>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</si>
  <si>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</si>
  <si>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</si>
  <si>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</si>
  <si>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CLI-00919</t>
  </si>
  <si>
    <t>CLI-01568</t>
  </si>
  <si>
    <t>CLI-01479</t>
  </si>
  <si>
    <t>CLI-00331</t>
  </si>
  <si>
    <t>CLI-01697</t>
  </si>
  <si>
    <t>CLI-00394</t>
  </si>
  <si>
    <t>CLI-00962</t>
  </si>
  <si>
    <t>CLI-00705</t>
  </si>
  <si>
    <t>CLI-00898</t>
  </si>
  <si>
    <t>CLI-00476</t>
  </si>
  <si>
    <t>CLI-01040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</si>
  <si>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</si>
  <si>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</si>
  <si>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</si>
  <si>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</si>
  <si>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</si>
  <si>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</si>
  <si>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</si>
  <si>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CLI-00800</t>
  </si>
  <si>
    <t>Cell_ID</t>
  </si>
  <si>
    <t>Duree_Panne_Min</t>
  </si>
  <si>
    <t>Statut_Resolution</t>
  </si>
  <si>
    <t>Logs_Reseau_Part_01.xlsx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</si>
  <si>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</si>
  <si>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</si>
  <si>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</si>
  <si>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</si>
  <si>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</si>
  <si>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</si>
  <si>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</si>
  <si>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</si>
  <si>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</si>
  <si>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</si>
  <si>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</si>
  <si>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</si>
  <si>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</si>
  <si>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</si>
  <si>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</si>
  <si>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</si>
  <si>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</si>
  <si>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</si>
  <si>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</si>
  <si>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</si>
  <si>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</si>
  <si>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</si>
  <si>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</si>
  <si>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</si>
  <si>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</si>
  <si>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</si>
  <si>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</si>
  <si>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</si>
  <si>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</si>
  <si>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</si>
  <si>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</si>
  <si>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</si>
  <si>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</si>
  <si>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</si>
  <si>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</si>
  <si>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</si>
  <si>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</si>
  <si>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</si>
  <si>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</si>
  <si>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</si>
  <si>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</si>
  <si>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</si>
  <si>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</si>
  <si>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</si>
  <si>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</si>
  <si>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</si>
  <si>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</si>
  <si>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</si>
  <si>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Logs_Reseau_Part_02.xlsx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</si>
  <si>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</si>
  <si>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</si>
  <si>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</si>
  <si>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</si>
  <si>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</si>
  <si>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</si>
  <si>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</si>
  <si>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</si>
  <si>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</si>
  <si>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</si>
  <si>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</si>
  <si>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</si>
  <si>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</si>
  <si>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</si>
  <si>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</si>
  <si>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</si>
  <si>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</si>
  <si>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</si>
  <si>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</si>
  <si>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</si>
  <si>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</si>
  <si>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</si>
  <si>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</si>
  <si>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</si>
  <si>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</si>
  <si>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</si>
  <si>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</si>
  <si>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</si>
  <si>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</si>
  <si>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</si>
  <si>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</si>
  <si>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</si>
  <si>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</si>
  <si>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</si>
  <si>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</si>
  <si>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</si>
  <si>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</si>
  <si>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</si>
  <si>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</si>
  <si>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</si>
  <si>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</si>
  <si>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</si>
  <si>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</si>
  <si>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Logs_Reseau_Part_03.xlsx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</si>
  <si>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</si>
  <si>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</si>
  <si>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</si>
  <si>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</si>
  <si>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</si>
  <si>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</si>
  <si>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</si>
  <si>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</si>
  <si>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</si>
  <si>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</si>
  <si>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</si>
  <si>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</si>
  <si>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</si>
  <si>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</si>
  <si>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</si>
  <si>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</si>
  <si>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</si>
  <si>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</si>
  <si>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</si>
  <si>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</si>
  <si>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</si>
  <si>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</si>
  <si>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</si>
  <si>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</si>
  <si>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</si>
  <si>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</si>
  <si>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</si>
  <si>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</si>
  <si>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</si>
  <si>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</si>
  <si>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</si>
  <si>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</si>
  <si>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</si>
  <si>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</si>
  <si>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</si>
  <si>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</si>
  <si>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</si>
  <si>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Logs_Reseau_Part_04.xlsx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</si>
  <si>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</si>
  <si>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</si>
  <si>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</si>
  <si>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</si>
  <si>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</si>
  <si>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</si>
  <si>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</si>
  <si>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</si>
  <si>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</si>
  <si>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</si>
  <si>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</si>
  <si>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</si>
  <si>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</si>
  <si>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</si>
  <si>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</si>
  <si>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</si>
  <si>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</si>
  <si>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</si>
  <si>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</si>
  <si>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</si>
  <si>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</si>
  <si>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</si>
  <si>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</si>
  <si>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</si>
  <si>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</si>
  <si>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</si>
  <si>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</si>
  <si>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</si>
  <si>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</si>
  <si>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</si>
  <si>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</si>
  <si>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</si>
  <si>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</si>
  <si>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</si>
  <si>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</si>
  <si>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</si>
  <si>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</si>
  <si>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</si>
  <si>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</si>
  <si>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</si>
  <si>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Logs_Reseau_Part_05.xlsx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</si>
  <si>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</si>
  <si>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</si>
  <si>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</si>
  <si>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</si>
  <si>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</si>
  <si>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</si>
  <si>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</si>
  <si>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</si>
  <si>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</si>
  <si>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</si>
  <si>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</si>
  <si>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</si>
  <si>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</si>
  <si>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</si>
  <si>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</si>
  <si>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</si>
  <si>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</si>
  <si>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</si>
  <si>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</si>
  <si>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</si>
  <si>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</si>
  <si>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</si>
  <si>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</si>
  <si>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</si>
  <si>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</si>
  <si>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</si>
  <si>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</si>
  <si>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</si>
  <si>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</si>
  <si>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</si>
  <si>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</si>
  <si>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</si>
  <si>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</si>
  <si>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</si>
  <si>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</si>
  <si>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</si>
  <si>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Logs_Reseau_Part_06.xlsx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</si>
  <si>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</si>
  <si>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</si>
  <si>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</si>
  <si>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</si>
  <si>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</si>
  <si>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</si>
  <si>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</si>
  <si>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</si>
  <si>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</si>
  <si>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</si>
  <si>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</si>
  <si>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</si>
  <si>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</si>
  <si>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</si>
  <si>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</si>
  <si>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</si>
  <si>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</si>
  <si>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</si>
  <si>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</si>
  <si>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</si>
  <si>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</si>
  <si>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</si>
  <si>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</si>
  <si>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</si>
  <si>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</si>
  <si>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</si>
  <si>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</si>
  <si>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</si>
  <si>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</si>
  <si>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</si>
  <si>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</si>
  <si>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</si>
  <si>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</si>
  <si>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</si>
  <si>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</si>
  <si>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</si>
  <si>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</si>
  <si>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</si>
  <si>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Logs_Reseau_Part_07.xlsx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</si>
  <si>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</si>
  <si>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</si>
  <si>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</si>
  <si>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</si>
  <si>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</si>
  <si>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</si>
  <si>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</si>
  <si>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</si>
  <si>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</si>
  <si>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</si>
  <si>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</si>
  <si>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</si>
  <si>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</si>
  <si>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</si>
  <si>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</si>
  <si>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</si>
  <si>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</si>
  <si>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ANT-0102</t>
  </si>
  <si>
    <t>ANT-0813</t>
  </si>
  <si>
    <t>ANT-0118</t>
  </si>
  <si>
    <t>Logs_Reseau_Part_08.xlsx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</si>
  <si>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</si>
  <si>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</si>
  <si>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</si>
  <si>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</si>
  <si>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</si>
  <si>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</si>
  <si>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</si>
  <si>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</si>
  <si>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</si>
  <si>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</si>
  <si>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</si>
  <si>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</si>
  <si>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</si>
  <si>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</si>
  <si>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</si>
  <si>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</si>
  <si>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</si>
  <si>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</si>
  <si>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</si>
  <si>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ANT-0318</t>
  </si>
  <si>
    <t>ANT-0348</t>
  </si>
  <si>
    <t>ANT-0173</t>
  </si>
  <si>
    <t>ANT-0079</t>
  </si>
  <si>
    <t>ANT-0523</t>
  </si>
  <si>
    <t>Logs_Reseau_Part_09.xlsx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</si>
  <si>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</si>
  <si>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</si>
  <si>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</si>
  <si>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</si>
  <si>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</si>
  <si>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</si>
  <si>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</si>
  <si>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</si>
  <si>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</si>
  <si>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</si>
  <si>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</si>
  <si>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</si>
  <si>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</si>
  <si>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</si>
  <si>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</si>
  <si>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</si>
  <si>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</si>
  <si>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</si>
  <si>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</si>
  <si>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</si>
  <si>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</si>
  <si>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</si>
  <si>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</si>
  <si>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</si>
  <si>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</si>
  <si>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</si>
  <si>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</si>
  <si>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</si>
  <si>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</si>
  <si>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</si>
  <si>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</si>
  <si>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</si>
  <si>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</si>
  <si>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</si>
  <si>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Logs_Reseau_Part_10.xlsx</t>
  </si>
  <si>
    <t>ANT-0360</t>
  </si>
  <si>
    <t>ANT-0458</t>
  </si>
  <si>
    <t>ANT-0044</t>
  </si>
  <si>
    <t>ant-0745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</si>
  <si>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</si>
  <si>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</si>
  <si>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</si>
  <si>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</si>
  <si>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</si>
  <si>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</si>
  <si>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</si>
  <si>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</si>
  <si>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</si>
  <si>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</si>
  <si>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</si>
  <si>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</si>
  <si>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</si>
  <si>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</si>
  <si>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</si>
  <si>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</si>
  <si>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</si>
  <si>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</si>
  <si>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</si>
  <si>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</si>
  <si>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</si>
  <si>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</si>
  <si>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</si>
  <si>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Logs_Reseau_Part_11.xlsx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</si>
  <si>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</si>
  <si>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</si>
  <si>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</si>
  <si>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</si>
  <si>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</si>
  <si>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</si>
  <si>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</si>
  <si>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</si>
  <si>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</si>
  <si>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</si>
  <si>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</si>
  <si>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</si>
  <si>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</si>
  <si>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</si>
  <si>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</si>
  <si>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</si>
  <si>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</si>
  <si>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</si>
  <si>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</si>
  <si>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</si>
  <si>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</si>
  <si>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</si>
  <si>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</si>
  <si>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</si>
  <si>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ant-0518</t>
  </si>
  <si>
    <t>ANT-0469</t>
  </si>
  <si>
    <t>ANT-0221</t>
  </si>
  <si>
    <t>ANT-0598</t>
  </si>
  <si>
    <t>Logs_Reseau_Part_12.xlsx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</si>
  <si>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</si>
  <si>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</si>
  <si>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</si>
  <si>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</si>
  <si>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</si>
  <si>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</si>
  <si>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</si>
  <si>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</si>
  <si>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</si>
  <si>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</si>
  <si>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</si>
  <si>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</si>
  <si>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</si>
  <si>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</si>
  <si>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</si>
  <si>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</si>
  <si>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</si>
  <si>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</si>
  <si>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</si>
  <si>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</si>
  <si>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</si>
  <si>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</si>
  <si>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</si>
  <si>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Logs_Reseau_Part_13.xlsx</t>
  </si>
  <si>
    <t>ANT-0670</t>
  </si>
  <si>
    <t>ANT-0881</t>
  </si>
  <si>
    <t>ANT-0357</t>
  </si>
  <si>
    <t>ANT-0122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</si>
  <si>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</si>
  <si>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</si>
  <si>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</si>
  <si>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</si>
  <si>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</si>
  <si>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</si>
  <si>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</si>
  <si>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</si>
  <si>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</si>
  <si>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</si>
  <si>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</si>
  <si>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</si>
  <si>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</si>
  <si>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</si>
  <si>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</si>
  <si>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</si>
  <si>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</si>
  <si>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</si>
  <si>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</si>
  <si>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</si>
  <si>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</si>
  <si>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</si>
  <si>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Logs_Reseau_Part_14.xlsx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</si>
  <si>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</si>
  <si>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</si>
  <si>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</si>
  <si>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</si>
  <si>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</si>
  <si>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</si>
  <si>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</si>
  <si>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</si>
  <si>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</si>
  <si>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</si>
  <si>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</si>
  <si>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</si>
  <si>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</si>
  <si>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</si>
  <si>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</si>
  <si>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</si>
  <si>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</si>
  <si>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</si>
  <si>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</si>
  <si>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</si>
  <si>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</si>
  <si>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</si>
  <si>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</si>
  <si>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</si>
  <si>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</si>
  <si>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</si>
  <si>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</si>
  <si>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Logs_Reseau_Part_15.xlsx</t>
  </si>
  <si>
    <t>ANT-0334</t>
  </si>
  <si>
    <t>ANT-0386</t>
  </si>
  <si>
    <t>ANT-0288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</si>
  <si>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</si>
  <si>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</si>
  <si>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</si>
  <si>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</si>
  <si>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</si>
  <si>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</si>
  <si>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</si>
  <si>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</si>
  <si>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</si>
  <si>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</si>
  <si>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</si>
  <si>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</si>
  <si>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</si>
  <si>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ANT-0817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</si>
  <si>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</si>
  <si>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</si>
  <si>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</si>
  <si>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</si>
  <si>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</si>
  <si>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</si>
  <si>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</si>
  <si>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</si>
  <si>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Logs_Reseau_Part_16.xlsx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</si>
  <si>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</si>
  <si>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</si>
  <si>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</si>
  <si>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</si>
  <si>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</si>
  <si>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</si>
  <si>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</si>
  <si>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</si>
  <si>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</si>
  <si>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</si>
  <si>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</si>
  <si>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</si>
  <si>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</si>
  <si>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</si>
  <si>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</si>
  <si>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</si>
  <si>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</si>
  <si>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</si>
  <si>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</si>
  <si>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</si>
  <si>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</si>
  <si>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Logs_Reseau_Part_17.xlsx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</si>
  <si>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</si>
  <si>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</si>
  <si>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</si>
  <si>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</si>
  <si>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</si>
  <si>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</si>
  <si>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</si>
  <si>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</si>
  <si>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</si>
  <si>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</si>
  <si>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</si>
  <si>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</si>
  <si>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</si>
  <si>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</si>
  <si>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</si>
  <si>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</si>
  <si>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</si>
  <si>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</si>
  <si>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</si>
  <si>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Logs_Reseau_Part_18.xlsx</t>
  </si>
  <si>
    <t>ANT-0244</t>
  </si>
  <si>
    <t>ANT-0504</t>
  </si>
  <si>
    <t>ANT-0985</t>
  </si>
  <si>
    <t>ANT-0062</t>
  </si>
  <si>
    <t>ANT-0146</t>
  </si>
  <si>
    <t>ANT-0045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</si>
  <si>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</si>
  <si>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</si>
  <si>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</si>
  <si>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</si>
  <si>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</si>
  <si>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</si>
  <si>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</si>
  <si>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</si>
  <si>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</si>
  <si>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</si>
  <si>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</si>
  <si>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</si>
  <si>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</si>
  <si>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</si>
  <si>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</si>
  <si>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</si>
  <si>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</si>
  <si>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</si>
  <si>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</si>
  <si>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</si>
  <si>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Logs_Reseau_Part_19.xlsx</t>
  </si>
  <si>
    <t>ANT-0326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</si>
  <si>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</si>
  <si>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</si>
  <si>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</si>
  <si>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</si>
  <si>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</si>
  <si>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</si>
  <si>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</si>
  <si>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</si>
  <si>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ANT-0857</t>
  </si>
  <si>
    <t>ANT-0830</t>
  </si>
  <si>
    <t>ANT-0903</t>
  </si>
  <si>
    <t>ANT-0505</t>
  </si>
  <si>
    <t>ANT-0039</t>
  </si>
  <si>
    <t>ANT-0058</t>
  </si>
  <si>
    <t>ANT-0617</t>
  </si>
  <si>
    <t>ANT-0225</t>
  </si>
  <si>
    <t>ANT-0021</t>
  </si>
  <si>
    <t>ANT-0490</t>
  </si>
  <si>
    <t>Logs_Reseau_Part_20.xlsx</t>
  </si>
  <si>
    <t>ANT-0276</t>
  </si>
  <si>
    <t>ANT-0155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</si>
  <si>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</si>
  <si>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</si>
  <si>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</si>
  <si>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</si>
  <si>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</si>
  <si>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</si>
  <si>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</si>
  <si>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</si>
  <si>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</si>
  <si>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</si>
  <si>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</si>
  <si>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</si>
  <si>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</si>
  <si>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</si>
  <si>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</si>
  <si>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</si>
  <si>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</si>
  <si>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</si>
  <si>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</si>
  <si>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Logs_Reseau_Part_21.xlsx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</si>
  <si>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</si>
  <si>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</si>
  <si>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</si>
  <si>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</si>
  <si>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</si>
  <si>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</si>
  <si>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</si>
  <si>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</si>
  <si>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</si>
  <si>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</si>
  <si>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</si>
  <si>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</si>
  <si>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ANT-0922</t>
  </si>
  <si>
    <t>ANT-0825</t>
  </si>
  <si>
    <t>Logs_Reseau_Part_22.xlsx</t>
  </si>
  <si>
    <t>ANT-0050</t>
  </si>
  <si>
    <t>ANT-0427</t>
  </si>
  <si>
    <t>ANT-0390</t>
  </si>
  <si>
    <t>ANT-0127</t>
  </si>
  <si>
    <t>ANT-0561</t>
  </si>
  <si>
    <t>ANT-0486</t>
  </si>
  <si>
    <t>ant-0719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</si>
  <si>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</si>
  <si>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</si>
  <si>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</si>
  <si>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</si>
  <si>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</si>
  <si>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</si>
  <si>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</si>
  <si>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</si>
  <si>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</si>
  <si>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Logs_Reseau_Part_23.xlsx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</si>
  <si>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</si>
  <si>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</si>
  <si>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</si>
  <si>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</si>
  <si>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</si>
  <si>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</si>
  <si>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</si>
  <si>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</si>
  <si>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</si>
  <si>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</si>
  <si>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</si>
  <si>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</si>
  <si>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</si>
  <si>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</si>
  <si>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</si>
  <si>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</si>
  <si>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</si>
  <si>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</si>
  <si>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</si>
  <si>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</si>
  <si>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Logs_Reseau_Part_24.xlsx</t>
  </si>
  <si>
    <t>ANT-0753</t>
  </si>
  <si>
    <t>ANT-0123</t>
  </si>
  <si>
    <t>ANT-0387</t>
  </si>
  <si>
    <t>ANT-0042</t>
  </si>
  <si>
    <t>ANT-0439</t>
  </si>
  <si>
    <t>ANT-0286</t>
  </si>
  <si>
    <t>ANT-0165</t>
  </si>
  <si>
    <t>ANT-0262</t>
  </si>
  <si>
    <t>ANT-0478</t>
  </si>
  <si>
    <t>ANT-0158</t>
  </si>
  <si>
    <t>ANT-0951</t>
  </si>
  <si>
    <t>ANT-0331</t>
  </si>
  <si>
    <t>ANT-0793</t>
  </si>
  <si>
    <t>ant-0309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</si>
  <si>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</si>
  <si>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</si>
  <si>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</si>
  <si>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</si>
  <si>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</si>
  <si>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</si>
  <si>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</si>
  <si>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</si>
  <si>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</si>
  <si>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Logs_Reseau_Part_25.xlsx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</si>
  <si>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</si>
  <si>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</si>
  <si>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</si>
  <si>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</si>
  <si>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</si>
  <si>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</si>
  <si>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</si>
  <si>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</si>
  <si>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</si>
  <si>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</si>
  <si>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</si>
  <si>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</si>
  <si>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</si>
  <si>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</si>
  <si>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</si>
  <si>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</si>
  <si>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</si>
  <si>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5G</t>
  </si>
  <si>
    <t>Ericsson</t>
  </si>
  <si>
    <t>ANT-0084</t>
  </si>
  <si>
    <t>4G</t>
  </si>
  <si>
    <t>Huawei</t>
  </si>
  <si>
    <t>3G</t>
  </si>
  <si>
    <t>ZTE</t>
  </si>
  <si>
    <t>ANT-0880</t>
  </si>
  <si>
    <t>ANT-0847</t>
  </si>
  <si>
    <t>ANT-0144</t>
  </si>
  <si>
    <t>ANT-0552</t>
  </si>
  <si>
    <t>ANT-0202</t>
  </si>
  <si>
    <t>ANT-0752</t>
  </si>
  <si>
    <t>Nokia</t>
  </si>
  <si>
    <t>ANT-0908</t>
  </si>
  <si>
    <t>ANT-0647</t>
  </si>
  <si>
    <t>ANT-0593</t>
  </si>
  <si>
    <t>ANT-0605</t>
  </si>
  <si>
    <t>ANT-0218</t>
  </si>
  <si>
    <t>ANT-0038</t>
  </si>
  <si>
    <t>ANT-0267</t>
  </si>
  <si>
    <t>ANT-0916</t>
  </si>
  <si>
    <t>ANT-0993</t>
  </si>
  <si>
    <t>ANT-0791</t>
  </si>
  <si>
    <t>ANT-0751</t>
  </si>
  <si>
    <t>ANT-0878</t>
  </si>
  <si>
    <t>Registre_Maintenance_Part_02.xlsx</t>
  </si>
  <si>
    <t>ANT-0138</t>
  </si>
  <si>
    <t>ANT-0476</t>
  </si>
  <si>
    <t>ANT-0629</t>
  </si>
  <si>
    <t>ANT-0170</t>
  </si>
  <si>
    <t>ANT-0776</t>
  </si>
  <si>
    <t>ANT-0676</t>
  </si>
  <si>
    <t>ANT-0150</t>
  </si>
  <si>
    <t>ANT-0496</t>
  </si>
  <si>
    <t>ANT-0780</t>
  </si>
  <si>
    <t>ANT-0500</t>
  </si>
  <si>
    <t>ANT-0065</t>
  </si>
  <si>
    <t>ANT-0240</t>
  </si>
  <si>
    <t>ANT-0398</t>
  </si>
  <si>
    <t>ANT-0048</t>
  </si>
  <si>
    <t>Registre_Maintenance_Part_03.xlsx</t>
  </si>
  <si>
    <t>ANT-0665</t>
  </si>
  <si>
    <t>ANT-0281</t>
  </si>
  <si>
    <t>ANT-0584</t>
  </si>
  <si>
    <t>ANT-0179</t>
  </si>
  <si>
    <t>ANT-0962</t>
  </si>
  <si>
    <t>ANT-0388</t>
  </si>
  <si>
    <t>ANT-0602</t>
  </si>
  <si>
    <t>ANT-0884</t>
  </si>
  <si>
    <t>ANT-0354</t>
  </si>
  <si>
    <t>ANT-0948</t>
  </si>
  <si>
    <t>ANT-0933</t>
  </si>
  <si>
    <t>ANT-0659</t>
  </si>
  <si>
    <t>ANT-0217</t>
  </si>
  <si>
    <t>ANT-0192</t>
  </si>
  <si>
    <t>Registre_Maintenance_Part_04.xlsx</t>
  </si>
  <si>
    <t>ANT-0939</t>
  </si>
  <si>
    <t>ANT-0858</t>
  </si>
  <si>
    <t>ANT-0425</t>
  </si>
  <si>
    <t>ANT-0831</t>
  </si>
  <si>
    <t>ANT-0692</t>
  </si>
  <si>
    <t>ANT-0491</t>
  </si>
  <si>
    <t>ANT-0216</t>
  </si>
  <si>
    <t>ANT-0421</t>
  </si>
  <si>
    <t>ANT-0023</t>
  </si>
  <si>
    <t>ANT-0645</t>
  </si>
  <si>
    <t>ANT-0525</t>
  </si>
  <si>
    <t>ANT-0151</t>
  </si>
  <si>
    <t>ANT-0171</t>
  </si>
  <si>
    <t>ANT-0265</t>
  </si>
  <si>
    <t>ANT-0876</t>
  </si>
  <si>
    <t>ANT-0871</t>
  </si>
  <si>
    <t>ANT-0982</t>
  </si>
  <si>
    <t>ANT-0291</t>
  </si>
  <si>
    <t>Registre_Maintenance_Part_05.xlsx</t>
  </si>
  <si>
    <t xml:space="preserve">ANT-0222 </t>
  </si>
  <si>
    <t>ANT-0460</t>
  </si>
  <si>
    <t>ANT-1000</t>
  </si>
  <si>
    <t>ANT-0483</t>
  </si>
  <si>
    <t>ANT-0175</t>
  </si>
  <si>
    <t>ANT-0616</t>
  </si>
  <si>
    <t>ANT-0187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</si>
  <si>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</si>
  <si>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</si>
  <si>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</si>
  <si>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</si>
  <si>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</si>
  <si>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</si>
  <si>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</si>
  <si>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</si>
  <si>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</si>
  <si>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</si>
  <si>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ANT-0040</t>
  </si>
  <si>
    <t>ANT-0516</t>
  </si>
  <si>
    <t>ANT-0796</t>
  </si>
  <si>
    <t>ANT-0789</t>
  </si>
  <si>
    <t>Registre_Maintenance_Part_06.xlsx</t>
  </si>
  <si>
    <t>ANT-0618</t>
  </si>
  <si>
    <t>ANT-0899</t>
  </si>
  <si>
    <t>ANT-0442</t>
  </si>
  <si>
    <t>ANT-0535</t>
  </si>
  <si>
    <t>ANT-0380</t>
  </si>
  <si>
    <t>ANT-0938</t>
  </si>
  <si>
    <t>ANT-0440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</si>
  <si>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</si>
  <si>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</si>
  <si>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</si>
  <si>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</si>
  <si>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</si>
  <si>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</si>
  <si>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</si>
  <si>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</si>
  <si>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</si>
  <si>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ANT-0705</t>
  </si>
  <si>
    <t>ANT-0324</t>
  </si>
  <si>
    <t>ANT-0849</t>
  </si>
  <si>
    <t>Registre_Maintenance_Part_07.xlsx</t>
  </si>
  <si>
    <t>ANT-0260</t>
  </si>
  <si>
    <t>ANT-0627</t>
  </si>
  <si>
    <t>ANT-0495</t>
  </si>
  <si>
    <t>ANT-0741</t>
  </si>
  <si>
    <t>ANT-0697</t>
  </si>
  <si>
    <t>ANT-0408</t>
  </si>
  <si>
    <t>ANT-0841</t>
  </si>
  <si>
    <t>ANT-0220</t>
  </si>
  <si>
    <t>ANT-0347</t>
  </si>
  <si>
    <t>ANT-0937</t>
  </si>
  <si>
    <t>ANT-0822</t>
  </si>
  <si>
    <t>ANT-0399</t>
  </si>
  <si>
    <t>ANT-0652</t>
  </si>
  <si>
    <t>ANT-0149</t>
  </si>
  <si>
    <t>ANT-0758</t>
  </si>
  <si>
    <t>Registre_Maintenance_Part_08.xlsx</t>
  </si>
  <si>
    <t>ANT-0889</t>
  </si>
  <si>
    <t>ANT-0228</t>
  </si>
  <si>
    <t>ANT-0682</t>
  </si>
  <si>
    <t>ANT-0082</t>
  </si>
  <si>
    <t>ANT-0895</t>
  </si>
  <si>
    <t>ANT-0207</t>
  </si>
  <si>
    <t>ANT-0907</t>
  </si>
  <si>
    <t>ANT-0200</t>
  </si>
  <si>
    <t>ANT-0947</t>
  </si>
  <si>
    <t>ANT-0915</t>
  </si>
  <si>
    <t>ANT-0174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</si>
  <si>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</si>
  <si>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</si>
  <si>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</si>
  <si>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</si>
  <si>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</si>
  <si>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</si>
  <si>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</si>
  <si>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ANT-0601</t>
  </si>
  <si>
    <t>ANT-0016</t>
  </si>
  <si>
    <t>ANT-0946</t>
  </si>
  <si>
    <t>ANT-0681</t>
  </si>
  <si>
    <t>Date_Panne</t>
  </si>
  <si>
    <t>Heure_Panne</t>
  </si>
  <si>
    <t>Panne_Heure</t>
  </si>
  <si>
    <t xml:space="preserve">Latitude </t>
  </si>
  <si>
    <t xml:space="preserve">Longitude </t>
  </si>
  <si>
    <t xml:space="preserve">Technologie </t>
  </si>
  <si>
    <t xml:space="preserve">Equipementier </t>
  </si>
  <si>
    <t>Anciennete_Annee</t>
  </si>
  <si>
    <t>Type_Clients</t>
  </si>
  <si>
    <t xml:space="preserve">Montant remise </t>
  </si>
  <si>
    <t>Remise (%)</t>
  </si>
  <si>
    <t>Date_Heure_Panne.1</t>
  </si>
  <si>
    <t>Date_Heure_Panne.2</t>
  </si>
  <si>
    <t>Étiquettes de lignes</t>
  </si>
  <si>
    <t>Total général</t>
  </si>
  <si>
    <t>Somme de Panne_Heure</t>
  </si>
  <si>
    <t>Duree_Cumulee_Panne_Heure</t>
  </si>
  <si>
    <t>Kasaï</t>
  </si>
  <si>
    <t>Kasaï-Central</t>
  </si>
  <si>
    <t>Kasaï-Oriental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</si>
</sst>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F400]h:mm:ss\ AM/PM"/>
    <numFmt numFmtId="166" formatCode="_-* #,##0_-;\-* #,##0_-;_-* &quot;-&quot;??_-;_-@_-"/>
    <numFmt numFmtId="168" formatCode="[h]:mm:ss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46" fontId="0" fillId="0" borderId="0" xfId="0" applyNumberFormat="1"/>
    <xf numFmtId="0" fontId="0" fillId="0" borderId="0" xfId="0" applyAlignment="1">
      <alignment horizontal="left" indent="1"/>
    </xf>
    <xf numFmtId="168" fontId="0" fillId="0" borderId="0" xfId="0" applyNumberFormat="1"/>
  </cellXfs>
  <cellStyles count="2">
    <cellStyle name="Milliers" xfId="1" builtinId="3"/>
    <cellStyle name="Normal" xfId="0" builtinId="0"/>
  </cellStyles>
  <dxfs count="3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* #,##0_-;\-* #,##0_-;_-* &quot;-&quot;??_-;_-@_-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1" formatCode="[h]:mm:ss"/>
    </dxf>
    <dxf>
      <numFmt numFmtId="31" formatCode="[h]:mm:ss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31" formatCode="[h]:mm:ss"/>
    </dxf>
    <dxf>
      <numFmt numFmtId="31" formatCode="[h]:mm:ss"/>
    </dxf>
    <dxf>
      <numFmt numFmtId="31" formatCode="[h]:mm:ss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31" formatCode="[h]:mm:ss"/>
    </dxf>
    <dxf>
      <numFmt numFmtId="31" formatCode="[h]:mm:ss"/>
    </dxf>
    <dxf>
      <numFmt numFmtId="31" formatCode="[h]:mm:ss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31" formatCode="[h]:mm:ss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31" formatCode="[h]:mm:ss"/>
    </dxf>
    <dxf>
      <numFmt numFmtId="31" formatCode="[h]:mm:ss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31" formatCode="[h]:mm:ss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168" formatCode="[h]:mm:ss\ "/>
    </dxf>
    <dxf>
      <numFmt numFmtId="31" formatCode="[h]:mm:ss"/>
    </dxf>
    <dxf>
      <numFmt numFmtId="31" formatCode="[h]:mm:ss"/>
    </dxf>
    <dxf>
      <numFmt numFmtId="31" formatCode="[h]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12.895125000003" createdVersion="8" refreshedVersion="8" minRefreshableVersion="3" recordCount="1077" xr:uid="{AEFCA7CB-4901-4941-B855-18C2728112DB}">
  <cacheSource type="worksheet">
    <worksheetSource name="Logs"/>
  </cacheSource>
  <cacheFields count="23">
    <cacheField name="Source.Name" numFmtId="0">
      <sharedItems/>
    </cacheField>
    <cacheField name="Date_Panne" numFmtId="14">
      <sharedItems containsSemiMixedTypes="0" containsNonDate="0" containsDate="1" containsString="0" minDate="2023-10-01T00:00:00" maxDate="2023-11-01T00:00:00"/>
    </cacheField>
    <cacheField name="ID_Client" numFmtId="0">
      <sharedItems/>
    </cacheField>
    <cacheField name="Province_RDC" numFmtId="0">
      <sharedItems count="27">
        <s v="Tanganyika"/>
        <s v="Pas de correspondance"/>
        <s v="Kongo-Central"/>
        <s v="Kasai-Central"/>
        <s v="Lomami"/>
        <s v="Nord-Ubangi"/>
        <s v="Haut-Katanga"/>
        <s v="Sud-Ubangi"/>
        <s v="Nord-Kivu"/>
        <s v="Tshopo"/>
        <s v="Kasai"/>
        <s v="Sud-Kivu"/>
        <s v="Equateur"/>
        <s v="Tshuapa"/>
        <s v="Lualaba"/>
        <s v="Kwilu"/>
        <s v="Kwango"/>
        <s v="Sankuru"/>
        <s v="Ituri"/>
        <s v="Mongala"/>
        <s v="Bas-Uele"/>
        <s v="Kinshasa"/>
        <s v="Haut-Uele"/>
        <s v="Kasai-Oriental"/>
        <s v="Mai-Ndombe"/>
        <s v="Maniema"/>
        <s v="Haut-Lomami"/>
      </sharedItems>
    </cacheField>
    <cacheField name="Heure_Panne" numFmtId="164">
      <sharedItems containsSemiMixedTypes="0" containsNonDate="0" containsDate="1" containsString="0" minDate="1899-12-30T00:02:00" maxDate="1899-12-30T23:59:00"/>
    </cacheField>
    <cacheField name="Cell_ID" numFmtId="0">
      <sharedItems/>
    </cacheField>
    <cacheField name="Panne_Heure" numFmtId="164">
      <sharedItems containsSemiMixedTypes="0" containsNonDate="0" containsDate="1" containsString="0" minDate="1899-12-30T00:05:00" maxDate="1899-12-30T02:00:00"/>
    </cacheField>
    <cacheField name="Duree_Panne_Min" numFmtId="0">
      <sharedItems containsSemiMixedTypes="0" containsString="0" containsNumber="1" containsInteger="1" minValue="5" maxValue="120"/>
    </cacheField>
    <cacheField name="Latitude " numFmtId="0">
      <sharedItems containsMixedTypes="1" containsNumber="1" minValue="-12.839263000000001" maxValue="4.9455159999999996"/>
    </cacheField>
    <cacheField name="Longitude " numFmtId="0">
      <sharedItems containsMixedTypes="1" containsNumber="1" minValue="12.013676999999999" maxValue="30.661662"/>
    </cacheField>
    <cacheField name="Technologie " numFmtId="0">
      <sharedItems count="4">
        <s v="4G"/>
        <s v="Pas de correspondance"/>
        <s v="5G"/>
        <s v="3G"/>
      </sharedItems>
    </cacheField>
    <cacheField name="Equipementier " numFmtId="0">
      <sharedItems/>
    </cacheField>
    <cacheField name="Statut_Resolution" numFmtId="0">
      <sharedItems/>
    </cacheField>
    <cacheField name="Anciennete_Mois" numFmtId="0">
      <sharedItems containsMixedTypes="1" containsNumber="1" containsInteger="1" minValue="6" maxValue="119"/>
    </cacheField>
    <cacheField name="Anciennete_Annee" numFmtId="166">
      <sharedItems containsMixedTypes="1" containsNumber="1" minValue="0.5" maxValue="9.9166666666666661"/>
    </cacheField>
    <cacheField name="Type_Forfait" numFmtId="0">
      <sharedItems/>
    </cacheField>
    <cacheField name="Type_Clients" numFmtId="0">
      <sharedItems/>
    </cacheField>
    <cacheField name="Duree_Cumulee_Panne_Min" numFmtId="0">
      <sharedItems containsMixedTypes="1" containsNumber="1" containsInteger="1" minValue="154" maxValue="482"/>
    </cacheField>
    <cacheField name="Duree_Cumulee_Panne_Heure" numFmtId="0">
      <sharedItems containsDate="1" containsMixedTypes="1" minDate="1899-12-30T02:34:00" maxDate="1899-12-30T08:02:00"/>
    </cacheField>
    <cacheField name="Facture_Mensuelle" numFmtId="0">
      <sharedItems containsMixedTypes="1" containsNumber="1" minValue="12.11" maxValue="98.17"/>
    </cacheField>
    <cacheField name="Plaintes_Service_Client" numFmtId="0">
      <sharedItems containsMixedTypes="1" containsNumber="1" containsInteger="1" minValue="0" maxValue="5"/>
    </cacheField>
    <cacheField name="Remise (%)" numFmtId="0">
      <sharedItems containsMixedTypes="1" containsNumber="1" minValue="0" maxValue="0.45"/>
    </cacheField>
    <cacheField name="Montant remise " numFmtId="0">
      <sharedItems containsMixedTypes="1" containsNumber="1" minValue="0" maxValue="44.1765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7">
  <r>
    <s v="Logs_Reseau_Part_01.xlsx"/>
    <d v="2023-10-04T00:00:00"/>
    <s v="CLI-01618"/>
    <x v="0"/>
    <d v="1899-12-30T00:47:00"/>
    <s v="ANT-0465"/>
    <d v="1899-12-30T01:13:00"/>
    <n v="73"/>
    <n v="-11.144149000000001"/>
    <n v="27.244658999999999"/>
    <x v="0"/>
    <s v="Nokia"/>
    <s v="Résolu"/>
    <n v="115"/>
    <n v="9.5833333333333339"/>
    <s v="Bloqué 5Go"/>
    <s v="B2C"/>
    <n v="176"/>
    <d v="1899-12-30T02:56:00"/>
    <n v="33.28"/>
    <n v="4"/>
    <n v="0"/>
    <n v="0"/>
  </r>
  <r>
    <s v="Logs_Reseau_Part_01.xlsx"/>
    <d v="2023-10-09T00:00:00"/>
    <s v="Pas de correspondance"/>
    <x v="1"/>
    <d v="1899-12-30T07:14:00"/>
    <s v="ANT-0004"/>
    <d v="1899-12-30T00:38:00"/>
    <n v="3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05T00:00:00"/>
    <s v="Pas de correspondance"/>
    <x v="1"/>
    <d v="1899-12-30T23:06:00"/>
    <s v="ANT-0977"/>
    <d v="1899-12-30T01:40:00"/>
    <n v="10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22T00:00:00"/>
    <s v="Pas de correspondance"/>
    <x v="1"/>
    <d v="1899-12-30T23:57:00"/>
    <s v="ANT-0740"/>
    <d v="1899-12-30T01:19:00"/>
    <n v="7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8T00:00:00"/>
    <s v="Pas de correspondance"/>
    <x v="1"/>
    <d v="1899-12-30T02:37:00"/>
    <s v="ANT-0897"/>
    <d v="1899-12-30T00:59:00"/>
    <n v="5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4T00:00:00"/>
    <s v="CLI-01233"/>
    <x v="2"/>
    <d v="1899-12-30T01:01:00"/>
    <s v="ANT-0737"/>
    <d v="1899-12-30T01:59:00"/>
    <n v="119"/>
    <n v="-2.8211520000000001"/>
    <n v="20.651419000000001"/>
    <x v="2"/>
    <s v="Ericsson"/>
    <s v="Non 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01.xlsx"/>
    <d v="2023-10-03T00:00:00"/>
    <s v="CLI-00060"/>
    <x v="3"/>
    <d v="1899-12-30T06:14:00"/>
    <s v="ANT-0270"/>
    <d v="1899-12-30T01:19:00"/>
    <n v="79"/>
    <n v="-1.648264"/>
    <n v="28.866143999999998"/>
    <x v="2"/>
    <s v="Ericsson"/>
    <s v="Résolu"/>
    <n v="72"/>
    <n v="6"/>
    <s v="Pro Monde"/>
    <s v="B2B"/>
    <n v="160"/>
    <d v="1899-12-30T02:40:00"/>
    <n v="90.13"/>
    <n v="2"/>
    <n v="0.1"/>
    <n v="9.0129999999999999"/>
  </r>
  <r>
    <s v="Logs_Reseau_Part_01.xlsx"/>
    <d v="2023-10-17T00:00:00"/>
    <s v="Pas de correspondance"/>
    <x v="1"/>
    <d v="1899-12-30T19:01:00"/>
    <s v="ANT-0996"/>
    <d v="1899-12-30T00:56:00"/>
    <n v="5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8T00:00:00"/>
    <s v="Pas de correspondance"/>
    <x v="1"/>
    <d v="1899-12-30T06:45:00"/>
    <s v="ANT-0513"/>
    <d v="1899-12-30T00:51:00"/>
    <n v="5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21T00:00:00"/>
    <s v="Pas de correspondance"/>
    <x v="1"/>
    <d v="1899-12-30T22:34:00"/>
    <s v="ANT-0781"/>
    <d v="1899-12-30T00:33:00"/>
    <n v="3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4T00:00:00"/>
    <s v="Pas de correspondance"/>
    <x v="1"/>
    <d v="1899-12-30T07:28:00"/>
    <s v="ANT-0183"/>
    <d v="1899-12-30T00:22:00"/>
    <n v="2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9T00:00:00"/>
    <s v="CLI-00131"/>
    <x v="4"/>
    <d v="1899-12-30T08:51:00"/>
    <s v="ANT-0520"/>
    <d v="1899-12-30T01:10:00"/>
    <n v="70"/>
    <n v="-8.4227860000000003"/>
    <n v="16.781293000000002"/>
    <x v="0"/>
    <s v="Huawei"/>
    <s v="Résolu"/>
    <n v="101"/>
    <n v="8.4166666666666661"/>
    <s v="Pro Monde"/>
    <s v="B2B"/>
    <n v="176"/>
    <d v="1899-12-30T02:56:00"/>
    <n v="86"/>
    <n v="3"/>
    <n v="0.1"/>
    <n v="8.6"/>
  </r>
  <r>
    <s v="Logs_Reseau_Part_01.xlsx"/>
    <d v="2023-10-28T00:00:00"/>
    <s v="CLI-01170"/>
    <x v="5"/>
    <d v="1899-12-30T00:48:00"/>
    <s v="ANT-0935"/>
    <d v="1899-12-30T01:08:00"/>
    <n v="68"/>
    <n v="-10.375266999999999"/>
    <n v="17.993663000000002"/>
    <x v="2"/>
    <s v="ZTE"/>
    <s v="En Cours"/>
    <n v="98"/>
    <n v="8.1666666666666661"/>
    <s v="Pro Monde"/>
    <s v="B2B"/>
    <n v="482"/>
    <d v="1899-12-30T08:02:00"/>
    <n v="55.04"/>
    <n v="5"/>
    <n v="0.45"/>
    <n v="24.768000000000001"/>
  </r>
  <r>
    <s v="Logs_Reseau_Part_01.xlsx"/>
    <d v="2023-10-26T00:00:00"/>
    <s v="Pas de correspondance"/>
    <x v="1"/>
    <d v="1899-12-30T05:44:00"/>
    <s v="ANT-0109"/>
    <d v="1899-12-30T00:16:00"/>
    <n v="1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4T00:00:00"/>
    <s v="Pas de correspondance"/>
    <x v="1"/>
    <d v="1899-12-30T10:17:00"/>
    <s v="ANT-0892"/>
    <d v="1899-12-30T01:41:00"/>
    <n v="10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05T00:00:00"/>
    <s v="Pas de correspondance"/>
    <x v="1"/>
    <d v="1899-12-30T06:48:00"/>
    <s v="ANT-0641"/>
    <d v="1899-12-30T00:11:00"/>
    <n v="1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1T00:00:00"/>
    <s v="Pas de correspondance"/>
    <x v="1"/>
    <d v="1899-12-30T03:05:00"/>
    <s v="ANT-0306"/>
    <d v="1899-12-30T01:55:00"/>
    <n v="11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3T00:00:00"/>
    <s v="CLI-01618"/>
    <x v="0"/>
    <d v="1899-12-30T03:22:00"/>
    <s v="ANT-0862"/>
    <d v="1899-12-30T00:19:00"/>
    <n v="19"/>
    <n v="-9.4708620000000003"/>
    <n v="29.234387999999999"/>
    <x v="3"/>
    <s v="ZTE"/>
    <s v="Non Résolu"/>
    <n v="115"/>
    <n v="9.5833333333333339"/>
    <s v="Bloqué 5Go"/>
    <s v="B2C"/>
    <n v="176"/>
    <d v="1899-12-30T02:56:00"/>
    <n v="33.28"/>
    <n v="4"/>
    <n v="0"/>
    <n v="0"/>
  </r>
  <r>
    <s v="Logs_Reseau_Part_01.xlsx"/>
    <d v="2023-10-28T00:00:00"/>
    <s v="Pas de correspondance"/>
    <x v="1"/>
    <d v="1899-12-30T11:38:00"/>
    <s v="ANT-0655"/>
    <d v="1899-12-30T00:24:00"/>
    <n v="2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09T00:00:00"/>
    <s v="CLI-00131"/>
    <x v="4"/>
    <d v="1899-12-30T01:46:00"/>
    <s v="ANT-0520"/>
    <d v="1899-12-30T01:25:00"/>
    <n v="85"/>
    <n v="-8.4227860000000003"/>
    <n v="16.781293000000002"/>
    <x v="0"/>
    <s v="Huawei"/>
    <s v="Non Résolu"/>
    <n v="101"/>
    <n v="8.4166666666666661"/>
    <s v="Pro Monde"/>
    <s v="B2B"/>
    <n v="176"/>
    <d v="1899-12-30T02:56:00"/>
    <n v="86"/>
    <n v="3"/>
    <n v="0.1"/>
    <n v="8.6"/>
  </r>
  <r>
    <s v="Logs_Reseau_Part_01.xlsx"/>
    <d v="2023-10-15T00:00:00"/>
    <s v="CLI-00076"/>
    <x v="6"/>
    <d v="1899-12-30T17:07:00"/>
    <s v="ANT-0624"/>
    <d v="1899-12-30T00:25:00"/>
    <n v="25"/>
    <n v="0.172153"/>
    <n v="21.091376"/>
    <x v="3"/>
    <s v="Ericsson"/>
    <s v="Résolu"/>
    <n v="46"/>
    <n v="3.8333333333333335"/>
    <s v="Premium 5G 150Go"/>
    <s v="B2C"/>
    <n v="283"/>
    <d v="1899-12-30T04:43:00"/>
    <n v="56.05"/>
    <n v="1"/>
    <n v="0.45"/>
    <n v="25.2225"/>
  </r>
  <r>
    <s v="Logs_Reseau_Part_01.xlsx"/>
    <d v="2023-10-30T00:00:00"/>
    <s v="Pas de correspondance"/>
    <x v="1"/>
    <d v="1899-12-30T12:05:00"/>
    <s v="ANT-0204"/>
    <d v="1899-12-30T01:46:00"/>
    <n v="10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8T00:00:00"/>
    <s v="Pas de correspondance"/>
    <x v="1"/>
    <d v="1899-12-30T09:53:00"/>
    <s v="ANT-0157"/>
    <d v="1899-12-30T01:32:00"/>
    <n v="9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21T00:00:00"/>
    <s v="Pas de correspondance"/>
    <x v="1"/>
    <d v="1899-12-30T19:56:00"/>
    <s v="ANT-0383"/>
    <d v="1899-12-30T00:59:00"/>
    <n v="5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28T00:00:00"/>
    <s v="Pas de correspondance"/>
    <x v="1"/>
    <d v="1899-12-30T11:36:00"/>
    <s v="ANT-0781"/>
    <d v="1899-12-30T01:21:00"/>
    <n v="8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07T00:00:00"/>
    <s v="CLI-00280"/>
    <x v="7"/>
    <d v="1899-12-30T22:04:00"/>
    <s v="ANT-0166"/>
    <d v="1899-12-30T00:13:00"/>
    <n v="13"/>
    <n v="-10.56448"/>
    <n v="19.792876"/>
    <x v="2"/>
    <s v="Ericsson"/>
    <s v="Non Résolu"/>
    <n v="113"/>
    <n v="9.4166666666666661"/>
    <s v="Illimité 50Go"/>
    <s v="B2C"/>
    <n v="380"/>
    <d v="1899-12-30T06:20:00"/>
    <n v="12.11"/>
    <n v="0"/>
    <n v="0.45"/>
    <n v="5.4494999999999996"/>
  </r>
  <r>
    <s v="Logs_Reseau_Part_01.xlsx"/>
    <d v="2023-10-02T00:00:00"/>
    <s v="CLI-00837"/>
    <x v="8"/>
    <d v="1899-12-30T21:14:00"/>
    <s v="ANT-0553"/>
    <d v="1899-12-30T00:54:00"/>
    <n v="54"/>
    <n v="4.6287159999999998"/>
    <n v="19.407077999999998"/>
    <x v="0"/>
    <s v="Ericsson"/>
    <s v="En Cours"/>
    <n v="16"/>
    <n v="1.3333333333333333"/>
    <s v="Bloqué 5Go"/>
    <s v="B2C"/>
    <n v="390"/>
    <d v="1899-12-30T06:30:00"/>
    <n v="98.17"/>
    <n v="5"/>
    <n v="0.45"/>
    <n v="44.176500000000004"/>
  </r>
  <r>
    <s v="Logs_Reseau_Part_01.xlsx"/>
    <d v="2023-10-25T00:00:00"/>
    <s v="Pas de correspondance"/>
    <x v="1"/>
    <d v="1899-12-30T09:05:00"/>
    <s v="ANT-0977"/>
    <d v="1899-12-30T00:53:00"/>
    <n v="5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28T00:00:00"/>
    <s v="Pas de correspondance"/>
    <x v="1"/>
    <d v="1899-12-30T07:55:00"/>
    <s v="ANT-0798"/>
    <d v="1899-12-30T01:21:00"/>
    <n v="8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04T00:00:00"/>
    <s v="CLI-00745"/>
    <x v="9"/>
    <d v="1899-12-30T12:17:00"/>
    <s v="ANT-0945"/>
    <d v="1899-12-30T01:04:00"/>
    <n v="64"/>
    <n v="0.23583499999999999"/>
    <n v="24.889558999999998"/>
    <x v="3"/>
    <s v="ZTE"/>
    <s v="En Cours"/>
    <n v="6"/>
    <n v="0.5"/>
    <s v="Premium 5G 150Go"/>
    <s v="B2C"/>
    <n v="207"/>
    <d v="1899-12-30T03:27:00"/>
    <n v="61.55"/>
    <n v="0"/>
    <n v="0.45"/>
    <n v="27.697499999999998"/>
  </r>
  <r>
    <s v="Logs_Reseau_Part_01.xlsx"/>
    <d v="2023-10-15T00:00:00"/>
    <s v="Pas de correspondance"/>
    <x v="1"/>
    <d v="1899-12-30T20:53:00"/>
    <s v="ANT-0544"/>
    <d v="1899-12-30T01:12:00"/>
    <n v="7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2T00:00:00"/>
    <s v="Pas de correspondance"/>
    <x v="1"/>
    <d v="1899-12-30T05:23:00"/>
    <s v="ANT-0941"/>
    <d v="1899-12-30T00:37:00"/>
    <n v="3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2T00:00:00"/>
    <s v="CLI-01170"/>
    <x v="5"/>
    <d v="1899-12-30T06:42:00"/>
    <s v="ANT-0001"/>
    <d v="1899-12-30T01:15:00"/>
    <n v="75"/>
    <n v="-8.1437910000000002"/>
    <n v="28.946161"/>
    <x v="0"/>
    <s v="ZTE"/>
    <s v="Résolu"/>
    <n v="98"/>
    <n v="8.1666666666666661"/>
    <s v="Pro Monde"/>
    <s v="B2B"/>
    <n v="482"/>
    <d v="1899-12-30T08:02:00"/>
    <n v="55.04"/>
    <n v="5"/>
    <n v="0.45"/>
    <n v="24.768000000000001"/>
  </r>
  <r>
    <s v="Logs_Reseau_Part_01.xlsx"/>
    <d v="2023-10-09T00:00:00"/>
    <s v="CLI-00745"/>
    <x v="9"/>
    <d v="1899-12-30T22:59:00"/>
    <s v="ANT-0614"/>
    <d v="1899-12-30T01:55:00"/>
    <n v="115"/>
    <n v="-6.1837850000000003"/>
    <n v="25.138759"/>
    <x v="3"/>
    <s v="Ericsson"/>
    <s v="Résolu"/>
    <n v="6"/>
    <n v="0.5"/>
    <s v="Premium 5G 150Go"/>
    <s v="B2C"/>
    <n v="207"/>
    <d v="1899-12-30T03:27:00"/>
    <n v="61.55"/>
    <n v="0"/>
    <n v="0.45"/>
    <n v="27.697499999999998"/>
  </r>
  <r>
    <s v="Logs_Reseau_Part_01.xlsx"/>
    <d v="2023-10-22T00:00:00"/>
    <s v="CLI-00559"/>
    <x v="10"/>
    <d v="1899-12-30T20:04:00"/>
    <s v="ANT-0332"/>
    <d v="1899-12-30T00:06:00"/>
    <n v="6"/>
    <n v="-4.9789079999999997"/>
    <n v="28.506295000000001"/>
    <x v="0"/>
    <s v="Huawei"/>
    <s v="En Cours"/>
    <n v="99"/>
    <n v="8.25"/>
    <s v="Bloqué 5Go"/>
    <s v="B2C"/>
    <n v="369"/>
    <d v="1899-12-30T06:09:00"/>
    <n v="67.209999999999994"/>
    <n v="3"/>
    <n v="0.45"/>
    <n v="30.244499999999999"/>
  </r>
  <r>
    <s v="Logs_Reseau_Part_01.xlsx"/>
    <d v="2023-10-20T00:00:00"/>
    <s v="Pas de correspondance"/>
    <x v="1"/>
    <d v="1899-12-30T20:10:00"/>
    <s v="ANT-0501"/>
    <d v="1899-12-30T01:32:00"/>
    <n v="9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8T00:00:00"/>
    <s v="CLI-00559"/>
    <x v="10"/>
    <d v="1899-12-30T23:15:00"/>
    <s v="ANT-0020"/>
    <d v="1899-12-30T01:37:00"/>
    <n v="97"/>
    <n v="-10.059846"/>
    <n v="14.375757999999999"/>
    <x v="0"/>
    <s v="Huawei"/>
    <s v="Non Résolu"/>
    <n v="99"/>
    <n v="8.25"/>
    <s v="Bloqué 5Go"/>
    <s v="B2C"/>
    <n v="369"/>
    <d v="1899-12-30T06:09:00"/>
    <n v="67.209999999999994"/>
    <n v="3"/>
    <n v="0.45"/>
    <n v="30.244499999999999"/>
  </r>
  <r>
    <s v="Logs_Reseau_Part_01.xlsx"/>
    <d v="2023-10-06T00:00:00"/>
    <s v="Pas de correspondance"/>
    <x v="1"/>
    <d v="1899-12-30T14:24:00"/>
    <s v="ANT-0115"/>
    <d v="1899-12-30T00:19:00"/>
    <n v="1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09T00:00:00"/>
    <s v="Pas de correspondance"/>
    <x v="1"/>
    <d v="1899-12-30T20:44:00"/>
    <s v="ANT-0952"/>
    <d v="1899-12-30T01:32:00"/>
    <n v="9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8T00:00:00"/>
    <s v="Pas de correspondance"/>
    <x v="1"/>
    <d v="1899-12-30T07:43:00"/>
    <s v="ANT-0372"/>
    <d v="1899-12-30T01:58:00"/>
    <n v="11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11T00:00:00"/>
    <s v="CLI-01618"/>
    <x v="0"/>
    <d v="1899-12-30T01:14:00"/>
    <s v="ANT-0900"/>
    <d v="1899-12-30T01:13:00"/>
    <n v="73"/>
    <n v="-10.776204"/>
    <n v="24.672934000000001"/>
    <x v="0"/>
    <s v="Ericsson"/>
    <s v="Résolu"/>
    <n v="115"/>
    <n v="9.5833333333333339"/>
    <s v="Bloqué 5Go"/>
    <s v="B2C"/>
    <n v="176"/>
    <d v="1899-12-30T02:56:00"/>
    <n v="33.28"/>
    <n v="4"/>
    <n v="0"/>
    <n v="0"/>
  </r>
  <r>
    <s v="Logs_Reseau_Part_01.xlsx"/>
    <d v="2023-10-27T00:00:00"/>
    <s v="CLI-01855"/>
    <x v="11"/>
    <d v="1899-12-30T01:51:00"/>
    <s v="ANT-0852"/>
    <d v="1899-12-30T01:41:00"/>
    <n v="101"/>
    <n v="4.2493650000000001"/>
    <n v="28.355039999999999"/>
    <x v="3"/>
    <s v="ZTE"/>
    <s v="Résolu"/>
    <n v="101"/>
    <n v="8.4166666666666661"/>
    <s v="Illimité 50Go"/>
    <s v="B2C"/>
    <n v="358"/>
    <d v="1899-12-30T05:58:00"/>
    <n v="29.24"/>
    <n v="3"/>
    <n v="0.45"/>
    <n v="13.157999999999999"/>
  </r>
  <r>
    <s v="Logs_Reseau_Part_01.xlsx"/>
    <d v="2023-10-03T00:00:00"/>
    <s v="CLI-00643"/>
    <x v="12"/>
    <d v="1899-12-30T06:58:00"/>
    <s v="ANT-0315"/>
    <d v="1899-12-30T01:43:00"/>
    <n v="103"/>
    <n v="4.9250049999999996"/>
    <n v="19.887931999999999"/>
    <x v="0"/>
    <s v="Huawei"/>
    <s v="Non Résolu"/>
    <n v="14"/>
    <n v="1.1666666666666667"/>
    <s v="Pro Monde"/>
    <s v="B2B"/>
    <n v="316"/>
    <d v="1899-12-30T05:16:00"/>
    <n v="62.34"/>
    <n v="4"/>
    <n v="0.45"/>
    <n v="28.053000000000001"/>
  </r>
  <r>
    <s v="Logs_Reseau_Part_01.xlsx"/>
    <d v="2023-10-31T00:00:00"/>
    <s v="Pas de correspondance"/>
    <x v="1"/>
    <d v="1899-12-30T18:56:00"/>
    <s v="ANT-0246"/>
    <d v="1899-12-30T01:27:00"/>
    <n v="8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23T00:00:00"/>
    <s v="Pas de correspondance"/>
    <x v="1"/>
    <d v="1899-12-30T10:13:00"/>
    <s v="ANT-0060"/>
    <d v="1899-12-30T00:48:00"/>
    <n v="4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21T00:00:00"/>
    <s v="Pas de correspondance"/>
    <x v="1"/>
    <d v="1899-12-30T15:25:00"/>
    <s v="ANT-0247"/>
    <d v="1899-12-30T00:19:00"/>
    <n v="1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29T00:00:00"/>
    <s v="CLI-01618"/>
    <x v="0"/>
    <d v="1899-12-30T20:29:00"/>
    <s v="ANT-0900"/>
    <d v="1899-12-30T00:42:00"/>
    <n v="42"/>
    <n v="-10.776204"/>
    <n v="24.672934000000001"/>
    <x v="0"/>
    <s v="Ericsson"/>
    <s v="Résolu"/>
    <n v="115"/>
    <n v="9.5833333333333339"/>
    <s v="Bloqué 5Go"/>
    <s v="B2C"/>
    <n v="176"/>
    <d v="1899-12-30T02:56:00"/>
    <n v="33.28"/>
    <n v="4"/>
    <n v="0"/>
    <n v="0"/>
  </r>
  <r>
    <s v="Logs_Reseau_Part_01.xlsx"/>
    <d v="2023-10-05T00:00:00"/>
    <s v="Pas de correspondance"/>
    <x v="1"/>
    <d v="1899-12-30T08:08:00"/>
    <s v="ANT-0581"/>
    <d v="1899-12-30T01:00:00"/>
    <n v="6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1.xlsx"/>
    <d v="2023-10-08T00:00:00"/>
    <s v="CLI-00837"/>
    <x v="8"/>
    <d v="1899-12-30T23:35:00"/>
    <s v="ANT-0970"/>
    <d v="1899-12-30T00:25:00"/>
    <n v="25"/>
    <n v="-11.866133"/>
    <n v="27.068932"/>
    <x v="3"/>
    <s v="Huawei"/>
    <s v="En Cours"/>
    <n v="16"/>
    <n v="1.3333333333333333"/>
    <s v="Bloqué 5Go"/>
    <s v="B2C"/>
    <n v="390"/>
    <d v="1899-12-30T06:30:00"/>
    <n v="98.17"/>
    <n v="5"/>
    <n v="0.45"/>
    <n v="44.176500000000004"/>
  </r>
  <r>
    <s v="Logs_Reseau_Part_01.xlsx"/>
    <d v="2023-10-26T00:00:00"/>
    <s v="Pas de correspondance"/>
    <x v="1"/>
    <d v="1899-12-30T05:44:00"/>
    <s v="ANT-0109"/>
    <d v="1899-12-30T00:16:00"/>
    <n v="1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19T00:00:00"/>
    <s v="Pas de correspondance"/>
    <x v="1"/>
    <d v="1899-12-30T15:15:00"/>
    <s v="ANT-0650"/>
    <d v="1899-12-30T00:17:00"/>
    <n v="1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26T00:00:00"/>
    <s v="Pas de correspondance"/>
    <x v="1"/>
    <d v="1899-12-30T15:51:00"/>
    <s v="ANT-0874"/>
    <d v="1899-12-30T00:14:00"/>
    <n v="1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14T00:00:00"/>
    <s v="CLI-00894"/>
    <x v="13"/>
    <d v="1899-12-30T06:06:00"/>
    <s v="ANT-0271"/>
    <d v="1899-12-30T01:13:00"/>
    <n v="73"/>
    <n v="-5.1030600000000002"/>
    <n v="22.849231"/>
    <x v="2"/>
    <s v="ZTE"/>
    <s v="En Cours"/>
    <n v="63"/>
    <n v="5.25"/>
    <s v="Pro Monde"/>
    <s v="B2B"/>
    <n v="205"/>
    <d v="1899-12-30T03:25:00"/>
    <n v="89.19"/>
    <n v="0"/>
    <n v="0.1"/>
    <n v="8.9190000000000005"/>
  </r>
  <r>
    <s v="Logs_Reseau_Part_02.xlsx"/>
    <d v="2023-10-04T00:00:00"/>
    <s v="Pas de correspondance"/>
    <x v="1"/>
    <d v="1899-12-30T21:27:00"/>
    <s v="ANT-0518"/>
    <d v="1899-12-30T00:32:00"/>
    <n v="3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12T00:00:00"/>
    <s v="Pas de correspondance"/>
    <x v="1"/>
    <d v="1899-12-30T13:26:00"/>
    <s v="ANT-0501"/>
    <d v="1899-12-30T01:09:00"/>
    <n v="6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15T00:00:00"/>
    <s v="CLI-01005"/>
    <x v="14"/>
    <d v="1899-12-30T23:03:00"/>
    <s v="ANT-0258"/>
    <d v="1899-12-30T00:38:00"/>
    <n v="38"/>
    <n v="-11.710407999999999"/>
    <n v="23.741330999999999"/>
    <x v="3"/>
    <s v="Huawei"/>
    <s v="Résolu"/>
    <n v="80"/>
    <n v="6.666666666666667"/>
    <s v="Illimité 50Go"/>
    <s v="B2C"/>
    <n v="155"/>
    <d v="1899-12-30T02:35:00"/>
    <n v="28.96"/>
    <n v="2"/>
    <n v="0"/>
    <n v="0"/>
  </r>
  <r>
    <s v="Logs_Reseau_Part_02.xlsx"/>
    <d v="2023-10-22T00:00:00"/>
    <s v="CLI-01618"/>
    <x v="0"/>
    <d v="1899-12-30T20:41:00"/>
    <s v="ANT-0928"/>
    <d v="1899-12-30T00:21:00"/>
    <n v="21"/>
    <n v="-1.864393"/>
    <n v="21.453434000000001"/>
    <x v="2"/>
    <s v="Ericsson"/>
    <s v="Non Résolu"/>
    <n v="115"/>
    <n v="9.5833333333333339"/>
    <s v="Bloqué 5Go"/>
    <s v="B2C"/>
    <n v="176"/>
    <d v="1899-12-30T02:56:00"/>
    <n v="33.28"/>
    <n v="4"/>
    <n v="0"/>
    <n v="0"/>
  </r>
  <r>
    <s v="Logs_Reseau_Part_02.xlsx"/>
    <d v="2023-10-04T00:00:00"/>
    <s v="Pas de correspondance"/>
    <x v="1"/>
    <d v="1899-12-30T01:25:00"/>
    <s v="ANT-0930"/>
    <d v="1899-12-30T00:49:00"/>
    <n v="4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24T00:00:00"/>
    <s v="Pas de correspondance"/>
    <x v="1"/>
    <d v="1899-12-30T10:51:00"/>
    <s v="ANT-0867"/>
    <d v="1899-12-30T01:57:00"/>
    <n v="11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28T00:00:00"/>
    <s v="Pas de correspondance"/>
    <x v="1"/>
    <d v="1899-12-30T03:15:00"/>
    <s v="ANT-0053"/>
    <d v="1899-12-30T00:13:00"/>
    <n v="1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07T00:00:00"/>
    <s v="Pas de correspondance"/>
    <x v="1"/>
    <d v="1899-12-30T06:34:00"/>
    <s v="ANT-0095"/>
    <d v="1899-12-30T01:57:00"/>
    <n v="11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15T00:00:00"/>
    <s v="Pas de correspondance"/>
    <x v="1"/>
    <d v="1899-12-30T04:27:00"/>
    <s v="ANT-0650"/>
    <d v="1899-12-30T00:36:00"/>
    <n v="3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06T00:00:00"/>
    <s v="CLI-01618"/>
    <x v="0"/>
    <d v="1899-12-30T08:29:00"/>
    <s v="ANT-0434"/>
    <d v="1899-12-30T00:52:00"/>
    <n v="52"/>
    <n v="3.1362930000000002"/>
    <n v="16.190878000000001"/>
    <x v="3"/>
    <s v="Nokia"/>
    <s v="Non Résolu"/>
    <n v="115"/>
    <n v="9.5833333333333339"/>
    <s v="Bloqué 5Go"/>
    <s v="B2C"/>
    <n v="176"/>
    <d v="1899-12-30T02:56:00"/>
    <n v="33.28"/>
    <n v="4"/>
    <n v="0"/>
    <n v="0"/>
  </r>
  <r>
    <s v="Logs_Reseau_Part_02.xlsx"/>
    <d v="2023-10-08T00:00:00"/>
    <s v="CLI-00996"/>
    <x v="15"/>
    <d v="1899-12-30T02:28:00"/>
    <s v="ANT-0850"/>
    <d v="1899-12-30T00:41:00"/>
    <n v="41"/>
    <n v="-5.9021970000000001"/>
    <n v="20.551169999999999"/>
    <x v="3"/>
    <s v="Huawei"/>
    <s v="Résolu"/>
    <n v="119"/>
    <n v="9.9166666666666661"/>
    <s v="Illimité 50Go"/>
    <s v="B2C"/>
    <n v="228"/>
    <d v="1899-12-30T03:48:00"/>
    <n v="94.72"/>
    <n v="3"/>
    <n v="0"/>
    <n v="0"/>
  </r>
  <r>
    <s v="Logs_Reseau_Part_02.xlsx"/>
    <d v="2023-10-26T00:00:00"/>
    <s v="Pas de correspondance"/>
    <x v="1"/>
    <d v="1899-12-30T17:06:00"/>
    <s v="ANT-0284"/>
    <d v="1899-12-30T00:25:00"/>
    <n v="2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02T00:00:00"/>
    <s v="Pas de correspondance"/>
    <x v="1"/>
    <d v="1899-12-30T20:34:00"/>
    <s v="ANT-0046"/>
    <d v="1899-12-30T01:01:00"/>
    <n v="6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27T00:00:00"/>
    <s v="Pas de correspondance"/>
    <x v="1"/>
    <d v="1899-12-30T00:05:00"/>
    <s v="ANT-0004"/>
    <d v="1899-12-30T01:51:00"/>
    <n v="11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30T00:00:00"/>
    <s v="Pas de correspondance"/>
    <x v="1"/>
    <d v="1899-12-30T07:10:00"/>
    <s v="ANT-0342"/>
    <d v="1899-12-30T01:14:00"/>
    <n v="7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14T00:00:00"/>
    <s v="CLI-00076"/>
    <x v="6"/>
    <d v="1899-12-30T15:30:00"/>
    <s v="ANT-0790"/>
    <d v="1899-12-30T01:35:00"/>
    <n v="95"/>
    <n v="-2.9417719999999998"/>
    <n v="18.587305000000001"/>
    <x v="2"/>
    <s v="Ericsson"/>
    <s v="Résolu"/>
    <n v="46"/>
    <n v="3.8333333333333335"/>
    <s v="Premium 5G 150Go"/>
    <s v="B2C"/>
    <n v="283"/>
    <d v="1899-12-30T04:43:00"/>
    <n v="56.05"/>
    <n v="1"/>
    <n v="0.45"/>
    <n v="25.2225"/>
  </r>
  <r>
    <s v="Logs_Reseau_Part_02.xlsx"/>
    <d v="2023-10-07T00:00:00"/>
    <s v="CLI-00569"/>
    <x v="16"/>
    <d v="1899-12-30T12:57:00"/>
    <s v="ANT-0134"/>
    <d v="1899-12-30T00:43:00"/>
    <n v="43"/>
    <n v="-10.963041"/>
    <n v="12.269857"/>
    <x v="0"/>
    <s v="Huawei"/>
    <s v="Résolu"/>
    <n v="110"/>
    <n v="9.1666666666666661"/>
    <s v="Pro Monde"/>
    <s v="B2B"/>
    <n v="423"/>
    <d v="1899-12-30T07:03:00"/>
    <n v="37.35"/>
    <n v="4"/>
    <n v="0.45"/>
    <n v="16.807500000000001"/>
  </r>
  <r>
    <s v="Logs_Reseau_Part_02.xlsx"/>
    <d v="2023-10-02T00:00:00"/>
    <s v="CLI-00837"/>
    <x v="8"/>
    <d v="1899-12-30T05:24:00"/>
    <s v="ANT-0653"/>
    <d v="1899-12-30T01:23:00"/>
    <n v="83"/>
    <n v="0.82868600000000003"/>
    <n v="26.958843999999999"/>
    <x v="2"/>
    <s v="ZTE"/>
    <s v="Non Résolu"/>
    <n v="16"/>
    <n v="1.3333333333333333"/>
    <s v="Bloqué 5Go"/>
    <s v="B2C"/>
    <n v="390"/>
    <d v="1899-12-30T06:30:00"/>
    <n v="98.17"/>
    <n v="5"/>
    <n v="0.45"/>
    <n v="44.176500000000004"/>
  </r>
  <r>
    <s v="Logs_Reseau_Part_02.xlsx"/>
    <d v="2023-10-01T00:00:00"/>
    <s v="Pas de correspondance"/>
    <x v="1"/>
    <d v="1899-12-30T12:16:00"/>
    <s v="ANT-0269"/>
    <d v="1899-12-30T01:48:00"/>
    <n v="10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30T00:00:00"/>
    <s v="CLI-00280"/>
    <x v="7"/>
    <d v="1899-12-30T14:18:00"/>
    <s v="ANT-0166"/>
    <d v="1899-12-30T01:28:00"/>
    <n v="88"/>
    <n v="-10.56448"/>
    <n v="19.792876"/>
    <x v="2"/>
    <s v="Ericsson"/>
    <s v="En Cours"/>
    <n v="113"/>
    <n v="9.4166666666666661"/>
    <s v="Illimité 50Go"/>
    <s v="B2C"/>
    <n v="380"/>
    <d v="1899-12-30T06:20:00"/>
    <n v="12.11"/>
    <n v="0"/>
    <n v="0.45"/>
    <n v="5.4494999999999996"/>
  </r>
  <r>
    <s v="Logs_Reseau_Part_02.xlsx"/>
    <d v="2023-10-14T00:00:00"/>
    <s v="CLI-00530"/>
    <x v="17"/>
    <d v="1899-12-30T22:46:00"/>
    <s v="ANT-0760"/>
    <d v="1899-12-30T01:12:00"/>
    <n v="72"/>
    <n v="-2.7140689999999998"/>
    <n v="22.222104000000002"/>
    <x v="0"/>
    <s v="Nokia"/>
    <s v="Non Résolu"/>
    <n v="35"/>
    <n v="2.9166666666666665"/>
    <s v="Pro Monde"/>
    <s v="B2B"/>
    <n v="465"/>
    <d v="1899-12-30T07:45:00"/>
    <n v="58.59"/>
    <n v="5"/>
    <n v="0.45"/>
    <n v="26.365500000000001"/>
  </r>
  <r>
    <s v="Logs_Reseau_Part_02.xlsx"/>
    <d v="2023-10-26T00:00:00"/>
    <s v="Pas de correspondance"/>
    <x v="1"/>
    <d v="1899-12-30T17:42:00"/>
    <s v="ANT-0453"/>
    <d v="1899-12-30T00:06:00"/>
    <n v="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23T00:00:00"/>
    <s v="CLI-01618"/>
    <x v="0"/>
    <d v="1899-12-30T15:09:00"/>
    <s v="ANT-0565"/>
    <d v="1899-12-30T01:30:00"/>
    <n v="90"/>
    <n v="-2.099631"/>
    <n v="13.974640000000001"/>
    <x v="3"/>
    <s v="Nokia"/>
    <s v="Résolu"/>
    <n v="115"/>
    <n v="9.5833333333333339"/>
    <s v="Bloqué 5Go"/>
    <s v="B2C"/>
    <n v="176"/>
    <d v="1899-12-30T02:56:00"/>
    <n v="33.28"/>
    <n v="4"/>
    <n v="0"/>
    <n v="0"/>
  </r>
  <r>
    <s v="Logs_Reseau_Part_02.xlsx"/>
    <d v="2023-10-07T00:00:00"/>
    <s v="Pas de correspondance"/>
    <x v="1"/>
    <d v="1899-12-30T09:13:00"/>
    <s v="ANT-0723"/>
    <d v="1899-12-30T01:49:00"/>
    <n v="10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31T00:00:00"/>
    <s v="Pas de correspondance"/>
    <x v="1"/>
    <d v="1899-12-30T01:37:00"/>
    <s v="ANT-0438"/>
    <d v="1899-12-30T01:15:00"/>
    <n v="7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24T00:00:00"/>
    <s v="Pas de correspondance"/>
    <x v="1"/>
    <d v="1899-12-30T17:03:00"/>
    <s v="ANT-0575"/>
    <d v="1899-12-30T00:43:00"/>
    <n v="4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24T00:00:00"/>
    <s v="Pas de correspondance"/>
    <x v="1"/>
    <d v="1899-12-30T10:03:00"/>
    <s v="ANT-0010"/>
    <d v="1899-12-30T01:29:00"/>
    <n v="8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02T00:00:00"/>
    <s v="Pas de correspondance"/>
    <x v="1"/>
    <d v="1899-12-30T18:30:00"/>
    <s v="ANT-0115"/>
    <d v="1899-12-30T00:18:00"/>
    <n v="1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17T00:00:00"/>
    <s v="CLI-00280"/>
    <x v="7"/>
    <d v="1899-12-30T16:10:00"/>
    <s v="ANT-0078"/>
    <d v="1899-12-30T01:57:00"/>
    <n v="117"/>
    <n v="-12.141233"/>
    <n v="15.179043999999999"/>
    <x v="2"/>
    <s v="Ericsson"/>
    <s v="Résolu"/>
    <n v="113"/>
    <n v="9.4166666666666661"/>
    <s v="Illimité 50Go"/>
    <s v="B2C"/>
    <n v="380"/>
    <d v="1899-12-30T06:20:00"/>
    <n v="12.11"/>
    <n v="0"/>
    <n v="0.45"/>
    <n v="5.4494999999999996"/>
  </r>
  <r>
    <s v="Logs_Reseau_Part_02.xlsx"/>
    <d v="2023-10-02T00:00:00"/>
    <s v="Pas de correspondance"/>
    <x v="1"/>
    <d v="1899-12-30T16:05:00"/>
    <s v="ANT-0968"/>
    <d v="1899-12-30T00:22:00"/>
    <n v="2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28T00:00:00"/>
    <s v="Pas de correspondance"/>
    <x v="1"/>
    <d v="1899-12-30T05:04:00"/>
    <s v="ANT-0905"/>
    <d v="1899-12-30T00:38:00"/>
    <n v="3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20T00:00:00"/>
    <s v="Pas de correspondance"/>
    <x v="1"/>
    <d v="1899-12-30T02:43:00"/>
    <s v="ANT-0708"/>
    <d v="1899-12-30T00:19:00"/>
    <n v="1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28T00:00:00"/>
    <s v="CLI-00280"/>
    <x v="7"/>
    <d v="1899-12-30T07:25:00"/>
    <s v="ANT-0926"/>
    <d v="1899-12-30T01:58:00"/>
    <n v="118"/>
    <n v="-10.914952"/>
    <n v="26.409648000000001"/>
    <x v="0"/>
    <s v="Huawei"/>
    <s v="En Cours"/>
    <n v="113"/>
    <n v="9.4166666666666661"/>
    <s v="Illimité 50Go"/>
    <s v="B2C"/>
    <n v="380"/>
    <d v="1899-12-30T06:20:00"/>
    <n v="12.11"/>
    <n v="0"/>
    <n v="0.45"/>
    <n v="5.4494999999999996"/>
  </r>
  <r>
    <s v="Logs_Reseau_Part_02.xlsx"/>
    <d v="2023-10-04T00:00:00"/>
    <s v="CLI-01170"/>
    <x v="5"/>
    <d v="1899-12-30T18:15:00"/>
    <s v="ANT-0153"/>
    <d v="1899-12-30T00:18:00"/>
    <n v="18"/>
    <n v="0.94539899999999999"/>
    <n v="14.401821999999999"/>
    <x v="2"/>
    <s v="Nokia"/>
    <s v="En Cours"/>
    <n v="98"/>
    <n v="8.1666666666666661"/>
    <s v="Pro Monde"/>
    <s v="B2B"/>
    <n v="482"/>
    <d v="1899-12-30T08:02:00"/>
    <n v="55.04"/>
    <n v="5"/>
    <n v="0.45"/>
    <n v="24.768000000000001"/>
  </r>
  <r>
    <s v="Logs_Reseau_Part_02.xlsx"/>
    <d v="2023-10-19T00:00:00"/>
    <s v="Pas de correspondance"/>
    <x v="1"/>
    <d v="1899-12-30T19:02:00"/>
    <s v="ANT-0559"/>
    <d v="1899-12-30T01:40:00"/>
    <n v="10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20T00:00:00"/>
    <s v="CLI-01147"/>
    <x v="18"/>
    <d v="1899-12-30T02:26:00"/>
    <s v="ANT-0037"/>
    <d v="1899-12-30T01:15:00"/>
    <n v="75"/>
    <n v="-7.0076900000000002"/>
    <n v="27.367121999999998"/>
    <x v="3"/>
    <s v="Nokia"/>
    <s v="Résolu"/>
    <n v="29"/>
    <n v="2.4166666666666665"/>
    <s v="Premium 5G 150Go"/>
    <s v="B2C"/>
    <n v="214"/>
    <d v="1899-12-30T03:34:00"/>
    <n v="74.7"/>
    <n v="3"/>
    <n v="0.45"/>
    <n v="33.615000000000002"/>
  </r>
  <r>
    <s v="Logs_Reseau_Part_02.xlsx"/>
    <d v="2023-10-22T00:00:00"/>
    <s v="CLI-00865"/>
    <x v="19"/>
    <d v="1899-12-30T18:36:00"/>
    <s v="ANT-0855"/>
    <d v="1899-12-30T00:24:00"/>
    <n v="24"/>
    <n v="-11.514188000000001"/>
    <n v="15.971181"/>
    <x v="2"/>
    <s v="Ericsson"/>
    <s v="Résolu"/>
    <n v="34"/>
    <n v="2.8333333333333335"/>
    <s v="Pro Monde"/>
    <s v="B2B"/>
    <n v="453"/>
    <d v="1899-12-30T07:33:00"/>
    <n v="56.84"/>
    <n v="0"/>
    <n v="0.45"/>
    <n v="25.578000000000003"/>
  </r>
  <r>
    <s v="Logs_Reseau_Part_02.xlsx"/>
    <d v="2023-10-17T00:00:00"/>
    <s v="CLI-00060"/>
    <x v="3"/>
    <d v="1899-12-30T10:59:00"/>
    <s v="ANT-0379"/>
    <d v="1899-12-30T00:39:00"/>
    <n v="39"/>
    <n v="-9.5266249999999992"/>
    <n v="27.889690999999999"/>
    <x v="0"/>
    <s v="Ericsson"/>
    <s v="Résolu"/>
    <n v="72"/>
    <n v="6"/>
    <s v="Pro Monde"/>
    <s v="B2B"/>
    <n v="160"/>
    <d v="1899-12-30T02:40:00"/>
    <n v="90.13"/>
    <n v="2"/>
    <n v="0.1"/>
    <n v="9.0129999999999999"/>
  </r>
  <r>
    <s v="Logs_Reseau_Part_02.xlsx"/>
    <d v="2023-10-09T00:00:00"/>
    <s v="CLI-01170"/>
    <x v="5"/>
    <d v="1899-12-30T06:42:00"/>
    <s v="ANT-0597"/>
    <d v="1899-12-30T00:41:00"/>
    <n v="41"/>
    <n v="-9.3066320000000005"/>
    <n v="20.470889"/>
    <x v="2"/>
    <s v="ZTE"/>
    <s v="Non Résolu"/>
    <n v="98"/>
    <n v="8.1666666666666661"/>
    <s v="Pro Monde"/>
    <s v="B2B"/>
    <n v="482"/>
    <d v="1899-12-30T08:02:00"/>
    <n v="55.04"/>
    <n v="5"/>
    <n v="0.45"/>
    <n v="24.768000000000001"/>
  </r>
  <r>
    <s v="Logs_Reseau_Part_02.xlsx"/>
    <d v="2023-10-23T00:00:00"/>
    <s v="CLI-00414"/>
    <x v="20"/>
    <d v="1899-12-30T10:15:00"/>
    <s v="ANT-0566"/>
    <d v="1899-12-30T01:22:00"/>
    <n v="82"/>
    <n v="-4.4697000000000001E-2"/>
    <n v="22.943373000000001"/>
    <x v="3"/>
    <s v="Huawei"/>
    <s v="Résolu"/>
    <n v="99"/>
    <n v="8.25"/>
    <s v="Premium 5G 150Go"/>
    <s v="B2C"/>
    <n v="447"/>
    <d v="1899-12-30T07:27:00"/>
    <n v="38.1"/>
    <n v="3"/>
    <n v="0.45"/>
    <n v="17.145"/>
  </r>
  <r>
    <s v="Logs_Reseau_Part_02.xlsx"/>
    <d v="2023-10-09T00:00:00"/>
    <s v="Pas de correspondance"/>
    <x v="1"/>
    <d v="1899-12-30T12:08:00"/>
    <s v="ANT-0152"/>
    <d v="1899-12-30T00:31:00"/>
    <n v="3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22T00:00:00"/>
    <s v="Pas de correspondance"/>
    <x v="1"/>
    <d v="1899-12-30T20:19:00"/>
    <s v="ANT-0441"/>
    <d v="1899-12-30T01:36:00"/>
    <n v="9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15T00:00:00"/>
    <s v="CLI-00280"/>
    <x v="7"/>
    <d v="1899-12-30T10:59:00"/>
    <s v="ANT-0131"/>
    <d v="1899-12-30T00:48:00"/>
    <n v="48"/>
    <n v="-9.3652239999999995"/>
    <n v="22.593423999999999"/>
    <x v="2"/>
    <s v="Nokia"/>
    <s v="En Cours"/>
    <n v="113"/>
    <n v="9.4166666666666661"/>
    <s v="Illimité 50Go"/>
    <s v="B2C"/>
    <n v="380"/>
    <d v="1899-12-30T06:20:00"/>
    <n v="12.11"/>
    <n v="0"/>
    <n v="0.45"/>
    <n v="5.4494999999999996"/>
  </r>
  <r>
    <s v="Logs_Reseau_Part_02.xlsx"/>
    <d v="2023-10-25T00:00:00"/>
    <s v="Pas de correspondance"/>
    <x v="1"/>
    <d v="1899-12-30T02:00:00"/>
    <s v="ANT-0043"/>
    <d v="1899-12-30T00:31:00"/>
    <n v="3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2.xlsx"/>
    <d v="2023-10-15T00:00:00"/>
    <s v="Pas de correspondance"/>
    <x v="1"/>
    <d v="1899-12-30T19:36:00"/>
    <s v="ANT-0316"/>
    <d v="1899-12-30T01:32:00"/>
    <n v="9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31T00:00:00"/>
    <s v="CLI-01005"/>
    <x v="14"/>
    <d v="1899-12-30T00:07:00"/>
    <s v="ANT-0573"/>
    <d v="1899-12-30T00:58:00"/>
    <n v="58"/>
    <n v="-7.4608439999999998"/>
    <n v="23.268619999999999"/>
    <x v="0"/>
    <s v="Huawei"/>
    <s v="Résolu"/>
    <n v="80"/>
    <n v="6.666666666666667"/>
    <s v="Illimité 50Go"/>
    <s v="B2C"/>
    <n v="155"/>
    <d v="1899-12-30T02:35:00"/>
    <n v="28.96"/>
    <n v="2"/>
    <n v="0"/>
    <n v="0"/>
  </r>
  <r>
    <s v="Logs_Reseau_Part_03.xlsx"/>
    <d v="2023-10-29T00:00:00"/>
    <s v="Pas de correspondance"/>
    <x v="1"/>
    <d v="1899-12-30T08:11:00"/>
    <s v="ANT-0610"/>
    <d v="1899-12-30T01:58:00"/>
    <n v="11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19T00:00:00"/>
    <s v="Pas de correspondance"/>
    <x v="1"/>
    <d v="1899-12-30T08:02:00"/>
    <s v="ANT-0325"/>
    <d v="1899-12-30T01:25:00"/>
    <n v="8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04T00:00:00"/>
    <s v="Pas de correspondance"/>
    <x v="1"/>
    <d v="1899-12-30T19:27:00"/>
    <s v="ANT-0973"/>
    <d v="1899-12-30T01:18:00"/>
    <n v="7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12T00:00:00"/>
    <s v="Pas de correspondance"/>
    <x v="1"/>
    <d v="1899-12-30T23:50:00"/>
    <s v="ANT-0774"/>
    <d v="1899-12-30T00:29:00"/>
    <n v="2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11T00:00:00"/>
    <s v="CLI-00611"/>
    <x v="21"/>
    <d v="1899-12-30T13:38:00"/>
    <s v="ANT-0913"/>
    <d v="1899-12-30T01:36:00"/>
    <n v="96"/>
    <n v="-5.4126279999999998"/>
    <n v="25.498235999999999"/>
    <x v="2"/>
    <s v="ZTE"/>
    <s v="Résolu"/>
    <n v="79"/>
    <n v="6.583333333333333"/>
    <s v="Premium 5G 150Go"/>
    <s v="B2C"/>
    <n v="226"/>
    <d v="1899-12-30T03:46:00"/>
    <n v="94.38"/>
    <n v="3"/>
    <n v="0"/>
    <n v="0"/>
  </r>
  <r>
    <s v="Logs_Reseau_Part_03.xlsx"/>
    <d v="2023-10-17T00:00:00"/>
    <s v="Pas de correspondance"/>
    <x v="1"/>
    <d v="1899-12-30T03:24:00"/>
    <s v="ANT-0454"/>
    <d v="1899-12-30T01:34:00"/>
    <n v="9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29T00:00:00"/>
    <s v="Pas de correspondance"/>
    <x v="1"/>
    <d v="1899-12-30T18:12:00"/>
    <s v="ANT-0628"/>
    <d v="1899-12-30T00:54:00"/>
    <n v="5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09T00:00:00"/>
    <s v="CLI-00837"/>
    <x v="8"/>
    <d v="1899-12-30T01:45:00"/>
    <s v="ANT-0835"/>
    <d v="1899-12-30T01:08:00"/>
    <n v="68"/>
    <n v="1.017161"/>
    <n v="16.519689"/>
    <x v="3"/>
    <s v="Nokia"/>
    <s v="Résolu"/>
    <n v="16"/>
    <n v="1.3333333333333333"/>
    <s v="Bloqué 5Go"/>
    <s v="B2C"/>
    <n v="390"/>
    <d v="1899-12-30T06:30:00"/>
    <n v="98.17"/>
    <n v="5"/>
    <n v="0.45"/>
    <n v="44.176500000000004"/>
  </r>
  <r>
    <s v="Logs_Reseau_Part_03.xlsx"/>
    <d v="2023-10-14T00:00:00"/>
    <s v="CLI-01233"/>
    <x v="2"/>
    <d v="1899-12-30T00:33:00"/>
    <s v="ANT-0737"/>
    <d v="1899-12-30T00:56:00"/>
    <n v="56"/>
    <n v="-2.8211520000000001"/>
    <n v="20.651419000000001"/>
    <x v="2"/>
    <s v="Ericsson"/>
    <s v="En Cours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03.xlsx"/>
    <d v="2023-10-30T00:00:00"/>
    <s v="CLI-00131"/>
    <x v="4"/>
    <d v="1899-12-30T17:43:00"/>
    <s v="ANT-0914"/>
    <d v="1899-12-30T00:36:00"/>
    <n v="36"/>
    <n v="-11.218453999999999"/>
    <n v="28.230025000000001"/>
    <x v="2"/>
    <s v="ZTE"/>
    <s v="Non Résolu"/>
    <n v="101"/>
    <n v="8.4166666666666661"/>
    <s v="Pro Monde"/>
    <s v="B2B"/>
    <n v="176"/>
    <d v="1899-12-30T02:56:00"/>
    <n v="86"/>
    <n v="3"/>
    <n v="0.1"/>
    <n v="8.6"/>
  </r>
  <r>
    <s v="Logs_Reseau_Part_03.xlsx"/>
    <d v="2023-10-24T00:00:00"/>
    <s v="CLI-00530"/>
    <x v="17"/>
    <d v="1899-12-30T23:47:00"/>
    <s v="ANT-0517"/>
    <d v="1899-12-30T00:23:00"/>
    <n v="23"/>
    <n v="-8.0922239999999999"/>
    <n v="15.483708"/>
    <x v="2"/>
    <s v="Nokia"/>
    <s v="Résolu"/>
    <n v="35"/>
    <n v="2.9166666666666665"/>
    <s v="Pro Monde"/>
    <s v="B2B"/>
    <n v="465"/>
    <d v="1899-12-30T07:45:00"/>
    <n v="58.59"/>
    <n v="5"/>
    <n v="0.45"/>
    <n v="26.365500000000001"/>
  </r>
  <r>
    <s v="Logs_Reseau_Part_03.xlsx"/>
    <d v="2023-10-22T00:00:00"/>
    <s v="CLI-00611"/>
    <x v="21"/>
    <d v="1899-12-30T06:23:00"/>
    <s v="ANT-0437"/>
    <d v="1899-12-30T01:28:00"/>
    <n v="88"/>
    <n v="-1.339734"/>
    <n v="15.243098"/>
    <x v="3"/>
    <s v="Nokia"/>
    <s v="Non Résolu"/>
    <n v="79"/>
    <n v="6.583333333333333"/>
    <s v="Premium 5G 150Go"/>
    <s v="B2C"/>
    <n v="226"/>
    <d v="1899-12-30T03:46:00"/>
    <n v="94.38"/>
    <n v="3"/>
    <n v="0"/>
    <n v="0"/>
  </r>
  <r>
    <s v="Logs_Reseau_Part_03.xlsx"/>
    <d v="2023-10-14T00:00:00"/>
    <s v="Pas de correspondance"/>
    <x v="1"/>
    <d v="1899-12-30T02:42:00"/>
    <s v="ANT-0851"/>
    <d v="1899-12-30T01:33:00"/>
    <n v="9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30T00:00:00"/>
    <s v="CLI-00060"/>
    <x v="3"/>
    <d v="1899-12-30T10:39:00"/>
    <s v="ANT-0929"/>
    <d v="1899-12-30T00:05:00"/>
    <n v="5"/>
    <n v="-6.6803710000000001"/>
    <n v="21.955673000000001"/>
    <x v="0"/>
    <s v="Nokia"/>
    <s v="Résolu"/>
    <n v="72"/>
    <n v="6"/>
    <s v="Pro Monde"/>
    <s v="B2B"/>
    <n v="160"/>
    <d v="1899-12-30T02:40:00"/>
    <n v="90.13"/>
    <n v="2"/>
    <n v="0.1"/>
    <n v="9.0129999999999999"/>
  </r>
  <r>
    <s v="Logs_Reseau_Part_03.xlsx"/>
    <d v="2023-10-11T00:00:00"/>
    <s v="Pas de correspondance"/>
    <x v="1"/>
    <d v="1899-12-30T21:54:00"/>
    <s v="ANT-0562"/>
    <d v="1899-12-30T01:59:00"/>
    <n v="11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04T00:00:00"/>
    <s v="CLI-00837"/>
    <x v="8"/>
    <d v="1899-12-30T23:57:00"/>
    <s v="ANT-0457"/>
    <d v="1899-12-30T01:41:00"/>
    <n v="101"/>
    <n v="-6.3148239999999998"/>
    <n v="24.507498999999999"/>
    <x v="3"/>
    <s v="ZTE"/>
    <s v="En Cours"/>
    <n v="16"/>
    <n v="1.3333333333333333"/>
    <s v="Bloqué 5Go"/>
    <s v="B2C"/>
    <n v="390"/>
    <d v="1899-12-30T06:30:00"/>
    <n v="98.17"/>
    <n v="5"/>
    <n v="0.45"/>
    <n v="44.176500000000004"/>
  </r>
  <r>
    <s v="Logs_Reseau_Part_03.xlsx"/>
    <d v="2023-10-10T00:00:00"/>
    <s v="Pas de correspondance"/>
    <x v="1"/>
    <d v="1899-12-30T16:19:00"/>
    <s v="ANT-0919"/>
    <d v="1899-12-30T01:55:00"/>
    <n v="11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22T00:00:00"/>
    <s v="Pas de correspondance"/>
    <x v="1"/>
    <d v="1899-12-30T13:20:00"/>
    <s v="ANT-0163"/>
    <d v="1899-12-30T01:43:00"/>
    <n v="10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13T00:00:00"/>
    <s v="Pas de correspondance"/>
    <x v="1"/>
    <d v="1899-12-30T22:18:00"/>
    <s v="ANT-0762"/>
    <d v="1899-12-30T01:58:00"/>
    <n v="11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18T00:00:00"/>
    <s v="CLI-01855"/>
    <x v="11"/>
    <d v="1899-12-30T04:12:00"/>
    <s v="ANT-0883"/>
    <d v="1899-12-30T00:18:00"/>
    <n v="18"/>
    <n v="-9.4702129999999993"/>
    <n v="12.826158"/>
    <x v="3"/>
    <s v="Ericsson"/>
    <s v="En Cours"/>
    <n v="101"/>
    <n v="8.4166666666666661"/>
    <s v="Illimité 50Go"/>
    <s v="B2C"/>
    <n v="358"/>
    <d v="1899-12-30T05:58:00"/>
    <n v="29.24"/>
    <n v="3"/>
    <n v="0.45"/>
    <n v="13.157999999999999"/>
  </r>
  <r>
    <s v="Logs_Reseau_Part_03.xlsx"/>
    <d v="2023-10-14T00:00:00"/>
    <s v="Pas de correspondance"/>
    <x v="1"/>
    <d v="1899-12-30T21:24:00"/>
    <s v="ANT-0487"/>
    <d v="1899-12-30T01:44:00"/>
    <n v="10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22T00:00:00"/>
    <s v="Pas de correspondance"/>
    <x v="1"/>
    <d v="1899-12-30T23:57:00"/>
    <s v="ANT-0461"/>
    <d v="1899-12-30T00:59:00"/>
    <n v="5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06T00:00:00"/>
    <s v="Pas de correspondance"/>
    <x v="1"/>
    <d v="1899-12-30T19:36:00"/>
    <s v="ANT-0266"/>
    <d v="1899-12-30T00:33:00"/>
    <n v="3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10T00:00:00"/>
    <s v="Pas de correspondance"/>
    <x v="1"/>
    <d v="1899-12-30T12:35:00"/>
    <s v="ANT-0770"/>
    <d v="1899-12-30T00:27:00"/>
    <n v="2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27T00:00:00"/>
    <s v="Pas de correspondance"/>
    <x v="1"/>
    <d v="1899-12-30T00:19:00"/>
    <s v="ANT-0254"/>
    <d v="1899-12-30T01:47:00"/>
    <n v="10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10T00:00:00"/>
    <s v="Pas de correspondance"/>
    <x v="1"/>
    <d v="1899-12-30T06:27:00"/>
    <s v="ANT-0861"/>
    <d v="1899-12-30T01:34:00"/>
    <n v="9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26T00:00:00"/>
    <s v="CLI-00837"/>
    <x v="8"/>
    <d v="1899-12-30T18:38:00"/>
    <s v="ANT-0653"/>
    <d v="1899-12-30T01:11:00"/>
    <n v="71"/>
    <n v="0.82868600000000003"/>
    <n v="26.958843999999999"/>
    <x v="2"/>
    <s v="ZTE"/>
    <s v="Résolu"/>
    <n v="16"/>
    <n v="1.3333333333333333"/>
    <s v="Bloqué 5Go"/>
    <s v="B2C"/>
    <n v="390"/>
    <d v="1899-12-30T06:30:00"/>
    <n v="98.17"/>
    <n v="5"/>
    <n v="0.45"/>
    <n v="44.176500000000004"/>
  </r>
  <r>
    <s v="Logs_Reseau_Part_03.xlsx"/>
    <d v="2023-10-21T00:00:00"/>
    <s v="Pas de correspondance"/>
    <x v="1"/>
    <d v="1899-12-30T10:29:00"/>
    <s v="ANT-0284"/>
    <d v="1899-12-30T01:04:00"/>
    <n v="6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15T00:00:00"/>
    <s v="Pas de correspondance"/>
    <x v="1"/>
    <d v="1899-12-30T14:43:00"/>
    <s v="ANT-0785"/>
    <d v="1899-12-30T00:11:00"/>
    <n v="1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07T00:00:00"/>
    <s v="CLI-00439"/>
    <x v="22"/>
    <d v="1899-12-30T16:30:00"/>
    <s v="ANT-0797"/>
    <d v="1899-12-30T01:16:00"/>
    <n v="76"/>
    <n v="-12.100756000000001"/>
    <n v="21.938649999999999"/>
    <x v="0"/>
    <s v="Huawei"/>
    <s v="En Cours"/>
    <n v="40"/>
    <n v="3.3333333333333335"/>
    <s v="Premium 5G 150Go"/>
    <s v="B2C"/>
    <n v="345"/>
    <d v="1899-12-30T05:45:00"/>
    <n v="89.55"/>
    <n v="3"/>
    <n v="0.45"/>
    <n v="40.297499999999999"/>
  </r>
  <r>
    <s v="Logs_Reseau_Part_03.xlsx"/>
    <d v="2023-10-26T00:00:00"/>
    <s v="CLI-01618"/>
    <x v="0"/>
    <d v="1899-12-30T23:10:00"/>
    <s v="ANT-0534"/>
    <d v="1899-12-30T00:36:00"/>
    <n v="36"/>
    <n v="-9.002459"/>
    <n v="25.182109000000001"/>
    <x v="2"/>
    <s v="Huawei"/>
    <s v="Résolu"/>
    <n v="115"/>
    <n v="9.5833333333333339"/>
    <s v="Bloqué 5Go"/>
    <s v="B2C"/>
    <n v="176"/>
    <d v="1899-12-30T02:56:00"/>
    <n v="33.28"/>
    <n v="4"/>
    <n v="0"/>
    <n v="0"/>
  </r>
  <r>
    <s v="Logs_Reseau_Part_03.xlsx"/>
    <d v="2023-10-22T00:00:00"/>
    <s v="Pas de correspondance"/>
    <x v="1"/>
    <d v="1899-12-30T02:18:00"/>
    <s v="ANT-0497"/>
    <d v="1899-12-30T01:53:00"/>
    <n v="11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17T00:00:00"/>
    <s v="CLI-00996"/>
    <x v="15"/>
    <d v="1899-12-30T21:40:00"/>
    <s v="ANT-0642"/>
    <d v="1899-12-30T00:20:00"/>
    <n v="20"/>
    <n v="-4.2408359999999998"/>
    <n v="26.210014000000001"/>
    <x v="0"/>
    <s v="Huawei"/>
    <s v="En Cours"/>
    <n v="119"/>
    <n v="9.9166666666666661"/>
    <s v="Illimité 50Go"/>
    <s v="B2C"/>
    <n v="228"/>
    <d v="1899-12-30T03:48:00"/>
    <n v="94.72"/>
    <n v="3"/>
    <n v="0"/>
    <n v="0"/>
  </r>
  <r>
    <s v="Logs_Reseau_Part_03.xlsx"/>
    <d v="2023-10-20T00:00:00"/>
    <s v="CLI-00131"/>
    <x v="4"/>
    <d v="1899-12-30T10:05:00"/>
    <s v="ANT-0245"/>
    <d v="1899-12-30T01:03:00"/>
    <n v="63"/>
    <n v="-9.9875139999999991"/>
    <n v="12.013676999999999"/>
    <x v="3"/>
    <s v="ZTE"/>
    <s v="En Cours"/>
    <n v="101"/>
    <n v="8.4166666666666661"/>
    <s v="Pro Monde"/>
    <s v="B2B"/>
    <n v="176"/>
    <d v="1899-12-30T02:56:00"/>
    <n v="86"/>
    <n v="3"/>
    <n v="0.1"/>
    <n v="8.6"/>
  </r>
  <r>
    <s v="Logs_Reseau_Part_03.xlsx"/>
    <d v="2023-10-27T00:00:00"/>
    <s v="Pas de correspondance"/>
    <x v="1"/>
    <d v="1899-12-30T07:43:00"/>
    <s v="ANT-0282"/>
    <d v="1899-12-30T00:22:00"/>
    <n v="2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3.xlsx"/>
    <d v="2023-10-10T00:00:00"/>
    <s v="CLI-00643"/>
    <x v="12"/>
    <d v="1899-12-30T07:51:00"/>
    <s v="ANT-0451"/>
    <d v="1899-12-30T01:47:00"/>
    <n v="107"/>
    <n v="-5.0402180000000003"/>
    <n v="13.892471"/>
    <x v="3"/>
    <s v="ZTE"/>
    <s v="Non Résolu"/>
    <n v="14"/>
    <n v="1.1666666666666667"/>
    <s v="Pro Monde"/>
    <s v="B2B"/>
    <n v="316"/>
    <d v="1899-12-30T05:16:00"/>
    <n v="62.34"/>
    <n v="4"/>
    <n v="0.45"/>
    <n v="28.053000000000001"/>
  </r>
  <r>
    <s v="Logs_Reseau_Part_03.xlsx"/>
    <d v="2023-10-07T00:00:00"/>
    <s v="CLI-01147"/>
    <x v="18"/>
    <d v="1899-12-30T04:01:00"/>
    <s v="ANT-0080"/>
    <d v="1899-12-30T01:04:00"/>
    <n v="64"/>
    <n v="0.24202000000000001"/>
    <n v="17.396256999999999"/>
    <x v="0"/>
    <s v="Huawei"/>
    <s v="Non Résolu"/>
    <n v="29"/>
    <n v="2.4166666666666665"/>
    <s v="Premium 5G 150Go"/>
    <s v="B2C"/>
    <n v="214"/>
    <d v="1899-12-30T03:34:00"/>
    <n v="74.7"/>
    <n v="3"/>
    <n v="0.45"/>
    <n v="33.615000000000002"/>
  </r>
  <r>
    <s v="Logs_Reseau_Part_03.xlsx"/>
    <d v="2023-10-02T00:00:00"/>
    <s v="CLI-01837"/>
    <x v="23"/>
    <d v="1899-12-30T07:30:00"/>
    <s v="ANT-0731"/>
    <d v="1899-12-30T01:30:00"/>
    <n v="90"/>
    <n v="-12.333232000000001"/>
    <n v="25.229620000000001"/>
    <x v="2"/>
    <s v="Nokia"/>
    <s v="Non Résolu"/>
    <n v="97"/>
    <n v="8.0833333333333339"/>
    <s v="Pro Monde"/>
    <s v="B2B"/>
    <n v="319"/>
    <d v="1899-12-30T05:19:00"/>
    <n v="31.25"/>
    <n v="1"/>
    <n v="0.45"/>
    <n v="14.0625"/>
  </r>
  <r>
    <s v="Logs_Reseau_Part_03.xlsx"/>
    <d v="2023-10-20T00:00:00"/>
    <s v="CLI-00131"/>
    <x v="4"/>
    <d v="1899-12-30T02:29:00"/>
    <s v="ANT-0293"/>
    <d v="1899-12-30T01:12:00"/>
    <n v="72"/>
    <n v="-5.7035130000000001"/>
    <n v="14.331479"/>
    <x v="2"/>
    <s v="Nokia"/>
    <s v="Non Résolu"/>
    <n v="101"/>
    <n v="8.4166666666666661"/>
    <s v="Pro Monde"/>
    <s v="B2B"/>
    <n v="176"/>
    <d v="1899-12-30T02:56:00"/>
    <n v="86"/>
    <n v="3"/>
    <n v="0.1"/>
    <n v="8.6"/>
  </r>
  <r>
    <s v="Logs_Reseau_Part_04.xlsx"/>
    <d v="2023-10-01T00:00:00"/>
    <s v="Pas de correspondance"/>
    <x v="1"/>
    <d v="1899-12-30T12:21:00"/>
    <s v="ANT-0287"/>
    <d v="1899-12-30T00:24:00"/>
    <n v="2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22T00:00:00"/>
    <s v="Pas de correspondance"/>
    <x v="1"/>
    <d v="1899-12-30T21:51:00"/>
    <s v="ANT-0902"/>
    <d v="1899-12-30T01:00:00"/>
    <n v="6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13T00:00:00"/>
    <s v="CLI-01233"/>
    <x v="2"/>
    <d v="1899-12-30T23:10:00"/>
    <s v="ANT-0611"/>
    <d v="1899-12-30T00:27:00"/>
    <n v="27"/>
    <n v="0.79124300000000003"/>
    <n v="25.273389000000002"/>
    <x v="0"/>
    <s v="Nokia"/>
    <s v="En Cours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04.xlsx"/>
    <d v="2023-10-27T00:00:00"/>
    <s v="CLI-01170"/>
    <x v="5"/>
    <d v="1899-12-30T14:58:00"/>
    <s v="ANT-0719"/>
    <d v="1899-12-30T01:38:00"/>
    <n v="98"/>
    <n v="-7.9987219999999999"/>
    <n v="12.779335"/>
    <x v="2"/>
    <s v="Nokia"/>
    <s v="En Cours"/>
    <n v="98"/>
    <n v="8.1666666666666661"/>
    <s v="Pro Monde"/>
    <s v="B2B"/>
    <n v="482"/>
    <d v="1899-12-30T08:02:00"/>
    <n v="55.04"/>
    <n v="5"/>
    <n v="0.45"/>
    <n v="24.768000000000001"/>
  </r>
  <r>
    <s v="Logs_Reseau_Part_04.xlsx"/>
    <d v="2023-10-05T00:00:00"/>
    <s v="Pas de correspondance"/>
    <x v="1"/>
    <d v="1899-12-30T19:34:00"/>
    <s v="ANT-0902"/>
    <d v="1899-12-30T01:11:00"/>
    <n v="7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01T00:00:00"/>
    <s v="CLI-00611"/>
    <x v="21"/>
    <d v="1899-12-30T12:37:00"/>
    <s v="ANT-0283"/>
    <d v="1899-12-30T01:28:00"/>
    <n v="88"/>
    <n v="-1.6097570000000001"/>
    <n v="30.661662"/>
    <x v="0"/>
    <s v="Ericsson"/>
    <s v="En Cours"/>
    <n v="79"/>
    <n v="6.583333333333333"/>
    <s v="Premium 5G 150Go"/>
    <s v="B2C"/>
    <n v="226"/>
    <d v="1899-12-30T03:46:00"/>
    <n v="94.38"/>
    <n v="3"/>
    <n v="0"/>
    <n v="0"/>
  </r>
  <r>
    <s v="Logs_Reseau_Part_04.xlsx"/>
    <d v="2023-10-19T00:00:00"/>
    <s v="Pas de correspondance"/>
    <x v="1"/>
    <d v="1899-12-30T21:01:00"/>
    <s v="ANT-0570"/>
    <d v="1899-12-30T00:39:00"/>
    <n v="3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03T00:00:00"/>
    <s v="CLI-00361"/>
    <x v="24"/>
    <d v="1899-12-30T20:27:00"/>
    <s v="ANT-0011"/>
    <d v="1899-12-30T01:23:00"/>
    <n v="83"/>
    <n v="-1.607639"/>
    <n v="17.003636"/>
    <x v="0"/>
    <s v="Ericsson"/>
    <s v="Résolu"/>
    <n v="66"/>
    <n v="5.5"/>
    <s v="Illimité 50Go"/>
    <s v="B2C"/>
    <n v="270"/>
    <d v="1899-12-30T04:30:00"/>
    <n v="75.88"/>
    <n v="3"/>
    <n v="0.45"/>
    <n v="34.146000000000001"/>
  </r>
  <r>
    <s v="Logs_Reseau_Part_04.xlsx"/>
    <d v="2023-10-05T00:00:00"/>
    <s v="CLI-00996"/>
    <x v="15"/>
    <d v="1899-12-30T14:11:00"/>
    <s v="ANT-0530"/>
    <d v="1899-12-30T01:48:00"/>
    <n v="108"/>
    <n v="-8.5675749999999997"/>
    <n v="26.994581"/>
    <x v="3"/>
    <s v="Nokia"/>
    <s v="Non Résolu"/>
    <n v="119"/>
    <n v="9.9166666666666661"/>
    <s v="Illimité 50Go"/>
    <s v="B2C"/>
    <n v="228"/>
    <d v="1899-12-30T03:48:00"/>
    <n v="94.72"/>
    <n v="3"/>
    <n v="0"/>
    <n v="0"/>
  </r>
  <r>
    <s v="Logs_Reseau_Part_04.xlsx"/>
    <d v="2023-10-02T00:00:00"/>
    <s v="Pas de correspondance"/>
    <x v="1"/>
    <d v="1899-12-30T08:24:00"/>
    <s v="ANT-0971"/>
    <d v="1899-12-30T01:13:00"/>
    <n v="7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11T00:00:00"/>
    <s v="Pas de correspondance"/>
    <x v="1"/>
    <d v="1899-12-30T06:29:00"/>
    <s v="ANT-0196"/>
    <d v="1899-12-30T01:44:00"/>
    <n v="10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11T00:00:00"/>
    <s v="CLI-01005"/>
    <x v="14"/>
    <d v="1899-12-30T10:48:00"/>
    <s v="ANT-0088"/>
    <d v="1899-12-30T01:06:00"/>
    <n v="66"/>
    <n v="-9.7803979999999999"/>
    <n v="17.686595000000001"/>
    <x v="0"/>
    <s v="Ericsson"/>
    <s v="Résolu"/>
    <n v="80"/>
    <n v="6.666666666666667"/>
    <s v="Illimité 50Go"/>
    <s v="B2C"/>
    <n v="155"/>
    <d v="1899-12-30T02:35:00"/>
    <n v="28.96"/>
    <n v="2"/>
    <n v="0"/>
    <n v="0"/>
  </r>
  <r>
    <s v="Logs_Reseau_Part_04.xlsx"/>
    <d v="2023-10-29T00:00:00"/>
    <s v="Pas de correspondance"/>
    <x v="1"/>
    <d v="1899-12-30T12:17:00"/>
    <s v="ANT-0248"/>
    <d v="1899-12-30T01:04:00"/>
    <n v="6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25T00:00:00"/>
    <s v="CLI-01618"/>
    <x v="0"/>
    <d v="1899-12-30T13:16:00"/>
    <s v="ANT-0738"/>
    <d v="1899-12-30T01:00:00"/>
    <n v="60"/>
    <n v="-10.439686999999999"/>
    <n v="20.714210000000001"/>
    <x v="0"/>
    <s v="ZTE"/>
    <s v="Non Résolu"/>
    <n v="115"/>
    <n v="9.5833333333333339"/>
    <s v="Bloqué 5Go"/>
    <s v="B2C"/>
    <n v="176"/>
    <d v="1899-12-30T02:56:00"/>
    <n v="33.28"/>
    <n v="4"/>
    <n v="0"/>
    <n v="0"/>
  </r>
  <r>
    <s v="Logs_Reseau_Part_04.xlsx"/>
    <d v="2023-10-27T00:00:00"/>
    <s v="Pas de correspondance"/>
    <x v="1"/>
    <d v="1899-12-30T02:30:00"/>
    <s v="ANT-0417"/>
    <d v="1899-12-30T01:50:00"/>
    <n v="11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01T00:00:00"/>
    <s v="Pas de correspondance"/>
    <x v="1"/>
    <d v="1899-12-30T23:34:00"/>
    <s v="ANT-0501"/>
    <d v="1899-12-30T01:38:00"/>
    <n v="9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02T00:00:00"/>
    <s v="CLI-00076"/>
    <x v="6"/>
    <d v="1899-12-30T11:14:00"/>
    <s v="ANT-0569"/>
    <d v="1899-12-30T01:20:00"/>
    <n v="80"/>
    <n v="-3.3890790000000002"/>
    <n v="18.374571"/>
    <x v="2"/>
    <s v="ZTE"/>
    <s v="Résolu"/>
    <n v="46"/>
    <n v="3.8333333333333335"/>
    <s v="Premium 5G 150Go"/>
    <s v="B2C"/>
    <n v="283"/>
    <d v="1899-12-30T04:43:00"/>
    <n v="56.05"/>
    <n v="1"/>
    <n v="0.45"/>
    <n v="25.2225"/>
  </r>
  <r>
    <s v="Logs_Reseau_Part_04.xlsx"/>
    <d v="2023-10-21T00:00:00"/>
    <s v="Pas de correspondance"/>
    <x v="1"/>
    <d v="1899-12-30T02:49:00"/>
    <s v="ANT-0777"/>
    <d v="1899-12-30T00:39:00"/>
    <n v="3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31T00:00:00"/>
    <s v="Pas de correspondance"/>
    <x v="1"/>
    <d v="1899-12-30T20:02:00"/>
    <s v="ANT-0247"/>
    <d v="1899-12-30T00:46:00"/>
    <n v="4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25T00:00:00"/>
    <s v="Pas de correspondance"/>
    <x v="1"/>
    <d v="1899-12-30T00:15:00"/>
    <s v="ANT-0708"/>
    <d v="1899-12-30T01:54:00"/>
    <n v="11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07T00:00:00"/>
    <s v="CLI-00060"/>
    <x v="3"/>
    <d v="1899-12-30T00:39:00"/>
    <s v="ANT-0488"/>
    <d v="1899-12-30T00:36:00"/>
    <n v="36"/>
    <n v="-3.111418"/>
    <n v="14.144854"/>
    <x v="0"/>
    <s v="ZTE"/>
    <s v="En Cours"/>
    <n v="72"/>
    <n v="6"/>
    <s v="Pro Monde"/>
    <s v="B2B"/>
    <n v="160"/>
    <d v="1899-12-30T02:40:00"/>
    <n v="90.13"/>
    <n v="2"/>
    <n v="0.1"/>
    <n v="9.0129999999999999"/>
  </r>
  <r>
    <s v="Logs_Reseau_Part_04.xlsx"/>
    <d v="2023-10-05T00:00:00"/>
    <s v="CLI-01170"/>
    <x v="5"/>
    <d v="1899-12-30T07:08:00"/>
    <s v="ANT-0662"/>
    <d v="1899-12-30T01:51:00"/>
    <n v="111"/>
    <n v="-1.342476"/>
    <n v="15.986086"/>
    <x v="0"/>
    <s v="Ericsson"/>
    <s v="Non Résolu"/>
    <n v="98"/>
    <n v="8.1666666666666661"/>
    <s v="Pro Monde"/>
    <s v="B2B"/>
    <n v="482"/>
    <d v="1899-12-30T08:02:00"/>
    <n v="55.04"/>
    <n v="5"/>
    <n v="0.45"/>
    <n v="24.768000000000001"/>
  </r>
  <r>
    <s v="Logs_Reseau_Part_04.xlsx"/>
    <d v="2023-10-16T00:00:00"/>
    <s v="Pas de correspondance"/>
    <x v="1"/>
    <d v="1899-12-30T21:07:00"/>
    <s v="ANT-0729"/>
    <d v="1899-12-30T00:16:00"/>
    <n v="1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19T00:00:00"/>
    <s v="Pas de correspondance"/>
    <x v="1"/>
    <d v="1899-12-30T06:29:00"/>
    <s v="ANT-0503"/>
    <d v="1899-12-30T00:40:00"/>
    <n v="4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23T00:00:00"/>
    <s v="Pas de correspondance"/>
    <x v="1"/>
    <d v="1899-12-30T08:49:00"/>
    <s v="ANT-0459"/>
    <d v="1899-12-30T01:57:00"/>
    <n v="11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12T00:00:00"/>
    <s v="CLI-00837"/>
    <x v="8"/>
    <d v="1899-12-30T05:38:00"/>
    <s v="ANT-0812"/>
    <d v="1899-12-30T01:02:00"/>
    <n v="62"/>
    <n v="-2.3102109999999998"/>
    <n v="12.362488000000001"/>
    <x v="2"/>
    <s v="Nokia"/>
    <s v="En Cours"/>
    <n v="16"/>
    <n v="1.3333333333333333"/>
    <s v="Bloqué 5Go"/>
    <s v="B2C"/>
    <n v="390"/>
    <d v="1899-12-30T06:30:00"/>
    <n v="98.17"/>
    <n v="5"/>
    <n v="0.45"/>
    <n v="44.176500000000004"/>
  </r>
  <r>
    <s v="Logs_Reseau_Part_04.xlsx"/>
    <d v="2023-10-20T00:00:00"/>
    <s v="Pas de correspondance"/>
    <x v="1"/>
    <d v="1899-12-30T23:45:00"/>
    <s v="ANT-0018"/>
    <d v="1899-12-30T00:36:00"/>
    <n v="3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04T00:00:00"/>
    <s v="CLI-00745"/>
    <x v="9"/>
    <d v="1899-12-30T05:19:00"/>
    <s v="ANT-0096"/>
    <d v="1899-12-30T01:41:00"/>
    <n v="101"/>
    <n v="3.0603760000000002"/>
    <n v="19.708034000000001"/>
    <x v="3"/>
    <s v="ZTE"/>
    <s v="Résolu"/>
    <n v="6"/>
    <n v="0.5"/>
    <s v="Premium 5G 150Go"/>
    <s v="B2C"/>
    <n v="207"/>
    <d v="1899-12-30T03:27:00"/>
    <n v="61.55"/>
    <n v="0"/>
    <n v="0.45"/>
    <n v="27.697499999999998"/>
  </r>
  <r>
    <s v="Logs_Reseau_Part_04.xlsx"/>
    <d v="2023-10-04T00:00:00"/>
    <s v="Pas de correspondance"/>
    <x v="1"/>
    <d v="1899-12-30T18:01:00"/>
    <s v="ANT-0302"/>
    <d v="1899-12-30T01:04:00"/>
    <n v="6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30T00:00:00"/>
    <s v="Pas de correspondance"/>
    <x v="1"/>
    <d v="1899-12-30T09:36:00"/>
    <s v="ANT-0227"/>
    <d v="1899-12-30T01:17:00"/>
    <n v="7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22T00:00:00"/>
    <s v="CLI-01855"/>
    <x v="11"/>
    <d v="1899-12-30T12:25:00"/>
    <s v="ANT-0415"/>
    <d v="1899-12-30T01:23:00"/>
    <n v="83"/>
    <n v="-2.9651529999999999"/>
    <n v="29.79908"/>
    <x v="0"/>
    <s v="Ericsson"/>
    <s v="En Cours"/>
    <n v="101"/>
    <n v="8.4166666666666661"/>
    <s v="Illimité 50Go"/>
    <s v="B2C"/>
    <n v="358"/>
    <d v="1899-12-30T05:58:00"/>
    <n v="29.24"/>
    <n v="3"/>
    <n v="0.45"/>
    <n v="13.157999999999999"/>
  </r>
  <r>
    <s v="Logs_Reseau_Part_04.xlsx"/>
    <d v="2023-10-31T00:00:00"/>
    <s v="Pas de correspondance"/>
    <x v="1"/>
    <d v="1899-12-30T22:12:00"/>
    <s v="ANT-0709"/>
    <d v="1899-12-30T01:30:00"/>
    <n v="9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03T00:00:00"/>
    <s v="CLI-00185"/>
    <x v="25"/>
    <d v="1899-12-30T18:44:00"/>
    <s v="ANT-0250"/>
    <d v="1899-12-30T00:53:00"/>
    <n v="53"/>
    <n v="-2.3743210000000001"/>
    <n v="22.399491000000001"/>
    <x v="2"/>
    <s v="Ericsson"/>
    <s v="En Cours"/>
    <n v="81"/>
    <n v="6.75"/>
    <s v="Pro Monde"/>
    <s v="B2B"/>
    <n v="154"/>
    <d v="1899-12-30T02:34:00"/>
    <n v="19.47"/>
    <n v="3"/>
    <n v="0.1"/>
    <n v="1.9470000000000001"/>
  </r>
  <r>
    <s v="Logs_Reseau_Part_04.xlsx"/>
    <d v="2023-10-27T00:00:00"/>
    <s v="Pas de correspondance"/>
    <x v="1"/>
    <d v="1899-12-30T20:15:00"/>
    <s v="ANT-0314"/>
    <d v="1899-12-30T00:48:00"/>
    <n v="4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04T00:00:00"/>
    <s v="Pas de correspondance"/>
    <x v="1"/>
    <d v="1899-12-30T22:49:00"/>
    <s v="ANT-0680"/>
    <d v="1899-12-30T00:08:00"/>
    <n v="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10T00:00:00"/>
    <s v="CLI-00280"/>
    <x v="7"/>
    <d v="1899-12-30T21:38:00"/>
    <s v="ANT-0596"/>
    <d v="1899-12-30T01:08:00"/>
    <n v="68"/>
    <n v="-8.3241560000000003"/>
    <n v="19.543866000000001"/>
    <x v="0"/>
    <s v="ZTE"/>
    <s v="Non Résolu"/>
    <n v="113"/>
    <n v="9.4166666666666661"/>
    <s v="Illimité 50Go"/>
    <s v="B2C"/>
    <n v="380"/>
    <d v="1899-12-30T06:20:00"/>
    <n v="12.11"/>
    <n v="0"/>
    <n v="0.45"/>
    <n v="5.4494999999999996"/>
  </r>
  <r>
    <s v="Logs_Reseau_Part_04.xlsx"/>
    <d v="2023-10-26T00:00:00"/>
    <s v="Pas de correspondance"/>
    <x v="1"/>
    <d v="1899-12-30T03:50:00"/>
    <s v="ANT-0378"/>
    <d v="1899-12-30T01:53:00"/>
    <n v="11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19T00:00:00"/>
    <s v="Pas de correspondance"/>
    <x v="1"/>
    <d v="1899-12-30T01:22:00"/>
    <s v="ANT-0485"/>
    <d v="1899-12-30T00:46:00"/>
    <n v="4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18T00:00:00"/>
    <s v="Pas de correspondance"/>
    <x v="1"/>
    <d v="1899-12-30T13:42:00"/>
    <s v="ANT-0567"/>
    <d v="1899-12-30T00:28:00"/>
    <n v="2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12T00:00:00"/>
    <s v="Pas de correspondance"/>
    <x v="1"/>
    <d v="1899-12-30T02:32:00"/>
    <s v="ANT-0544"/>
    <d v="1899-12-30T01:07:00"/>
    <n v="6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21T00:00:00"/>
    <s v="CLI-00611"/>
    <x v="21"/>
    <d v="1899-12-30T10:00:00"/>
    <s v="ANT-0353"/>
    <d v="1899-12-30T00:32:00"/>
    <n v="32"/>
    <n v="-11.991020000000001"/>
    <n v="22.514747"/>
    <x v="2"/>
    <s v="ZTE"/>
    <s v="Non Résolu"/>
    <n v="79"/>
    <n v="6.583333333333333"/>
    <s v="Premium 5G 150Go"/>
    <s v="B2C"/>
    <n v="226"/>
    <d v="1899-12-30T03:46:00"/>
    <n v="94.38"/>
    <n v="3"/>
    <n v="0"/>
    <n v="0"/>
  </r>
  <r>
    <s v="Logs_Reseau_Part_04.xlsx"/>
    <d v="2023-10-28T00:00:00"/>
    <s v="CLI-00745"/>
    <x v="9"/>
    <d v="1899-12-30T13:52:00"/>
    <s v="ANT-0436"/>
    <d v="1899-12-30T00:50:00"/>
    <n v="50"/>
    <n v="-4.5603610000000003"/>
    <n v="24.113918999999999"/>
    <x v="2"/>
    <s v="ZTE"/>
    <s v="En Cours"/>
    <n v="6"/>
    <n v="0.5"/>
    <s v="Premium 5G 150Go"/>
    <s v="B2C"/>
    <n v="207"/>
    <d v="1899-12-30T03:27:00"/>
    <n v="61.55"/>
    <n v="0"/>
    <n v="0.45"/>
    <n v="27.697499999999998"/>
  </r>
  <r>
    <s v="Logs_Reseau_Part_04.xlsx"/>
    <d v="2023-10-16T00:00:00"/>
    <s v="Pas de correspondance"/>
    <x v="1"/>
    <d v="1899-12-30T03:27:00"/>
    <s v="ANT-0764"/>
    <d v="1899-12-30T01:47:00"/>
    <n v="10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4.xlsx"/>
    <d v="2023-10-31T00:00:00"/>
    <s v="CLI-00837"/>
    <x v="8"/>
    <d v="1899-12-30T11:40:00"/>
    <s v="ANT-0564"/>
    <d v="1899-12-30T00:38:00"/>
    <n v="38"/>
    <n v="-12.336202"/>
    <n v="13.693683999999999"/>
    <x v="2"/>
    <s v="Huawei"/>
    <s v="Résolu"/>
    <n v="16"/>
    <n v="1.3333333333333333"/>
    <s v="Bloqué 5Go"/>
    <s v="B2C"/>
    <n v="390"/>
    <d v="1899-12-30T06:30:00"/>
    <n v="98.17"/>
    <n v="5"/>
    <n v="0.45"/>
    <n v="44.176500000000004"/>
  </r>
  <r>
    <s v="Logs_Reseau_Part_04.xlsx"/>
    <d v="2023-10-29T00:00:00"/>
    <s v="CLI-00414"/>
    <x v="20"/>
    <d v="1899-12-30T14:45:00"/>
    <s v="ANT-0339"/>
    <d v="1899-12-30T00:48:00"/>
    <n v="48"/>
    <n v="-3.6945459999999999"/>
    <n v="16.809108999999999"/>
    <x v="2"/>
    <s v="ZTE"/>
    <s v="Non Résolu"/>
    <n v="99"/>
    <n v="8.25"/>
    <s v="Premium 5G 150Go"/>
    <s v="B2C"/>
    <n v="447"/>
    <d v="1899-12-30T07:27:00"/>
    <n v="38.1"/>
    <n v="3"/>
    <n v="0.45"/>
    <n v="17.145"/>
  </r>
  <r>
    <s v="Logs_Reseau_Part_05.xlsx"/>
    <d v="2023-10-16T00:00:00"/>
    <s v="Pas de correspondance"/>
    <x v="1"/>
    <d v="1899-12-30T14:21:00"/>
    <s v="ANT-0259"/>
    <d v="1899-12-30T00:07:00"/>
    <n v="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06T00:00:00"/>
    <s v="CLI-00559"/>
    <x v="10"/>
    <d v="1899-12-30T01:16:00"/>
    <s v="ANT-0332"/>
    <d v="1899-12-30T01:42:00"/>
    <n v="102"/>
    <n v="-4.9789079999999997"/>
    <n v="28.506295000000001"/>
    <x v="0"/>
    <s v="Huawei"/>
    <s v="Non Résolu"/>
    <n v="99"/>
    <n v="8.25"/>
    <s v="Bloqué 5Go"/>
    <s v="B2C"/>
    <n v="369"/>
    <d v="1899-12-30T06:09:00"/>
    <n v="67.209999999999994"/>
    <n v="3"/>
    <n v="0.45"/>
    <n v="30.244499999999999"/>
  </r>
  <r>
    <s v="Logs_Reseau_Part_05.xlsx"/>
    <d v="2023-10-31T00:00:00"/>
    <s v="Pas de correspondance"/>
    <x v="1"/>
    <d v="1899-12-30T15:07:00"/>
    <s v="ANT-0119"/>
    <d v="1899-12-30T01:31:00"/>
    <n v="9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27T00:00:00"/>
    <s v="CLI-00131"/>
    <x v="4"/>
    <d v="1899-12-30T02:25:00"/>
    <s v="ANT-0994"/>
    <d v="1899-12-30T01:50:00"/>
    <n v="110"/>
    <n v="-2.2681789999999999"/>
    <n v="25.699068"/>
    <x v="3"/>
    <s v="ZTE"/>
    <s v="Non Résolu"/>
    <n v="101"/>
    <n v="8.4166666666666661"/>
    <s v="Pro Monde"/>
    <s v="B2B"/>
    <n v="176"/>
    <d v="1899-12-30T02:56:00"/>
    <n v="86"/>
    <n v="3"/>
    <n v="0.1"/>
    <n v="8.6"/>
  </r>
  <r>
    <s v="Logs_Reseau_Part_05.xlsx"/>
    <d v="2023-10-16T00:00:00"/>
    <s v="Pas de correspondance"/>
    <x v="1"/>
    <d v="1899-12-30T02:36:00"/>
    <s v="ANT-0792"/>
    <d v="1899-12-30T00:39:00"/>
    <n v="3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21T00:00:00"/>
    <s v="Pas de correspondance"/>
    <x v="1"/>
    <d v="1899-12-30T21:03:00"/>
    <s v="ANT-0414"/>
    <d v="1899-12-30T01:18:00"/>
    <n v="7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05T00:00:00"/>
    <s v="Pas de correspondance"/>
    <x v="1"/>
    <d v="1899-12-30T04:51:00"/>
    <s v="ANT-0886"/>
    <d v="1899-12-30T00:10:00"/>
    <n v="1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19T00:00:00"/>
    <s v="CLI-00060"/>
    <x v="3"/>
    <d v="1899-12-30T09:05:00"/>
    <s v="ANT-0527"/>
    <d v="1899-12-30T01:42:00"/>
    <n v="102"/>
    <n v="-4.4451280000000004"/>
    <n v="16.536944999999999"/>
    <x v="0"/>
    <s v="Ericsson"/>
    <s v="Résolu"/>
    <n v="72"/>
    <n v="6"/>
    <s v="Pro Monde"/>
    <s v="B2B"/>
    <n v="160"/>
    <d v="1899-12-30T02:40:00"/>
    <n v="90.13"/>
    <n v="2"/>
    <n v="0.1"/>
    <n v="9.0129999999999999"/>
  </r>
  <r>
    <s v="Logs_Reseau_Part_05.xlsx"/>
    <d v="2023-10-08T00:00:00"/>
    <s v="CLI-01005"/>
    <x v="14"/>
    <d v="1899-12-30T03:35:00"/>
    <s v="ANT-0845"/>
    <d v="1899-12-30T01:41:00"/>
    <n v="101"/>
    <n v="-10.872631999999999"/>
    <n v="12.773279"/>
    <x v="3"/>
    <s v="ZTE"/>
    <s v="En Cours"/>
    <n v="80"/>
    <n v="6.666666666666667"/>
    <s v="Illimité 50Go"/>
    <s v="B2C"/>
    <n v="155"/>
    <d v="1899-12-30T02:35:00"/>
    <n v="28.96"/>
    <n v="2"/>
    <n v="0"/>
    <n v="0"/>
  </r>
  <r>
    <s v="Logs_Reseau_Part_05.xlsx"/>
    <d v="2023-10-25T00:00:00"/>
    <s v="CLI-00361"/>
    <x v="24"/>
    <d v="1899-12-30T13:38:00"/>
    <s v="ANT-0002"/>
    <d v="1899-12-30T00:27:00"/>
    <n v="27"/>
    <n v="-10.442425"/>
    <n v="23.243632000000002"/>
    <x v="0"/>
    <s v="Nokia"/>
    <s v="Résolu"/>
    <n v="66"/>
    <n v="5.5"/>
    <s v="Illimité 50Go"/>
    <s v="B2C"/>
    <n v="270"/>
    <d v="1899-12-30T04:30:00"/>
    <n v="75.88"/>
    <n v="3"/>
    <n v="0.45"/>
    <n v="34.146000000000001"/>
  </r>
  <r>
    <s v="Logs_Reseau_Part_05.xlsx"/>
    <d v="2023-10-20T00:00:00"/>
    <s v="Pas de correspondance"/>
    <x v="1"/>
    <d v="1899-12-30T19:14:00"/>
    <s v="ANT-0674"/>
    <d v="1899-12-30T01:05:00"/>
    <n v="6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25T00:00:00"/>
    <s v="Pas de correspondance"/>
    <x v="1"/>
    <d v="1899-12-30T16:24:00"/>
    <s v="ANT-0891"/>
    <d v="1899-12-30T01:11:00"/>
    <n v="7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15T00:00:00"/>
    <s v="Pas de correspondance"/>
    <x v="1"/>
    <d v="1899-12-30T14:19:00"/>
    <s v="ANT-0556"/>
    <d v="1899-12-30T01:28:00"/>
    <n v="8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28T00:00:00"/>
    <s v="Pas de correspondance"/>
    <x v="1"/>
    <d v="1899-12-30T18:27:00"/>
    <s v="ANT-0474"/>
    <d v="1899-12-30T01:01:00"/>
    <n v="6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10T00:00:00"/>
    <s v="CLI-01005"/>
    <x v="14"/>
    <d v="1899-12-30T18:39:00"/>
    <s v="ANT-0424"/>
    <d v="1899-12-30T00:40:00"/>
    <n v="40"/>
    <n v="-9.5243310000000001"/>
    <n v="30.541212000000002"/>
    <x v="3"/>
    <s v="Ericsson"/>
    <s v="En Cours"/>
    <n v="80"/>
    <n v="6.666666666666667"/>
    <s v="Illimité 50Go"/>
    <s v="B2C"/>
    <n v="155"/>
    <d v="1899-12-30T02:35:00"/>
    <n v="28.96"/>
    <n v="2"/>
    <n v="0"/>
    <n v="0"/>
  </r>
  <r>
    <s v="Logs_Reseau_Part_05.xlsx"/>
    <d v="2023-10-02T00:00:00"/>
    <s v="Pas de correspondance"/>
    <x v="1"/>
    <d v="1899-12-30T19:47:00"/>
    <s v="ANT-0056"/>
    <d v="1899-12-30T00:28:00"/>
    <n v="2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04T00:00:00"/>
    <s v="Pas de correspondance"/>
    <x v="1"/>
    <d v="1899-12-30T06:40:00"/>
    <s v="ANT-0193"/>
    <d v="1899-12-30T01:19:00"/>
    <n v="7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07T00:00:00"/>
    <s v="CLI-00185"/>
    <x v="25"/>
    <d v="1899-12-30T08:42:00"/>
    <s v="ANT-0531"/>
    <d v="1899-12-30T01:00:00"/>
    <n v="60"/>
    <n v="-4.2645619999999997"/>
    <n v="18.960726000000001"/>
    <x v="0"/>
    <s v="Huawei"/>
    <s v="En Cours"/>
    <n v="81"/>
    <n v="6.75"/>
    <s v="Pro Monde"/>
    <s v="B2B"/>
    <n v="154"/>
    <d v="1899-12-30T02:34:00"/>
    <n v="19.47"/>
    <n v="3"/>
    <n v="0.1"/>
    <n v="1.9470000000000001"/>
  </r>
  <r>
    <s v="Logs_Reseau_Part_05.xlsx"/>
    <d v="2023-10-03T00:00:00"/>
    <s v="CLI-01325"/>
    <x v="26"/>
    <d v="1899-12-30T05:15:00"/>
    <s v="ANT-0371"/>
    <d v="1899-12-30T01:26:00"/>
    <n v="86"/>
    <n v="-12.112682"/>
    <n v="19.972052000000001"/>
    <x v="0"/>
    <s v="Huawei"/>
    <s v="En Cours"/>
    <n v="44"/>
    <n v="3.6666666666666665"/>
    <s v="Bloqué 5Go"/>
    <s v="B2C"/>
    <n v="348"/>
    <d v="1899-12-30T05:48:00"/>
    <n v="58.67"/>
    <n v="0"/>
    <n v="0.45"/>
    <n v="26.401500000000002"/>
  </r>
  <r>
    <s v="Logs_Reseau_Part_05.xlsx"/>
    <d v="2023-10-06T00:00:00"/>
    <s v="Pas de correspondance"/>
    <x v="1"/>
    <d v="1899-12-30T17:04:00"/>
    <s v="ANT-0638"/>
    <d v="1899-12-30T01:49:00"/>
    <n v="10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06T00:00:00"/>
    <s v="CLI-00414"/>
    <x v="20"/>
    <d v="1899-12-30T00:26:00"/>
    <s v="ANT-0775"/>
    <d v="1899-12-30T01:07:00"/>
    <n v="67"/>
    <n v="1.5278670000000001"/>
    <n v="13.899388999999999"/>
    <x v="3"/>
    <s v="Huawei"/>
    <s v="En Cours"/>
    <n v="99"/>
    <n v="8.25"/>
    <s v="Premium 5G 150Go"/>
    <s v="B2C"/>
    <n v="447"/>
    <d v="1899-12-30T07:27:00"/>
    <n v="38.1"/>
    <n v="3"/>
    <n v="0.45"/>
    <n v="17.145"/>
  </r>
  <r>
    <s v="Logs_Reseau_Part_05.xlsx"/>
    <d v="2023-10-15T00:00:00"/>
    <s v="Pas de correspondance"/>
    <x v="1"/>
    <d v="1899-12-30T22:38:00"/>
    <s v="ANT-0511"/>
    <d v="1899-12-30T00:16:00"/>
    <n v="1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16T00:00:00"/>
    <s v="Pas de correspondance"/>
    <x v="1"/>
    <d v="1899-12-30T09:02:00"/>
    <s v="ANT-0641"/>
    <d v="1899-12-30T01:05:00"/>
    <n v="6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08T00:00:00"/>
    <s v="Pas de correspondance"/>
    <x v="1"/>
    <d v="1899-12-30T09:45:00"/>
    <s v="ANT-0453"/>
    <d v="1899-12-30T00:49:00"/>
    <n v="4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10T00:00:00"/>
    <s v="Pas de correspondance"/>
    <x v="1"/>
    <d v="1899-12-30T22:55:00"/>
    <s v="ANT-0779"/>
    <d v="1899-12-30T00:57:00"/>
    <n v="5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15T00:00:00"/>
    <s v="Pas de correspondance"/>
    <x v="1"/>
    <d v="1899-12-30T02:43:00"/>
    <s v="ANT-0053"/>
    <d v="1899-12-30T00:47:00"/>
    <n v="4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08T00:00:00"/>
    <s v="CLI-01618"/>
    <x v="0"/>
    <d v="1899-12-30T08:50:00"/>
    <s v="ANT-0209"/>
    <d v="1899-12-30T00:46:00"/>
    <n v="46"/>
    <n v="-10.481026999999999"/>
    <n v="18.160464000000001"/>
    <x v="2"/>
    <s v="Huawei"/>
    <s v="Résolu"/>
    <n v="115"/>
    <n v="9.5833333333333339"/>
    <s v="Bloqué 5Go"/>
    <s v="B2C"/>
    <n v="176"/>
    <d v="1899-12-30T02:56:00"/>
    <n v="33.28"/>
    <n v="4"/>
    <n v="0"/>
    <n v="0"/>
  </r>
  <r>
    <s v="Logs_Reseau_Part_05.xlsx"/>
    <d v="2023-10-26T00:00:00"/>
    <s v="Pas de correspondance"/>
    <x v="1"/>
    <d v="1899-12-30T20:37:00"/>
    <s v="ANT-0274"/>
    <d v="1899-12-30T01:30:00"/>
    <n v="9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22T00:00:00"/>
    <s v="CLI-00837"/>
    <x v="8"/>
    <d v="1899-12-30T06:27:00"/>
    <s v="ANT-0563"/>
    <d v="1899-12-30T00:18:00"/>
    <n v="18"/>
    <n v="-1.8555980000000001"/>
    <n v="30.421918000000002"/>
    <x v="3"/>
    <s v="ZTE"/>
    <s v="Non Résolu"/>
    <n v="16"/>
    <n v="1.3333333333333333"/>
    <s v="Bloqué 5Go"/>
    <s v="B2C"/>
    <n v="390"/>
    <d v="1899-12-30T06:30:00"/>
    <n v="98.17"/>
    <n v="5"/>
    <n v="0.45"/>
    <n v="44.176500000000004"/>
  </r>
  <r>
    <s v="Logs_Reseau_Part_05.xlsx"/>
    <d v="2023-10-04T00:00:00"/>
    <s v="Pas de correspondance"/>
    <x v="1"/>
    <d v="1899-12-30T17:14:00"/>
    <s v="ANT-0135"/>
    <d v="1899-12-30T01:54:00"/>
    <n v="11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21T00:00:00"/>
    <s v="CLI-00643"/>
    <x v="12"/>
    <d v="1899-12-30T04:58:00"/>
    <s v="ANT-0950"/>
    <d v="1899-12-30T00:25:00"/>
    <n v="25"/>
    <n v="3.3289240000000002"/>
    <n v="24.412261000000001"/>
    <x v="2"/>
    <s v="Nokia"/>
    <s v="Résolu"/>
    <n v="14"/>
    <n v="1.1666666666666667"/>
    <s v="Pro Monde"/>
    <s v="B2B"/>
    <n v="316"/>
    <d v="1899-12-30T05:16:00"/>
    <n v="62.34"/>
    <n v="4"/>
    <n v="0.45"/>
    <n v="28.053000000000001"/>
  </r>
  <r>
    <s v="Logs_Reseau_Part_05.xlsx"/>
    <d v="2023-10-09T00:00:00"/>
    <s v="Pas de correspondance"/>
    <x v="1"/>
    <d v="1899-12-30T04:04:00"/>
    <s v="ANT-0295"/>
    <d v="1899-12-30T00:47:00"/>
    <n v="4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02T00:00:00"/>
    <s v="Pas de correspondance"/>
    <x v="1"/>
    <d v="1899-12-30T05:50:00"/>
    <s v="ANT-0449"/>
    <d v="1899-12-30T00:57:00"/>
    <n v="5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10T00:00:00"/>
    <s v="Pas de correspondance"/>
    <x v="1"/>
    <d v="1899-12-30T19:47:00"/>
    <s v="ANT-0902"/>
    <d v="1899-12-30T01:33:00"/>
    <n v="9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27T00:00:00"/>
    <s v="CLI-00643"/>
    <x v="12"/>
    <d v="1899-12-30T18:58:00"/>
    <s v="ANT-0716"/>
    <d v="1899-12-30T01:08:00"/>
    <n v="68"/>
    <n v="-0.37665700000000002"/>
    <n v="25.154807999999999"/>
    <x v="3"/>
    <s v="Nokia"/>
    <s v="En Cours"/>
    <n v="14"/>
    <n v="1.1666666666666667"/>
    <s v="Pro Monde"/>
    <s v="B2B"/>
    <n v="316"/>
    <d v="1899-12-30T05:16:00"/>
    <n v="62.34"/>
    <n v="4"/>
    <n v="0.45"/>
    <n v="28.053000000000001"/>
  </r>
  <r>
    <s v="Logs_Reseau_Part_05.xlsx"/>
    <d v="2023-10-10T00:00:00"/>
    <s v="Pas de correspondance"/>
    <x v="1"/>
    <d v="1899-12-30T14:07:00"/>
    <s v="ANT-0497"/>
    <d v="1899-12-30T00:41:00"/>
    <n v="4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15T00:00:00"/>
    <s v="Pas de correspondance"/>
    <x v="1"/>
    <d v="1899-12-30T22:19:00"/>
    <s v="ANT-0125"/>
    <d v="1899-12-30T01:29:00"/>
    <n v="8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23T00:00:00"/>
    <s v="Pas de correspondance"/>
    <x v="1"/>
    <d v="1899-12-30T12:17:00"/>
    <s v="ANT-0030"/>
    <d v="1899-12-30T00:56:00"/>
    <n v="5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17T00:00:00"/>
    <s v="CLI-01837"/>
    <x v="23"/>
    <d v="1899-12-30T17:31:00"/>
    <s v="ANT-0997"/>
    <d v="1899-12-30T01:49:00"/>
    <n v="109"/>
    <n v="0.639208"/>
    <n v="20.701739"/>
    <x v="0"/>
    <s v="Huawei"/>
    <s v="En Cours"/>
    <n v="97"/>
    <n v="8.0833333333333339"/>
    <s v="Pro Monde"/>
    <s v="B2B"/>
    <n v="319"/>
    <d v="1899-12-30T05:19:00"/>
    <n v="31.25"/>
    <n v="1"/>
    <n v="0.45"/>
    <n v="14.0625"/>
  </r>
  <r>
    <s v="Logs_Reseau_Part_05.xlsx"/>
    <d v="2023-10-15T00:00:00"/>
    <s v="Pas de correspondance"/>
    <x v="1"/>
    <d v="1899-12-30T02:38:00"/>
    <s v="ANT-0646"/>
    <d v="1899-12-30T01:42:00"/>
    <n v="10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02T00:00:00"/>
    <s v="CLI-00076"/>
    <x v="6"/>
    <d v="1899-12-30T13:47:00"/>
    <s v="ANT-0624"/>
    <d v="1899-12-30T01:15:00"/>
    <n v="75"/>
    <n v="0.172153"/>
    <n v="21.091376"/>
    <x v="3"/>
    <s v="Ericsson"/>
    <s v="En Cours"/>
    <n v="46"/>
    <n v="3.8333333333333335"/>
    <s v="Premium 5G 150Go"/>
    <s v="B2C"/>
    <n v="283"/>
    <d v="1899-12-30T04:43:00"/>
    <n v="56.05"/>
    <n v="1"/>
    <n v="0.45"/>
    <n v="25.2225"/>
  </r>
  <r>
    <s v="Logs_Reseau_Part_05.xlsx"/>
    <d v="2023-10-11T00:00:00"/>
    <s v="Pas de correspondance"/>
    <x v="1"/>
    <d v="1899-12-30T19:16:00"/>
    <s v="ANT-0819"/>
    <d v="1899-12-30T00:09:00"/>
    <n v="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01T00:00:00"/>
    <s v="Pas de correspondance"/>
    <x v="1"/>
    <d v="1899-12-30T02:14:00"/>
    <s v="ANT-0246"/>
    <d v="1899-12-30T01:03:00"/>
    <n v="6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31T00:00:00"/>
    <s v="Pas de correspondance"/>
    <x v="1"/>
    <d v="1899-12-30T21:53:00"/>
    <s v="ANT-0727"/>
    <d v="1899-12-30T00:16:00"/>
    <n v="1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5.xlsx"/>
    <d v="2023-10-28T00:00:00"/>
    <s v="Pas de correspondance"/>
    <x v="1"/>
    <d v="1899-12-30T18:37:00"/>
    <s v="ANT-0163"/>
    <d v="1899-12-30T00:45:00"/>
    <n v="4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13T00:00:00"/>
    <s v="Pas de correspondance"/>
    <x v="1"/>
    <d v="1899-12-30T14:59:00"/>
    <s v="ANT-0739"/>
    <d v="1899-12-30T01:53:00"/>
    <n v="11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11T00:00:00"/>
    <s v="CLI-00280"/>
    <x v="7"/>
    <d v="1899-12-30T06:44:00"/>
    <s v="ANT-0786"/>
    <d v="1899-12-30T00:43:00"/>
    <n v="43"/>
    <n v="-12.342053999999999"/>
    <n v="18.756862000000002"/>
    <x v="3"/>
    <s v="Ericsson"/>
    <s v="Non Résolu"/>
    <n v="113"/>
    <n v="9.4166666666666661"/>
    <s v="Illimité 50Go"/>
    <s v="B2C"/>
    <n v="380"/>
    <d v="1899-12-30T06:20:00"/>
    <n v="12.11"/>
    <n v="0"/>
    <n v="0.45"/>
    <n v="5.4494999999999996"/>
  </r>
  <r>
    <s v="Logs_Reseau_Part_06.xlsx"/>
    <d v="2023-10-08T00:00:00"/>
    <s v="Pas de correspondance"/>
    <x v="1"/>
    <d v="1899-12-30T13:02:00"/>
    <s v="ANT-0698"/>
    <d v="1899-12-30T00:54:00"/>
    <n v="5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11T00:00:00"/>
    <s v="Pas de correspondance"/>
    <x v="1"/>
    <d v="1899-12-30T23:30:00"/>
    <s v="ANT-0859"/>
    <d v="1899-12-30T01:54:00"/>
    <n v="11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23T00:00:00"/>
    <s v="Pas de correspondance"/>
    <x v="1"/>
    <d v="1899-12-30T12:24:00"/>
    <s v="ANT-0141"/>
    <d v="1899-12-30T01:06:00"/>
    <n v="6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22T00:00:00"/>
    <s v="Pas de correspondance"/>
    <x v="1"/>
    <d v="1899-12-30T20:09:00"/>
    <s v="ANT-0644"/>
    <d v="1899-12-30T00:18:00"/>
    <n v="1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16T00:00:00"/>
    <s v="Pas de correspondance"/>
    <x v="1"/>
    <d v="1899-12-30T01:08:00"/>
    <s v="ANT-0100"/>
    <d v="1899-12-30T00:35:00"/>
    <n v="3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17T00:00:00"/>
    <s v="CLI-00280"/>
    <x v="7"/>
    <d v="1899-12-30T18:21:00"/>
    <s v="ANT-0926"/>
    <d v="1899-12-30T00:53:00"/>
    <n v="53"/>
    <n v="-10.914952"/>
    <n v="26.409648000000001"/>
    <x v="0"/>
    <s v="Huawei"/>
    <s v="Non Résolu"/>
    <n v="113"/>
    <n v="9.4166666666666661"/>
    <s v="Illimité 50Go"/>
    <s v="B2C"/>
    <n v="380"/>
    <d v="1899-12-30T06:20:00"/>
    <n v="12.11"/>
    <n v="0"/>
    <n v="0.45"/>
    <n v="5.4494999999999996"/>
  </r>
  <r>
    <s v="Logs_Reseau_Part_06.xlsx"/>
    <d v="2023-10-28T00:00:00"/>
    <s v="Pas de correspondance"/>
    <x v="1"/>
    <d v="1899-12-30T03:55:00"/>
    <s v="ANT-0643"/>
    <d v="1899-12-30T01:18:00"/>
    <n v="7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28T00:00:00"/>
    <s v="CLI-01170"/>
    <x v="5"/>
    <d v="1899-12-30T14:06:00"/>
    <s v="ANT-0662"/>
    <d v="1899-12-30T00:50:00"/>
    <n v="50"/>
    <n v="-1.342476"/>
    <n v="15.986086"/>
    <x v="0"/>
    <s v="Ericsson"/>
    <s v="Non Résolu"/>
    <n v="98"/>
    <n v="8.1666666666666661"/>
    <s v="Pro Monde"/>
    <s v="B2B"/>
    <n v="482"/>
    <d v="1899-12-30T08:02:00"/>
    <n v="55.04"/>
    <n v="5"/>
    <n v="0.45"/>
    <n v="24.768000000000001"/>
  </r>
  <r>
    <s v="Logs_Reseau_Part_06.xlsx"/>
    <d v="2023-10-17T00:00:00"/>
    <s v="CLI-00076"/>
    <x v="6"/>
    <d v="1899-12-30T14:00:00"/>
    <s v="ANT-0041"/>
    <d v="1899-12-30T01:18:00"/>
    <n v="78"/>
    <n v="0.16841400000000001"/>
    <n v="30.029876999999999"/>
    <x v="2"/>
    <s v="Huawei"/>
    <s v="En Cours"/>
    <n v="46"/>
    <n v="3.8333333333333335"/>
    <s v="Premium 5G 150Go"/>
    <s v="B2C"/>
    <n v="283"/>
    <d v="1899-12-30T04:43:00"/>
    <n v="56.05"/>
    <n v="1"/>
    <n v="0.45"/>
    <n v="25.2225"/>
  </r>
  <r>
    <s v="Logs_Reseau_Part_06.xlsx"/>
    <d v="2023-10-24T00:00:00"/>
    <s v="Pas de correspondance"/>
    <x v="1"/>
    <d v="1899-12-30T04:26:00"/>
    <s v="ANT-0317"/>
    <d v="1899-12-30T00:42:00"/>
    <n v="4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28T00:00:00"/>
    <s v="Pas de correspondance"/>
    <x v="1"/>
    <d v="1899-12-30T20:09:00"/>
    <s v="ANT-0808"/>
    <d v="1899-12-30T01:34:00"/>
    <n v="9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03T00:00:00"/>
    <s v="Pas de correspondance"/>
    <x v="1"/>
    <d v="1899-12-30T15:50:00"/>
    <s v="ANT-0452"/>
    <d v="1899-12-30T00:42:00"/>
    <n v="4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09T00:00:00"/>
    <s v="CLI-01325"/>
    <x v="26"/>
    <d v="1899-12-30T10:39:00"/>
    <s v="ANT-0035"/>
    <d v="1899-12-30T00:07:00"/>
    <n v="7"/>
    <n v="-6.3324319999999998"/>
    <n v="24.887858000000001"/>
    <x v="0"/>
    <s v="ZTE"/>
    <s v="En Cours"/>
    <n v="44"/>
    <n v="3.6666666666666665"/>
    <s v="Bloqué 5Go"/>
    <s v="B2C"/>
    <n v="348"/>
    <d v="1899-12-30T05:48:00"/>
    <n v="58.67"/>
    <n v="0"/>
    <n v="0.45"/>
    <n v="26.401500000000002"/>
  </r>
  <r>
    <s v="Logs_Reseau_Part_06.xlsx"/>
    <d v="2023-10-23T00:00:00"/>
    <s v="Pas de correspondance"/>
    <x v="1"/>
    <d v="1899-12-30T12:41:00"/>
    <s v="ANT-0594"/>
    <d v="1899-12-30T01:51:00"/>
    <n v="11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03T00:00:00"/>
    <s v="Pas de correspondance"/>
    <x v="1"/>
    <d v="1899-12-30T10:54:00"/>
    <s v="ANT-0374"/>
    <d v="1899-12-30T01:29:00"/>
    <n v="8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22T00:00:00"/>
    <s v="CLI-01837"/>
    <x v="23"/>
    <d v="1899-12-30T17:24:00"/>
    <s v="ANT-0750"/>
    <d v="1899-12-30T00:55:00"/>
    <n v="55"/>
    <n v="-1.3976519999999999"/>
    <n v="14.098819000000001"/>
    <x v="3"/>
    <s v="Ericsson"/>
    <s v="Non Résolu"/>
    <n v="97"/>
    <n v="8.0833333333333339"/>
    <s v="Pro Monde"/>
    <s v="B2B"/>
    <n v="319"/>
    <d v="1899-12-30T05:19:00"/>
    <n v="31.25"/>
    <n v="1"/>
    <n v="0.45"/>
    <n v="14.0625"/>
  </r>
  <r>
    <s v="Logs_Reseau_Part_06.xlsx"/>
    <d v="2023-10-31T00:00:00"/>
    <s v="Pas de correspondance"/>
    <x v="1"/>
    <d v="1899-12-30T10:40:00"/>
    <s v="ANT-0135"/>
    <d v="1899-12-30T00:40:00"/>
    <n v="4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23T00:00:00"/>
    <s v="CLI-01233"/>
    <x v="2"/>
    <d v="1899-12-30T15:55:00"/>
    <s v="ANT-0093"/>
    <d v="1899-12-30T00:06:00"/>
    <n v="6"/>
    <n v="2.975352"/>
    <n v="22.535886000000001"/>
    <x v="0"/>
    <s v="Huawei"/>
    <s v="En Cours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06.xlsx"/>
    <d v="2023-10-18T00:00:00"/>
    <s v="Pas de correspondance"/>
    <x v="1"/>
    <d v="1899-12-30T01:39:00"/>
    <s v="ANT-0932"/>
    <d v="1899-12-30T01:17:00"/>
    <n v="7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03T00:00:00"/>
    <s v="Pas de correspondance"/>
    <x v="1"/>
    <d v="1899-12-30T07:40:00"/>
    <s v="ANT-0303"/>
    <d v="1899-12-30T01:55:00"/>
    <n v="11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22T00:00:00"/>
    <s v="Pas de correspondance"/>
    <x v="1"/>
    <d v="1899-12-30T09:14:00"/>
    <s v="ANT-0335"/>
    <d v="1899-12-30T01:32:00"/>
    <n v="9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24T00:00:00"/>
    <s v="Pas de correspondance"/>
    <x v="1"/>
    <d v="1899-12-30T02:27:00"/>
    <s v="ANT-0766"/>
    <d v="1899-12-30T01:44:00"/>
    <n v="10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04T00:00:00"/>
    <s v="Pas de correspondance"/>
    <x v="1"/>
    <d v="1899-12-30T20:45:00"/>
    <s v="ANT-0426"/>
    <d v="1899-12-30T01:40:00"/>
    <n v="10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28T00:00:00"/>
    <s v="CLI-00745"/>
    <x v="9"/>
    <d v="1899-12-30T03:28:00"/>
    <s v="ANT-0180"/>
    <d v="1899-12-30T00:11:00"/>
    <n v="11"/>
    <n v="2.4425979999999998"/>
    <n v="24.924308"/>
    <x v="2"/>
    <s v="Ericsson"/>
    <s v="Non Résolu"/>
    <n v="6"/>
    <n v="0.5"/>
    <s v="Premium 5G 150Go"/>
    <s v="B2C"/>
    <n v="207"/>
    <d v="1899-12-30T03:27:00"/>
    <n v="61.55"/>
    <n v="0"/>
    <n v="0.45"/>
    <n v="27.697499999999998"/>
  </r>
  <r>
    <s v="Logs_Reseau_Part_06.xlsx"/>
    <d v="2023-10-06T00:00:00"/>
    <s v="CLI-01005"/>
    <x v="14"/>
    <d v="1899-12-30T22:19:00"/>
    <s v="ANT-0206"/>
    <d v="1899-12-30T01:22:00"/>
    <n v="82"/>
    <n v="4.0157999999999996"/>
    <n v="21.430246"/>
    <x v="2"/>
    <s v="Nokia"/>
    <s v="En Cours"/>
    <n v="80"/>
    <n v="6.666666666666667"/>
    <s v="Illimité 50Go"/>
    <s v="B2C"/>
    <n v="155"/>
    <d v="1899-12-30T02:35:00"/>
    <n v="28.96"/>
    <n v="2"/>
    <n v="0"/>
    <n v="0"/>
  </r>
  <r>
    <s v="Logs_Reseau_Part_06.xlsx"/>
    <d v="2023-10-29T00:00:00"/>
    <s v="CLI-01855"/>
    <x v="11"/>
    <d v="1899-12-30T00:02:00"/>
    <s v="ANT-0136"/>
    <d v="1899-12-30T01:40:00"/>
    <n v="100"/>
    <n v="-9.3900009999999998"/>
    <n v="30.001517"/>
    <x v="3"/>
    <s v="Nokia"/>
    <s v="Non Résolu"/>
    <n v="101"/>
    <n v="8.4166666666666661"/>
    <s v="Illimité 50Go"/>
    <s v="B2C"/>
    <n v="358"/>
    <d v="1899-12-30T05:58:00"/>
    <n v="29.24"/>
    <n v="3"/>
    <n v="0.45"/>
    <n v="13.157999999999999"/>
  </r>
  <r>
    <s v="Logs_Reseau_Part_06.xlsx"/>
    <d v="2023-10-11T00:00:00"/>
    <s v="Pas de correspondance"/>
    <x v="1"/>
    <d v="1899-12-30T01:18:00"/>
    <s v="ANT-0806"/>
    <d v="1899-12-30T01:08:00"/>
    <n v="6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12T00:00:00"/>
    <s v="CLI-00837"/>
    <x v="8"/>
    <d v="1899-12-30T11:27:00"/>
    <s v="ANT-0553"/>
    <d v="1899-12-30T01:51:00"/>
    <n v="111"/>
    <n v="4.6287159999999998"/>
    <n v="19.407077999999998"/>
    <x v="0"/>
    <s v="Ericsson"/>
    <s v="Résolu"/>
    <n v="16"/>
    <n v="1.3333333333333333"/>
    <s v="Bloqué 5Go"/>
    <s v="B2C"/>
    <n v="390"/>
    <d v="1899-12-30T06:30:00"/>
    <n v="98.17"/>
    <n v="5"/>
    <n v="0.45"/>
    <n v="44.176500000000004"/>
  </r>
  <r>
    <s v="Logs_Reseau_Part_06.xlsx"/>
    <d v="2023-10-05T00:00:00"/>
    <s v="Pas de correspondance"/>
    <x v="1"/>
    <d v="1899-12-30T07:33:00"/>
    <s v="ANT-0898"/>
    <d v="1899-12-30T02:00:00"/>
    <n v="12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14T00:00:00"/>
    <s v="Pas de correspondance"/>
    <x v="1"/>
    <d v="1899-12-30T18:43:00"/>
    <s v="ANT-0995"/>
    <d v="1899-12-30T02:00:00"/>
    <n v="12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26T00:00:00"/>
    <s v="CLI-00361"/>
    <x v="24"/>
    <d v="1899-12-30T05:10:00"/>
    <s v="ANT-0375"/>
    <d v="1899-12-30T00:41:00"/>
    <n v="41"/>
    <n v="-4.9552579999999997"/>
    <n v="22.008103999999999"/>
    <x v="0"/>
    <s v="Huawei"/>
    <s v="En Cours"/>
    <n v="66"/>
    <n v="5.5"/>
    <s v="Illimité 50Go"/>
    <s v="B2C"/>
    <n v="270"/>
    <d v="1899-12-30T04:30:00"/>
    <n v="75.88"/>
    <n v="3"/>
    <n v="0.45"/>
    <n v="34.146000000000001"/>
  </r>
  <r>
    <s v="Logs_Reseau_Part_06.xlsx"/>
    <d v="2023-10-06T00:00:00"/>
    <s v="Pas de correspondance"/>
    <x v="1"/>
    <d v="1899-12-30T02:39:00"/>
    <s v="ANT-0544"/>
    <d v="1899-12-30T01:44:00"/>
    <n v="10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28T00:00:00"/>
    <s v="CLI-01618"/>
    <x v="0"/>
    <d v="1899-12-30T12:39:00"/>
    <s v="ANT-0514"/>
    <d v="1899-12-30T01:47:00"/>
    <n v="107"/>
    <n v="-1.50664"/>
    <n v="27.795642000000001"/>
    <x v="2"/>
    <s v="ZTE"/>
    <s v="Non Résolu"/>
    <n v="115"/>
    <n v="9.5833333333333339"/>
    <s v="Bloqué 5Go"/>
    <s v="B2C"/>
    <n v="176"/>
    <d v="1899-12-30T02:56:00"/>
    <n v="33.28"/>
    <n v="4"/>
    <n v="0"/>
    <n v="0"/>
  </r>
  <r>
    <s v="Logs_Reseau_Part_06.xlsx"/>
    <d v="2023-10-22T00:00:00"/>
    <s v="CLI-00559"/>
    <x v="10"/>
    <d v="1899-12-30T07:31:00"/>
    <s v="ANT-0936"/>
    <d v="1899-12-30T00:34:00"/>
    <n v="34"/>
    <n v="-10.165072"/>
    <n v="29.428024000000001"/>
    <x v="2"/>
    <s v="Huawei"/>
    <s v="Non Résolu"/>
    <n v="99"/>
    <n v="8.25"/>
    <s v="Bloqué 5Go"/>
    <s v="B2C"/>
    <n v="369"/>
    <d v="1899-12-30T06:09:00"/>
    <n v="67.209999999999994"/>
    <n v="3"/>
    <n v="0.45"/>
    <n v="30.244499999999999"/>
  </r>
  <r>
    <s v="Logs_Reseau_Part_06.xlsx"/>
    <d v="2023-10-30T00:00:00"/>
    <s v="Pas de correspondance"/>
    <x v="1"/>
    <d v="1899-12-30T18:09:00"/>
    <s v="ANT-0280"/>
    <d v="1899-12-30T01:22:00"/>
    <n v="8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08T00:00:00"/>
    <s v="Pas de correspondance"/>
    <x v="1"/>
    <d v="1899-12-30T14:40:00"/>
    <s v="ANT-0851"/>
    <d v="1899-12-30T01:47:00"/>
    <n v="10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09T00:00:00"/>
    <s v="Pas de correspondance"/>
    <x v="1"/>
    <d v="1899-12-30T14:16:00"/>
    <s v="ANT-0169"/>
    <d v="1899-12-30T00:50:00"/>
    <n v="5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22T00:00:00"/>
    <s v="CLI-00611"/>
    <x v="21"/>
    <d v="1899-12-30T00:57:00"/>
    <s v="ANT-0264"/>
    <d v="1899-12-30T00:33:00"/>
    <n v="33"/>
    <n v="0.48965500000000001"/>
    <n v="26.176860000000001"/>
    <x v="0"/>
    <s v="Huawei"/>
    <s v="Non Résolu"/>
    <n v="79"/>
    <n v="6.583333333333333"/>
    <s v="Premium 5G 150Go"/>
    <s v="B2C"/>
    <n v="226"/>
    <d v="1899-12-30T03:46:00"/>
    <n v="94.38"/>
    <n v="3"/>
    <n v="0"/>
    <n v="0"/>
  </r>
  <r>
    <s v="Logs_Reseau_Part_06.xlsx"/>
    <d v="2023-10-26T00:00:00"/>
    <s v="CLI-00559"/>
    <x v="10"/>
    <d v="1899-12-30T14:57:00"/>
    <s v="ANT-0936"/>
    <d v="1899-12-30T01:26:00"/>
    <n v="86"/>
    <n v="-10.165072"/>
    <n v="29.428024000000001"/>
    <x v="2"/>
    <s v="Huawei"/>
    <s v="Résolu"/>
    <n v="99"/>
    <n v="8.25"/>
    <s v="Bloqué 5Go"/>
    <s v="B2C"/>
    <n v="369"/>
    <d v="1899-12-30T06:09:00"/>
    <n v="67.209999999999994"/>
    <n v="3"/>
    <n v="0.45"/>
    <n v="30.244499999999999"/>
  </r>
  <r>
    <s v="Logs_Reseau_Part_06.xlsx"/>
    <d v="2023-10-10T00:00:00"/>
    <s v="CLI-01005"/>
    <x v="14"/>
    <d v="1899-12-30T21:34:00"/>
    <s v="ANT-0845"/>
    <d v="1899-12-30T00:29:00"/>
    <n v="29"/>
    <n v="-10.872631999999999"/>
    <n v="12.773279"/>
    <x v="3"/>
    <s v="ZTE"/>
    <s v="Non Résolu"/>
    <n v="80"/>
    <n v="6.666666666666667"/>
    <s v="Illimité 50Go"/>
    <s v="B2C"/>
    <n v="155"/>
    <d v="1899-12-30T02:35:00"/>
    <n v="28.96"/>
    <n v="2"/>
    <n v="0"/>
    <n v="0"/>
  </r>
  <r>
    <s v="Logs_Reseau_Part_06.xlsx"/>
    <d v="2023-10-06T00:00:00"/>
    <s v="Pas de correspondance"/>
    <x v="1"/>
    <d v="1899-12-30T02:28:00"/>
    <s v="ANT-0967"/>
    <d v="1899-12-30T01:24:00"/>
    <n v="8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31T00:00:00"/>
    <s v="CLI-01233"/>
    <x v="2"/>
    <d v="1899-12-30T11:37:00"/>
    <s v="ANT-0494"/>
    <d v="1899-12-30T00:37:00"/>
    <n v="37"/>
    <n v="-12.564277000000001"/>
    <n v="28.480798"/>
    <x v="2"/>
    <s v="ZTE"/>
    <s v="Non 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06.xlsx"/>
    <d v="2023-10-10T00:00:00"/>
    <s v="Pas de correspondance"/>
    <x v="1"/>
    <d v="1899-12-30T20:27:00"/>
    <s v="ANT-0991"/>
    <d v="1899-12-30T01:31:00"/>
    <n v="9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6.xlsx"/>
    <d v="2023-10-23T00:00:00"/>
    <s v="CLI-00837"/>
    <x v="8"/>
    <d v="1899-12-30T08:29:00"/>
    <s v="ANT-0826"/>
    <d v="1899-12-30T01:41:00"/>
    <n v="101"/>
    <n v="-10.846306999999999"/>
    <n v="19.201827999999999"/>
    <x v="0"/>
    <s v="Ericsson"/>
    <s v="Non Résolu"/>
    <n v="16"/>
    <n v="1.3333333333333333"/>
    <s v="Bloqué 5Go"/>
    <s v="B2C"/>
    <n v="390"/>
    <d v="1899-12-30T06:30:00"/>
    <n v="98.17"/>
    <n v="5"/>
    <n v="0.45"/>
    <n v="44.176500000000004"/>
  </r>
  <r>
    <s v="Logs_Reseau_Part_07.xlsx"/>
    <d v="2023-10-08T00:00:00"/>
    <s v="Pas de correspondance"/>
    <x v="1"/>
    <d v="1899-12-30T17:08:00"/>
    <s v="ANT-0111"/>
    <d v="1899-12-30T01:39:00"/>
    <n v="9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13T00:00:00"/>
    <s v="Pas de correspondance"/>
    <x v="1"/>
    <d v="1899-12-30T14:23:00"/>
    <s v="ANT-0503"/>
    <d v="1899-12-30T00:58:00"/>
    <n v="5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22T00:00:00"/>
    <s v="Pas de correspondance"/>
    <x v="1"/>
    <d v="1899-12-30T23:44:00"/>
    <s v="ANT-0730"/>
    <d v="1899-12-30T01:12:00"/>
    <n v="7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31T00:00:00"/>
    <s v="Pas de correspondance"/>
    <x v="1"/>
    <d v="1899-12-30T17:26:00"/>
    <s v="ANT-0932"/>
    <d v="1899-12-30T00:19:00"/>
    <n v="1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19T00:00:00"/>
    <s v="Pas de correspondance"/>
    <x v="1"/>
    <d v="1899-12-30T23:46:00"/>
    <s v="ANT-0455"/>
    <d v="1899-12-30T01:40:00"/>
    <n v="10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05T00:00:00"/>
    <s v="Pas de correspondance"/>
    <x v="1"/>
    <d v="1899-12-30T13:41:00"/>
    <s v="ANT-0076"/>
    <d v="1899-12-30T00:13:00"/>
    <n v="1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04T00:00:00"/>
    <s v="CLI-00076"/>
    <x v="6"/>
    <d v="1899-12-30T15:39:00"/>
    <s v="ANT-0921"/>
    <d v="1899-12-30T01:05:00"/>
    <n v="65"/>
    <n v="2.016505"/>
    <n v="14.294164"/>
    <x v="2"/>
    <s v="Huawei"/>
    <s v="En Cours"/>
    <n v="46"/>
    <n v="3.8333333333333335"/>
    <s v="Premium 5G 150Go"/>
    <s v="B2C"/>
    <n v="283"/>
    <d v="1899-12-30T04:43:00"/>
    <n v="56.05"/>
    <n v="1"/>
    <n v="0.45"/>
    <n v="25.2225"/>
  </r>
  <r>
    <s v="Logs_Reseau_Part_07.xlsx"/>
    <d v="2023-10-14T00:00:00"/>
    <s v="Pas de correspondance"/>
    <x v="1"/>
    <d v="1899-12-30T08:02:00"/>
    <s v="ANT-0083"/>
    <d v="1899-12-30T01:02:00"/>
    <n v="6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23T00:00:00"/>
    <s v="Pas de correspondance"/>
    <x v="1"/>
    <d v="1899-12-30T11:13:00"/>
    <s v="ANT-0330"/>
    <d v="1899-12-30T01:44:00"/>
    <n v="10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15T00:00:00"/>
    <s v="Pas de correspondance"/>
    <x v="1"/>
    <d v="1899-12-30T14:15:00"/>
    <s v="ANT-0623"/>
    <d v="1899-12-30T00:51:00"/>
    <n v="5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28T00:00:00"/>
    <s v="Pas de correspondance"/>
    <x v="1"/>
    <d v="1899-12-30T11:06:00"/>
    <s v="ANT-0152"/>
    <d v="1899-12-30T01:10:00"/>
    <n v="7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22T00:00:00"/>
    <s v="Pas de correspondance"/>
    <x v="1"/>
    <d v="1899-12-30T11:34:00"/>
    <s v="ANT-0068"/>
    <d v="1899-12-30T01:20:00"/>
    <n v="8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29T00:00:00"/>
    <s v="Pas de correspondance"/>
    <x v="1"/>
    <d v="1899-12-30T20:22:00"/>
    <s v="ANT-0130"/>
    <d v="1899-12-30T00:18:00"/>
    <n v="1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02T00:00:00"/>
    <s v="Pas de correspondance"/>
    <x v="1"/>
    <d v="1899-12-30T12:17:00"/>
    <s v="ANT-0282"/>
    <d v="1899-12-30T01:02:00"/>
    <n v="6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07T00:00:00"/>
    <s v="Pas de correspondance"/>
    <x v="1"/>
    <d v="1899-12-30T03:54:00"/>
    <s v="ANT-0640"/>
    <d v="1899-12-30T01:09:00"/>
    <n v="6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27T00:00:00"/>
    <s v="CLI-01170"/>
    <x v="5"/>
    <d v="1899-12-30T14:05:00"/>
    <s v="ANT-0649"/>
    <d v="1899-12-30T00:33:00"/>
    <n v="33"/>
    <n v="-7.7839049999999999"/>
    <n v="14.114281999999999"/>
    <x v="3"/>
    <s v="ZTE"/>
    <s v="En Cours"/>
    <n v="98"/>
    <n v="8.1666666666666661"/>
    <s v="Pro Monde"/>
    <s v="B2B"/>
    <n v="482"/>
    <d v="1899-12-30T08:02:00"/>
    <n v="55.04"/>
    <n v="5"/>
    <n v="0.45"/>
    <n v="24.768000000000001"/>
  </r>
  <r>
    <s v="Logs_Reseau_Part_07.xlsx"/>
    <d v="2023-10-22T00:00:00"/>
    <s v="CLI-00894"/>
    <x v="13"/>
    <d v="1899-12-30T06:41:00"/>
    <s v="ANT-0600"/>
    <d v="1899-12-30T01:23:00"/>
    <n v="83"/>
    <n v="-12.292039000000001"/>
    <n v="27.538202999999999"/>
    <x v="3"/>
    <s v="Huawei"/>
    <s v="En Cours"/>
    <n v="63"/>
    <n v="5.25"/>
    <s v="Pro Monde"/>
    <s v="B2B"/>
    <n v="205"/>
    <d v="1899-12-30T03:25:00"/>
    <n v="89.19"/>
    <n v="0"/>
    <n v="0.1"/>
    <n v="8.9190000000000005"/>
  </r>
  <r>
    <s v="Logs_Reseau_Part_07.xlsx"/>
    <d v="2023-10-21T00:00:00"/>
    <s v="Pas de correspondance"/>
    <x v="1"/>
    <d v="1899-12-30T19:01:00"/>
    <s v="ANT-0562"/>
    <d v="1899-12-30T00:10:00"/>
    <n v="1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02T00:00:00"/>
    <s v="Pas de correspondance"/>
    <x v="1"/>
    <d v="1899-12-30T10:15:00"/>
    <s v="ANT-0730"/>
    <d v="1899-12-30T01:38:00"/>
    <n v="9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05T00:00:00"/>
    <s v="Pas de correspondance"/>
    <x v="1"/>
    <d v="1899-12-30T18:13:00"/>
    <s v="ANT-0333"/>
    <d v="1899-12-30T01:45:00"/>
    <n v="10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03T00:00:00"/>
    <s v="CLI-01618"/>
    <x v="0"/>
    <d v="1899-12-30T17:13:00"/>
    <s v="ANT-0391"/>
    <d v="1899-12-30T01:55:00"/>
    <n v="115"/>
    <n v="-1.5936220000000001"/>
    <n v="14.928856"/>
    <x v="2"/>
    <s v="Ericsson"/>
    <s v="En Cours"/>
    <n v="115"/>
    <n v="9.5833333333333339"/>
    <s v="Bloqué 5Go"/>
    <s v="B2C"/>
    <n v="176"/>
    <d v="1899-12-30T02:56:00"/>
    <n v="33.28"/>
    <n v="4"/>
    <n v="0"/>
    <n v="0"/>
  </r>
  <r>
    <s v="Logs_Reseau_Part_07.xlsx"/>
    <d v="2023-10-19T00:00:00"/>
    <s v="CLI-00569"/>
    <x v="16"/>
    <d v="1899-12-30T06:52:00"/>
    <s v="ANT-0612"/>
    <d v="1899-12-30T01:29:00"/>
    <n v="89"/>
    <n v="-7.5129409999999996"/>
    <n v="18.701522000000001"/>
    <x v="0"/>
    <s v="Nokia"/>
    <s v="Résolu"/>
    <n v="110"/>
    <n v="9.1666666666666661"/>
    <s v="Pro Monde"/>
    <s v="B2B"/>
    <n v="423"/>
    <d v="1899-12-30T07:03:00"/>
    <n v="37.35"/>
    <n v="4"/>
    <n v="0.45"/>
    <n v="16.807500000000001"/>
  </r>
  <r>
    <s v="Logs_Reseau_Part_07.xlsx"/>
    <d v="2023-10-28T00:00:00"/>
    <s v="Pas de correspondance"/>
    <x v="1"/>
    <d v="1899-12-30T07:21:00"/>
    <s v="ANT-0544"/>
    <d v="1899-12-30T01:11:00"/>
    <n v="7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25T00:00:00"/>
    <s v="Pas de correspondance"/>
    <x v="1"/>
    <d v="1899-12-30T04:50:00"/>
    <s v="ANT-0302"/>
    <d v="1899-12-30T00:43:00"/>
    <n v="4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29T00:00:00"/>
    <s v="CLI-01618"/>
    <x v="0"/>
    <d v="1899-12-30T19:00:00"/>
    <s v="ANT-0465"/>
    <d v="1899-12-30T01:03:00"/>
    <n v="63"/>
    <n v="-11.144149000000001"/>
    <n v="27.244658999999999"/>
    <x v="0"/>
    <s v="Nokia"/>
    <s v="Résolu"/>
    <n v="115"/>
    <n v="9.5833333333333339"/>
    <s v="Bloqué 5Go"/>
    <s v="B2C"/>
    <n v="176"/>
    <d v="1899-12-30T02:56:00"/>
    <n v="33.28"/>
    <n v="4"/>
    <n v="0"/>
    <n v="0"/>
  </r>
  <r>
    <s v="Logs_Reseau_Part_07.xlsx"/>
    <d v="2023-10-09T00:00:00"/>
    <s v="Pas de correspondance"/>
    <x v="1"/>
    <d v="1899-12-30T04:08:00"/>
    <s v="ANT-0518"/>
    <d v="1899-12-30T01:27:00"/>
    <n v="8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18T00:00:00"/>
    <s v="Pas de correspondance"/>
    <x v="1"/>
    <d v="1899-12-30T08:51:00"/>
    <s v="ANT-0620"/>
    <d v="1899-12-30T00:08:00"/>
    <n v="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06T00:00:00"/>
    <s v="Pas de correspondance"/>
    <x v="1"/>
    <d v="1899-12-30T03:42:00"/>
    <s v="ANT-0441"/>
    <d v="1899-12-30T00:12:00"/>
    <n v="1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28T00:00:00"/>
    <s v="Pas de correspondance"/>
    <x v="1"/>
    <d v="1899-12-30T00:08:00"/>
    <s v="ANT-0102"/>
    <d v="1899-12-30T01:06:00"/>
    <n v="6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01T00:00:00"/>
    <s v="Pas de correspondance"/>
    <x v="1"/>
    <d v="1899-12-30T11:50:00"/>
    <s v="ANT-0813"/>
    <d v="1899-12-30T01:53:00"/>
    <n v="11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26T00:00:00"/>
    <s v="CLI-01170"/>
    <x v="5"/>
    <d v="1899-12-30T07:37:00"/>
    <s v="ANT-0719"/>
    <d v="1899-12-30T00:56:00"/>
    <n v="56"/>
    <n v="-7.9987219999999999"/>
    <n v="12.779335"/>
    <x v="2"/>
    <s v="Nokia"/>
    <s v="Non Résolu"/>
    <n v="98"/>
    <n v="8.1666666666666661"/>
    <s v="Pro Monde"/>
    <s v="B2B"/>
    <n v="482"/>
    <d v="1899-12-30T08:02:00"/>
    <n v="55.04"/>
    <n v="5"/>
    <n v="0.45"/>
    <n v="24.768000000000001"/>
  </r>
  <r>
    <s v="Logs_Reseau_Part_07.xlsx"/>
    <d v="2023-10-11T00:00:00"/>
    <s v="Pas de correspondance"/>
    <x v="1"/>
    <d v="1899-12-30T00:11:00"/>
    <s v="ANT-0118"/>
    <d v="1899-12-30T00:59:00"/>
    <n v="5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7.xlsx"/>
    <d v="2023-10-09T00:00:00"/>
    <s v="Pas de correspondance"/>
    <x v="1"/>
    <d v="1899-12-30T01:08:00"/>
    <s v="ANT-0874"/>
    <d v="1899-12-30T01:32:00"/>
    <n v="9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22T00:00:00"/>
    <s v="Pas de correspondance"/>
    <x v="1"/>
    <d v="1899-12-30T03:26:00"/>
    <s v="ANT-0727"/>
    <d v="1899-12-30T00:43:00"/>
    <n v="4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12T00:00:00"/>
    <s v="Pas de correspondance"/>
    <x v="1"/>
    <d v="1899-12-30T21:48:00"/>
    <s v="ANT-0656"/>
    <d v="1899-12-30T00:32:00"/>
    <n v="3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14T00:00:00"/>
    <s v="Pas de correspondance"/>
    <x v="1"/>
    <d v="1899-12-30T23:03:00"/>
    <s v="ANT-0428"/>
    <d v="1899-12-30T01:43:00"/>
    <n v="10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10T00:00:00"/>
    <s v="Pas de correspondance"/>
    <x v="1"/>
    <d v="1899-12-30T11:06:00"/>
    <s v="ANT-0118"/>
    <d v="1899-12-30T01:42:00"/>
    <n v="10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19T00:00:00"/>
    <s v="CLI-01855"/>
    <x v="11"/>
    <d v="1899-12-30T16:13:00"/>
    <s v="ANT-0415"/>
    <d v="1899-12-30T00:37:00"/>
    <n v="37"/>
    <n v="-2.9651529999999999"/>
    <n v="29.79908"/>
    <x v="0"/>
    <s v="Ericsson"/>
    <s v="En Cours"/>
    <n v="101"/>
    <n v="8.4166666666666661"/>
    <s v="Illimité 50Go"/>
    <s v="B2C"/>
    <n v="358"/>
    <d v="1899-12-30T05:58:00"/>
    <n v="29.24"/>
    <n v="3"/>
    <n v="0.45"/>
    <n v="13.157999999999999"/>
  </r>
  <r>
    <s v="Logs_Reseau_Part_08.xlsx"/>
    <d v="2023-10-05T00:00:00"/>
    <s v="Pas de correspondance"/>
    <x v="1"/>
    <d v="1899-12-30T21:30:00"/>
    <s v="ANT-0022"/>
    <d v="1899-12-30T00:42:00"/>
    <n v="4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08T00:00:00"/>
    <s v="CLI-01233"/>
    <x v="2"/>
    <d v="1899-12-30T03:22:00"/>
    <s v="ANT-0990"/>
    <d v="1899-12-30T00:46:00"/>
    <n v="46"/>
    <n v="-12.112399999999999"/>
    <n v="15.872226"/>
    <x v="0"/>
    <s v="Nokia"/>
    <s v="Non 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08.xlsx"/>
    <d v="2023-10-28T00:00:00"/>
    <s v="Pas de correspondance"/>
    <x v="1"/>
    <d v="1899-12-30T17:23:00"/>
    <s v="ANT-0333"/>
    <d v="1899-12-30T00:20:00"/>
    <n v="2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04T00:00:00"/>
    <s v="Pas de correspondance"/>
    <x v="1"/>
    <d v="1899-12-30T08:36:00"/>
    <s v="ANT-0176"/>
    <d v="1899-12-30T00:05:00"/>
    <n v="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08T00:00:00"/>
    <s v="CLI-01147"/>
    <x v="18"/>
    <d v="1899-12-30T13:54:00"/>
    <s v="ANT-0821"/>
    <d v="1899-12-30T01:08:00"/>
    <n v="68"/>
    <n v="-3.7720639999999999"/>
    <n v="16.006277999999998"/>
    <x v="2"/>
    <s v="ZTE"/>
    <s v="Résolu"/>
    <n v="29"/>
    <n v="2.4166666666666665"/>
    <s v="Premium 5G 150Go"/>
    <s v="B2C"/>
    <n v="214"/>
    <d v="1899-12-30T03:34:00"/>
    <n v="74.7"/>
    <n v="3"/>
    <n v="0.45"/>
    <n v="33.615000000000002"/>
  </r>
  <r>
    <s v="Logs_Reseau_Part_08.xlsx"/>
    <d v="2023-10-18T00:00:00"/>
    <s v="Pas de correspondance"/>
    <x v="1"/>
    <d v="1899-12-30T19:39:00"/>
    <s v="ANT-0971"/>
    <d v="1899-12-30T01:40:00"/>
    <n v="10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22T00:00:00"/>
    <s v="Pas de correspondance"/>
    <x v="1"/>
    <d v="1899-12-30T20:35:00"/>
    <s v="ANT-0633"/>
    <d v="1899-12-30T01:00:00"/>
    <n v="6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01T00:00:00"/>
    <s v="Pas de correspondance"/>
    <x v="1"/>
    <d v="1899-12-30T19:59:00"/>
    <s v="ANT-0472"/>
    <d v="1899-12-30T00:27:00"/>
    <n v="2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22T00:00:00"/>
    <s v="CLI-01855"/>
    <x v="11"/>
    <d v="1899-12-30T22:17:00"/>
    <s v="ANT-0852"/>
    <d v="1899-12-30T00:21:00"/>
    <n v="21"/>
    <n v="4.2493650000000001"/>
    <n v="28.355039999999999"/>
    <x v="3"/>
    <s v="ZTE"/>
    <s v="Résolu"/>
    <n v="101"/>
    <n v="8.4166666666666661"/>
    <s v="Illimité 50Go"/>
    <s v="B2C"/>
    <n v="358"/>
    <d v="1899-12-30T05:58:00"/>
    <n v="29.24"/>
    <n v="3"/>
    <n v="0.45"/>
    <n v="13.157999999999999"/>
  </r>
  <r>
    <s v="Logs_Reseau_Part_08.xlsx"/>
    <d v="2023-10-01T00:00:00"/>
    <s v="Pas de correspondance"/>
    <x v="1"/>
    <d v="1899-12-30T05:17:00"/>
    <s v="ANT-0707"/>
    <d v="1899-12-30T00:53:00"/>
    <n v="5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23T00:00:00"/>
    <s v="CLI-01170"/>
    <x v="5"/>
    <d v="1899-12-30T09:58:00"/>
    <s v="ANT-0942"/>
    <d v="1899-12-30T01:13:00"/>
    <n v="73"/>
    <n v="-4.8128659999999996"/>
    <n v="18.559304999999998"/>
    <x v="2"/>
    <s v="ZTE"/>
    <s v="Résolu"/>
    <n v="98"/>
    <n v="8.1666666666666661"/>
    <s v="Pro Monde"/>
    <s v="B2B"/>
    <n v="482"/>
    <d v="1899-12-30T08:02:00"/>
    <n v="55.04"/>
    <n v="5"/>
    <n v="0.45"/>
    <n v="24.768000000000001"/>
  </r>
  <r>
    <s v="Logs_Reseau_Part_08.xlsx"/>
    <d v="2023-10-11T00:00:00"/>
    <s v="CLI-01325"/>
    <x v="26"/>
    <d v="1899-12-30T11:00:00"/>
    <s v="ANT-0371"/>
    <d v="1899-12-30T01:35:00"/>
    <n v="95"/>
    <n v="-12.112682"/>
    <n v="19.972052000000001"/>
    <x v="0"/>
    <s v="Huawei"/>
    <s v="Non Résolu"/>
    <n v="44"/>
    <n v="3.6666666666666665"/>
    <s v="Bloqué 5Go"/>
    <s v="B2C"/>
    <n v="348"/>
    <d v="1899-12-30T05:48:00"/>
    <n v="58.67"/>
    <n v="0"/>
    <n v="0.45"/>
    <n v="26.401500000000002"/>
  </r>
  <r>
    <s v="Logs_Reseau_Part_08.xlsx"/>
    <d v="2023-10-06T00:00:00"/>
    <s v="CLI-00530"/>
    <x v="17"/>
    <d v="1899-12-30T04:36:00"/>
    <s v="ANT-0091"/>
    <d v="1899-12-30T00:34:00"/>
    <n v="34"/>
    <n v="-4.7886769999999999"/>
    <n v="23.600221999999999"/>
    <x v="3"/>
    <s v="ZTE"/>
    <s v="Résolu"/>
    <n v="35"/>
    <n v="2.9166666666666665"/>
    <s v="Pro Monde"/>
    <s v="B2B"/>
    <n v="465"/>
    <d v="1899-12-30T07:45:00"/>
    <n v="58.59"/>
    <n v="5"/>
    <n v="0.45"/>
    <n v="26.365500000000001"/>
  </r>
  <r>
    <s v="Logs_Reseau_Part_08.xlsx"/>
    <d v="2023-10-22T00:00:00"/>
    <s v="Pas de correspondance"/>
    <x v="1"/>
    <d v="1899-12-30T12:04:00"/>
    <s v="ANT-0448"/>
    <d v="1899-12-30T01:09:00"/>
    <n v="6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05T00:00:00"/>
    <s v="CLI-00439"/>
    <x v="22"/>
    <d v="1899-12-30T23:40:00"/>
    <s v="ANT-0865"/>
    <d v="1899-12-30T01:16:00"/>
    <n v="76"/>
    <n v="-4.869434"/>
    <n v="22.326522000000001"/>
    <x v="2"/>
    <s v="Ericsson"/>
    <s v="Non Résolu"/>
    <n v="40"/>
    <n v="3.3333333333333335"/>
    <s v="Premium 5G 150Go"/>
    <s v="B2C"/>
    <n v="345"/>
    <d v="1899-12-30T05:45:00"/>
    <n v="89.55"/>
    <n v="3"/>
    <n v="0.45"/>
    <n v="40.297499999999999"/>
  </r>
  <r>
    <s v="Logs_Reseau_Part_08.xlsx"/>
    <d v="2023-10-01T00:00:00"/>
    <s v="Pas de correspondance"/>
    <x v="1"/>
    <d v="1899-12-30T02:47:00"/>
    <s v="ANT-0109"/>
    <d v="1899-12-30T01:51:00"/>
    <n v="11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17T00:00:00"/>
    <s v="CLI-00185"/>
    <x v="25"/>
    <d v="1899-12-30T06:24:00"/>
    <s v="ANT-0250"/>
    <d v="1899-12-30T01:30:00"/>
    <n v="90"/>
    <n v="-2.3743210000000001"/>
    <n v="22.399491000000001"/>
    <x v="2"/>
    <s v="Ericsson"/>
    <s v="En Cours"/>
    <n v="81"/>
    <n v="6.75"/>
    <s v="Pro Monde"/>
    <s v="B2B"/>
    <n v="154"/>
    <d v="1899-12-30T02:34:00"/>
    <n v="19.47"/>
    <n v="3"/>
    <n v="0.1"/>
    <n v="1.9470000000000001"/>
  </r>
  <r>
    <s v="Logs_Reseau_Part_08.xlsx"/>
    <d v="2023-10-14T00:00:00"/>
    <s v="Pas de correspondance"/>
    <x v="1"/>
    <d v="1899-12-30T14:21:00"/>
    <s v="ANT-0447"/>
    <d v="1899-12-30T01:48:00"/>
    <n v="10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06T00:00:00"/>
    <s v="CLI-01325"/>
    <x v="26"/>
    <d v="1899-12-30T11:19:00"/>
    <s v="ANT-0604"/>
    <d v="1899-12-30T00:50:00"/>
    <n v="50"/>
    <n v="2.628638"/>
    <n v="28.420582"/>
    <x v="0"/>
    <s v="Huawei"/>
    <s v="Non Résolu"/>
    <n v="44"/>
    <n v="3.6666666666666665"/>
    <s v="Bloqué 5Go"/>
    <s v="B2C"/>
    <n v="348"/>
    <d v="1899-12-30T05:48:00"/>
    <n v="58.67"/>
    <n v="0"/>
    <n v="0.45"/>
    <n v="26.401500000000002"/>
  </r>
  <r>
    <s v="Logs_Reseau_Part_08.xlsx"/>
    <d v="2023-10-24T00:00:00"/>
    <s v="CLI-00894"/>
    <x v="13"/>
    <d v="1899-12-30T10:49:00"/>
    <s v="ANT-0411"/>
    <d v="1899-12-30T00:14:00"/>
    <n v="14"/>
    <n v="-2.571777"/>
    <n v="12.120642"/>
    <x v="3"/>
    <s v="Huawei"/>
    <s v="En Cours"/>
    <n v="63"/>
    <n v="5.25"/>
    <s v="Pro Monde"/>
    <s v="B2B"/>
    <n v="205"/>
    <d v="1899-12-30T03:25:00"/>
    <n v="89.19"/>
    <n v="0"/>
    <n v="0.1"/>
    <n v="8.9190000000000005"/>
  </r>
  <r>
    <s v="Logs_Reseau_Part_08.xlsx"/>
    <d v="2023-10-31T00:00:00"/>
    <s v="Pas de correspondance"/>
    <x v="1"/>
    <d v="1899-12-30T18:38:00"/>
    <s v="ANT-0537"/>
    <d v="1899-12-30T00:55:00"/>
    <n v="5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03T00:00:00"/>
    <s v="Pas de correspondance"/>
    <x v="1"/>
    <d v="1899-12-30T01:09:00"/>
    <s v="ANT-0081"/>
    <d v="1899-12-30T01:55:00"/>
    <n v="11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06T00:00:00"/>
    <s v="Pas de correspondance"/>
    <x v="1"/>
    <d v="1899-12-30T19:03:00"/>
    <s v="ANT-0406"/>
    <d v="1899-12-30T01:39:00"/>
    <n v="9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15T00:00:00"/>
    <s v="Pas de correspondance"/>
    <x v="1"/>
    <d v="1899-12-30T21:27:00"/>
    <s v="ANT-0318"/>
    <d v="1899-12-30T01:00:00"/>
    <n v="6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16T00:00:00"/>
    <s v="Pas de correspondance"/>
    <x v="1"/>
    <d v="1899-12-30T19:28:00"/>
    <s v="ANT-0764"/>
    <d v="1899-12-30T00:07:00"/>
    <n v="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14T00:00:00"/>
    <s v="Pas de correspondance"/>
    <x v="1"/>
    <d v="1899-12-30T08:13:00"/>
    <s v="ANT-0348"/>
    <d v="1899-12-30T01:03:00"/>
    <n v="6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25T00:00:00"/>
    <s v="Pas de correspondance"/>
    <x v="1"/>
    <d v="1899-12-30T16:07:00"/>
    <s v="ANT-0227"/>
    <d v="1899-12-30T00:14:00"/>
    <n v="1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12T00:00:00"/>
    <s v="Pas de correspondance"/>
    <x v="1"/>
    <d v="1899-12-30T13:07:00"/>
    <s v="ANT-0342"/>
    <d v="1899-12-30T01:55:00"/>
    <n v="11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10T00:00:00"/>
    <s v="Pas de correspondance"/>
    <x v="1"/>
    <d v="1899-12-30T21:43:00"/>
    <s v="ANT-0798"/>
    <d v="1899-12-30T00:45:00"/>
    <n v="4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19T00:00:00"/>
    <s v="Pas de correspondance"/>
    <x v="1"/>
    <d v="1899-12-30T15:33:00"/>
    <s v="ANT-0173"/>
    <d v="1899-12-30T01:18:00"/>
    <n v="7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8.xlsx"/>
    <d v="2023-10-22T00:00:00"/>
    <s v="CLI-00185"/>
    <x v="25"/>
    <d v="1899-12-30T09:02:00"/>
    <s v="ANT-0079"/>
    <d v="1899-12-30T00:59:00"/>
    <n v="59"/>
    <n v="-8.4824669999999998"/>
    <n v="21.897777999999999"/>
    <x v="2"/>
    <s v="Ericsson"/>
    <s v="En Cours"/>
    <n v="81"/>
    <n v="6.75"/>
    <s v="Pro Monde"/>
    <s v="B2B"/>
    <n v="154"/>
    <d v="1899-12-30T02:34:00"/>
    <n v="19.47"/>
    <n v="3"/>
    <n v="0.1"/>
    <n v="1.9470000000000001"/>
  </r>
  <r>
    <s v="Logs_Reseau_Part_08.xlsx"/>
    <d v="2023-10-08T00:00:00"/>
    <s v="CLI-00076"/>
    <x v="6"/>
    <d v="1899-12-30T12:38:00"/>
    <s v="ANT-0523"/>
    <d v="1899-12-30T01:18:00"/>
    <n v="78"/>
    <n v="-9.4229749999999992"/>
    <n v="29.375005999999999"/>
    <x v="3"/>
    <s v="Ericsson"/>
    <s v="En Cours"/>
    <n v="46"/>
    <n v="3.8333333333333335"/>
    <s v="Premium 5G 150Go"/>
    <s v="B2C"/>
    <n v="283"/>
    <d v="1899-12-30T04:43:00"/>
    <n v="56.05"/>
    <n v="1"/>
    <n v="0.45"/>
    <n v="25.2225"/>
  </r>
  <r>
    <s v="Logs_Reseau_Part_08.xlsx"/>
    <d v="2023-10-02T00:00:00"/>
    <s v="CLI-01170"/>
    <x v="5"/>
    <d v="1899-12-30T00:13:00"/>
    <s v="ANT-0649"/>
    <d v="1899-12-30T00:56:00"/>
    <n v="56"/>
    <n v="-7.7839049999999999"/>
    <n v="14.114281999999999"/>
    <x v="3"/>
    <s v="ZTE"/>
    <s v="Non Résolu"/>
    <n v="98"/>
    <n v="8.1666666666666661"/>
    <s v="Pro Monde"/>
    <s v="B2B"/>
    <n v="482"/>
    <d v="1899-12-30T08:02:00"/>
    <n v="55.04"/>
    <n v="5"/>
    <n v="0.45"/>
    <n v="24.768000000000001"/>
  </r>
  <r>
    <s v="Logs_Reseau_Part_09.xlsx"/>
    <d v="2023-10-02T00:00:00"/>
    <s v="CLI-00076"/>
    <x v="6"/>
    <d v="1899-12-30T01:23:00"/>
    <s v="ANT-0989"/>
    <d v="1899-12-30T01:43:00"/>
    <n v="103"/>
    <n v="-11.594525000000001"/>
    <n v="29.744895"/>
    <x v="3"/>
    <s v="ZTE"/>
    <s v="Résolu"/>
    <n v="46"/>
    <n v="3.8333333333333335"/>
    <s v="Premium 5G 150Go"/>
    <s v="B2C"/>
    <n v="283"/>
    <d v="1899-12-30T04:43:00"/>
    <n v="56.05"/>
    <n v="1"/>
    <n v="0.45"/>
    <n v="25.2225"/>
  </r>
  <r>
    <s v="Logs_Reseau_Part_09.xlsx"/>
    <d v="2023-10-27T00:00:00"/>
    <s v="CLI-00865"/>
    <x v="19"/>
    <d v="1899-12-30T09:04:00"/>
    <s v="ANT-0829"/>
    <d v="1899-12-30T01:14:00"/>
    <n v="74"/>
    <n v="4.6809229999999999"/>
    <n v="28.934242000000001"/>
    <x v="2"/>
    <s v="Nokia"/>
    <s v="En Cours"/>
    <n v="34"/>
    <n v="2.8333333333333335"/>
    <s v="Pro Monde"/>
    <s v="B2B"/>
    <n v="453"/>
    <d v="1899-12-30T07:33:00"/>
    <n v="56.84"/>
    <n v="0"/>
    <n v="0.45"/>
    <n v="25.578000000000003"/>
  </r>
  <r>
    <s v="Logs_Reseau_Part_09.xlsx"/>
    <d v="2023-10-21T00:00:00"/>
    <s v="Pas de correspondance"/>
    <x v="1"/>
    <d v="1899-12-30T02:39:00"/>
    <s v="ANT-0804"/>
    <d v="1899-12-30T01:51:00"/>
    <n v="11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20T00:00:00"/>
    <s v="CLI-01233"/>
    <x v="2"/>
    <d v="1899-12-30T16:24:00"/>
    <s v="ANT-0481"/>
    <d v="1899-12-30T01:39:00"/>
    <n v="99"/>
    <n v="-9.5840350000000001"/>
    <n v="15.966024000000001"/>
    <x v="2"/>
    <s v="Nokia"/>
    <s v="Non 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09.xlsx"/>
    <d v="2023-10-15T00:00:00"/>
    <s v="CLI-00280"/>
    <x v="7"/>
    <d v="1899-12-30T18:35:00"/>
    <s v="ANT-0926"/>
    <d v="1899-12-30T01:58:00"/>
    <n v="118"/>
    <n v="-10.914952"/>
    <n v="26.409648000000001"/>
    <x v="0"/>
    <s v="Huawei"/>
    <s v="Résolu"/>
    <n v="113"/>
    <n v="9.4166666666666661"/>
    <s v="Illimité 50Go"/>
    <s v="B2C"/>
    <n v="380"/>
    <d v="1899-12-30T06:20:00"/>
    <n v="12.11"/>
    <n v="0"/>
    <n v="0.45"/>
    <n v="5.4494999999999996"/>
  </r>
  <r>
    <s v="Logs_Reseau_Part_09.xlsx"/>
    <d v="2023-10-31T00:00:00"/>
    <s v="CLI-01147"/>
    <x v="18"/>
    <d v="1899-12-30T23:57:00"/>
    <s v="ANT-0856"/>
    <d v="1899-12-30T01:12:00"/>
    <n v="72"/>
    <n v="-1.9120569999999999"/>
    <n v="15.236072999999999"/>
    <x v="2"/>
    <s v="Huawei"/>
    <s v="En Cours"/>
    <n v="29"/>
    <n v="2.4166666666666665"/>
    <s v="Premium 5G 150Go"/>
    <s v="B2C"/>
    <n v="214"/>
    <d v="1899-12-30T03:34:00"/>
    <n v="74.7"/>
    <n v="3"/>
    <n v="0.45"/>
    <n v="33.615000000000002"/>
  </r>
  <r>
    <s v="Logs_Reseau_Part_09.xlsx"/>
    <d v="2023-10-02T00:00:00"/>
    <s v="Pas de correspondance"/>
    <x v="1"/>
    <d v="1899-12-30T14:58:00"/>
    <s v="ANT-0199"/>
    <d v="1899-12-30T00:09:00"/>
    <n v="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26T00:00:00"/>
    <s v="Pas de correspondance"/>
    <x v="1"/>
    <d v="1899-12-30T18:41:00"/>
    <s v="ANT-0377"/>
    <d v="1899-12-30T01:29:00"/>
    <n v="8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07T00:00:00"/>
    <s v="CLI-01325"/>
    <x v="26"/>
    <d v="1899-12-30T10:38:00"/>
    <s v="ANT-0695"/>
    <d v="1899-12-30T00:48:00"/>
    <n v="48"/>
    <n v="0.16327700000000001"/>
    <n v="14.871577"/>
    <x v="0"/>
    <s v="Huawei"/>
    <s v="En Cours"/>
    <n v="44"/>
    <n v="3.6666666666666665"/>
    <s v="Bloqué 5Go"/>
    <s v="B2C"/>
    <n v="348"/>
    <d v="1899-12-30T05:48:00"/>
    <n v="58.67"/>
    <n v="0"/>
    <n v="0.45"/>
    <n v="26.401500000000002"/>
  </r>
  <r>
    <s v="Logs_Reseau_Part_09.xlsx"/>
    <d v="2023-10-16T00:00:00"/>
    <s v="CLI-00837"/>
    <x v="8"/>
    <d v="1899-12-30T16:09:00"/>
    <s v="ANT-0970"/>
    <d v="1899-12-30T01:57:00"/>
    <n v="117"/>
    <n v="-11.866133"/>
    <n v="27.068932"/>
    <x v="3"/>
    <s v="Huawei"/>
    <s v="En Cours"/>
    <n v="16"/>
    <n v="1.3333333333333333"/>
    <s v="Bloqué 5Go"/>
    <s v="B2C"/>
    <n v="390"/>
    <d v="1899-12-30T06:30:00"/>
    <n v="98.17"/>
    <n v="5"/>
    <n v="0.45"/>
    <n v="44.176500000000004"/>
  </r>
  <r>
    <s v="Logs_Reseau_Part_09.xlsx"/>
    <d v="2023-10-31T00:00:00"/>
    <s v="Pas de correspondance"/>
    <x v="1"/>
    <d v="1899-12-30T01:28:00"/>
    <s v="ANT-0585"/>
    <d v="1899-12-30T01:43:00"/>
    <n v="10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04T00:00:00"/>
    <s v="Pas de correspondance"/>
    <x v="1"/>
    <d v="1899-12-30T10:45:00"/>
    <s v="ANT-0452"/>
    <d v="1899-12-30T01:24:00"/>
    <n v="8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03T00:00:00"/>
    <s v="Pas de correspondance"/>
    <x v="1"/>
    <d v="1899-12-30T16:41:00"/>
    <s v="ANT-0473"/>
    <d v="1899-12-30T00:21:00"/>
    <n v="2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06T00:00:00"/>
    <s v="CLI-00559"/>
    <x v="10"/>
    <d v="1899-12-30T01:15:00"/>
    <s v="ANT-0788"/>
    <d v="1899-12-30T01:21:00"/>
    <n v="81"/>
    <n v="1.5802860000000001"/>
    <n v="20.99053"/>
    <x v="0"/>
    <s v="ZTE"/>
    <s v="En Cours"/>
    <n v="99"/>
    <n v="8.25"/>
    <s v="Bloqué 5Go"/>
    <s v="B2C"/>
    <n v="369"/>
    <d v="1899-12-30T06:09:00"/>
    <n v="67.209999999999994"/>
    <n v="3"/>
    <n v="0.45"/>
    <n v="30.244499999999999"/>
  </r>
  <r>
    <s v="Logs_Reseau_Part_09.xlsx"/>
    <d v="2023-10-23T00:00:00"/>
    <s v="Pas de correspondance"/>
    <x v="1"/>
    <d v="1899-12-30T14:28:00"/>
    <s v="ANT-0289"/>
    <d v="1899-12-30T00:53:00"/>
    <n v="5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17T00:00:00"/>
    <s v="CLI-00439"/>
    <x v="22"/>
    <d v="1899-12-30T16:39:00"/>
    <s v="ANT-0797"/>
    <d v="1899-12-30T00:24:00"/>
    <n v="24"/>
    <n v="-12.100756000000001"/>
    <n v="21.938649999999999"/>
    <x v="0"/>
    <s v="Huawei"/>
    <s v="En Cours"/>
    <n v="40"/>
    <n v="3.3333333333333335"/>
    <s v="Premium 5G 150Go"/>
    <s v="B2C"/>
    <n v="345"/>
    <d v="1899-12-30T05:45:00"/>
    <n v="89.55"/>
    <n v="3"/>
    <n v="0.45"/>
    <n v="40.297499999999999"/>
  </r>
  <r>
    <s v="Logs_Reseau_Part_09.xlsx"/>
    <d v="2023-10-06T00:00:00"/>
    <s v="Pas de correspondance"/>
    <x v="1"/>
    <d v="1899-12-30T11:23:00"/>
    <s v="ANT-0392"/>
    <d v="1899-12-30T00:25:00"/>
    <n v="2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30T00:00:00"/>
    <s v="CLI-01005"/>
    <x v="14"/>
    <d v="1899-12-30T09:24:00"/>
    <s v="ANT-0515"/>
    <d v="1899-12-30T00:28:00"/>
    <n v="28"/>
    <n v="-10.967288"/>
    <n v="17.617781000000001"/>
    <x v="0"/>
    <s v="Ericsson"/>
    <s v="En Cours"/>
    <n v="80"/>
    <n v="6.666666666666667"/>
    <s v="Illimité 50Go"/>
    <s v="B2C"/>
    <n v="155"/>
    <d v="1899-12-30T02:35:00"/>
    <n v="28.96"/>
    <n v="2"/>
    <n v="0"/>
    <n v="0"/>
  </r>
  <r>
    <s v="Logs_Reseau_Part_09.xlsx"/>
    <d v="2023-10-14T00:00:00"/>
    <s v="Pas de correspondance"/>
    <x v="1"/>
    <d v="1899-12-30T10:43:00"/>
    <s v="ANT-0541"/>
    <d v="1899-12-30T01:51:00"/>
    <n v="11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20T00:00:00"/>
    <s v="Pas de correspondance"/>
    <x v="1"/>
    <d v="1899-12-30T01:50:00"/>
    <s v="ANT-0429"/>
    <d v="1899-12-30T01:33:00"/>
    <n v="9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21T00:00:00"/>
    <s v="CLI-01233"/>
    <x v="2"/>
    <d v="1899-12-30T20:21:00"/>
    <s v="ANT-0990"/>
    <d v="1899-12-30T01:43:00"/>
    <n v="103"/>
    <n v="-12.112399999999999"/>
    <n v="15.872226"/>
    <x v="0"/>
    <s v="Nokia"/>
    <s v="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09.xlsx"/>
    <d v="2023-10-03T00:00:00"/>
    <s v="CLI-00280"/>
    <x v="7"/>
    <d v="1899-12-30T10:06:00"/>
    <s v="ANT-0166"/>
    <d v="1899-12-30T01:24:00"/>
    <n v="84"/>
    <n v="-10.56448"/>
    <n v="19.792876"/>
    <x v="2"/>
    <s v="Ericsson"/>
    <s v="Résolu"/>
    <n v="113"/>
    <n v="9.4166666666666661"/>
    <s v="Illimité 50Go"/>
    <s v="B2C"/>
    <n v="380"/>
    <d v="1899-12-30T06:20:00"/>
    <n v="12.11"/>
    <n v="0"/>
    <n v="0.45"/>
    <n v="5.4494999999999996"/>
  </r>
  <r>
    <s v="Logs_Reseau_Part_09.xlsx"/>
    <d v="2023-10-18T00:00:00"/>
    <s v="CLI-00865"/>
    <x v="19"/>
    <d v="1899-12-30T21:24:00"/>
    <s v="ANT-0837"/>
    <d v="1899-12-30T01:48:00"/>
    <n v="108"/>
    <n v="-5.3762689999999997"/>
    <n v="28.189575999999999"/>
    <x v="2"/>
    <s v="Huawei"/>
    <s v="En Cours"/>
    <n v="34"/>
    <n v="2.8333333333333335"/>
    <s v="Pro Monde"/>
    <s v="B2B"/>
    <n v="453"/>
    <d v="1899-12-30T07:33:00"/>
    <n v="56.84"/>
    <n v="0"/>
    <n v="0.45"/>
    <n v="25.578000000000003"/>
  </r>
  <r>
    <s v="Logs_Reseau_Part_09.xlsx"/>
    <d v="2023-10-10T00:00:00"/>
    <s v="Pas de correspondance"/>
    <x v="1"/>
    <d v="1899-12-30T08:46:00"/>
    <s v="ANT-0205"/>
    <d v="1899-12-30T02:00:00"/>
    <n v="12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28T00:00:00"/>
    <s v="CLI-01147"/>
    <x v="18"/>
    <d v="1899-12-30T21:58:00"/>
    <s v="ANT-0821"/>
    <d v="1899-12-30T00:26:00"/>
    <n v="26"/>
    <n v="-3.7720639999999999"/>
    <n v="16.006277999999998"/>
    <x v="2"/>
    <s v="ZTE"/>
    <s v="Non Résolu"/>
    <n v="29"/>
    <n v="2.4166666666666665"/>
    <s v="Premium 5G 150Go"/>
    <s v="B2C"/>
    <n v="214"/>
    <d v="1899-12-30T03:34:00"/>
    <n v="74.7"/>
    <n v="3"/>
    <n v="0.45"/>
    <n v="33.615000000000002"/>
  </r>
  <r>
    <s v="Logs_Reseau_Part_09.xlsx"/>
    <d v="2023-10-20T00:00:00"/>
    <s v="Pas de correspondance"/>
    <x v="1"/>
    <d v="1899-12-30T04:21:00"/>
    <s v="ANT-0620"/>
    <d v="1899-12-30T01:37:00"/>
    <n v="9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03T00:00:00"/>
    <s v="CLI-01618"/>
    <x v="0"/>
    <d v="1899-12-30T18:42:00"/>
    <s v="ANT-0142"/>
    <d v="1899-12-30T01:01:00"/>
    <n v="61"/>
    <n v="-12.229338"/>
    <n v="29.587834999999998"/>
    <x v="0"/>
    <s v="Nokia"/>
    <s v="En Cours"/>
    <n v="115"/>
    <n v="9.5833333333333339"/>
    <s v="Bloqué 5Go"/>
    <s v="B2C"/>
    <n v="176"/>
    <d v="1899-12-30T02:56:00"/>
    <n v="33.28"/>
    <n v="4"/>
    <n v="0"/>
    <n v="0"/>
  </r>
  <r>
    <s v="Logs_Reseau_Part_09.xlsx"/>
    <d v="2023-10-05T00:00:00"/>
    <s v="CLI-00837"/>
    <x v="8"/>
    <d v="1899-12-30T11:19:00"/>
    <s v="ANT-0894"/>
    <d v="1899-12-30T00:10:00"/>
    <n v="10"/>
    <n v="4.9455159999999996"/>
    <n v="23.647746000000001"/>
    <x v="2"/>
    <s v="Huawei"/>
    <s v="Résolu"/>
    <n v="16"/>
    <n v="1.3333333333333333"/>
    <s v="Bloqué 5Go"/>
    <s v="B2C"/>
    <n v="390"/>
    <d v="1899-12-30T06:30:00"/>
    <n v="98.17"/>
    <n v="5"/>
    <n v="0.45"/>
    <n v="44.176500000000004"/>
  </r>
  <r>
    <s v="Logs_Reseau_Part_09.xlsx"/>
    <d v="2023-10-31T00:00:00"/>
    <s v="Pas de correspondance"/>
    <x v="1"/>
    <d v="1899-12-30T20:44:00"/>
    <s v="ANT-0257"/>
    <d v="1899-12-30T00:57:00"/>
    <n v="5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22T00:00:00"/>
    <s v="CLI-00865"/>
    <x v="19"/>
    <d v="1899-12-30T12:08:00"/>
    <s v="ANT-0054"/>
    <d v="1899-12-30T00:51:00"/>
    <n v="51"/>
    <n v="-1.231033"/>
    <n v="28.851388"/>
    <x v="3"/>
    <s v="Ericsson"/>
    <s v="Résolu"/>
    <n v="34"/>
    <n v="2.8333333333333335"/>
    <s v="Pro Monde"/>
    <s v="B2B"/>
    <n v="453"/>
    <d v="1899-12-30T07:33:00"/>
    <n v="56.84"/>
    <n v="0"/>
    <n v="0.45"/>
    <n v="25.578000000000003"/>
  </r>
  <r>
    <s v="Logs_Reseau_Part_09.xlsx"/>
    <d v="2023-10-20T00:00:00"/>
    <s v="Pas de correspondance"/>
    <x v="1"/>
    <d v="1899-12-30T22:05:00"/>
    <s v="ANT-0657"/>
    <d v="1899-12-30T01:31:00"/>
    <n v="9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10T00:00:00"/>
    <s v="Pas de correspondance"/>
    <x v="1"/>
    <d v="1899-12-30T17:24:00"/>
    <s v="ANT-0493"/>
    <d v="1899-12-30T01:37:00"/>
    <n v="9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21T00:00:00"/>
    <s v="Pas de correspondance"/>
    <x v="1"/>
    <d v="1899-12-30T10:52:00"/>
    <s v="ANT-0896"/>
    <d v="1899-12-30T00:35:00"/>
    <n v="3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05T00:00:00"/>
    <s v="Pas de correspondance"/>
    <x v="1"/>
    <d v="1899-12-30T21:44:00"/>
    <s v="ANT-0381"/>
    <d v="1899-12-30T01:01:00"/>
    <n v="6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27T00:00:00"/>
    <s v="Pas de correspondance"/>
    <x v="1"/>
    <d v="1899-12-30T23:43:00"/>
    <s v="ANT-0568"/>
    <d v="1899-12-30T01:23:00"/>
    <n v="8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30T00:00:00"/>
    <s v="CLI-01325"/>
    <x v="26"/>
    <d v="1899-12-30T16:05:00"/>
    <s v="ANT-0957"/>
    <d v="1899-12-30T00:41:00"/>
    <n v="41"/>
    <n v="-7.1785899999999998"/>
    <n v="24.4404"/>
    <x v="0"/>
    <s v="Nokia"/>
    <s v="En Cours"/>
    <n v="44"/>
    <n v="3.6666666666666665"/>
    <s v="Bloqué 5Go"/>
    <s v="B2C"/>
    <n v="348"/>
    <d v="1899-12-30T05:48:00"/>
    <n v="58.67"/>
    <n v="0"/>
    <n v="0.45"/>
    <n v="26.401500000000002"/>
  </r>
  <r>
    <s v="Logs_Reseau_Part_09.xlsx"/>
    <d v="2023-10-21T00:00:00"/>
    <s v="CLI-00414"/>
    <x v="20"/>
    <d v="1899-12-30T21:27:00"/>
    <s v="ANT-0106"/>
    <d v="1899-12-30T01:41:00"/>
    <n v="101"/>
    <n v="-2.2876210000000001"/>
    <n v="27.582545"/>
    <x v="0"/>
    <s v="Huawei"/>
    <s v="En Cours"/>
    <n v="99"/>
    <n v="8.25"/>
    <s v="Premium 5G 150Go"/>
    <s v="B2C"/>
    <n v="447"/>
    <d v="1899-12-30T07:27:00"/>
    <n v="38.1"/>
    <n v="3"/>
    <n v="0.45"/>
    <n v="17.145"/>
  </r>
  <r>
    <s v="Logs_Reseau_Part_09.xlsx"/>
    <d v="2023-10-17T00:00:00"/>
    <s v="Pas de correspondance"/>
    <x v="1"/>
    <d v="1899-12-30T11:01:00"/>
    <s v="ANT-0729"/>
    <d v="1899-12-30T01:40:00"/>
    <n v="10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12T00:00:00"/>
    <s v="Pas de correspondance"/>
    <x v="1"/>
    <d v="1899-12-30T09:11:00"/>
    <s v="ANT-0867"/>
    <d v="1899-12-30T01:45:00"/>
    <n v="10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31T00:00:00"/>
    <s v="CLI-00865"/>
    <x v="19"/>
    <d v="1899-12-30T06:21:00"/>
    <s v="ANT-0529"/>
    <d v="1899-12-30T01:02:00"/>
    <n v="62"/>
    <n v="3.6344850000000002"/>
    <n v="12.158348999999999"/>
    <x v="2"/>
    <s v="Ericsson"/>
    <s v="Résolu"/>
    <n v="34"/>
    <n v="2.8333333333333335"/>
    <s v="Pro Monde"/>
    <s v="B2B"/>
    <n v="453"/>
    <d v="1899-12-30T07:33:00"/>
    <n v="56.84"/>
    <n v="0"/>
    <n v="0.45"/>
    <n v="25.578000000000003"/>
  </r>
  <r>
    <s v="Logs_Reseau_Part_09.xlsx"/>
    <d v="2023-10-31T00:00:00"/>
    <s v="CLI-01837"/>
    <x v="23"/>
    <d v="1899-12-30T15:12:00"/>
    <s v="ANT-0872"/>
    <d v="1899-12-30T00:34:00"/>
    <n v="34"/>
    <n v="2.486888"/>
    <n v="23.798074"/>
    <x v="2"/>
    <s v="ZTE"/>
    <s v="Résolu"/>
    <n v="97"/>
    <n v="8.0833333333333339"/>
    <s v="Pro Monde"/>
    <s v="B2B"/>
    <n v="319"/>
    <d v="1899-12-30T05:19:00"/>
    <n v="31.25"/>
    <n v="1"/>
    <n v="0.45"/>
    <n v="14.0625"/>
  </r>
  <r>
    <s v="Logs_Reseau_Part_09.xlsx"/>
    <d v="2023-10-08T00:00:00"/>
    <s v="Pas de correspondance"/>
    <x v="1"/>
    <d v="1899-12-30T04:09:00"/>
    <s v="ANT-0128"/>
    <d v="1899-12-30T01:13:00"/>
    <n v="7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09.xlsx"/>
    <d v="2023-10-03T00:00:00"/>
    <s v="CLI-00414"/>
    <x v="20"/>
    <d v="1899-12-30T09:54:00"/>
    <s v="ANT-0292"/>
    <d v="1899-12-30T00:35:00"/>
    <n v="35"/>
    <n v="-6.4197189999999997"/>
    <n v="22.287264"/>
    <x v="3"/>
    <s v="Ericsson"/>
    <s v="Résolu"/>
    <n v="99"/>
    <n v="8.25"/>
    <s v="Premium 5G 150Go"/>
    <s v="B2C"/>
    <n v="447"/>
    <d v="1899-12-30T07:27:00"/>
    <n v="38.1"/>
    <n v="3"/>
    <n v="0.45"/>
    <n v="17.145"/>
  </r>
  <r>
    <s v="Logs_Reseau_Part_09.xlsx"/>
    <d v="2023-10-26T00:00:00"/>
    <s v="CLI-01855"/>
    <x v="11"/>
    <d v="1899-12-30T03:32:00"/>
    <s v="ANT-0086"/>
    <d v="1899-12-30T00:44:00"/>
    <n v="44"/>
    <n v="4.2904629999999999"/>
    <n v="26.354195000000001"/>
    <x v="3"/>
    <s v="Ericsson"/>
    <s v="Résolu"/>
    <n v="101"/>
    <n v="8.4166666666666661"/>
    <s v="Illimité 50Go"/>
    <s v="B2C"/>
    <n v="358"/>
    <d v="1899-12-30T05:58:00"/>
    <n v="29.24"/>
    <n v="3"/>
    <n v="0.45"/>
    <n v="13.157999999999999"/>
  </r>
  <r>
    <s v="Logs_Reseau_Part_10.xlsx"/>
    <d v="2023-10-08T00:00:00"/>
    <s v="Pas de correspondance"/>
    <x v="1"/>
    <d v="1899-12-30T09:07:00"/>
    <s v="ANT-0455"/>
    <d v="1899-12-30T01:58:00"/>
    <n v="11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02T00:00:00"/>
    <s v="Pas de correspondance"/>
    <x v="1"/>
    <d v="1899-12-30T07:26:00"/>
    <s v="ANT-0360"/>
    <d v="1899-12-30T00:56:00"/>
    <n v="5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21T00:00:00"/>
    <s v="CLI-00996"/>
    <x v="15"/>
    <d v="1899-12-30T19:29:00"/>
    <s v="ANT-0458"/>
    <d v="1899-12-30T01:40:00"/>
    <n v="100"/>
    <n v="-0.98830399999999996"/>
    <n v="28.099966999999999"/>
    <x v="3"/>
    <s v="Huawei"/>
    <s v="En Cours"/>
    <n v="119"/>
    <n v="9.9166666666666661"/>
    <s v="Illimité 50Go"/>
    <s v="B2C"/>
    <n v="228"/>
    <d v="1899-12-30T03:48:00"/>
    <n v="94.72"/>
    <n v="3"/>
    <n v="0"/>
    <n v="0"/>
  </r>
  <r>
    <s v="Logs_Reseau_Part_10.xlsx"/>
    <d v="2023-10-03T00:00:00"/>
    <s v="CLI-00837"/>
    <x v="8"/>
    <d v="1899-12-30T03:53:00"/>
    <s v="ANT-0044"/>
    <d v="1899-12-30T01:01:00"/>
    <n v="61"/>
    <n v="-6.5529849999999996"/>
    <n v="21.990606"/>
    <x v="3"/>
    <s v="Huawei"/>
    <s v="Non Résolu"/>
    <n v="16"/>
    <n v="1.3333333333333333"/>
    <s v="Bloqué 5Go"/>
    <s v="B2C"/>
    <n v="390"/>
    <d v="1899-12-30T06:30:00"/>
    <n v="98.17"/>
    <n v="5"/>
    <n v="0.45"/>
    <n v="44.176500000000004"/>
  </r>
  <r>
    <s v="Logs_Reseau_Part_10.xlsx"/>
    <d v="2023-10-29T00:00:00"/>
    <s v="CLI-01855"/>
    <x v="11"/>
    <d v="1899-12-30T15:38:00"/>
    <s v="ant-0745"/>
    <d v="1899-12-30T01:59:00"/>
    <n v="119"/>
    <n v="2.453036"/>
    <n v="20.555484"/>
    <x v="2"/>
    <s v="Ericsson"/>
    <s v="Résolu"/>
    <n v="101"/>
    <n v="8.4166666666666661"/>
    <s v="Illimité 50Go"/>
    <s v="B2C"/>
    <n v="358"/>
    <d v="1899-12-30T05:58:00"/>
    <n v="29.24"/>
    <n v="3"/>
    <n v="0.45"/>
    <n v="13.157999999999999"/>
  </r>
  <r>
    <s v="Logs_Reseau_Part_10.xlsx"/>
    <d v="2023-10-18T00:00:00"/>
    <s v="Pas de correspondance"/>
    <x v="1"/>
    <d v="1899-12-30T00:40:00"/>
    <s v="ANT-0891"/>
    <d v="1899-12-30T00:54:00"/>
    <n v="5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17T00:00:00"/>
    <s v="CLI-01147"/>
    <x v="18"/>
    <d v="1899-12-30T18:15:00"/>
    <s v="ANT-0934"/>
    <d v="1899-12-30T00:48:00"/>
    <n v="48"/>
    <n v="-11.002602"/>
    <n v="23.918247999999998"/>
    <x v="2"/>
    <s v="ZTE"/>
    <s v="Résolu"/>
    <n v="29"/>
    <n v="2.4166666666666665"/>
    <s v="Premium 5G 150Go"/>
    <s v="B2C"/>
    <n v="214"/>
    <d v="1899-12-30T03:34:00"/>
    <n v="74.7"/>
    <n v="3"/>
    <n v="0.45"/>
    <n v="33.615000000000002"/>
  </r>
  <r>
    <s v="Logs_Reseau_Part_10.xlsx"/>
    <d v="2023-10-23T00:00:00"/>
    <s v="CLI-00611"/>
    <x v="21"/>
    <d v="1899-12-30T04:18:00"/>
    <s v="ANT-0362"/>
    <d v="1899-12-30T00:28:00"/>
    <n v="28"/>
    <n v="-0.90854400000000002"/>
    <n v="17.154896999999998"/>
    <x v="3"/>
    <s v="Huawei"/>
    <s v="Non Résolu"/>
    <n v="79"/>
    <n v="6.583333333333333"/>
    <s v="Premium 5G 150Go"/>
    <s v="B2C"/>
    <n v="226"/>
    <d v="1899-12-30T03:46:00"/>
    <n v="94.38"/>
    <n v="3"/>
    <n v="0"/>
    <n v="0"/>
  </r>
  <r>
    <s v="Logs_Reseau_Part_10.xlsx"/>
    <d v="2023-10-14T00:00:00"/>
    <s v="CLI-00569"/>
    <x v="16"/>
    <d v="1899-12-30T00:39:00"/>
    <s v="ANT-0630"/>
    <d v="1899-12-30T01:08:00"/>
    <n v="68"/>
    <n v="-8.1210620000000002"/>
    <n v="21.094390000000001"/>
    <x v="2"/>
    <s v="ZTE"/>
    <s v="En Cours"/>
    <n v="110"/>
    <n v="9.1666666666666661"/>
    <s v="Pro Monde"/>
    <s v="B2B"/>
    <n v="423"/>
    <d v="1899-12-30T07:03:00"/>
    <n v="37.35"/>
    <n v="4"/>
    <n v="0.45"/>
    <n v="16.807500000000001"/>
  </r>
  <r>
    <s v="Logs_Reseau_Part_10.xlsx"/>
    <d v="2023-10-12T00:00:00"/>
    <s v="CLI-01005"/>
    <x v="14"/>
    <d v="1899-12-30T07:36:00"/>
    <s v="ANT-0446"/>
    <d v="1899-12-30T01:33:00"/>
    <n v="93"/>
    <n v="1.286548"/>
    <n v="29.823702999999998"/>
    <x v="0"/>
    <s v="ZTE"/>
    <s v="En Cours"/>
    <n v="80"/>
    <n v="6.666666666666667"/>
    <s v="Illimité 50Go"/>
    <s v="B2C"/>
    <n v="155"/>
    <d v="1899-12-30T02:35:00"/>
    <n v="28.96"/>
    <n v="2"/>
    <n v="0"/>
    <n v="0"/>
  </r>
  <r>
    <s v="Logs_Reseau_Part_10.xlsx"/>
    <d v="2023-10-14T00:00:00"/>
    <s v="Pas de correspondance"/>
    <x v="1"/>
    <d v="1899-12-30T05:42:00"/>
    <s v="ANT-0282"/>
    <d v="1899-12-30T01:08:00"/>
    <n v="6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22T00:00:00"/>
    <s v="Pas de correspondance"/>
    <x v="1"/>
    <d v="1899-12-30T02:33:00"/>
    <s v="ANT-0655"/>
    <d v="1899-12-30T00:52:00"/>
    <n v="5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12T00:00:00"/>
    <s v="CLI-00559"/>
    <x v="10"/>
    <d v="1899-12-30T02:33:00"/>
    <s v="ANT-0811"/>
    <d v="1899-12-30T01:47:00"/>
    <n v="107"/>
    <n v="-5.125"/>
    <n v="23.513119"/>
    <x v="2"/>
    <s v="Huawei"/>
    <s v="Résolu"/>
    <n v="99"/>
    <n v="8.25"/>
    <s v="Bloqué 5Go"/>
    <s v="B2C"/>
    <n v="369"/>
    <d v="1899-12-30T06:09:00"/>
    <n v="67.209999999999994"/>
    <n v="3"/>
    <n v="0.45"/>
    <n v="30.244499999999999"/>
  </r>
  <r>
    <s v="Logs_Reseau_Part_10.xlsx"/>
    <d v="2023-10-18T00:00:00"/>
    <s v="Pas de correspondance"/>
    <x v="1"/>
    <d v="1899-12-30T16:50:00"/>
    <s v="ANT-0971"/>
    <d v="1899-12-30T01:11:00"/>
    <n v="7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17T00:00:00"/>
    <s v="CLI-01147"/>
    <x v="18"/>
    <d v="1899-12-30T17:01:00"/>
    <s v="ANT-0059"/>
    <d v="1899-12-30T00:39:00"/>
    <n v="39"/>
    <n v="-0.34051900000000002"/>
    <n v="17.079799000000001"/>
    <x v="2"/>
    <s v="Ericsson"/>
    <s v="Résolu"/>
    <n v="29"/>
    <n v="2.4166666666666665"/>
    <s v="Premium 5G 150Go"/>
    <s v="B2C"/>
    <n v="214"/>
    <d v="1899-12-30T03:34:00"/>
    <n v="74.7"/>
    <n v="3"/>
    <n v="0.45"/>
    <n v="33.615000000000002"/>
  </r>
  <r>
    <s v="Logs_Reseau_Part_10.xlsx"/>
    <d v="2023-10-13T00:00:00"/>
    <s v="Pas de correspondance"/>
    <x v="1"/>
    <d v="1899-12-30T15:02:00"/>
    <s v="ANT-0077"/>
    <d v="1899-12-30T01:47:00"/>
    <n v="10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21T00:00:00"/>
    <s v="Pas de correspondance"/>
    <x v="1"/>
    <d v="1899-12-30T12:23:00"/>
    <s v="ANT-0688"/>
    <d v="1899-12-30T00:15:00"/>
    <n v="1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09T00:00:00"/>
    <s v="CLI-00837"/>
    <x v="8"/>
    <d v="1899-12-30T23:01:00"/>
    <s v="ANT-0653"/>
    <d v="1899-12-30T01:38:00"/>
    <n v="98"/>
    <n v="0.82868600000000003"/>
    <n v="26.958843999999999"/>
    <x v="2"/>
    <s v="ZTE"/>
    <s v="En Cours"/>
    <n v="16"/>
    <n v="1.3333333333333333"/>
    <s v="Bloqué 5Go"/>
    <s v="B2C"/>
    <n v="390"/>
    <d v="1899-12-30T06:30:00"/>
    <n v="98.17"/>
    <n v="5"/>
    <n v="0.45"/>
    <n v="44.176500000000004"/>
  </r>
  <r>
    <s v="Logs_Reseau_Part_10.xlsx"/>
    <d v="2023-10-12T00:00:00"/>
    <s v="CLI-00280"/>
    <x v="7"/>
    <d v="1899-12-30T02:22:00"/>
    <s v="ANT-0416"/>
    <d v="1899-12-30T00:59:00"/>
    <n v="59"/>
    <n v="-11.387295999999999"/>
    <n v="19.384257999999999"/>
    <x v="3"/>
    <s v="Huawei"/>
    <s v="En Cours"/>
    <n v="113"/>
    <n v="9.4166666666666661"/>
    <s v="Illimité 50Go"/>
    <s v="B2C"/>
    <n v="380"/>
    <d v="1899-12-30T06:20:00"/>
    <n v="12.11"/>
    <n v="0"/>
    <n v="0.45"/>
    <n v="5.4494999999999996"/>
  </r>
  <r>
    <s v="Logs_Reseau_Part_10.xlsx"/>
    <d v="2023-10-08T00:00:00"/>
    <s v="CLI-00569"/>
    <x v="16"/>
    <d v="1899-12-30T23:42:00"/>
    <s v="ANT-0373"/>
    <d v="1899-12-30T00:15:00"/>
    <n v="15"/>
    <n v="-9.0798120000000004"/>
    <n v="14.945484"/>
    <x v="2"/>
    <s v="Ericsson"/>
    <s v="Non Résolu"/>
    <n v="110"/>
    <n v="9.1666666666666661"/>
    <s v="Pro Monde"/>
    <s v="B2B"/>
    <n v="423"/>
    <d v="1899-12-30T07:03:00"/>
    <n v="37.35"/>
    <n v="4"/>
    <n v="0.45"/>
    <n v="16.807500000000001"/>
  </r>
  <r>
    <s v="Logs_Reseau_Part_10.xlsx"/>
    <d v="2023-10-21T00:00:00"/>
    <s v="Pas de correspondance"/>
    <x v="1"/>
    <d v="1899-12-30T03:49:00"/>
    <s v="ANT-0526"/>
    <d v="1899-12-30T01:00:00"/>
    <n v="6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19T00:00:00"/>
    <s v="CLI-01147"/>
    <x v="18"/>
    <d v="1899-12-30T23:48:00"/>
    <s v="ANT-0821"/>
    <d v="1899-12-30T01:22:00"/>
    <n v="82"/>
    <n v="-3.7720639999999999"/>
    <n v="16.006277999999998"/>
    <x v="2"/>
    <s v="ZTE"/>
    <s v="Résolu"/>
    <n v="29"/>
    <n v="2.4166666666666665"/>
    <s v="Premium 5G 150Go"/>
    <s v="B2C"/>
    <n v="214"/>
    <d v="1899-12-30T03:34:00"/>
    <n v="74.7"/>
    <n v="3"/>
    <n v="0.45"/>
    <n v="33.615000000000002"/>
  </r>
  <r>
    <s v="Logs_Reseau_Part_10.xlsx"/>
    <d v="2023-10-11T00:00:00"/>
    <s v="CLI-01618"/>
    <x v="0"/>
    <d v="1899-12-30T04:02:00"/>
    <s v="ANT-0768"/>
    <d v="1899-12-30T01:50:00"/>
    <n v="110"/>
    <n v="-9.9565739999999998"/>
    <n v="21.017202000000001"/>
    <x v="0"/>
    <s v="Huawei"/>
    <s v="Résolu"/>
    <n v="115"/>
    <n v="9.5833333333333339"/>
    <s v="Bloqué 5Go"/>
    <s v="B2C"/>
    <n v="176"/>
    <d v="1899-12-30T02:56:00"/>
    <n v="33.28"/>
    <n v="4"/>
    <n v="0"/>
    <n v="0"/>
  </r>
  <r>
    <s v="Logs_Reseau_Part_10.xlsx"/>
    <d v="2023-10-12T00:00:00"/>
    <s v="Pas de correspondance"/>
    <x v="1"/>
    <d v="1899-12-30T17:21:00"/>
    <s v="ANT-0696"/>
    <d v="1899-12-30T00:28:00"/>
    <n v="2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27T00:00:00"/>
    <s v="CLI-00611"/>
    <x v="21"/>
    <d v="1899-12-30T20:11:00"/>
    <s v="ANT-0164"/>
    <d v="1899-12-30T01:14:00"/>
    <n v="74"/>
    <n v="-11.389362"/>
    <n v="22.240174"/>
    <x v="2"/>
    <s v="ZTE"/>
    <s v="Non Résolu"/>
    <n v="79"/>
    <n v="6.583333333333333"/>
    <s v="Premium 5G 150Go"/>
    <s v="B2C"/>
    <n v="226"/>
    <d v="1899-12-30T03:46:00"/>
    <n v="94.38"/>
    <n v="3"/>
    <n v="0"/>
    <n v="0"/>
  </r>
  <r>
    <s v="Logs_Reseau_Part_10.xlsx"/>
    <d v="2023-10-27T00:00:00"/>
    <s v="Pas de correspondance"/>
    <x v="1"/>
    <d v="1899-12-30T21:29:00"/>
    <s v="ANT-0976"/>
    <d v="1899-12-30T00:42:00"/>
    <n v="4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23T00:00:00"/>
    <s v="CLI-00131"/>
    <x v="4"/>
    <d v="1899-12-30T15:40:00"/>
    <s v="ANT-0032"/>
    <d v="1899-12-30T00:46:00"/>
    <n v="46"/>
    <n v="-11.266565999999999"/>
    <n v="26.245055000000001"/>
    <x v="3"/>
    <s v="Ericsson"/>
    <s v="En Cours"/>
    <n v="101"/>
    <n v="8.4166666666666661"/>
    <s v="Pro Monde"/>
    <s v="B2B"/>
    <n v="176"/>
    <d v="1899-12-30T02:56:00"/>
    <n v="86"/>
    <n v="3"/>
    <n v="0.1"/>
    <n v="8.6"/>
  </r>
  <r>
    <s v="Logs_Reseau_Part_10.xlsx"/>
    <d v="2023-10-06T00:00:00"/>
    <s v="CLI-00559"/>
    <x v="10"/>
    <d v="1899-12-30T04:04:00"/>
    <s v="ANT-0147"/>
    <d v="1899-12-30T00:18:00"/>
    <n v="18"/>
    <n v="4.8689660000000003"/>
    <n v="25.112373000000002"/>
    <x v="3"/>
    <s v="Huawei"/>
    <s v="Non Résolu"/>
    <n v="99"/>
    <n v="8.25"/>
    <s v="Bloqué 5Go"/>
    <s v="B2C"/>
    <n v="369"/>
    <d v="1899-12-30T06:09:00"/>
    <n v="67.209999999999994"/>
    <n v="3"/>
    <n v="0.45"/>
    <n v="30.244499999999999"/>
  </r>
  <r>
    <s v="Logs_Reseau_Part_10.xlsx"/>
    <d v="2023-10-23T00:00:00"/>
    <s v="CLI-00643"/>
    <x v="12"/>
    <d v="1899-12-30T14:02:00"/>
    <s v="ANT-0870"/>
    <d v="1899-12-30T00:15:00"/>
    <n v="15"/>
    <n v="-9.1215879999999991"/>
    <n v="16.457916999999998"/>
    <x v="0"/>
    <s v="Nokia"/>
    <s v="En Cours"/>
    <n v="14"/>
    <n v="1.1666666666666667"/>
    <s v="Pro Monde"/>
    <s v="B2B"/>
    <n v="316"/>
    <d v="1899-12-30T05:16:00"/>
    <n v="62.34"/>
    <n v="4"/>
    <n v="0.45"/>
    <n v="28.053000000000001"/>
  </r>
  <r>
    <s v="Logs_Reseau_Part_10.xlsx"/>
    <d v="2023-10-10T00:00:00"/>
    <s v="Pas de correspondance"/>
    <x v="1"/>
    <d v="1899-12-30T06:02:00"/>
    <s v="ANT-0623"/>
    <d v="1899-12-30T00:46:00"/>
    <n v="4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26T00:00:00"/>
    <s v="CLI-01325"/>
    <x v="26"/>
    <d v="1899-12-30T06:56:00"/>
    <s v="ANT-0695"/>
    <d v="1899-12-30T01:29:00"/>
    <n v="89"/>
    <n v="0.16327700000000001"/>
    <n v="14.871577"/>
    <x v="0"/>
    <s v="Huawei"/>
    <s v="Résolu"/>
    <n v="44"/>
    <n v="3.6666666666666665"/>
    <s v="Bloqué 5Go"/>
    <s v="B2C"/>
    <n v="348"/>
    <d v="1899-12-30T05:48:00"/>
    <n v="58.67"/>
    <n v="0"/>
    <n v="0.45"/>
    <n v="26.401500000000002"/>
  </r>
  <r>
    <s v="Logs_Reseau_Part_10.xlsx"/>
    <d v="2023-10-02T00:00:00"/>
    <s v="Pas de correspondance"/>
    <x v="1"/>
    <d v="1899-12-30T10:59:00"/>
    <s v="ANT-0801"/>
    <d v="1899-12-30T00:42:00"/>
    <n v="4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10T00:00:00"/>
    <s v="Pas de correspondance"/>
    <x v="1"/>
    <d v="1899-12-30T16:25:00"/>
    <s v="ANT-0449"/>
    <d v="1899-12-30T00:44:00"/>
    <n v="4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27T00:00:00"/>
    <s v="Pas de correspondance"/>
    <x v="1"/>
    <d v="1899-12-30T17:30:00"/>
    <s v="ANT-0036"/>
    <d v="1899-12-30T01:02:00"/>
    <n v="6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09T00:00:00"/>
    <s v="Pas de correspondance"/>
    <x v="1"/>
    <d v="1899-12-30T01:48:00"/>
    <s v="ANT-0130"/>
    <d v="1899-12-30T01:22:00"/>
    <n v="8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21T00:00:00"/>
    <s v="Pas de correspondance"/>
    <x v="1"/>
    <d v="1899-12-30T06:18:00"/>
    <s v="ANT-0069"/>
    <d v="1899-12-30T01:36:00"/>
    <n v="9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12T00:00:00"/>
    <s v="Pas de correspondance"/>
    <x v="1"/>
    <d v="1899-12-30T01:55:00"/>
    <s v="ANT-0242"/>
    <d v="1899-12-30T00:59:00"/>
    <n v="5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21T00:00:00"/>
    <s v="Pas de correspondance"/>
    <x v="1"/>
    <d v="1899-12-30T10:17:00"/>
    <s v="ANT-0798"/>
    <d v="1899-12-30T00:26:00"/>
    <n v="2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0.xlsx"/>
    <d v="2023-10-04T00:00:00"/>
    <s v="Pas de correspondance"/>
    <x v="1"/>
    <d v="1899-12-30T11:27:00"/>
    <s v="ANT-0661"/>
    <d v="1899-12-30T01:33:00"/>
    <n v="9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03T00:00:00"/>
    <s v="Pas de correspondance"/>
    <x v="1"/>
    <d v="1899-12-30T21:54:00"/>
    <s v="ANT-0126"/>
    <d v="1899-12-30T01:08:00"/>
    <n v="6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1T00:00:00"/>
    <s v="Pas de correspondance"/>
    <x v="1"/>
    <d v="1899-12-30T21:22:00"/>
    <s v="ANT-0274"/>
    <d v="1899-12-30T01:58:00"/>
    <n v="11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23T00:00:00"/>
    <s v="Pas de correspondance"/>
    <x v="1"/>
    <d v="1899-12-30T02:35:00"/>
    <s v="ANT-0461"/>
    <d v="1899-12-30T01:25:00"/>
    <n v="8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8T00:00:00"/>
    <s v="Pas de correspondance"/>
    <x v="1"/>
    <d v="1899-12-30T09:57:00"/>
    <s v="ANT-0254"/>
    <d v="1899-12-30T01:14:00"/>
    <n v="7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0T00:00:00"/>
    <s v="Pas de correspondance"/>
    <x v="1"/>
    <d v="1899-12-30T05:45:00"/>
    <s v="ANT-0145"/>
    <d v="1899-12-30T00:42:00"/>
    <n v="4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23T00:00:00"/>
    <s v="Pas de correspondance"/>
    <x v="1"/>
    <d v="1899-12-30T22:40:00"/>
    <s v="ANT-0100"/>
    <d v="1899-12-30T01:27:00"/>
    <n v="8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06T00:00:00"/>
    <s v="Pas de correspondance"/>
    <x v="1"/>
    <d v="1899-12-30T11:32:00"/>
    <s v="ANT-0052"/>
    <d v="1899-12-30T00:43:00"/>
    <n v="4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08T00:00:00"/>
    <s v="CLI-01837"/>
    <x v="23"/>
    <d v="1899-12-30T03:12:00"/>
    <s v="ANT-0298"/>
    <d v="1899-12-30T01:06:00"/>
    <n v="66"/>
    <n v="-5.4073029999999997"/>
    <n v="29.762294000000001"/>
    <x v="3"/>
    <s v="Ericsson"/>
    <s v="Non Résolu"/>
    <n v="97"/>
    <n v="8.0833333333333339"/>
    <s v="Pro Monde"/>
    <s v="B2B"/>
    <n v="319"/>
    <d v="1899-12-30T05:19:00"/>
    <n v="31.25"/>
    <n v="1"/>
    <n v="0.45"/>
    <n v="14.0625"/>
  </r>
  <r>
    <s v="Logs_Reseau_Part_11.xlsx"/>
    <d v="2023-10-26T00:00:00"/>
    <s v="Pas de correspondance"/>
    <x v="1"/>
    <d v="1899-12-30T04:15:00"/>
    <s v="ANT-0969"/>
    <d v="1899-12-30T00:36:00"/>
    <n v="3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26T00:00:00"/>
    <s v="CLI-00280"/>
    <x v="7"/>
    <d v="1899-12-30T15:01:00"/>
    <s v="ANT-0394"/>
    <d v="1899-12-30T01:48:00"/>
    <n v="108"/>
    <n v="-10.611184"/>
    <n v="23.022268"/>
    <x v="2"/>
    <s v="ZTE"/>
    <s v="En Cours"/>
    <n v="113"/>
    <n v="9.4166666666666661"/>
    <s v="Illimité 50Go"/>
    <s v="B2C"/>
    <n v="380"/>
    <d v="1899-12-30T06:20:00"/>
    <n v="12.11"/>
    <n v="0"/>
    <n v="0.45"/>
    <n v="5.4494999999999996"/>
  </r>
  <r>
    <s v="Logs_Reseau_Part_11.xlsx"/>
    <d v="2023-10-12T00:00:00"/>
    <s v="Pas de correspondance"/>
    <x v="1"/>
    <d v="1899-12-30T17:36:00"/>
    <s v="ANT-0885"/>
    <d v="1899-12-30T01:48:00"/>
    <n v="10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2T00:00:00"/>
    <s v="CLI-00745"/>
    <x v="9"/>
    <d v="1899-12-30T14:51:00"/>
    <s v="ANT-0631"/>
    <d v="1899-12-30T01:32:00"/>
    <n v="92"/>
    <n v="-0.85624699999999998"/>
    <n v="28.624870000000001"/>
    <x v="3"/>
    <s v="Ericsson"/>
    <s v="Résolu"/>
    <n v="6"/>
    <n v="0.5"/>
    <s v="Premium 5G 150Go"/>
    <s v="B2C"/>
    <n v="207"/>
    <d v="1899-12-30T03:27:00"/>
    <n v="61.55"/>
    <n v="0"/>
    <n v="0.45"/>
    <n v="27.697499999999998"/>
  </r>
  <r>
    <s v="Logs_Reseau_Part_11.xlsx"/>
    <d v="2023-10-18T00:00:00"/>
    <s v="Pas de correspondance"/>
    <x v="1"/>
    <d v="1899-12-30T04:39:00"/>
    <s v="ANT-0429"/>
    <d v="1899-12-30T00:56:00"/>
    <n v="5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29T00:00:00"/>
    <s v="Pas de correspondance"/>
    <x v="1"/>
    <d v="1899-12-30T02:04:00"/>
    <s v="ANT-0255"/>
    <d v="1899-12-30T00:43:00"/>
    <n v="4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0T00:00:00"/>
    <s v="CLI-00185"/>
    <x v="25"/>
    <d v="1899-12-30T12:45:00"/>
    <s v="ANT-0986"/>
    <d v="1899-12-30T01:03:00"/>
    <n v="63"/>
    <n v="1.727095"/>
    <n v="22.099651999999999"/>
    <x v="0"/>
    <s v="Huawei"/>
    <s v="Résolu"/>
    <n v="81"/>
    <n v="6.75"/>
    <s v="Pro Monde"/>
    <s v="B2B"/>
    <n v="154"/>
    <d v="1899-12-30T02:34:00"/>
    <n v="19.47"/>
    <n v="3"/>
    <n v="0.1"/>
    <n v="1.9470000000000001"/>
  </r>
  <r>
    <s v="Logs_Reseau_Part_11.xlsx"/>
    <d v="2023-10-24T00:00:00"/>
    <s v="Pas de correspondance"/>
    <x v="1"/>
    <d v="1899-12-30T15:33:00"/>
    <s v="ANT-0887"/>
    <d v="1899-12-30T00:14:00"/>
    <n v="1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4T00:00:00"/>
    <s v="Pas de correspondance"/>
    <x v="1"/>
    <d v="1899-12-30T13:52:00"/>
    <s v="ANT-0924"/>
    <d v="1899-12-30T01:33:00"/>
    <n v="9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9T00:00:00"/>
    <s v="CLI-00611"/>
    <x v="21"/>
    <d v="1899-12-30T02:08:00"/>
    <s v="ANT-0164"/>
    <d v="1899-12-30T00:12:00"/>
    <n v="12"/>
    <n v="-11.389362"/>
    <n v="22.240174"/>
    <x v="2"/>
    <s v="ZTE"/>
    <s v="En Cours"/>
    <n v="79"/>
    <n v="6.583333333333333"/>
    <s v="Premium 5G 150Go"/>
    <s v="B2C"/>
    <n v="226"/>
    <d v="1899-12-30T03:46:00"/>
    <n v="94.38"/>
    <n v="3"/>
    <n v="0"/>
    <n v="0"/>
  </r>
  <r>
    <s v="Logs_Reseau_Part_11.xlsx"/>
    <d v="2023-10-11T00:00:00"/>
    <s v="Pas de correspondance"/>
    <x v="1"/>
    <d v="1899-12-30T20:04:00"/>
    <s v="ANT-0834"/>
    <d v="1899-12-30T00:25:00"/>
    <n v="2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5T00:00:00"/>
    <s v="Pas de correspondance"/>
    <x v="1"/>
    <d v="1899-12-30T14:43:00"/>
    <s v="ANT-0336"/>
    <d v="1899-12-30T01:01:00"/>
    <n v="6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7T00:00:00"/>
    <s v="CLI-01325"/>
    <x v="26"/>
    <d v="1899-12-30T11:08:00"/>
    <s v="ANT-0957"/>
    <d v="1899-12-30T00:58:00"/>
    <n v="58"/>
    <n v="-7.1785899999999998"/>
    <n v="24.4404"/>
    <x v="0"/>
    <s v="Nokia"/>
    <s v="Résolu"/>
    <n v="44"/>
    <n v="3.6666666666666665"/>
    <s v="Bloqué 5Go"/>
    <s v="B2C"/>
    <n v="348"/>
    <d v="1899-12-30T05:48:00"/>
    <n v="58.67"/>
    <n v="0"/>
    <n v="0.45"/>
    <n v="26.401500000000002"/>
  </r>
  <r>
    <s v="Logs_Reseau_Part_11.xlsx"/>
    <d v="2023-10-29T00:00:00"/>
    <s v="CLI-01837"/>
    <x v="23"/>
    <d v="1899-12-30T17:40:00"/>
    <s v="ANT-0592"/>
    <d v="1899-12-30T01:06:00"/>
    <n v="66"/>
    <n v="-4.4831099999999999"/>
    <n v="25.406548000000001"/>
    <x v="2"/>
    <s v="Nokia"/>
    <s v="En Cours"/>
    <n v="97"/>
    <n v="8.0833333333333339"/>
    <s v="Pro Monde"/>
    <s v="B2B"/>
    <n v="319"/>
    <d v="1899-12-30T05:19:00"/>
    <n v="31.25"/>
    <n v="1"/>
    <n v="0.45"/>
    <n v="14.0625"/>
  </r>
  <r>
    <s v="Logs_Reseau_Part_11.xlsx"/>
    <d v="2023-10-19T00:00:00"/>
    <s v="Pas de correspondance"/>
    <x v="1"/>
    <d v="1899-12-30T05:49:00"/>
    <s v="ANT-0739"/>
    <d v="1899-12-30T01:04:00"/>
    <n v="6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31T00:00:00"/>
    <s v="Pas de correspondance"/>
    <x v="1"/>
    <d v="1899-12-30T04:27:00"/>
    <s v="ANT-0321"/>
    <d v="1899-12-30T00:31:00"/>
    <n v="3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7T00:00:00"/>
    <s v="Pas de correspondance"/>
    <x v="1"/>
    <d v="1899-12-30T01:53:00"/>
    <s v="ANT-0195"/>
    <d v="1899-12-30T00:48:00"/>
    <n v="4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04T00:00:00"/>
    <s v="Pas de correspondance"/>
    <x v="1"/>
    <d v="1899-12-30T16:09:00"/>
    <s v="ANT-0782"/>
    <d v="1899-12-30T01:22:00"/>
    <n v="8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0T00:00:00"/>
    <s v="CLI-00611"/>
    <x v="21"/>
    <d v="1899-12-30T05:10:00"/>
    <s v="ANT-0164"/>
    <d v="1899-12-30T00:23:00"/>
    <n v="23"/>
    <n v="-11.389362"/>
    <n v="22.240174"/>
    <x v="2"/>
    <s v="ZTE"/>
    <s v="En Cours"/>
    <n v="79"/>
    <n v="6.583333333333333"/>
    <s v="Premium 5G 150Go"/>
    <s v="B2C"/>
    <n v="226"/>
    <d v="1899-12-30T03:46:00"/>
    <n v="94.38"/>
    <n v="3"/>
    <n v="0"/>
    <n v="0"/>
  </r>
  <r>
    <s v="Logs_Reseau_Part_11.xlsx"/>
    <d v="2023-10-11T00:00:00"/>
    <s v="Pas de correspondance"/>
    <x v="1"/>
    <d v="1899-12-30T22:14:00"/>
    <s v="ANT-0511"/>
    <d v="1899-12-30T00:45:00"/>
    <n v="4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2T00:00:00"/>
    <s v="Pas de correspondance"/>
    <x v="1"/>
    <d v="1899-12-30T16:57:00"/>
    <s v="ANT-0528"/>
    <d v="1899-12-30T01:55:00"/>
    <n v="11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0T00:00:00"/>
    <s v="Pas de correspondance"/>
    <x v="1"/>
    <d v="1899-12-30T02:16:00"/>
    <s v="ANT-0479"/>
    <d v="1899-12-30T01:36:00"/>
    <n v="9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07T00:00:00"/>
    <s v="Pas de correspondance"/>
    <x v="1"/>
    <d v="1899-12-30T20:35:00"/>
    <s v="ANT-0511"/>
    <d v="1899-12-30T00:45:00"/>
    <n v="4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09T00:00:00"/>
    <s v="Pas de correspondance"/>
    <x v="1"/>
    <d v="1899-12-30T04:40:00"/>
    <s v="ANT-0901"/>
    <d v="1899-12-30T01:38:00"/>
    <n v="9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10T00:00:00"/>
    <s v="Pas de correspondance"/>
    <x v="1"/>
    <d v="1899-12-30T19:34:00"/>
    <s v="ANT-0316"/>
    <d v="1899-12-30T01:55:00"/>
    <n v="11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03T00:00:00"/>
    <s v="Pas de correspondance"/>
    <x v="1"/>
    <d v="1899-12-30T16:41:00"/>
    <s v="ANT-0510"/>
    <d v="1899-12-30T00:49:00"/>
    <n v="4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06T00:00:00"/>
    <s v="Pas de correspondance"/>
    <x v="1"/>
    <d v="1899-12-30T18:37:00"/>
    <s v="ANT-0024"/>
    <d v="1899-12-30T00:56:00"/>
    <n v="5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05T00:00:00"/>
    <s v="CLI-01233"/>
    <x v="2"/>
    <d v="1899-12-30T05:42:00"/>
    <s v="ANT-0093"/>
    <d v="1899-12-30T00:21:00"/>
    <n v="21"/>
    <n v="2.975352"/>
    <n v="22.535886000000001"/>
    <x v="0"/>
    <s v="Huawei"/>
    <s v="Non 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11.xlsx"/>
    <d v="2023-10-20T00:00:00"/>
    <s v="Pas de correspondance"/>
    <x v="1"/>
    <d v="1899-12-30T23:57:00"/>
    <s v="ANT-0968"/>
    <d v="1899-12-30T01:42:00"/>
    <n v="10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20T00:00:00"/>
    <s v="Pas de correspondance"/>
    <x v="1"/>
    <d v="1899-12-30T10:53:00"/>
    <s v="ANT-0403"/>
    <d v="1899-12-30T00:52:00"/>
    <n v="5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30T00:00:00"/>
    <s v="Pas de correspondance"/>
    <x v="1"/>
    <d v="1899-12-30T18:02:00"/>
    <s v="ant-0518"/>
    <d v="1899-12-30T01:10:00"/>
    <n v="7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27T00:00:00"/>
    <s v="Pas de correspondance"/>
    <x v="1"/>
    <d v="1899-12-30T00:05:00"/>
    <s v="ANT-0469"/>
    <d v="1899-12-30T01:16:00"/>
    <n v="7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02T00:00:00"/>
    <s v="CLI-01233"/>
    <x v="2"/>
    <d v="1899-12-30T20:49:00"/>
    <s v="ANT-0990"/>
    <d v="1899-12-30T00:18:00"/>
    <n v="18"/>
    <n v="-12.112399999999999"/>
    <n v="15.872226"/>
    <x v="0"/>
    <s v="Nokia"/>
    <s v="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11.xlsx"/>
    <d v="2023-10-19T00:00:00"/>
    <s v="Pas de correspondance"/>
    <x v="1"/>
    <d v="1899-12-30T08:41:00"/>
    <s v="ANT-0247"/>
    <d v="1899-12-30T00:45:00"/>
    <n v="4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07T00:00:00"/>
    <s v="Pas de correspondance"/>
    <x v="1"/>
    <d v="1899-12-30T18:26:00"/>
    <s v="ANT-0221"/>
    <d v="1899-12-30T00:35:00"/>
    <n v="3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1.xlsx"/>
    <d v="2023-10-20T00:00:00"/>
    <s v="Pas de correspondance"/>
    <x v="1"/>
    <d v="1899-12-30T20:01:00"/>
    <s v="ANT-0598"/>
    <d v="1899-12-30T01:04:00"/>
    <n v="6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02T00:00:00"/>
    <s v="Pas de correspondance"/>
    <x v="1"/>
    <d v="1899-12-30T01:02:00"/>
    <s v="ANT-0052"/>
    <d v="1899-12-30T00:45:00"/>
    <n v="4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05T00:00:00"/>
    <s v="Pas de correspondance"/>
    <x v="1"/>
    <d v="1899-12-30T22:21:00"/>
    <s v="ANT-0686"/>
    <d v="1899-12-30T01:06:00"/>
    <n v="6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26T00:00:00"/>
    <s v="Pas de correspondance"/>
    <x v="1"/>
    <d v="1899-12-30T15:33:00"/>
    <s v="ANT-0927"/>
    <d v="1899-12-30T00:49:00"/>
    <n v="4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15T00:00:00"/>
    <s v="Pas de correspondance"/>
    <x v="1"/>
    <d v="1899-12-30T04:38:00"/>
    <s v="ANT-0544"/>
    <d v="1899-12-30T01:16:00"/>
    <n v="7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29T00:00:00"/>
    <s v="Pas de correspondance"/>
    <x v="1"/>
    <d v="1899-12-30T16:08:00"/>
    <s v="ANT-0232"/>
    <d v="1899-12-30T01:46:00"/>
    <n v="10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11T00:00:00"/>
    <s v="Pas de correspondance"/>
    <x v="1"/>
    <d v="1899-12-30T19:20:00"/>
    <s v="ANT-0654"/>
    <d v="1899-12-30T01:37:00"/>
    <n v="9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06T00:00:00"/>
    <s v="CLI-00837"/>
    <x v="8"/>
    <d v="1899-12-30T12:39:00"/>
    <s v="ANT-0239"/>
    <d v="1899-12-30T00:40:00"/>
    <n v="40"/>
    <n v="-5.42171"/>
    <n v="24.202960999999998"/>
    <x v="2"/>
    <s v="Ericsson"/>
    <s v="En Cours"/>
    <n v="16"/>
    <n v="1.3333333333333333"/>
    <s v="Bloqué 5Go"/>
    <s v="B2C"/>
    <n v="390"/>
    <d v="1899-12-30T06:30:00"/>
    <n v="98.17"/>
    <n v="5"/>
    <n v="0.45"/>
    <n v="44.176500000000004"/>
  </r>
  <r>
    <s v="Logs_Reseau_Part_12.xlsx"/>
    <d v="2023-10-24T00:00:00"/>
    <s v="CLI-00865"/>
    <x v="19"/>
    <d v="1899-12-30T09:37:00"/>
    <s v="ANT-0054"/>
    <d v="1899-12-30T00:41:00"/>
    <n v="41"/>
    <n v="-1.231033"/>
    <n v="28.851388"/>
    <x v="3"/>
    <s v="Ericsson"/>
    <s v="En Cours"/>
    <n v="34"/>
    <n v="2.8333333333333335"/>
    <s v="Pro Monde"/>
    <s v="B2B"/>
    <n v="453"/>
    <d v="1899-12-30T07:33:00"/>
    <n v="56.84"/>
    <n v="0"/>
    <n v="0.45"/>
    <n v="25.578000000000003"/>
  </r>
  <r>
    <s v="Logs_Reseau_Part_12.xlsx"/>
    <d v="2023-10-11T00:00:00"/>
    <s v="CLI-00643"/>
    <x v="12"/>
    <d v="1899-12-30T16:53:00"/>
    <s v="ANT-0103"/>
    <d v="1899-12-30T00:20:00"/>
    <n v="20"/>
    <n v="-0.79459900000000006"/>
    <n v="26.775570999999999"/>
    <x v="2"/>
    <s v="Huawei"/>
    <s v="Résolu"/>
    <n v="14"/>
    <n v="1.1666666666666667"/>
    <s v="Pro Monde"/>
    <s v="B2B"/>
    <n v="316"/>
    <d v="1899-12-30T05:16:00"/>
    <n v="62.34"/>
    <n v="4"/>
    <n v="0.45"/>
    <n v="28.053000000000001"/>
  </r>
  <r>
    <s v="Logs_Reseau_Part_12.xlsx"/>
    <d v="2023-10-17T00:00:00"/>
    <s v="CLI-01005"/>
    <x v="14"/>
    <d v="1899-12-30T17:31:00"/>
    <s v="ANT-0424"/>
    <d v="1899-12-30T01:18:00"/>
    <n v="78"/>
    <n v="-9.5243310000000001"/>
    <n v="30.541212000000002"/>
    <x v="3"/>
    <s v="Ericsson"/>
    <s v="Non Résolu"/>
    <n v="80"/>
    <n v="6.666666666666667"/>
    <s v="Illimité 50Go"/>
    <s v="B2C"/>
    <n v="155"/>
    <d v="1899-12-30T02:35:00"/>
    <n v="28.96"/>
    <n v="2"/>
    <n v="0"/>
    <n v="0"/>
  </r>
  <r>
    <s v="Logs_Reseau_Part_12.xlsx"/>
    <d v="2023-10-23T00:00:00"/>
    <s v="CLI-00414"/>
    <x v="20"/>
    <d v="1899-12-30T18:19:00"/>
    <s v="ANT-0339"/>
    <d v="1899-12-30T01:31:00"/>
    <n v="91"/>
    <n v="-3.6945459999999999"/>
    <n v="16.809108999999999"/>
    <x v="2"/>
    <s v="ZTE"/>
    <s v="En Cours"/>
    <n v="99"/>
    <n v="8.25"/>
    <s v="Premium 5G 150Go"/>
    <s v="B2C"/>
    <n v="447"/>
    <d v="1899-12-30T07:27:00"/>
    <n v="38.1"/>
    <n v="3"/>
    <n v="0.45"/>
    <n v="17.145"/>
  </r>
  <r>
    <s v="Logs_Reseau_Part_12.xlsx"/>
    <d v="2023-10-16T00:00:00"/>
    <s v="CLI-00060"/>
    <x v="3"/>
    <d v="1899-12-30T00:23:00"/>
    <s v="ANT-0735"/>
    <d v="1899-12-30T01:14:00"/>
    <n v="74"/>
    <n v="-5.8352820000000003"/>
    <n v="26.603978000000001"/>
    <x v="0"/>
    <s v="Huawei"/>
    <s v="Résolu"/>
    <n v="72"/>
    <n v="6"/>
    <s v="Pro Monde"/>
    <s v="B2B"/>
    <n v="160"/>
    <d v="1899-12-30T02:40:00"/>
    <n v="90.13"/>
    <n v="2"/>
    <n v="0.1"/>
    <n v="9.0129999999999999"/>
  </r>
  <r>
    <s v="Logs_Reseau_Part_12.xlsx"/>
    <d v="2023-10-11T00:00:00"/>
    <s v="CLI-00131"/>
    <x v="4"/>
    <d v="1899-12-30T21:07:00"/>
    <s v="ANT-0484"/>
    <d v="1899-12-30T00:53:00"/>
    <n v="53"/>
    <n v="-7.8770429999999996"/>
    <n v="16.357762999999998"/>
    <x v="0"/>
    <s v="Ericsson"/>
    <s v="Résolu"/>
    <n v="101"/>
    <n v="8.4166666666666661"/>
    <s v="Pro Monde"/>
    <s v="B2B"/>
    <n v="176"/>
    <d v="1899-12-30T02:56:00"/>
    <n v="86"/>
    <n v="3"/>
    <n v="0.1"/>
    <n v="8.6"/>
  </r>
  <r>
    <s v="Logs_Reseau_Part_12.xlsx"/>
    <d v="2023-10-14T00:00:00"/>
    <s v="CLI-00643"/>
    <x v="12"/>
    <d v="1899-12-30T18:19:00"/>
    <s v="ANT-0103"/>
    <d v="1899-12-30T01:59:00"/>
    <n v="119"/>
    <n v="-0.79459900000000006"/>
    <n v="26.775570999999999"/>
    <x v="2"/>
    <s v="Huawei"/>
    <s v="En Cours"/>
    <n v="14"/>
    <n v="1.1666666666666667"/>
    <s v="Pro Monde"/>
    <s v="B2B"/>
    <n v="316"/>
    <d v="1899-12-30T05:16:00"/>
    <n v="62.34"/>
    <n v="4"/>
    <n v="0.45"/>
    <n v="28.053000000000001"/>
  </r>
  <r>
    <s v="Logs_Reseau_Part_12.xlsx"/>
    <d v="2023-10-26T00:00:00"/>
    <s v="Pas de correspondance"/>
    <x v="1"/>
    <d v="1899-12-30T23:55:00"/>
    <s v="ANT-0698"/>
    <d v="1899-12-30T00:55:00"/>
    <n v="5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23T00:00:00"/>
    <s v="CLI-00076"/>
    <x v="6"/>
    <d v="1899-12-30T20:01:00"/>
    <s v="ANT-0790"/>
    <d v="1899-12-30T01:49:00"/>
    <n v="109"/>
    <n v="-2.9417719999999998"/>
    <n v="18.587305000000001"/>
    <x v="2"/>
    <s v="Ericsson"/>
    <s v="Non Résolu"/>
    <n v="46"/>
    <n v="3.8333333333333335"/>
    <s v="Premium 5G 150Go"/>
    <s v="B2C"/>
    <n v="283"/>
    <d v="1899-12-30T04:43:00"/>
    <n v="56.05"/>
    <n v="1"/>
    <n v="0.45"/>
    <n v="25.2225"/>
  </r>
  <r>
    <s v="Logs_Reseau_Part_12.xlsx"/>
    <d v="2023-10-20T00:00:00"/>
    <s v="Pas de correspondance"/>
    <x v="1"/>
    <d v="1899-12-30T15:16:00"/>
    <s v="ANT-0141"/>
    <d v="1899-12-30T00:49:00"/>
    <n v="4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31T00:00:00"/>
    <s v="CLI-00414"/>
    <x v="20"/>
    <d v="1899-12-30T20:50:00"/>
    <s v="ANT-0006"/>
    <d v="1899-12-30T01:43:00"/>
    <n v="103"/>
    <n v="-2.8532869999999999"/>
    <n v="22.117896000000002"/>
    <x v="2"/>
    <s v="Huawei"/>
    <s v="En Cours"/>
    <n v="99"/>
    <n v="8.25"/>
    <s v="Premium 5G 150Go"/>
    <s v="B2C"/>
    <n v="447"/>
    <d v="1899-12-30T07:27:00"/>
    <n v="38.1"/>
    <n v="3"/>
    <n v="0.45"/>
    <n v="17.145"/>
  </r>
  <r>
    <s v="Logs_Reseau_Part_12.xlsx"/>
    <d v="2023-10-25T00:00:00"/>
    <s v="Pas de correspondance"/>
    <x v="1"/>
    <d v="1899-12-30T18:36:00"/>
    <s v="ANT-0988"/>
    <d v="1899-12-30T01:47:00"/>
    <n v="10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08T00:00:00"/>
    <s v="CLI-00837"/>
    <x v="8"/>
    <d v="1899-12-30T23:03:00"/>
    <s v="ANT-0564"/>
    <d v="1899-12-30T00:23:00"/>
    <n v="23"/>
    <n v="-12.336202"/>
    <n v="13.693683999999999"/>
    <x v="2"/>
    <s v="Huawei"/>
    <s v="En Cours"/>
    <n v="16"/>
    <n v="1.3333333333333333"/>
    <s v="Bloqué 5Go"/>
    <s v="B2C"/>
    <n v="390"/>
    <d v="1899-12-30T06:30:00"/>
    <n v="98.17"/>
    <n v="5"/>
    <n v="0.45"/>
    <n v="44.176500000000004"/>
  </r>
  <r>
    <s v="Logs_Reseau_Part_12.xlsx"/>
    <d v="2023-10-19T00:00:00"/>
    <s v="Pas de correspondance"/>
    <x v="1"/>
    <d v="1899-12-30T15:10:00"/>
    <s v="ANT-0952"/>
    <d v="1899-12-30T00:42:00"/>
    <n v="4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17T00:00:00"/>
    <s v="CLI-01837"/>
    <x v="23"/>
    <d v="1899-12-30T20:46:00"/>
    <s v="ANT-0162"/>
    <d v="1899-12-30T00:10:00"/>
    <n v="10"/>
    <n v="-1.648326"/>
    <n v="25.528901999999999"/>
    <x v="0"/>
    <s v="Huawei"/>
    <s v="Non Résolu"/>
    <n v="97"/>
    <n v="8.0833333333333339"/>
    <s v="Pro Monde"/>
    <s v="B2B"/>
    <n v="319"/>
    <d v="1899-12-30T05:19:00"/>
    <n v="31.25"/>
    <n v="1"/>
    <n v="0.45"/>
    <n v="14.0625"/>
  </r>
  <r>
    <s v="Logs_Reseau_Part_12.xlsx"/>
    <d v="2023-10-20T00:00:00"/>
    <s v="Pas de correspondance"/>
    <x v="1"/>
    <d v="1899-12-30T12:09:00"/>
    <s v="ANT-0417"/>
    <d v="1899-12-30T00:41:00"/>
    <n v="4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27T00:00:00"/>
    <s v="Pas de correspondance"/>
    <x v="1"/>
    <d v="1899-12-30T21:15:00"/>
    <s v="ANT-0669"/>
    <d v="1899-12-30T01:36:00"/>
    <n v="9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02T00:00:00"/>
    <s v="Pas de correspondance"/>
    <x v="1"/>
    <d v="1899-12-30T18:44:00"/>
    <s v="ANT-0958"/>
    <d v="1899-12-30T00:15:00"/>
    <n v="1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04T00:00:00"/>
    <s v="Pas de correspondance"/>
    <x v="1"/>
    <d v="1899-12-30T06:01:00"/>
    <s v="ANT-0902"/>
    <d v="1899-12-30T00:49:00"/>
    <n v="4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15T00:00:00"/>
    <s v="CLI-01618"/>
    <x v="0"/>
    <d v="1899-12-30T10:26:00"/>
    <s v="ANT-0900"/>
    <d v="1899-12-30T01:01:00"/>
    <n v="61"/>
    <n v="-10.776204"/>
    <n v="24.672934000000001"/>
    <x v="0"/>
    <s v="Ericsson"/>
    <s v="En Cours"/>
    <n v="115"/>
    <n v="9.5833333333333339"/>
    <s v="Bloqué 5Go"/>
    <s v="B2C"/>
    <n v="176"/>
    <d v="1899-12-30T02:56:00"/>
    <n v="33.28"/>
    <n v="4"/>
    <n v="0"/>
    <n v="0"/>
  </r>
  <r>
    <s v="Logs_Reseau_Part_12.xlsx"/>
    <d v="2023-10-05T00:00:00"/>
    <s v="CLI-00060"/>
    <x v="3"/>
    <d v="1899-12-30T13:44:00"/>
    <s v="ANT-0488"/>
    <d v="1899-12-30T01:28:00"/>
    <n v="88"/>
    <n v="-3.111418"/>
    <n v="14.144854"/>
    <x v="0"/>
    <s v="ZTE"/>
    <s v="En Cours"/>
    <n v="72"/>
    <n v="6"/>
    <s v="Pro Monde"/>
    <s v="B2B"/>
    <n v="160"/>
    <d v="1899-12-30T02:40:00"/>
    <n v="90.13"/>
    <n v="2"/>
    <n v="0.1"/>
    <n v="9.0129999999999999"/>
  </r>
  <r>
    <s v="Logs_Reseau_Part_12.xlsx"/>
    <d v="2023-10-07T00:00:00"/>
    <s v="CLI-00439"/>
    <x v="22"/>
    <d v="1899-12-30T13:32:00"/>
    <s v="ANT-0489"/>
    <d v="1899-12-30T00:37:00"/>
    <n v="37"/>
    <n v="0.20866199999999999"/>
    <n v="18.556439000000001"/>
    <x v="0"/>
    <s v="Nokia"/>
    <s v="Résolu"/>
    <n v="40"/>
    <n v="3.3333333333333335"/>
    <s v="Premium 5G 150Go"/>
    <s v="B2C"/>
    <n v="345"/>
    <d v="1899-12-30T05:45:00"/>
    <n v="89.55"/>
    <n v="3"/>
    <n v="0.45"/>
    <n v="40.297499999999999"/>
  </r>
  <r>
    <s v="Logs_Reseau_Part_12.xlsx"/>
    <d v="2023-10-25T00:00:00"/>
    <s v="Pas de correspondance"/>
    <x v="1"/>
    <d v="1899-12-30T19:58:00"/>
    <s v="ANT-0667"/>
    <d v="1899-12-30T01:40:00"/>
    <n v="10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16T00:00:00"/>
    <s v="Pas de correspondance"/>
    <x v="1"/>
    <d v="1899-12-30T23:46:00"/>
    <s v="ANT-0205"/>
    <d v="1899-12-30T01:06:00"/>
    <n v="6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02T00:00:00"/>
    <s v="CLI-00414"/>
    <x v="20"/>
    <d v="1899-12-30T22:08:00"/>
    <s v="ANT-0775"/>
    <d v="1899-12-30T00:32:00"/>
    <n v="32"/>
    <n v="1.5278670000000001"/>
    <n v="13.899388999999999"/>
    <x v="3"/>
    <s v="Huawei"/>
    <s v="Résolu"/>
    <n v="99"/>
    <n v="8.25"/>
    <s v="Premium 5G 150Go"/>
    <s v="B2C"/>
    <n v="447"/>
    <d v="1899-12-30T07:27:00"/>
    <n v="38.1"/>
    <n v="3"/>
    <n v="0.45"/>
    <n v="17.145"/>
  </r>
  <r>
    <s v="Logs_Reseau_Part_12.xlsx"/>
    <d v="2023-10-17T00:00:00"/>
    <s v="Pas de correspondance"/>
    <x v="1"/>
    <d v="1899-12-30T06:35:00"/>
    <s v="ANT-0988"/>
    <d v="1899-12-30T00:30:00"/>
    <n v="3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11T00:00:00"/>
    <s v="Pas de correspondance"/>
    <x v="1"/>
    <d v="1899-12-30T21:30:00"/>
    <s v="ANT-0295"/>
    <d v="1899-12-30T01:50:00"/>
    <n v="11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17T00:00:00"/>
    <s v="Pas de correspondance"/>
    <x v="1"/>
    <d v="1899-12-30T12:20:00"/>
    <s v="ANT-0329"/>
    <d v="1899-12-30T01:13:00"/>
    <n v="7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31T00:00:00"/>
    <s v="CLI-00131"/>
    <x v="4"/>
    <d v="1899-12-30T05:29:00"/>
    <s v="ANT-0293"/>
    <d v="1899-12-30T00:39:00"/>
    <n v="39"/>
    <n v="-5.7035130000000001"/>
    <n v="14.331479"/>
    <x v="2"/>
    <s v="Nokia"/>
    <s v="En Cours"/>
    <n v="101"/>
    <n v="8.4166666666666661"/>
    <s v="Pro Monde"/>
    <s v="B2B"/>
    <n v="176"/>
    <d v="1899-12-30T02:56:00"/>
    <n v="86"/>
    <n v="3"/>
    <n v="0.1"/>
    <n v="8.6"/>
  </r>
  <r>
    <s v="Logs_Reseau_Part_12.xlsx"/>
    <d v="2023-10-30T00:00:00"/>
    <s v="CLI-01170"/>
    <x v="5"/>
    <d v="1899-12-30T17:21:00"/>
    <s v="ANT-0662"/>
    <d v="1899-12-30T01:16:00"/>
    <n v="76"/>
    <n v="-1.342476"/>
    <n v="15.986086"/>
    <x v="0"/>
    <s v="Ericsson"/>
    <s v="Non Résolu"/>
    <n v="98"/>
    <n v="8.1666666666666661"/>
    <s v="Pro Monde"/>
    <s v="B2B"/>
    <n v="482"/>
    <d v="1899-12-30T08:02:00"/>
    <n v="55.04"/>
    <n v="5"/>
    <n v="0.45"/>
    <n v="24.768000000000001"/>
  </r>
  <r>
    <s v="Logs_Reseau_Part_12.xlsx"/>
    <d v="2023-10-18T00:00:00"/>
    <s v="Pas de correspondance"/>
    <x v="1"/>
    <d v="1899-12-30T11:43:00"/>
    <s v="ANT-0061"/>
    <d v="1899-12-30T01:34:00"/>
    <n v="9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25T00:00:00"/>
    <s v="Pas de correspondance"/>
    <x v="1"/>
    <d v="1899-12-30T23:43:00"/>
    <s v="ANT-0930"/>
    <d v="1899-12-30T00:39:00"/>
    <n v="3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21T00:00:00"/>
    <s v="CLI-00559"/>
    <x v="10"/>
    <d v="1899-12-30T22:16:00"/>
    <s v="ANT-0788"/>
    <d v="1899-12-30T00:22:00"/>
    <n v="22"/>
    <n v="1.5802860000000001"/>
    <n v="20.99053"/>
    <x v="0"/>
    <s v="ZTE"/>
    <s v="Non Résolu"/>
    <n v="99"/>
    <n v="8.25"/>
    <s v="Bloqué 5Go"/>
    <s v="B2C"/>
    <n v="369"/>
    <d v="1899-12-30T06:09:00"/>
    <n v="67.209999999999994"/>
    <n v="3"/>
    <n v="0.45"/>
    <n v="30.244499999999999"/>
  </r>
  <r>
    <s v="Logs_Reseau_Part_12.xlsx"/>
    <d v="2023-10-20T00:00:00"/>
    <s v="Pas de correspondance"/>
    <x v="1"/>
    <d v="1899-12-30T15:12:00"/>
    <s v="ANT-0092"/>
    <d v="1899-12-30T00:18:00"/>
    <n v="1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31T00:00:00"/>
    <s v="CLI-01233"/>
    <x v="2"/>
    <d v="1899-12-30T07:17:00"/>
    <s v="ANT-0668"/>
    <d v="1899-12-30T01:23:00"/>
    <n v="83"/>
    <n v="-9.8208710000000004"/>
    <n v="23.229807000000001"/>
    <x v="2"/>
    <s v="Nokia"/>
    <s v="En Cours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12.xlsx"/>
    <d v="2023-10-18T00:00:00"/>
    <s v="CLI-01325"/>
    <x v="26"/>
    <d v="1899-12-30T09:14:00"/>
    <s v="ANT-0588"/>
    <d v="1899-12-30T01:39:00"/>
    <n v="99"/>
    <n v="-4.8157019999999999"/>
    <n v="27.679798000000002"/>
    <x v="3"/>
    <s v="Ericsson"/>
    <s v="Non Résolu"/>
    <n v="44"/>
    <n v="3.6666666666666665"/>
    <s v="Bloqué 5Go"/>
    <s v="B2C"/>
    <n v="348"/>
    <d v="1899-12-30T05:48:00"/>
    <n v="58.67"/>
    <n v="0"/>
    <n v="0.45"/>
    <n v="26.401500000000002"/>
  </r>
  <r>
    <s v="Logs_Reseau_Part_12.xlsx"/>
    <d v="2023-10-31T00:00:00"/>
    <s v="CLI-00996"/>
    <x v="15"/>
    <d v="1899-12-30T09:49:00"/>
    <s v="ANT-0238"/>
    <d v="1899-12-30T01:20:00"/>
    <n v="80"/>
    <n v="0.62055499999999997"/>
    <n v="21.222035000000002"/>
    <x v="2"/>
    <s v="Nokia"/>
    <s v="Non Résolu"/>
    <n v="119"/>
    <n v="9.9166666666666661"/>
    <s v="Illimité 50Go"/>
    <s v="B2C"/>
    <n v="228"/>
    <d v="1899-12-30T03:48:00"/>
    <n v="94.72"/>
    <n v="3"/>
    <n v="0"/>
    <n v="0"/>
  </r>
  <r>
    <s v="Logs_Reseau_Part_12.xlsx"/>
    <d v="2023-10-10T00:00:00"/>
    <s v="Pas de correspondance"/>
    <x v="1"/>
    <d v="1899-12-30T22:13:00"/>
    <s v="ANT-0548"/>
    <d v="1899-12-30T00:35:00"/>
    <n v="3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2.xlsx"/>
    <d v="2023-10-23T00:00:00"/>
    <s v="Pas de correspondance"/>
    <x v="1"/>
    <d v="1899-12-30T22:31:00"/>
    <s v="ANT-0757"/>
    <d v="1899-12-30T00:36:00"/>
    <n v="3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03T00:00:00"/>
    <s v="CLI-00439"/>
    <x v="22"/>
    <d v="1899-12-30T12:42:00"/>
    <s v="ANT-0670"/>
    <d v="1899-12-30T01:49:00"/>
    <n v="109"/>
    <n v="-7.1483749999999997"/>
    <n v="26.014271000000001"/>
    <x v="2"/>
    <s v="Huawei"/>
    <s v="Non Résolu"/>
    <n v="40"/>
    <n v="3.3333333333333335"/>
    <s v="Premium 5G 150Go"/>
    <s v="B2C"/>
    <n v="345"/>
    <d v="1899-12-30T05:45:00"/>
    <n v="89.55"/>
    <n v="3"/>
    <n v="0.45"/>
    <n v="40.297499999999999"/>
  </r>
  <r>
    <s v="Logs_Reseau_Part_13.xlsx"/>
    <d v="2023-10-04T00:00:00"/>
    <s v="CLI-00837"/>
    <x v="8"/>
    <d v="1899-12-30T05:08:00"/>
    <s v="ANT-0881"/>
    <d v="1899-12-30T00:05:00"/>
    <n v="5"/>
    <n v="-6.5332999999999997"/>
    <n v="20.098018"/>
    <x v="0"/>
    <s v="Huawei"/>
    <s v="Résolu"/>
    <n v="16"/>
    <n v="1.3333333333333333"/>
    <s v="Bloqué 5Go"/>
    <s v="B2C"/>
    <n v="390"/>
    <d v="1899-12-30T06:30:00"/>
    <n v="98.17"/>
    <n v="5"/>
    <n v="0.45"/>
    <n v="44.176500000000004"/>
  </r>
  <r>
    <s v="Logs_Reseau_Part_13.xlsx"/>
    <d v="2023-10-16T00:00:00"/>
    <s v="CLI-01618"/>
    <x v="0"/>
    <d v="1899-12-30T10:59:00"/>
    <s v="ANT-0357"/>
    <d v="1899-12-30T01:40:00"/>
    <n v="100"/>
    <n v="-11.793894"/>
    <n v="20.433340999999999"/>
    <x v="2"/>
    <s v="Nokia"/>
    <s v="Résolu"/>
    <n v="115"/>
    <n v="9.5833333333333339"/>
    <s v="Bloqué 5Go"/>
    <s v="B2C"/>
    <n v="176"/>
    <d v="1899-12-30T02:56:00"/>
    <n v="33.28"/>
    <n v="4"/>
    <n v="0"/>
    <n v="0"/>
  </r>
  <r>
    <s v="Logs_Reseau_Part_13.xlsx"/>
    <d v="2023-10-08T00:00:00"/>
    <s v="CLI-00060"/>
    <x v="3"/>
    <d v="1899-12-30T00:16:00"/>
    <s v="ANT-0122"/>
    <d v="1899-12-30T00:32:00"/>
    <n v="32"/>
    <n v="1.897178"/>
    <n v="23.902604"/>
    <x v="3"/>
    <s v="Nokia"/>
    <s v="Résolu"/>
    <n v="72"/>
    <n v="6"/>
    <s v="Pro Monde"/>
    <s v="B2B"/>
    <n v="160"/>
    <d v="1899-12-30T02:40:00"/>
    <n v="90.13"/>
    <n v="2"/>
    <n v="0.1"/>
    <n v="9.0129999999999999"/>
  </r>
  <r>
    <s v="Logs_Reseau_Part_13.xlsx"/>
    <d v="2023-10-13T00:00:00"/>
    <s v="Pas de correspondance"/>
    <x v="1"/>
    <d v="1899-12-30T07:28:00"/>
    <s v="ANT-0183"/>
    <d v="1899-12-30T01:19:00"/>
    <n v="7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25T00:00:00"/>
    <s v="Pas de correspondance"/>
    <x v="1"/>
    <d v="1899-12-30T08:21:00"/>
    <s v="ANT-0551"/>
    <d v="1899-12-30T00:14:00"/>
    <n v="1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10T00:00:00"/>
    <s v="Pas de correspondance"/>
    <x v="1"/>
    <d v="1899-12-30T18:46:00"/>
    <s v="ANT-0403"/>
    <d v="1899-12-30T00:10:00"/>
    <n v="1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19T00:00:00"/>
    <s v="Pas de correspondance"/>
    <x v="1"/>
    <d v="1899-12-30T00:16:00"/>
    <s v="ANT-0542"/>
    <d v="1899-12-30T00:59:00"/>
    <n v="5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21T00:00:00"/>
    <s v="CLI-00280"/>
    <x v="7"/>
    <d v="1899-12-30T11:44:00"/>
    <s v="ANT-0131"/>
    <d v="1899-12-30T00:49:00"/>
    <n v="49"/>
    <n v="-9.3652239999999995"/>
    <n v="22.593423999999999"/>
    <x v="2"/>
    <s v="Nokia"/>
    <s v="En Cours"/>
    <n v="113"/>
    <n v="9.4166666666666661"/>
    <s v="Illimité 50Go"/>
    <s v="B2C"/>
    <n v="380"/>
    <d v="1899-12-30T06:20:00"/>
    <n v="12.11"/>
    <n v="0"/>
    <n v="0.45"/>
    <n v="5.4494999999999996"/>
  </r>
  <r>
    <s v="Logs_Reseau_Part_13.xlsx"/>
    <d v="2023-10-08T00:00:00"/>
    <s v="CLI-00643"/>
    <x v="12"/>
    <d v="1899-12-30T01:42:00"/>
    <s v="ANT-0746"/>
    <d v="1899-12-30T01:34:00"/>
    <n v="94"/>
    <n v="-1.1284540000000001"/>
    <n v="23.000360000000001"/>
    <x v="2"/>
    <s v="Ericsson"/>
    <s v="Non Résolu"/>
    <n v="14"/>
    <n v="1.1666666666666667"/>
    <s v="Pro Monde"/>
    <s v="B2B"/>
    <n v="316"/>
    <d v="1899-12-30T05:16:00"/>
    <n v="62.34"/>
    <n v="4"/>
    <n v="0.45"/>
    <n v="28.053000000000001"/>
  </r>
  <r>
    <s v="Logs_Reseau_Part_13.xlsx"/>
    <d v="2023-10-04T00:00:00"/>
    <s v="CLI-00894"/>
    <x v="13"/>
    <d v="1899-12-30T14:19:00"/>
    <s v="ANT-0229"/>
    <d v="1899-12-30T00:13:00"/>
    <n v="13"/>
    <n v="-1.9540519999999999"/>
    <n v="12.667945"/>
    <x v="0"/>
    <s v="Huawei"/>
    <s v="Non Résolu"/>
    <n v="63"/>
    <n v="5.25"/>
    <s v="Pro Monde"/>
    <s v="B2B"/>
    <n v="205"/>
    <d v="1899-12-30T03:25:00"/>
    <n v="89.19"/>
    <n v="0"/>
    <n v="0.1"/>
    <n v="8.9190000000000005"/>
  </r>
  <r>
    <s v="Logs_Reseau_Part_13.xlsx"/>
    <d v="2023-10-06T00:00:00"/>
    <s v="CLI-00865"/>
    <x v="19"/>
    <d v="1899-12-30T12:43:00"/>
    <s v="ANT-0855"/>
    <d v="1899-12-30T01:14:00"/>
    <n v="74"/>
    <n v="-11.514188000000001"/>
    <n v="15.971181"/>
    <x v="2"/>
    <s v="Ericsson"/>
    <s v="Non Résolu"/>
    <n v="34"/>
    <n v="2.8333333333333335"/>
    <s v="Pro Monde"/>
    <s v="B2B"/>
    <n v="453"/>
    <d v="1899-12-30T07:33:00"/>
    <n v="56.84"/>
    <n v="0"/>
    <n v="0.45"/>
    <n v="25.578000000000003"/>
  </r>
  <r>
    <s v="Logs_Reseau_Part_13.xlsx"/>
    <d v="2023-10-17T00:00:00"/>
    <s v="Pas de correspondance"/>
    <x v="1"/>
    <d v="1899-12-30T22:49:00"/>
    <s v="ANT-0004"/>
    <d v="1899-12-30T00:12:00"/>
    <n v="1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10T00:00:00"/>
    <s v="CLI-00414"/>
    <x v="20"/>
    <d v="1899-12-30T22:07:00"/>
    <s v="ANT-0775"/>
    <d v="1899-12-30T01:59:00"/>
    <n v="119"/>
    <n v="1.5278670000000001"/>
    <n v="13.899388999999999"/>
    <x v="3"/>
    <s v="Huawei"/>
    <s v="Résolu"/>
    <n v="99"/>
    <n v="8.25"/>
    <s v="Premium 5G 150Go"/>
    <s v="B2C"/>
    <n v="447"/>
    <d v="1899-12-30T07:27:00"/>
    <n v="38.1"/>
    <n v="3"/>
    <n v="0.45"/>
    <n v="17.145"/>
  </r>
  <r>
    <s v="Logs_Reseau_Part_13.xlsx"/>
    <d v="2023-10-21T00:00:00"/>
    <s v="Pas de correspondance"/>
    <x v="1"/>
    <d v="1899-12-30T09:23:00"/>
    <s v="ANT-0024"/>
    <d v="1899-12-30T00:13:00"/>
    <n v="1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20T00:00:00"/>
    <s v="Pas de correspondance"/>
    <x v="1"/>
    <d v="1899-12-30T07:14:00"/>
    <s v="ANT-0306"/>
    <d v="1899-12-30T01:05:00"/>
    <n v="6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31T00:00:00"/>
    <s v="Pas de correspondance"/>
    <x v="1"/>
    <d v="1899-12-30T04:30:00"/>
    <s v="ANT-0475"/>
    <d v="1899-12-30T00:09:00"/>
    <n v="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05T00:00:00"/>
    <s v="CLI-00611"/>
    <x v="21"/>
    <d v="1899-12-30T14:47:00"/>
    <s v="ANT-0690"/>
    <d v="1899-12-30T00:41:00"/>
    <n v="41"/>
    <n v="1.3006180000000001"/>
    <n v="29.060970999999999"/>
    <x v="3"/>
    <s v="ZTE"/>
    <s v="En Cours"/>
    <n v="79"/>
    <n v="6.583333333333333"/>
    <s v="Premium 5G 150Go"/>
    <s v="B2C"/>
    <n v="226"/>
    <d v="1899-12-30T03:46:00"/>
    <n v="94.38"/>
    <n v="3"/>
    <n v="0"/>
    <n v="0"/>
  </r>
  <r>
    <s v="Logs_Reseau_Part_13.xlsx"/>
    <d v="2023-10-20T00:00:00"/>
    <s v="CLI-01233"/>
    <x v="2"/>
    <d v="1899-12-30T11:26:00"/>
    <s v="ANT-0737"/>
    <d v="1899-12-30T00:57:00"/>
    <n v="57"/>
    <n v="-2.8211520000000001"/>
    <n v="20.651419000000001"/>
    <x v="2"/>
    <s v="Ericsson"/>
    <s v="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13.xlsx"/>
    <d v="2023-10-23T00:00:00"/>
    <s v="CLI-00076"/>
    <x v="6"/>
    <d v="1899-12-30T17:58:00"/>
    <s v="ANT-0558"/>
    <d v="1899-12-30T00:28:00"/>
    <n v="28"/>
    <n v="-11.468578000000001"/>
    <n v="16.914501999999999"/>
    <x v="0"/>
    <s v="Ericsson"/>
    <s v="Non Résolu"/>
    <n v="46"/>
    <n v="3.8333333333333335"/>
    <s v="Premium 5G 150Go"/>
    <s v="B2C"/>
    <n v="283"/>
    <d v="1899-12-30T04:43:00"/>
    <n v="56.05"/>
    <n v="1"/>
    <n v="0.45"/>
    <n v="25.2225"/>
  </r>
  <r>
    <s v="Logs_Reseau_Part_13.xlsx"/>
    <d v="2023-10-16T00:00:00"/>
    <s v="Pas de correspondance"/>
    <x v="1"/>
    <d v="1899-12-30T17:51:00"/>
    <s v="ANT-0435"/>
    <d v="1899-12-30T01:43:00"/>
    <n v="10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22T00:00:00"/>
    <s v="CLI-00611"/>
    <x v="21"/>
    <d v="1899-12-30T06:48:00"/>
    <s v="ANT-0545"/>
    <d v="1899-12-30T00:22:00"/>
    <n v="22"/>
    <n v="-2.6665070000000002"/>
    <n v="18.623692999999999"/>
    <x v="3"/>
    <s v="ZTE"/>
    <s v="Résolu"/>
    <n v="79"/>
    <n v="6.583333333333333"/>
    <s v="Premium 5G 150Go"/>
    <s v="B2C"/>
    <n v="226"/>
    <d v="1899-12-30T03:46:00"/>
    <n v="94.38"/>
    <n v="3"/>
    <n v="0"/>
    <n v="0"/>
  </r>
  <r>
    <s v="Logs_Reseau_Part_13.xlsx"/>
    <d v="2023-10-08T00:00:00"/>
    <s v="Pas de correspondance"/>
    <x v="1"/>
    <d v="1899-12-30T21:48:00"/>
    <s v="ANT-0389"/>
    <d v="1899-12-30T01:43:00"/>
    <n v="10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20T00:00:00"/>
    <s v="Pas de correspondance"/>
    <x v="1"/>
    <d v="1899-12-30T02:33:00"/>
    <s v="ANT-0844"/>
    <d v="1899-12-30T01:27:00"/>
    <n v="8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15T00:00:00"/>
    <s v="CLI-00361"/>
    <x v="24"/>
    <d v="1899-12-30T16:45:00"/>
    <s v="ANT-0236"/>
    <d v="1899-12-30T01:38:00"/>
    <n v="98"/>
    <n v="-12.192204"/>
    <n v="28.468682000000001"/>
    <x v="3"/>
    <s v="ZTE"/>
    <s v="En Cours"/>
    <n v="66"/>
    <n v="5.5"/>
    <s v="Illimité 50Go"/>
    <s v="B2C"/>
    <n v="270"/>
    <d v="1899-12-30T04:30:00"/>
    <n v="75.88"/>
    <n v="3"/>
    <n v="0.45"/>
    <n v="34.146000000000001"/>
  </r>
  <r>
    <s v="Logs_Reseau_Part_13.xlsx"/>
    <d v="2023-10-12T00:00:00"/>
    <s v="Pas de correspondance"/>
    <x v="1"/>
    <d v="1899-12-30T02:58:00"/>
    <s v="ANT-0254"/>
    <d v="1899-12-30T01:27:00"/>
    <n v="8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19T00:00:00"/>
    <s v="Pas de correspondance"/>
    <x v="1"/>
    <d v="1899-12-30T03:03:00"/>
    <s v="ANT-0472"/>
    <d v="1899-12-30T00:58:00"/>
    <n v="5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27T00:00:00"/>
    <s v="Pas de correspondance"/>
    <x v="1"/>
    <d v="1899-12-30T17:57:00"/>
    <s v="ANT-0355"/>
    <d v="1899-12-30T00:52:00"/>
    <n v="5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17T00:00:00"/>
    <s v="CLI-01855"/>
    <x v="11"/>
    <d v="1899-12-30T06:36:00"/>
    <s v="ANT-0159"/>
    <d v="1899-12-30T01:59:00"/>
    <n v="119"/>
    <n v="2.4414509999999998"/>
    <n v="30.167489"/>
    <x v="2"/>
    <s v="Nokia"/>
    <s v="En Cours"/>
    <n v="101"/>
    <n v="8.4166666666666661"/>
    <s v="Illimité 50Go"/>
    <s v="B2C"/>
    <n v="358"/>
    <d v="1899-12-30T05:58:00"/>
    <n v="29.24"/>
    <n v="3"/>
    <n v="0.45"/>
    <n v="13.157999999999999"/>
  </r>
  <r>
    <s v="Logs_Reseau_Part_13.xlsx"/>
    <d v="2023-10-18T00:00:00"/>
    <s v="CLI-00611"/>
    <x v="21"/>
    <d v="1899-12-30T04:10:00"/>
    <s v="ANT-0283"/>
    <d v="1899-12-30T00:53:00"/>
    <n v="53"/>
    <n v="-1.6097570000000001"/>
    <n v="30.661662"/>
    <x v="0"/>
    <s v="Ericsson"/>
    <s v="Non Résolu"/>
    <n v="79"/>
    <n v="6.583333333333333"/>
    <s v="Premium 5G 150Go"/>
    <s v="B2C"/>
    <n v="226"/>
    <d v="1899-12-30T03:46:00"/>
    <n v="94.38"/>
    <n v="3"/>
    <n v="0"/>
    <n v="0"/>
  </r>
  <r>
    <s v="Logs_Reseau_Part_13.xlsx"/>
    <d v="2023-10-11T00:00:00"/>
    <s v="CLI-01170"/>
    <x v="5"/>
    <d v="1899-12-30T16:28:00"/>
    <s v="ANT-0194"/>
    <d v="1899-12-30T01:02:00"/>
    <n v="62"/>
    <n v="8.5490999999999998E-2"/>
    <n v="26.296129000000001"/>
    <x v="3"/>
    <s v="ZTE"/>
    <s v="Non Résolu"/>
    <n v="98"/>
    <n v="8.1666666666666661"/>
    <s v="Pro Monde"/>
    <s v="B2B"/>
    <n v="482"/>
    <d v="1899-12-30T08:02:00"/>
    <n v="55.04"/>
    <n v="5"/>
    <n v="0.45"/>
    <n v="24.768000000000001"/>
  </r>
  <r>
    <s v="Logs_Reseau_Part_13.xlsx"/>
    <d v="2023-10-04T00:00:00"/>
    <s v="Pas de correspondance"/>
    <x v="1"/>
    <d v="1899-12-30T21:13:00"/>
    <s v="ANT-0960"/>
    <d v="1899-12-30T01:56:00"/>
    <n v="11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23T00:00:00"/>
    <s v="Pas de correspondance"/>
    <x v="1"/>
    <d v="1899-12-30T18:31:00"/>
    <s v="ANT-0897"/>
    <d v="1899-12-30T00:53:00"/>
    <n v="5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03T00:00:00"/>
    <s v="Pas de correspondance"/>
    <x v="1"/>
    <d v="1899-12-30T16:28:00"/>
    <s v="ANT-0743"/>
    <d v="1899-12-30T00:53:00"/>
    <n v="5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26T00:00:00"/>
    <s v="Pas de correspondance"/>
    <x v="1"/>
    <d v="1899-12-30T01:29:00"/>
    <s v="ANT-0784"/>
    <d v="1899-12-30T00:15:00"/>
    <n v="1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05T00:00:00"/>
    <s v="Pas de correspondance"/>
    <x v="1"/>
    <d v="1899-12-30T16:26:00"/>
    <s v="ANT-0116"/>
    <d v="1899-12-30T01:32:00"/>
    <n v="9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15T00:00:00"/>
    <s v="Pas de correspondance"/>
    <x v="1"/>
    <d v="1899-12-30T18:03:00"/>
    <s v="ANT-0033"/>
    <d v="1899-12-30T01:29:00"/>
    <n v="8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3.xlsx"/>
    <d v="2023-10-26T00:00:00"/>
    <s v="CLI-00569"/>
    <x v="16"/>
    <d v="1899-12-30T09:46:00"/>
    <s v="ANT-0677"/>
    <d v="1899-12-30T01:14:00"/>
    <n v="74"/>
    <n v="-4.6957509999999996"/>
    <n v="14.233525999999999"/>
    <x v="0"/>
    <s v="Nokia"/>
    <s v="Résolu"/>
    <n v="110"/>
    <n v="9.1666666666666661"/>
    <s v="Pro Monde"/>
    <s v="B2B"/>
    <n v="423"/>
    <d v="1899-12-30T07:03:00"/>
    <n v="37.35"/>
    <n v="4"/>
    <n v="0.45"/>
    <n v="16.807500000000001"/>
  </r>
  <r>
    <s v="Logs_Reseau_Part_13.xlsx"/>
    <d v="2023-10-01T00:00:00"/>
    <s v="CLI-00996"/>
    <x v="15"/>
    <d v="1899-12-30T12:16:00"/>
    <s v="ANT-0430"/>
    <d v="1899-12-30T00:22:00"/>
    <n v="22"/>
    <n v="-10.939712999999999"/>
    <n v="18.276230999999999"/>
    <x v="0"/>
    <s v="ZTE"/>
    <s v="En Cours"/>
    <n v="119"/>
    <n v="9.9166666666666661"/>
    <s v="Illimité 50Go"/>
    <s v="B2C"/>
    <n v="228"/>
    <d v="1899-12-30T03:48:00"/>
    <n v="94.72"/>
    <n v="3"/>
    <n v="0"/>
    <n v="0"/>
  </r>
  <r>
    <s v="Logs_Reseau_Part_14.xlsx"/>
    <d v="2023-10-22T00:00:00"/>
    <s v="CLI-00745"/>
    <x v="9"/>
    <d v="1899-12-30T13:35:00"/>
    <s v="ANT-0007"/>
    <d v="1899-12-30T01:27:00"/>
    <n v="87"/>
    <n v="4.7777349999999998"/>
    <n v="16.392204"/>
    <x v="2"/>
    <s v="ZTE"/>
    <s v="Non Résolu"/>
    <n v="6"/>
    <n v="0.5"/>
    <s v="Premium 5G 150Go"/>
    <s v="B2C"/>
    <n v="207"/>
    <d v="1899-12-30T03:27:00"/>
    <n v="61.55"/>
    <n v="0"/>
    <n v="0.45"/>
    <n v="27.697499999999998"/>
  </r>
  <r>
    <s v="Logs_Reseau_Part_14.xlsx"/>
    <d v="2023-10-16T00:00:00"/>
    <s v="CLI-00611"/>
    <x v="21"/>
    <d v="1899-12-30T01:22:00"/>
    <s v="ANT-0545"/>
    <d v="1899-12-30T01:39:00"/>
    <n v="99"/>
    <n v="-2.6665070000000002"/>
    <n v="18.623692999999999"/>
    <x v="3"/>
    <s v="ZTE"/>
    <s v="Non Résolu"/>
    <n v="79"/>
    <n v="6.583333333333333"/>
    <s v="Premium 5G 150Go"/>
    <s v="B2C"/>
    <n v="226"/>
    <d v="1899-12-30T03:46:00"/>
    <n v="94.38"/>
    <n v="3"/>
    <n v="0"/>
    <n v="0"/>
  </r>
  <r>
    <s v="Logs_Reseau_Part_14.xlsx"/>
    <d v="2023-10-31T00:00:00"/>
    <s v="CLI-01618"/>
    <x v="0"/>
    <d v="1899-12-30T20:42:00"/>
    <s v="ANT-0565"/>
    <d v="1899-12-30T01:07:00"/>
    <n v="67"/>
    <n v="-2.099631"/>
    <n v="13.974640000000001"/>
    <x v="3"/>
    <s v="Nokia"/>
    <s v="Résolu"/>
    <n v="115"/>
    <n v="9.5833333333333339"/>
    <s v="Bloqué 5Go"/>
    <s v="B2C"/>
    <n v="176"/>
    <d v="1899-12-30T02:56:00"/>
    <n v="33.28"/>
    <n v="4"/>
    <n v="0"/>
    <n v="0"/>
  </r>
  <r>
    <s v="Logs_Reseau_Part_14.xlsx"/>
    <d v="2023-10-13T00:00:00"/>
    <s v="Pas de correspondance"/>
    <x v="1"/>
    <d v="1899-12-30T16:20:00"/>
    <s v="ANT-0422"/>
    <d v="1899-12-30T01:03:00"/>
    <n v="6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23T00:00:00"/>
    <s v="Pas de correspondance"/>
    <x v="1"/>
    <d v="1899-12-30T13:26:00"/>
    <s v="ANT-0013"/>
    <d v="1899-12-30T00:26:00"/>
    <n v="2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05T00:00:00"/>
    <s v="Pas de correspondance"/>
    <x v="1"/>
    <d v="1899-12-30T09:24:00"/>
    <s v="ANT-0018"/>
    <d v="1899-12-30T01:38:00"/>
    <n v="9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06T00:00:00"/>
    <s v="CLI-00076"/>
    <x v="6"/>
    <d v="1899-12-30T17:30:00"/>
    <s v="ANT-0543"/>
    <d v="1899-12-30T01:46:00"/>
    <n v="106"/>
    <n v="-4.4958720000000003"/>
    <n v="18.514112000000001"/>
    <x v="0"/>
    <s v="Nokia"/>
    <s v="En Cours"/>
    <n v="46"/>
    <n v="3.8333333333333335"/>
    <s v="Premium 5G 150Go"/>
    <s v="B2C"/>
    <n v="283"/>
    <d v="1899-12-30T04:43:00"/>
    <n v="56.05"/>
    <n v="1"/>
    <n v="0.45"/>
    <n v="25.2225"/>
  </r>
  <r>
    <s v="Logs_Reseau_Part_14.xlsx"/>
    <d v="2023-10-08T00:00:00"/>
    <s v="Pas de correspondance"/>
    <x v="1"/>
    <d v="1899-12-30T07:19:00"/>
    <s v="ANT-0740"/>
    <d v="1899-12-30T00:50:00"/>
    <n v="5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28T00:00:00"/>
    <s v="Pas de correspondance"/>
    <x v="1"/>
    <d v="1899-12-30T22:09:00"/>
    <s v="ANT-0282"/>
    <d v="1899-12-30T00:26:00"/>
    <n v="2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26T00:00:00"/>
    <s v="CLI-00361"/>
    <x v="24"/>
    <d v="1899-12-30T14:58:00"/>
    <s v="ANT-0549"/>
    <d v="1899-12-30T00:22:00"/>
    <n v="22"/>
    <n v="-0.47411900000000001"/>
    <n v="27.184329000000002"/>
    <x v="2"/>
    <s v="ZTE"/>
    <s v="Résolu"/>
    <n v="66"/>
    <n v="5.5"/>
    <s v="Illimité 50Go"/>
    <s v="B2C"/>
    <n v="270"/>
    <d v="1899-12-30T04:30:00"/>
    <n v="75.88"/>
    <n v="3"/>
    <n v="0.45"/>
    <n v="34.146000000000001"/>
  </r>
  <r>
    <s v="Logs_Reseau_Part_14.xlsx"/>
    <d v="2023-10-02T00:00:00"/>
    <s v="CLI-01837"/>
    <x v="23"/>
    <d v="1899-12-30T17:26:00"/>
    <s v="ANT-0294"/>
    <d v="1899-12-30T01:37:00"/>
    <n v="97"/>
    <n v="-4.3639070000000002"/>
    <n v="16.283307000000001"/>
    <x v="2"/>
    <s v="Huawei"/>
    <s v="Non Résolu"/>
    <n v="97"/>
    <n v="8.0833333333333339"/>
    <s v="Pro Monde"/>
    <s v="B2B"/>
    <n v="319"/>
    <d v="1899-12-30T05:19:00"/>
    <n v="31.25"/>
    <n v="1"/>
    <n v="0.45"/>
    <n v="14.0625"/>
  </r>
  <r>
    <s v="Logs_Reseau_Part_14.xlsx"/>
    <d v="2023-10-31T00:00:00"/>
    <s v="Pas de correspondance"/>
    <x v="1"/>
    <d v="1899-12-30T13:35:00"/>
    <s v="ANT-0018"/>
    <d v="1899-12-30T01:14:00"/>
    <n v="7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17T00:00:00"/>
    <s v="CLI-01005"/>
    <x v="14"/>
    <d v="1899-12-30T04:24:00"/>
    <s v="ANT-0515"/>
    <d v="1899-12-30T01:07:00"/>
    <n v="67"/>
    <n v="-10.967288"/>
    <n v="17.617781000000001"/>
    <x v="0"/>
    <s v="Ericsson"/>
    <s v="Non Résolu"/>
    <n v="80"/>
    <n v="6.666666666666667"/>
    <s v="Illimité 50Go"/>
    <s v="B2C"/>
    <n v="155"/>
    <d v="1899-12-30T02:35:00"/>
    <n v="28.96"/>
    <n v="2"/>
    <n v="0"/>
    <n v="0"/>
  </r>
  <r>
    <s v="Logs_Reseau_Part_14.xlsx"/>
    <d v="2023-10-08T00:00:00"/>
    <s v="CLI-00414"/>
    <x v="20"/>
    <d v="1899-12-30T08:13:00"/>
    <s v="ANT-0833"/>
    <d v="1899-12-30T00:28:00"/>
    <n v="28"/>
    <n v="0.40267799999999998"/>
    <n v="16.000858000000001"/>
    <x v="3"/>
    <s v="Nokia"/>
    <s v="Résolu"/>
    <n v="99"/>
    <n v="8.25"/>
    <s v="Premium 5G 150Go"/>
    <s v="B2C"/>
    <n v="447"/>
    <d v="1899-12-30T07:27:00"/>
    <n v="38.1"/>
    <n v="3"/>
    <n v="0.45"/>
    <n v="17.145"/>
  </r>
  <r>
    <s v="Logs_Reseau_Part_14.xlsx"/>
    <d v="2023-10-11T00:00:00"/>
    <s v="CLI-00865"/>
    <x v="19"/>
    <d v="1899-12-30T20:05:00"/>
    <s v="ANT-0715"/>
    <d v="1899-12-30T01:58:00"/>
    <n v="118"/>
    <n v="-11.407966"/>
    <n v="28.378274000000001"/>
    <x v="0"/>
    <s v="ZTE"/>
    <s v="Résolu"/>
    <n v="34"/>
    <n v="2.8333333333333335"/>
    <s v="Pro Monde"/>
    <s v="B2B"/>
    <n v="453"/>
    <d v="1899-12-30T07:33:00"/>
    <n v="56.84"/>
    <n v="0"/>
    <n v="0.45"/>
    <n v="25.578000000000003"/>
  </r>
  <r>
    <s v="Logs_Reseau_Part_14.xlsx"/>
    <d v="2023-10-30T00:00:00"/>
    <s v="Pas de correspondance"/>
    <x v="1"/>
    <d v="1899-12-30T14:54:00"/>
    <s v="ANT-0691"/>
    <d v="1899-12-30T01:14:00"/>
    <n v="7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12T00:00:00"/>
    <s v="Pas de correspondance"/>
    <x v="1"/>
    <d v="1899-12-30T02:34:00"/>
    <s v="ANT-0441"/>
    <d v="1899-12-30T01:27:00"/>
    <n v="8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24T00:00:00"/>
    <s v="CLI-00837"/>
    <x v="8"/>
    <d v="1899-12-30T06:03:00"/>
    <s v="ANT-0826"/>
    <d v="1899-12-30T00:12:00"/>
    <n v="12"/>
    <n v="-10.846306999999999"/>
    <n v="19.201827999999999"/>
    <x v="0"/>
    <s v="Ericsson"/>
    <s v="Non Résolu"/>
    <n v="16"/>
    <n v="1.3333333333333333"/>
    <s v="Bloqué 5Go"/>
    <s v="B2C"/>
    <n v="390"/>
    <d v="1899-12-30T06:30:00"/>
    <n v="98.17"/>
    <n v="5"/>
    <n v="0.45"/>
    <n v="44.176500000000004"/>
  </r>
  <r>
    <s v="Logs_Reseau_Part_14.xlsx"/>
    <d v="2023-10-09T00:00:00"/>
    <s v="Pas de correspondance"/>
    <x v="1"/>
    <d v="1899-12-30T12:43:00"/>
    <s v="ANT-0963"/>
    <d v="1899-12-30T01:12:00"/>
    <n v="7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20T00:00:00"/>
    <s v="Pas de correspondance"/>
    <x v="1"/>
    <d v="1899-12-30T19:02:00"/>
    <s v="ANT-0932"/>
    <d v="1899-12-30T00:09:00"/>
    <n v="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28T00:00:00"/>
    <s v="CLI-00996"/>
    <x v="15"/>
    <d v="1899-12-30T02:12:00"/>
    <s v="ANT-0184"/>
    <d v="1899-12-30T01:52:00"/>
    <n v="112"/>
    <n v="-10.161428000000001"/>
    <n v="19.362325999999999"/>
    <x v="3"/>
    <s v="Nokia"/>
    <s v="Résolu"/>
    <n v="119"/>
    <n v="9.9166666666666661"/>
    <s v="Illimité 50Go"/>
    <s v="B2C"/>
    <n v="228"/>
    <d v="1899-12-30T03:48:00"/>
    <n v="94.72"/>
    <n v="3"/>
    <n v="0"/>
    <n v="0"/>
  </r>
  <r>
    <s v="Logs_Reseau_Part_14.xlsx"/>
    <d v="2023-10-26T00:00:00"/>
    <s v="CLI-01618"/>
    <x v="0"/>
    <d v="1899-12-30T18:46:00"/>
    <s v="ANT-0110"/>
    <d v="1899-12-30T01:53:00"/>
    <n v="113"/>
    <n v="-7.9425049999999997"/>
    <n v="24.111059000000001"/>
    <x v="3"/>
    <s v="ZTE"/>
    <s v="Non Résolu"/>
    <n v="115"/>
    <n v="9.5833333333333339"/>
    <s v="Bloqué 5Go"/>
    <s v="B2C"/>
    <n v="176"/>
    <d v="1899-12-30T02:56:00"/>
    <n v="33.28"/>
    <n v="4"/>
    <n v="0"/>
    <n v="0"/>
  </r>
  <r>
    <s v="Logs_Reseau_Part_14.xlsx"/>
    <d v="2023-10-22T00:00:00"/>
    <s v="Pas de correspondance"/>
    <x v="1"/>
    <d v="1899-12-30T17:13:00"/>
    <s v="ANT-0941"/>
    <d v="1899-12-30T00:14:00"/>
    <n v="1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16T00:00:00"/>
    <s v="CLI-01233"/>
    <x v="2"/>
    <d v="1899-12-30T06:55:00"/>
    <s v="ANT-0099"/>
    <d v="1899-12-30T01:49:00"/>
    <n v="109"/>
    <n v="-11.157245"/>
    <n v="21.262627999999999"/>
    <x v="2"/>
    <s v="ZTE"/>
    <s v="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14.xlsx"/>
    <d v="2023-10-30T00:00:00"/>
    <s v="Pas de correspondance"/>
    <x v="1"/>
    <d v="1899-12-30T10:19:00"/>
    <s v="ANT-0537"/>
    <d v="1899-12-30T01:30:00"/>
    <n v="9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31T00:00:00"/>
    <s v="CLI-01170"/>
    <x v="5"/>
    <d v="1899-12-30T00:13:00"/>
    <s v="ANT-0153"/>
    <d v="1899-12-30T00:11:00"/>
    <n v="11"/>
    <n v="0.94539899999999999"/>
    <n v="14.401821999999999"/>
    <x v="2"/>
    <s v="Nokia"/>
    <s v="Non Résolu"/>
    <n v="98"/>
    <n v="8.1666666666666661"/>
    <s v="Pro Monde"/>
    <s v="B2B"/>
    <n v="482"/>
    <d v="1899-12-30T08:02:00"/>
    <n v="55.04"/>
    <n v="5"/>
    <n v="0.45"/>
    <n v="24.768000000000001"/>
  </r>
  <r>
    <s v="Logs_Reseau_Part_14.xlsx"/>
    <d v="2023-10-30T00:00:00"/>
    <s v="Pas de correspondance"/>
    <x v="1"/>
    <d v="1899-12-30T06:47:00"/>
    <s v="ANT-0247"/>
    <d v="1899-12-30T01:42:00"/>
    <n v="10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04T00:00:00"/>
    <s v="Pas de correspondance"/>
    <x v="1"/>
    <d v="1899-12-30T23:48:00"/>
    <s v="ANT-0197"/>
    <d v="1899-12-30T00:05:00"/>
    <n v="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16T00:00:00"/>
    <s v="Pas de correspondance"/>
    <x v="1"/>
    <d v="1899-12-30T07:44:00"/>
    <s v="ANT-0635"/>
    <d v="1899-12-30T00:57:00"/>
    <n v="5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20T00:00:00"/>
    <s v="Pas de correspondance"/>
    <x v="1"/>
    <d v="1899-12-30T22:13:00"/>
    <s v="ANT-0540"/>
    <d v="1899-12-30T00:22:00"/>
    <n v="2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13T00:00:00"/>
    <s v="Pas de correspondance"/>
    <x v="1"/>
    <d v="1899-12-30T07:35:00"/>
    <s v="ANT-0259"/>
    <d v="1899-12-30T01:52:00"/>
    <n v="11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11T00:00:00"/>
    <s v="CLI-00837"/>
    <x v="8"/>
    <d v="1899-12-30T09:24:00"/>
    <s v="ANT-0835"/>
    <d v="1899-12-30T01:25:00"/>
    <n v="85"/>
    <n v="1.017161"/>
    <n v="16.519689"/>
    <x v="3"/>
    <s v="Nokia"/>
    <s v="Non Résolu"/>
    <n v="16"/>
    <n v="1.3333333333333333"/>
    <s v="Bloqué 5Go"/>
    <s v="B2C"/>
    <n v="390"/>
    <d v="1899-12-30T06:30:00"/>
    <n v="98.17"/>
    <n v="5"/>
    <n v="0.45"/>
    <n v="44.176500000000004"/>
  </r>
  <r>
    <s v="Logs_Reseau_Part_14.xlsx"/>
    <d v="2023-10-15T00:00:00"/>
    <s v="Pas de correspondance"/>
    <x v="1"/>
    <d v="1899-12-30T17:41:00"/>
    <s v="ANT-0363"/>
    <d v="1899-12-30T00:34:00"/>
    <n v="3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12T00:00:00"/>
    <s v="Pas de correspondance"/>
    <x v="1"/>
    <d v="1899-12-30T09:16:00"/>
    <s v="ANT-0274"/>
    <d v="1899-12-30T00:13:00"/>
    <n v="1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12T00:00:00"/>
    <s v="Pas de correspondance"/>
    <x v="1"/>
    <d v="1899-12-30T16:56:00"/>
    <s v="ANT-0815"/>
    <d v="1899-12-30T01:35:00"/>
    <n v="9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16T00:00:00"/>
    <s v="CLI-00185"/>
    <x v="25"/>
    <d v="1899-12-30T14:06:00"/>
    <s v="ANT-0407"/>
    <d v="1899-12-30T00:24:00"/>
    <n v="24"/>
    <n v="2.5458379999999998"/>
    <n v="13.308655"/>
    <x v="2"/>
    <s v="ZTE"/>
    <s v="Non Résolu"/>
    <n v="81"/>
    <n v="6.75"/>
    <s v="Pro Monde"/>
    <s v="B2B"/>
    <n v="154"/>
    <d v="1899-12-30T02:34:00"/>
    <n v="19.47"/>
    <n v="3"/>
    <n v="0.1"/>
    <n v="1.9470000000000001"/>
  </r>
  <r>
    <s v="Logs_Reseau_Part_14.xlsx"/>
    <d v="2023-10-26T00:00:00"/>
    <s v="Pas de correspondance"/>
    <x v="1"/>
    <d v="1899-12-30T23:30:00"/>
    <s v="ANT-0081"/>
    <d v="1899-12-30T00:06:00"/>
    <n v="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25T00:00:00"/>
    <s v="Pas de correspondance"/>
    <x v="1"/>
    <d v="1899-12-30T10:58:00"/>
    <s v="ANT-0383"/>
    <d v="1899-12-30T00:32:00"/>
    <n v="3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07T00:00:00"/>
    <s v="Pas de correspondance"/>
    <x v="1"/>
    <d v="1899-12-30T11:20:00"/>
    <s v="ANT-0983"/>
    <d v="1899-12-30T01:09:00"/>
    <n v="6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14T00:00:00"/>
    <s v="CLI-00280"/>
    <x v="7"/>
    <d v="1899-12-30T01:36:00"/>
    <s v="ANT-0416"/>
    <d v="1899-12-30T01:03:00"/>
    <n v="63"/>
    <n v="-11.387295999999999"/>
    <n v="19.384257999999999"/>
    <x v="3"/>
    <s v="Huawei"/>
    <s v="Résolu"/>
    <n v="113"/>
    <n v="9.4166666666666661"/>
    <s v="Illimité 50Go"/>
    <s v="B2C"/>
    <n v="380"/>
    <d v="1899-12-30T06:20:00"/>
    <n v="12.11"/>
    <n v="0"/>
    <n v="0.45"/>
    <n v="5.4494999999999996"/>
  </r>
  <r>
    <s v="Logs_Reseau_Part_14.xlsx"/>
    <d v="2023-10-28T00:00:00"/>
    <s v="Pas de correspondance"/>
    <x v="1"/>
    <d v="1899-12-30T07:47:00"/>
    <s v="ANT-0471"/>
    <d v="1899-12-30T00:52:00"/>
    <n v="5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05T00:00:00"/>
    <s v="CLI-00185"/>
    <x v="25"/>
    <d v="1899-12-30T00:16:00"/>
    <s v="ANT-0579"/>
    <d v="1899-12-30T00:12:00"/>
    <n v="12"/>
    <n v="-1.6488929999999999"/>
    <n v="27.284617000000001"/>
    <x v="2"/>
    <s v="Nokia"/>
    <s v="Non Résolu"/>
    <n v="81"/>
    <n v="6.75"/>
    <s v="Pro Monde"/>
    <s v="B2B"/>
    <n v="154"/>
    <d v="1899-12-30T02:34:00"/>
    <n v="19.47"/>
    <n v="3"/>
    <n v="0.1"/>
    <n v="1.9470000000000001"/>
  </r>
  <r>
    <s v="Logs_Reseau_Part_14.xlsx"/>
    <d v="2023-10-18T00:00:00"/>
    <s v="CLI-00185"/>
    <x v="25"/>
    <d v="1899-12-30T18:37:00"/>
    <s v="ANT-0250"/>
    <d v="1899-12-30T01:24:00"/>
    <n v="84"/>
    <n v="-2.3743210000000001"/>
    <n v="22.399491000000001"/>
    <x v="2"/>
    <s v="Ericsson"/>
    <s v="Résolu"/>
    <n v="81"/>
    <n v="6.75"/>
    <s v="Pro Monde"/>
    <s v="B2B"/>
    <n v="154"/>
    <d v="1899-12-30T02:34:00"/>
    <n v="19.47"/>
    <n v="3"/>
    <n v="0.1"/>
    <n v="1.9470000000000001"/>
  </r>
  <r>
    <s v="Logs_Reseau_Part_14.xlsx"/>
    <d v="2023-10-24T00:00:00"/>
    <s v="CLI-00280"/>
    <x v="7"/>
    <d v="1899-12-30T13:18:00"/>
    <s v="ANT-0714"/>
    <d v="1899-12-30T01:26:00"/>
    <n v="86"/>
    <n v="-12.050063"/>
    <n v="26.636987999999999"/>
    <x v="3"/>
    <s v="Nokia"/>
    <s v="Non Résolu"/>
    <n v="113"/>
    <n v="9.4166666666666661"/>
    <s v="Illimité 50Go"/>
    <s v="B2C"/>
    <n v="380"/>
    <d v="1899-12-30T06:20:00"/>
    <n v="12.11"/>
    <n v="0"/>
    <n v="0.45"/>
    <n v="5.4494999999999996"/>
  </r>
  <r>
    <s v="Logs_Reseau_Part_14.xlsx"/>
    <d v="2023-10-05T00:00:00"/>
    <s v="Pas de correspondance"/>
    <x v="1"/>
    <d v="1899-12-30T06:21:00"/>
    <s v="ANT-0232"/>
    <d v="1899-12-30T01:30:00"/>
    <n v="9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08T00:00:00"/>
    <s v="Pas de correspondance"/>
    <x v="1"/>
    <d v="1899-12-30T12:36:00"/>
    <s v="ANT-0308"/>
    <d v="1899-12-30T01:23:00"/>
    <n v="8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27T00:00:00"/>
    <s v="CLI-00643"/>
    <x v="12"/>
    <d v="1899-12-30T07:31:00"/>
    <s v="ANT-0701"/>
    <d v="1899-12-30T01:06:00"/>
    <n v="66"/>
    <n v="-12.839263000000001"/>
    <n v="12.355677"/>
    <x v="3"/>
    <s v="Huawei"/>
    <s v="En Cours"/>
    <n v="14"/>
    <n v="1.1666666666666667"/>
    <s v="Pro Monde"/>
    <s v="B2B"/>
    <n v="316"/>
    <d v="1899-12-30T05:16:00"/>
    <n v="62.34"/>
    <n v="4"/>
    <n v="0.45"/>
    <n v="28.053000000000001"/>
  </r>
  <r>
    <s v="Logs_Reseau_Part_14.xlsx"/>
    <d v="2023-10-18T00:00:00"/>
    <s v="Pas de correspondance"/>
    <x v="1"/>
    <d v="1899-12-30T20:43:00"/>
    <s v="ANT-0848"/>
    <d v="1899-12-30T01:29:00"/>
    <n v="8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4.xlsx"/>
    <d v="2023-10-11T00:00:00"/>
    <s v="CLI-01005"/>
    <x v="14"/>
    <d v="1899-12-30T08:48:00"/>
    <s v="ANT-0869"/>
    <d v="1899-12-30T01:07:00"/>
    <n v="67"/>
    <n v="-8.0301989999999996"/>
    <n v="24.122495000000001"/>
    <x v="2"/>
    <s v="ZTE"/>
    <s v="Non Résolu"/>
    <n v="80"/>
    <n v="6.666666666666667"/>
    <s v="Illimité 50Go"/>
    <s v="B2C"/>
    <n v="155"/>
    <d v="1899-12-30T02:35:00"/>
    <n v="28.96"/>
    <n v="2"/>
    <n v="0"/>
    <n v="0"/>
  </r>
  <r>
    <s v="Logs_Reseau_Part_14.xlsx"/>
    <d v="2023-10-27T00:00:00"/>
    <s v="Pas de correspondance"/>
    <x v="1"/>
    <d v="1899-12-30T15:46:00"/>
    <s v="ANT-0083"/>
    <d v="1899-12-30T00:07:00"/>
    <n v="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25T00:00:00"/>
    <s v="Pas de correspondance"/>
    <x v="1"/>
    <d v="1899-12-30T23:08:00"/>
    <s v="ANT-0334"/>
    <d v="1899-12-30T01:23:00"/>
    <n v="8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26T00:00:00"/>
    <s v="CLI-00569"/>
    <x v="16"/>
    <d v="1899-12-30T22:46:00"/>
    <s v="ANT-0386"/>
    <d v="1899-12-30T00:30:00"/>
    <n v="30"/>
    <n v="-10.653247"/>
    <n v="14.685601"/>
    <x v="0"/>
    <s v="Ericsson"/>
    <s v="Résolu"/>
    <n v="110"/>
    <n v="9.1666666666666661"/>
    <s v="Pro Monde"/>
    <s v="B2B"/>
    <n v="423"/>
    <d v="1899-12-30T07:03:00"/>
    <n v="37.35"/>
    <n v="4"/>
    <n v="0.45"/>
    <n v="16.807500000000001"/>
  </r>
  <r>
    <s v="Logs_Reseau_Part_15.xlsx"/>
    <d v="2023-10-03T00:00:00"/>
    <s v="CLI-00745"/>
    <x v="9"/>
    <d v="1899-12-30T16:47:00"/>
    <s v="ANT-0288"/>
    <d v="1899-12-30T01:03:00"/>
    <n v="63"/>
    <n v="1.400674"/>
    <n v="13.503126999999999"/>
    <x v="2"/>
    <s v="ZTE"/>
    <s v="Non Résolu"/>
    <n v="6"/>
    <n v="0.5"/>
    <s v="Premium 5G 150Go"/>
    <s v="B2C"/>
    <n v="207"/>
    <d v="1899-12-30T03:27:00"/>
    <n v="61.55"/>
    <n v="0"/>
    <n v="0.45"/>
    <n v="27.697499999999998"/>
  </r>
  <r>
    <s v="Logs_Reseau_Part_15.xlsx"/>
    <d v="2023-10-12T00:00:00"/>
    <s v="CLI-00865"/>
    <x v="19"/>
    <d v="1899-12-30T01:06:00"/>
    <s v="ANT-0837"/>
    <d v="1899-12-30T00:18:00"/>
    <n v="18"/>
    <n v="-5.3762689999999997"/>
    <n v="28.189575999999999"/>
    <x v="2"/>
    <s v="Huawei"/>
    <s v="En Cours"/>
    <n v="34"/>
    <n v="2.8333333333333335"/>
    <s v="Pro Monde"/>
    <s v="B2B"/>
    <n v="453"/>
    <d v="1899-12-30T07:33:00"/>
    <n v="56.84"/>
    <n v="0"/>
    <n v="0.45"/>
    <n v="25.578000000000003"/>
  </r>
  <r>
    <s v="Logs_Reseau_Part_15.xlsx"/>
    <d v="2023-10-14T00:00:00"/>
    <s v="Pas de correspondance"/>
    <x v="1"/>
    <d v="1899-12-30T07:53:00"/>
    <s v="ANT-0805"/>
    <d v="1899-12-30T00:22:00"/>
    <n v="2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03T00:00:00"/>
    <s v="Pas de correspondance"/>
    <x v="1"/>
    <d v="1899-12-30T10:38:00"/>
    <s v="ANT-0403"/>
    <d v="1899-12-30T00:43:00"/>
    <n v="4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25T00:00:00"/>
    <s v="Pas de correspondance"/>
    <x v="1"/>
    <d v="1899-12-30T19:38:00"/>
    <s v="ANT-0374"/>
    <d v="1899-12-30T00:05:00"/>
    <n v="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13T00:00:00"/>
    <s v="CLI-00185"/>
    <x v="25"/>
    <d v="1899-12-30T10:01:00"/>
    <s v="ANT-0117"/>
    <d v="1899-12-30T00:55:00"/>
    <n v="55"/>
    <n v="1.938083"/>
    <n v="28.25281"/>
    <x v="0"/>
    <s v="Nokia"/>
    <s v="Non Résolu"/>
    <n v="81"/>
    <n v="6.75"/>
    <s v="Pro Monde"/>
    <s v="B2B"/>
    <n v="154"/>
    <d v="1899-12-30T02:34:00"/>
    <n v="19.47"/>
    <n v="3"/>
    <n v="0.1"/>
    <n v="1.9470000000000001"/>
  </r>
  <r>
    <s v="Logs_Reseau_Part_15.xlsx"/>
    <d v="2023-10-21T00:00:00"/>
    <s v="Pas de correspondance"/>
    <x v="1"/>
    <d v="1899-12-30T08:50:00"/>
    <s v="ANT-0955"/>
    <d v="1899-12-30T00:47:00"/>
    <n v="4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15T00:00:00"/>
    <s v="CLI-00643"/>
    <x v="12"/>
    <d v="1899-12-30T15:14:00"/>
    <s v="ANT-0578"/>
    <d v="1899-12-30T01:52:00"/>
    <n v="112"/>
    <n v="-6.1490739999999997"/>
    <n v="23.304411000000002"/>
    <x v="2"/>
    <s v="ZTE"/>
    <s v="Non Résolu"/>
    <n v="14"/>
    <n v="1.1666666666666667"/>
    <s v="Pro Monde"/>
    <s v="B2B"/>
    <n v="316"/>
    <d v="1899-12-30T05:16:00"/>
    <n v="62.34"/>
    <n v="4"/>
    <n v="0.45"/>
    <n v="28.053000000000001"/>
  </r>
  <r>
    <s v="Logs_Reseau_Part_15.xlsx"/>
    <d v="2023-10-12T00:00:00"/>
    <s v="Pas de correspondance"/>
    <x v="1"/>
    <d v="1899-12-30T17:24:00"/>
    <s v="ANT-0205"/>
    <d v="1899-12-30T01:24:00"/>
    <n v="8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14T00:00:00"/>
    <s v="CLI-01170"/>
    <x v="5"/>
    <d v="1899-12-30T05:43:00"/>
    <s v="ANT-0607"/>
    <d v="1899-12-30T00:53:00"/>
    <n v="53"/>
    <n v="-8.4985189999999999"/>
    <n v="12.929456999999999"/>
    <x v="0"/>
    <s v="Ericsson"/>
    <s v="Non Résolu"/>
    <n v="98"/>
    <n v="8.1666666666666661"/>
    <s v="Pro Monde"/>
    <s v="B2B"/>
    <n v="482"/>
    <d v="1899-12-30T08:02:00"/>
    <n v="55.04"/>
    <n v="5"/>
    <n v="0.45"/>
    <n v="24.768000000000001"/>
  </r>
  <r>
    <s v="Logs_Reseau_Part_15.xlsx"/>
    <d v="2023-10-19T00:00:00"/>
    <s v="Pas de correspondance"/>
    <x v="1"/>
    <d v="1899-12-30T21:24:00"/>
    <s v="ANT-0559"/>
    <d v="1899-12-30T01:47:00"/>
    <n v="10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03T00:00:00"/>
    <s v="CLI-00439"/>
    <x v="22"/>
    <d v="1899-12-30T19:18:00"/>
    <s v="ANT-0185"/>
    <d v="1899-12-30T01:55:00"/>
    <n v="115"/>
    <n v="1.2391989999999999"/>
    <n v="15.386718999999999"/>
    <x v="2"/>
    <s v="ZTE"/>
    <s v="Non Résolu"/>
    <n v="40"/>
    <n v="3.3333333333333335"/>
    <s v="Premium 5G 150Go"/>
    <s v="B2C"/>
    <n v="345"/>
    <d v="1899-12-30T05:45:00"/>
    <n v="89.55"/>
    <n v="3"/>
    <n v="0.45"/>
    <n v="40.297499999999999"/>
  </r>
  <r>
    <s v="Logs_Reseau_Part_15.xlsx"/>
    <d v="2023-10-26T00:00:00"/>
    <s v="Pas de correspondance"/>
    <x v="1"/>
    <d v="1899-12-30T07:45:00"/>
    <s v="ANT-0699"/>
    <d v="1899-12-30T00:47:00"/>
    <n v="4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03T00:00:00"/>
    <s v="Pas de correspondance"/>
    <x v="1"/>
    <d v="1899-12-30T02:17:00"/>
    <s v="ANT-0787"/>
    <d v="1899-12-30T01:01:00"/>
    <n v="6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05T00:00:00"/>
    <s v="CLI-00837"/>
    <x v="8"/>
    <d v="1899-12-30T12:45:00"/>
    <s v="ANT-0564"/>
    <d v="1899-12-30T00:47:00"/>
    <n v="47"/>
    <n v="-12.336202"/>
    <n v="13.693683999999999"/>
    <x v="2"/>
    <s v="Huawei"/>
    <s v="Résolu"/>
    <n v="16"/>
    <n v="1.3333333333333333"/>
    <s v="Bloqué 5Go"/>
    <s v="B2C"/>
    <n v="390"/>
    <d v="1899-12-30T06:30:00"/>
    <n v="98.17"/>
    <n v="5"/>
    <n v="0.45"/>
    <n v="44.176500000000004"/>
  </r>
  <r>
    <s v="Logs_Reseau_Part_15.xlsx"/>
    <d v="2023-10-26T00:00:00"/>
    <s v="Pas de correspondance"/>
    <x v="1"/>
    <d v="1899-12-30T20:09:00"/>
    <s v="ANT-0028"/>
    <d v="1899-12-30T01:00:00"/>
    <n v="6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24T00:00:00"/>
    <s v="Pas de correspondance"/>
    <x v="1"/>
    <d v="1899-12-30T12:20:00"/>
    <s v="ANT-0976"/>
    <d v="1899-12-30T01:49:00"/>
    <n v="10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12T00:00:00"/>
    <s v="CLI-01855"/>
    <x v="11"/>
    <d v="1899-12-30T03:05:00"/>
    <s v="ANT-0745"/>
    <d v="1899-12-30T01:50:00"/>
    <n v="110"/>
    <n v="2.453036"/>
    <n v="20.555484"/>
    <x v="2"/>
    <s v="Ericsson"/>
    <s v="Non Résolu"/>
    <n v="101"/>
    <n v="8.4166666666666661"/>
    <s v="Illimité 50Go"/>
    <s v="B2C"/>
    <n v="358"/>
    <d v="1899-12-30T05:58:00"/>
    <n v="29.24"/>
    <n v="3"/>
    <n v="0.45"/>
    <n v="13.157999999999999"/>
  </r>
  <r>
    <s v="Logs_Reseau_Part_15.xlsx"/>
    <d v="2023-10-01T00:00:00"/>
    <s v="Pas de correspondance"/>
    <x v="1"/>
    <d v="1899-12-30T09:28:00"/>
    <s v="ANT-0473"/>
    <d v="1899-12-30T01:55:00"/>
    <n v="11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12T00:00:00"/>
    <s v="CLI-01147"/>
    <x v="18"/>
    <d v="1899-12-30T08:06:00"/>
    <s v="ANT-0966"/>
    <d v="1899-12-30T01:28:00"/>
    <n v="88"/>
    <n v="-12.364127999999999"/>
    <n v="19.576150999999999"/>
    <x v="3"/>
    <s v="Nokia"/>
    <s v="Non Résolu"/>
    <n v="29"/>
    <n v="2.4166666666666665"/>
    <s v="Premium 5G 150Go"/>
    <s v="B2C"/>
    <n v="214"/>
    <d v="1899-12-30T03:34:00"/>
    <n v="74.7"/>
    <n v="3"/>
    <n v="0.45"/>
    <n v="33.615000000000002"/>
  </r>
  <r>
    <s v="Logs_Reseau_Part_15.xlsx"/>
    <d v="2023-10-05T00:00:00"/>
    <s v="Pas de correspondance"/>
    <x v="1"/>
    <d v="1899-12-30T02:11:00"/>
    <s v="ANT-0726"/>
    <d v="1899-12-30T01:21:00"/>
    <n v="8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14T00:00:00"/>
    <s v="Pas de correspondance"/>
    <x v="1"/>
    <d v="1899-12-30T14:35:00"/>
    <s v="ANT-0215"/>
    <d v="1899-12-30T00:22:00"/>
    <n v="2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18T00:00:00"/>
    <s v="Pas de correspondance"/>
    <x v="1"/>
    <d v="1899-12-30T16:26:00"/>
    <s v="ANT-0449"/>
    <d v="1899-12-30T00:43:00"/>
    <n v="4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04T00:00:00"/>
    <s v="Pas de correspondance"/>
    <x v="1"/>
    <d v="1899-12-30T00:05:00"/>
    <s v="ANT-0817"/>
    <d v="1899-12-30T00:46:00"/>
    <n v="4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12T00:00:00"/>
    <s v="Pas de correspondance"/>
    <x v="1"/>
    <d v="1899-12-30T17:05:00"/>
    <s v="ANT-0299"/>
    <d v="1899-12-30T01:22:00"/>
    <n v="8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20T00:00:00"/>
    <s v="CLI-01855"/>
    <x v="11"/>
    <d v="1899-12-30T19:50:00"/>
    <s v="ANT-0852"/>
    <d v="1899-12-30T01:33:00"/>
    <n v="93"/>
    <n v="4.2493650000000001"/>
    <n v="28.355039999999999"/>
    <x v="3"/>
    <s v="ZTE"/>
    <s v="En Cours"/>
    <n v="101"/>
    <n v="8.4166666666666661"/>
    <s v="Illimité 50Go"/>
    <s v="B2C"/>
    <n v="358"/>
    <d v="1899-12-30T05:58:00"/>
    <n v="29.24"/>
    <n v="3"/>
    <n v="0.45"/>
    <n v="13.157999999999999"/>
  </r>
  <r>
    <s v="Logs_Reseau_Part_15.xlsx"/>
    <d v="2023-10-11T00:00:00"/>
    <s v="Pas de correspondance"/>
    <x v="1"/>
    <d v="1899-12-30T12:00:00"/>
    <s v="ANT-0710"/>
    <d v="1899-12-30T00:30:00"/>
    <n v="3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10T00:00:00"/>
    <s v="CLI-01147"/>
    <x v="18"/>
    <d v="1899-12-30T13:24:00"/>
    <s v="ANT-0071"/>
    <d v="1899-12-30T01:06:00"/>
    <n v="66"/>
    <n v="-12.595355"/>
    <n v="17.897442000000002"/>
    <x v="0"/>
    <s v="Huawei"/>
    <s v="Non Résolu"/>
    <n v="29"/>
    <n v="2.4166666666666665"/>
    <s v="Premium 5G 150Go"/>
    <s v="B2C"/>
    <n v="214"/>
    <d v="1899-12-30T03:34:00"/>
    <n v="74.7"/>
    <n v="3"/>
    <n v="0.45"/>
    <n v="33.615000000000002"/>
  </r>
  <r>
    <s v="Logs_Reseau_Part_15.xlsx"/>
    <d v="2023-10-25T00:00:00"/>
    <s v="Pas de correspondance"/>
    <x v="1"/>
    <d v="1899-12-30T02:46:00"/>
    <s v="ANT-0839"/>
    <d v="1899-12-30T00:45:00"/>
    <n v="4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29T00:00:00"/>
    <s v="CLI-01005"/>
    <x v="14"/>
    <d v="1899-12-30T17:57:00"/>
    <s v="ANT-0869"/>
    <d v="1899-12-30T00:27:00"/>
    <n v="27"/>
    <n v="-8.0301989999999996"/>
    <n v="24.122495000000001"/>
    <x v="2"/>
    <s v="ZTE"/>
    <s v="Résolu"/>
    <n v="80"/>
    <n v="6.666666666666667"/>
    <s v="Illimité 50Go"/>
    <s v="B2C"/>
    <n v="155"/>
    <d v="1899-12-30T02:35:00"/>
    <n v="28.96"/>
    <n v="2"/>
    <n v="0"/>
    <n v="0"/>
  </r>
  <r>
    <s v="Logs_Reseau_Part_15.xlsx"/>
    <d v="2023-10-08T00:00:00"/>
    <s v="Pas de correspondance"/>
    <x v="1"/>
    <d v="1899-12-30T18:33:00"/>
    <s v="ANT-0815"/>
    <d v="1899-12-30T00:55:00"/>
    <n v="5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06T00:00:00"/>
    <s v="Pas de correspondance"/>
    <x v="1"/>
    <d v="1899-12-30T21:24:00"/>
    <s v="ANT-0815"/>
    <d v="1899-12-30T00:45:00"/>
    <n v="4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06T00:00:00"/>
    <s v="CLI-00280"/>
    <x v="7"/>
    <d v="1899-12-30T04:17:00"/>
    <s v="ANT-0419"/>
    <d v="1899-12-30T00:42:00"/>
    <n v="42"/>
    <n v="3.611561"/>
    <n v="17.725974999999998"/>
    <x v="3"/>
    <s v="ZTE"/>
    <s v="Non Résolu"/>
    <n v="113"/>
    <n v="9.4166666666666661"/>
    <s v="Illimité 50Go"/>
    <s v="B2C"/>
    <n v="380"/>
    <d v="1899-12-30T06:20:00"/>
    <n v="12.11"/>
    <n v="0"/>
    <n v="0.45"/>
    <n v="5.4494999999999996"/>
  </r>
  <r>
    <s v="Logs_Reseau_Part_15.xlsx"/>
    <d v="2023-10-10T00:00:00"/>
    <s v="CLI-00611"/>
    <x v="21"/>
    <d v="1899-12-30T08:31:00"/>
    <s v="ANT-0690"/>
    <d v="1899-12-30T01:39:00"/>
    <n v="99"/>
    <n v="1.3006180000000001"/>
    <n v="29.060970999999999"/>
    <x v="3"/>
    <s v="ZTE"/>
    <s v="Non Résolu"/>
    <n v="79"/>
    <n v="6.583333333333333"/>
    <s v="Premium 5G 150Go"/>
    <s v="B2C"/>
    <n v="226"/>
    <d v="1899-12-30T03:46:00"/>
    <n v="94.38"/>
    <n v="3"/>
    <n v="0"/>
    <n v="0"/>
  </r>
  <r>
    <s v="Logs_Reseau_Part_15.xlsx"/>
    <d v="2023-10-05T00:00:00"/>
    <s v="Pas de correspondance"/>
    <x v="1"/>
    <d v="1899-12-30T02:10:00"/>
    <s v="ANT-0512"/>
    <d v="1899-12-30T01:33:00"/>
    <n v="9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14T00:00:00"/>
    <s v="CLI-00185"/>
    <x v="25"/>
    <d v="1899-12-30T08:26:00"/>
    <s v="ANT-0143"/>
    <d v="1899-12-30T01:26:00"/>
    <n v="86"/>
    <n v="4.8228650000000002"/>
    <n v="30.555627000000001"/>
    <x v="0"/>
    <s v="Huawei"/>
    <s v="En Cours"/>
    <n v="81"/>
    <n v="6.75"/>
    <s v="Pro Monde"/>
    <s v="B2B"/>
    <n v="154"/>
    <d v="1899-12-30T02:34:00"/>
    <n v="19.47"/>
    <n v="3"/>
    <n v="0.1"/>
    <n v="1.9470000000000001"/>
  </r>
  <r>
    <s v="Logs_Reseau_Part_15.xlsx"/>
    <d v="2023-10-10T00:00:00"/>
    <s v="CLI-01170"/>
    <x v="5"/>
    <d v="1899-12-30T15:50:00"/>
    <s v="ANT-0649"/>
    <d v="1899-12-30T01:07:00"/>
    <n v="67"/>
    <n v="-7.7839049999999999"/>
    <n v="14.114281999999999"/>
    <x v="3"/>
    <s v="ZTE"/>
    <s v="En Cours"/>
    <n v="98"/>
    <n v="8.1666666666666661"/>
    <s v="Pro Monde"/>
    <s v="B2B"/>
    <n v="482"/>
    <d v="1899-12-30T08:02:00"/>
    <n v="55.04"/>
    <n v="5"/>
    <n v="0.45"/>
    <n v="24.768000000000001"/>
  </r>
  <r>
    <s v="Logs_Reseau_Part_15.xlsx"/>
    <d v="2023-10-03T00:00:00"/>
    <s v="Pas de correspondance"/>
    <x v="1"/>
    <d v="1899-12-30T11:16:00"/>
    <s v="ANT-0311"/>
    <d v="1899-12-30T01:18:00"/>
    <n v="7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31T00:00:00"/>
    <s v="Pas de correspondance"/>
    <x v="1"/>
    <d v="1899-12-30T07:46:00"/>
    <s v="ANT-0248"/>
    <d v="1899-12-30T01:45:00"/>
    <n v="10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21T00:00:00"/>
    <s v="Pas de correspondance"/>
    <x v="1"/>
    <d v="1899-12-30T15:38:00"/>
    <s v="ANT-0259"/>
    <d v="1899-12-30T00:36:00"/>
    <n v="3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5.xlsx"/>
    <d v="2023-10-03T00:00:00"/>
    <s v="CLI-00745"/>
    <x v="9"/>
    <d v="1899-12-30T16:47:00"/>
    <s v="ANT-0288"/>
    <d v="1899-12-30T01:03:00"/>
    <n v="63"/>
    <n v="1.400674"/>
    <n v="13.503126999999999"/>
    <x v="2"/>
    <s v="ZTE"/>
    <s v="Non Résolu"/>
    <n v="6"/>
    <n v="0.5"/>
    <s v="Premium 5G 150Go"/>
    <s v="B2C"/>
    <n v="207"/>
    <d v="1899-12-30T03:27:00"/>
    <n v="61.55"/>
    <n v="0"/>
    <n v="0.45"/>
    <n v="27.697499999999998"/>
  </r>
  <r>
    <s v="Logs_Reseau_Part_16.xlsx"/>
    <d v="2023-10-08T00:00:00"/>
    <s v="Pas de correspondance"/>
    <x v="1"/>
    <d v="1899-12-30T14:23:00"/>
    <s v="ANT-0282"/>
    <d v="1899-12-30T00:59:00"/>
    <n v="5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13T00:00:00"/>
    <s v="Pas de correspondance"/>
    <x v="1"/>
    <d v="1899-12-30T14:49:00"/>
    <s v="ANT-0231"/>
    <d v="1899-12-30T00:28:00"/>
    <n v="2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22T00:00:00"/>
    <s v="Pas de correspondance"/>
    <x v="1"/>
    <d v="1899-12-30T18:44:00"/>
    <s v="ANT-0551"/>
    <d v="1899-12-30T01:07:00"/>
    <n v="6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17T00:00:00"/>
    <s v="Pas de correspondance"/>
    <x v="1"/>
    <d v="1899-12-30T04:22:00"/>
    <s v="ANT-0296"/>
    <d v="1899-12-30T01:26:00"/>
    <n v="8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01T00:00:00"/>
    <s v="Pas de correspondance"/>
    <x v="1"/>
    <d v="1899-12-30T15:06:00"/>
    <s v="ANT-0173"/>
    <d v="1899-12-30T01:13:00"/>
    <n v="7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10T00:00:00"/>
    <s v="Pas de correspondance"/>
    <x v="1"/>
    <d v="1899-12-30T13:58:00"/>
    <s v="ANT-0800"/>
    <d v="1899-12-30T01:33:00"/>
    <n v="9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31T00:00:00"/>
    <s v="Pas de correspondance"/>
    <x v="1"/>
    <d v="1899-12-30T02:07:00"/>
    <s v="ANT-0469"/>
    <d v="1899-12-30T01:27:00"/>
    <n v="8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27T00:00:00"/>
    <s v="CLI-01005"/>
    <x v="14"/>
    <d v="1899-12-30T23:09:00"/>
    <s v="ANT-0580"/>
    <d v="1899-12-30T00:27:00"/>
    <n v="27"/>
    <n v="-11.354772000000001"/>
    <n v="21.957325999999998"/>
    <x v="3"/>
    <s v="Nokia"/>
    <s v="Non Résolu"/>
    <n v="80"/>
    <n v="6.666666666666667"/>
    <s v="Illimité 50Go"/>
    <s v="B2C"/>
    <n v="155"/>
    <d v="1899-12-30T02:35:00"/>
    <n v="28.96"/>
    <n v="2"/>
    <n v="0"/>
    <n v="0"/>
  </r>
  <r>
    <s v="Logs_Reseau_Part_16.xlsx"/>
    <d v="2023-10-12T00:00:00"/>
    <s v="Pas de correspondance"/>
    <x v="1"/>
    <d v="1899-12-30T09:21:00"/>
    <s v="ANT-0761"/>
    <d v="1899-12-30T01:16:00"/>
    <n v="7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15T00:00:00"/>
    <s v="Pas de correspondance"/>
    <x v="1"/>
    <d v="1899-12-30T06:33:00"/>
    <s v="ANT-0792"/>
    <d v="1899-12-30T00:26:00"/>
    <n v="2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16T00:00:00"/>
    <s v="Pas de correspondance"/>
    <x v="1"/>
    <d v="1899-12-30T11:30:00"/>
    <s v="ANT-0785"/>
    <d v="1899-12-30T01:07:00"/>
    <n v="6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04T00:00:00"/>
    <s v="Pas de correspondance"/>
    <x v="1"/>
    <d v="1899-12-30T14:46:00"/>
    <s v="ANT-0508"/>
    <d v="1899-12-30T00:41:00"/>
    <n v="4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23T00:00:00"/>
    <s v="CLI-00837"/>
    <x v="8"/>
    <d v="1899-12-30T14:20:00"/>
    <s v="ANT-0563"/>
    <d v="1899-12-30T00:22:00"/>
    <n v="22"/>
    <n v="-1.8555980000000001"/>
    <n v="30.421918000000002"/>
    <x v="3"/>
    <s v="ZTE"/>
    <s v="Non Résolu"/>
    <n v="16"/>
    <n v="1.3333333333333333"/>
    <s v="Bloqué 5Go"/>
    <s v="B2C"/>
    <n v="390"/>
    <d v="1899-12-30T06:30:00"/>
    <n v="98.17"/>
    <n v="5"/>
    <n v="0.45"/>
    <n v="44.176500000000004"/>
  </r>
  <r>
    <s v="Logs_Reseau_Part_16.xlsx"/>
    <d v="2023-10-03T00:00:00"/>
    <s v="CLI-00996"/>
    <x v="15"/>
    <d v="1899-12-30T09:02:00"/>
    <s v="ANT-0524"/>
    <d v="1899-12-30T00:28:00"/>
    <n v="28"/>
    <n v="-7.402336"/>
    <n v="27.376697"/>
    <x v="0"/>
    <s v="Huawei"/>
    <s v="Résolu"/>
    <n v="119"/>
    <n v="9.9166666666666661"/>
    <s v="Illimité 50Go"/>
    <s v="B2C"/>
    <n v="228"/>
    <d v="1899-12-30T03:48:00"/>
    <n v="94.72"/>
    <n v="3"/>
    <n v="0"/>
    <n v="0"/>
  </r>
  <r>
    <s v="Logs_Reseau_Part_16.xlsx"/>
    <d v="2023-10-26T00:00:00"/>
    <s v="Pas de correspondance"/>
    <x v="1"/>
    <d v="1899-12-30T22:07:00"/>
    <s v="ANT-0116"/>
    <d v="1899-12-30T00:45:00"/>
    <n v="4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01T00:00:00"/>
    <s v="CLI-00076"/>
    <x v="6"/>
    <d v="1899-12-30T10:41:00"/>
    <s v="ANT-0587"/>
    <d v="1899-12-30T01:52:00"/>
    <n v="112"/>
    <n v="-10.945031"/>
    <n v="27.922274000000002"/>
    <x v="0"/>
    <s v="Ericsson"/>
    <s v="Résolu"/>
    <n v="46"/>
    <n v="3.8333333333333335"/>
    <s v="Premium 5G 150Go"/>
    <s v="B2C"/>
    <n v="283"/>
    <d v="1899-12-30T04:43:00"/>
    <n v="56.05"/>
    <n v="1"/>
    <n v="0.45"/>
    <n v="25.2225"/>
  </r>
  <r>
    <s v="Logs_Reseau_Part_16.xlsx"/>
    <d v="2023-10-04T00:00:00"/>
    <s v="CLI-00185"/>
    <x v="25"/>
    <d v="1899-12-30T21:51:00"/>
    <s v="ANT-0117"/>
    <d v="1899-12-30T01:02:00"/>
    <n v="62"/>
    <n v="1.938083"/>
    <n v="28.25281"/>
    <x v="0"/>
    <s v="Nokia"/>
    <s v="Résolu"/>
    <n v="81"/>
    <n v="6.75"/>
    <s v="Pro Monde"/>
    <s v="B2B"/>
    <n v="154"/>
    <d v="1899-12-30T02:34:00"/>
    <n v="19.47"/>
    <n v="3"/>
    <n v="0.1"/>
    <n v="1.9470000000000001"/>
  </r>
  <r>
    <s v="Logs_Reseau_Part_16.xlsx"/>
    <d v="2023-10-06T00:00:00"/>
    <s v="Pas de correspondance"/>
    <x v="1"/>
    <d v="1899-12-30T23:15:00"/>
    <s v="ANT-0275"/>
    <d v="1899-12-30T01:24:00"/>
    <n v="8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17T00:00:00"/>
    <s v="CLI-00559"/>
    <x v="10"/>
    <d v="1899-12-30T05:35:00"/>
    <s v="ANT-0794"/>
    <d v="1899-12-30T00:11:00"/>
    <n v="11"/>
    <n v="-3.8119990000000001"/>
    <n v="20.420048000000001"/>
    <x v="3"/>
    <s v="ZTE"/>
    <s v="En Cours"/>
    <n v="99"/>
    <n v="8.25"/>
    <s v="Bloqué 5Go"/>
    <s v="B2C"/>
    <n v="369"/>
    <d v="1899-12-30T06:09:00"/>
    <n v="67.209999999999994"/>
    <n v="3"/>
    <n v="0.45"/>
    <n v="30.244499999999999"/>
  </r>
  <r>
    <s v="Logs_Reseau_Part_16.xlsx"/>
    <d v="2023-10-06T00:00:00"/>
    <s v="CLI-01855"/>
    <x v="11"/>
    <d v="1899-12-30T10:35:00"/>
    <s v="ANT-0557"/>
    <d v="1899-12-30T01:55:00"/>
    <n v="115"/>
    <n v="-1.3024210000000001"/>
    <n v="13.601914000000001"/>
    <x v="3"/>
    <s v="Huawei"/>
    <s v="Non Résolu"/>
    <n v="101"/>
    <n v="8.4166666666666661"/>
    <s v="Illimité 50Go"/>
    <s v="B2C"/>
    <n v="358"/>
    <d v="1899-12-30T05:58:00"/>
    <n v="29.24"/>
    <n v="3"/>
    <n v="0.45"/>
    <n v="13.157999999999999"/>
  </r>
  <r>
    <s v="Logs_Reseau_Part_16.xlsx"/>
    <d v="2023-10-14T00:00:00"/>
    <s v="Pas de correspondance"/>
    <x v="1"/>
    <d v="1899-12-30T14:14:00"/>
    <s v="ANT-0844"/>
    <d v="1899-12-30T00:50:00"/>
    <n v="5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26T00:00:00"/>
    <s v="Pas de correspondance"/>
    <x v="1"/>
    <d v="1899-12-30T12:40:00"/>
    <s v="ANT-0376"/>
    <d v="1899-12-30T00:06:00"/>
    <n v="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06T00:00:00"/>
    <s v="Pas de correspondance"/>
    <x v="1"/>
    <d v="1899-12-30T05:40:00"/>
    <s v="ANT-0556"/>
    <d v="1899-12-30T01:07:00"/>
    <n v="6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22T00:00:00"/>
    <s v="CLI-00569"/>
    <x v="16"/>
    <d v="1899-12-30T13:25:00"/>
    <s v="ANT-0843"/>
    <d v="1899-12-30T00:22:00"/>
    <n v="22"/>
    <n v="0.65288900000000005"/>
    <n v="24.243953999999999"/>
    <x v="2"/>
    <s v="Ericsson"/>
    <s v="Résolu"/>
    <n v="110"/>
    <n v="9.1666666666666661"/>
    <s v="Pro Monde"/>
    <s v="B2B"/>
    <n v="423"/>
    <d v="1899-12-30T07:03:00"/>
    <n v="37.35"/>
    <n v="4"/>
    <n v="0.45"/>
    <n v="16.807500000000001"/>
  </r>
  <r>
    <s v="Logs_Reseau_Part_16.xlsx"/>
    <d v="2023-10-01T00:00:00"/>
    <s v="CLI-00414"/>
    <x v="20"/>
    <d v="1899-12-30T23:39:00"/>
    <s v="ANT-0775"/>
    <d v="1899-12-30T00:29:00"/>
    <n v="29"/>
    <n v="1.5278670000000001"/>
    <n v="13.899388999999999"/>
    <x v="3"/>
    <s v="Huawei"/>
    <s v="En Cours"/>
    <n v="99"/>
    <n v="8.25"/>
    <s v="Premium 5G 150Go"/>
    <s v="B2C"/>
    <n v="447"/>
    <d v="1899-12-30T07:27:00"/>
    <n v="38.1"/>
    <n v="3"/>
    <n v="0.45"/>
    <n v="17.145"/>
  </r>
  <r>
    <s v="Logs_Reseau_Part_16.xlsx"/>
    <d v="2023-10-29T00:00:00"/>
    <s v="Pas de correspondance"/>
    <x v="1"/>
    <d v="1899-12-30T06:28:00"/>
    <s v="ANT-0043"/>
    <d v="1899-12-30T01:49:00"/>
    <n v="10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19T00:00:00"/>
    <s v="Pas de correspondance"/>
    <x v="1"/>
    <d v="1899-12-30T13:24:00"/>
    <s v="ANT-0779"/>
    <d v="1899-12-30T00:54:00"/>
    <n v="5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01T00:00:00"/>
    <s v="CLI-01233"/>
    <x v="2"/>
    <d v="1899-12-30T22:13:00"/>
    <s v="ANT-0737"/>
    <d v="1899-12-30T01:16:00"/>
    <n v="76"/>
    <n v="-2.8211520000000001"/>
    <n v="20.651419000000001"/>
    <x v="2"/>
    <s v="Ericsson"/>
    <s v="En Cours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16.xlsx"/>
    <d v="2023-10-07T00:00:00"/>
    <s v="Pas de correspondance"/>
    <x v="1"/>
    <d v="1899-12-30T08:48:00"/>
    <s v="ANT-0452"/>
    <d v="1899-12-30T01:09:00"/>
    <n v="6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23T00:00:00"/>
    <s v="Pas de correspondance"/>
    <x v="1"/>
    <d v="1899-12-30T02:36:00"/>
    <s v="ANT-0560"/>
    <d v="1899-12-30T01:28:00"/>
    <n v="8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04T00:00:00"/>
    <s v="Pas de correspondance"/>
    <x v="1"/>
    <d v="1899-12-30T17:11:00"/>
    <s v="ANT-0224"/>
    <d v="1899-12-30T01:08:00"/>
    <n v="6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12T00:00:00"/>
    <s v="CLI-00745"/>
    <x v="9"/>
    <d v="1899-12-30T10:12:00"/>
    <s v="ANT-0436"/>
    <d v="1899-12-30T00:57:00"/>
    <n v="57"/>
    <n v="-4.5603610000000003"/>
    <n v="24.113918999999999"/>
    <x v="2"/>
    <s v="ZTE"/>
    <s v="Non Résolu"/>
    <n v="6"/>
    <n v="0.5"/>
    <s v="Premium 5G 150Go"/>
    <s v="B2C"/>
    <n v="207"/>
    <d v="1899-12-30T03:27:00"/>
    <n v="61.55"/>
    <n v="0"/>
    <n v="0.45"/>
    <n v="27.697499999999998"/>
  </r>
  <r>
    <s v="Logs_Reseau_Part_16.xlsx"/>
    <d v="2023-10-15T00:00:00"/>
    <s v="Pas de correspondance"/>
    <x v="1"/>
    <d v="1899-12-30T03:16:00"/>
    <s v="ANT-0105"/>
    <d v="1899-12-30T01:32:00"/>
    <n v="9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22T00:00:00"/>
    <s v="CLI-00439"/>
    <x v="22"/>
    <d v="1899-12-30T15:33:00"/>
    <s v="ANT-0754"/>
    <d v="1899-12-30T01:07:00"/>
    <n v="67"/>
    <n v="-11.924048000000001"/>
    <n v="24.177174999999998"/>
    <x v="3"/>
    <s v="Nokia"/>
    <s v="Résolu"/>
    <n v="40"/>
    <n v="3.3333333333333335"/>
    <s v="Premium 5G 150Go"/>
    <s v="B2C"/>
    <n v="345"/>
    <d v="1899-12-30T05:45:00"/>
    <n v="89.55"/>
    <n v="3"/>
    <n v="0.45"/>
    <n v="40.297499999999999"/>
  </r>
  <r>
    <s v="Logs_Reseau_Part_16.xlsx"/>
    <d v="2023-10-31T00:00:00"/>
    <s v="CLI-00996"/>
    <x v="15"/>
    <d v="1899-12-30T20:20:00"/>
    <s v="ANT-0850"/>
    <d v="1899-12-30T00:58:00"/>
    <n v="58"/>
    <n v="-5.9021970000000001"/>
    <n v="20.551169999999999"/>
    <x v="3"/>
    <s v="Huawei"/>
    <s v="En Cours"/>
    <n v="119"/>
    <n v="9.9166666666666661"/>
    <s v="Illimité 50Go"/>
    <s v="B2C"/>
    <n v="228"/>
    <d v="1899-12-30T03:48:00"/>
    <n v="94.72"/>
    <n v="3"/>
    <n v="0"/>
    <n v="0"/>
  </r>
  <r>
    <s v="Logs_Reseau_Part_16.xlsx"/>
    <d v="2023-10-20T00:00:00"/>
    <s v="CLI-00439"/>
    <x v="22"/>
    <d v="1899-12-30T12:39:00"/>
    <s v="ANT-0670"/>
    <d v="1899-12-30T01:35:00"/>
    <n v="95"/>
    <n v="-7.1483749999999997"/>
    <n v="26.014271000000001"/>
    <x v="2"/>
    <s v="Huawei"/>
    <s v="Résolu"/>
    <n v="40"/>
    <n v="3.3333333333333335"/>
    <s v="Premium 5G 150Go"/>
    <s v="B2C"/>
    <n v="345"/>
    <d v="1899-12-30T05:45:00"/>
    <n v="89.55"/>
    <n v="3"/>
    <n v="0.45"/>
    <n v="40.297499999999999"/>
  </r>
  <r>
    <s v="Logs_Reseau_Part_16.xlsx"/>
    <d v="2023-10-13T00:00:00"/>
    <s v="Pas de correspondance"/>
    <x v="1"/>
    <d v="1899-12-30T18:07:00"/>
    <s v="ANT-0770"/>
    <d v="1899-12-30T01:52:00"/>
    <n v="11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12T00:00:00"/>
    <s v="Pas de correspondance"/>
    <x v="1"/>
    <d v="1899-12-30T11:54:00"/>
    <s v="ANT-0254"/>
    <d v="1899-12-30T01:01:00"/>
    <n v="6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15T00:00:00"/>
    <s v="Pas de correspondance"/>
    <x v="1"/>
    <d v="1899-12-30T19:11:00"/>
    <s v="ANT-0305"/>
    <d v="1899-12-30T01:07:00"/>
    <n v="6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27T00:00:00"/>
    <s v="Pas de correspondance"/>
    <x v="1"/>
    <d v="1899-12-30T21:45:00"/>
    <s v="ANT-0896"/>
    <d v="1899-12-30T00:26:00"/>
    <n v="2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26T00:00:00"/>
    <s v="Pas de correspondance"/>
    <x v="1"/>
    <d v="1899-12-30T09:58:00"/>
    <s v="ANT-0034"/>
    <d v="1899-12-30T00:15:00"/>
    <n v="1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20T00:00:00"/>
    <s v="Pas de correspondance"/>
    <x v="1"/>
    <d v="1899-12-30T18:05:00"/>
    <s v="ANT-0461"/>
    <d v="1899-12-30T01:17:00"/>
    <n v="7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22T00:00:00"/>
    <s v="CLI-00060"/>
    <x v="3"/>
    <d v="1899-12-30T04:20:00"/>
    <s v="ANT-0270"/>
    <d v="1899-12-30T00:08:00"/>
    <n v="8"/>
    <n v="-1.648264"/>
    <n v="28.866143999999998"/>
    <x v="2"/>
    <s v="Ericsson"/>
    <s v="Résolu"/>
    <n v="72"/>
    <n v="6"/>
    <s v="Pro Monde"/>
    <s v="B2B"/>
    <n v="160"/>
    <d v="1899-12-30T02:40:00"/>
    <n v="90.13"/>
    <n v="2"/>
    <n v="0.1"/>
    <n v="9.0129999999999999"/>
  </r>
  <r>
    <s v="Logs_Reseau_Part_16.xlsx"/>
    <d v="2023-10-04T00:00:00"/>
    <s v="CLI-01618"/>
    <x v="0"/>
    <d v="1899-12-30T07:19:00"/>
    <s v="ANT-0357"/>
    <d v="1899-12-30T01:46:00"/>
    <n v="106"/>
    <n v="-11.793894"/>
    <n v="20.433340999999999"/>
    <x v="2"/>
    <s v="Nokia"/>
    <s v="Non Résolu"/>
    <n v="115"/>
    <n v="9.5833333333333339"/>
    <s v="Bloqué 5Go"/>
    <s v="B2C"/>
    <n v="176"/>
    <d v="1899-12-30T02:56:00"/>
    <n v="33.28"/>
    <n v="4"/>
    <n v="0"/>
    <n v="0"/>
  </r>
  <r>
    <s v="Logs_Reseau_Part_16.xlsx"/>
    <d v="2023-10-04T00:00:00"/>
    <s v="CLI-01855"/>
    <x v="11"/>
    <d v="1899-12-30T05:23:00"/>
    <s v="ANT-0883"/>
    <d v="1899-12-30T01:42:00"/>
    <n v="102"/>
    <n v="-9.4702129999999993"/>
    <n v="12.826158"/>
    <x v="3"/>
    <s v="Ericsson"/>
    <s v="En Cours"/>
    <n v="101"/>
    <n v="8.4166666666666661"/>
    <s v="Illimité 50Go"/>
    <s v="B2C"/>
    <n v="358"/>
    <d v="1899-12-30T05:58:00"/>
    <n v="29.24"/>
    <n v="3"/>
    <n v="0.45"/>
    <n v="13.157999999999999"/>
  </r>
  <r>
    <s v="Logs_Reseau_Part_16.xlsx"/>
    <d v="2023-10-23T00:00:00"/>
    <s v="CLI-00865"/>
    <x v="19"/>
    <d v="1899-12-30T04:32:00"/>
    <s v="ANT-0837"/>
    <d v="1899-12-30T00:33:00"/>
    <n v="33"/>
    <n v="-5.3762689999999997"/>
    <n v="28.189575999999999"/>
    <x v="2"/>
    <s v="Huawei"/>
    <s v="Résolu"/>
    <n v="34"/>
    <n v="2.8333333333333335"/>
    <s v="Pro Monde"/>
    <s v="B2B"/>
    <n v="453"/>
    <d v="1899-12-30T07:33:00"/>
    <n v="56.84"/>
    <n v="0"/>
    <n v="0.45"/>
    <n v="25.578000000000003"/>
  </r>
  <r>
    <s v="Logs_Reseau_Part_16.xlsx"/>
    <d v="2023-10-13T00:00:00"/>
    <s v="Pas de correspondance"/>
    <x v="1"/>
    <d v="1899-12-30T13:38:00"/>
    <s v="ANT-0090"/>
    <d v="1899-12-30T00:42:00"/>
    <n v="4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6.xlsx"/>
    <d v="2023-10-05T00:00:00"/>
    <s v="CLI-00060"/>
    <x v="3"/>
    <d v="1899-12-30T18:24:00"/>
    <s v="ANT-0450"/>
    <d v="1899-12-30T00:09:00"/>
    <n v="9"/>
    <n v="-12.560556999999999"/>
    <n v="13.204014000000001"/>
    <x v="0"/>
    <s v="Ericsson"/>
    <s v="En Cours"/>
    <n v="72"/>
    <n v="6"/>
    <s v="Pro Monde"/>
    <s v="B2B"/>
    <n v="160"/>
    <d v="1899-12-30T02:40:00"/>
    <n v="90.13"/>
    <n v="2"/>
    <n v="0.1"/>
    <n v="9.0129999999999999"/>
  </r>
  <r>
    <s v="Logs_Reseau_Part_17.xlsx"/>
    <d v="2023-10-03T00:00:00"/>
    <s v="Pas de correspondance"/>
    <x v="1"/>
    <d v="1899-12-30T20:50:00"/>
    <s v="ANT-0739"/>
    <d v="1899-12-30T01:31:00"/>
    <n v="9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29T00:00:00"/>
    <s v="Pas de correspondance"/>
    <x v="1"/>
    <d v="1899-12-30T02:25:00"/>
    <s v="ANT-0623"/>
    <d v="1899-12-30T00:23:00"/>
    <n v="2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17T00:00:00"/>
    <s v="CLI-00414"/>
    <x v="20"/>
    <d v="1899-12-30T23:17:00"/>
    <s v="ANT-0292"/>
    <d v="1899-12-30T00:13:00"/>
    <n v="13"/>
    <n v="-6.4197189999999997"/>
    <n v="22.287264"/>
    <x v="3"/>
    <s v="Ericsson"/>
    <s v="En Cours"/>
    <n v="99"/>
    <n v="8.25"/>
    <s v="Premium 5G 150Go"/>
    <s v="B2C"/>
    <n v="447"/>
    <d v="1899-12-30T07:27:00"/>
    <n v="38.1"/>
    <n v="3"/>
    <n v="0.45"/>
    <n v="17.145"/>
  </r>
  <r>
    <s v="Logs_Reseau_Part_17.xlsx"/>
    <d v="2023-10-23T00:00:00"/>
    <s v="Pas de correspondance"/>
    <x v="1"/>
    <d v="1899-12-30T11:29:00"/>
    <s v="ANT-0798"/>
    <d v="1899-12-30T01:12:00"/>
    <n v="7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31T00:00:00"/>
    <s v="CLI-00611"/>
    <x v="21"/>
    <d v="1899-12-30T15:20:00"/>
    <s v="ANT-0964"/>
    <d v="1899-12-30T01:17:00"/>
    <n v="77"/>
    <n v="-0.57104900000000003"/>
    <n v="15.317663"/>
    <x v="2"/>
    <s v="Nokia"/>
    <s v="Non Résolu"/>
    <n v="79"/>
    <n v="6.583333333333333"/>
    <s v="Premium 5G 150Go"/>
    <s v="B2C"/>
    <n v="226"/>
    <d v="1899-12-30T03:46:00"/>
    <n v="94.38"/>
    <n v="3"/>
    <n v="0"/>
    <n v="0"/>
  </r>
  <r>
    <s v="Logs_Reseau_Part_17.xlsx"/>
    <d v="2023-10-19T00:00:00"/>
    <s v="Pas de correspondance"/>
    <x v="1"/>
    <d v="1899-12-30T00:55:00"/>
    <s v="ANT-0708"/>
    <d v="1899-12-30T00:06:00"/>
    <n v="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25T00:00:00"/>
    <s v="Pas de correspondance"/>
    <x v="1"/>
    <d v="1899-12-30T23:05:00"/>
    <s v="ANT-0028"/>
    <d v="1899-12-30T01:23:00"/>
    <n v="8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24T00:00:00"/>
    <s v="CLI-01005"/>
    <x v="14"/>
    <d v="1899-12-30T14:40:00"/>
    <s v="ANT-0869"/>
    <d v="1899-12-30T01:28:00"/>
    <n v="88"/>
    <n v="-8.0301989999999996"/>
    <n v="24.122495000000001"/>
    <x v="2"/>
    <s v="ZTE"/>
    <s v="Résolu"/>
    <n v="80"/>
    <n v="6.666666666666667"/>
    <s v="Illimité 50Go"/>
    <s v="B2C"/>
    <n v="155"/>
    <d v="1899-12-30T02:35:00"/>
    <n v="28.96"/>
    <n v="2"/>
    <n v="0"/>
    <n v="0"/>
  </r>
  <r>
    <s v="Logs_Reseau_Part_17.xlsx"/>
    <d v="2023-10-22T00:00:00"/>
    <s v="Pas de correspondance"/>
    <x v="1"/>
    <d v="1899-12-30T22:22:00"/>
    <s v="ANT-0868"/>
    <d v="1899-12-30T00:26:00"/>
    <n v="2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28T00:00:00"/>
    <s v="Pas de correspondance"/>
    <x v="1"/>
    <d v="1899-12-30T02:50:00"/>
    <s v="ANT-0675"/>
    <d v="1899-12-30T01:01:00"/>
    <n v="6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18T00:00:00"/>
    <s v="Pas de correspondance"/>
    <x v="1"/>
    <d v="1899-12-30T12:13:00"/>
    <s v="ANT-0897"/>
    <d v="1899-12-30T00:49:00"/>
    <n v="4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31T00:00:00"/>
    <s v="Pas de correspondance"/>
    <x v="1"/>
    <d v="1899-12-30T13:52:00"/>
    <s v="ANT-0309"/>
    <d v="1899-12-30T01:37:00"/>
    <n v="9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07T00:00:00"/>
    <s v="CLI-01855"/>
    <x v="11"/>
    <d v="1899-12-30T15:17:00"/>
    <s v="ANT-0211"/>
    <d v="1899-12-30T00:32:00"/>
    <n v="32"/>
    <n v="-11.514817000000001"/>
    <n v="24.891375"/>
    <x v="3"/>
    <s v="Nokia"/>
    <s v="En Cours"/>
    <n v="101"/>
    <n v="8.4166666666666661"/>
    <s v="Illimité 50Go"/>
    <s v="B2C"/>
    <n v="358"/>
    <d v="1899-12-30T05:58:00"/>
    <n v="29.24"/>
    <n v="3"/>
    <n v="0.45"/>
    <n v="13.157999999999999"/>
  </r>
  <r>
    <s v="Logs_Reseau_Part_17.xlsx"/>
    <d v="2023-10-11T00:00:00"/>
    <s v="CLI-00185"/>
    <x v="25"/>
    <d v="1899-12-30T09:21:00"/>
    <s v="ANT-0531"/>
    <d v="1899-12-30T01:25:00"/>
    <n v="85"/>
    <n v="-4.2645619999999997"/>
    <n v="18.960726000000001"/>
    <x v="0"/>
    <s v="Huawei"/>
    <s v="Résolu"/>
    <n v="81"/>
    <n v="6.75"/>
    <s v="Pro Monde"/>
    <s v="B2B"/>
    <n v="154"/>
    <d v="1899-12-30T02:34:00"/>
    <n v="19.47"/>
    <n v="3"/>
    <n v="0.1"/>
    <n v="1.9470000000000001"/>
  </r>
  <r>
    <s v="Logs_Reseau_Part_17.xlsx"/>
    <d v="2023-10-18T00:00:00"/>
    <s v="CLI-00439"/>
    <x v="22"/>
    <d v="1899-12-30T18:08:00"/>
    <s v="ANT-0622"/>
    <d v="1899-12-30T01:40:00"/>
    <n v="100"/>
    <n v="-3.003879"/>
    <n v="23.633893"/>
    <x v="2"/>
    <s v="Ericsson"/>
    <s v="Résolu"/>
    <n v="40"/>
    <n v="3.3333333333333335"/>
    <s v="Premium 5G 150Go"/>
    <s v="B2C"/>
    <n v="345"/>
    <d v="1899-12-30T05:45:00"/>
    <n v="89.55"/>
    <n v="3"/>
    <n v="0.45"/>
    <n v="40.297499999999999"/>
  </r>
  <r>
    <s v="Logs_Reseau_Part_17.xlsx"/>
    <d v="2023-10-19T00:00:00"/>
    <s v="Pas de correspondance"/>
    <x v="1"/>
    <d v="1899-12-30T15:50:00"/>
    <s v="ANT-0522"/>
    <d v="1899-12-30T00:24:00"/>
    <n v="2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11T00:00:00"/>
    <s v="CLI-01170"/>
    <x v="5"/>
    <d v="1899-12-30T21:48:00"/>
    <s v="ANT-0194"/>
    <d v="1899-12-30T00:57:00"/>
    <n v="57"/>
    <n v="8.5490999999999998E-2"/>
    <n v="26.296129000000001"/>
    <x v="3"/>
    <s v="ZTE"/>
    <s v="En Cours"/>
    <n v="98"/>
    <n v="8.1666666666666661"/>
    <s v="Pro Monde"/>
    <s v="B2B"/>
    <n v="482"/>
    <d v="1899-12-30T08:02:00"/>
    <n v="55.04"/>
    <n v="5"/>
    <n v="0.45"/>
    <n v="24.768000000000001"/>
  </r>
  <r>
    <s v="Logs_Reseau_Part_17.xlsx"/>
    <d v="2023-10-02T00:00:00"/>
    <s v="Pas de correspondance"/>
    <x v="1"/>
    <d v="1899-12-30T01:06:00"/>
    <s v="ANT-0766"/>
    <d v="1899-12-30T01:23:00"/>
    <n v="8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21T00:00:00"/>
    <s v="CLI-01170"/>
    <x v="5"/>
    <d v="1899-12-30T14:01:00"/>
    <s v="ANT-0402"/>
    <d v="1899-12-30T01:32:00"/>
    <n v="92"/>
    <n v="-11.588665000000001"/>
    <n v="15.241552"/>
    <x v="0"/>
    <s v="Nokia"/>
    <s v="En Cours"/>
    <n v="98"/>
    <n v="8.1666666666666661"/>
    <s v="Pro Monde"/>
    <s v="B2B"/>
    <n v="482"/>
    <d v="1899-12-30T08:02:00"/>
    <n v="55.04"/>
    <n v="5"/>
    <n v="0.45"/>
    <n v="24.768000000000001"/>
  </r>
  <r>
    <s v="Logs_Reseau_Part_17.xlsx"/>
    <d v="2023-10-04T00:00:00"/>
    <s v="Pas de correspondance"/>
    <x v="1"/>
    <d v="1899-12-30T05:28:00"/>
    <s v="ANT-0303"/>
    <d v="1899-12-30T01:01:00"/>
    <n v="6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15T00:00:00"/>
    <s v="CLI-01170"/>
    <x v="5"/>
    <d v="1899-12-30T00:27:00"/>
    <s v="ANT-0662"/>
    <d v="1899-12-30T01:55:00"/>
    <n v="115"/>
    <n v="-1.342476"/>
    <n v="15.986086"/>
    <x v="0"/>
    <s v="Ericsson"/>
    <s v="Non Résolu"/>
    <n v="98"/>
    <n v="8.1666666666666661"/>
    <s v="Pro Monde"/>
    <s v="B2B"/>
    <n v="482"/>
    <d v="1899-12-30T08:02:00"/>
    <n v="55.04"/>
    <n v="5"/>
    <n v="0.45"/>
    <n v="24.768000000000001"/>
  </r>
  <r>
    <s v="Logs_Reseau_Part_17.xlsx"/>
    <d v="2023-10-07T00:00:00"/>
    <s v="Pas de correspondance"/>
    <x v="1"/>
    <d v="1899-12-30T22:58:00"/>
    <s v="ANT-0056"/>
    <d v="1899-12-30T00:32:00"/>
    <n v="3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05T00:00:00"/>
    <s v="Pas de correspondance"/>
    <x v="1"/>
    <d v="1899-12-30T20:19:00"/>
    <s v="ANT-0803"/>
    <d v="1899-12-30T00:16:00"/>
    <n v="1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06T00:00:00"/>
    <s v="Pas de correspondance"/>
    <x v="1"/>
    <d v="1899-12-30T08:05:00"/>
    <s v="ANT-0920"/>
    <d v="1899-12-30T01:59:00"/>
    <n v="11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21T00:00:00"/>
    <s v="Pas de correspondance"/>
    <x v="1"/>
    <d v="1899-12-30T11:16:00"/>
    <s v="ANT-0813"/>
    <d v="1899-12-30T00:17:00"/>
    <n v="1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03T00:00:00"/>
    <s v="Pas de correspondance"/>
    <x v="1"/>
    <d v="1899-12-30T11:42:00"/>
    <s v="ANT-0978"/>
    <d v="1899-12-30T00:22:00"/>
    <n v="2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29T00:00:00"/>
    <s v="Pas de correspondance"/>
    <x v="1"/>
    <d v="1899-12-30T20:10:00"/>
    <s v="ANT-0246"/>
    <d v="1899-12-30T01:41:00"/>
    <n v="10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02T00:00:00"/>
    <s v="CLI-00414"/>
    <x v="20"/>
    <d v="1899-12-30T12:40:00"/>
    <s v="ANT-0507"/>
    <d v="1899-12-30T00:20:00"/>
    <n v="20"/>
    <n v="0.45116099999999998"/>
    <n v="17.265761000000001"/>
    <x v="0"/>
    <s v="Huawei"/>
    <s v="Non Résolu"/>
    <n v="99"/>
    <n v="8.25"/>
    <s v="Premium 5G 150Go"/>
    <s v="B2C"/>
    <n v="447"/>
    <d v="1899-12-30T07:27:00"/>
    <n v="38.1"/>
    <n v="3"/>
    <n v="0.45"/>
    <n v="17.145"/>
  </r>
  <r>
    <s v="Logs_Reseau_Part_17.xlsx"/>
    <d v="2023-10-10T00:00:00"/>
    <s v="Pas de correspondance"/>
    <x v="1"/>
    <d v="1899-12-30T23:44:00"/>
    <s v="ANT-0396"/>
    <d v="1899-12-30T01:20:00"/>
    <n v="8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25T00:00:00"/>
    <s v="Pas de correspondance"/>
    <x v="1"/>
    <d v="1899-12-30T07:27:00"/>
    <s v="ANT-0116"/>
    <d v="1899-12-30T01:38:00"/>
    <n v="9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21T00:00:00"/>
    <s v="Pas de correspondance"/>
    <x v="1"/>
    <d v="1899-12-30T02:45:00"/>
    <s v="ANT-0247"/>
    <d v="1899-12-30T00:54:00"/>
    <n v="5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04T00:00:00"/>
    <s v="Pas de correspondance"/>
    <x v="1"/>
    <d v="1899-12-30T00:13:00"/>
    <s v="ANT-0512"/>
    <d v="1899-12-30T00:49:00"/>
    <n v="4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16T00:00:00"/>
    <s v="Pas de correspondance"/>
    <x v="1"/>
    <d v="1899-12-30T02:08:00"/>
    <s v="ANT-0654"/>
    <d v="1899-12-30T00:59:00"/>
    <n v="5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19T00:00:00"/>
    <s v="Pas de correspondance"/>
    <x v="1"/>
    <d v="1899-12-30T07:33:00"/>
    <s v="ANT-0609"/>
    <d v="1899-12-30T00:45:00"/>
    <n v="4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22T00:00:00"/>
    <s v="Pas de correspondance"/>
    <x v="1"/>
    <d v="1899-12-30T14:00:00"/>
    <s v="ANT-0073"/>
    <d v="1899-12-30T01:46:00"/>
    <n v="10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01T00:00:00"/>
    <s v="Pas de correspondance"/>
    <x v="1"/>
    <d v="1899-12-30T22:21:00"/>
    <s v="ANT-0541"/>
    <d v="1899-12-30T00:22:00"/>
    <n v="2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27T00:00:00"/>
    <s v="Pas de correspondance"/>
    <x v="1"/>
    <d v="1899-12-30T03:55:00"/>
    <s v="ANT-0911"/>
    <d v="1899-12-30T00:36:00"/>
    <n v="3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14T00:00:00"/>
    <s v="Pas de correspondance"/>
    <x v="1"/>
    <d v="1899-12-30T22:08:00"/>
    <s v="ANT-0013"/>
    <d v="1899-12-30T00:40:00"/>
    <n v="4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16T00:00:00"/>
    <s v="CLI-00865"/>
    <x v="19"/>
    <d v="1899-12-30T02:14:00"/>
    <s v="ANT-0370"/>
    <d v="1899-12-30T01:27:00"/>
    <n v="87"/>
    <n v="-7.6951369999999999"/>
    <n v="13.346605"/>
    <x v="0"/>
    <s v="Ericsson"/>
    <s v="Résolu"/>
    <n v="34"/>
    <n v="2.8333333333333335"/>
    <s v="Pro Monde"/>
    <s v="B2B"/>
    <n v="453"/>
    <d v="1899-12-30T07:33:00"/>
    <n v="56.84"/>
    <n v="0"/>
    <n v="0.45"/>
    <n v="25.578000000000003"/>
  </r>
  <r>
    <s v="Logs_Reseau_Part_17.xlsx"/>
    <d v="2023-10-13T00:00:00"/>
    <s v="CLI-01325"/>
    <x v="26"/>
    <d v="1899-12-30T02:46:00"/>
    <s v="ANT-0957"/>
    <d v="1899-12-30T00:15:00"/>
    <n v="15"/>
    <n v="-7.1785899999999998"/>
    <n v="24.4404"/>
    <x v="0"/>
    <s v="Nokia"/>
    <s v="Non Résolu"/>
    <n v="44"/>
    <n v="3.6666666666666665"/>
    <s v="Bloqué 5Go"/>
    <s v="B2C"/>
    <n v="348"/>
    <d v="1899-12-30T05:48:00"/>
    <n v="58.67"/>
    <n v="0"/>
    <n v="0.45"/>
    <n v="26.401500000000002"/>
  </r>
  <r>
    <s v="Logs_Reseau_Part_17.xlsx"/>
    <d v="2023-10-26T00:00:00"/>
    <s v="Pas de correspondance"/>
    <x v="1"/>
    <d v="1899-12-30T03:06:00"/>
    <s v="ANT-0325"/>
    <d v="1899-12-30T00:36:00"/>
    <n v="3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11T00:00:00"/>
    <s v="CLI-01855"/>
    <x v="11"/>
    <d v="1899-12-30T11:56:00"/>
    <s v="ANT-0136"/>
    <d v="1899-12-30T01:15:00"/>
    <n v="75"/>
    <n v="-9.3900009999999998"/>
    <n v="30.001517"/>
    <x v="3"/>
    <s v="Nokia"/>
    <s v="En Cours"/>
    <n v="101"/>
    <n v="8.4166666666666661"/>
    <s v="Illimité 50Go"/>
    <s v="B2C"/>
    <n v="358"/>
    <d v="1899-12-30T05:58:00"/>
    <n v="29.24"/>
    <n v="3"/>
    <n v="0.45"/>
    <n v="13.157999999999999"/>
  </r>
  <r>
    <s v="Logs_Reseau_Part_17.xlsx"/>
    <d v="2023-10-10T00:00:00"/>
    <s v="Pas de correspondance"/>
    <x v="1"/>
    <d v="1899-12-30T04:24:00"/>
    <s v="ANT-0397"/>
    <d v="1899-12-30T01:21:00"/>
    <n v="8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7.xlsx"/>
    <d v="2023-10-25T00:00:00"/>
    <s v="CLI-00414"/>
    <x v="20"/>
    <d v="1899-12-30T04:41:00"/>
    <s v="ANT-0882"/>
    <d v="1899-12-30T01:21:00"/>
    <n v="81"/>
    <n v="-1.500685"/>
    <n v="26.563376000000002"/>
    <x v="2"/>
    <s v="Nokia"/>
    <s v="Non Résolu"/>
    <n v="99"/>
    <n v="8.25"/>
    <s v="Premium 5G 150Go"/>
    <s v="B2C"/>
    <n v="447"/>
    <d v="1899-12-30T07:27:00"/>
    <n v="38.1"/>
    <n v="3"/>
    <n v="0.45"/>
    <n v="17.145"/>
  </r>
  <r>
    <s v="Logs_Reseau_Part_18.xlsx"/>
    <d v="2023-10-24T00:00:00"/>
    <s v="CLI-00076"/>
    <x v="6"/>
    <d v="1899-12-30T07:03:00"/>
    <s v="ANT-0543"/>
    <d v="1899-12-30T00:42:00"/>
    <n v="42"/>
    <n v="-4.4958720000000003"/>
    <n v="18.514112000000001"/>
    <x v="0"/>
    <s v="Nokia"/>
    <s v="En Cours"/>
    <n v="46"/>
    <n v="3.8333333333333335"/>
    <s v="Premium 5G 150Go"/>
    <s v="B2C"/>
    <n v="283"/>
    <d v="1899-12-30T04:43:00"/>
    <n v="56.05"/>
    <n v="1"/>
    <n v="0.45"/>
    <n v="25.2225"/>
  </r>
  <r>
    <s v="Logs_Reseau_Part_18.xlsx"/>
    <d v="2023-10-08T00:00:00"/>
    <s v="Pas de correspondance"/>
    <x v="1"/>
    <d v="1899-12-30T02:59:00"/>
    <s v="ANT-0244"/>
    <d v="1899-12-30T01:17:00"/>
    <n v="7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14T00:00:00"/>
    <s v="CLI-00996"/>
    <x v="15"/>
    <d v="1899-12-30T03:29:00"/>
    <s v="ANT-0430"/>
    <d v="1899-12-30T01:45:00"/>
    <n v="105"/>
    <n v="-10.939712999999999"/>
    <n v="18.276230999999999"/>
    <x v="0"/>
    <s v="ZTE"/>
    <s v="Non Résolu"/>
    <n v="119"/>
    <n v="9.9166666666666661"/>
    <s v="Illimité 50Go"/>
    <s v="B2C"/>
    <n v="228"/>
    <d v="1899-12-30T03:48:00"/>
    <n v="94.72"/>
    <n v="3"/>
    <n v="0"/>
    <n v="0"/>
  </r>
  <r>
    <s v="Logs_Reseau_Part_18.xlsx"/>
    <d v="2023-10-20T00:00:00"/>
    <s v="Pas de correspondance"/>
    <x v="1"/>
    <d v="1899-12-30T19:03:00"/>
    <s v="ANT-0504"/>
    <d v="1899-12-30T00:43:00"/>
    <n v="4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10T00:00:00"/>
    <s v="CLI-00559"/>
    <x v="10"/>
    <d v="1899-12-30T21:47:00"/>
    <s v="ANT-0985"/>
    <d v="1899-12-30T01:39:00"/>
    <n v="99"/>
    <n v="-7.6757720000000003"/>
    <n v="30.222971000000001"/>
    <x v="2"/>
    <s v="Ericsson"/>
    <s v="En Cours"/>
    <n v="99"/>
    <n v="8.25"/>
    <s v="Bloqué 5Go"/>
    <s v="B2C"/>
    <n v="369"/>
    <d v="1899-12-30T06:09:00"/>
    <n v="67.209999999999994"/>
    <n v="3"/>
    <n v="0.45"/>
    <n v="30.244499999999999"/>
  </r>
  <r>
    <s v="Logs_Reseau_Part_18.xlsx"/>
    <d v="2023-10-22T00:00:00"/>
    <s v="Pas de correspondance"/>
    <x v="1"/>
    <d v="1899-12-30T23:11:00"/>
    <s v="ANT-0062"/>
    <d v="1899-12-30T01:24:00"/>
    <n v="8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04T00:00:00"/>
    <s v="Pas de correspondance"/>
    <x v="1"/>
    <d v="1899-12-30T00:45:00"/>
    <s v="ANT-0996"/>
    <d v="1899-12-30T00:36:00"/>
    <n v="3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05T00:00:00"/>
    <s v="Pas de correspondance"/>
    <x v="1"/>
    <d v="1899-12-30T22:00:00"/>
    <s v="ANT-0146"/>
    <d v="1899-12-30T01:04:00"/>
    <n v="6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06T00:00:00"/>
    <s v="Pas de correspondance"/>
    <x v="1"/>
    <d v="1899-12-30T15:22:00"/>
    <s v="ANT-0729"/>
    <d v="1899-12-30T00:52:00"/>
    <n v="5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17T00:00:00"/>
    <s v="Pas de correspondance"/>
    <x v="1"/>
    <d v="1899-12-30T16:50:00"/>
    <s v="ANT-0287"/>
    <d v="1899-12-30T01:20:00"/>
    <n v="8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27T00:00:00"/>
    <s v="CLI-00745"/>
    <x v="9"/>
    <d v="1899-12-30T23:16:00"/>
    <s v="ANT-0096"/>
    <d v="1899-12-30T01:08:00"/>
    <n v="68"/>
    <n v="3.0603760000000002"/>
    <n v="19.708034000000001"/>
    <x v="3"/>
    <s v="ZTE"/>
    <s v="Résolu"/>
    <n v="6"/>
    <n v="0.5"/>
    <s v="Premium 5G 150Go"/>
    <s v="B2C"/>
    <n v="207"/>
    <d v="1899-12-30T03:27:00"/>
    <n v="61.55"/>
    <n v="0"/>
    <n v="0.45"/>
    <n v="27.697499999999998"/>
  </r>
  <r>
    <s v="Logs_Reseau_Part_18.xlsx"/>
    <d v="2023-10-06T00:00:00"/>
    <s v="CLI-00837"/>
    <x v="8"/>
    <d v="1899-12-30T11:08:00"/>
    <s v="ANT-0045"/>
    <d v="1899-12-30T01:43:00"/>
    <n v="103"/>
    <n v="-0.17258100000000001"/>
    <n v="23.775555000000001"/>
    <x v="2"/>
    <s v="Nokia"/>
    <s v="Résolu"/>
    <n v="16"/>
    <n v="1.3333333333333333"/>
    <s v="Bloqué 5Go"/>
    <s v="B2C"/>
    <n v="390"/>
    <d v="1899-12-30T06:30:00"/>
    <n v="98.17"/>
    <n v="5"/>
    <n v="0.45"/>
    <n v="44.176500000000004"/>
  </r>
  <r>
    <s v="Logs_Reseau_Part_18.xlsx"/>
    <d v="2023-10-24T00:00:00"/>
    <s v="Pas de correspondance"/>
    <x v="1"/>
    <d v="1899-12-30T08:46:00"/>
    <s v="ANT-0944"/>
    <d v="1899-12-30T01:44:00"/>
    <n v="10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29T00:00:00"/>
    <s v="CLI-00996"/>
    <x v="15"/>
    <d v="1899-12-30T03:49:00"/>
    <s v="ANT-0238"/>
    <d v="1899-12-30T00:30:00"/>
    <n v="30"/>
    <n v="0.62055499999999997"/>
    <n v="21.222035000000002"/>
    <x v="2"/>
    <s v="Nokia"/>
    <s v="Résolu"/>
    <n v="119"/>
    <n v="9.9166666666666661"/>
    <s v="Illimité 50Go"/>
    <s v="B2C"/>
    <n v="228"/>
    <d v="1899-12-30T03:48:00"/>
    <n v="94.72"/>
    <n v="3"/>
    <n v="0"/>
    <n v="0"/>
  </r>
  <r>
    <s v="Logs_Reseau_Part_18.xlsx"/>
    <d v="2023-10-29T00:00:00"/>
    <s v="Pas de correspondance"/>
    <x v="1"/>
    <d v="1899-12-30T00:21:00"/>
    <s v="ANT-0919"/>
    <d v="1899-12-30T01:38:00"/>
    <n v="9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26T00:00:00"/>
    <s v="Pas de correspondance"/>
    <x v="1"/>
    <d v="1899-12-30T13:17:00"/>
    <s v="ANT-0866"/>
    <d v="1899-12-30T02:00:00"/>
    <n v="12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17T00:00:00"/>
    <s v="CLI-00131"/>
    <x v="4"/>
    <d v="1899-12-30T02:16:00"/>
    <s v="ANT-0533"/>
    <d v="1899-12-30T01:14:00"/>
    <n v="74"/>
    <n v="4.8265669999999998"/>
    <n v="28.535277000000001"/>
    <x v="3"/>
    <s v="Huawei"/>
    <s v="Résolu"/>
    <n v="101"/>
    <n v="8.4166666666666661"/>
    <s v="Pro Monde"/>
    <s v="B2B"/>
    <n v="176"/>
    <d v="1899-12-30T02:56:00"/>
    <n v="86"/>
    <n v="3"/>
    <n v="0.1"/>
    <n v="8.6"/>
  </r>
  <r>
    <s v="Logs_Reseau_Part_18.xlsx"/>
    <d v="2023-10-23T00:00:00"/>
    <s v="Pas de correspondance"/>
    <x v="1"/>
    <d v="1899-12-30T18:40:00"/>
    <s v="ANT-0423"/>
    <d v="1899-12-30T01:42:00"/>
    <n v="10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03T00:00:00"/>
    <s v="Pas de correspondance"/>
    <x v="1"/>
    <d v="1899-12-30T15:29:00"/>
    <s v="ANT-0718"/>
    <d v="1899-12-30T01:46:00"/>
    <n v="10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17T00:00:00"/>
    <s v="CLI-00837"/>
    <x v="8"/>
    <d v="1899-12-30T11:03:00"/>
    <s v="ANT-0918"/>
    <d v="1899-12-30T00:36:00"/>
    <n v="36"/>
    <n v="-11.231472"/>
    <n v="25.388874000000001"/>
    <x v="0"/>
    <s v="Huawei"/>
    <s v="En Cours"/>
    <n v="16"/>
    <n v="1.3333333333333333"/>
    <s v="Bloqué 5Go"/>
    <s v="B2C"/>
    <n v="390"/>
    <d v="1899-12-30T06:30:00"/>
    <n v="98.17"/>
    <n v="5"/>
    <n v="0.45"/>
    <n v="44.176500000000004"/>
  </r>
  <r>
    <s v="Logs_Reseau_Part_18.xlsx"/>
    <d v="2023-10-16T00:00:00"/>
    <s v="Pas de correspondance"/>
    <x v="1"/>
    <d v="1899-12-30T18:10:00"/>
    <s v="ANT-0382"/>
    <d v="1899-12-30T00:24:00"/>
    <n v="2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12T00:00:00"/>
    <s v="Pas de correspondance"/>
    <x v="1"/>
    <d v="1899-12-30T05:16:00"/>
    <s v="ANT-0470"/>
    <d v="1899-12-30T00:05:00"/>
    <n v="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25T00:00:00"/>
    <s v="Pas de correspondance"/>
    <x v="1"/>
    <d v="1899-12-30T03:57:00"/>
    <s v="ANT-0998"/>
    <d v="1899-12-30T00:57:00"/>
    <n v="5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19T00:00:00"/>
    <s v="Pas de correspondance"/>
    <x v="1"/>
    <d v="1899-12-30T21:46:00"/>
    <s v="ANT-0766"/>
    <d v="1899-12-30T00:08:00"/>
    <n v="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04T00:00:00"/>
    <s v="Pas de correspondance"/>
    <x v="1"/>
    <d v="1899-12-30T07:47:00"/>
    <s v="ANT-0087"/>
    <d v="1899-12-30T00:34:00"/>
    <n v="3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17T00:00:00"/>
    <s v="Pas de correspondance"/>
    <x v="1"/>
    <d v="1899-12-30T00:02:00"/>
    <s v="ANT-0595"/>
    <d v="1899-12-30T01:14:00"/>
    <n v="7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28T00:00:00"/>
    <s v="Pas de correspondance"/>
    <x v="1"/>
    <d v="1899-12-30T00:15:00"/>
    <s v="ANT-0098"/>
    <d v="1899-12-30T00:49:00"/>
    <n v="4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02T00:00:00"/>
    <s v="Pas de correspondance"/>
    <x v="1"/>
    <d v="1899-12-30T15:23:00"/>
    <s v="ANT-0518"/>
    <d v="1899-12-30T01:26:00"/>
    <n v="8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13T00:00:00"/>
    <s v="Pas de correspondance"/>
    <x v="1"/>
    <d v="1899-12-30T04:11:00"/>
    <s v="ANT-0137"/>
    <d v="1899-12-30T01:52:00"/>
    <n v="11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30T00:00:00"/>
    <s v="CLI-00837"/>
    <x v="8"/>
    <d v="1899-12-30T01:35:00"/>
    <s v="ANT-0653"/>
    <d v="1899-12-30T01:33:00"/>
    <n v="93"/>
    <n v="0.82868600000000003"/>
    <n v="26.958843999999999"/>
    <x v="2"/>
    <s v="ZTE"/>
    <s v="Résolu"/>
    <n v="16"/>
    <n v="1.3333333333333333"/>
    <s v="Bloqué 5Go"/>
    <s v="B2C"/>
    <n v="390"/>
    <d v="1899-12-30T06:30:00"/>
    <n v="98.17"/>
    <n v="5"/>
    <n v="0.45"/>
    <n v="44.176500000000004"/>
  </r>
  <r>
    <s v="Logs_Reseau_Part_18.xlsx"/>
    <d v="2023-10-26T00:00:00"/>
    <s v="Pas de correspondance"/>
    <x v="1"/>
    <d v="1899-12-30T22:47:00"/>
    <s v="ANT-0840"/>
    <d v="1899-12-30T01:57:00"/>
    <n v="11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21T00:00:00"/>
    <s v="Pas de correspondance"/>
    <x v="1"/>
    <d v="1899-12-30T13:14:00"/>
    <s v="ANT-0404"/>
    <d v="1899-12-30T00:06:00"/>
    <n v="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11T00:00:00"/>
    <s v="Pas de correspondance"/>
    <x v="1"/>
    <d v="1899-12-30T07:26:00"/>
    <s v="ANT-0077"/>
    <d v="1899-12-30T00:47:00"/>
    <n v="4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30T00:00:00"/>
    <s v="CLI-01170"/>
    <x v="5"/>
    <d v="1899-12-30T23:20:00"/>
    <s v="ANT-0607"/>
    <d v="1899-12-30T00:05:00"/>
    <n v="5"/>
    <n v="-8.4985189999999999"/>
    <n v="12.929456999999999"/>
    <x v="0"/>
    <s v="Ericsson"/>
    <s v="En Cours"/>
    <n v="98"/>
    <n v="8.1666666666666661"/>
    <s v="Pro Monde"/>
    <s v="B2B"/>
    <n v="482"/>
    <d v="1899-12-30T08:02:00"/>
    <n v="55.04"/>
    <n v="5"/>
    <n v="0.45"/>
    <n v="24.768000000000001"/>
  </r>
  <r>
    <s v="Logs_Reseau_Part_18.xlsx"/>
    <d v="2023-10-09T00:00:00"/>
    <s v="Pas de correspondance"/>
    <x v="1"/>
    <d v="1899-12-30T02:36:00"/>
    <s v="ANT-0582"/>
    <d v="1899-12-30T01:42:00"/>
    <n v="10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12T00:00:00"/>
    <s v="Pas de correspondance"/>
    <x v="1"/>
    <d v="1899-12-30T03:32:00"/>
    <s v="ANT-0064"/>
    <d v="1899-12-30T01:29:00"/>
    <n v="8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22T00:00:00"/>
    <s v="CLI-01005"/>
    <x v="14"/>
    <d v="1899-12-30T01:11:00"/>
    <s v="ANT-0446"/>
    <d v="1899-12-30T00:53:00"/>
    <n v="53"/>
    <n v="1.286548"/>
    <n v="29.823702999999998"/>
    <x v="0"/>
    <s v="ZTE"/>
    <s v="Non Résolu"/>
    <n v="80"/>
    <n v="6.666666666666667"/>
    <s v="Illimité 50Go"/>
    <s v="B2C"/>
    <n v="155"/>
    <d v="1899-12-30T02:35:00"/>
    <n v="28.96"/>
    <n v="2"/>
    <n v="0"/>
    <n v="0"/>
  </r>
  <r>
    <s v="Logs_Reseau_Part_18.xlsx"/>
    <d v="2023-10-08T00:00:00"/>
    <s v="CLI-01233"/>
    <x v="2"/>
    <d v="1899-12-30T16:02:00"/>
    <s v="ANT-0679"/>
    <d v="1899-12-30T01:53:00"/>
    <n v="113"/>
    <n v="-7.1587569999999996"/>
    <n v="18.975141000000001"/>
    <x v="2"/>
    <s v="Ericsson"/>
    <s v="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18.xlsx"/>
    <d v="2023-10-31T00:00:00"/>
    <s v="Pas de correspondance"/>
    <x v="1"/>
    <d v="1899-12-30T12:04:00"/>
    <s v="ANT-0988"/>
    <d v="1899-12-30T01:39:00"/>
    <n v="9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29T00:00:00"/>
    <s v="CLI-00569"/>
    <x v="16"/>
    <d v="1899-12-30T14:55:00"/>
    <s v="ANT-0134"/>
    <d v="1899-12-30T01:38:00"/>
    <n v="98"/>
    <n v="-10.963041"/>
    <n v="12.269857"/>
    <x v="0"/>
    <s v="Huawei"/>
    <s v="En Cours"/>
    <n v="110"/>
    <n v="9.1666666666666661"/>
    <s v="Pro Monde"/>
    <s v="B2B"/>
    <n v="423"/>
    <d v="1899-12-30T07:03:00"/>
    <n v="37.35"/>
    <n v="4"/>
    <n v="0.45"/>
    <n v="16.807500000000001"/>
  </r>
  <r>
    <s v="Logs_Reseau_Part_18.xlsx"/>
    <d v="2023-10-10T00:00:00"/>
    <s v="Pas de correspondance"/>
    <x v="1"/>
    <d v="1899-12-30T09:20:00"/>
    <s v="ANT-0243"/>
    <d v="1899-12-30T00:44:00"/>
    <n v="4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03T00:00:00"/>
    <s v="Pas de correspondance"/>
    <x v="1"/>
    <d v="1899-12-30T17:29:00"/>
    <s v="ANT-0299"/>
    <d v="1899-12-30T00:18:00"/>
    <n v="1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8.xlsx"/>
    <d v="2023-10-01T00:00:00"/>
    <s v="CLI-00131"/>
    <x v="4"/>
    <d v="1899-12-30T11:12:00"/>
    <s v="ANT-0268"/>
    <d v="1899-12-30T00:31:00"/>
    <n v="31"/>
    <n v="-9.5619429999999994"/>
    <n v="21.445726000000001"/>
    <x v="0"/>
    <s v="Nokia"/>
    <s v="Non Résolu"/>
    <n v="101"/>
    <n v="8.4166666666666661"/>
    <s v="Pro Monde"/>
    <s v="B2B"/>
    <n v="176"/>
    <d v="1899-12-30T02:56:00"/>
    <n v="86"/>
    <n v="3"/>
    <n v="0.1"/>
    <n v="8.6"/>
  </r>
  <r>
    <s v="Logs_Reseau_Part_18.xlsx"/>
    <d v="2023-10-26T00:00:00"/>
    <s v="Pas de correspondance"/>
    <x v="1"/>
    <d v="1899-12-30T13:17:00"/>
    <s v="ANT-0866"/>
    <d v="1899-12-30T02:00:00"/>
    <n v="12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27T00:00:00"/>
    <s v="CLI-01170"/>
    <x v="5"/>
    <d v="1899-12-30T05:01:00"/>
    <s v="ANT-0607"/>
    <d v="1899-12-30T01:21:00"/>
    <n v="81"/>
    <n v="-8.4985189999999999"/>
    <n v="12.929456999999999"/>
    <x v="0"/>
    <s v="Ericsson"/>
    <s v="En Cours"/>
    <n v="98"/>
    <n v="8.1666666666666661"/>
    <s v="Pro Monde"/>
    <s v="B2B"/>
    <n v="482"/>
    <d v="1899-12-30T08:02:00"/>
    <n v="55.04"/>
    <n v="5"/>
    <n v="0.45"/>
    <n v="24.768000000000001"/>
  </r>
  <r>
    <s v="Logs_Reseau_Part_19.xlsx"/>
    <d v="2023-10-31T00:00:00"/>
    <s v="Pas de correspondance"/>
    <x v="1"/>
    <d v="1899-12-30T12:54:00"/>
    <s v="ANT-0326"/>
    <d v="1899-12-30T00:33:00"/>
    <n v="3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15T00:00:00"/>
    <s v="CLI-00837"/>
    <x v="8"/>
    <d v="1899-12-30T17:47:00"/>
    <s v="ANT-0826"/>
    <d v="1899-12-30T00:08:00"/>
    <n v="8"/>
    <n v="-10.846306999999999"/>
    <n v="19.201827999999999"/>
    <x v="0"/>
    <s v="Ericsson"/>
    <s v="Résolu"/>
    <n v="16"/>
    <n v="1.3333333333333333"/>
    <s v="Bloqué 5Go"/>
    <s v="B2C"/>
    <n v="390"/>
    <d v="1899-12-30T06:30:00"/>
    <n v="98.17"/>
    <n v="5"/>
    <n v="0.45"/>
    <n v="44.176500000000004"/>
  </r>
  <r>
    <s v="Logs_Reseau_Part_19.xlsx"/>
    <d v="2023-10-18T00:00:00"/>
    <s v="Pas de correspondance"/>
    <x v="1"/>
    <d v="1899-12-30T07:06:00"/>
    <s v="ANT-0756"/>
    <d v="1899-12-30T01:59:00"/>
    <n v="11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15T00:00:00"/>
    <s v="CLI-00865"/>
    <x v="19"/>
    <d v="1899-12-30T03:51:00"/>
    <s v="ANT-0715"/>
    <d v="1899-12-30T01:48:00"/>
    <n v="108"/>
    <n v="-11.407966"/>
    <n v="28.378274000000001"/>
    <x v="0"/>
    <s v="ZTE"/>
    <s v="En Cours"/>
    <n v="34"/>
    <n v="2.8333333333333335"/>
    <s v="Pro Monde"/>
    <s v="B2B"/>
    <n v="453"/>
    <d v="1899-12-30T07:33:00"/>
    <n v="56.84"/>
    <n v="0"/>
    <n v="0.45"/>
    <n v="25.578000000000003"/>
  </r>
  <r>
    <s v="Logs_Reseau_Part_19.xlsx"/>
    <d v="2023-10-26T00:00:00"/>
    <s v="CLI-01233"/>
    <x v="2"/>
    <d v="1899-12-30T04:07:00"/>
    <s v="ANT-0368"/>
    <d v="1899-12-30T01:44:00"/>
    <n v="104"/>
    <n v="1.2463919999999999"/>
    <n v="13.266916999999999"/>
    <x v="2"/>
    <s v="Huawei"/>
    <s v="Non 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19.xlsx"/>
    <d v="2023-10-01T00:00:00"/>
    <s v="CLI-00559"/>
    <x v="10"/>
    <d v="1899-12-30T01:53:00"/>
    <s v="ANT-0936"/>
    <d v="1899-12-30T00:40:00"/>
    <n v="40"/>
    <n v="-10.165072"/>
    <n v="29.428024000000001"/>
    <x v="2"/>
    <s v="Huawei"/>
    <s v="Résolu"/>
    <n v="99"/>
    <n v="8.25"/>
    <s v="Bloqué 5Go"/>
    <s v="B2C"/>
    <n v="369"/>
    <d v="1899-12-30T06:09:00"/>
    <n v="67.209999999999994"/>
    <n v="3"/>
    <n v="0.45"/>
    <n v="30.244499999999999"/>
  </r>
  <r>
    <s v="Logs_Reseau_Part_19.xlsx"/>
    <d v="2023-10-25T00:00:00"/>
    <s v="Pas de correspondance"/>
    <x v="1"/>
    <d v="1899-12-30T07:08:00"/>
    <s v="ANT-0606"/>
    <d v="1899-12-30T00:12:00"/>
    <n v="1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07T00:00:00"/>
    <s v="Pas de correspondance"/>
    <x v="1"/>
    <d v="1899-12-30T12:23:00"/>
    <s v="ANT-0029"/>
    <d v="1899-12-30T01:48:00"/>
    <n v="10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22T00:00:00"/>
    <s v="CLI-01618"/>
    <x v="0"/>
    <d v="1899-12-30T20:41:00"/>
    <s v="ANT-0721"/>
    <d v="1899-12-30T01:05:00"/>
    <n v="65"/>
    <n v="-3.9148719999999999"/>
    <n v="12.260933"/>
    <x v="0"/>
    <s v="Ericsson"/>
    <s v="Résolu"/>
    <n v="115"/>
    <n v="9.5833333333333339"/>
    <s v="Bloqué 5Go"/>
    <s v="B2C"/>
    <n v="176"/>
    <d v="1899-12-30T02:56:00"/>
    <n v="33.28"/>
    <n v="4"/>
    <n v="0"/>
    <n v="0"/>
  </r>
  <r>
    <s v="Logs_Reseau_Part_19.xlsx"/>
    <d v="2023-10-03T00:00:00"/>
    <s v="Pas de correspondance"/>
    <x v="1"/>
    <d v="1899-12-30T18:37:00"/>
    <s v="ANT-0718"/>
    <d v="1899-12-30T01:12:00"/>
    <n v="7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09T00:00:00"/>
    <s v="Pas de correspondance"/>
    <x v="1"/>
    <d v="1899-12-30T02:01:00"/>
    <s v="ANT-0361"/>
    <d v="1899-12-30T00:50:00"/>
    <n v="5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03T00:00:00"/>
    <s v="Pas de correspondance"/>
    <x v="1"/>
    <d v="1899-12-30T06:57:00"/>
    <s v="ANT-0971"/>
    <d v="1899-12-30T01:43:00"/>
    <n v="10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21T00:00:00"/>
    <s v="Pas de correspondance"/>
    <x v="1"/>
    <d v="1899-12-30T14:51:00"/>
    <s v="ANT-0582"/>
    <d v="1899-12-30T01:19:00"/>
    <n v="7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05T00:00:00"/>
    <s v="CLI-00643"/>
    <x v="12"/>
    <d v="1899-12-30T02:57:00"/>
    <s v="ANT-0578"/>
    <d v="1899-12-30T00:34:00"/>
    <n v="34"/>
    <n v="-6.1490739999999997"/>
    <n v="23.304411000000002"/>
    <x v="2"/>
    <s v="ZTE"/>
    <s v="Résolu"/>
    <n v="14"/>
    <n v="1.1666666666666667"/>
    <s v="Pro Monde"/>
    <s v="B2B"/>
    <n v="316"/>
    <d v="1899-12-30T05:16:00"/>
    <n v="62.34"/>
    <n v="4"/>
    <n v="0.45"/>
    <n v="28.053000000000001"/>
  </r>
  <r>
    <s v="Logs_Reseau_Part_19.xlsx"/>
    <d v="2023-10-28T00:00:00"/>
    <s v="Pas de correspondance"/>
    <x v="1"/>
    <d v="1899-12-30T10:07:00"/>
    <s v="ANT-0146"/>
    <d v="1899-12-30T00:25:00"/>
    <n v="2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02T00:00:00"/>
    <s v="Pas de correspondance"/>
    <x v="1"/>
    <d v="1899-12-30T14:03:00"/>
    <s v="ANT-0577"/>
    <d v="1899-12-30T00:17:00"/>
    <n v="1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06T00:00:00"/>
    <s v="CLI-01233"/>
    <x v="2"/>
    <d v="1899-12-30T18:27:00"/>
    <s v="ANT-0972"/>
    <d v="1899-12-30T00:36:00"/>
    <n v="36"/>
    <n v="-0.469945"/>
    <n v="21.038527999999999"/>
    <x v="3"/>
    <s v="Ericsson"/>
    <s v="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19.xlsx"/>
    <d v="2023-10-27T00:00:00"/>
    <s v="Pas de correspondance"/>
    <x v="1"/>
    <d v="1899-12-30T23:25:00"/>
    <s v="ANT-0193"/>
    <d v="1899-12-30T01:29:00"/>
    <n v="8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16T00:00:00"/>
    <s v="Pas de correspondance"/>
    <x v="1"/>
    <d v="1899-12-30T00:24:00"/>
    <s v="ANT-0857"/>
    <d v="1899-12-30T00:35:00"/>
    <n v="3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22T00:00:00"/>
    <s v="Pas de correspondance"/>
    <x v="1"/>
    <d v="1899-12-30T13:11:00"/>
    <s v="ANT-0830"/>
    <d v="1899-12-30T00:39:00"/>
    <n v="3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12T00:00:00"/>
    <s v="Pas de correspondance"/>
    <x v="1"/>
    <d v="1899-12-30T06:58:00"/>
    <s v="ANT-0903"/>
    <d v="1899-12-30T01:13:00"/>
    <n v="7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06T00:00:00"/>
    <s v="CLI-00131"/>
    <x v="4"/>
    <d v="1899-12-30T08:17:00"/>
    <s v="ANT-0994"/>
    <d v="1899-12-30T01:49:00"/>
    <n v="109"/>
    <n v="-2.2681789999999999"/>
    <n v="25.699068"/>
    <x v="3"/>
    <s v="ZTE"/>
    <s v="Non Résolu"/>
    <n v="101"/>
    <n v="8.4166666666666661"/>
    <s v="Pro Monde"/>
    <s v="B2B"/>
    <n v="176"/>
    <d v="1899-12-30T02:56:00"/>
    <n v="86"/>
    <n v="3"/>
    <n v="0.1"/>
    <n v="8.6"/>
  </r>
  <r>
    <s v="Logs_Reseau_Part_19.xlsx"/>
    <d v="2023-10-15T00:00:00"/>
    <s v="Pas de correspondance"/>
    <x v="1"/>
    <d v="1899-12-30T04:02:00"/>
    <s v="ANT-0505"/>
    <d v="1899-12-30T01:46:00"/>
    <n v="10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20T00:00:00"/>
    <s v="Pas de correspondance"/>
    <x v="1"/>
    <d v="1899-12-30T19:39:00"/>
    <s v="ANT-0556"/>
    <d v="1899-12-30T01:39:00"/>
    <n v="9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08T00:00:00"/>
    <s v="Pas de correspondance"/>
    <x v="1"/>
    <d v="1899-12-30T20:18:00"/>
    <s v="ANT-0317"/>
    <d v="1899-12-30T00:12:00"/>
    <n v="1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16T00:00:00"/>
    <s v="CLI-00745"/>
    <x v="9"/>
    <d v="1899-12-30T13:56:00"/>
    <s v="ANT-0180"/>
    <d v="1899-12-30T01:42:00"/>
    <n v="102"/>
    <n v="2.4425979999999998"/>
    <n v="24.924308"/>
    <x v="2"/>
    <s v="Ericsson"/>
    <s v="En Cours"/>
    <n v="6"/>
    <n v="0.5"/>
    <s v="Premium 5G 150Go"/>
    <s v="B2C"/>
    <n v="207"/>
    <d v="1899-12-30T03:27:00"/>
    <n v="61.55"/>
    <n v="0"/>
    <n v="0.45"/>
    <n v="27.697499999999998"/>
  </r>
  <r>
    <s v="Logs_Reseau_Part_19.xlsx"/>
    <d v="2023-10-18T00:00:00"/>
    <s v="Pas de correspondance"/>
    <x v="1"/>
    <d v="1899-12-30T15:03:00"/>
    <s v="ANT-0503"/>
    <d v="1899-12-30T00:33:00"/>
    <n v="3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03T00:00:00"/>
    <s v="CLI-00865"/>
    <x v="19"/>
    <d v="1899-12-30T08:24:00"/>
    <s v="ANT-0039"/>
    <d v="1899-12-30T01:18:00"/>
    <n v="78"/>
    <n v="4.0988100000000003"/>
    <n v="29.843810999999999"/>
    <x v="3"/>
    <s v="Huawei"/>
    <s v="Résolu"/>
    <n v="34"/>
    <n v="2.8333333333333335"/>
    <s v="Pro Monde"/>
    <s v="B2B"/>
    <n v="453"/>
    <d v="1899-12-30T07:33:00"/>
    <n v="56.84"/>
    <n v="0"/>
    <n v="0.45"/>
    <n v="25.578000000000003"/>
  </r>
  <r>
    <s v="Logs_Reseau_Part_19.xlsx"/>
    <d v="2023-10-05T00:00:00"/>
    <s v="CLI-01233"/>
    <x v="2"/>
    <d v="1899-12-30T13:12:00"/>
    <s v="ANT-0093"/>
    <d v="1899-12-30T01:53:00"/>
    <n v="113"/>
    <n v="2.975352"/>
    <n v="22.535886000000001"/>
    <x v="0"/>
    <s v="Huawei"/>
    <s v="Non 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19.xlsx"/>
    <d v="2023-10-21T00:00:00"/>
    <s v="CLI-00745"/>
    <x v="9"/>
    <d v="1899-12-30T16:15:00"/>
    <s v="ANT-0058"/>
    <d v="1899-12-30T01:47:00"/>
    <n v="107"/>
    <n v="-6.4670189999999996"/>
    <n v="29.487309"/>
    <x v="0"/>
    <s v="ZTE"/>
    <s v="En Cours"/>
    <n v="6"/>
    <n v="0.5"/>
    <s v="Premium 5G 150Go"/>
    <s v="B2C"/>
    <n v="207"/>
    <d v="1899-12-30T03:27:00"/>
    <n v="61.55"/>
    <n v="0"/>
    <n v="0.45"/>
    <n v="27.697499999999998"/>
  </r>
  <r>
    <s v="Logs_Reseau_Part_19.xlsx"/>
    <d v="2023-10-21T00:00:00"/>
    <s v="CLI-00837"/>
    <x v="8"/>
    <d v="1899-12-30T17:50:00"/>
    <s v="ANT-0239"/>
    <d v="1899-12-30T00:54:00"/>
    <n v="54"/>
    <n v="-5.42171"/>
    <n v="24.202960999999998"/>
    <x v="2"/>
    <s v="Ericsson"/>
    <s v="Non Résolu"/>
    <n v="16"/>
    <n v="1.3333333333333333"/>
    <s v="Bloqué 5Go"/>
    <s v="B2C"/>
    <n v="390"/>
    <d v="1899-12-30T06:30:00"/>
    <n v="98.17"/>
    <n v="5"/>
    <n v="0.45"/>
    <n v="44.176500000000004"/>
  </r>
  <r>
    <s v="Logs_Reseau_Part_19.xlsx"/>
    <d v="2023-10-01T00:00:00"/>
    <s v="CLI-00894"/>
    <x v="13"/>
    <d v="1899-12-30T12:50:00"/>
    <s v="ANT-0617"/>
    <d v="1899-12-30T00:50:00"/>
    <n v="50"/>
    <n v="-7.7587710000000003"/>
    <n v="17.880848"/>
    <x v="3"/>
    <s v="Ericsson"/>
    <s v="En Cours"/>
    <n v="63"/>
    <n v="5.25"/>
    <s v="Pro Monde"/>
    <s v="B2B"/>
    <n v="205"/>
    <d v="1899-12-30T03:25:00"/>
    <n v="89.19"/>
    <n v="0"/>
    <n v="0.1"/>
    <n v="8.9190000000000005"/>
  </r>
  <r>
    <s v="Logs_Reseau_Part_19.xlsx"/>
    <d v="2023-10-23T00:00:00"/>
    <s v="CLI-00439"/>
    <x v="22"/>
    <d v="1899-12-30T11:30:00"/>
    <s v="ANT-0225"/>
    <d v="1899-12-30T01:52:00"/>
    <n v="112"/>
    <n v="-8.8118569999999998"/>
    <n v="14.465711000000001"/>
    <x v="2"/>
    <s v="Nokia"/>
    <s v="Non Résolu"/>
    <n v="40"/>
    <n v="3.3333333333333335"/>
    <s v="Premium 5G 150Go"/>
    <s v="B2C"/>
    <n v="345"/>
    <d v="1899-12-30T05:45:00"/>
    <n v="89.55"/>
    <n v="3"/>
    <n v="0.45"/>
    <n v="40.297499999999999"/>
  </r>
  <r>
    <s v="Logs_Reseau_Part_19.xlsx"/>
    <d v="2023-10-18T00:00:00"/>
    <s v="Pas de correspondance"/>
    <x v="1"/>
    <d v="1899-12-30T15:22:00"/>
    <s v="ANT-0021"/>
    <d v="1899-12-30T01:53:00"/>
    <n v="11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30T00:00:00"/>
    <s v="Pas de correspondance"/>
    <x v="1"/>
    <d v="1899-12-30T18:32:00"/>
    <s v="ANT-0540"/>
    <d v="1899-12-30T00:27:00"/>
    <n v="2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11T00:00:00"/>
    <s v="Pas de correspondance"/>
    <x v="1"/>
    <d v="1899-12-30T12:17:00"/>
    <s v="ANT-0490"/>
    <d v="1899-12-30T00:27:00"/>
    <n v="2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19.xlsx"/>
    <d v="2023-10-06T00:00:00"/>
    <s v="CLI-01170"/>
    <x v="5"/>
    <d v="1899-12-30T00:20:00"/>
    <s v="ANT-0001"/>
    <d v="1899-12-30T00:35:00"/>
    <n v="35"/>
    <n v="-8.1437910000000002"/>
    <n v="28.946161"/>
    <x v="0"/>
    <s v="ZTE"/>
    <s v="Non Résolu"/>
    <n v="98"/>
    <n v="8.1666666666666661"/>
    <s v="Pro Monde"/>
    <s v="B2B"/>
    <n v="482"/>
    <d v="1899-12-30T08:02:00"/>
    <n v="55.04"/>
    <n v="5"/>
    <n v="0.45"/>
    <n v="24.768000000000001"/>
  </r>
  <r>
    <s v="Logs_Reseau_Part_20.xlsx"/>
    <d v="2023-10-27T00:00:00"/>
    <s v="Pas de correspondance"/>
    <x v="1"/>
    <d v="1899-12-30T05:24:00"/>
    <s v="ANT-0276"/>
    <d v="1899-12-30T00:11:00"/>
    <n v="1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10T00:00:00"/>
    <s v="CLI-00643"/>
    <x v="12"/>
    <d v="1899-12-30T23:44:00"/>
    <s v="ANT-0578"/>
    <d v="1899-12-30T00:51:00"/>
    <n v="51"/>
    <n v="-6.1490739999999997"/>
    <n v="23.304411000000002"/>
    <x v="2"/>
    <s v="ZTE"/>
    <s v="Non Résolu"/>
    <n v="14"/>
    <n v="1.1666666666666667"/>
    <s v="Pro Monde"/>
    <s v="B2B"/>
    <n v="316"/>
    <d v="1899-12-30T05:16:00"/>
    <n v="62.34"/>
    <n v="4"/>
    <n v="0.45"/>
    <n v="28.053000000000001"/>
  </r>
  <r>
    <s v="Logs_Reseau_Part_20.xlsx"/>
    <d v="2023-10-10T00:00:00"/>
    <s v="Pas de correspondance"/>
    <x v="1"/>
    <d v="1899-12-30T04:11:00"/>
    <s v="ANT-0064"/>
    <d v="1899-12-30T00:05:00"/>
    <n v="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24T00:00:00"/>
    <s v="Pas de correspondance"/>
    <x v="1"/>
    <d v="1899-12-30T00:44:00"/>
    <s v="ANT-0155"/>
    <d v="1899-12-30T00:59:00"/>
    <n v="5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31T00:00:00"/>
    <s v="Pas de correspondance"/>
    <x v="1"/>
    <d v="1899-12-30T18:25:00"/>
    <s v="ANT-0771"/>
    <d v="1899-12-30T00:16:00"/>
    <n v="1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28T00:00:00"/>
    <s v="CLI-00280"/>
    <x v="7"/>
    <d v="1899-12-30T18:02:00"/>
    <s v="ANT-0714"/>
    <d v="1899-12-30T00:42:00"/>
    <n v="42"/>
    <n v="-12.050063"/>
    <n v="26.636987999999999"/>
    <x v="3"/>
    <s v="Nokia"/>
    <s v="Résolu"/>
    <n v="113"/>
    <n v="9.4166666666666661"/>
    <s v="Illimité 50Go"/>
    <s v="B2C"/>
    <n v="380"/>
    <d v="1899-12-30T06:20:00"/>
    <n v="12.11"/>
    <n v="0"/>
    <n v="0.45"/>
    <n v="5.4494999999999996"/>
  </r>
  <r>
    <s v="Logs_Reseau_Part_20.xlsx"/>
    <d v="2023-10-06T00:00:00"/>
    <s v="Pas de correspondance"/>
    <x v="1"/>
    <d v="1899-12-30T19:20:00"/>
    <s v="ANT-0684"/>
    <d v="1899-12-30T01:50:00"/>
    <n v="11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30T00:00:00"/>
    <s v="Pas de correspondance"/>
    <x v="1"/>
    <d v="1899-12-30T19:14:00"/>
    <s v="ANT-0100"/>
    <d v="1899-12-30T01:29:00"/>
    <n v="8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21T00:00:00"/>
    <s v="CLI-01005"/>
    <x v="14"/>
    <d v="1899-12-30T18:06:00"/>
    <s v="ANT-0088"/>
    <d v="1899-12-30T01:25:00"/>
    <n v="85"/>
    <n v="-9.7803979999999999"/>
    <n v="17.686595000000001"/>
    <x v="0"/>
    <s v="Ericsson"/>
    <s v="Résolu"/>
    <n v="80"/>
    <n v="6.666666666666667"/>
    <s v="Illimité 50Go"/>
    <s v="B2C"/>
    <n v="155"/>
    <d v="1899-12-30T02:35:00"/>
    <n v="28.96"/>
    <n v="2"/>
    <n v="0"/>
    <n v="0"/>
  </r>
  <r>
    <s v="Logs_Reseau_Part_20.xlsx"/>
    <d v="2023-10-30T00:00:00"/>
    <s v="CLI-00894"/>
    <x v="13"/>
    <d v="1899-12-30T15:09:00"/>
    <s v="ANT-0685"/>
    <d v="1899-12-30T01:21:00"/>
    <n v="81"/>
    <n v="-10.574821"/>
    <n v="25.324966"/>
    <x v="2"/>
    <s v="Ericsson"/>
    <s v="Résolu"/>
    <n v="63"/>
    <n v="5.25"/>
    <s v="Pro Monde"/>
    <s v="B2B"/>
    <n v="205"/>
    <d v="1899-12-30T03:25:00"/>
    <n v="89.19"/>
    <n v="0"/>
    <n v="0.1"/>
    <n v="8.9190000000000005"/>
  </r>
  <r>
    <s v="Logs_Reseau_Part_20.xlsx"/>
    <d v="2023-10-11T00:00:00"/>
    <s v="CLI-00611"/>
    <x v="21"/>
    <d v="1899-12-30T23:04:00"/>
    <s v="ANT-0353"/>
    <d v="1899-12-30T01:06:00"/>
    <n v="66"/>
    <n v="-11.991020000000001"/>
    <n v="22.514747"/>
    <x v="2"/>
    <s v="ZTE"/>
    <s v="Résolu"/>
    <n v="79"/>
    <n v="6.583333333333333"/>
    <s v="Premium 5G 150Go"/>
    <s v="B2C"/>
    <n v="226"/>
    <d v="1899-12-30T03:46:00"/>
    <n v="94.38"/>
    <n v="3"/>
    <n v="0"/>
    <n v="0"/>
  </r>
  <r>
    <s v="Logs_Reseau_Part_20.xlsx"/>
    <d v="2023-10-08T00:00:00"/>
    <s v="Pas de correspondance"/>
    <x v="1"/>
    <d v="1899-12-30T11:20:00"/>
    <s v="ANT-0828"/>
    <d v="1899-12-30T00:30:00"/>
    <n v="3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06T00:00:00"/>
    <s v="Pas de correspondance"/>
    <x v="1"/>
    <d v="1899-12-30T20:56:00"/>
    <s v="ANT-0555"/>
    <d v="1899-12-30T00:17:00"/>
    <n v="1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31T00:00:00"/>
    <s v="CLI-01005"/>
    <x v="14"/>
    <d v="1899-12-30T02:52:00"/>
    <s v="ANT-0424"/>
    <d v="1899-12-30T00:08:00"/>
    <n v="8"/>
    <n v="-9.5243310000000001"/>
    <n v="30.541212000000002"/>
    <x v="3"/>
    <s v="Ericsson"/>
    <s v="Non Résolu"/>
    <n v="80"/>
    <n v="6.666666666666667"/>
    <s v="Illimité 50Go"/>
    <s v="B2C"/>
    <n v="155"/>
    <d v="1899-12-30T02:35:00"/>
    <n v="28.96"/>
    <n v="2"/>
    <n v="0"/>
    <n v="0"/>
  </r>
  <r>
    <s v="Logs_Reseau_Part_20.xlsx"/>
    <d v="2023-10-23T00:00:00"/>
    <s v="Pas de correspondance"/>
    <x v="1"/>
    <d v="1899-12-30T21:40:00"/>
    <s v="ANT-0995"/>
    <d v="1899-12-30T00:31:00"/>
    <n v="3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24T00:00:00"/>
    <s v="CLI-00414"/>
    <x v="20"/>
    <d v="1899-12-30T10:28:00"/>
    <s v="ANT-0775"/>
    <d v="1899-12-30T00:26:00"/>
    <n v="26"/>
    <n v="1.5278670000000001"/>
    <n v="13.899388999999999"/>
    <x v="3"/>
    <s v="Huawei"/>
    <s v="Résolu"/>
    <n v="99"/>
    <n v="8.25"/>
    <s v="Premium 5G 150Go"/>
    <s v="B2C"/>
    <n v="447"/>
    <d v="1899-12-30T07:27:00"/>
    <n v="38.1"/>
    <n v="3"/>
    <n v="0.45"/>
    <n v="17.145"/>
  </r>
  <r>
    <s v="Logs_Reseau_Part_20.xlsx"/>
    <d v="2023-10-01T00:00:00"/>
    <s v="CLI-01325"/>
    <x v="26"/>
    <d v="1899-12-30T08:13:00"/>
    <s v="ANT-0604"/>
    <d v="1899-12-30T01:26:00"/>
    <n v="86"/>
    <n v="2.628638"/>
    <n v="28.420582"/>
    <x v="0"/>
    <s v="Huawei"/>
    <s v="Non Résolu"/>
    <n v="44"/>
    <n v="3.6666666666666665"/>
    <s v="Bloqué 5Go"/>
    <s v="B2C"/>
    <n v="348"/>
    <d v="1899-12-30T05:48:00"/>
    <n v="58.67"/>
    <n v="0"/>
    <n v="0.45"/>
    <n v="26.401500000000002"/>
  </r>
  <r>
    <s v="Logs_Reseau_Part_20.xlsx"/>
    <d v="2023-10-08T00:00:00"/>
    <s v="Pas de correspondance"/>
    <x v="1"/>
    <d v="1899-12-30T22:04:00"/>
    <s v="ANT-0233"/>
    <d v="1899-12-30T00:42:00"/>
    <n v="4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12T00:00:00"/>
    <s v="Pas de correspondance"/>
    <x v="1"/>
    <d v="1899-12-30T08:50:00"/>
    <s v="ANT-0567"/>
    <d v="1899-12-30T00:15:00"/>
    <n v="1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04T00:00:00"/>
    <s v="Pas de correspondance"/>
    <x v="1"/>
    <d v="1899-12-30T23:00:00"/>
    <s v="ANT-0063"/>
    <d v="1899-12-30T01:05:00"/>
    <n v="6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02T00:00:00"/>
    <s v="Pas de correspondance"/>
    <x v="1"/>
    <d v="1899-12-30T12:28:00"/>
    <s v="ANT-0861"/>
    <d v="1899-12-30T01:53:00"/>
    <n v="11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24T00:00:00"/>
    <s v="Pas de correspondance"/>
    <x v="1"/>
    <d v="1899-12-30T13:10:00"/>
    <s v="ANT-0397"/>
    <d v="1899-12-30T00:19:00"/>
    <n v="1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29T00:00:00"/>
    <s v="Pas de correspondance"/>
    <x v="1"/>
    <d v="1899-12-30T13:31:00"/>
    <s v="ANT-0839"/>
    <d v="1899-12-30T00:44:00"/>
    <n v="4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29T00:00:00"/>
    <s v="CLI-00745"/>
    <x v="9"/>
    <d v="1899-12-30T12:22:00"/>
    <s v="ANT-0536"/>
    <d v="1899-12-30T01:45:00"/>
    <n v="105"/>
    <n v="-0.919767"/>
    <n v="18.905538"/>
    <x v="2"/>
    <s v="Ericsson"/>
    <s v="Résolu"/>
    <n v="6"/>
    <n v="0.5"/>
    <s v="Premium 5G 150Go"/>
    <s v="B2C"/>
    <n v="207"/>
    <d v="1899-12-30T03:27:00"/>
    <n v="61.55"/>
    <n v="0"/>
    <n v="0.45"/>
    <n v="27.697499999999998"/>
  </r>
  <r>
    <s v="Logs_Reseau_Part_20.xlsx"/>
    <d v="2023-10-18T00:00:00"/>
    <s v="Pas de correspondance"/>
    <x v="1"/>
    <d v="1899-12-30T12:06:00"/>
    <s v="ANT-0429"/>
    <d v="1899-12-30T00:55:00"/>
    <n v="5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27T00:00:00"/>
    <s v="CLI-00076"/>
    <x v="6"/>
    <d v="1899-12-30T15:50:00"/>
    <s v="ANT-0989"/>
    <d v="1899-12-30T01:05:00"/>
    <n v="65"/>
    <n v="-11.594525000000001"/>
    <n v="29.744895"/>
    <x v="3"/>
    <s v="ZTE"/>
    <s v="Non Résolu"/>
    <n v="46"/>
    <n v="3.8333333333333335"/>
    <s v="Premium 5G 150Go"/>
    <s v="B2C"/>
    <n v="283"/>
    <d v="1899-12-30T04:43:00"/>
    <n v="56.05"/>
    <n v="1"/>
    <n v="0.45"/>
    <n v="25.2225"/>
  </r>
  <r>
    <s v="Logs_Reseau_Part_20.xlsx"/>
    <d v="2023-10-28T00:00:00"/>
    <s v="CLI-00361"/>
    <x v="24"/>
    <d v="1899-12-30T18:41:00"/>
    <s v="ANT-0549"/>
    <d v="1899-12-30T01:07:00"/>
    <n v="67"/>
    <n v="-0.47411900000000001"/>
    <n v="27.184329000000002"/>
    <x v="2"/>
    <s v="ZTE"/>
    <s v="En Cours"/>
    <n v="66"/>
    <n v="5.5"/>
    <s v="Illimité 50Go"/>
    <s v="B2C"/>
    <n v="270"/>
    <d v="1899-12-30T04:30:00"/>
    <n v="75.88"/>
    <n v="3"/>
    <n v="0.45"/>
    <n v="34.146000000000001"/>
  </r>
  <r>
    <s v="Logs_Reseau_Part_20.xlsx"/>
    <d v="2023-10-25T00:00:00"/>
    <s v="Pas de correspondance"/>
    <x v="1"/>
    <d v="1899-12-30T21:14:00"/>
    <s v="ANT-0704"/>
    <d v="1899-12-30T01:59:00"/>
    <n v="11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06T00:00:00"/>
    <s v="Pas de correspondance"/>
    <x v="1"/>
    <d v="1899-12-30T14:04:00"/>
    <s v="ANT-0888"/>
    <d v="1899-12-30T01:29:00"/>
    <n v="8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26T00:00:00"/>
    <s v="CLI-01005"/>
    <x v="14"/>
    <d v="1899-12-30T01:18:00"/>
    <s v="ANT-0959"/>
    <d v="1899-12-30T00:38:00"/>
    <n v="38"/>
    <n v="-4.2184999999999997"/>
    <n v="23.077093999999999"/>
    <x v="0"/>
    <s v="Ericsson"/>
    <s v="En Cours"/>
    <n v="80"/>
    <n v="6.666666666666667"/>
    <s v="Illimité 50Go"/>
    <s v="B2C"/>
    <n v="155"/>
    <d v="1899-12-30T02:35:00"/>
    <n v="28.96"/>
    <n v="2"/>
    <n v="0"/>
    <n v="0"/>
  </r>
  <r>
    <s v="Logs_Reseau_Part_20.xlsx"/>
    <d v="2023-10-01T00:00:00"/>
    <s v="Pas de correspondance"/>
    <x v="1"/>
    <d v="1899-12-30T10:16:00"/>
    <s v="ANT-0487"/>
    <d v="1899-12-30T00:16:00"/>
    <n v="1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31T00:00:00"/>
    <s v="CLI-00076"/>
    <x v="6"/>
    <d v="1899-12-30T03:04:00"/>
    <s v="ANT-0587"/>
    <d v="1899-12-30T01:27:00"/>
    <n v="87"/>
    <n v="-10.945031"/>
    <n v="27.922274000000002"/>
    <x v="0"/>
    <s v="Ericsson"/>
    <s v="En Cours"/>
    <n v="46"/>
    <n v="3.8333333333333335"/>
    <s v="Premium 5G 150Go"/>
    <s v="B2C"/>
    <n v="283"/>
    <d v="1899-12-30T04:43:00"/>
    <n v="56.05"/>
    <n v="1"/>
    <n v="0.45"/>
    <n v="25.2225"/>
  </r>
  <r>
    <s v="Logs_Reseau_Part_20.xlsx"/>
    <d v="2023-10-11T00:00:00"/>
    <s v="Pas de correspondance"/>
    <x v="1"/>
    <d v="1899-12-30T05:56:00"/>
    <s v="ANT-0903"/>
    <d v="1899-12-30T01:14:00"/>
    <n v="7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13T00:00:00"/>
    <s v="Pas de correspondance"/>
    <x v="1"/>
    <d v="1899-12-30T05:46:00"/>
    <s v="ANT-0242"/>
    <d v="1899-12-30T00:54:00"/>
    <n v="5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03T00:00:00"/>
    <s v="CLI-00060"/>
    <x v="3"/>
    <d v="1899-12-30T17:57:00"/>
    <s v="ANT-0488"/>
    <d v="1899-12-30T00:28:00"/>
    <n v="28"/>
    <n v="-3.111418"/>
    <n v="14.144854"/>
    <x v="0"/>
    <s v="ZTE"/>
    <s v="Non Résolu"/>
    <n v="72"/>
    <n v="6"/>
    <s v="Pro Monde"/>
    <s v="B2B"/>
    <n v="160"/>
    <d v="1899-12-30T02:40:00"/>
    <n v="90.13"/>
    <n v="2"/>
    <n v="0.1"/>
    <n v="9.0129999999999999"/>
  </r>
  <r>
    <s v="Logs_Reseau_Part_20.xlsx"/>
    <d v="2023-10-03T00:00:00"/>
    <s v="Pas de correspondance"/>
    <x v="1"/>
    <d v="1899-12-30T10:38:00"/>
    <s v="ANT-0307"/>
    <d v="1899-12-30T00:52:00"/>
    <n v="5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20T00:00:00"/>
    <s v="Pas de correspondance"/>
    <x v="1"/>
    <d v="1899-12-30T15:45:00"/>
    <s v="ANT-0081"/>
    <d v="1899-12-30T01:58:00"/>
    <n v="11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01T00:00:00"/>
    <s v="CLI-01233"/>
    <x v="2"/>
    <d v="1899-12-30T13:41:00"/>
    <s v="ANT-0405"/>
    <d v="1899-12-30T00:53:00"/>
    <n v="53"/>
    <n v="2.8552499999999998"/>
    <n v="14.077933"/>
    <x v="0"/>
    <s v="ZTE"/>
    <s v="En Cours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20.xlsx"/>
    <d v="2023-10-06T00:00:00"/>
    <s v="Pas de correspondance"/>
    <x v="1"/>
    <d v="1899-12-30T19:56:00"/>
    <s v="ANT-0925"/>
    <d v="1899-12-30T00:52:00"/>
    <n v="5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14T00:00:00"/>
    <s v="Pas de correspondance"/>
    <x v="1"/>
    <d v="1899-12-30T05:03:00"/>
    <s v="ANT-0875"/>
    <d v="1899-12-30T00:28:00"/>
    <n v="2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04T00:00:00"/>
    <s v="Pas de correspondance"/>
    <x v="1"/>
    <d v="1899-12-30T10:13:00"/>
    <s v="ANT-0732"/>
    <d v="1899-12-30T01:02:00"/>
    <n v="6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07T00:00:00"/>
    <s v="Pas de correspondance"/>
    <x v="1"/>
    <d v="1899-12-30T13:44:00"/>
    <s v="ANT-0036"/>
    <d v="1899-12-30T00:10:00"/>
    <n v="1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18T00:00:00"/>
    <s v="CLI-01005"/>
    <x v="14"/>
    <d v="1899-12-30T23:59:00"/>
    <s v="ANT-0515"/>
    <d v="1899-12-30T00:38:00"/>
    <n v="38"/>
    <n v="-10.967288"/>
    <n v="17.617781000000001"/>
    <x v="0"/>
    <s v="Ericsson"/>
    <s v="Non Résolu"/>
    <n v="80"/>
    <n v="6.666666666666667"/>
    <s v="Illimité 50Go"/>
    <s v="B2C"/>
    <n v="155"/>
    <d v="1899-12-30T02:35:00"/>
    <n v="28.96"/>
    <n v="2"/>
    <n v="0"/>
    <n v="0"/>
  </r>
  <r>
    <s v="Logs_Reseau_Part_20.xlsx"/>
    <d v="2023-10-24T00:00:00"/>
    <s v="Pas de correspondance"/>
    <x v="1"/>
    <d v="1899-12-30T17:16:00"/>
    <s v="ANT-0585"/>
    <d v="1899-12-30T01:01:00"/>
    <n v="6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22T00:00:00"/>
    <s v="CLI-00745"/>
    <x v="9"/>
    <d v="1899-12-30T09:19:00"/>
    <s v="ANT-0923"/>
    <d v="1899-12-30T01:04:00"/>
    <n v="64"/>
    <n v="-12.070842000000001"/>
    <n v="14.757847"/>
    <x v="0"/>
    <s v="ZTE"/>
    <s v="Non Résolu"/>
    <n v="6"/>
    <n v="0.5"/>
    <s v="Premium 5G 150Go"/>
    <s v="B2C"/>
    <n v="207"/>
    <d v="1899-12-30T03:27:00"/>
    <n v="61.55"/>
    <n v="0"/>
    <n v="0.45"/>
    <n v="27.697499999999998"/>
  </r>
  <r>
    <s v="Logs_Reseau_Part_20.xlsx"/>
    <d v="2023-10-08T00:00:00"/>
    <s v="CLI-00996"/>
    <x v="15"/>
    <d v="1899-12-30T03:03:00"/>
    <s v="ANT-0530"/>
    <d v="1899-12-30T00:38:00"/>
    <n v="38"/>
    <n v="-8.5675749999999997"/>
    <n v="26.994581"/>
    <x v="3"/>
    <s v="Nokia"/>
    <s v="Résolu"/>
    <n v="119"/>
    <n v="9.9166666666666661"/>
    <s v="Illimité 50Go"/>
    <s v="B2C"/>
    <n v="228"/>
    <d v="1899-12-30T03:48:00"/>
    <n v="94.72"/>
    <n v="3"/>
    <n v="0"/>
    <n v="0"/>
  </r>
  <r>
    <s v="Logs_Reseau_Part_20.xlsx"/>
    <d v="2023-10-13T00:00:00"/>
    <s v="Pas de correspondance"/>
    <x v="1"/>
    <d v="1899-12-30T18:35:00"/>
    <s v="ANT-0820"/>
    <d v="1899-12-30T00:33:00"/>
    <n v="3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0.xlsx"/>
    <d v="2023-10-27T00:00:00"/>
    <s v="Pas de correspondance"/>
    <x v="1"/>
    <d v="1899-12-30T15:09:00"/>
    <s v="ANT-0586"/>
    <d v="1899-12-30T01:52:00"/>
    <n v="11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09T00:00:00"/>
    <s v="CLI-01005"/>
    <x v="14"/>
    <d v="1899-12-30T12:41:00"/>
    <s v="ANT-0845"/>
    <d v="1899-12-30T00:33:00"/>
    <n v="33"/>
    <n v="-10.872631999999999"/>
    <n v="12.773279"/>
    <x v="3"/>
    <s v="ZTE"/>
    <s v="Non Résolu"/>
    <n v="80"/>
    <n v="6.666666666666667"/>
    <s v="Illimité 50Go"/>
    <s v="B2C"/>
    <n v="155"/>
    <d v="1899-12-30T02:35:00"/>
    <n v="28.96"/>
    <n v="2"/>
    <n v="0"/>
    <n v="0"/>
  </r>
  <r>
    <s v="Logs_Reseau_Part_21.xlsx"/>
    <d v="2023-10-16T00:00:00"/>
    <s v="CLI-00559"/>
    <x v="10"/>
    <d v="1899-12-30T18:38:00"/>
    <s v="ANT-0639"/>
    <d v="1899-12-30T01:27:00"/>
    <n v="87"/>
    <n v="2.5665840000000002"/>
    <n v="15.764796"/>
    <x v="3"/>
    <s v="ZTE"/>
    <s v="En Cours"/>
    <n v="99"/>
    <n v="8.25"/>
    <s v="Bloqué 5Go"/>
    <s v="B2C"/>
    <n v="369"/>
    <d v="1899-12-30T06:09:00"/>
    <n v="67.209999999999994"/>
    <n v="3"/>
    <n v="0.45"/>
    <n v="30.244499999999999"/>
  </r>
  <r>
    <s v="Logs_Reseau_Part_21.xlsx"/>
    <d v="2023-10-16T00:00:00"/>
    <s v="CLI-00185"/>
    <x v="25"/>
    <d v="1899-12-30T01:11:00"/>
    <s v="ANT-0407"/>
    <d v="1899-12-30T00:33:00"/>
    <n v="33"/>
    <n v="2.5458379999999998"/>
    <n v="13.308655"/>
    <x v="2"/>
    <s v="ZTE"/>
    <s v="Non Résolu"/>
    <n v="81"/>
    <n v="6.75"/>
    <s v="Pro Monde"/>
    <s v="B2B"/>
    <n v="154"/>
    <d v="1899-12-30T02:34:00"/>
    <n v="19.47"/>
    <n v="3"/>
    <n v="0.1"/>
    <n v="1.9470000000000001"/>
  </r>
  <r>
    <s v="Logs_Reseau_Part_21.xlsx"/>
    <d v="2023-10-09T00:00:00"/>
    <s v="Pas de correspondance"/>
    <x v="1"/>
    <d v="1899-12-30T12:09:00"/>
    <s v="ANT-0599"/>
    <d v="1899-12-30T01:31:00"/>
    <n v="9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20T00:00:00"/>
    <s v="Pas de correspondance"/>
    <x v="1"/>
    <d v="1899-12-30T19:43:00"/>
    <s v="ANT-0105"/>
    <d v="1899-12-30T00:31:00"/>
    <n v="3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23T00:00:00"/>
    <s v="CLI-01325"/>
    <x v="26"/>
    <d v="1899-12-30T12:02:00"/>
    <s v="ANT-0008"/>
    <d v="1899-12-30T00:39:00"/>
    <n v="39"/>
    <n v="-11.89448"/>
    <n v="19.216214999999998"/>
    <x v="3"/>
    <s v="ZTE"/>
    <s v="Résolu"/>
    <n v="44"/>
    <n v="3.6666666666666665"/>
    <s v="Bloqué 5Go"/>
    <s v="B2C"/>
    <n v="348"/>
    <d v="1899-12-30T05:48:00"/>
    <n v="58.67"/>
    <n v="0"/>
    <n v="0.45"/>
    <n v="26.401500000000002"/>
  </r>
  <r>
    <s v="Logs_Reseau_Part_21.xlsx"/>
    <d v="2023-10-13T00:00:00"/>
    <s v="CLI-00996"/>
    <x v="15"/>
    <d v="1899-12-30T10:44:00"/>
    <s v="ANT-0524"/>
    <d v="1899-12-30T01:28:00"/>
    <n v="88"/>
    <n v="-7.402336"/>
    <n v="27.376697"/>
    <x v="0"/>
    <s v="Huawei"/>
    <s v="Non Résolu"/>
    <n v="119"/>
    <n v="9.9166666666666661"/>
    <s v="Illimité 50Go"/>
    <s v="B2C"/>
    <n v="228"/>
    <d v="1899-12-30T03:48:00"/>
    <n v="94.72"/>
    <n v="3"/>
    <n v="0"/>
    <n v="0"/>
  </r>
  <r>
    <s v="Logs_Reseau_Part_21.xlsx"/>
    <d v="2023-10-08T00:00:00"/>
    <s v="CLI-01233"/>
    <x v="2"/>
    <d v="1899-12-30T01:47:00"/>
    <s v="ANT-0679"/>
    <d v="1899-12-30T00:57:00"/>
    <n v="57"/>
    <n v="-7.1587569999999996"/>
    <n v="18.975141000000001"/>
    <x v="2"/>
    <s v="Ericsson"/>
    <s v="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21.xlsx"/>
    <d v="2023-10-16T00:00:00"/>
    <s v="CLI-01233"/>
    <x v="2"/>
    <d v="1899-12-30T08:57:00"/>
    <s v="ANT-0990"/>
    <d v="1899-12-30T01:10:00"/>
    <n v="70"/>
    <n v="-12.112399999999999"/>
    <n v="15.872226"/>
    <x v="0"/>
    <s v="Nokia"/>
    <s v="Non 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21.xlsx"/>
    <d v="2023-10-12T00:00:00"/>
    <s v="Pas de correspondance"/>
    <x v="1"/>
    <d v="1899-12-30T00:21:00"/>
    <s v="ANT-0864"/>
    <d v="1899-12-30T00:07:00"/>
    <n v="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27T00:00:00"/>
    <s v="Pas de correspondance"/>
    <x v="1"/>
    <d v="1899-12-30T09:19:00"/>
    <s v="ANT-0860"/>
    <d v="1899-12-30T01:55:00"/>
    <n v="11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09T00:00:00"/>
    <s v="Pas de correspondance"/>
    <x v="1"/>
    <d v="1899-12-30T15:54:00"/>
    <s v="ANT-0384"/>
    <d v="1899-12-30T01:44:00"/>
    <n v="10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23T00:00:00"/>
    <s v="Pas de correspondance"/>
    <x v="1"/>
    <d v="1899-12-30T21:06:00"/>
    <s v="ANT-0575"/>
    <d v="1899-12-30T01:43:00"/>
    <n v="10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28T00:00:00"/>
    <s v="CLI-01325"/>
    <x v="26"/>
    <d v="1899-12-30T07:08:00"/>
    <s v="ANT-0663"/>
    <d v="1899-12-30T01:32:00"/>
    <n v="92"/>
    <n v="-5.5559329999999996"/>
    <n v="13.508692999999999"/>
    <x v="3"/>
    <s v="Nokia"/>
    <s v="En Cours"/>
    <n v="44"/>
    <n v="3.6666666666666665"/>
    <s v="Bloqué 5Go"/>
    <s v="B2C"/>
    <n v="348"/>
    <d v="1899-12-30T05:48:00"/>
    <n v="58.67"/>
    <n v="0"/>
    <n v="0.45"/>
    <n v="26.401500000000002"/>
  </r>
  <r>
    <s v="Logs_Reseau_Part_21.xlsx"/>
    <d v="2023-10-10T00:00:00"/>
    <s v="Pas de correspondance"/>
    <x v="1"/>
    <d v="1899-12-30T23:28:00"/>
    <s v="ANT-0609"/>
    <d v="1899-12-30T00:06:00"/>
    <n v="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25T00:00:00"/>
    <s v="CLI-00076"/>
    <x v="6"/>
    <d v="1899-12-30T10:17:00"/>
    <s v="ANT-0624"/>
    <d v="1899-12-30T01:05:00"/>
    <n v="65"/>
    <n v="0.172153"/>
    <n v="21.091376"/>
    <x v="3"/>
    <s v="Ericsson"/>
    <s v="Non Résolu"/>
    <n v="46"/>
    <n v="3.8333333333333335"/>
    <s v="Premium 5G 150Go"/>
    <s v="B2C"/>
    <n v="283"/>
    <d v="1899-12-30T04:43:00"/>
    <n v="56.05"/>
    <n v="1"/>
    <n v="0.45"/>
    <n v="25.2225"/>
  </r>
  <r>
    <s v="Logs_Reseau_Part_21.xlsx"/>
    <d v="2023-10-24T00:00:00"/>
    <s v="Pas de correspondance"/>
    <x v="1"/>
    <d v="1899-12-30T13:38:00"/>
    <s v="ANT-0290"/>
    <d v="1899-12-30T00:21:00"/>
    <n v="2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21T00:00:00"/>
    <s v="Pas de correspondance"/>
    <x v="1"/>
    <d v="1899-12-30T02:12:00"/>
    <s v="ANT-0306"/>
    <d v="1899-12-30T01:27:00"/>
    <n v="8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15T00:00:00"/>
    <s v="CLI-00643"/>
    <x v="12"/>
    <d v="1899-12-30T06:58:00"/>
    <s v="ANT-0701"/>
    <d v="1899-12-30T00:27:00"/>
    <n v="27"/>
    <n v="-12.839263000000001"/>
    <n v="12.355677"/>
    <x v="3"/>
    <s v="Huawei"/>
    <s v="Non Résolu"/>
    <n v="14"/>
    <n v="1.1666666666666667"/>
    <s v="Pro Monde"/>
    <s v="B2B"/>
    <n v="316"/>
    <d v="1899-12-30T05:16:00"/>
    <n v="62.34"/>
    <n v="4"/>
    <n v="0.45"/>
    <n v="28.053000000000001"/>
  </r>
  <r>
    <s v="Logs_Reseau_Part_21.xlsx"/>
    <d v="2023-10-27T00:00:00"/>
    <s v="Pas de correspondance"/>
    <x v="1"/>
    <d v="1899-12-30T13:47:00"/>
    <s v="ANT-0111"/>
    <d v="1899-12-30T01:21:00"/>
    <n v="8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16T00:00:00"/>
    <s v="CLI-01233"/>
    <x v="2"/>
    <d v="1899-12-30T16:55:00"/>
    <s v="ANT-0494"/>
    <d v="1899-12-30T01:47:00"/>
    <n v="107"/>
    <n v="-12.564277000000001"/>
    <n v="28.480798"/>
    <x v="2"/>
    <s v="ZTE"/>
    <s v="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21.xlsx"/>
    <d v="2023-10-12T00:00:00"/>
    <s v="CLI-01837"/>
    <x v="23"/>
    <d v="1899-12-30T01:32:00"/>
    <s v="ANT-0066"/>
    <d v="1899-12-30T00:06:00"/>
    <n v="6"/>
    <n v="1.7832440000000001"/>
    <n v="25.477405999999998"/>
    <x v="2"/>
    <s v="Huawei"/>
    <s v="En Cours"/>
    <n v="97"/>
    <n v="8.0833333333333339"/>
    <s v="Pro Monde"/>
    <s v="B2B"/>
    <n v="319"/>
    <d v="1899-12-30T05:19:00"/>
    <n v="31.25"/>
    <n v="1"/>
    <n v="0.45"/>
    <n v="14.0625"/>
  </r>
  <r>
    <s v="Logs_Reseau_Part_21.xlsx"/>
    <d v="2023-10-26T00:00:00"/>
    <s v="Pas de correspondance"/>
    <x v="1"/>
    <d v="1899-12-30T05:04:00"/>
    <s v="ANT-0345"/>
    <d v="1899-12-30T00:33:00"/>
    <n v="3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10T00:00:00"/>
    <s v="Pas de correspondance"/>
    <x v="1"/>
    <d v="1899-12-30T22:32:00"/>
    <s v="ANT-0284"/>
    <d v="1899-12-30T00:37:00"/>
    <n v="3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13T00:00:00"/>
    <s v="Pas de correspondance"/>
    <x v="1"/>
    <d v="1899-12-30T04:49:00"/>
    <s v="ANT-0656"/>
    <d v="1899-12-30T01:22:00"/>
    <n v="8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28T00:00:00"/>
    <s v="Pas de correspondance"/>
    <x v="1"/>
    <d v="1899-12-30T16:56:00"/>
    <s v="ANT-0333"/>
    <d v="1899-12-30T01:48:00"/>
    <n v="10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19T00:00:00"/>
    <s v="CLI-01855"/>
    <x v="11"/>
    <d v="1899-12-30T00:11:00"/>
    <s v="ANT-0883"/>
    <d v="1899-12-30T00:44:00"/>
    <n v="44"/>
    <n v="-9.4702129999999993"/>
    <n v="12.826158"/>
    <x v="3"/>
    <s v="Ericsson"/>
    <s v="Non Résolu"/>
    <n v="101"/>
    <n v="8.4166666666666661"/>
    <s v="Illimité 50Go"/>
    <s v="B2C"/>
    <n v="358"/>
    <d v="1899-12-30T05:58:00"/>
    <n v="29.24"/>
    <n v="3"/>
    <n v="0.45"/>
    <n v="13.157999999999999"/>
  </r>
  <r>
    <s v="Logs_Reseau_Part_21.xlsx"/>
    <d v="2023-10-07T00:00:00"/>
    <s v="Pas de correspondance"/>
    <x v="1"/>
    <d v="1899-12-30T06:53:00"/>
    <s v="ANT-0284"/>
    <d v="1899-12-30T01:36:00"/>
    <n v="9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02T00:00:00"/>
    <s v="CLI-00131"/>
    <x v="4"/>
    <d v="1899-12-30T07:02:00"/>
    <s v="ANT-0268"/>
    <d v="1899-12-30T01:35:00"/>
    <n v="95"/>
    <n v="-9.5619429999999994"/>
    <n v="21.445726000000001"/>
    <x v="0"/>
    <s v="Nokia"/>
    <s v="En Cours"/>
    <n v="101"/>
    <n v="8.4166666666666661"/>
    <s v="Pro Monde"/>
    <s v="B2B"/>
    <n v="176"/>
    <d v="1899-12-30T02:56:00"/>
    <n v="86"/>
    <n v="3"/>
    <n v="0.1"/>
    <n v="8.6"/>
  </r>
  <r>
    <s v="Logs_Reseau_Part_21.xlsx"/>
    <d v="2023-10-15T00:00:00"/>
    <s v="Pas de correspondance"/>
    <x v="1"/>
    <d v="1899-12-30T01:58:00"/>
    <s v="ANT-0672"/>
    <d v="1899-12-30T01:27:00"/>
    <n v="8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12T00:00:00"/>
    <s v="Pas de correspondance"/>
    <x v="1"/>
    <d v="1899-12-30T22:12:00"/>
    <s v="ANT-0729"/>
    <d v="1899-12-30T00:40:00"/>
    <n v="4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09T00:00:00"/>
    <s v="Pas de correspondance"/>
    <x v="1"/>
    <d v="1899-12-30T11:52:00"/>
    <s v="ANT-0976"/>
    <d v="1899-12-30T00:59:00"/>
    <n v="5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15T00:00:00"/>
    <s v="CLI-00131"/>
    <x v="4"/>
    <d v="1899-12-30T16:25:00"/>
    <s v="ANT-0914"/>
    <d v="1899-12-30T01:59:00"/>
    <n v="119"/>
    <n v="-11.218453999999999"/>
    <n v="28.230025000000001"/>
    <x v="2"/>
    <s v="ZTE"/>
    <s v="En Cours"/>
    <n v="101"/>
    <n v="8.4166666666666661"/>
    <s v="Pro Monde"/>
    <s v="B2B"/>
    <n v="176"/>
    <d v="1899-12-30T02:56:00"/>
    <n v="86"/>
    <n v="3"/>
    <n v="0.1"/>
    <n v="8.6"/>
  </r>
  <r>
    <s v="Logs_Reseau_Part_21.xlsx"/>
    <d v="2023-10-21T00:00:00"/>
    <s v="CLI-01233"/>
    <x v="2"/>
    <d v="1899-12-30T03:43:00"/>
    <s v="ANT-0668"/>
    <d v="1899-12-30T00:53:00"/>
    <n v="53"/>
    <n v="-9.8208710000000004"/>
    <n v="23.229807000000001"/>
    <x v="2"/>
    <s v="Nokia"/>
    <s v="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21.xlsx"/>
    <d v="2023-10-01T00:00:00"/>
    <s v="Pas de correspondance"/>
    <x v="1"/>
    <d v="1899-12-30T07:23:00"/>
    <s v="ANT-0306"/>
    <d v="1899-12-30T01:54:00"/>
    <n v="11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16T00:00:00"/>
    <s v="Pas de correspondance"/>
    <x v="1"/>
    <d v="1899-12-30T19:28:00"/>
    <s v="ANT-0193"/>
    <d v="1899-12-30T00:49:00"/>
    <n v="4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06T00:00:00"/>
    <s v="CLI-01233"/>
    <x v="2"/>
    <d v="1899-12-30T15:37:00"/>
    <s v="ANT-0154"/>
    <d v="1899-12-30T01:03:00"/>
    <n v="63"/>
    <n v="-10.977309"/>
    <n v="12.408281000000001"/>
    <x v="2"/>
    <s v="ZTE"/>
    <s v="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21.xlsx"/>
    <d v="2023-10-18T00:00:00"/>
    <s v="CLI-00996"/>
    <x v="15"/>
    <d v="1899-12-30T11:22:00"/>
    <s v="ANT-0530"/>
    <d v="1899-12-30T00:37:00"/>
    <n v="37"/>
    <n v="-8.5675749999999997"/>
    <n v="26.994581"/>
    <x v="3"/>
    <s v="Nokia"/>
    <s v="En Cours"/>
    <n v="119"/>
    <n v="9.9166666666666661"/>
    <s v="Illimité 50Go"/>
    <s v="B2C"/>
    <n v="228"/>
    <d v="1899-12-30T03:48:00"/>
    <n v="94.72"/>
    <n v="3"/>
    <n v="0"/>
    <n v="0"/>
  </r>
  <r>
    <s v="Logs_Reseau_Part_21.xlsx"/>
    <d v="2023-10-06T00:00:00"/>
    <s v="Pas de correspondance"/>
    <x v="1"/>
    <d v="1899-12-30T08:47:00"/>
    <s v="ANT-0784"/>
    <d v="1899-12-30T00:32:00"/>
    <n v="3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27T00:00:00"/>
    <s v="Pas de correspondance"/>
    <x v="1"/>
    <d v="1899-12-30T22:05:00"/>
    <s v="ANT-0247"/>
    <d v="1899-12-30T01:04:00"/>
    <n v="6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10T00:00:00"/>
    <s v="Pas de correspondance"/>
    <x v="1"/>
    <d v="1899-12-30T00:24:00"/>
    <s v="ANT-0922"/>
    <d v="1899-12-30T00:43:00"/>
    <n v="4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1.xlsx"/>
    <d v="2023-10-02T00:00:00"/>
    <s v="CLI-01147"/>
    <x v="18"/>
    <d v="1899-12-30T05:54:00"/>
    <s v="ANT-0059"/>
    <d v="1899-12-30T01:31:00"/>
    <n v="91"/>
    <n v="-0.34051900000000002"/>
    <n v="17.079799000000001"/>
    <x v="2"/>
    <s v="Ericsson"/>
    <s v="Non Résolu"/>
    <n v="29"/>
    <n v="2.4166666666666665"/>
    <s v="Premium 5G 150Go"/>
    <s v="B2C"/>
    <n v="214"/>
    <d v="1899-12-30T03:34:00"/>
    <n v="74.7"/>
    <n v="3"/>
    <n v="0.45"/>
    <n v="33.615000000000002"/>
  </r>
  <r>
    <s v="Logs_Reseau_Part_21.xlsx"/>
    <d v="2023-10-19T00:00:00"/>
    <s v="Pas de correspondance"/>
    <x v="1"/>
    <d v="1899-12-30T06:54:00"/>
    <s v="ANT-0825"/>
    <d v="1899-12-30T01:11:00"/>
    <n v="7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21T00:00:00"/>
    <s v="Pas de correspondance"/>
    <x v="1"/>
    <d v="1899-12-30T02:14:00"/>
    <s v="ANT-0021"/>
    <d v="1899-12-30T00:48:00"/>
    <n v="4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12T00:00:00"/>
    <s v="Pas de correspondance"/>
    <x v="1"/>
    <d v="1899-12-30T07:47:00"/>
    <s v="ANT-0050"/>
    <d v="1899-12-30T02:00:00"/>
    <n v="12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28T00:00:00"/>
    <s v="Pas de correspondance"/>
    <x v="1"/>
    <d v="1899-12-30T09:26:00"/>
    <s v="ANT-0707"/>
    <d v="1899-12-30T01:07:00"/>
    <n v="6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26T00:00:00"/>
    <s v="Pas de correspondance"/>
    <x v="1"/>
    <d v="1899-12-30T10:23:00"/>
    <s v="ANT-0119"/>
    <d v="1899-12-30T00:50:00"/>
    <n v="5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09T00:00:00"/>
    <s v="Pas de correspondance"/>
    <x v="1"/>
    <d v="1899-12-30T18:18:00"/>
    <s v="ANT-0427"/>
    <d v="1899-12-30T01:41:00"/>
    <n v="10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15T00:00:00"/>
    <s v="Pas de correspondance"/>
    <x v="1"/>
    <d v="1899-12-30T03:30:00"/>
    <s v="ANT-0455"/>
    <d v="1899-12-30T00:29:00"/>
    <n v="2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02T00:00:00"/>
    <s v="Pas de correspondance"/>
    <x v="1"/>
    <d v="1899-12-30T20:37:00"/>
    <s v="ANT-0390"/>
    <d v="1899-12-30T00:26:00"/>
    <n v="2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19T00:00:00"/>
    <s v="Pas de correspondance"/>
    <x v="1"/>
    <d v="1899-12-30T19:04:00"/>
    <s v="ANT-0127"/>
    <d v="1899-12-30T01:48:00"/>
    <n v="10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16T00:00:00"/>
    <s v="Pas de correspondance"/>
    <x v="1"/>
    <d v="1899-12-30T06:32:00"/>
    <s v="ANT-0561"/>
    <d v="1899-12-30T00:56:00"/>
    <n v="5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04T00:00:00"/>
    <s v="Pas de correspondance"/>
    <x v="1"/>
    <d v="1899-12-30T21:24:00"/>
    <s v="ANT-0259"/>
    <d v="1899-12-30T00:07:00"/>
    <n v="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17T00:00:00"/>
    <s v="Pas de correspondance"/>
    <x v="1"/>
    <d v="1899-12-30T09:26:00"/>
    <s v="ANT-0486"/>
    <d v="1899-12-30T00:34:00"/>
    <n v="3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02T00:00:00"/>
    <s v="CLI-01170"/>
    <x v="5"/>
    <d v="1899-12-30T04:08:00"/>
    <s v="ant-0719"/>
    <d v="1899-12-30T00:33:00"/>
    <n v="33"/>
    <n v="-7.9987219999999999"/>
    <n v="12.779335"/>
    <x v="2"/>
    <s v="Nokia"/>
    <s v="En Cours"/>
    <n v="98"/>
    <n v="8.1666666666666661"/>
    <s v="Pro Monde"/>
    <s v="B2B"/>
    <n v="482"/>
    <d v="1899-12-30T08:02:00"/>
    <n v="55.04"/>
    <n v="5"/>
    <n v="0.45"/>
    <n v="24.768000000000001"/>
  </r>
  <r>
    <s v="Logs_Reseau_Part_22.xlsx"/>
    <d v="2023-10-07T00:00:00"/>
    <s v="Pas de correspondance"/>
    <x v="1"/>
    <d v="1899-12-30T10:26:00"/>
    <s v="ANT-0157"/>
    <d v="1899-12-30T01:38:00"/>
    <n v="98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19T00:00:00"/>
    <s v="CLI-01855"/>
    <x v="11"/>
    <d v="1899-12-30T14:09:00"/>
    <s v="ANT-0211"/>
    <d v="1899-12-30T00:21:00"/>
    <n v="21"/>
    <n v="-11.514817000000001"/>
    <n v="24.891375"/>
    <x v="3"/>
    <s v="Nokia"/>
    <s v="Résolu"/>
    <n v="101"/>
    <n v="8.4166666666666661"/>
    <s v="Illimité 50Go"/>
    <s v="B2C"/>
    <n v="358"/>
    <d v="1899-12-30T05:58:00"/>
    <n v="29.24"/>
    <n v="3"/>
    <n v="0.45"/>
    <n v="13.157999999999999"/>
  </r>
  <r>
    <s v="Logs_Reseau_Part_22.xlsx"/>
    <d v="2023-10-11T00:00:00"/>
    <s v="Pas de correspondance"/>
    <x v="1"/>
    <d v="1899-12-30T22:11:00"/>
    <s v="ANT-0712"/>
    <d v="1899-12-30T00:32:00"/>
    <n v="3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25T00:00:00"/>
    <s v="CLI-01618"/>
    <x v="0"/>
    <d v="1899-12-30T02:31:00"/>
    <s v="ANT-0703"/>
    <d v="1899-12-30T01:38:00"/>
    <n v="98"/>
    <n v="-7.0007840000000003"/>
    <n v="22.787997000000001"/>
    <x v="2"/>
    <s v="ZTE"/>
    <s v="En Cours"/>
    <n v="115"/>
    <n v="9.5833333333333339"/>
    <s v="Bloqué 5Go"/>
    <s v="B2C"/>
    <n v="176"/>
    <d v="1899-12-30T02:56:00"/>
    <n v="33.28"/>
    <n v="4"/>
    <n v="0"/>
    <n v="0"/>
  </r>
  <r>
    <s v="Logs_Reseau_Part_22.xlsx"/>
    <d v="2023-10-11T00:00:00"/>
    <s v="Pas de correspondance"/>
    <x v="1"/>
    <d v="1899-12-30T20:11:00"/>
    <s v="ANT-0646"/>
    <d v="1899-12-30T00:07:00"/>
    <n v="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11T00:00:00"/>
    <s v="Pas de correspondance"/>
    <x v="1"/>
    <d v="1899-12-30T20:03:00"/>
    <s v="ANT-0010"/>
    <d v="1899-12-30T01:20:00"/>
    <n v="8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01T00:00:00"/>
    <s v="Pas de correspondance"/>
    <x v="1"/>
    <d v="1899-12-30T14:17:00"/>
    <s v="ANT-0309"/>
    <d v="1899-12-30T01:09:00"/>
    <n v="6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07T00:00:00"/>
    <s v="CLI-00361"/>
    <x v="24"/>
    <d v="1899-12-30T05:36:00"/>
    <s v="ANT-0431"/>
    <d v="1899-12-30T00:26:00"/>
    <n v="26"/>
    <n v="-4.6311460000000002"/>
    <n v="25.314723000000001"/>
    <x v="0"/>
    <s v="Huawei"/>
    <s v="En Cours"/>
    <n v="66"/>
    <n v="5.5"/>
    <s v="Illimité 50Go"/>
    <s v="B2C"/>
    <n v="270"/>
    <d v="1899-12-30T04:30:00"/>
    <n v="75.88"/>
    <n v="3"/>
    <n v="0.45"/>
    <n v="34.146000000000001"/>
  </r>
  <r>
    <s v="Logs_Reseau_Part_22.xlsx"/>
    <d v="2023-10-25T00:00:00"/>
    <s v="CLI-00837"/>
    <x v="8"/>
    <d v="1899-12-30T05:31:00"/>
    <s v="ANT-0678"/>
    <d v="1899-12-30T00:20:00"/>
    <n v="20"/>
    <n v="-10.298385"/>
    <n v="29.698117"/>
    <x v="2"/>
    <s v="Nokia"/>
    <s v="Résolu"/>
    <n v="16"/>
    <n v="1.3333333333333333"/>
    <s v="Bloqué 5Go"/>
    <s v="B2C"/>
    <n v="390"/>
    <d v="1899-12-30T06:30:00"/>
    <n v="98.17"/>
    <n v="5"/>
    <n v="0.45"/>
    <n v="44.176500000000004"/>
  </r>
  <r>
    <s v="Logs_Reseau_Part_22.xlsx"/>
    <d v="2023-10-26T00:00:00"/>
    <s v="Pas de correspondance"/>
    <x v="1"/>
    <d v="1899-12-30T02:08:00"/>
    <s v="ANT-0104"/>
    <d v="1899-12-30T00:51:00"/>
    <n v="5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20T00:00:00"/>
    <s v="CLI-01233"/>
    <x v="2"/>
    <d v="1899-12-30T13:40:00"/>
    <s v="ANT-0679"/>
    <d v="1899-12-30T01:36:00"/>
    <n v="96"/>
    <n v="-7.1587569999999996"/>
    <n v="18.975141000000001"/>
    <x v="2"/>
    <s v="Ericsson"/>
    <s v="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22.xlsx"/>
    <d v="2023-10-14T00:00:00"/>
    <s v="CLI-00131"/>
    <x v="4"/>
    <d v="1899-12-30T12:27:00"/>
    <s v="ANT-0533"/>
    <d v="1899-12-30T01:28:00"/>
    <n v="88"/>
    <n v="4.8265669999999998"/>
    <n v="28.535277000000001"/>
    <x v="3"/>
    <s v="Huawei"/>
    <s v="Non Résolu"/>
    <n v="101"/>
    <n v="8.4166666666666661"/>
    <s v="Pro Monde"/>
    <s v="B2B"/>
    <n v="176"/>
    <d v="1899-12-30T02:56:00"/>
    <n v="86"/>
    <n v="3"/>
    <n v="0.1"/>
    <n v="8.6"/>
  </r>
  <r>
    <s v="Logs_Reseau_Part_22.xlsx"/>
    <d v="2023-10-31T00:00:00"/>
    <s v="Pas de correspondance"/>
    <x v="1"/>
    <d v="1899-12-30T15:24:00"/>
    <s v="ANT-0277"/>
    <d v="1899-12-30T01:46:00"/>
    <n v="10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01T00:00:00"/>
    <s v="Pas de correspondance"/>
    <x v="1"/>
    <d v="1899-12-30T01:34:00"/>
    <s v="ANT-0638"/>
    <d v="1899-12-30T00:09:00"/>
    <n v="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07T00:00:00"/>
    <s v="CLI-00076"/>
    <x v="6"/>
    <d v="1899-12-30T23:23:00"/>
    <s v="ANT-0621"/>
    <d v="1899-12-30T00:53:00"/>
    <n v="53"/>
    <n v="-2.926736"/>
    <n v="18.170461"/>
    <x v="2"/>
    <s v="Ericsson"/>
    <s v="Non Résolu"/>
    <n v="46"/>
    <n v="3.8333333333333335"/>
    <s v="Premium 5G 150Go"/>
    <s v="B2C"/>
    <n v="283"/>
    <d v="1899-12-30T04:43:00"/>
    <n v="56.05"/>
    <n v="1"/>
    <n v="0.45"/>
    <n v="25.2225"/>
  </r>
  <r>
    <s v="Logs_Reseau_Part_22.xlsx"/>
    <d v="2023-10-31T00:00:00"/>
    <s v="Pas de correspondance"/>
    <x v="1"/>
    <d v="1899-12-30T00:57:00"/>
    <s v="ANT-0718"/>
    <d v="1899-12-30T01:57:00"/>
    <n v="11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11T00:00:00"/>
    <s v="Pas de correspondance"/>
    <x v="1"/>
    <d v="1899-12-30T16:12:00"/>
    <s v="ANT-0141"/>
    <d v="1899-12-30T01:26:00"/>
    <n v="8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21T00:00:00"/>
    <s v="Pas de correspondance"/>
    <x v="1"/>
    <d v="1899-12-30T23:15:00"/>
    <s v="ANT-0851"/>
    <d v="1899-12-30T01:43:00"/>
    <n v="10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08T00:00:00"/>
    <s v="CLI-00076"/>
    <x v="6"/>
    <d v="1899-12-30T22:56:00"/>
    <s v="ANT-0921"/>
    <d v="1899-12-30T01:13:00"/>
    <n v="73"/>
    <n v="2.016505"/>
    <n v="14.294164"/>
    <x v="2"/>
    <s v="Huawei"/>
    <s v="Non Résolu"/>
    <n v="46"/>
    <n v="3.8333333333333335"/>
    <s v="Premium 5G 150Go"/>
    <s v="B2C"/>
    <n v="283"/>
    <d v="1899-12-30T04:43:00"/>
    <n v="56.05"/>
    <n v="1"/>
    <n v="0.45"/>
    <n v="25.2225"/>
  </r>
  <r>
    <s v="Logs_Reseau_Part_22.xlsx"/>
    <d v="2023-10-12T00:00:00"/>
    <s v="Pas de correspondance"/>
    <x v="1"/>
    <d v="1899-12-30T09:08:00"/>
    <s v="ANT-0108"/>
    <d v="1899-12-30T01:24:00"/>
    <n v="8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04T00:00:00"/>
    <s v="CLI-00996"/>
    <x v="15"/>
    <d v="1899-12-30T12:32:00"/>
    <s v="ANT-0524"/>
    <d v="1899-12-30T00:11:00"/>
    <n v="11"/>
    <n v="-7.402336"/>
    <n v="27.376697"/>
    <x v="0"/>
    <s v="Huawei"/>
    <s v="Non Résolu"/>
    <n v="119"/>
    <n v="9.9166666666666661"/>
    <s v="Illimité 50Go"/>
    <s v="B2C"/>
    <n v="228"/>
    <d v="1899-12-30T03:48:00"/>
    <n v="94.72"/>
    <n v="3"/>
    <n v="0"/>
    <n v="0"/>
  </r>
  <r>
    <s v="Logs_Reseau_Part_22.xlsx"/>
    <d v="2023-10-19T00:00:00"/>
    <s v="CLI-01233"/>
    <x v="2"/>
    <d v="1899-12-30T09:10:00"/>
    <s v="ANT-0737"/>
    <d v="1899-12-30T01:21:00"/>
    <n v="81"/>
    <n v="-2.8211520000000001"/>
    <n v="20.651419000000001"/>
    <x v="2"/>
    <s v="Ericsson"/>
    <s v="Non Résolu"/>
    <n v="101"/>
    <n v="8.4166666666666661"/>
    <s v="Pro Monde"/>
    <s v="B2B"/>
    <n v="333"/>
    <d v="1899-12-30T05:33:00"/>
    <n v="74.319999999999993"/>
    <n v="1"/>
    <n v="0.45"/>
    <n v="33.443999999999996"/>
  </r>
  <r>
    <s v="Logs_Reseau_Part_22.xlsx"/>
    <d v="2023-10-03T00:00:00"/>
    <s v="Pas de correspondance"/>
    <x v="1"/>
    <d v="1899-12-30T01:19:00"/>
    <s v="ANT-0633"/>
    <d v="1899-12-30T00:11:00"/>
    <n v="11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31T00:00:00"/>
    <s v="CLI-00414"/>
    <x v="20"/>
    <d v="1899-12-30T09:29:00"/>
    <s v="ANT-0121"/>
    <d v="1899-12-30T01:29:00"/>
    <n v="89"/>
    <n v="-7.3952039999999997"/>
    <n v="21.651043999999999"/>
    <x v="0"/>
    <s v="Huawei"/>
    <s v="En Cours"/>
    <n v="99"/>
    <n v="8.25"/>
    <s v="Premium 5G 150Go"/>
    <s v="B2C"/>
    <n v="447"/>
    <d v="1899-12-30T07:27:00"/>
    <n v="38.1"/>
    <n v="3"/>
    <n v="0.45"/>
    <n v="17.145"/>
  </r>
  <r>
    <s v="Logs_Reseau_Part_22.xlsx"/>
    <d v="2023-10-24T00:00:00"/>
    <s v="Pas de correspondance"/>
    <x v="1"/>
    <d v="1899-12-30T16:38:00"/>
    <s v="ANT-0290"/>
    <d v="1899-12-30T00:18:00"/>
    <n v="1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2.xlsx"/>
    <d v="2023-10-17T00:00:00"/>
    <s v="CLI-00185"/>
    <x v="25"/>
    <d v="1899-12-30T10:27:00"/>
    <s v="ANT-0117"/>
    <d v="1899-12-30T01:28:00"/>
    <n v="88"/>
    <n v="1.938083"/>
    <n v="28.25281"/>
    <x v="0"/>
    <s v="Nokia"/>
    <s v="Résolu"/>
    <n v="81"/>
    <n v="6.75"/>
    <s v="Pro Monde"/>
    <s v="B2B"/>
    <n v="154"/>
    <d v="1899-12-30T02:34:00"/>
    <n v="19.47"/>
    <n v="3"/>
    <n v="0.1"/>
    <n v="1.9470000000000001"/>
  </r>
  <r>
    <s v="Logs_Reseau_Part_22.xlsx"/>
    <d v="2023-10-29T00:00:00"/>
    <s v="Pas de correspondance"/>
    <x v="1"/>
    <d v="1899-12-30T21:08:00"/>
    <s v="ANT-0804"/>
    <d v="1899-12-30T01:52:00"/>
    <n v="11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12T00:00:00"/>
    <s v="CLI-00439"/>
    <x v="22"/>
    <d v="1899-12-30T21:20:00"/>
    <s v="ANT-0670"/>
    <d v="1899-12-30T01:27:00"/>
    <n v="87"/>
    <n v="-7.1483749999999997"/>
    <n v="26.014271000000001"/>
    <x v="2"/>
    <s v="Huawei"/>
    <s v="Non Résolu"/>
    <n v="40"/>
    <n v="3.3333333333333335"/>
    <s v="Premium 5G 150Go"/>
    <s v="B2C"/>
    <n v="345"/>
    <d v="1899-12-30T05:45:00"/>
    <n v="89.55"/>
    <n v="3"/>
    <n v="0.45"/>
    <n v="40.297499999999999"/>
  </r>
  <r>
    <s v="Logs_Reseau_Part_23.xlsx"/>
    <d v="2023-10-14T00:00:00"/>
    <s v="Pas de correspondance"/>
    <x v="1"/>
    <d v="1899-12-30T23:07:00"/>
    <s v="ANT-0019"/>
    <d v="1899-12-30T00:25:00"/>
    <n v="2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04T00:00:00"/>
    <s v="CLI-00414"/>
    <x v="20"/>
    <d v="1899-12-30T01:00:00"/>
    <s v="ANT-0106"/>
    <d v="1899-12-30T01:09:00"/>
    <n v="69"/>
    <n v="-2.2876210000000001"/>
    <n v="27.582545"/>
    <x v="0"/>
    <s v="Huawei"/>
    <s v="En Cours"/>
    <n v="99"/>
    <n v="8.25"/>
    <s v="Premium 5G 150Go"/>
    <s v="B2C"/>
    <n v="447"/>
    <d v="1899-12-30T07:27:00"/>
    <n v="38.1"/>
    <n v="3"/>
    <n v="0.45"/>
    <n v="17.145"/>
  </r>
  <r>
    <s v="Logs_Reseau_Part_23.xlsx"/>
    <d v="2023-10-28T00:00:00"/>
    <s v="Pas de correspondance"/>
    <x v="1"/>
    <d v="1899-12-30T04:42:00"/>
    <s v="ANT-0414"/>
    <d v="1899-12-30T01:53:00"/>
    <n v="11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21T00:00:00"/>
    <s v="Pas de correspondance"/>
    <x v="1"/>
    <d v="1899-12-30T05:21:00"/>
    <s v="ANT-0423"/>
    <d v="1899-12-30T01:05:00"/>
    <n v="6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12T00:00:00"/>
    <s v="CLI-01147"/>
    <x v="18"/>
    <d v="1899-12-30T14:39:00"/>
    <s v="ANT-0037"/>
    <d v="1899-12-30T01:54:00"/>
    <n v="114"/>
    <n v="-7.0076900000000002"/>
    <n v="27.367121999999998"/>
    <x v="3"/>
    <s v="Nokia"/>
    <s v="Résolu"/>
    <n v="29"/>
    <n v="2.4166666666666665"/>
    <s v="Premium 5G 150Go"/>
    <s v="B2C"/>
    <n v="214"/>
    <d v="1899-12-30T03:34:00"/>
    <n v="74.7"/>
    <n v="3"/>
    <n v="0.45"/>
    <n v="33.615000000000002"/>
  </r>
  <r>
    <s v="Logs_Reseau_Part_23.xlsx"/>
    <d v="2023-10-09T00:00:00"/>
    <s v="CLI-00414"/>
    <x v="20"/>
    <d v="1899-12-30T23:05:00"/>
    <s v="ANT-0571"/>
    <d v="1899-12-30T01:08:00"/>
    <n v="68"/>
    <n v="-2.3269820000000001"/>
    <n v="14.609259"/>
    <x v="3"/>
    <s v="Nokia"/>
    <s v="Résolu"/>
    <n v="99"/>
    <n v="8.25"/>
    <s v="Premium 5G 150Go"/>
    <s v="B2C"/>
    <n v="447"/>
    <d v="1899-12-30T07:27:00"/>
    <n v="38.1"/>
    <n v="3"/>
    <n v="0.45"/>
    <n v="17.145"/>
  </r>
  <r>
    <s v="Logs_Reseau_Part_23.xlsx"/>
    <d v="2023-10-12T00:00:00"/>
    <s v="CLI-00837"/>
    <x v="8"/>
    <d v="1899-12-30T10:11:00"/>
    <s v="ANT-0563"/>
    <d v="1899-12-30T01:56:00"/>
    <n v="116"/>
    <n v="-1.8555980000000001"/>
    <n v="30.421918000000002"/>
    <x v="3"/>
    <s v="ZTE"/>
    <s v="Non Résolu"/>
    <n v="16"/>
    <n v="1.3333333333333333"/>
    <s v="Bloqué 5Go"/>
    <s v="B2C"/>
    <n v="390"/>
    <d v="1899-12-30T06:30:00"/>
    <n v="98.17"/>
    <n v="5"/>
    <n v="0.45"/>
    <n v="44.176500000000004"/>
  </r>
  <r>
    <s v="Logs_Reseau_Part_23.xlsx"/>
    <d v="2023-10-04T00:00:00"/>
    <s v="CLI-01170"/>
    <x v="5"/>
    <d v="1899-12-30T12:25:00"/>
    <s v="ANT-0001"/>
    <d v="1899-12-30T00:26:00"/>
    <n v="26"/>
    <n v="-8.1437910000000002"/>
    <n v="28.946161"/>
    <x v="0"/>
    <s v="ZTE"/>
    <s v="Résolu"/>
    <n v="98"/>
    <n v="8.1666666666666661"/>
    <s v="Pro Monde"/>
    <s v="B2B"/>
    <n v="482"/>
    <d v="1899-12-30T08:02:00"/>
    <n v="55.04"/>
    <n v="5"/>
    <n v="0.45"/>
    <n v="24.768000000000001"/>
  </r>
  <r>
    <s v="Logs_Reseau_Part_23.xlsx"/>
    <d v="2023-10-31T00:00:00"/>
    <s v="CLI-00611"/>
    <x v="21"/>
    <d v="1899-12-30T14:17:00"/>
    <s v="ANT-0846"/>
    <d v="1899-12-30T00:14:00"/>
    <n v="14"/>
    <n v="-7.1079169999999996"/>
    <n v="13.636272"/>
    <x v="2"/>
    <s v="Nokia"/>
    <s v="Résolu"/>
    <n v="79"/>
    <n v="6.583333333333333"/>
    <s v="Premium 5G 150Go"/>
    <s v="B2C"/>
    <n v="226"/>
    <d v="1899-12-30T03:46:00"/>
    <n v="94.38"/>
    <n v="3"/>
    <n v="0"/>
    <n v="0"/>
  </r>
  <r>
    <s v="Logs_Reseau_Part_23.xlsx"/>
    <d v="2023-10-27T00:00:00"/>
    <s v="CLI-00185"/>
    <x v="25"/>
    <d v="1899-12-30T12:44:00"/>
    <s v="ANT-0094"/>
    <d v="1899-12-30T01:41:00"/>
    <n v="101"/>
    <n v="-10.650321"/>
    <n v="15.917044000000001"/>
    <x v="0"/>
    <s v="Nokia"/>
    <s v="En Cours"/>
    <n v="81"/>
    <n v="6.75"/>
    <s v="Pro Monde"/>
    <s v="B2B"/>
    <n v="154"/>
    <d v="1899-12-30T02:34:00"/>
    <n v="19.47"/>
    <n v="3"/>
    <n v="0.1"/>
    <n v="1.9470000000000001"/>
  </r>
  <r>
    <s v="Logs_Reseau_Part_23.xlsx"/>
    <d v="2023-10-28T00:00:00"/>
    <s v="CLI-00559"/>
    <x v="10"/>
    <d v="1899-12-30T15:51:00"/>
    <s v="ANT-0811"/>
    <d v="1899-12-30T01:07:00"/>
    <n v="67"/>
    <n v="-5.125"/>
    <n v="23.513119"/>
    <x v="2"/>
    <s v="Huawei"/>
    <s v="En Cours"/>
    <n v="99"/>
    <n v="8.25"/>
    <s v="Bloqué 5Go"/>
    <s v="B2C"/>
    <n v="369"/>
    <d v="1899-12-30T06:09:00"/>
    <n v="67.209999999999994"/>
    <n v="3"/>
    <n v="0.45"/>
    <n v="30.244499999999999"/>
  </r>
  <r>
    <s v="Logs_Reseau_Part_23.xlsx"/>
    <d v="2023-10-14T00:00:00"/>
    <s v="CLI-00530"/>
    <x v="17"/>
    <d v="1899-12-30T20:56:00"/>
    <s v="ANT-0619"/>
    <d v="1899-12-30T00:46:00"/>
    <n v="46"/>
    <n v="-7.513261"/>
    <n v="24.338812000000001"/>
    <x v="2"/>
    <s v="Huawei"/>
    <s v="Non Résolu"/>
    <n v="35"/>
    <n v="2.9166666666666665"/>
    <s v="Pro Monde"/>
    <s v="B2B"/>
    <n v="465"/>
    <d v="1899-12-30T07:45:00"/>
    <n v="58.59"/>
    <n v="5"/>
    <n v="0.45"/>
    <n v="26.365500000000001"/>
  </r>
  <r>
    <s v="Logs_Reseau_Part_23.xlsx"/>
    <d v="2023-10-26T00:00:00"/>
    <s v="Pas de correspondance"/>
    <x v="1"/>
    <d v="1899-12-30T05:07:00"/>
    <s v="ANT-0987"/>
    <d v="1899-12-30T00:35:00"/>
    <n v="3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05T00:00:00"/>
    <s v="Pas de correspondance"/>
    <x v="1"/>
    <d v="1899-12-30T22:46:00"/>
    <s v="ANT-0634"/>
    <d v="1899-12-30T00:47:00"/>
    <n v="4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02T00:00:00"/>
    <s v="CLI-00837"/>
    <x v="8"/>
    <d v="1899-12-30T05:06:00"/>
    <s v="ANT-0653"/>
    <d v="1899-12-30T00:40:00"/>
    <n v="40"/>
    <n v="0.82868600000000003"/>
    <n v="26.958843999999999"/>
    <x v="2"/>
    <s v="ZTE"/>
    <s v="Non Résolu"/>
    <n v="16"/>
    <n v="1.3333333333333333"/>
    <s v="Bloqué 5Go"/>
    <s v="B2C"/>
    <n v="390"/>
    <d v="1899-12-30T06:30:00"/>
    <n v="98.17"/>
    <n v="5"/>
    <n v="0.45"/>
    <n v="44.176500000000004"/>
  </r>
  <r>
    <s v="Logs_Reseau_Part_23.xlsx"/>
    <d v="2023-10-14T00:00:00"/>
    <s v="Pas de correspondance"/>
    <x v="1"/>
    <d v="1899-12-30T18:30:00"/>
    <s v="ANT-0312"/>
    <d v="1899-12-30T00:11:00"/>
    <n v="1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26T00:00:00"/>
    <s v="Pas de correspondance"/>
    <x v="1"/>
    <d v="1899-12-30T18:43:00"/>
    <s v="ANT-0912"/>
    <d v="1899-12-30T01:09:00"/>
    <n v="6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15T00:00:00"/>
    <s v="CLI-00185"/>
    <x v="25"/>
    <d v="1899-12-30T05:39:00"/>
    <s v="ANT-0521"/>
    <d v="1899-12-30T00:33:00"/>
    <n v="33"/>
    <n v="-10.318835"/>
    <n v="21.252382000000001"/>
    <x v="0"/>
    <s v="Ericsson"/>
    <s v="Résolu"/>
    <n v="81"/>
    <n v="6.75"/>
    <s v="Pro Monde"/>
    <s v="B2B"/>
    <n v="154"/>
    <d v="1899-12-30T02:34:00"/>
    <n v="19.47"/>
    <n v="3"/>
    <n v="0.1"/>
    <n v="1.9470000000000001"/>
  </r>
  <r>
    <s v="Logs_Reseau_Part_23.xlsx"/>
    <d v="2023-10-13T00:00:00"/>
    <s v="Pas de correspondance"/>
    <x v="1"/>
    <d v="1899-12-30T11:39:00"/>
    <s v="ANT-0576"/>
    <d v="1899-12-30T01:15:00"/>
    <n v="7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01T00:00:00"/>
    <s v="CLI-00530"/>
    <x v="17"/>
    <d v="1899-12-30T21:56:00"/>
    <s v="ANT-0212"/>
    <d v="1899-12-30T01:27:00"/>
    <n v="87"/>
    <n v="3.175935"/>
    <n v="16.862832000000001"/>
    <x v="2"/>
    <s v="Ericsson"/>
    <s v="Résolu"/>
    <n v="35"/>
    <n v="2.9166666666666665"/>
    <s v="Pro Monde"/>
    <s v="B2B"/>
    <n v="465"/>
    <d v="1899-12-30T07:45:00"/>
    <n v="58.59"/>
    <n v="5"/>
    <n v="0.45"/>
    <n v="26.365500000000001"/>
  </r>
  <r>
    <s v="Logs_Reseau_Part_23.xlsx"/>
    <d v="2023-10-27T00:00:00"/>
    <s v="CLI-01170"/>
    <x v="5"/>
    <d v="1899-12-30T23:57:00"/>
    <s v="ANT-0671"/>
    <d v="1899-12-30T00:53:00"/>
    <n v="53"/>
    <n v="-7.8373179999999998"/>
    <n v="20.527591999999999"/>
    <x v="0"/>
    <s v="Ericsson"/>
    <s v="En Cours"/>
    <n v="98"/>
    <n v="8.1666666666666661"/>
    <s v="Pro Monde"/>
    <s v="B2B"/>
    <n v="482"/>
    <d v="1899-12-30T08:02:00"/>
    <n v="55.04"/>
    <n v="5"/>
    <n v="0.45"/>
    <n v="24.768000000000001"/>
  </r>
  <r>
    <s v="Logs_Reseau_Part_23.xlsx"/>
    <d v="2023-10-05T00:00:00"/>
    <s v="Pas de correspondance"/>
    <x v="1"/>
    <d v="1899-12-30T15:58:00"/>
    <s v="ANT-0688"/>
    <d v="1899-12-30T00:56:00"/>
    <n v="5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16T00:00:00"/>
    <s v="Pas de correspondance"/>
    <x v="1"/>
    <d v="1899-12-30T03:56:00"/>
    <s v="ANT-0468"/>
    <d v="1899-12-30T01:49:00"/>
    <n v="10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14T00:00:00"/>
    <s v="Pas de correspondance"/>
    <x v="1"/>
    <d v="1899-12-30T14:02:00"/>
    <s v="ANT-0974"/>
    <d v="1899-12-30T00:35:00"/>
    <n v="3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03T00:00:00"/>
    <s v="Pas de correspondance"/>
    <x v="1"/>
    <d v="1899-12-30T08:41:00"/>
    <s v="ANT-0350"/>
    <d v="1899-12-30T00:15:00"/>
    <n v="1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11T00:00:00"/>
    <s v="CLI-00569"/>
    <x v="16"/>
    <d v="1899-12-30T00:45:00"/>
    <s v="ANT-0373"/>
    <d v="1899-12-30T01:03:00"/>
    <n v="63"/>
    <n v="-9.0798120000000004"/>
    <n v="14.945484"/>
    <x v="2"/>
    <s v="Ericsson"/>
    <s v="En Cours"/>
    <n v="110"/>
    <n v="9.1666666666666661"/>
    <s v="Pro Monde"/>
    <s v="B2B"/>
    <n v="423"/>
    <d v="1899-12-30T07:03:00"/>
    <n v="37.35"/>
    <n v="4"/>
    <n v="0.45"/>
    <n v="16.807500000000001"/>
  </r>
  <r>
    <s v="Logs_Reseau_Part_23.xlsx"/>
    <d v="2023-10-28T00:00:00"/>
    <s v="CLI-00611"/>
    <x v="21"/>
    <d v="1899-12-30T21:33:00"/>
    <s v="ANT-0846"/>
    <d v="1899-12-30T01:01:00"/>
    <n v="61"/>
    <n v="-7.1079169999999996"/>
    <n v="13.636272"/>
    <x v="2"/>
    <s v="Nokia"/>
    <s v="Résolu"/>
    <n v="79"/>
    <n v="6.583333333333333"/>
    <s v="Premium 5G 150Go"/>
    <s v="B2C"/>
    <n v="226"/>
    <d v="1899-12-30T03:46:00"/>
    <n v="94.38"/>
    <n v="3"/>
    <n v="0"/>
    <n v="0"/>
  </r>
  <r>
    <s v="Logs_Reseau_Part_23.xlsx"/>
    <d v="2023-10-25T00:00:00"/>
    <s v="Pas de correspondance"/>
    <x v="1"/>
    <d v="1899-12-30T23:36:00"/>
    <s v="ANT-0056"/>
    <d v="1899-12-30T01:47:00"/>
    <n v="10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24T00:00:00"/>
    <s v="CLI-00865"/>
    <x v="19"/>
    <d v="1899-12-30T18:14:00"/>
    <s v="ANT-0837"/>
    <d v="1899-12-30T01:18:00"/>
    <n v="78"/>
    <n v="-5.3762689999999997"/>
    <n v="28.189575999999999"/>
    <x v="2"/>
    <s v="Huawei"/>
    <s v="Non Résolu"/>
    <n v="34"/>
    <n v="2.8333333333333335"/>
    <s v="Pro Monde"/>
    <s v="B2B"/>
    <n v="453"/>
    <d v="1899-12-30T07:33:00"/>
    <n v="56.84"/>
    <n v="0"/>
    <n v="0.45"/>
    <n v="25.578000000000003"/>
  </r>
  <r>
    <s v="Logs_Reseau_Part_23.xlsx"/>
    <d v="2023-10-31T00:00:00"/>
    <s v="CLI-00894"/>
    <x v="13"/>
    <d v="1899-12-30T21:55:00"/>
    <s v="ANT-0229"/>
    <d v="1899-12-30T01:02:00"/>
    <n v="62"/>
    <n v="-1.9540519999999999"/>
    <n v="12.667945"/>
    <x v="0"/>
    <s v="Huawei"/>
    <s v="Résolu"/>
    <n v="63"/>
    <n v="5.25"/>
    <s v="Pro Monde"/>
    <s v="B2B"/>
    <n v="205"/>
    <d v="1899-12-30T03:25:00"/>
    <n v="89.19"/>
    <n v="0"/>
    <n v="0.1"/>
    <n v="8.9190000000000005"/>
  </r>
  <r>
    <s v="Logs_Reseau_Part_23.xlsx"/>
    <d v="2023-10-11T00:00:00"/>
    <s v="CLI-00439"/>
    <x v="22"/>
    <d v="1899-12-30T16:33:00"/>
    <s v="ANT-0865"/>
    <d v="1899-12-30T00:16:00"/>
    <n v="16"/>
    <n v="-4.869434"/>
    <n v="22.326522000000001"/>
    <x v="2"/>
    <s v="Ericsson"/>
    <s v="Résolu"/>
    <n v="40"/>
    <n v="3.3333333333333335"/>
    <s v="Premium 5G 150Go"/>
    <s v="B2C"/>
    <n v="345"/>
    <d v="1899-12-30T05:45:00"/>
    <n v="89.55"/>
    <n v="3"/>
    <n v="0.45"/>
    <n v="40.297499999999999"/>
  </r>
  <r>
    <s v="Logs_Reseau_Part_23.xlsx"/>
    <d v="2023-10-23T00:00:00"/>
    <s v="CLI-01325"/>
    <x v="26"/>
    <d v="1899-12-30T22:39:00"/>
    <s v="ANT-0466"/>
    <d v="1899-12-30T01:54:00"/>
    <n v="114"/>
    <n v="-9.6407190000000007"/>
    <n v="21.336704999999998"/>
    <x v="0"/>
    <s v="ZTE"/>
    <s v="Résolu"/>
    <n v="44"/>
    <n v="3.6666666666666665"/>
    <s v="Bloqué 5Go"/>
    <s v="B2C"/>
    <n v="348"/>
    <d v="1899-12-30T05:48:00"/>
    <n v="58.67"/>
    <n v="0"/>
    <n v="0.45"/>
    <n v="26.401500000000002"/>
  </r>
  <r>
    <s v="Logs_Reseau_Part_23.xlsx"/>
    <d v="2023-10-04T00:00:00"/>
    <s v="Pas de correspondance"/>
    <x v="1"/>
    <d v="1899-12-30T13:42:00"/>
    <s v="ANT-0340"/>
    <d v="1899-12-30T01:08:00"/>
    <n v="68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24T00:00:00"/>
    <s v="Pas de correspondance"/>
    <x v="1"/>
    <d v="1899-12-30T07:30:00"/>
    <s v="ANT-0574"/>
    <d v="1899-12-30T01:02:00"/>
    <n v="6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12T00:00:00"/>
    <s v="CLI-00280"/>
    <x v="7"/>
    <d v="1899-12-30T21:43:00"/>
    <s v="ANT-0786"/>
    <d v="1899-12-30T00:45:00"/>
    <n v="45"/>
    <n v="-12.342053999999999"/>
    <n v="18.756862000000002"/>
    <x v="3"/>
    <s v="Ericsson"/>
    <s v="En Cours"/>
    <n v="113"/>
    <n v="9.4166666666666661"/>
    <s v="Illimité 50Go"/>
    <s v="B2C"/>
    <n v="380"/>
    <d v="1899-12-30T06:20:00"/>
    <n v="12.11"/>
    <n v="0"/>
    <n v="0.45"/>
    <n v="5.4494999999999996"/>
  </r>
  <r>
    <s v="Logs_Reseau_Part_23.xlsx"/>
    <d v="2023-10-21T00:00:00"/>
    <s v="Pas de correspondance"/>
    <x v="1"/>
    <d v="1899-12-30T12:09:00"/>
    <s v="ANT-0635"/>
    <d v="1899-12-30T00:20:00"/>
    <n v="2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27T00:00:00"/>
    <s v="Pas de correspondance"/>
    <x v="1"/>
    <d v="1899-12-30T17:57:00"/>
    <s v="ANT-0615"/>
    <d v="1899-12-30T01:08:00"/>
    <n v="6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20T00:00:00"/>
    <s v="Pas de correspondance"/>
    <x v="1"/>
    <d v="1899-12-30T01:00:00"/>
    <s v="ANT-0485"/>
    <d v="1899-12-30T01:40:00"/>
    <n v="10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3.xlsx"/>
    <d v="2023-10-26T00:00:00"/>
    <s v="Pas de correspondance"/>
    <x v="1"/>
    <d v="1899-12-30T18:43:00"/>
    <s v="ANT-0912"/>
    <d v="1899-12-30T01:09:00"/>
    <n v="69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04T00:00:00"/>
    <s v="Pas de correspondance"/>
    <x v="1"/>
    <d v="1899-12-30T14:29:00"/>
    <s v="ANT-0753"/>
    <d v="1899-12-30T01:46:00"/>
    <n v="10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2T00:00:00"/>
    <s v="CLI-00060"/>
    <x v="3"/>
    <d v="1899-12-30T18:32:00"/>
    <s v="ANT-0527"/>
    <d v="1899-12-30T01:47:00"/>
    <n v="107"/>
    <n v="-4.4451280000000004"/>
    <n v="16.536944999999999"/>
    <x v="0"/>
    <s v="Ericsson"/>
    <s v="Résolu"/>
    <n v="72"/>
    <n v="6"/>
    <s v="Pro Monde"/>
    <s v="B2B"/>
    <n v="160"/>
    <d v="1899-12-30T02:40:00"/>
    <n v="90.13"/>
    <n v="2"/>
    <n v="0.1"/>
    <n v="9.0129999999999999"/>
  </r>
  <r>
    <s v="Logs_Reseau_Part_24.xlsx"/>
    <d v="2023-10-05T00:00:00"/>
    <s v="Pas de correspondance"/>
    <x v="1"/>
    <d v="1899-12-30T15:00:00"/>
    <s v="ANT-0123"/>
    <d v="1899-12-30T01:34:00"/>
    <n v="9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17T00:00:00"/>
    <s v="Pas de correspondance"/>
    <x v="1"/>
    <d v="1899-12-30T23:03:00"/>
    <s v="ANT-0387"/>
    <d v="1899-12-30T00:41:00"/>
    <n v="4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18T00:00:00"/>
    <s v="CLI-00060"/>
    <x v="3"/>
    <d v="1899-12-30T13:53:00"/>
    <s v="ANT-0042"/>
    <d v="1899-12-30T01:33:00"/>
    <n v="93"/>
    <n v="-10.735106"/>
    <n v="27.868673999999999"/>
    <x v="3"/>
    <s v="Ericsson"/>
    <s v="Non Résolu"/>
    <n v="72"/>
    <n v="6"/>
    <s v="Pro Monde"/>
    <s v="B2B"/>
    <n v="160"/>
    <d v="1899-12-30T02:40:00"/>
    <n v="90.13"/>
    <n v="2"/>
    <n v="0.1"/>
    <n v="9.0129999999999999"/>
  </r>
  <r>
    <s v="Logs_Reseau_Part_24.xlsx"/>
    <d v="2023-10-19T00:00:00"/>
    <s v="Pas de correspondance"/>
    <x v="1"/>
    <d v="1899-12-30T15:59:00"/>
    <s v="ANT-0439"/>
    <d v="1899-12-30T01:30:00"/>
    <n v="9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19T00:00:00"/>
    <s v="Pas de correspondance"/>
    <x v="1"/>
    <d v="1899-12-30T05:46:00"/>
    <s v="ANT-0570"/>
    <d v="1899-12-30T00:53:00"/>
    <n v="5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7T00:00:00"/>
    <s v="CLI-00894"/>
    <x v="13"/>
    <d v="1899-12-30T04:06:00"/>
    <s v="ANT-0271"/>
    <d v="1899-12-30T00:54:00"/>
    <n v="54"/>
    <n v="-5.1030600000000002"/>
    <n v="22.849231"/>
    <x v="2"/>
    <s v="ZTE"/>
    <s v="Résolu"/>
    <n v="63"/>
    <n v="5.25"/>
    <s v="Pro Monde"/>
    <s v="B2B"/>
    <n v="205"/>
    <d v="1899-12-30T03:25:00"/>
    <n v="89.19"/>
    <n v="0"/>
    <n v="0.1"/>
    <n v="8.9190000000000005"/>
  </r>
  <r>
    <s v="Logs_Reseau_Part_24.xlsx"/>
    <d v="2023-10-13T00:00:00"/>
    <s v="CLI-00569"/>
    <x v="16"/>
    <d v="1899-12-30T21:38:00"/>
    <s v="ANT-0134"/>
    <d v="1899-12-30T00:58:00"/>
    <n v="58"/>
    <n v="-10.963041"/>
    <n v="12.269857"/>
    <x v="0"/>
    <s v="Huawei"/>
    <s v="Résolu"/>
    <n v="110"/>
    <n v="9.1666666666666661"/>
    <s v="Pro Monde"/>
    <s v="B2B"/>
    <n v="423"/>
    <d v="1899-12-30T07:03:00"/>
    <n v="37.35"/>
    <n v="4"/>
    <n v="0.45"/>
    <n v="16.807500000000001"/>
  </r>
  <r>
    <s v="Logs_Reseau_Part_24.xlsx"/>
    <d v="2023-10-20T00:00:00"/>
    <s v="CLI-00280"/>
    <x v="7"/>
    <d v="1899-12-30T10:32:00"/>
    <s v="ANT-0165"/>
    <d v="1899-12-30T01:45:00"/>
    <n v="105"/>
    <n v="-0.54908599999999996"/>
    <n v="14.816867"/>
    <x v="2"/>
    <s v="ZTE"/>
    <s v="Non Résolu"/>
    <n v="113"/>
    <n v="9.4166666666666661"/>
    <s v="Illimité 50Go"/>
    <s v="B2C"/>
    <n v="380"/>
    <d v="1899-12-30T06:20:00"/>
    <n v="12.11"/>
    <n v="0"/>
    <n v="0.45"/>
    <n v="5.4494999999999996"/>
  </r>
  <r>
    <s v="Logs_Reseau_Part_24.xlsx"/>
    <d v="2023-10-29T00:00:00"/>
    <s v="Pas de correspondance"/>
    <x v="1"/>
    <d v="1899-12-30T12:26:00"/>
    <s v="ANT-0599"/>
    <d v="1899-12-30T01:32:00"/>
    <n v="92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0T00:00:00"/>
    <s v="Pas de correspondance"/>
    <x v="1"/>
    <d v="1899-12-30T22:48:00"/>
    <s v="ANT-0867"/>
    <d v="1899-12-30T00:45:00"/>
    <n v="4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08T00:00:00"/>
    <s v="Pas de correspondance"/>
    <x v="1"/>
    <d v="1899-12-30T08:25:00"/>
    <s v="ANT-0262"/>
    <d v="1899-12-30T01:15:00"/>
    <n v="7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31T00:00:00"/>
    <s v="CLI-00414"/>
    <x v="20"/>
    <d v="1899-12-30T10:18:00"/>
    <s v="ANT-0006"/>
    <d v="1899-12-30T00:11:00"/>
    <n v="11"/>
    <n v="-2.8532869999999999"/>
    <n v="22.117896000000002"/>
    <x v="2"/>
    <s v="Huawei"/>
    <s v="En Cours"/>
    <n v="99"/>
    <n v="8.25"/>
    <s v="Premium 5G 150Go"/>
    <s v="B2C"/>
    <n v="447"/>
    <d v="1899-12-30T07:27:00"/>
    <n v="38.1"/>
    <n v="3"/>
    <n v="0.45"/>
    <n v="17.145"/>
  </r>
  <r>
    <s v="Logs_Reseau_Part_24.xlsx"/>
    <d v="2023-10-15T00:00:00"/>
    <s v="CLI-00414"/>
    <x v="20"/>
    <d v="1899-12-30T04:08:00"/>
    <s v="ANT-0339"/>
    <d v="1899-12-30T00:06:00"/>
    <n v="6"/>
    <n v="-3.6945459999999999"/>
    <n v="16.809108999999999"/>
    <x v="2"/>
    <s v="ZTE"/>
    <s v="Résolu"/>
    <n v="99"/>
    <n v="8.25"/>
    <s v="Premium 5G 150Go"/>
    <s v="B2C"/>
    <n v="447"/>
    <d v="1899-12-30T07:27:00"/>
    <n v="38.1"/>
    <n v="3"/>
    <n v="0.45"/>
    <n v="17.145"/>
  </r>
  <r>
    <s v="Logs_Reseau_Part_24.xlsx"/>
    <d v="2023-10-14T00:00:00"/>
    <s v="Pas de correspondance"/>
    <x v="1"/>
    <d v="1899-12-30T19:44:00"/>
    <s v="ANT-0478"/>
    <d v="1899-12-30T01:40:00"/>
    <n v="10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9T00:00:00"/>
    <s v="Pas de correspondance"/>
    <x v="1"/>
    <d v="1899-12-30T23:32:00"/>
    <s v="ANT-0727"/>
    <d v="1899-12-30T00:37:00"/>
    <n v="3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10T00:00:00"/>
    <s v="Pas de correspondance"/>
    <x v="1"/>
    <d v="1899-12-30T22:35:00"/>
    <s v="ANT-0960"/>
    <d v="1899-12-30T00:30:00"/>
    <n v="3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8T00:00:00"/>
    <s v="CLI-01855"/>
    <x v="11"/>
    <d v="1899-12-30T10:45:00"/>
    <s v="ANT-0159"/>
    <d v="1899-12-30T01:24:00"/>
    <n v="84"/>
    <n v="2.4414509999999998"/>
    <n v="30.167489"/>
    <x v="2"/>
    <s v="Nokia"/>
    <s v="Non Résolu"/>
    <n v="101"/>
    <n v="8.4166666666666661"/>
    <s v="Illimité 50Go"/>
    <s v="B2C"/>
    <n v="358"/>
    <d v="1899-12-30T05:58:00"/>
    <n v="29.24"/>
    <n v="3"/>
    <n v="0.45"/>
    <n v="13.157999999999999"/>
  </r>
  <r>
    <s v="Logs_Reseau_Part_24.xlsx"/>
    <d v="2023-10-24T00:00:00"/>
    <s v="CLI-00076"/>
    <x v="6"/>
    <d v="1899-12-30T17:40:00"/>
    <s v="ANT-0041"/>
    <d v="1899-12-30T01:56:00"/>
    <n v="116"/>
    <n v="0.16841400000000001"/>
    <n v="30.029876999999999"/>
    <x v="2"/>
    <s v="Huawei"/>
    <s v="Non Résolu"/>
    <n v="46"/>
    <n v="3.8333333333333335"/>
    <s v="Premium 5G 150Go"/>
    <s v="B2C"/>
    <n v="283"/>
    <d v="1899-12-30T04:43:00"/>
    <n v="56.05"/>
    <n v="1"/>
    <n v="0.45"/>
    <n v="25.2225"/>
  </r>
  <r>
    <s v="Logs_Reseau_Part_24.xlsx"/>
    <d v="2023-10-07T00:00:00"/>
    <s v="Pas de correspondance"/>
    <x v="1"/>
    <d v="1899-12-30T06:13:00"/>
    <s v="ANT-0158"/>
    <d v="1899-12-30T01:44:00"/>
    <n v="104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0T00:00:00"/>
    <s v="Pas de correspondance"/>
    <x v="1"/>
    <d v="1899-12-30T22:18:00"/>
    <s v="ANT-0951"/>
    <d v="1899-12-30T01:55:00"/>
    <n v="11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2T00:00:00"/>
    <s v="Pas de correspondance"/>
    <x v="1"/>
    <d v="1899-12-30T11:58:00"/>
    <s v="ANT-0331"/>
    <d v="1899-12-30T01:56:00"/>
    <n v="11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2T00:00:00"/>
    <s v="CLI-00569"/>
    <x v="16"/>
    <d v="1899-12-30T04:45:00"/>
    <s v="ANT-0612"/>
    <d v="1899-12-30T01:01:00"/>
    <n v="61"/>
    <n v="-7.5129409999999996"/>
    <n v="18.701522000000001"/>
    <x v="0"/>
    <s v="Nokia"/>
    <s v="En Cours"/>
    <n v="110"/>
    <n v="9.1666666666666661"/>
    <s v="Pro Monde"/>
    <s v="B2B"/>
    <n v="423"/>
    <d v="1899-12-30T07:03:00"/>
    <n v="37.35"/>
    <n v="4"/>
    <n v="0.45"/>
    <n v="16.807500000000001"/>
  </r>
  <r>
    <s v="Logs_Reseau_Part_24.xlsx"/>
    <d v="2023-10-21T00:00:00"/>
    <s v="Pas de correspondance"/>
    <x v="1"/>
    <d v="1899-12-30T05:32:00"/>
    <s v="ANT-0053"/>
    <d v="1899-12-30T01:51:00"/>
    <n v="111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18T00:00:00"/>
    <s v="Pas de correspondance"/>
    <x v="1"/>
    <d v="1899-12-30T22:40:00"/>
    <s v="ANT-0793"/>
    <d v="1899-12-30T00:33:00"/>
    <n v="3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11T00:00:00"/>
    <s v="Pas de correspondance"/>
    <x v="1"/>
    <d v="1899-12-30T22:07:00"/>
    <s v="ANT-0955"/>
    <d v="1899-12-30T01:26:00"/>
    <n v="86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5T00:00:00"/>
    <s v="Pas de correspondance"/>
    <x v="1"/>
    <d v="1899-12-30T11:35:00"/>
    <s v="ANT-0641"/>
    <d v="1899-12-30T01:35:00"/>
    <n v="9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16T00:00:00"/>
    <s v="CLI-00745"/>
    <x v="9"/>
    <d v="1899-12-30T18:36:00"/>
    <s v="ANT-0631"/>
    <d v="1899-12-30T01:35:00"/>
    <n v="95"/>
    <n v="-0.85624699999999998"/>
    <n v="28.624870000000001"/>
    <x v="3"/>
    <s v="Ericsson"/>
    <s v="Non Résolu"/>
    <n v="6"/>
    <n v="0.5"/>
    <s v="Premium 5G 150Go"/>
    <s v="B2C"/>
    <n v="207"/>
    <d v="1899-12-30T03:27:00"/>
    <n v="61.55"/>
    <n v="0"/>
    <n v="0.45"/>
    <n v="27.697499999999998"/>
  </r>
  <r>
    <s v="Logs_Reseau_Part_24.xlsx"/>
    <d v="2023-10-31T00:00:00"/>
    <s v="Pas de correspondance"/>
    <x v="1"/>
    <d v="1899-12-30T21:45:00"/>
    <s v="ANT-0864"/>
    <d v="1899-12-30T01:27:00"/>
    <n v="87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14T00:00:00"/>
    <s v="CLI-00837"/>
    <x v="8"/>
    <d v="1899-12-30T21:47:00"/>
    <s v="ANT-0678"/>
    <d v="1899-12-30T00:52:00"/>
    <n v="52"/>
    <n v="-10.298385"/>
    <n v="29.698117"/>
    <x v="2"/>
    <s v="Nokia"/>
    <s v="Résolu"/>
    <n v="16"/>
    <n v="1.3333333333333333"/>
    <s v="Bloqué 5Go"/>
    <s v="B2C"/>
    <n v="390"/>
    <d v="1899-12-30T06:30:00"/>
    <n v="98.17"/>
    <n v="5"/>
    <n v="0.45"/>
    <n v="44.176500000000004"/>
  </r>
  <r>
    <s v="Logs_Reseau_Part_24.xlsx"/>
    <d v="2023-10-29T00:00:00"/>
    <s v="Pas de correspondance"/>
    <x v="1"/>
    <d v="1899-12-30T17:18:00"/>
    <s v="ant-0309"/>
    <d v="1899-12-30T01:41:00"/>
    <n v="10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9T00:00:00"/>
    <s v="Pas de correspondance"/>
    <x v="1"/>
    <d v="1899-12-30T13:51:00"/>
    <s v="ANT-0503"/>
    <d v="1899-12-30T01:20:00"/>
    <n v="8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01T00:00:00"/>
    <s v="CLI-01147"/>
    <x v="18"/>
    <d v="1899-12-30T16:06:00"/>
    <s v="ANT-0809"/>
    <d v="1899-12-30T01:14:00"/>
    <n v="74"/>
    <n v="-4.6426759999999998"/>
    <n v="22.124254000000001"/>
    <x v="0"/>
    <s v="ZTE"/>
    <s v="En Cours"/>
    <n v="29"/>
    <n v="2.4166666666666665"/>
    <s v="Premium 5G 150Go"/>
    <s v="B2C"/>
    <n v="214"/>
    <d v="1899-12-30T03:34:00"/>
    <n v="74.7"/>
    <n v="3"/>
    <n v="0.45"/>
    <n v="33.615000000000002"/>
  </r>
  <r>
    <s v="Logs_Reseau_Part_24.xlsx"/>
    <d v="2023-10-01T00:00:00"/>
    <s v="CLI-00076"/>
    <x v="6"/>
    <d v="1899-12-30T12:09:00"/>
    <s v="ANT-0587"/>
    <d v="1899-12-30T01:39:00"/>
    <n v="99"/>
    <n v="-10.945031"/>
    <n v="27.922274000000002"/>
    <x v="0"/>
    <s v="Ericsson"/>
    <s v="Résolu"/>
    <n v="46"/>
    <n v="3.8333333333333335"/>
    <s v="Premium 5G 150Go"/>
    <s v="B2C"/>
    <n v="283"/>
    <d v="1899-12-30T04:43:00"/>
    <n v="56.05"/>
    <n v="1"/>
    <n v="0.45"/>
    <n v="25.2225"/>
  </r>
  <r>
    <s v="Logs_Reseau_Part_24.xlsx"/>
    <d v="2023-10-02T00:00:00"/>
    <s v="CLI-00837"/>
    <x v="8"/>
    <d v="1899-12-30T21:03:00"/>
    <s v="ANT-0564"/>
    <d v="1899-12-30T01:22:00"/>
    <n v="82"/>
    <n v="-12.336202"/>
    <n v="13.693683999999999"/>
    <x v="2"/>
    <s v="Huawei"/>
    <s v="En Cours"/>
    <n v="16"/>
    <n v="1.3333333333333333"/>
    <s v="Bloqué 5Go"/>
    <s v="B2C"/>
    <n v="390"/>
    <d v="1899-12-30T06:30:00"/>
    <n v="98.17"/>
    <n v="5"/>
    <n v="0.45"/>
    <n v="44.176500000000004"/>
  </r>
  <r>
    <s v="Logs_Reseau_Part_24.xlsx"/>
    <d v="2023-10-07T00:00:00"/>
    <s v="Pas de correspondance"/>
    <x v="1"/>
    <d v="1899-12-30T08:48:00"/>
    <s v="ANT-0367"/>
    <d v="1899-12-30T00:30:00"/>
    <n v="3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6T00:00:00"/>
    <s v="Pas de correspondance"/>
    <x v="1"/>
    <d v="1899-12-30T05:18:00"/>
    <s v="ANT-0075"/>
    <d v="1899-12-30T01:44:00"/>
    <n v="10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2T00:00:00"/>
    <s v="Pas de correspondance"/>
    <x v="1"/>
    <d v="1899-12-30T08:09:00"/>
    <s v="ANT-0803"/>
    <d v="1899-12-30T01:37:00"/>
    <n v="9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7T00:00:00"/>
    <s v="Pas de correspondance"/>
    <x v="1"/>
    <d v="1899-12-30T01:44:00"/>
    <s v="ANT-0725"/>
    <d v="1899-12-30T00:29:00"/>
    <n v="29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6T00:00:00"/>
    <s v="Pas de correspondance"/>
    <x v="1"/>
    <d v="1899-12-30T09:13:00"/>
    <s v="ANT-0326"/>
    <d v="1899-12-30T00:42:00"/>
    <n v="4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5T00:00:00"/>
    <s v="Pas de correspondance"/>
    <x v="1"/>
    <d v="1899-12-30T17:02:00"/>
    <s v="ANT-0539"/>
    <d v="1899-12-30T01:02:00"/>
    <n v="6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12T00:00:00"/>
    <s v="Pas de correspondance"/>
    <x v="1"/>
    <d v="1899-12-30T14:06:00"/>
    <s v="ANT-0226"/>
    <d v="1899-12-30T00:27:00"/>
    <n v="2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0T00:00:00"/>
    <s v="Pas de correspondance"/>
    <x v="1"/>
    <d v="1899-12-30T21:47:00"/>
    <s v="ANT-0980"/>
    <d v="1899-12-30T01:32:00"/>
    <n v="9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18T00:00:00"/>
    <s v="Pas de correspondance"/>
    <x v="1"/>
    <d v="1899-12-30T07:47:00"/>
    <s v="ANT-0189"/>
    <d v="1899-12-30T00:14:00"/>
    <n v="14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1T00:00:00"/>
    <s v="CLI-01618"/>
    <x v="0"/>
    <d v="1899-12-30T17:24:00"/>
    <s v="ANT-0534"/>
    <d v="1899-12-30T00:28:00"/>
    <n v="28"/>
    <n v="-9.002459"/>
    <n v="25.182109000000001"/>
    <x v="2"/>
    <s v="Huawei"/>
    <s v="En Cours"/>
    <n v="115"/>
    <n v="9.5833333333333339"/>
    <s v="Bloqué 5Go"/>
    <s v="B2C"/>
    <n v="176"/>
    <d v="1899-12-30T02:56:00"/>
    <n v="33.28"/>
    <n v="4"/>
    <n v="0"/>
    <n v="0"/>
  </r>
  <r>
    <s v="Logs_Reseau_Part_24.xlsx"/>
    <d v="2023-10-08T00:00:00"/>
    <s v="Pas de correspondance"/>
    <x v="1"/>
    <d v="1899-12-30T16:50:00"/>
    <s v="ANT-0070"/>
    <d v="1899-12-30T00:27:00"/>
    <n v="2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4.xlsx"/>
    <d v="2023-10-20T00:00:00"/>
    <s v="Pas de correspondance"/>
    <x v="1"/>
    <d v="1899-12-30T22:18:00"/>
    <s v="ANT-0951"/>
    <d v="1899-12-30T01:55:00"/>
    <n v="115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31T00:00:00"/>
    <s v="Pas de correspondance"/>
    <x v="1"/>
    <d v="1899-12-30T17:34:00"/>
    <s v="ANT-0199"/>
    <d v="1899-12-30T00:52:00"/>
    <n v="52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01T00:00:00"/>
    <s v="Pas de correspondance"/>
    <x v="1"/>
    <d v="1899-12-30T20:04:00"/>
    <s v="ANT-0118"/>
    <d v="1899-12-30T00:06:00"/>
    <n v="6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07T00:00:00"/>
    <s v="Pas de correspondance"/>
    <x v="1"/>
    <d v="1899-12-30T21:40:00"/>
    <s v="ANT-0186"/>
    <d v="1899-12-30T01:15:00"/>
    <n v="75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25T00:00:00"/>
    <s v="Pas de correspondance"/>
    <x v="1"/>
    <d v="1899-12-30T06:55:00"/>
    <s v="ANT-0688"/>
    <d v="1899-12-30T01:56:00"/>
    <n v="11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22T00:00:00"/>
    <s v="Pas de correspondance"/>
    <x v="1"/>
    <d v="1899-12-30T13:53:00"/>
    <s v="ANT-0819"/>
    <d v="1899-12-30T01:16:00"/>
    <n v="76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04T00:00:00"/>
    <s v="Pas de correspondance"/>
    <x v="1"/>
    <d v="1899-12-30T06:34:00"/>
    <s v="ANT-0581"/>
    <d v="1899-12-30T00:23:00"/>
    <n v="2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27T00:00:00"/>
    <s v="Pas de correspondance"/>
    <x v="1"/>
    <d v="1899-12-30T22:56:00"/>
    <s v="ANT-0873"/>
    <d v="1899-12-30T00:20:00"/>
    <n v="2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24T00:00:00"/>
    <s v="Pas de correspondance"/>
    <x v="1"/>
    <d v="1899-12-30T13:41:00"/>
    <s v="ANT-0056"/>
    <d v="1899-12-30T00:10:00"/>
    <n v="10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27T00:00:00"/>
    <s v="CLI-01837"/>
    <x v="23"/>
    <d v="1899-12-30T02:47:00"/>
    <s v="ANT-0872"/>
    <d v="1899-12-30T00:05:00"/>
    <n v="5"/>
    <n v="2.486888"/>
    <n v="23.798074"/>
    <x v="2"/>
    <s v="ZTE"/>
    <s v="En Cours"/>
    <n v="97"/>
    <n v="8.0833333333333339"/>
    <s v="Pro Monde"/>
    <s v="B2B"/>
    <n v="319"/>
    <d v="1899-12-30T05:19:00"/>
    <n v="31.25"/>
    <n v="1"/>
    <n v="0.45"/>
    <n v="14.0625"/>
  </r>
  <r>
    <s v="Logs_Reseau_Part_25.xlsx"/>
    <d v="2023-10-22T00:00:00"/>
    <s v="Pas de correspondance"/>
    <x v="1"/>
    <d v="1899-12-30T04:01:00"/>
    <s v="ANT-0770"/>
    <d v="1899-12-30T01:18:00"/>
    <n v="7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15T00:00:00"/>
    <s v="Pas de correspondance"/>
    <x v="1"/>
    <d v="1899-12-30T22:21:00"/>
    <s v="ANT-0955"/>
    <d v="1899-12-30T01:21:00"/>
    <n v="81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02T00:00:00"/>
    <s v="CLI-00837"/>
    <x v="8"/>
    <d v="1899-12-30T02:04:00"/>
    <s v="ANT-0563"/>
    <d v="1899-12-30T00:55:00"/>
    <n v="55"/>
    <n v="-1.8555980000000001"/>
    <n v="30.421918000000002"/>
    <x v="3"/>
    <s v="ZTE"/>
    <s v="Résolu"/>
    <n v="16"/>
    <n v="1.3333333333333333"/>
    <s v="Bloqué 5Go"/>
    <s v="B2C"/>
    <n v="390"/>
    <d v="1899-12-30T06:30:00"/>
    <n v="98.17"/>
    <n v="5"/>
    <n v="0.45"/>
    <n v="44.176500000000004"/>
  </r>
  <r>
    <s v="Logs_Reseau_Part_25.xlsx"/>
    <d v="2023-10-02T00:00:00"/>
    <s v="Pas de correspondance"/>
    <x v="1"/>
    <d v="1899-12-30T05:50:00"/>
    <s v="ANT-0473"/>
    <d v="1899-12-30T01:13:00"/>
    <n v="73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09T00:00:00"/>
    <s v="Pas de correspondance"/>
    <x v="1"/>
    <d v="1899-12-30T17:04:00"/>
    <s v="ANT-0661"/>
    <d v="1899-12-30T01:15:00"/>
    <n v="7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19T00:00:00"/>
    <s v="CLI-00837"/>
    <x v="8"/>
    <d v="1899-12-30T07:58:00"/>
    <s v="ANT-0563"/>
    <d v="1899-12-30T00:15:00"/>
    <n v="15"/>
    <n v="-1.8555980000000001"/>
    <n v="30.421918000000002"/>
    <x v="3"/>
    <s v="ZTE"/>
    <s v="En Cours"/>
    <n v="16"/>
    <n v="1.3333333333333333"/>
    <s v="Bloqué 5Go"/>
    <s v="B2C"/>
    <n v="390"/>
    <d v="1899-12-30T06:30:00"/>
    <n v="98.17"/>
    <n v="5"/>
    <n v="0.45"/>
    <n v="44.176500000000004"/>
  </r>
  <r>
    <s v="Logs_Reseau_Part_25.xlsx"/>
    <d v="2023-10-09T00:00:00"/>
    <s v="Pas de correspondance"/>
    <x v="1"/>
    <d v="1899-12-30T13:24:00"/>
    <s v="ANT-0075"/>
    <d v="1899-12-30T00:44:00"/>
    <n v="44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15T00:00:00"/>
    <s v="CLI-01837"/>
    <x v="23"/>
    <d v="1899-12-30T20:25:00"/>
    <s v="ANT-0298"/>
    <d v="1899-12-30T00:31:00"/>
    <n v="31"/>
    <n v="-5.4073029999999997"/>
    <n v="29.762294000000001"/>
    <x v="3"/>
    <s v="Ericsson"/>
    <s v="En Cours"/>
    <n v="97"/>
    <n v="8.0833333333333339"/>
    <s v="Pro Monde"/>
    <s v="B2B"/>
    <n v="319"/>
    <d v="1899-12-30T05:19:00"/>
    <n v="31.25"/>
    <n v="1"/>
    <n v="0.45"/>
    <n v="14.0625"/>
  </r>
  <r>
    <s v="Logs_Reseau_Part_25.xlsx"/>
    <d v="2023-10-14T00:00:00"/>
    <s v="Pas de correspondance"/>
    <x v="1"/>
    <d v="1899-12-30T10:01:00"/>
    <s v="ANT-0688"/>
    <d v="1899-12-30T01:40:00"/>
    <n v="100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13T00:00:00"/>
    <s v="Pas de correspondance"/>
    <x v="1"/>
    <d v="1899-12-30T21:07:00"/>
    <s v="ANT-0069"/>
    <d v="1899-12-30T01:39:00"/>
    <n v="9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18T00:00:00"/>
    <s v="Pas de correspondance"/>
    <x v="1"/>
    <d v="1899-12-30T00:41:00"/>
    <s v="ANT-0257"/>
    <d v="1899-12-30T02:00:00"/>
    <n v="12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24T00:00:00"/>
    <s v="CLI-00439"/>
    <x v="22"/>
    <d v="1899-12-30T19:04:00"/>
    <s v="ANT-0101"/>
    <d v="1899-12-30T01:37:00"/>
    <n v="97"/>
    <n v="1.0134879999999999"/>
    <n v="20.363515"/>
    <x v="0"/>
    <s v="Nokia"/>
    <s v="Résolu"/>
    <n v="40"/>
    <n v="3.3333333333333335"/>
    <s v="Premium 5G 150Go"/>
    <s v="B2C"/>
    <n v="345"/>
    <d v="1899-12-30T05:45:00"/>
    <n v="89.55"/>
    <n v="3"/>
    <n v="0.45"/>
    <n v="40.297499999999999"/>
  </r>
  <r>
    <s v="Logs_Reseau_Part_25.xlsx"/>
    <d v="2023-10-25T00:00:00"/>
    <s v="Pas de correspondance"/>
    <x v="1"/>
    <d v="1899-12-30T23:37:00"/>
    <s v="ANT-0203"/>
    <d v="1899-12-30T00:49:00"/>
    <n v="49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02T00:00:00"/>
    <s v="Pas de correspondance"/>
    <x v="1"/>
    <d v="1899-12-30T22:54:00"/>
    <s v="ANT-0744"/>
    <d v="1899-12-30T00:32:00"/>
    <n v="32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03T00:00:00"/>
    <s v="Pas de correspondance"/>
    <x v="1"/>
    <d v="1899-12-30T11:59:00"/>
    <s v="ANT-0595"/>
    <d v="1899-12-30T00:57:00"/>
    <n v="57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17T00:00:00"/>
    <s v="CLI-00865"/>
    <x v="19"/>
    <d v="1899-12-30T03:18:00"/>
    <s v="ANT-0499"/>
    <d v="1899-12-30T02:00:00"/>
    <n v="120"/>
    <n v="-7.2267089999999996"/>
    <n v="28.421362999999999"/>
    <x v="2"/>
    <s v="Ericsson"/>
    <s v="Non Résolu"/>
    <n v="34"/>
    <n v="2.8333333333333335"/>
    <s v="Pro Monde"/>
    <s v="B2B"/>
    <n v="453"/>
    <d v="1899-12-30T07:33:00"/>
    <n v="56.84"/>
    <n v="0"/>
    <n v="0.45"/>
    <n v="25.578000000000003"/>
  </r>
  <r>
    <s v="Logs_Reseau_Part_25.xlsx"/>
    <d v="2023-10-26T00:00:00"/>
    <s v="CLI-01325"/>
    <x v="26"/>
    <d v="1899-12-30T21:19:00"/>
    <s v="ANT-0975"/>
    <d v="1899-12-30T01:27:00"/>
    <n v="87"/>
    <n v="-5.8145569999999998"/>
    <n v="21.942052"/>
    <x v="2"/>
    <s v="Huawei"/>
    <s v="En Cours"/>
    <n v="44"/>
    <n v="3.6666666666666665"/>
    <s v="Bloqué 5Go"/>
    <s v="B2C"/>
    <n v="348"/>
    <d v="1899-12-30T05:48:00"/>
    <n v="58.67"/>
    <n v="0"/>
    <n v="0.45"/>
    <n v="26.401500000000002"/>
  </r>
  <r>
    <s v="Logs_Reseau_Part_25.xlsx"/>
    <d v="2023-10-20T00:00:00"/>
    <s v="CLI-00414"/>
    <x v="20"/>
    <d v="1899-12-30T02:18:00"/>
    <s v="ANT-0339"/>
    <d v="1899-12-30T01:53:00"/>
    <n v="113"/>
    <n v="-3.6945459999999999"/>
    <n v="16.809108999999999"/>
    <x v="2"/>
    <s v="ZTE"/>
    <s v="En Cours"/>
    <n v="99"/>
    <n v="8.25"/>
    <s v="Premium 5G 150Go"/>
    <s v="B2C"/>
    <n v="447"/>
    <d v="1899-12-30T07:27:00"/>
    <n v="38.1"/>
    <n v="3"/>
    <n v="0.45"/>
    <n v="17.145"/>
  </r>
  <r>
    <s v="Logs_Reseau_Part_25.xlsx"/>
    <d v="2023-10-25T00:00:00"/>
    <s v="Pas de correspondance"/>
    <x v="1"/>
    <d v="1899-12-30T14:24:00"/>
    <s v="ANT-0366"/>
    <d v="1899-12-30T01:10:00"/>
    <n v="70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13T00:00:00"/>
    <s v="Pas de correspondance"/>
    <x v="1"/>
    <d v="1899-12-30T21:01:00"/>
    <s v="ANT-0132"/>
    <d v="1899-12-30T00:23:00"/>
    <n v="23"/>
    <s v="Pas de correspondance"/>
    <s v="Pas de correspondance"/>
    <x v="1"/>
    <s v="Pas de correspondance"/>
    <s v="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16T00:00:00"/>
    <s v="Pas de correspondance"/>
    <x v="1"/>
    <d v="1899-12-30T05:34:00"/>
    <s v="ANT-0688"/>
    <d v="1899-12-30T00:25:00"/>
    <n v="25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08T00:00:00"/>
    <s v="Pas de correspondance"/>
    <x v="1"/>
    <d v="1899-12-30T04:47:00"/>
    <s v="ANT-0672"/>
    <d v="1899-12-30T00:28:00"/>
    <n v="28"/>
    <s v="Pas de correspondance"/>
    <s v="Pas de correspondance"/>
    <x v="1"/>
    <s v="Pas de correspondance"/>
    <s v="Non Résolu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13T00:00:00"/>
    <s v="Pas de correspondance"/>
    <x v="1"/>
    <d v="1899-12-30T17:18:00"/>
    <s v="ANT-0241"/>
    <d v="1899-12-30T00:33:00"/>
    <n v="33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  <r>
    <s v="Logs_Reseau_Part_25.xlsx"/>
    <d v="2023-10-31T00:00:00"/>
    <s v="CLI-00643"/>
    <x v="12"/>
    <d v="1899-12-30T20:09:00"/>
    <s v="ANT-0103"/>
    <d v="1899-12-30T01:23:00"/>
    <n v="83"/>
    <n v="-0.79459900000000006"/>
    <n v="26.775570999999999"/>
    <x v="2"/>
    <s v="Huawei"/>
    <s v="En Cours"/>
    <n v="14"/>
    <n v="1.1666666666666667"/>
    <s v="Pro Monde"/>
    <s v="B2B"/>
    <n v="316"/>
    <d v="1899-12-30T05:16:00"/>
    <n v="62.34"/>
    <n v="4"/>
    <n v="0.45"/>
    <n v="28.053000000000001"/>
  </r>
  <r>
    <s v="Logs_Reseau_Part_25.xlsx"/>
    <d v="2023-10-10T00:00:00"/>
    <s v="CLI-00414"/>
    <x v="20"/>
    <d v="1899-12-30T21:56:00"/>
    <s v="ANT-0292"/>
    <d v="1899-12-30T01:51:00"/>
    <n v="111"/>
    <n v="-6.4197189999999997"/>
    <n v="22.287264"/>
    <x v="3"/>
    <s v="Ericsson"/>
    <s v="En Cours"/>
    <n v="99"/>
    <n v="8.25"/>
    <s v="Premium 5G 150Go"/>
    <s v="B2C"/>
    <n v="447"/>
    <d v="1899-12-30T07:27:00"/>
    <n v="38.1"/>
    <n v="3"/>
    <n v="0.45"/>
    <n v="17.145"/>
  </r>
  <r>
    <s v="Logs_Reseau_Part_25.xlsx"/>
    <d v="2023-10-30T00:00:00"/>
    <s v="Pas de correspondance"/>
    <x v="1"/>
    <d v="1899-12-30T23:41:00"/>
    <s v="ANT-0635"/>
    <d v="1899-12-30T00:37:00"/>
    <n v="37"/>
    <s v="Pas de correspondance"/>
    <s v="Pas de correspondance"/>
    <x v="1"/>
    <s v="Pas de correspondance"/>
    <s v="En Cours"/>
    <s v="Pas de correspondance"/>
    <s v=""/>
    <s v="Pas de correspondance"/>
    <s v="B2C"/>
    <s v="Pas de correspondance"/>
    <e v="#VALUE!"/>
    <s v="Pas de correspondance"/>
    <s v="Pas de correspondance"/>
    <e v="#VALUE!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283B9-012D-4418-80C1-DAD788036A04}" name="Tableau croisé dynamique2" cacheId="2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/>
  <pivotFields count="23">
    <pivotField showAll="0"/>
    <pivotField numFmtId="14" showAll="0"/>
    <pivotField showAll="0"/>
    <pivotField axis="axisRow" showAll="0">
      <items count="28">
        <item x="20"/>
        <item x="12"/>
        <item x="6"/>
        <item x="26"/>
        <item x="22"/>
        <item x="18"/>
        <item x="10"/>
        <item x="3"/>
        <item x="23"/>
        <item x="21"/>
        <item x="2"/>
        <item x="16"/>
        <item x="15"/>
        <item x="4"/>
        <item x="14"/>
        <item x="24"/>
        <item x="25"/>
        <item x="19"/>
        <item x="8"/>
        <item x="5"/>
        <item h="1" x="1"/>
        <item x="17"/>
        <item x="11"/>
        <item x="7"/>
        <item x="0"/>
        <item x="9"/>
        <item x="13"/>
        <item t="default"/>
      </items>
    </pivotField>
    <pivotField numFmtId="164"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me de Panne_Heure" fld="6" baseField="3" baseItem="0" numFmtId="46"/>
  </dataFields>
  <formats count="1">
    <format dxfId="321">
      <pivotArea outline="0" collapsedLevelsAreSubtotals="1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2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1"/>
              <x v="22"/>
              <x v="23"/>
              <x v="24"/>
              <x v="25"/>
              <x v="2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E0E27-3AEB-409B-9503-5AE7E631AC50}" name="Tableau croisé dynamique3" cacheId="2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06" firstHeaderRow="1" firstDataRow="1" firstDataCol="1"/>
  <pivotFields count="23">
    <pivotField showAll="0"/>
    <pivotField numFmtId="14" showAll="0"/>
    <pivotField showAll="0"/>
    <pivotField axis="axisRow" showAll="0">
      <items count="28">
        <item x="20"/>
        <item x="12"/>
        <item x="6"/>
        <item x="26"/>
        <item x="22"/>
        <item x="18"/>
        <item x="10"/>
        <item x="3"/>
        <item x="23"/>
        <item x="21"/>
        <item x="2"/>
        <item x="16"/>
        <item x="15"/>
        <item x="4"/>
        <item x="14"/>
        <item x="24"/>
        <item x="25"/>
        <item x="19"/>
        <item x="8"/>
        <item x="5"/>
        <item h="1" x="1"/>
        <item x="17"/>
        <item x="11"/>
        <item x="7"/>
        <item x="0"/>
        <item x="9"/>
        <item x="13"/>
        <item t="default"/>
      </items>
    </pivotField>
    <pivotField numFmtId="164" showAll="0"/>
    <pivotField showAll="0"/>
    <pivotField dataField="1" numFmtId="164" showAll="0"/>
    <pivotField showAll="0"/>
    <pivotField showAll="0"/>
    <pivotField showAll="0"/>
    <pivotField axis="axisRow" showAll="0">
      <items count="5">
        <item x="3"/>
        <item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10"/>
  </rowFields>
  <rowItems count="10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1"/>
    </i>
    <i r="1">
      <x v="2"/>
    </i>
    <i>
      <x v="23"/>
    </i>
    <i r="1">
      <x/>
    </i>
    <i r="1">
      <x v="1"/>
    </i>
    <i r="1">
      <x v="2"/>
    </i>
    <i>
      <x v="24"/>
    </i>
    <i r="1">
      <x/>
    </i>
    <i r="1">
      <x v="1"/>
    </i>
    <i r="1">
      <x v="2"/>
    </i>
    <i>
      <x v="25"/>
    </i>
    <i r="1">
      <x/>
    </i>
    <i r="1">
      <x v="1"/>
    </i>
    <i r="1">
      <x v="2"/>
    </i>
    <i>
      <x v="26"/>
    </i>
    <i r="1">
      <x/>
    </i>
    <i r="1">
      <x v="1"/>
    </i>
    <i r="1">
      <x v="2"/>
    </i>
    <i t="grand">
      <x/>
    </i>
  </rowItems>
  <colItems count="1">
    <i/>
  </colItems>
  <dataFields count="1">
    <dataField name="Somme de Panne_Heure" fld="6" baseField="3" baseItem="0" numFmtId="164"/>
  </dataFields>
  <formats count="53">
    <format dxfId="320">
      <pivotArea collapsedLevelsAreSubtotals="1" fieldPosition="0">
        <references count="1">
          <reference field="3" count="1">
            <x v="0"/>
          </reference>
        </references>
      </pivotArea>
    </format>
    <format dxfId="319">
      <pivotArea collapsedLevelsAreSubtotals="1" fieldPosition="0">
        <references count="2">
          <reference field="3" count="1" selected="0">
            <x v="0"/>
          </reference>
          <reference field="10" count="0"/>
        </references>
      </pivotArea>
    </format>
    <format dxfId="318">
      <pivotArea collapsedLevelsAreSubtotals="1" fieldPosition="0">
        <references count="1">
          <reference field="3" count="1">
            <x v="1"/>
          </reference>
        </references>
      </pivotArea>
    </format>
    <format dxfId="317">
      <pivotArea collapsedLevelsAreSubtotals="1" fieldPosition="0">
        <references count="2">
          <reference field="3" count="1" selected="0">
            <x v="1"/>
          </reference>
          <reference field="10" count="0"/>
        </references>
      </pivotArea>
    </format>
    <format dxfId="316">
      <pivotArea collapsedLevelsAreSubtotals="1" fieldPosition="0">
        <references count="1">
          <reference field="3" count="1">
            <x v="2"/>
          </reference>
        </references>
      </pivotArea>
    </format>
    <format dxfId="315">
      <pivotArea collapsedLevelsAreSubtotals="1" fieldPosition="0">
        <references count="2">
          <reference field="3" count="1" selected="0">
            <x v="2"/>
          </reference>
          <reference field="10" count="0"/>
        </references>
      </pivotArea>
    </format>
    <format dxfId="314">
      <pivotArea collapsedLevelsAreSubtotals="1" fieldPosition="0">
        <references count="1">
          <reference field="3" count="1">
            <x v="3"/>
          </reference>
        </references>
      </pivotArea>
    </format>
    <format dxfId="313">
      <pivotArea collapsedLevelsAreSubtotals="1" fieldPosition="0">
        <references count="2">
          <reference field="3" count="1" selected="0">
            <x v="3"/>
          </reference>
          <reference field="10" count="0"/>
        </references>
      </pivotArea>
    </format>
    <format dxfId="312">
      <pivotArea collapsedLevelsAreSubtotals="1" fieldPosition="0">
        <references count="1">
          <reference field="3" count="1">
            <x v="4"/>
          </reference>
        </references>
      </pivotArea>
    </format>
    <format dxfId="311">
      <pivotArea collapsedLevelsAreSubtotals="1" fieldPosition="0">
        <references count="2">
          <reference field="3" count="1" selected="0">
            <x v="4"/>
          </reference>
          <reference field="10" count="0"/>
        </references>
      </pivotArea>
    </format>
    <format dxfId="310">
      <pivotArea collapsedLevelsAreSubtotals="1" fieldPosition="0">
        <references count="1">
          <reference field="3" count="1">
            <x v="5"/>
          </reference>
        </references>
      </pivotArea>
    </format>
    <format dxfId="309">
      <pivotArea collapsedLevelsAreSubtotals="1" fieldPosition="0">
        <references count="2">
          <reference field="3" count="1" selected="0">
            <x v="5"/>
          </reference>
          <reference field="10" count="0"/>
        </references>
      </pivotArea>
    </format>
    <format dxfId="308">
      <pivotArea collapsedLevelsAreSubtotals="1" fieldPosition="0">
        <references count="1">
          <reference field="3" count="1">
            <x v="6"/>
          </reference>
        </references>
      </pivotArea>
    </format>
    <format dxfId="307">
      <pivotArea collapsedLevelsAreSubtotals="1" fieldPosition="0">
        <references count="2">
          <reference field="3" count="1" selected="0">
            <x v="6"/>
          </reference>
          <reference field="10" count="0"/>
        </references>
      </pivotArea>
    </format>
    <format dxfId="306">
      <pivotArea collapsedLevelsAreSubtotals="1" fieldPosition="0">
        <references count="1">
          <reference field="3" count="1">
            <x v="7"/>
          </reference>
        </references>
      </pivotArea>
    </format>
    <format dxfId="305">
      <pivotArea collapsedLevelsAreSubtotals="1" fieldPosition="0">
        <references count="2">
          <reference field="3" count="1" selected="0">
            <x v="7"/>
          </reference>
          <reference field="10" count="0"/>
        </references>
      </pivotArea>
    </format>
    <format dxfId="304">
      <pivotArea collapsedLevelsAreSubtotals="1" fieldPosition="0">
        <references count="1">
          <reference field="3" count="1">
            <x v="8"/>
          </reference>
        </references>
      </pivotArea>
    </format>
    <format dxfId="303">
      <pivotArea collapsedLevelsAreSubtotals="1" fieldPosition="0">
        <references count="2">
          <reference field="3" count="1" selected="0">
            <x v="8"/>
          </reference>
          <reference field="10" count="0"/>
        </references>
      </pivotArea>
    </format>
    <format dxfId="302">
      <pivotArea collapsedLevelsAreSubtotals="1" fieldPosition="0">
        <references count="1">
          <reference field="3" count="1">
            <x v="9"/>
          </reference>
        </references>
      </pivotArea>
    </format>
    <format dxfId="301">
      <pivotArea collapsedLevelsAreSubtotals="1" fieldPosition="0">
        <references count="2">
          <reference field="3" count="1" selected="0">
            <x v="9"/>
          </reference>
          <reference field="10" count="0"/>
        </references>
      </pivotArea>
    </format>
    <format dxfId="300">
      <pivotArea collapsedLevelsAreSubtotals="1" fieldPosition="0">
        <references count="1">
          <reference field="3" count="1">
            <x v="10"/>
          </reference>
        </references>
      </pivotArea>
    </format>
    <format dxfId="299">
      <pivotArea collapsedLevelsAreSubtotals="1" fieldPosition="0">
        <references count="2">
          <reference field="3" count="1" selected="0">
            <x v="10"/>
          </reference>
          <reference field="10" count="0"/>
        </references>
      </pivotArea>
    </format>
    <format dxfId="298">
      <pivotArea collapsedLevelsAreSubtotals="1" fieldPosition="0">
        <references count="1">
          <reference field="3" count="1">
            <x v="11"/>
          </reference>
        </references>
      </pivotArea>
    </format>
    <format dxfId="297">
      <pivotArea collapsedLevelsAreSubtotals="1" fieldPosition="0">
        <references count="2">
          <reference field="3" count="1" selected="0">
            <x v="11"/>
          </reference>
          <reference field="10" count="2">
            <x v="1"/>
            <x v="2"/>
          </reference>
        </references>
      </pivotArea>
    </format>
    <format dxfId="296">
      <pivotArea collapsedLevelsAreSubtotals="1" fieldPosition="0">
        <references count="1">
          <reference field="3" count="1">
            <x v="12"/>
          </reference>
        </references>
      </pivotArea>
    </format>
    <format dxfId="295">
      <pivotArea collapsedLevelsAreSubtotals="1" fieldPosition="0">
        <references count="2">
          <reference field="3" count="1" selected="0">
            <x v="12"/>
          </reference>
          <reference field="10" count="0"/>
        </references>
      </pivotArea>
    </format>
    <format dxfId="294">
      <pivotArea collapsedLevelsAreSubtotals="1" fieldPosition="0">
        <references count="1">
          <reference field="3" count="1">
            <x v="13"/>
          </reference>
        </references>
      </pivotArea>
    </format>
    <format dxfId="293">
      <pivotArea collapsedLevelsAreSubtotals="1" fieldPosition="0">
        <references count="2">
          <reference field="3" count="1" selected="0">
            <x v="13"/>
          </reference>
          <reference field="10" count="0"/>
        </references>
      </pivotArea>
    </format>
    <format dxfId="292">
      <pivotArea collapsedLevelsAreSubtotals="1" fieldPosition="0">
        <references count="1">
          <reference field="3" count="1">
            <x v="14"/>
          </reference>
        </references>
      </pivotArea>
    </format>
    <format dxfId="291">
      <pivotArea collapsedLevelsAreSubtotals="1" fieldPosition="0">
        <references count="2">
          <reference field="3" count="1" selected="0">
            <x v="14"/>
          </reference>
          <reference field="10" count="0"/>
        </references>
      </pivotArea>
    </format>
    <format dxfId="290">
      <pivotArea collapsedLevelsAreSubtotals="1" fieldPosition="0">
        <references count="1">
          <reference field="3" count="1">
            <x v="15"/>
          </reference>
        </references>
      </pivotArea>
    </format>
    <format dxfId="289">
      <pivotArea collapsedLevelsAreSubtotals="1" fieldPosition="0">
        <references count="2">
          <reference field="3" count="1" selected="0">
            <x v="15"/>
          </reference>
          <reference field="10" count="0"/>
        </references>
      </pivotArea>
    </format>
    <format dxfId="288">
      <pivotArea collapsedLevelsAreSubtotals="1" fieldPosition="0">
        <references count="1">
          <reference field="3" count="1">
            <x v="16"/>
          </reference>
        </references>
      </pivotArea>
    </format>
    <format dxfId="287">
      <pivotArea collapsedLevelsAreSubtotals="1" fieldPosition="0">
        <references count="2">
          <reference field="3" count="1" selected="0">
            <x v="16"/>
          </reference>
          <reference field="10" count="2">
            <x v="1"/>
            <x v="2"/>
          </reference>
        </references>
      </pivotArea>
    </format>
    <format dxfId="286">
      <pivotArea collapsedLevelsAreSubtotals="1" fieldPosition="0">
        <references count="1">
          <reference field="3" count="1">
            <x v="17"/>
          </reference>
        </references>
      </pivotArea>
    </format>
    <format dxfId="285">
      <pivotArea collapsedLevelsAreSubtotals="1" fieldPosition="0">
        <references count="2">
          <reference field="3" count="1" selected="0">
            <x v="17"/>
          </reference>
          <reference field="10" count="0"/>
        </references>
      </pivotArea>
    </format>
    <format dxfId="284">
      <pivotArea collapsedLevelsAreSubtotals="1" fieldPosition="0">
        <references count="1">
          <reference field="3" count="1">
            <x v="18"/>
          </reference>
        </references>
      </pivotArea>
    </format>
    <format dxfId="283">
      <pivotArea collapsedLevelsAreSubtotals="1" fieldPosition="0">
        <references count="2">
          <reference field="3" count="1" selected="0">
            <x v="18"/>
          </reference>
          <reference field="10" count="0"/>
        </references>
      </pivotArea>
    </format>
    <format dxfId="282">
      <pivotArea collapsedLevelsAreSubtotals="1" fieldPosition="0">
        <references count="1">
          <reference field="3" count="1">
            <x v="19"/>
          </reference>
        </references>
      </pivotArea>
    </format>
    <format dxfId="281">
      <pivotArea collapsedLevelsAreSubtotals="1" fieldPosition="0">
        <references count="2">
          <reference field="3" count="1" selected="0">
            <x v="19"/>
          </reference>
          <reference field="10" count="0"/>
        </references>
      </pivotArea>
    </format>
    <format dxfId="280">
      <pivotArea collapsedLevelsAreSubtotals="1" fieldPosition="0">
        <references count="1">
          <reference field="3" count="1">
            <x v="21"/>
          </reference>
        </references>
      </pivotArea>
    </format>
    <format dxfId="279">
      <pivotArea collapsedLevelsAreSubtotals="1" fieldPosition="0">
        <references count="2">
          <reference field="3" count="1" selected="0">
            <x v="21"/>
          </reference>
          <reference field="10" count="0"/>
        </references>
      </pivotArea>
    </format>
    <format dxfId="278">
      <pivotArea collapsedLevelsAreSubtotals="1" fieldPosition="0">
        <references count="1">
          <reference field="3" count="1">
            <x v="22"/>
          </reference>
        </references>
      </pivotArea>
    </format>
    <format dxfId="277">
      <pivotArea collapsedLevelsAreSubtotals="1" fieldPosition="0">
        <references count="2">
          <reference field="3" count="1" selected="0">
            <x v="22"/>
          </reference>
          <reference field="10" count="0"/>
        </references>
      </pivotArea>
    </format>
    <format dxfId="276">
      <pivotArea collapsedLevelsAreSubtotals="1" fieldPosition="0">
        <references count="1">
          <reference field="3" count="1">
            <x v="23"/>
          </reference>
        </references>
      </pivotArea>
    </format>
    <format dxfId="275">
      <pivotArea collapsedLevelsAreSubtotals="1" fieldPosition="0">
        <references count="2">
          <reference field="3" count="1" selected="0">
            <x v="23"/>
          </reference>
          <reference field="10" count="0"/>
        </references>
      </pivotArea>
    </format>
    <format dxfId="274">
      <pivotArea collapsedLevelsAreSubtotals="1" fieldPosition="0">
        <references count="1">
          <reference field="3" count="1">
            <x v="24"/>
          </reference>
        </references>
      </pivotArea>
    </format>
    <format dxfId="273">
      <pivotArea collapsedLevelsAreSubtotals="1" fieldPosition="0">
        <references count="2">
          <reference field="3" count="1" selected="0">
            <x v="24"/>
          </reference>
          <reference field="10" count="0"/>
        </references>
      </pivotArea>
    </format>
    <format dxfId="272">
      <pivotArea collapsedLevelsAreSubtotals="1" fieldPosition="0">
        <references count="1">
          <reference field="3" count="1">
            <x v="25"/>
          </reference>
        </references>
      </pivotArea>
    </format>
    <format dxfId="271">
      <pivotArea collapsedLevelsAreSubtotals="1" fieldPosition="0">
        <references count="2">
          <reference field="3" count="1" selected="0">
            <x v="25"/>
          </reference>
          <reference field="10" count="0"/>
        </references>
      </pivotArea>
    </format>
    <format dxfId="270">
      <pivotArea collapsedLevelsAreSubtotals="1" fieldPosition="0">
        <references count="1">
          <reference field="3" count="1">
            <x v="26"/>
          </reference>
        </references>
      </pivotArea>
    </format>
    <format dxfId="269">
      <pivotArea collapsedLevelsAreSubtotals="1" fieldPosition="0">
        <references count="2">
          <reference field="3" count="1" selected="0">
            <x v="26"/>
          </reference>
          <reference field="10" count="0"/>
        </references>
      </pivotArea>
    </format>
    <format dxfId="26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AA55E235-C70B-494C-B41D-3B3EF65B4C11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438264D7-A9C3-4601-B91E-6B2D974AE29D}" autoFormatId="16" applyNumberFormats="0" applyBorderFormats="0" applyFontFormats="0" applyPatternFormats="0" applyAlignmentFormats="0" applyWidthHeightFormats="0">
  <queryTableRefresh nextId="12">
    <queryTableFields count="7">
      <queryTableField id="1" name="Source.Name" tableColumnId="1"/>
      <queryTableField id="10" dataBound="0" tableColumnId="8"/>
      <queryTableField id="6" name="Date_Heure_Panne.1" tableColumnId="6"/>
      <queryTableField id="7" name="Date_Heure_Panne.2" tableColumnId="7"/>
      <queryTableField id="3" name="Cell_ID" tableColumnId="3"/>
      <queryTableField id="4" name="Duree_Panne_Min" tableColumnId="4"/>
      <queryTableField id="5" name="Statut_Resolut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97C99E3F-0C78-46DC-B970-E10240C8893B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BFF4A24-9407-40E5-A41B-8237CD430455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ID_Client" tableColumnId="2"/>
      <queryTableField id="9" dataBound="0" tableColumnId="9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55911295-5006-4B98-A0E4-E63B10099AD3}" autoFormatId="16" applyNumberFormats="0" applyBorderFormats="0" applyFontFormats="0" applyPatternFormats="0" applyAlignmentFormats="0" applyWidthHeightFormats="0">
  <queryTableRefresh nextId="18" unboundColumnsRight="5">
    <queryTableFields count="11">
      <queryTableField id="1" name="Source.Name" tableColumnId="1"/>
      <queryTableField id="6" name="Date_Panne" tableColumnId="6"/>
      <queryTableField id="7" name="Heure_Panne" tableColumnId="7"/>
      <queryTableField id="3" name="Cell_ID" tableColumnId="3"/>
      <queryTableField id="4" name="Duree_Panne_Min" tableColumnId="4"/>
      <queryTableField id="5" name="Statut_Resolution" tableColumnId="5"/>
      <queryTableField id="11" dataBound="0" tableColumnId="8"/>
      <queryTableField id="12" dataBound="0" tableColumnId="9"/>
      <queryTableField id="13" dataBound="0" tableColumnId="10"/>
      <queryTableField id="14" dataBound="0" tableColumnId="11"/>
      <queryTableField id="15" dataBound="0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7" xr16:uid="{0501976A-9948-44C0-99B6-4FFA6CD366B3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Source.Name" tableColumnId="1"/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5208891E-1844-4F50-969F-95089540B421}" autoFormatId="16" applyNumberFormats="0" applyBorderFormats="0" applyFontFormats="0" applyPatternFormats="0" applyAlignmentFormats="0" applyWidthHeightFormats="0">
  <queryTableRefresh nextId="36" unboundColumnsRight="10">
    <queryTableFields count="23">
      <queryTableField id="1" name="Source.Name" tableColumnId="1"/>
      <queryTableField id="6" name="Date_Panne" tableColumnId="6"/>
      <queryTableField id="18" dataBound="0" tableColumnId="16"/>
      <queryTableField id="14" dataBound="0" tableColumnId="12"/>
      <queryTableField id="7" name="Heure_Panne" tableColumnId="7"/>
      <queryTableField id="3" name="Cell_ID" tableColumnId="3"/>
      <queryTableField id="15" dataBound="0" tableColumnId="13"/>
      <queryTableField id="4" name="Duree_Panne_Min" tableColumnId="4"/>
      <queryTableField id="13" dataBound="0" tableColumnId="11"/>
      <queryTableField id="12" dataBound="0" tableColumnId="10"/>
      <queryTableField id="17" dataBound="0" tableColumnId="15"/>
      <queryTableField id="16" dataBound="0" tableColumnId="14"/>
      <queryTableField id="5" name="Statut_Resolution" tableColumnId="5"/>
      <queryTableField id="20" dataBound="0" tableColumnId="18"/>
      <queryTableField id="27" dataBound="0" tableColumnId="23"/>
      <queryTableField id="21" dataBound="0" tableColumnId="19"/>
      <queryTableField id="28" dataBound="0" tableColumnId="24"/>
      <queryTableField id="22" dataBound="0" tableColumnId="20"/>
      <queryTableField id="31" dataBound="0" tableColumnId="27"/>
      <queryTableField id="23" dataBound="0" tableColumnId="21"/>
      <queryTableField id="24" dataBound="0" tableColumnId="22"/>
      <queryTableField id="29" dataBound="0" tableColumnId="25"/>
      <queryTableField id="30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208C6E-6CAD-4148-AD59-B3AB659ED7FD}" name="Clients_Churn__2" displayName="Clients_Churn__2" ref="A1:H749" tableType="queryTable" totalsRowShown="0">
  <autoFilter ref="A1:H749" xr:uid="{19208C6E-6CAD-4148-AD59-B3AB659ED7FD}"/>
  <tableColumns count="8">
    <tableColumn id="1" xr3:uid="{44C06A35-7EC0-4215-A17B-21A2018EBBBB}" uniqueName="1" name="Source.Name" queryTableFieldId="1" dataDxfId="49"/>
    <tableColumn id="2" xr3:uid="{23428B0C-817B-4BB1-9FEA-38D17DEEF17B}" uniqueName="2" name="ID_Client" queryTableFieldId="2" dataDxfId="48"/>
    <tableColumn id="3" xr3:uid="{55C99576-A18A-4793-B7ED-8AAAFAD73448}" uniqueName="3" name="Province_Client" queryTableFieldId="3" dataDxfId="47"/>
    <tableColumn id="4" xr3:uid="{653E4FB6-6034-461F-957D-8FFBCE81CDFD}" uniqueName="4" name="Anciennete_Mois" queryTableFieldId="4"/>
    <tableColumn id="5" xr3:uid="{3AE4075C-C6D7-4AB8-9694-E32D38A36088}" uniqueName="5" name="Type_Forfait" queryTableFieldId="5" dataDxfId="46"/>
    <tableColumn id="6" xr3:uid="{9B6F001C-3638-41A0-A35D-F37FF1044EAC}" uniqueName="6" name="Duree_Cumulee_Panne_Min" queryTableFieldId="6"/>
    <tableColumn id="7" xr3:uid="{2B8B23B4-665E-40EF-9B20-6E1C8E995D1F}" uniqueName="7" name="Facture_Mensuelle" queryTableFieldId="7"/>
    <tableColumn id="8" xr3:uid="{69976589-5904-46D1-91BC-9D48F259DB23}" uniqueName="8" name="Plaintes_Service_Client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FA032E-8C68-47E0-90CB-813592972B0F}" name="Logs__3" displayName="Logs__3" ref="A1:G1080" tableType="queryTable" totalsRowShown="0">
  <autoFilter ref="A1:G1080" xr:uid="{32FA032E-8C68-47E0-90CB-813592972B0F}"/>
  <tableColumns count="7">
    <tableColumn id="1" xr3:uid="{DD320479-51B3-48DB-8141-DBDA309090C7}" uniqueName="1" name="Source.Name" queryTableFieldId="1" dataDxfId="45"/>
    <tableColumn id="8" xr3:uid="{56E6587B-E866-4158-BAC0-C01DA5FAC424}" uniqueName="8" name="Province_RDC" queryTableFieldId="10" dataDxfId="322">
      <calculatedColumnFormula>_xlfn.XLOOKUP(Logs__3[[#This Row],[Cell_ID]],Registre_Maintenance[ID_Antenne],Registre_Maintenance[Province_RDC],"Pas de correspondance")</calculatedColumnFormula>
    </tableColumn>
    <tableColumn id="6" xr3:uid="{3D8AE322-2249-49D5-90B5-DEBC9F994103}" uniqueName="6" name="Date_Heure_Panne.1" queryTableFieldId="6" dataDxfId="44"/>
    <tableColumn id="7" xr3:uid="{FEC64CEF-8053-423E-943B-B47866D3F22A}" uniqueName="7" name="Date_Heure_Panne.2" queryTableFieldId="7" dataDxfId="43"/>
    <tableColumn id="3" xr3:uid="{F2B0C0A5-D142-4768-A3EB-18C68774B122}" uniqueName="3" name="Cell_ID" queryTableFieldId="3" dataDxfId="42"/>
    <tableColumn id="4" xr3:uid="{9B98B6BF-0C5B-4ADF-AF2A-F64D330BE37F}" uniqueName="4" name="Duree_Panne_Min" queryTableFieldId="4"/>
    <tableColumn id="5" xr3:uid="{7F5EDFA6-6B0C-48BD-8117-BD97BE8904A9}" uniqueName="5" name="Statut_Resolution" queryTableFieldId="5" dataDxfId="4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5E856B-A175-4AB7-AA38-259D60F1D374}" name="Registre_Maintenance" displayName="Registre_Maintenance" ref="A1:G400" tableType="queryTable" totalsRowShown="0">
  <autoFilter ref="A1:G400" xr:uid="{815E856B-A175-4AB7-AA38-259D60F1D374}"/>
  <tableColumns count="7">
    <tableColumn id="1" xr3:uid="{EAF7F680-A629-40F1-9698-DAF7F537F550}" uniqueName="1" name="Source.Name" queryTableFieldId="1" dataDxfId="13"/>
    <tableColumn id="2" xr3:uid="{034DDF0B-5C49-4159-A592-8F078927A85E}" uniqueName="2" name="ID_Antenne" queryTableFieldId="2" dataDxfId="12"/>
    <tableColumn id="3" xr3:uid="{1CC450FF-4C4B-47E1-9A01-3EA98D9C0E58}" uniqueName="3" name="Province_RDC" queryTableFieldId="3" dataDxfId="11"/>
    <tableColumn id="4" xr3:uid="{87ABAF51-D47B-4A8C-937F-6A88B3A74BE4}" uniqueName="4" name="Latitude" queryTableFieldId="4"/>
    <tableColumn id="5" xr3:uid="{642A8439-D1D5-4A38-8B0A-F32BE65C0D32}" uniqueName="5" name="Longitude" queryTableFieldId="5"/>
    <tableColumn id="6" xr3:uid="{32C05C95-1354-49AF-A9E9-9CFE757616C9}" uniqueName="6" name="Technologie" queryTableFieldId="6" dataDxfId="10"/>
    <tableColumn id="7" xr3:uid="{29BA4D26-226A-4B36-B2EA-D05E78460BC8}" uniqueName="7" name="Equipementier" queryTableFieldId="7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D9287-7838-4490-879E-D439D3F9047B}" name="Clients_Churn" displayName="Clients_Churn" ref="A1:I745" tableType="queryTable" totalsRowShown="0">
  <autoFilter ref="A1:I745" xr:uid="{4DED9287-7838-4490-879E-D439D3F9047B}"/>
  <tableColumns count="9">
    <tableColumn id="1" xr3:uid="{456D594A-0098-4F03-99C4-0566C4E3E98C}" uniqueName="1" name="Source.Name" queryTableFieldId="1" dataDxfId="40"/>
    <tableColumn id="2" xr3:uid="{A12497FE-BEB7-4C53-9862-78AE756D6CED}" uniqueName="2" name="ID_Client" queryTableFieldId="2" dataDxfId="39"/>
    <tableColumn id="9" xr3:uid="{D7369F2B-17E9-460F-B789-2AB0A1108EAC}" uniqueName="9" name="Cell_ID" queryTableFieldId="9" dataDxfId="38">
      <calculatedColumnFormula>_xlfn.XLOOKUP(Clients_Churn[[#This Row],[Province_Client]],Logs_Reseau!B:B,Logs_Reseau!E:E,"Pas de correspondance")</calculatedColumnFormula>
    </tableColumn>
    <tableColumn id="3" xr3:uid="{F7025471-1813-4B14-83E1-C07754D8821F}" uniqueName="3" name="Province_Client" queryTableFieldId="3" dataDxfId="37"/>
    <tableColumn id="4" xr3:uid="{1AB0BD97-1C50-4165-A63B-7591756BE3D2}" uniqueName="4" name="Anciennete_Mois" queryTableFieldId="4"/>
    <tableColumn id="5" xr3:uid="{635425D7-68E1-4215-B51B-0C595D9CAADB}" uniqueName="5" name="Type_Forfait" queryTableFieldId="5" dataDxfId="36"/>
    <tableColumn id="6" xr3:uid="{A3645713-0F78-404C-ABB2-E8F295A1A16B}" uniqueName="6" name="Duree_Cumulee_Panne_Min" queryTableFieldId="6"/>
    <tableColumn id="7" xr3:uid="{E269F39E-0B42-4798-855F-73E465852109}" uniqueName="7" name="Facture_Mensuelle" queryTableFieldId="7"/>
    <tableColumn id="8" xr3:uid="{FCE00938-68D3-46C2-BD76-E128C0BBD3C8}" uniqueName="8" name="Plaintes_Service_Client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1ABD44-48F6-4E69-ABF0-C6D4E5239A0A}" name="Logs__2" displayName="Logs__2" ref="A1:K1078" tableType="queryTable" totalsRowShown="0">
  <autoFilter ref="A1:K1078" xr:uid="{201ABD44-48F6-4E69-ABF0-C6D4E5239A0A}">
    <filterColumn colId="6">
      <filters>
        <filter val="Bas-Uele"/>
        <filter val="Equateur"/>
        <filter val="Haut-Katanga"/>
        <filter val="Haut-Lomami"/>
        <filter val="Haut-Uele"/>
        <filter val="Ituri"/>
        <filter val="Kasai"/>
        <filter val="Kasai-Central"/>
        <filter val="Kasai-Oriental"/>
        <filter val="Kinshasa"/>
        <filter val="Kongo-Central"/>
        <filter val="Kwango"/>
        <filter val="Kwilu"/>
        <filter val="Lomami"/>
        <filter val="Lualaba"/>
        <filter val="Mai-Ndombe"/>
        <filter val="Maniema"/>
        <filter val="Mongala"/>
        <filter val="Nord-Kivu"/>
        <filter val="Nord-Ubangi"/>
        <filter val="Sankuru"/>
        <filter val="Sud-Kivu"/>
        <filter val="Sud-Ubangi"/>
        <filter val="Tanganyika"/>
        <filter val="Tshopo"/>
        <filter val="Tshuapa"/>
      </filters>
    </filterColumn>
  </autoFilter>
  <tableColumns count="11">
    <tableColumn id="1" xr3:uid="{E5408DAF-023F-4DFB-9742-758B0001982E}" uniqueName="1" name="Source.Name" queryTableFieldId="1" dataDxfId="35"/>
    <tableColumn id="6" xr3:uid="{3A0B3817-988C-485B-9F8E-FDDACFC40AF3}" uniqueName="6" name="Date_Panne" queryTableFieldId="6" dataDxfId="34"/>
    <tableColumn id="7" xr3:uid="{D334A86F-5BBA-4D52-B3F4-926F63D64A38}" uniqueName="7" name="Heure_Panne" queryTableFieldId="7" dataDxfId="33"/>
    <tableColumn id="3" xr3:uid="{2160D7C0-3EBA-47E7-914C-74C1078BB10C}" uniqueName="3" name="Cell_ID" queryTableFieldId="3" dataDxfId="32"/>
    <tableColumn id="4" xr3:uid="{E31EC80A-E784-4410-9A2D-117405BA45FE}" uniqueName="4" name="Duree_Panne_Min" queryTableFieldId="4"/>
    <tableColumn id="5" xr3:uid="{0358B3D0-F79D-4C62-8821-21D542251D55}" uniqueName="5" name="Statut_Resolution" queryTableFieldId="5" dataDxfId="31"/>
    <tableColumn id="8" xr3:uid="{AAB69060-674D-44C5-82FC-C7FB07996487}" uniqueName="8" name="Province_RDC" queryTableFieldId="11" dataDxfId="331">
      <calculatedColumnFormula>_xlfn.XLOOKUP(Logs__2[[#This Row],[Cell_ID]],'Registre_Maintenance'!B:B,'Registre_Maintenance'!C:C,"Pas de correspondance")</calculatedColumnFormula>
    </tableColumn>
    <tableColumn id="9" xr3:uid="{1851ED34-D4F4-4AF4-9A59-AB42825392B4}" uniqueName="9" name="Latitude" queryTableFieldId="12" dataDxfId="330">
      <calculatedColumnFormula>_xlfn.XLOOKUP(Logs__2[[#This Row],[Cell_ID]],'Registre_Maintenance'!B:B,'Registre_Maintenance'!D:D,"Pas de correspondance")</calculatedColumnFormula>
    </tableColumn>
    <tableColumn id="10" xr3:uid="{0D81AFB1-7714-4CB3-9237-C8A2DC693360}" uniqueName="10" name="Longitude" queryTableFieldId="13" dataDxfId="329">
      <calculatedColumnFormula>_xlfn.XLOOKUP(Logs__2[[#This Row],[Cell_ID]],'Registre_Maintenance'!B:B,'Registre_Maintenance'!E:E,"Pas de correspondance")</calculatedColumnFormula>
    </tableColumn>
    <tableColumn id="11" xr3:uid="{0C6AB791-7D17-462F-85E0-AE14E69D9611}" uniqueName="11" name="Technologie" queryTableFieldId="14" dataDxfId="328">
      <calculatedColumnFormula>_xlfn.XLOOKUP(Logs__2[[#This Row],[Cell_ID]],'Registre_Maintenance'!B:B,'Registre_Maintenance'!F:F,"Pas de correspondance")</calculatedColumnFormula>
    </tableColumn>
    <tableColumn id="12" xr3:uid="{6E2E78A0-ED00-41AE-9A91-D054689E171E}" uniqueName="12" name="Equipementier" queryTableFieldId="15" dataDxfId="327">
      <calculatedColumnFormula>_xlfn.XLOOKUP(Logs__2[[#This Row],[Cell_ID]],'Registre_Maintenance'!B:B,'Registre_Maintenance'!G:G,"Pas de correspondance")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F8EBD3-5E35-4ADE-B320-2205DC4FE0BA}" name="Registre_Maintenance__2" displayName="Registre_Maintenance__2" ref="A1:K400" tableType="queryTable" totalsRowShown="0">
  <autoFilter ref="A1:K400" xr:uid="{5EF8EBD3-5E35-4ADE-B320-2205DC4FE0BA}"/>
  <tableColumns count="11">
    <tableColumn id="1" xr3:uid="{77F94C3E-98A7-48F5-93FA-93BDC271103C}" uniqueName="1" name="Source.Name" queryTableFieldId="1" dataDxfId="8"/>
    <tableColumn id="2" xr3:uid="{97236B67-06B2-4620-B94B-82B304B94E91}" uniqueName="2" name="ID_Antenne" queryTableFieldId="2" dataDxfId="7"/>
    <tableColumn id="3" xr3:uid="{79A77068-2DD7-4A25-BAAA-DC2D9AF9A8E8}" uniqueName="3" name="Province_RDC" queryTableFieldId="3" dataDxfId="6"/>
    <tableColumn id="4" xr3:uid="{E477F8DC-8BA0-4AAB-BE6C-FE4EC5896357}" uniqueName="4" name="Latitude" queryTableFieldId="4"/>
    <tableColumn id="5" xr3:uid="{7D437B47-253D-4704-A41F-FAEC24A0A987}" uniqueName="5" name="Longitude" queryTableFieldId="5"/>
    <tableColumn id="6" xr3:uid="{7C2114B0-2CFD-4433-8368-E3ACAC1921EF}" uniqueName="6" name="Technologie" queryTableFieldId="6" dataDxfId="5"/>
    <tableColumn id="7" xr3:uid="{7B4D4E67-5BA2-4970-9F83-8DA371D13C31}" uniqueName="7" name="Equipementier" queryTableFieldId="7" dataDxfId="4"/>
    <tableColumn id="8" xr3:uid="{2051D25B-1B62-4D84-AF24-C9D4613D7392}" uniqueName="8" name="Date_Panne" queryTableFieldId="8" dataDxfId="3">
      <calculatedColumnFormula>_xlfn.XLOOKUP(Registre_Maintenance__2[[#This Row],[ID_Antenne]],Master!D:D,Master!B:B,"Pas de correspondance")</calculatedColumnFormula>
    </tableColumn>
    <tableColumn id="9" xr3:uid="{C635F778-61AE-412A-BC63-FF48A0BC769B}" uniqueName="9" name="Heure_Panne" queryTableFieldId="9" dataDxfId="2">
      <calculatedColumnFormula>_xlfn.XLOOKUP(Registre_Maintenance__2[[#This Row],[ID_Antenne]],Master!D:D,Master!C:C,"Pas de correspondance")</calculatedColumnFormula>
    </tableColumn>
    <tableColumn id="10" xr3:uid="{7D6A00DF-5E2E-46F6-A333-DB004C9A342B}" uniqueName="10" name="Duree_Panne_Min" queryTableFieldId="10" dataDxfId="1">
      <calculatedColumnFormula>_xlfn.XLOOKUP(Registre_Maintenance__2[[#This Row],[ID_Antenne]],Master!D:D,Master!F:F,"Pas de correspondance")</calculatedColumnFormula>
    </tableColumn>
    <tableColumn id="11" xr3:uid="{4FBF32AF-641D-489C-B3F4-F573D79A25CB}" uniqueName="11" name="Statut_Resolution" queryTableFieldId="11" dataDxfId="0">
      <calculatedColumnFormula>_xlfn.XLOOKUP(Registre_Maintenance__2[[#This Row],[ID_Antenne]],Master!D:D,Master!#REF!,"Pas de correspondance")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384FD1-7B81-4ACE-845D-86C268895BB5}" name="Logs" displayName="Logs" ref="A1:W1078" tableType="queryTable" totalsRowShown="0">
  <autoFilter ref="A1:W1078" xr:uid="{D9384FD1-7B81-4ACE-845D-86C268895BB5}">
    <filterColumn colId="3">
      <filters>
        <filter val="Bas-Uele"/>
        <filter val="Equateur"/>
        <filter val="Haut-Katanga"/>
        <filter val="Haut-Lomami"/>
        <filter val="Haut-Uele"/>
        <filter val="Ituri"/>
        <filter val="Kasai"/>
        <filter val="Kasai-Central"/>
        <filter val="Kasai-Oriental"/>
        <filter val="Kinshasa"/>
        <filter val="Kongo-Central"/>
        <filter val="Kwango"/>
        <filter val="Kwilu"/>
        <filter val="Lomami"/>
        <filter val="Lualaba"/>
        <filter val="Mai-Ndombe"/>
        <filter val="Maniema"/>
        <filter val="Mongala"/>
        <filter val="Nord-Kivu"/>
        <filter val="Nord-Ubangi"/>
        <filter val="Sankuru"/>
        <filter val="Sud-Kivu"/>
        <filter val="Sud-Ubangi"/>
        <filter val="Tanganyika"/>
        <filter val="Tshopo"/>
        <filter val="Tshuapa"/>
      </filters>
    </filterColumn>
  </autoFilter>
  <tableColumns count="23">
    <tableColumn id="1" xr3:uid="{CFFE3831-1C0A-404F-969C-98832E8D7785}" uniqueName="1" name="Source.Name" queryTableFieldId="1" dataDxfId="30"/>
    <tableColumn id="6" xr3:uid="{B54C8E83-7C67-4617-A25C-1603BC0DEEB8}" uniqueName="6" name="Date_Panne" queryTableFieldId="6" dataDxfId="29"/>
    <tableColumn id="16" xr3:uid="{62AE4C0C-7D86-4175-BAE9-BADFF204E5AC}" uniqueName="16" name="ID_Client" queryTableFieldId="18" dataDxfId="28">
      <calculatedColumnFormula>_xlfn.XLOOKUP(Logs[[#This Row],[Province_RDC]],Clients_Log!D:D,Clients_Log!B:B,"Pas de correspondance")</calculatedColumnFormula>
    </tableColumn>
    <tableColumn id="12" xr3:uid="{B7B0EFA4-92C1-4B32-ACB7-9ADA2E8F86E1}" uniqueName="12" name="Province_RDC" queryTableFieldId="14" dataDxfId="213">
      <calculatedColumnFormula>_xlfn.XLOOKUP(Logs[[#This Row],[Cell_ID]],'Registre_Maintenance'!B:B,'Registre_Maintenance'!C:C,"Pas de correspondance")</calculatedColumnFormula>
    </tableColumn>
    <tableColumn id="7" xr3:uid="{19BFE8FD-08BD-441E-81C4-138721C3D2FC}" uniqueName="7" name="Heure_Panne" queryTableFieldId="7" dataDxfId="27"/>
    <tableColumn id="3" xr3:uid="{CDD135B0-7D24-4B98-998B-710B5D4E80DB}" uniqueName="3" name="Cell_ID" queryTableFieldId="3" dataDxfId="26"/>
    <tableColumn id="13" xr3:uid="{95953163-24BB-47F9-8EFC-A6EDBD6CEB93}" uniqueName="13" name="Panne_Heure" queryTableFieldId="15" dataDxfId="25">
      <calculatedColumnFormula>Logs[[#This Row],[Duree_Panne_Min]]/1440</calculatedColumnFormula>
    </tableColumn>
    <tableColumn id="4" xr3:uid="{46AA2FFC-C90F-4B4F-8583-4B8E2B42A052}" uniqueName="4" name="Duree_Panne_Min" queryTableFieldId="4"/>
    <tableColumn id="11" xr3:uid="{339F9A11-A524-4859-8724-F217C60BAB16}" uniqueName="11" name="Latitude " queryTableFieldId="13" dataDxfId="326">
      <calculatedColumnFormula>_xlfn.XLOOKUP(Logs[[#This Row],[Cell_ID]],'Registre_Maintenance'!B:B,'Registre_Maintenance'!D:D,"Pas de correspondance")</calculatedColumnFormula>
    </tableColumn>
    <tableColumn id="10" xr3:uid="{39790AC1-5ADA-451F-9EBB-052E027DC371}" uniqueName="10" name="Longitude " queryTableFieldId="12" dataDxfId="325">
      <calculatedColumnFormula>_xlfn.XLOOKUP(Logs[[#This Row],[Cell_ID]],'Registre_Maintenance'!B:B,'Registre_Maintenance'!E:E,"Pas de correspondance")</calculatedColumnFormula>
    </tableColumn>
    <tableColumn id="15" xr3:uid="{8C89CA2A-12D9-4B72-BB78-7700C3DCD415}" uniqueName="15" name="Technologie " queryTableFieldId="17" dataDxfId="324">
      <calculatedColumnFormula>_xlfn.XLOOKUP(Logs[[#This Row],[Cell_ID]],'Registre_Maintenance'!B:B,'Registre_Maintenance'!F:F,"Pas de correspondance")</calculatedColumnFormula>
    </tableColumn>
    <tableColumn id="14" xr3:uid="{411A0AC3-10C4-4C8A-A3C5-0FA4EAC1F459}" uniqueName="14" name="Equipementier " queryTableFieldId="16" dataDxfId="323">
      <calculatedColumnFormula>_xlfn.XLOOKUP(Logs[[#This Row],[Cell_ID]],'Registre_Maintenance'!B:B,'Registre_Maintenance'!G:G,"Pas de correspondance")</calculatedColumnFormula>
    </tableColumn>
    <tableColumn id="5" xr3:uid="{2A0618F7-FEDB-4E38-8F6D-6949F349919D}" uniqueName="5" name="Statut_Resolution" queryTableFieldId="5" dataDxfId="24"/>
    <tableColumn id="18" xr3:uid="{D6B97A5A-86FA-461A-9958-7951C855E68C}" uniqueName="18" name="Anciennete_Mois" queryTableFieldId="20" dataDxfId="23">
      <calculatedColumnFormula>_xlfn.XLOOKUP(Logs[[#This Row],[ID_Client]],Clients_Log!B:B,Clients_Log!E:E,"Pas de correspondance")</calculatedColumnFormula>
    </tableColumn>
    <tableColumn id="23" xr3:uid="{B67D6AFD-A53C-4B7F-B218-BA0D8071FB72}" uniqueName="23" name="Anciennete_Annee" queryTableFieldId="27" dataDxfId="22" dataCellStyle="Milliers">
      <calculatedColumnFormula>IFERROR(Logs[[#This Row],[Anciennete_Mois]]/12,"")</calculatedColumnFormula>
    </tableColumn>
    <tableColumn id="19" xr3:uid="{6809F0D9-A7C5-40F7-904E-C4360346CDA1}" uniqueName="19" name="Type_Forfait" queryTableFieldId="21" dataDxfId="21">
      <calculatedColumnFormula>_xlfn.XLOOKUP(Logs[[#This Row],[ID_Client]],Clients_Log!B:B,Clients_Log!F:F,"Pas de correspondance")</calculatedColumnFormula>
    </tableColumn>
    <tableColumn id="24" xr3:uid="{4672C589-7509-44EE-9409-4AED7AFB3FA3}" uniqueName="24" name="Type_Clients" queryTableFieldId="28" dataDxfId="20">
      <calculatedColumnFormula>IF(Logs[[#This Row],[Type_Forfait]]="Pro Monde","B2B","B2C")</calculatedColumnFormula>
    </tableColumn>
    <tableColumn id="20" xr3:uid="{3FAA2478-A937-41D7-94F7-B16D8627CC80}" uniqueName="20" name="Duree_Cumulee_Panne_Min" queryTableFieldId="22" dataDxfId="19">
      <calculatedColumnFormula>_xlfn.XLOOKUP(Logs[[#This Row],[ID_Client]],Clients_Log!B:B,Clients_Log!G:G,"Pas de correspondance")</calculatedColumnFormula>
    </tableColumn>
    <tableColumn id="27" xr3:uid="{4BB88F71-2DD2-4486-9924-8083B4F9897B}" uniqueName="27" name="Duree_Cumulee_Panne_Heure" queryTableFieldId="31" dataDxfId="18">
      <calculatedColumnFormula>Logs[[#This Row],[Duree_Cumulee_Panne_Min]]/1440</calculatedColumnFormula>
    </tableColumn>
    <tableColumn id="21" xr3:uid="{4EAE8DF9-8055-43F6-A216-355E9707085E}" uniqueName="21" name="Facture_Mensuelle" queryTableFieldId="23" dataDxfId="17">
      <calculatedColumnFormula>_xlfn.XLOOKUP(Logs[[#This Row],[ID_Client]],Clients_Log!B:B,Clients_Log!H:H,"Pas de correspondance")</calculatedColumnFormula>
    </tableColumn>
    <tableColumn id="22" xr3:uid="{8F5C17F2-9762-43BA-A719-D50EF90ED435}" uniqueName="22" name="Plaintes_Service_Client" queryTableFieldId="24" dataDxfId="16">
      <calculatedColumnFormula>_xlfn.XLOOKUP(Logs[[#This Row],[ID_Client]],Clients_Log!B:B,Clients_Log!I:I,"Pas de correspondance")</calculatedColumnFormula>
    </tableColumn>
    <tableColumn id="25" xr3:uid="{249D6501-0569-464D-A71D-184DF3D78872}" uniqueName="25" name="Remise (%)" queryTableFieldId="29" dataDxfId="15">
      <calculatedColumnFormula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calculatedColumnFormula>
    </tableColumn>
    <tableColumn id="26" xr3:uid="{E2F7575D-3B3D-4D26-AA21-5A92FDAAF21E}" uniqueName="26" name="Montant remise " queryTableFieldId="30" dataDxfId="14">
      <calculatedColumnFormula>Logs[[#This Row],[Facture_Mensuelle]]*Logs[[#This Row],[Remise (%)]]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441A-2680-4FA0-B393-806471E1031D}">
  <dimension ref="A1:H749"/>
  <sheetViews>
    <sheetView zoomScale="80" zoomScaleNormal="80" workbookViewId="0">
      <selection activeCell="F5" sqref="F5"/>
    </sheetView>
  </sheetViews>
  <sheetFormatPr baseColWidth="10" defaultRowHeight="15" x14ac:dyDescent="0.25"/>
  <cols>
    <col min="1" max="1" width="25.28515625" bestFit="1" customWidth="1"/>
    <col min="2" max="2" width="12.28515625" bestFit="1" customWidth="1"/>
    <col min="3" max="3" width="18" bestFit="1" customWidth="1"/>
    <col min="4" max="4" width="19.28515625" bestFit="1" customWidth="1"/>
    <col min="5" max="5" width="18" bestFit="1" customWidth="1"/>
    <col min="6" max="6" width="29.28515625" bestFit="1" customWidth="1"/>
    <col min="7" max="7" width="21" bestFit="1" customWidth="1"/>
    <col min="8" max="8" width="2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>
        <v>29</v>
      </c>
      <c r="E2" s="1" t="s">
        <v>11</v>
      </c>
      <c r="F2">
        <v>214</v>
      </c>
      <c r="G2">
        <v>74.7</v>
      </c>
      <c r="H2">
        <v>3</v>
      </c>
    </row>
    <row r="3" spans="1:8" x14ac:dyDescent="0.25">
      <c r="A3" s="1" t="s">
        <v>8</v>
      </c>
      <c r="B3" s="1" t="s">
        <v>12</v>
      </c>
      <c r="C3" s="1" t="s">
        <v>13</v>
      </c>
      <c r="D3">
        <v>63</v>
      </c>
      <c r="E3" s="1" t="s">
        <v>14</v>
      </c>
      <c r="F3">
        <v>205</v>
      </c>
      <c r="G3">
        <v>89.19</v>
      </c>
      <c r="H3">
        <v>0</v>
      </c>
    </row>
    <row r="4" spans="1:8" x14ac:dyDescent="0.25">
      <c r="A4" s="1" t="s">
        <v>8</v>
      </c>
      <c r="B4" s="1" t="s">
        <v>15</v>
      </c>
      <c r="C4" s="1" t="s">
        <v>16</v>
      </c>
      <c r="D4">
        <v>34</v>
      </c>
      <c r="E4" s="1" t="s">
        <v>14</v>
      </c>
      <c r="F4">
        <v>453</v>
      </c>
      <c r="G4">
        <v>56.84</v>
      </c>
      <c r="H4">
        <v>0</v>
      </c>
    </row>
    <row r="5" spans="1:8" x14ac:dyDescent="0.25">
      <c r="A5" s="1" t="s">
        <v>8</v>
      </c>
      <c r="B5" s="1" t="s">
        <v>17</v>
      </c>
      <c r="C5" s="1" t="s">
        <v>18</v>
      </c>
      <c r="D5">
        <v>44</v>
      </c>
      <c r="E5" s="1" t="s">
        <v>19</v>
      </c>
      <c r="F5">
        <v>348</v>
      </c>
      <c r="G5">
        <v>58.67</v>
      </c>
      <c r="H5">
        <v>0</v>
      </c>
    </row>
    <row r="6" spans="1:8" x14ac:dyDescent="0.25">
      <c r="A6" s="1" t="s">
        <v>8</v>
      </c>
      <c r="B6" s="1" t="s">
        <v>20</v>
      </c>
      <c r="C6" s="1" t="s">
        <v>21</v>
      </c>
      <c r="D6">
        <v>101</v>
      </c>
      <c r="E6" s="1" t="s">
        <v>22</v>
      </c>
      <c r="F6">
        <v>358</v>
      </c>
      <c r="G6">
        <v>29.24</v>
      </c>
      <c r="H6">
        <v>3</v>
      </c>
    </row>
    <row r="7" spans="1:8" x14ac:dyDescent="0.25">
      <c r="A7" s="1" t="s">
        <v>8</v>
      </c>
      <c r="B7" s="1" t="s">
        <v>23</v>
      </c>
      <c r="C7" s="1" t="s">
        <v>24</v>
      </c>
      <c r="D7">
        <v>46</v>
      </c>
      <c r="E7" s="1" t="s">
        <v>11</v>
      </c>
      <c r="F7">
        <v>283</v>
      </c>
      <c r="G7">
        <v>56.05</v>
      </c>
      <c r="H7">
        <v>1</v>
      </c>
    </row>
    <row r="8" spans="1:8" x14ac:dyDescent="0.25">
      <c r="A8" s="1" t="s">
        <v>8</v>
      </c>
      <c r="B8" s="1" t="s">
        <v>25</v>
      </c>
      <c r="C8" s="1" t="s">
        <v>26</v>
      </c>
      <c r="D8">
        <v>99</v>
      </c>
      <c r="E8" s="1" t="s">
        <v>11</v>
      </c>
      <c r="F8">
        <v>447</v>
      </c>
      <c r="G8">
        <v>38.1</v>
      </c>
      <c r="H8">
        <v>3</v>
      </c>
    </row>
    <row r="9" spans="1:8" x14ac:dyDescent="0.25">
      <c r="A9" s="1" t="s">
        <v>8</v>
      </c>
      <c r="B9" s="1" t="s">
        <v>27</v>
      </c>
      <c r="C9" s="1" t="s">
        <v>24</v>
      </c>
      <c r="D9">
        <v>6</v>
      </c>
      <c r="E9" s="1" t="s">
        <v>22</v>
      </c>
      <c r="F9">
        <v>155</v>
      </c>
      <c r="G9">
        <v>40.659999999999997</v>
      </c>
      <c r="H9">
        <v>1</v>
      </c>
    </row>
    <row r="10" spans="1:8" x14ac:dyDescent="0.25">
      <c r="A10" s="1" t="s">
        <v>8</v>
      </c>
      <c r="B10" s="1" t="s">
        <v>28</v>
      </c>
      <c r="C10" s="1" t="s">
        <v>29</v>
      </c>
      <c r="D10">
        <v>99</v>
      </c>
      <c r="E10" s="1" t="s">
        <v>19</v>
      </c>
      <c r="F10">
        <v>369</v>
      </c>
      <c r="G10">
        <v>67.209999999999994</v>
      </c>
      <c r="H10">
        <v>3</v>
      </c>
    </row>
    <row r="11" spans="1:8" x14ac:dyDescent="0.25">
      <c r="A11" s="1" t="s">
        <v>8</v>
      </c>
      <c r="B11" s="1" t="s">
        <v>30</v>
      </c>
      <c r="C11" s="1" t="s">
        <v>31</v>
      </c>
      <c r="D11">
        <v>113</v>
      </c>
      <c r="E11" s="1" t="s">
        <v>22</v>
      </c>
      <c r="F11">
        <v>380</v>
      </c>
      <c r="G11">
        <v>12.11</v>
      </c>
      <c r="H11">
        <v>0</v>
      </c>
    </row>
    <row r="12" spans="1:8" x14ac:dyDescent="0.25">
      <c r="A12" s="1" t="s">
        <v>8</v>
      </c>
      <c r="B12" s="1" t="s">
        <v>32</v>
      </c>
      <c r="C12" s="1" t="s">
        <v>33</v>
      </c>
      <c r="D12">
        <v>72</v>
      </c>
      <c r="E12" s="1" t="s">
        <v>14</v>
      </c>
      <c r="F12">
        <v>160</v>
      </c>
      <c r="G12">
        <v>90.13</v>
      </c>
      <c r="H12">
        <v>2</v>
      </c>
    </row>
    <row r="13" spans="1:8" x14ac:dyDescent="0.25">
      <c r="A13" s="1" t="s">
        <v>8</v>
      </c>
      <c r="B13" s="1" t="s">
        <v>34</v>
      </c>
      <c r="C13" s="1" t="s">
        <v>35</v>
      </c>
      <c r="D13">
        <v>35</v>
      </c>
      <c r="E13" s="1" t="s">
        <v>14</v>
      </c>
      <c r="F13">
        <v>465</v>
      </c>
      <c r="G13">
        <v>58.59</v>
      </c>
      <c r="H13">
        <v>5</v>
      </c>
    </row>
    <row r="14" spans="1:8" x14ac:dyDescent="0.25">
      <c r="A14" s="1" t="s">
        <v>8</v>
      </c>
      <c r="B14" s="1" t="s">
        <v>36</v>
      </c>
      <c r="C14" s="1" t="s">
        <v>37</v>
      </c>
      <c r="D14">
        <v>115</v>
      </c>
      <c r="E14" s="1" t="s">
        <v>19</v>
      </c>
      <c r="F14">
        <v>176</v>
      </c>
      <c r="G14">
        <v>33.28</v>
      </c>
      <c r="H14">
        <v>4</v>
      </c>
    </row>
    <row r="15" spans="1:8" x14ac:dyDescent="0.25">
      <c r="A15" s="1" t="s">
        <v>8</v>
      </c>
      <c r="B15" s="1" t="s">
        <v>38</v>
      </c>
      <c r="C15" s="1" t="s">
        <v>18</v>
      </c>
      <c r="D15">
        <v>20</v>
      </c>
      <c r="E15" s="1" t="s">
        <v>22</v>
      </c>
      <c r="F15">
        <v>4</v>
      </c>
      <c r="G15">
        <v>84.9</v>
      </c>
      <c r="H15">
        <v>3</v>
      </c>
    </row>
    <row r="16" spans="1:8" x14ac:dyDescent="0.25">
      <c r="A16" s="1" t="s">
        <v>8</v>
      </c>
      <c r="B16" s="1" t="s">
        <v>39</v>
      </c>
      <c r="C16" s="1" t="s">
        <v>40</v>
      </c>
      <c r="D16">
        <v>110</v>
      </c>
      <c r="E16" s="1" t="s">
        <v>14</v>
      </c>
      <c r="F16">
        <v>423</v>
      </c>
      <c r="G16">
        <v>37.35</v>
      </c>
      <c r="H16">
        <v>4</v>
      </c>
    </row>
    <row r="17" spans="1:8" x14ac:dyDescent="0.25">
      <c r="A17" s="1" t="s">
        <v>8</v>
      </c>
      <c r="B17" s="1" t="s">
        <v>41</v>
      </c>
      <c r="C17" s="1" t="s">
        <v>13</v>
      </c>
      <c r="D17">
        <v>89</v>
      </c>
      <c r="E17" s="1" t="s">
        <v>11</v>
      </c>
      <c r="F17">
        <v>143</v>
      </c>
      <c r="G17">
        <v>48.05</v>
      </c>
      <c r="H17">
        <v>4</v>
      </c>
    </row>
    <row r="18" spans="1:8" x14ac:dyDescent="0.25">
      <c r="A18" s="1" t="s">
        <v>8</v>
      </c>
      <c r="B18" s="1" t="s">
        <v>42</v>
      </c>
      <c r="C18" s="1" t="s">
        <v>26</v>
      </c>
      <c r="D18">
        <v>112</v>
      </c>
      <c r="E18" s="1" t="s">
        <v>11</v>
      </c>
      <c r="F18">
        <v>460</v>
      </c>
      <c r="G18">
        <v>55.47</v>
      </c>
      <c r="H18">
        <v>4</v>
      </c>
    </row>
    <row r="19" spans="1:8" x14ac:dyDescent="0.25">
      <c r="A19" s="1" t="s">
        <v>8</v>
      </c>
      <c r="B19" s="1" t="s">
        <v>43</v>
      </c>
      <c r="C19" s="1" t="s">
        <v>44</v>
      </c>
      <c r="D19">
        <v>66</v>
      </c>
      <c r="E19" s="1" t="s">
        <v>22</v>
      </c>
      <c r="F19">
        <v>270</v>
      </c>
      <c r="G19">
        <v>75.88</v>
      </c>
      <c r="H19">
        <v>3</v>
      </c>
    </row>
    <row r="20" spans="1:8" x14ac:dyDescent="0.25">
      <c r="A20" s="1" t="s">
        <v>8</v>
      </c>
      <c r="B20" s="1" t="s">
        <v>45</v>
      </c>
      <c r="C20" s="1" t="s">
        <v>29</v>
      </c>
      <c r="D20">
        <v>78</v>
      </c>
      <c r="E20" s="1" t="s">
        <v>19</v>
      </c>
      <c r="F20">
        <v>312</v>
      </c>
      <c r="G20">
        <v>85.74</v>
      </c>
      <c r="H20">
        <v>2</v>
      </c>
    </row>
    <row r="21" spans="1:8" x14ac:dyDescent="0.25">
      <c r="A21" s="1" t="s">
        <v>8</v>
      </c>
      <c r="B21" s="1" t="s">
        <v>46</v>
      </c>
      <c r="C21" s="1" t="s">
        <v>33</v>
      </c>
      <c r="D21">
        <v>86</v>
      </c>
      <c r="E21" s="1" t="s">
        <v>11</v>
      </c>
      <c r="F21">
        <v>471</v>
      </c>
      <c r="G21">
        <v>33.380000000000003</v>
      </c>
      <c r="H21">
        <v>4</v>
      </c>
    </row>
    <row r="22" spans="1:8" x14ac:dyDescent="0.25">
      <c r="A22" s="1" t="s">
        <v>8</v>
      </c>
      <c r="B22" s="1" t="s">
        <v>47</v>
      </c>
      <c r="C22" s="1" t="s">
        <v>29</v>
      </c>
      <c r="D22">
        <v>14</v>
      </c>
      <c r="E22" s="1" t="s">
        <v>11</v>
      </c>
      <c r="F22">
        <v>75</v>
      </c>
      <c r="G22">
        <v>55.67</v>
      </c>
      <c r="H22">
        <v>3</v>
      </c>
    </row>
    <row r="23" spans="1:8" x14ac:dyDescent="0.25">
      <c r="A23" s="1" t="s">
        <v>8</v>
      </c>
      <c r="B23" s="1" t="s">
        <v>48</v>
      </c>
      <c r="C23" s="1" t="s">
        <v>31</v>
      </c>
      <c r="D23">
        <v>91</v>
      </c>
      <c r="E23" s="1" t="s">
        <v>14</v>
      </c>
      <c r="F23">
        <v>358</v>
      </c>
      <c r="G23">
        <v>21.14</v>
      </c>
      <c r="H23">
        <v>5</v>
      </c>
    </row>
    <row r="24" spans="1:8" x14ac:dyDescent="0.25">
      <c r="A24" s="1" t="s">
        <v>8</v>
      </c>
      <c r="B24" s="1" t="s">
        <v>49</v>
      </c>
      <c r="C24" s="1" t="s">
        <v>26</v>
      </c>
      <c r="D24">
        <v>7</v>
      </c>
      <c r="E24" s="1" t="s">
        <v>11</v>
      </c>
      <c r="F24">
        <v>206</v>
      </c>
      <c r="G24">
        <v>78.09</v>
      </c>
      <c r="H24">
        <v>3</v>
      </c>
    </row>
    <row r="25" spans="1:8" x14ac:dyDescent="0.25">
      <c r="A25" s="1" t="s">
        <v>8</v>
      </c>
      <c r="B25" s="1" t="s">
        <v>50</v>
      </c>
      <c r="C25" s="1" t="s">
        <v>51</v>
      </c>
      <c r="D25">
        <v>119</v>
      </c>
      <c r="E25" s="1" t="s">
        <v>22</v>
      </c>
      <c r="F25">
        <v>228</v>
      </c>
      <c r="G25">
        <v>94.72</v>
      </c>
      <c r="H25">
        <v>3</v>
      </c>
    </row>
    <row r="26" spans="1:8" x14ac:dyDescent="0.25">
      <c r="A26" s="1" t="s">
        <v>8</v>
      </c>
      <c r="B26" s="1" t="s">
        <v>52</v>
      </c>
      <c r="C26" s="1" t="s">
        <v>24</v>
      </c>
      <c r="D26">
        <v>57</v>
      </c>
      <c r="E26" s="1" t="s">
        <v>22</v>
      </c>
      <c r="F26">
        <v>329</v>
      </c>
      <c r="G26">
        <v>50.39</v>
      </c>
      <c r="H26">
        <v>5</v>
      </c>
    </row>
    <row r="27" spans="1:8" x14ac:dyDescent="0.25">
      <c r="A27" s="1" t="s">
        <v>8</v>
      </c>
      <c r="B27" s="1" t="s">
        <v>53</v>
      </c>
      <c r="C27" s="1" t="s">
        <v>10</v>
      </c>
      <c r="D27">
        <v>103</v>
      </c>
      <c r="E27" s="1" t="s">
        <v>14</v>
      </c>
      <c r="F27">
        <v>105</v>
      </c>
      <c r="G27">
        <v>61.52</v>
      </c>
      <c r="H27">
        <v>3</v>
      </c>
    </row>
    <row r="28" spans="1:8" x14ac:dyDescent="0.25">
      <c r="A28" s="1" t="s">
        <v>8</v>
      </c>
      <c r="B28" s="1" t="s">
        <v>54</v>
      </c>
      <c r="C28" s="1" t="s">
        <v>26</v>
      </c>
      <c r="D28">
        <v>59</v>
      </c>
      <c r="E28" s="1" t="s">
        <v>22</v>
      </c>
      <c r="F28">
        <v>454</v>
      </c>
      <c r="G28">
        <v>10.47</v>
      </c>
      <c r="H28">
        <v>5</v>
      </c>
    </row>
    <row r="29" spans="1:8" x14ac:dyDescent="0.25">
      <c r="A29" s="1" t="s">
        <v>8</v>
      </c>
      <c r="B29" s="1" t="s">
        <v>55</v>
      </c>
      <c r="C29" s="1" t="s">
        <v>35</v>
      </c>
      <c r="D29">
        <v>108</v>
      </c>
      <c r="E29" s="1" t="s">
        <v>22</v>
      </c>
      <c r="F29">
        <v>278</v>
      </c>
      <c r="G29">
        <v>40.51</v>
      </c>
      <c r="H29">
        <v>3</v>
      </c>
    </row>
    <row r="30" spans="1:8" x14ac:dyDescent="0.25">
      <c r="A30" s="1" t="s">
        <v>8</v>
      </c>
      <c r="B30" s="1" t="s">
        <v>56</v>
      </c>
      <c r="C30" s="1" t="s">
        <v>57</v>
      </c>
      <c r="D30">
        <v>97</v>
      </c>
      <c r="E30" s="1" t="s">
        <v>14</v>
      </c>
      <c r="F30">
        <v>319</v>
      </c>
      <c r="G30">
        <v>31.25</v>
      </c>
      <c r="H30">
        <v>1</v>
      </c>
    </row>
    <row r="31" spans="1:8" x14ac:dyDescent="0.25">
      <c r="A31" s="1" t="s">
        <v>8</v>
      </c>
      <c r="B31" s="1" t="s">
        <v>58</v>
      </c>
      <c r="C31" s="1" t="s">
        <v>33</v>
      </c>
      <c r="D31">
        <v>15</v>
      </c>
      <c r="E31" s="1" t="s">
        <v>14</v>
      </c>
      <c r="F31">
        <v>403</v>
      </c>
      <c r="G31">
        <v>77.12</v>
      </c>
      <c r="H31">
        <v>1</v>
      </c>
    </row>
    <row r="32" spans="1:8" x14ac:dyDescent="0.25">
      <c r="A32" s="1" t="s">
        <v>8</v>
      </c>
      <c r="B32" s="1" t="s">
        <v>59</v>
      </c>
      <c r="C32" s="1" t="s">
        <v>60</v>
      </c>
      <c r="D32">
        <v>14</v>
      </c>
      <c r="E32" s="1" t="s">
        <v>14</v>
      </c>
      <c r="F32">
        <v>316</v>
      </c>
      <c r="G32">
        <v>62.34</v>
      </c>
      <c r="H32">
        <v>4</v>
      </c>
    </row>
    <row r="33" spans="1:8" x14ac:dyDescent="0.25">
      <c r="A33" s="1" t="s">
        <v>8</v>
      </c>
      <c r="B33" s="1" t="s">
        <v>61</v>
      </c>
      <c r="C33" s="1" t="s">
        <v>62</v>
      </c>
      <c r="D33">
        <v>101</v>
      </c>
      <c r="E33" s="1" t="s">
        <v>14</v>
      </c>
      <c r="F33">
        <v>333</v>
      </c>
      <c r="G33">
        <v>74.319999999999993</v>
      </c>
      <c r="H33">
        <v>1</v>
      </c>
    </row>
    <row r="34" spans="1:8" x14ac:dyDescent="0.25">
      <c r="A34" s="1" t="s">
        <v>8</v>
      </c>
      <c r="B34" s="1" t="s">
        <v>63</v>
      </c>
      <c r="C34" s="1" t="s">
        <v>64</v>
      </c>
      <c r="D34">
        <v>79</v>
      </c>
      <c r="E34" s="1" t="s">
        <v>11</v>
      </c>
      <c r="F34">
        <v>226</v>
      </c>
      <c r="G34">
        <v>94.38</v>
      </c>
      <c r="H34">
        <v>3</v>
      </c>
    </row>
    <row r="35" spans="1:8" x14ac:dyDescent="0.25">
      <c r="A35" s="1" t="s">
        <v>8</v>
      </c>
      <c r="B35" s="1" t="s">
        <v>65</v>
      </c>
      <c r="C35" s="1" t="s">
        <v>21</v>
      </c>
      <c r="D35">
        <v>79</v>
      </c>
      <c r="E35" s="1" t="s">
        <v>19</v>
      </c>
      <c r="F35">
        <v>357</v>
      </c>
      <c r="G35">
        <v>69.900000000000006</v>
      </c>
      <c r="H35">
        <v>5</v>
      </c>
    </row>
    <row r="36" spans="1:8" x14ac:dyDescent="0.25">
      <c r="A36" s="1" t="s">
        <v>8</v>
      </c>
      <c r="B36" s="1" t="s">
        <v>66</v>
      </c>
      <c r="C36" s="1" t="s">
        <v>67</v>
      </c>
      <c r="D36">
        <v>101</v>
      </c>
      <c r="E36" s="1" t="s">
        <v>14</v>
      </c>
      <c r="F36">
        <v>176</v>
      </c>
      <c r="G36">
        <v>86</v>
      </c>
      <c r="H36">
        <v>3</v>
      </c>
    </row>
    <row r="37" spans="1:8" x14ac:dyDescent="0.25">
      <c r="A37" s="1" t="s">
        <v>8</v>
      </c>
      <c r="B37" s="1" t="s">
        <v>68</v>
      </c>
      <c r="C37" s="1" t="s">
        <v>21</v>
      </c>
      <c r="D37">
        <v>110</v>
      </c>
      <c r="E37" s="1" t="s">
        <v>22</v>
      </c>
      <c r="F37">
        <v>454</v>
      </c>
      <c r="G37">
        <v>31.05</v>
      </c>
      <c r="H37">
        <v>1</v>
      </c>
    </row>
    <row r="38" spans="1:8" x14ac:dyDescent="0.25">
      <c r="A38" s="1" t="s">
        <v>8</v>
      </c>
      <c r="B38" s="1" t="s">
        <v>69</v>
      </c>
      <c r="C38" s="1" t="s">
        <v>13</v>
      </c>
      <c r="D38">
        <v>14</v>
      </c>
      <c r="E38" s="1" t="s">
        <v>19</v>
      </c>
      <c r="F38">
        <v>415</v>
      </c>
      <c r="G38">
        <v>36.93</v>
      </c>
      <c r="H38">
        <v>5</v>
      </c>
    </row>
    <row r="39" spans="1:8" x14ac:dyDescent="0.25">
      <c r="A39" s="1" t="s">
        <v>8</v>
      </c>
      <c r="B39" s="1" t="s">
        <v>70</v>
      </c>
      <c r="C39" s="1" t="s">
        <v>29</v>
      </c>
      <c r="D39">
        <v>106</v>
      </c>
      <c r="E39" s="1" t="s">
        <v>19</v>
      </c>
      <c r="F39">
        <v>400</v>
      </c>
      <c r="G39">
        <v>70.02</v>
      </c>
      <c r="H39">
        <v>4</v>
      </c>
    </row>
    <row r="40" spans="1:8" x14ac:dyDescent="0.25">
      <c r="A40" s="1" t="s">
        <v>8</v>
      </c>
      <c r="B40" s="1" t="s">
        <v>71</v>
      </c>
      <c r="C40" s="1" t="s">
        <v>29</v>
      </c>
      <c r="D40">
        <v>72</v>
      </c>
      <c r="E40" s="1" t="s">
        <v>19</v>
      </c>
      <c r="F40">
        <v>332</v>
      </c>
      <c r="G40">
        <v>83.36</v>
      </c>
      <c r="H40">
        <v>4</v>
      </c>
    </row>
    <row r="41" spans="1:8" x14ac:dyDescent="0.25">
      <c r="A41" s="1" t="s">
        <v>8</v>
      </c>
      <c r="B41" s="1" t="s">
        <v>72</v>
      </c>
      <c r="C41" s="1" t="s">
        <v>73</v>
      </c>
      <c r="D41">
        <v>6</v>
      </c>
      <c r="E41" s="1" t="s">
        <v>11</v>
      </c>
      <c r="F41">
        <v>207</v>
      </c>
      <c r="G41">
        <v>61.55</v>
      </c>
      <c r="H41">
        <v>0</v>
      </c>
    </row>
    <row r="42" spans="1:8" x14ac:dyDescent="0.25">
      <c r="A42" s="1" t="s">
        <v>8</v>
      </c>
      <c r="B42" s="1" t="s">
        <v>74</v>
      </c>
      <c r="C42" s="1" t="s">
        <v>62</v>
      </c>
      <c r="D42">
        <v>65</v>
      </c>
      <c r="E42" s="1" t="s">
        <v>11</v>
      </c>
      <c r="F42">
        <v>397</v>
      </c>
      <c r="G42">
        <v>22.6</v>
      </c>
      <c r="H42">
        <v>5</v>
      </c>
    </row>
    <row r="43" spans="1:8" x14ac:dyDescent="0.25">
      <c r="A43" s="1" t="s">
        <v>8</v>
      </c>
      <c r="B43" s="1" t="s">
        <v>75</v>
      </c>
      <c r="C43" s="1" t="s">
        <v>24</v>
      </c>
      <c r="D43">
        <v>14</v>
      </c>
      <c r="E43" s="1" t="s">
        <v>14</v>
      </c>
      <c r="F43">
        <v>101</v>
      </c>
      <c r="G43">
        <v>43.99</v>
      </c>
      <c r="H43">
        <v>1</v>
      </c>
    </row>
    <row r="44" spans="1:8" x14ac:dyDescent="0.25">
      <c r="A44" s="1" t="s">
        <v>8</v>
      </c>
      <c r="B44" s="1" t="s">
        <v>76</v>
      </c>
      <c r="C44" s="1" t="s">
        <v>40</v>
      </c>
      <c r="D44">
        <v>22</v>
      </c>
      <c r="E44" s="1" t="s">
        <v>22</v>
      </c>
      <c r="F44">
        <v>451</v>
      </c>
      <c r="G44">
        <v>76.38</v>
      </c>
      <c r="H44">
        <v>3</v>
      </c>
    </row>
    <row r="45" spans="1:8" x14ac:dyDescent="0.25">
      <c r="A45" s="1" t="s">
        <v>8</v>
      </c>
      <c r="B45" s="1" t="s">
        <v>77</v>
      </c>
      <c r="C45" s="1" t="s">
        <v>78</v>
      </c>
      <c r="D45">
        <v>81</v>
      </c>
      <c r="E45" s="1" t="s">
        <v>14</v>
      </c>
      <c r="F45">
        <v>154</v>
      </c>
      <c r="G45">
        <v>19.47</v>
      </c>
      <c r="H45">
        <v>3</v>
      </c>
    </row>
    <row r="46" spans="1:8" x14ac:dyDescent="0.25">
      <c r="A46" s="1" t="s">
        <v>8</v>
      </c>
      <c r="B46" s="1" t="s">
        <v>79</v>
      </c>
      <c r="C46" s="1" t="s">
        <v>10</v>
      </c>
      <c r="D46">
        <v>16</v>
      </c>
      <c r="E46" s="1" t="s">
        <v>19</v>
      </c>
      <c r="F46">
        <v>43</v>
      </c>
      <c r="G46">
        <v>56.48</v>
      </c>
      <c r="H46">
        <v>0</v>
      </c>
    </row>
    <row r="47" spans="1:8" x14ac:dyDescent="0.25">
      <c r="A47" s="1" t="s">
        <v>8</v>
      </c>
      <c r="B47" s="1" t="s">
        <v>80</v>
      </c>
      <c r="C47" s="1" t="s">
        <v>51</v>
      </c>
      <c r="D47">
        <v>112</v>
      </c>
      <c r="E47" s="1" t="s">
        <v>14</v>
      </c>
      <c r="F47">
        <v>18</v>
      </c>
      <c r="G47">
        <v>27.33</v>
      </c>
      <c r="H47">
        <v>5</v>
      </c>
    </row>
    <row r="48" spans="1:8" x14ac:dyDescent="0.25">
      <c r="A48" s="1" t="s">
        <v>8</v>
      </c>
      <c r="B48" s="1" t="s">
        <v>81</v>
      </c>
      <c r="C48" s="1" t="s">
        <v>31</v>
      </c>
      <c r="D48">
        <v>27</v>
      </c>
      <c r="E48" s="1" t="s">
        <v>19</v>
      </c>
      <c r="F48">
        <v>275</v>
      </c>
      <c r="G48">
        <v>80.069999999999993</v>
      </c>
      <c r="H48">
        <v>1</v>
      </c>
    </row>
    <row r="49" spans="1:8" x14ac:dyDescent="0.25">
      <c r="A49" s="1" t="s">
        <v>8</v>
      </c>
      <c r="B49" s="1" t="s">
        <v>82</v>
      </c>
      <c r="C49" s="1" t="s">
        <v>57</v>
      </c>
      <c r="D49">
        <v>117</v>
      </c>
      <c r="E49" s="1" t="s">
        <v>22</v>
      </c>
      <c r="F49">
        <v>171</v>
      </c>
      <c r="G49">
        <v>50.89</v>
      </c>
      <c r="H49">
        <v>4</v>
      </c>
    </row>
    <row r="50" spans="1:8" x14ac:dyDescent="0.25">
      <c r="A50" s="1" t="s">
        <v>8</v>
      </c>
      <c r="B50" s="1" t="s">
        <v>83</v>
      </c>
      <c r="C50" s="1" t="s">
        <v>51</v>
      </c>
      <c r="D50">
        <v>47</v>
      </c>
      <c r="E50" s="1" t="s">
        <v>19</v>
      </c>
      <c r="F50">
        <v>199</v>
      </c>
      <c r="G50">
        <v>23.19</v>
      </c>
      <c r="H50">
        <v>2</v>
      </c>
    </row>
    <row r="51" spans="1:8" x14ac:dyDescent="0.25">
      <c r="A51" s="1" t="s">
        <v>8</v>
      </c>
      <c r="B51" s="1" t="s">
        <v>84</v>
      </c>
      <c r="C51" s="1" t="s">
        <v>60</v>
      </c>
      <c r="D51">
        <v>21</v>
      </c>
      <c r="E51" s="1" t="s">
        <v>11</v>
      </c>
      <c r="F51">
        <v>371</v>
      </c>
      <c r="G51">
        <v>48.31</v>
      </c>
      <c r="H51">
        <v>0</v>
      </c>
    </row>
    <row r="52" spans="1:8" x14ac:dyDescent="0.25">
      <c r="A52" s="1" t="s">
        <v>85</v>
      </c>
      <c r="B52" s="1" t="s">
        <v>86</v>
      </c>
      <c r="C52" s="1" t="s">
        <v>51</v>
      </c>
      <c r="D52">
        <v>82</v>
      </c>
      <c r="E52" s="1" t="s">
        <v>19</v>
      </c>
      <c r="F52">
        <v>132</v>
      </c>
      <c r="G52">
        <v>50.14</v>
      </c>
      <c r="H52">
        <v>5</v>
      </c>
    </row>
    <row r="53" spans="1:8" x14ac:dyDescent="0.25">
      <c r="A53" s="1" t="s">
        <v>85</v>
      </c>
      <c r="B53" s="1" t="s">
        <v>87</v>
      </c>
      <c r="C53" s="1" t="s">
        <v>21</v>
      </c>
      <c r="D53">
        <v>59</v>
      </c>
      <c r="E53" s="1" t="s">
        <v>22</v>
      </c>
      <c r="F53">
        <v>192</v>
      </c>
      <c r="G53">
        <v>86.17</v>
      </c>
      <c r="H53">
        <v>1</v>
      </c>
    </row>
    <row r="54" spans="1:8" x14ac:dyDescent="0.25">
      <c r="A54" s="1" t="s">
        <v>85</v>
      </c>
      <c r="B54" s="1" t="s">
        <v>88</v>
      </c>
      <c r="C54" s="1" t="s">
        <v>89</v>
      </c>
      <c r="D54">
        <v>98</v>
      </c>
      <c r="E54" s="1" t="s">
        <v>14</v>
      </c>
      <c r="F54">
        <v>482</v>
      </c>
      <c r="G54">
        <v>55.04</v>
      </c>
      <c r="H54">
        <v>5</v>
      </c>
    </row>
    <row r="55" spans="1:8" x14ac:dyDescent="0.25">
      <c r="A55" s="1" t="s">
        <v>85</v>
      </c>
      <c r="B55" s="1" t="s">
        <v>90</v>
      </c>
      <c r="C55" s="1" t="s">
        <v>35</v>
      </c>
      <c r="D55">
        <v>58</v>
      </c>
      <c r="E55" s="1" t="s">
        <v>19</v>
      </c>
      <c r="F55">
        <v>423</v>
      </c>
      <c r="G55">
        <v>80.459999999999994</v>
      </c>
      <c r="H55">
        <v>0</v>
      </c>
    </row>
    <row r="56" spans="1:8" x14ac:dyDescent="0.25">
      <c r="A56" s="1" t="s">
        <v>85</v>
      </c>
      <c r="B56" s="1" t="s">
        <v>91</v>
      </c>
      <c r="C56" s="1" t="s">
        <v>62</v>
      </c>
      <c r="D56">
        <v>86</v>
      </c>
      <c r="E56" s="1" t="s">
        <v>19</v>
      </c>
      <c r="F56">
        <v>460</v>
      </c>
      <c r="G56">
        <v>22.81</v>
      </c>
      <c r="H56">
        <v>4</v>
      </c>
    </row>
    <row r="57" spans="1:8" x14ac:dyDescent="0.25">
      <c r="A57" s="1" t="s">
        <v>85</v>
      </c>
      <c r="B57" s="1" t="s">
        <v>92</v>
      </c>
      <c r="C57" s="1" t="s">
        <v>73</v>
      </c>
      <c r="D57">
        <v>58</v>
      </c>
      <c r="E57" s="1" t="s">
        <v>22</v>
      </c>
      <c r="F57">
        <v>61</v>
      </c>
      <c r="G57">
        <v>58.64</v>
      </c>
      <c r="H57">
        <v>3</v>
      </c>
    </row>
    <row r="58" spans="1:8" x14ac:dyDescent="0.25">
      <c r="A58" s="1" t="s">
        <v>85</v>
      </c>
      <c r="B58" s="1" t="s">
        <v>93</v>
      </c>
      <c r="C58" s="1" t="s">
        <v>44</v>
      </c>
      <c r="D58">
        <v>20</v>
      </c>
      <c r="E58" s="1" t="s">
        <v>19</v>
      </c>
      <c r="F58">
        <v>26</v>
      </c>
      <c r="G58">
        <v>25.14</v>
      </c>
      <c r="H58">
        <v>0</v>
      </c>
    </row>
    <row r="59" spans="1:8" x14ac:dyDescent="0.25">
      <c r="A59" s="1" t="s">
        <v>85</v>
      </c>
      <c r="B59" s="1" t="s">
        <v>94</v>
      </c>
      <c r="C59" s="1" t="s">
        <v>51</v>
      </c>
      <c r="D59">
        <v>111</v>
      </c>
      <c r="E59" s="1" t="s">
        <v>11</v>
      </c>
      <c r="F59">
        <v>103</v>
      </c>
      <c r="G59">
        <v>32.06</v>
      </c>
      <c r="H59">
        <v>0</v>
      </c>
    </row>
    <row r="60" spans="1:8" x14ac:dyDescent="0.25">
      <c r="A60" s="1" t="s">
        <v>85</v>
      </c>
      <c r="B60" s="1" t="s">
        <v>95</v>
      </c>
      <c r="C60" s="1" t="s">
        <v>21</v>
      </c>
      <c r="D60">
        <v>94</v>
      </c>
      <c r="E60" s="1" t="s">
        <v>22</v>
      </c>
      <c r="F60">
        <v>122</v>
      </c>
      <c r="G60">
        <v>95.74</v>
      </c>
      <c r="H60">
        <v>5</v>
      </c>
    </row>
    <row r="61" spans="1:8" x14ac:dyDescent="0.25">
      <c r="A61" s="1" t="s">
        <v>85</v>
      </c>
      <c r="B61" s="1" t="s">
        <v>96</v>
      </c>
      <c r="C61" s="1" t="s">
        <v>35</v>
      </c>
      <c r="D61">
        <v>42</v>
      </c>
      <c r="E61" s="1" t="s">
        <v>22</v>
      </c>
      <c r="F61">
        <v>385</v>
      </c>
      <c r="G61">
        <v>96.52</v>
      </c>
      <c r="H61">
        <v>1</v>
      </c>
    </row>
    <row r="62" spans="1:8" x14ac:dyDescent="0.25">
      <c r="A62" s="1" t="s">
        <v>85</v>
      </c>
      <c r="B62" s="1" t="s">
        <v>97</v>
      </c>
      <c r="C62" s="1" t="s">
        <v>21</v>
      </c>
      <c r="D62">
        <v>12</v>
      </c>
      <c r="E62" s="1" t="s">
        <v>14</v>
      </c>
      <c r="F62">
        <v>305</v>
      </c>
      <c r="G62">
        <v>59.96</v>
      </c>
      <c r="H62">
        <v>3</v>
      </c>
    </row>
    <row r="63" spans="1:8" x14ac:dyDescent="0.25">
      <c r="A63" s="1" t="s">
        <v>85</v>
      </c>
      <c r="B63" s="1" t="s">
        <v>98</v>
      </c>
      <c r="C63" s="1" t="s">
        <v>35</v>
      </c>
      <c r="D63">
        <v>103</v>
      </c>
      <c r="E63" s="1" t="s">
        <v>19</v>
      </c>
      <c r="F63">
        <v>300</v>
      </c>
      <c r="G63">
        <v>13.76</v>
      </c>
      <c r="H63">
        <v>4</v>
      </c>
    </row>
    <row r="64" spans="1:8" x14ac:dyDescent="0.25">
      <c r="A64" s="1" t="s">
        <v>85</v>
      </c>
      <c r="B64" s="1" t="s">
        <v>99</v>
      </c>
      <c r="C64" s="1" t="s">
        <v>35</v>
      </c>
      <c r="D64">
        <v>80</v>
      </c>
      <c r="E64" s="1" t="s">
        <v>11</v>
      </c>
      <c r="F64">
        <v>121</v>
      </c>
      <c r="G64">
        <v>83.14</v>
      </c>
      <c r="H64">
        <v>5</v>
      </c>
    </row>
    <row r="65" spans="1:8" x14ac:dyDescent="0.25">
      <c r="A65" s="1" t="s">
        <v>85</v>
      </c>
      <c r="B65" s="1" t="s">
        <v>100</v>
      </c>
      <c r="C65" s="1" t="s">
        <v>26</v>
      </c>
      <c r="D65">
        <v>86</v>
      </c>
      <c r="E65" s="1" t="s">
        <v>14</v>
      </c>
      <c r="F65">
        <v>252</v>
      </c>
      <c r="G65">
        <v>96.5</v>
      </c>
      <c r="H65">
        <v>5</v>
      </c>
    </row>
    <row r="66" spans="1:8" x14ac:dyDescent="0.25">
      <c r="A66" s="1" t="s">
        <v>85</v>
      </c>
      <c r="B66" s="1" t="s">
        <v>101</v>
      </c>
      <c r="C66" s="1" t="s">
        <v>64</v>
      </c>
      <c r="D66">
        <v>80</v>
      </c>
      <c r="E66" s="1" t="s">
        <v>19</v>
      </c>
      <c r="F66">
        <v>260</v>
      </c>
      <c r="G66">
        <v>65.87</v>
      </c>
      <c r="H66">
        <v>3</v>
      </c>
    </row>
    <row r="67" spans="1:8" x14ac:dyDescent="0.25">
      <c r="A67" s="1" t="s">
        <v>85</v>
      </c>
      <c r="B67" s="1" t="s">
        <v>102</v>
      </c>
      <c r="C67" s="1" t="s">
        <v>24</v>
      </c>
      <c r="D67">
        <v>53</v>
      </c>
      <c r="E67" s="1" t="s">
        <v>14</v>
      </c>
      <c r="F67">
        <v>385</v>
      </c>
      <c r="G67">
        <v>68.78</v>
      </c>
      <c r="H67">
        <v>3</v>
      </c>
    </row>
    <row r="68" spans="1:8" x14ac:dyDescent="0.25">
      <c r="A68" s="1" t="s">
        <v>85</v>
      </c>
      <c r="B68" s="1" t="s">
        <v>103</v>
      </c>
      <c r="C68" s="1" t="s">
        <v>44</v>
      </c>
      <c r="D68">
        <v>50</v>
      </c>
      <c r="E68" s="1" t="s">
        <v>19</v>
      </c>
      <c r="F68">
        <v>258</v>
      </c>
      <c r="G68">
        <v>25.06</v>
      </c>
      <c r="H68">
        <v>4</v>
      </c>
    </row>
    <row r="69" spans="1:8" x14ac:dyDescent="0.25">
      <c r="A69" s="1" t="s">
        <v>85</v>
      </c>
      <c r="B69" s="1" t="s">
        <v>104</v>
      </c>
      <c r="C69" s="1" t="s">
        <v>44</v>
      </c>
      <c r="D69">
        <v>30</v>
      </c>
      <c r="E69" s="1" t="s">
        <v>11</v>
      </c>
      <c r="F69">
        <v>197</v>
      </c>
      <c r="G69">
        <v>15.42</v>
      </c>
      <c r="H69">
        <v>0</v>
      </c>
    </row>
    <row r="70" spans="1:8" x14ac:dyDescent="0.25">
      <c r="A70" s="1" t="s">
        <v>85</v>
      </c>
      <c r="B70" s="1" t="s">
        <v>105</v>
      </c>
      <c r="C70" s="1" t="s">
        <v>24</v>
      </c>
      <c r="D70">
        <v>116</v>
      </c>
      <c r="E70" s="1" t="s">
        <v>14</v>
      </c>
      <c r="F70">
        <v>486</v>
      </c>
      <c r="G70">
        <v>92.96</v>
      </c>
      <c r="H70">
        <v>5</v>
      </c>
    </row>
    <row r="71" spans="1:8" x14ac:dyDescent="0.25">
      <c r="A71" s="1" t="s">
        <v>85</v>
      </c>
      <c r="B71" s="1" t="s">
        <v>106</v>
      </c>
      <c r="C71" s="1" t="s">
        <v>89</v>
      </c>
      <c r="D71">
        <v>51</v>
      </c>
      <c r="E71" s="1" t="s">
        <v>22</v>
      </c>
      <c r="F71">
        <v>58</v>
      </c>
      <c r="G71">
        <v>34.6</v>
      </c>
      <c r="H71">
        <v>5</v>
      </c>
    </row>
    <row r="72" spans="1:8" x14ac:dyDescent="0.25">
      <c r="A72" s="1" t="s">
        <v>85</v>
      </c>
      <c r="B72" s="1" t="s">
        <v>107</v>
      </c>
      <c r="C72" s="1" t="s">
        <v>10</v>
      </c>
      <c r="D72">
        <v>44</v>
      </c>
      <c r="E72" s="1" t="s">
        <v>14</v>
      </c>
      <c r="F72">
        <v>137</v>
      </c>
      <c r="G72">
        <v>32.58</v>
      </c>
      <c r="H72">
        <v>0</v>
      </c>
    </row>
    <row r="73" spans="1:8" x14ac:dyDescent="0.25">
      <c r="A73" s="1" t="s">
        <v>85</v>
      </c>
      <c r="B73" s="1" t="s">
        <v>108</v>
      </c>
      <c r="C73" s="1" t="s">
        <v>62</v>
      </c>
      <c r="D73">
        <v>70</v>
      </c>
      <c r="E73" s="1" t="s">
        <v>19</v>
      </c>
      <c r="F73">
        <v>31</v>
      </c>
      <c r="G73">
        <v>71.2</v>
      </c>
      <c r="H73">
        <v>4</v>
      </c>
    </row>
    <row r="74" spans="1:8" x14ac:dyDescent="0.25">
      <c r="A74" s="1" t="s">
        <v>85</v>
      </c>
      <c r="B74" s="1" t="s">
        <v>109</v>
      </c>
      <c r="C74" s="1" t="s">
        <v>35</v>
      </c>
      <c r="D74">
        <v>6</v>
      </c>
      <c r="E74" s="1" t="s">
        <v>11</v>
      </c>
      <c r="F74">
        <v>162</v>
      </c>
      <c r="G74">
        <v>99.93</v>
      </c>
      <c r="H74">
        <v>0</v>
      </c>
    </row>
    <row r="75" spans="1:8" x14ac:dyDescent="0.25">
      <c r="A75" s="1" t="s">
        <v>85</v>
      </c>
      <c r="B75" s="1" t="s">
        <v>110</v>
      </c>
      <c r="C75" s="1" t="s">
        <v>35</v>
      </c>
      <c r="D75">
        <v>86</v>
      </c>
      <c r="E75" s="1" t="s">
        <v>14</v>
      </c>
      <c r="F75">
        <v>237</v>
      </c>
      <c r="G75">
        <v>85.82</v>
      </c>
      <c r="H75">
        <v>5</v>
      </c>
    </row>
    <row r="76" spans="1:8" x14ac:dyDescent="0.25">
      <c r="A76" s="1" t="s">
        <v>85</v>
      </c>
      <c r="B76" s="1" t="s">
        <v>111</v>
      </c>
      <c r="C76" s="1" t="s">
        <v>33</v>
      </c>
      <c r="D76">
        <v>114</v>
      </c>
      <c r="E76" s="1" t="s">
        <v>11</v>
      </c>
      <c r="F76">
        <v>283</v>
      </c>
      <c r="G76">
        <v>29.15</v>
      </c>
      <c r="H76">
        <v>3</v>
      </c>
    </row>
    <row r="77" spans="1:8" x14ac:dyDescent="0.25">
      <c r="A77" s="1" t="s">
        <v>85</v>
      </c>
      <c r="B77" s="1" t="s">
        <v>112</v>
      </c>
      <c r="C77" s="1" t="s">
        <v>29</v>
      </c>
      <c r="D77">
        <v>57</v>
      </c>
      <c r="E77" s="1" t="s">
        <v>19</v>
      </c>
      <c r="F77">
        <v>208</v>
      </c>
      <c r="G77">
        <v>85.66</v>
      </c>
      <c r="H77">
        <v>5</v>
      </c>
    </row>
    <row r="78" spans="1:8" x14ac:dyDescent="0.25">
      <c r="A78" s="1" t="s">
        <v>85</v>
      </c>
      <c r="B78" s="1" t="s">
        <v>113</v>
      </c>
      <c r="C78" s="1" t="s">
        <v>18</v>
      </c>
      <c r="D78">
        <v>95</v>
      </c>
      <c r="E78" s="1" t="s">
        <v>19</v>
      </c>
      <c r="F78">
        <v>33</v>
      </c>
      <c r="G78">
        <v>35.32</v>
      </c>
      <c r="H78">
        <v>0</v>
      </c>
    </row>
    <row r="79" spans="1:8" x14ac:dyDescent="0.25">
      <c r="A79" s="1" t="s">
        <v>85</v>
      </c>
      <c r="B79" s="1" t="s">
        <v>114</v>
      </c>
      <c r="C79" s="1" t="s">
        <v>26</v>
      </c>
      <c r="D79">
        <v>36</v>
      </c>
      <c r="E79" s="1" t="s">
        <v>19</v>
      </c>
      <c r="F79">
        <v>247</v>
      </c>
      <c r="G79">
        <v>24.53</v>
      </c>
      <c r="H79">
        <v>2</v>
      </c>
    </row>
    <row r="80" spans="1:8" x14ac:dyDescent="0.25">
      <c r="A80" s="1" t="s">
        <v>85</v>
      </c>
      <c r="B80" s="1" t="s">
        <v>115</v>
      </c>
      <c r="C80" s="1" t="s">
        <v>64</v>
      </c>
      <c r="D80">
        <v>83</v>
      </c>
      <c r="E80" s="1" t="s">
        <v>22</v>
      </c>
      <c r="F80">
        <v>14</v>
      </c>
      <c r="G80">
        <v>58.07</v>
      </c>
      <c r="H80">
        <v>3</v>
      </c>
    </row>
    <row r="81" spans="1:8" x14ac:dyDescent="0.25">
      <c r="A81" s="1" t="s">
        <v>85</v>
      </c>
      <c r="B81" s="1" t="s">
        <v>116</v>
      </c>
      <c r="C81" s="1" t="s">
        <v>51</v>
      </c>
      <c r="D81">
        <v>12</v>
      </c>
      <c r="E81" s="1" t="s">
        <v>11</v>
      </c>
      <c r="F81">
        <v>208</v>
      </c>
      <c r="G81">
        <v>16.29</v>
      </c>
      <c r="H81">
        <v>4</v>
      </c>
    </row>
    <row r="82" spans="1:8" x14ac:dyDescent="0.25">
      <c r="A82" s="1" t="s">
        <v>85</v>
      </c>
      <c r="B82" s="1" t="s">
        <v>117</v>
      </c>
      <c r="C82" s="1" t="s">
        <v>60</v>
      </c>
      <c r="D82">
        <v>111</v>
      </c>
      <c r="E82" s="1" t="s">
        <v>22</v>
      </c>
      <c r="F82">
        <v>324</v>
      </c>
      <c r="G82">
        <v>18.07</v>
      </c>
      <c r="H82">
        <v>2</v>
      </c>
    </row>
    <row r="83" spans="1:8" x14ac:dyDescent="0.25">
      <c r="A83" s="1" t="s">
        <v>85</v>
      </c>
      <c r="B83" s="1" t="s">
        <v>118</v>
      </c>
      <c r="C83" s="1" t="s">
        <v>21</v>
      </c>
      <c r="D83">
        <v>22</v>
      </c>
      <c r="E83" s="1" t="s">
        <v>22</v>
      </c>
      <c r="F83">
        <v>119</v>
      </c>
      <c r="G83">
        <v>72.86</v>
      </c>
      <c r="H83">
        <v>3</v>
      </c>
    </row>
    <row r="84" spans="1:8" x14ac:dyDescent="0.25">
      <c r="A84" s="1" t="s">
        <v>85</v>
      </c>
      <c r="B84" s="1" t="s">
        <v>119</v>
      </c>
      <c r="C84" s="1" t="s">
        <v>40</v>
      </c>
      <c r="D84">
        <v>91</v>
      </c>
      <c r="E84" s="1" t="s">
        <v>11</v>
      </c>
      <c r="F84">
        <v>467</v>
      </c>
      <c r="G84">
        <v>84.74</v>
      </c>
      <c r="H84">
        <v>1</v>
      </c>
    </row>
    <row r="85" spans="1:8" x14ac:dyDescent="0.25">
      <c r="A85" s="1" t="s">
        <v>85</v>
      </c>
      <c r="B85" s="1" t="s">
        <v>120</v>
      </c>
      <c r="C85" s="1" t="s">
        <v>62</v>
      </c>
      <c r="D85">
        <v>4</v>
      </c>
      <c r="E85" s="1" t="s">
        <v>19</v>
      </c>
      <c r="F85">
        <v>453</v>
      </c>
      <c r="G85">
        <v>75.260000000000005</v>
      </c>
      <c r="H85">
        <v>5</v>
      </c>
    </row>
    <row r="86" spans="1:8" x14ac:dyDescent="0.25">
      <c r="A86" s="1" t="s">
        <v>85</v>
      </c>
      <c r="B86" s="1" t="s">
        <v>121</v>
      </c>
      <c r="C86" s="1" t="s">
        <v>10</v>
      </c>
      <c r="D86">
        <v>74</v>
      </c>
      <c r="E86" s="1" t="s">
        <v>22</v>
      </c>
      <c r="F86">
        <v>9</v>
      </c>
      <c r="G86">
        <v>99.89</v>
      </c>
      <c r="H86">
        <v>0</v>
      </c>
    </row>
    <row r="87" spans="1:8" x14ac:dyDescent="0.25">
      <c r="A87" s="1" t="s">
        <v>85</v>
      </c>
      <c r="B87" s="1" t="s">
        <v>122</v>
      </c>
      <c r="C87" s="1" t="s">
        <v>26</v>
      </c>
      <c r="D87">
        <v>81</v>
      </c>
      <c r="E87" s="1" t="s">
        <v>11</v>
      </c>
      <c r="F87">
        <v>137</v>
      </c>
      <c r="G87">
        <v>89.05</v>
      </c>
      <c r="H87">
        <v>0</v>
      </c>
    </row>
    <row r="88" spans="1:8" x14ac:dyDescent="0.25">
      <c r="A88" s="1" t="s">
        <v>85</v>
      </c>
      <c r="B88" s="1" t="s">
        <v>123</v>
      </c>
      <c r="C88" s="1" t="s">
        <v>89</v>
      </c>
      <c r="D88">
        <v>102</v>
      </c>
      <c r="E88" s="1" t="s">
        <v>14</v>
      </c>
      <c r="F88">
        <v>283</v>
      </c>
      <c r="G88">
        <v>28.98</v>
      </c>
      <c r="H88">
        <v>3</v>
      </c>
    </row>
    <row r="89" spans="1:8" x14ac:dyDescent="0.25">
      <c r="A89" s="1" t="s">
        <v>85</v>
      </c>
      <c r="B89" s="1" t="s">
        <v>124</v>
      </c>
      <c r="C89" s="1" t="s">
        <v>35</v>
      </c>
      <c r="D89">
        <v>99</v>
      </c>
      <c r="E89" s="1" t="s">
        <v>22</v>
      </c>
      <c r="F89">
        <v>493</v>
      </c>
      <c r="G89">
        <v>55.43</v>
      </c>
      <c r="H89">
        <v>2</v>
      </c>
    </row>
    <row r="90" spans="1:8" x14ac:dyDescent="0.25">
      <c r="A90" s="1" t="s">
        <v>85</v>
      </c>
      <c r="B90" s="1" t="s">
        <v>125</v>
      </c>
      <c r="C90" s="1" t="s">
        <v>89</v>
      </c>
      <c r="D90">
        <v>91</v>
      </c>
      <c r="E90" s="1" t="s">
        <v>19</v>
      </c>
      <c r="F90">
        <v>300</v>
      </c>
      <c r="G90">
        <v>82.19</v>
      </c>
      <c r="H90">
        <v>1</v>
      </c>
    </row>
    <row r="91" spans="1:8" x14ac:dyDescent="0.25">
      <c r="A91" s="1" t="s">
        <v>85</v>
      </c>
      <c r="B91" s="1" t="s">
        <v>126</v>
      </c>
      <c r="C91" s="1" t="s">
        <v>127</v>
      </c>
      <c r="D91">
        <v>40</v>
      </c>
      <c r="E91" s="1" t="s">
        <v>11</v>
      </c>
      <c r="F91">
        <v>345</v>
      </c>
      <c r="G91">
        <v>89.55</v>
      </c>
      <c r="H91">
        <v>3</v>
      </c>
    </row>
    <row r="92" spans="1:8" x14ac:dyDescent="0.25">
      <c r="A92" s="1" t="s">
        <v>85</v>
      </c>
      <c r="B92" s="1" t="s">
        <v>128</v>
      </c>
      <c r="C92" s="1" t="s">
        <v>78</v>
      </c>
      <c r="D92">
        <v>72</v>
      </c>
      <c r="E92" s="1" t="s">
        <v>22</v>
      </c>
      <c r="F92">
        <v>51</v>
      </c>
      <c r="G92">
        <v>95.09</v>
      </c>
      <c r="H92">
        <v>0</v>
      </c>
    </row>
    <row r="93" spans="1:8" x14ac:dyDescent="0.25">
      <c r="A93" s="1" t="s">
        <v>85</v>
      </c>
      <c r="B93" s="1" t="s">
        <v>129</v>
      </c>
      <c r="C93" s="1" t="s">
        <v>24</v>
      </c>
      <c r="D93">
        <v>83</v>
      </c>
      <c r="E93" s="1" t="s">
        <v>19</v>
      </c>
      <c r="F93">
        <v>126</v>
      </c>
      <c r="G93">
        <v>67.17</v>
      </c>
      <c r="H93">
        <v>1</v>
      </c>
    </row>
    <row r="94" spans="1:8" x14ac:dyDescent="0.25">
      <c r="A94" s="1" t="s">
        <v>85</v>
      </c>
      <c r="B94" s="1" t="s">
        <v>130</v>
      </c>
      <c r="C94" s="1" t="s">
        <v>131</v>
      </c>
      <c r="D94">
        <v>16</v>
      </c>
      <c r="E94" s="1" t="s">
        <v>19</v>
      </c>
      <c r="F94">
        <v>390</v>
      </c>
      <c r="G94">
        <v>98.17</v>
      </c>
      <c r="H94">
        <v>5</v>
      </c>
    </row>
    <row r="95" spans="1:8" x14ac:dyDescent="0.25">
      <c r="A95" s="1" t="s">
        <v>85</v>
      </c>
      <c r="B95" s="1" t="s">
        <v>132</v>
      </c>
      <c r="C95" s="1" t="s">
        <v>26</v>
      </c>
      <c r="D95">
        <v>83</v>
      </c>
      <c r="E95" s="1" t="s">
        <v>11</v>
      </c>
      <c r="F95">
        <v>284</v>
      </c>
      <c r="G95">
        <v>73.7</v>
      </c>
      <c r="H95">
        <v>0</v>
      </c>
    </row>
    <row r="96" spans="1:8" x14ac:dyDescent="0.25">
      <c r="A96" s="1" t="s">
        <v>85</v>
      </c>
      <c r="B96" s="1" t="s">
        <v>133</v>
      </c>
      <c r="C96" s="1" t="s">
        <v>18</v>
      </c>
      <c r="D96">
        <v>72</v>
      </c>
      <c r="E96" s="1" t="s">
        <v>14</v>
      </c>
      <c r="F96">
        <v>333</v>
      </c>
      <c r="G96">
        <v>34.57</v>
      </c>
      <c r="H96">
        <v>2</v>
      </c>
    </row>
    <row r="97" spans="1:8" x14ac:dyDescent="0.25">
      <c r="A97" s="1" t="s">
        <v>85</v>
      </c>
      <c r="B97" s="1" t="s">
        <v>134</v>
      </c>
      <c r="C97" s="1" t="s">
        <v>31</v>
      </c>
      <c r="D97">
        <v>11</v>
      </c>
      <c r="E97" s="1" t="s">
        <v>19</v>
      </c>
      <c r="F97">
        <v>402</v>
      </c>
      <c r="G97">
        <v>69.599999999999994</v>
      </c>
      <c r="H97">
        <v>5</v>
      </c>
    </row>
    <row r="98" spans="1:8" x14ac:dyDescent="0.25">
      <c r="A98" s="1" t="s">
        <v>85</v>
      </c>
      <c r="B98" s="1" t="s">
        <v>135</v>
      </c>
      <c r="C98" s="1" t="s">
        <v>44</v>
      </c>
      <c r="D98">
        <v>25</v>
      </c>
      <c r="E98" s="1" t="s">
        <v>11</v>
      </c>
      <c r="F98">
        <v>64</v>
      </c>
      <c r="G98">
        <v>38.950000000000003</v>
      </c>
      <c r="H98">
        <v>5</v>
      </c>
    </row>
    <row r="99" spans="1:8" x14ac:dyDescent="0.25">
      <c r="A99" s="1" t="s">
        <v>85</v>
      </c>
      <c r="B99" s="1" t="s">
        <v>136</v>
      </c>
      <c r="C99" s="1" t="s">
        <v>137</v>
      </c>
      <c r="D99">
        <v>80</v>
      </c>
      <c r="E99" s="1" t="s">
        <v>22</v>
      </c>
      <c r="F99">
        <v>155</v>
      </c>
      <c r="G99">
        <v>28.96</v>
      </c>
      <c r="H99">
        <v>2</v>
      </c>
    </row>
    <row r="100" spans="1:8" x14ac:dyDescent="0.25">
      <c r="A100" s="1" t="s">
        <v>85</v>
      </c>
      <c r="B100" s="1" t="s">
        <v>138</v>
      </c>
      <c r="C100" s="1" t="s">
        <v>44</v>
      </c>
      <c r="D100">
        <v>70</v>
      </c>
      <c r="E100" s="1" t="s">
        <v>14</v>
      </c>
      <c r="F100">
        <v>290</v>
      </c>
      <c r="G100">
        <v>96.31</v>
      </c>
      <c r="H100">
        <v>1</v>
      </c>
    </row>
    <row r="101" spans="1:8" x14ac:dyDescent="0.25">
      <c r="A101" s="1" t="s">
        <v>85</v>
      </c>
      <c r="B101" s="1" t="s">
        <v>139</v>
      </c>
      <c r="C101" s="1" t="s">
        <v>73</v>
      </c>
      <c r="D101">
        <v>74</v>
      </c>
      <c r="E101" s="1" t="s">
        <v>11</v>
      </c>
      <c r="F101">
        <v>208</v>
      </c>
      <c r="G101">
        <v>39.56</v>
      </c>
      <c r="H101">
        <v>0</v>
      </c>
    </row>
    <row r="102" spans="1:8" x14ac:dyDescent="0.25">
      <c r="A102" s="1" t="s">
        <v>140</v>
      </c>
      <c r="B102" s="1" t="s">
        <v>141</v>
      </c>
      <c r="C102" s="1" t="s">
        <v>24</v>
      </c>
      <c r="D102">
        <v>87</v>
      </c>
      <c r="E102" s="1" t="s">
        <v>14</v>
      </c>
      <c r="F102">
        <v>442</v>
      </c>
      <c r="G102">
        <v>22.39</v>
      </c>
      <c r="H102">
        <v>3</v>
      </c>
    </row>
    <row r="103" spans="1:8" x14ac:dyDescent="0.25">
      <c r="A103" s="1" t="s">
        <v>140</v>
      </c>
      <c r="B103" s="1" t="s">
        <v>142</v>
      </c>
      <c r="C103" s="1" t="s">
        <v>37</v>
      </c>
      <c r="D103">
        <v>69</v>
      </c>
      <c r="E103" s="1" t="s">
        <v>19</v>
      </c>
      <c r="F103">
        <v>306</v>
      </c>
      <c r="G103">
        <v>13.97</v>
      </c>
      <c r="H103">
        <v>1</v>
      </c>
    </row>
    <row r="104" spans="1:8" x14ac:dyDescent="0.25">
      <c r="A104" s="1" t="s">
        <v>140</v>
      </c>
      <c r="B104" s="1" t="s">
        <v>143</v>
      </c>
      <c r="C104" s="1" t="s">
        <v>57</v>
      </c>
      <c r="D104">
        <v>79</v>
      </c>
      <c r="E104" s="1" t="s">
        <v>22</v>
      </c>
      <c r="F104">
        <v>403</v>
      </c>
      <c r="G104">
        <v>21.49</v>
      </c>
      <c r="H104">
        <v>0</v>
      </c>
    </row>
    <row r="105" spans="1:8" x14ac:dyDescent="0.25">
      <c r="A105" s="1" t="s">
        <v>140</v>
      </c>
      <c r="B105" s="1" t="s">
        <v>144</v>
      </c>
      <c r="C105" s="1" t="s">
        <v>57</v>
      </c>
      <c r="D105">
        <v>33</v>
      </c>
      <c r="E105" s="1" t="s">
        <v>22</v>
      </c>
      <c r="F105">
        <v>337</v>
      </c>
      <c r="G105">
        <v>62.61</v>
      </c>
      <c r="H105">
        <v>2</v>
      </c>
    </row>
    <row r="106" spans="1:8" x14ac:dyDescent="0.25">
      <c r="A106" s="1" t="s">
        <v>140</v>
      </c>
      <c r="B106" s="1" t="s">
        <v>145</v>
      </c>
      <c r="C106" s="1" t="s">
        <v>26</v>
      </c>
      <c r="D106">
        <v>88</v>
      </c>
      <c r="E106" s="1" t="s">
        <v>22</v>
      </c>
      <c r="F106">
        <v>319</v>
      </c>
      <c r="G106">
        <v>56.18</v>
      </c>
      <c r="H106">
        <v>0</v>
      </c>
    </row>
    <row r="107" spans="1:8" x14ac:dyDescent="0.25">
      <c r="A107" s="1" t="s">
        <v>140</v>
      </c>
      <c r="B107" s="1" t="s">
        <v>146</v>
      </c>
      <c r="C107" s="1" t="s">
        <v>21</v>
      </c>
      <c r="D107">
        <v>72</v>
      </c>
      <c r="E107" s="1" t="s">
        <v>11</v>
      </c>
      <c r="F107">
        <v>5</v>
      </c>
      <c r="G107">
        <v>68.650000000000006</v>
      </c>
      <c r="H107">
        <v>0</v>
      </c>
    </row>
    <row r="108" spans="1:8" x14ac:dyDescent="0.25">
      <c r="A108" s="1" t="s">
        <v>140</v>
      </c>
      <c r="B108" s="1" t="s">
        <v>147</v>
      </c>
      <c r="C108" s="1" t="s">
        <v>62</v>
      </c>
      <c r="D108">
        <v>114</v>
      </c>
      <c r="E108" s="1" t="s">
        <v>11</v>
      </c>
      <c r="F108">
        <v>232</v>
      </c>
      <c r="G108">
        <v>42.2</v>
      </c>
      <c r="H108">
        <v>2</v>
      </c>
    </row>
    <row r="109" spans="1:8" x14ac:dyDescent="0.25">
      <c r="A109" s="1" t="s">
        <v>140</v>
      </c>
      <c r="B109" s="1" t="s">
        <v>148</v>
      </c>
      <c r="C109" s="1" t="s">
        <v>67</v>
      </c>
      <c r="D109">
        <v>59</v>
      </c>
      <c r="E109" s="1" t="s">
        <v>19</v>
      </c>
      <c r="F109">
        <v>196</v>
      </c>
      <c r="G109">
        <v>62.53</v>
      </c>
      <c r="H109">
        <v>0</v>
      </c>
    </row>
    <row r="110" spans="1:8" x14ac:dyDescent="0.25">
      <c r="A110" s="1" t="s">
        <v>140</v>
      </c>
      <c r="B110" s="1" t="s">
        <v>149</v>
      </c>
      <c r="C110" s="1" t="s">
        <v>26</v>
      </c>
      <c r="D110">
        <v>1</v>
      </c>
      <c r="E110" s="1" t="s">
        <v>19</v>
      </c>
      <c r="F110">
        <v>237</v>
      </c>
      <c r="G110">
        <v>58.7</v>
      </c>
      <c r="H110">
        <v>4</v>
      </c>
    </row>
    <row r="111" spans="1:8" x14ac:dyDescent="0.25">
      <c r="A111" s="1" t="s">
        <v>140</v>
      </c>
      <c r="B111" s="1" t="s">
        <v>150</v>
      </c>
      <c r="C111" s="1" t="s">
        <v>37</v>
      </c>
      <c r="D111">
        <v>55</v>
      </c>
      <c r="E111" s="1" t="s">
        <v>19</v>
      </c>
      <c r="F111">
        <v>407</v>
      </c>
      <c r="G111">
        <v>23.11</v>
      </c>
      <c r="H111">
        <v>0</v>
      </c>
    </row>
    <row r="112" spans="1:8" x14ac:dyDescent="0.25">
      <c r="A112" s="1" t="s">
        <v>140</v>
      </c>
      <c r="B112" s="1" t="s">
        <v>151</v>
      </c>
      <c r="C112" s="1" t="s">
        <v>37</v>
      </c>
      <c r="D112">
        <v>83</v>
      </c>
      <c r="E112" s="1" t="s">
        <v>14</v>
      </c>
      <c r="F112">
        <v>219</v>
      </c>
      <c r="G112">
        <v>52.26</v>
      </c>
      <c r="H112">
        <v>1</v>
      </c>
    </row>
    <row r="113" spans="1:8" x14ac:dyDescent="0.25">
      <c r="A113" s="1" t="s">
        <v>140</v>
      </c>
      <c r="B113" s="1" t="s">
        <v>152</v>
      </c>
      <c r="C113" s="1" t="s">
        <v>31</v>
      </c>
      <c r="D113">
        <v>87</v>
      </c>
      <c r="E113" s="1" t="s">
        <v>14</v>
      </c>
      <c r="F113">
        <v>450</v>
      </c>
      <c r="G113">
        <v>64.3</v>
      </c>
      <c r="H113">
        <v>2</v>
      </c>
    </row>
    <row r="114" spans="1:8" x14ac:dyDescent="0.25">
      <c r="A114" s="1" t="s">
        <v>140</v>
      </c>
      <c r="B114" s="1" t="s">
        <v>153</v>
      </c>
      <c r="C114" s="1" t="s">
        <v>33</v>
      </c>
      <c r="D114">
        <v>84</v>
      </c>
      <c r="E114" s="1" t="s">
        <v>19</v>
      </c>
      <c r="F114">
        <v>317</v>
      </c>
      <c r="G114">
        <v>36.200000000000003</v>
      </c>
      <c r="H114">
        <v>3</v>
      </c>
    </row>
    <row r="115" spans="1:8" x14ac:dyDescent="0.25">
      <c r="A115" s="1" t="s">
        <v>140</v>
      </c>
      <c r="B115" s="1" t="s">
        <v>154</v>
      </c>
      <c r="C115" s="1" t="s">
        <v>64</v>
      </c>
      <c r="D115">
        <v>7</v>
      </c>
      <c r="E115" s="1" t="s">
        <v>11</v>
      </c>
      <c r="F115">
        <v>317</v>
      </c>
      <c r="G115">
        <v>97.32</v>
      </c>
      <c r="H115">
        <v>1</v>
      </c>
    </row>
    <row r="116" spans="1:8" x14ac:dyDescent="0.25">
      <c r="A116" s="1" t="s">
        <v>140</v>
      </c>
      <c r="B116" s="1" t="s">
        <v>155</v>
      </c>
      <c r="C116" s="1" t="s">
        <v>33</v>
      </c>
      <c r="D116">
        <v>110</v>
      </c>
      <c r="E116" s="1" t="s">
        <v>11</v>
      </c>
      <c r="F116">
        <v>51</v>
      </c>
      <c r="G116">
        <v>56.59</v>
      </c>
      <c r="H116">
        <v>5</v>
      </c>
    </row>
    <row r="117" spans="1:8" x14ac:dyDescent="0.25">
      <c r="A117" s="1" t="s">
        <v>140</v>
      </c>
      <c r="B117" s="1" t="s">
        <v>156</v>
      </c>
      <c r="C117" s="1" t="s">
        <v>16</v>
      </c>
      <c r="D117">
        <v>42</v>
      </c>
      <c r="E117" s="1" t="s">
        <v>22</v>
      </c>
      <c r="F117">
        <v>173</v>
      </c>
      <c r="G117">
        <v>69.19</v>
      </c>
      <c r="H117">
        <v>4</v>
      </c>
    </row>
    <row r="118" spans="1:8" x14ac:dyDescent="0.25">
      <c r="A118" s="1" t="s">
        <v>140</v>
      </c>
      <c r="B118" s="1" t="s">
        <v>157</v>
      </c>
      <c r="C118" s="1" t="s">
        <v>131</v>
      </c>
      <c r="D118">
        <v>56</v>
      </c>
      <c r="E118" s="1" t="s">
        <v>19</v>
      </c>
      <c r="F118">
        <v>333</v>
      </c>
      <c r="G118">
        <v>23.01</v>
      </c>
      <c r="H118">
        <v>2</v>
      </c>
    </row>
    <row r="119" spans="1:8" x14ac:dyDescent="0.25">
      <c r="A119" s="1" t="s">
        <v>140</v>
      </c>
      <c r="B119" s="1" t="s">
        <v>158</v>
      </c>
      <c r="C119" s="1" t="s">
        <v>51</v>
      </c>
      <c r="D119">
        <v>109</v>
      </c>
      <c r="E119" s="1" t="s">
        <v>14</v>
      </c>
      <c r="F119">
        <v>480</v>
      </c>
      <c r="G119">
        <v>31.36</v>
      </c>
      <c r="H119">
        <v>0</v>
      </c>
    </row>
    <row r="120" spans="1:8" x14ac:dyDescent="0.25">
      <c r="A120" s="1" t="s">
        <v>140</v>
      </c>
      <c r="B120" s="1" t="s">
        <v>159</v>
      </c>
      <c r="C120" s="1" t="s">
        <v>67</v>
      </c>
      <c r="D120">
        <v>53</v>
      </c>
      <c r="E120" s="1" t="s">
        <v>22</v>
      </c>
      <c r="F120">
        <v>345</v>
      </c>
      <c r="G120">
        <v>83.73</v>
      </c>
      <c r="H120">
        <v>0</v>
      </c>
    </row>
    <row r="121" spans="1:8" x14ac:dyDescent="0.25">
      <c r="A121" s="1" t="s">
        <v>140</v>
      </c>
      <c r="B121" s="1" t="s">
        <v>160</v>
      </c>
      <c r="C121" s="1" t="s">
        <v>89</v>
      </c>
      <c r="D121">
        <v>36</v>
      </c>
      <c r="E121" s="1" t="s">
        <v>11</v>
      </c>
      <c r="F121">
        <v>400</v>
      </c>
      <c r="G121">
        <v>60.35</v>
      </c>
      <c r="H121">
        <v>1</v>
      </c>
    </row>
    <row r="122" spans="1:8" x14ac:dyDescent="0.25">
      <c r="A122" s="1" t="s">
        <v>140</v>
      </c>
      <c r="B122" s="1" t="s">
        <v>161</v>
      </c>
      <c r="C122" s="1" t="s">
        <v>73</v>
      </c>
      <c r="D122">
        <v>16</v>
      </c>
      <c r="E122" s="1" t="s">
        <v>19</v>
      </c>
      <c r="F122">
        <v>13</v>
      </c>
      <c r="G122">
        <v>14.91</v>
      </c>
      <c r="H122">
        <v>1</v>
      </c>
    </row>
    <row r="123" spans="1:8" x14ac:dyDescent="0.25">
      <c r="A123" s="1" t="s">
        <v>140</v>
      </c>
      <c r="B123" s="1" t="s">
        <v>162</v>
      </c>
      <c r="C123" s="1" t="s">
        <v>26</v>
      </c>
      <c r="D123">
        <v>88</v>
      </c>
      <c r="E123" s="1" t="s">
        <v>11</v>
      </c>
      <c r="F123">
        <v>232</v>
      </c>
      <c r="G123">
        <v>40.94</v>
      </c>
      <c r="H123">
        <v>2</v>
      </c>
    </row>
    <row r="124" spans="1:8" x14ac:dyDescent="0.25">
      <c r="A124" s="1" t="s">
        <v>140</v>
      </c>
      <c r="B124" s="1" t="s">
        <v>163</v>
      </c>
      <c r="C124" s="1" t="s">
        <v>29</v>
      </c>
      <c r="D124">
        <v>67</v>
      </c>
      <c r="E124" s="1" t="s">
        <v>22</v>
      </c>
      <c r="F124">
        <v>264</v>
      </c>
      <c r="G124">
        <v>97.89</v>
      </c>
      <c r="H124">
        <v>1</v>
      </c>
    </row>
    <row r="125" spans="1:8" x14ac:dyDescent="0.25">
      <c r="A125" s="1" t="s">
        <v>140</v>
      </c>
      <c r="B125" s="1" t="s">
        <v>164</v>
      </c>
      <c r="C125" s="1" t="s">
        <v>60</v>
      </c>
      <c r="D125">
        <v>60</v>
      </c>
      <c r="E125" s="1" t="s">
        <v>19</v>
      </c>
      <c r="F125">
        <v>168</v>
      </c>
      <c r="G125">
        <v>67.650000000000006</v>
      </c>
      <c r="H125">
        <v>1</v>
      </c>
    </row>
    <row r="126" spans="1:8" x14ac:dyDescent="0.25">
      <c r="A126" s="1" t="s">
        <v>140</v>
      </c>
      <c r="B126" s="1" t="s">
        <v>165</v>
      </c>
      <c r="C126" s="1" t="s">
        <v>33</v>
      </c>
      <c r="D126">
        <v>64</v>
      </c>
      <c r="E126" s="1" t="s">
        <v>14</v>
      </c>
      <c r="F126">
        <v>300</v>
      </c>
      <c r="G126">
        <v>28.11</v>
      </c>
      <c r="H126">
        <v>2</v>
      </c>
    </row>
    <row r="127" spans="1:8" x14ac:dyDescent="0.25">
      <c r="A127" s="1" t="s">
        <v>140</v>
      </c>
      <c r="B127" s="1" t="s">
        <v>166</v>
      </c>
      <c r="C127" s="1" t="s">
        <v>13</v>
      </c>
      <c r="D127">
        <v>47</v>
      </c>
      <c r="E127" s="1" t="s">
        <v>19</v>
      </c>
      <c r="F127">
        <v>98</v>
      </c>
      <c r="G127">
        <v>16.16</v>
      </c>
      <c r="H127">
        <v>5</v>
      </c>
    </row>
    <row r="128" spans="1:8" x14ac:dyDescent="0.25">
      <c r="A128" s="1" t="s">
        <v>140</v>
      </c>
      <c r="B128" s="1" t="s">
        <v>167</v>
      </c>
      <c r="C128" s="1" t="s">
        <v>18</v>
      </c>
      <c r="D128">
        <v>67</v>
      </c>
      <c r="E128" s="1" t="s">
        <v>14</v>
      </c>
      <c r="F128">
        <v>55</v>
      </c>
      <c r="G128">
        <v>27.04</v>
      </c>
      <c r="H128">
        <v>1</v>
      </c>
    </row>
    <row r="129" spans="1:8" x14ac:dyDescent="0.25">
      <c r="A129" s="1" t="s">
        <v>140</v>
      </c>
      <c r="B129" s="1" t="s">
        <v>168</v>
      </c>
      <c r="C129" s="1" t="s">
        <v>89</v>
      </c>
      <c r="D129">
        <v>98</v>
      </c>
      <c r="E129" s="1" t="s">
        <v>19</v>
      </c>
      <c r="F129">
        <v>52</v>
      </c>
      <c r="G129">
        <v>52.82</v>
      </c>
      <c r="H129">
        <v>2</v>
      </c>
    </row>
    <row r="130" spans="1:8" x14ac:dyDescent="0.25">
      <c r="A130" s="1" t="s">
        <v>140</v>
      </c>
      <c r="B130" s="1" t="s">
        <v>169</v>
      </c>
      <c r="C130" s="1" t="s">
        <v>13</v>
      </c>
      <c r="D130">
        <v>6</v>
      </c>
      <c r="E130" s="1" t="s">
        <v>19</v>
      </c>
      <c r="F130">
        <v>6</v>
      </c>
      <c r="G130">
        <v>72.27</v>
      </c>
      <c r="H130">
        <v>4</v>
      </c>
    </row>
    <row r="131" spans="1:8" x14ac:dyDescent="0.25">
      <c r="A131" s="1" t="s">
        <v>140</v>
      </c>
      <c r="B131" s="1" t="s">
        <v>170</v>
      </c>
      <c r="C131" s="1" t="s">
        <v>13</v>
      </c>
      <c r="D131">
        <v>114</v>
      </c>
      <c r="E131" s="1" t="s">
        <v>19</v>
      </c>
      <c r="F131">
        <v>304</v>
      </c>
      <c r="G131">
        <v>52.07</v>
      </c>
      <c r="H131">
        <v>1</v>
      </c>
    </row>
    <row r="132" spans="1:8" x14ac:dyDescent="0.25">
      <c r="A132" s="1" t="s">
        <v>140</v>
      </c>
      <c r="B132" s="1" t="s">
        <v>171</v>
      </c>
      <c r="C132" s="1" t="s">
        <v>31</v>
      </c>
      <c r="D132">
        <v>93</v>
      </c>
      <c r="E132" s="1" t="s">
        <v>19</v>
      </c>
      <c r="F132">
        <v>365</v>
      </c>
      <c r="G132">
        <v>72.319999999999993</v>
      </c>
      <c r="H132">
        <v>1</v>
      </c>
    </row>
    <row r="133" spans="1:8" x14ac:dyDescent="0.25">
      <c r="A133" s="1" t="s">
        <v>140</v>
      </c>
      <c r="B133" s="1" t="s">
        <v>172</v>
      </c>
      <c r="C133" s="1" t="s">
        <v>89</v>
      </c>
      <c r="D133">
        <v>29</v>
      </c>
      <c r="E133" s="1" t="s">
        <v>14</v>
      </c>
      <c r="F133">
        <v>34</v>
      </c>
      <c r="G133">
        <v>86.68</v>
      </c>
      <c r="H133">
        <v>1</v>
      </c>
    </row>
    <row r="134" spans="1:8" x14ac:dyDescent="0.25">
      <c r="A134" s="1" t="s">
        <v>140</v>
      </c>
      <c r="B134" s="1" t="s">
        <v>173</v>
      </c>
      <c r="C134" s="1" t="s">
        <v>29</v>
      </c>
      <c r="D134">
        <v>7</v>
      </c>
      <c r="E134" s="1" t="s">
        <v>11</v>
      </c>
      <c r="F134">
        <v>303</v>
      </c>
      <c r="G134">
        <v>60.95</v>
      </c>
      <c r="H134">
        <v>0</v>
      </c>
    </row>
    <row r="135" spans="1:8" x14ac:dyDescent="0.25">
      <c r="A135" s="1" t="s">
        <v>140</v>
      </c>
      <c r="B135" s="1" t="s">
        <v>174</v>
      </c>
      <c r="C135" s="1" t="s">
        <v>89</v>
      </c>
      <c r="D135">
        <v>118</v>
      </c>
      <c r="E135" s="1" t="s">
        <v>22</v>
      </c>
      <c r="F135">
        <v>430</v>
      </c>
      <c r="G135">
        <v>36.97</v>
      </c>
      <c r="H135">
        <v>2</v>
      </c>
    </row>
    <row r="136" spans="1:8" x14ac:dyDescent="0.25">
      <c r="A136" s="1" t="s">
        <v>140</v>
      </c>
      <c r="B136" s="1" t="s">
        <v>175</v>
      </c>
      <c r="C136" s="1" t="s">
        <v>44</v>
      </c>
      <c r="D136">
        <v>54</v>
      </c>
      <c r="E136" s="1" t="s">
        <v>19</v>
      </c>
      <c r="F136">
        <v>99</v>
      </c>
      <c r="G136">
        <v>39.58</v>
      </c>
      <c r="H136">
        <v>0</v>
      </c>
    </row>
    <row r="137" spans="1:8" x14ac:dyDescent="0.25">
      <c r="A137" s="1" t="s">
        <v>140</v>
      </c>
      <c r="B137" s="1" t="s">
        <v>176</v>
      </c>
      <c r="C137" s="1" t="s">
        <v>18</v>
      </c>
      <c r="D137">
        <v>69</v>
      </c>
      <c r="E137" s="1" t="s">
        <v>14</v>
      </c>
      <c r="F137">
        <v>463</v>
      </c>
      <c r="G137">
        <v>19.440000000000001</v>
      </c>
      <c r="H137">
        <v>0</v>
      </c>
    </row>
    <row r="138" spans="1:8" x14ac:dyDescent="0.25">
      <c r="A138" s="1" t="s">
        <v>140</v>
      </c>
      <c r="B138" s="1" t="s">
        <v>177</v>
      </c>
      <c r="C138" s="1" t="s">
        <v>40</v>
      </c>
      <c r="D138">
        <v>58</v>
      </c>
      <c r="E138" s="1" t="s">
        <v>19</v>
      </c>
      <c r="F138">
        <v>293</v>
      </c>
      <c r="G138">
        <v>88.85</v>
      </c>
      <c r="H138">
        <v>5</v>
      </c>
    </row>
    <row r="139" spans="1:8" x14ac:dyDescent="0.25">
      <c r="A139" s="1" t="s">
        <v>140</v>
      </c>
      <c r="B139" s="1" t="s">
        <v>178</v>
      </c>
      <c r="C139" s="1" t="s">
        <v>44</v>
      </c>
      <c r="D139">
        <v>41</v>
      </c>
      <c r="E139" s="1" t="s">
        <v>11</v>
      </c>
      <c r="F139">
        <v>64</v>
      </c>
      <c r="G139">
        <v>91.95</v>
      </c>
      <c r="H139">
        <v>1</v>
      </c>
    </row>
    <row r="140" spans="1:8" x14ac:dyDescent="0.25">
      <c r="A140" s="1" t="s">
        <v>140</v>
      </c>
      <c r="B140" s="1" t="s">
        <v>179</v>
      </c>
      <c r="C140" s="1" t="s">
        <v>67</v>
      </c>
      <c r="D140">
        <v>1</v>
      </c>
      <c r="E140" s="1" t="s">
        <v>14</v>
      </c>
      <c r="F140">
        <v>326</v>
      </c>
      <c r="G140">
        <v>54.63</v>
      </c>
      <c r="H140">
        <v>3</v>
      </c>
    </row>
    <row r="141" spans="1:8" x14ac:dyDescent="0.25">
      <c r="A141" s="1" t="s">
        <v>140</v>
      </c>
      <c r="B141" s="1" t="s">
        <v>180</v>
      </c>
      <c r="C141" s="1" t="s">
        <v>89</v>
      </c>
      <c r="D141">
        <v>51</v>
      </c>
      <c r="E141" s="1" t="s">
        <v>19</v>
      </c>
      <c r="F141">
        <v>260</v>
      </c>
      <c r="G141">
        <v>92.8</v>
      </c>
      <c r="H141">
        <v>5</v>
      </c>
    </row>
    <row r="142" spans="1:8" x14ac:dyDescent="0.25">
      <c r="A142" s="1" t="s">
        <v>140</v>
      </c>
      <c r="B142" s="1" t="s">
        <v>181</v>
      </c>
      <c r="C142" s="1" t="s">
        <v>57</v>
      </c>
      <c r="D142">
        <v>25</v>
      </c>
      <c r="E142" s="1" t="s">
        <v>19</v>
      </c>
      <c r="F142">
        <v>131</v>
      </c>
      <c r="G142">
        <v>67.489999999999995</v>
      </c>
      <c r="H142">
        <v>0</v>
      </c>
    </row>
    <row r="143" spans="1:8" x14ac:dyDescent="0.25">
      <c r="A143" s="1" t="s">
        <v>140</v>
      </c>
      <c r="B143" s="1" t="s">
        <v>182</v>
      </c>
      <c r="C143" s="1" t="s">
        <v>73</v>
      </c>
      <c r="D143">
        <v>43</v>
      </c>
      <c r="E143" s="1" t="s">
        <v>19</v>
      </c>
      <c r="F143">
        <v>181</v>
      </c>
      <c r="G143">
        <v>72.39</v>
      </c>
      <c r="H143">
        <v>2</v>
      </c>
    </row>
    <row r="144" spans="1:8" x14ac:dyDescent="0.25">
      <c r="A144" s="1" t="s">
        <v>140</v>
      </c>
      <c r="B144" s="1" t="s">
        <v>183</v>
      </c>
      <c r="C144" s="1" t="s">
        <v>18</v>
      </c>
      <c r="D144">
        <v>11</v>
      </c>
      <c r="E144" s="1" t="s">
        <v>19</v>
      </c>
      <c r="F144">
        <v>215</v>
      </c>
      <c r="G144">
        <v>51.99</v>
      </c>
      <c r="H144">
        <v>1</v>
      </c>
    </row>
    <row r="145" spans="1:8" x14ac:dyDescent="0.25">
      <c r="A145" s="1" t="s">
        <v>140</v>
      </c>
      <c r="B145" s="1" t="s">
        <v>184</v>
      </c>
      <c r="C145" s="1" t="s">
        <v>24</v>
      </c>
      <c r="D145">
        <v>113</v>
      </c>
      <c r="E145" s="1" t="s">
        <v>11</v>
      </c>
      <c r="F145">
        <v>246</v>
      </c>
      <c r="G145">
        <v>29.18</v>
      </c>
      <c r="H145">
        <v>2</v>
      </c>
    </row>
    <row r="146" spans="1:8" x14ac:dyDescent="0.25">
      <c r="A146" s="1" t="s">
        <v>140</v>
      </c>
      <c r="B146" s="1" t="s">
        <v>185</v>
      </c>
      <c r="C146" s="1" t="s">
        <v>67</v>
      </c>
      <c r="D146">
        <v>74</v>
      </c>
      <c r="E146" s="1" t="s">
        <v>14</v>
      </c>
      <c r="F146">
        <v>371</v>
      </c>
      <c r="G146">
        <v>53.27</v>
      </c>
      <c r="H146">
        <v>3</v>
      </c>
    </row>
    <row r="147" spans="1:8" x14ac:dyDescent="0.25">
      <c r="A147" s="1" t="s">
        <v>140</v>
      </c>
      <c r="B147" s="1" t="s">
        <v>186</v>
      </c>
      <c r="C147" s="1" t="s">
        <v>33</v>
      </c>
      <c r="D147">
        <v>104</v>
      </c>
      <c r="E147" s="1" t="s">
        <v>14</v>
      </c>
      <c r="F147">
        <v>317</v>
      </c>
      <c r="G147">
        <v>79.150000000000006</v>
      </c>
      <c r="H147">
        <v>1</v>
      </c>
    </row>
    <row r="148" spans="1:8" x14ac:dyDescent="0.25">
      <c r="A148" s="1" t="s">
        <v>140</v>
      </c>
      <c r="B148" s="1" t="s">
        <v>187</v>
      </c>
      <c r="C148" s="1" t="s">
        <v>13</v>
      </c>
      <c r="D148">
        <v>4</v>
      </c>
      <c r="E148" s="1" t="s">
        <v>19</v>
      </c>
      <c r="F148">
        <v>227</v>
      </c>
      <c r="G148">
        <v>83.32</v>
      </c>
      <c r="H148">
        <v>2</v>
      </c>
    </row>
    <row r="149" spans="1:8" x14ac:dyDescent="0.25">
      <c r="A149" s="1" t="s">
        <v>140</v>
      </c>
      <c r="B149" s="1" t="s">
        <v>188</v>
      </c>
      <c r="C149" s="1" t="s">
        <v>64</v>
      </c>
      <c r="D149">
        <v>95</v>
      </c>
      <c r="E149" s="1" t="s">
        <v>14</v>
      </c>
      <c r="F149">
        <v>95</v>
      </c>
      <c r="G149">
        <v>82.65</v>
      </c>
      <c r="H149">
        <v>2</v>
      </c>
    </row>
    <row r="150" spans="1:8" x14ac:dyDescent="0.25">
      <c r="A150" s="1" t="s">
        <v>140</v>
      </c>
      <c r="B150" s="1" t="s">
        <v>189</v>
      </c>
      <c r="C150" s="1" t="s">
        <v>37</v>
      </c>
      <c r="D150">
        <v>29</v>
      </c>
      <c r="E150" s="1" t="s">
        <v>22</v>
      </c>
      <c r="F150">
        <v>124</v>
      </c>
      <c r="G150">
        <v>43.83</v>
      </c>
      <c r="H150">
        <v>5</v>
      </c>
    </row>
    <row r="151" spans="1:8" x14ac:dyDescent="0.25">
      <c r="A151" s="1" t="s">
        <v>190</v>
      </c>
      <c r="B151" s="1" t="s">
        <v>191</v>
      </c>
      <c r="C151" s="1" t="s">
        <v>31</v>
      </c>
      <c r="D151">
        <v>97</v>
      </c>
      <c r="E151" s="1" t="s">
        <v>19</v>
      </c>
      <c r="F151">
        <v>484</v>
      </c>
      <c r="G151">
        <v>61.98</v>
      </c>
      <c r="H151">
        <v>1</v>
      </c>
    </row>
    <row r="152" spans="1:8" x14ac:dyDescent="0.25">
      <c r="A152" s="1" t="s">
        <v>190</v>
      </c>
      <c r="B152" s="1" t="s">
        <v>192</v>
      </c>
      <c r="C152" s="1" t="s">
        <v>10</v>
      </c>
      <c r="D152">
        <v>113</v>
      </c>
      <c r="E152" s="1" t="s">
        <v>11</v>
      </c>
      <c r="F152">
        <v>207</v>
      </c>
      <c r="G152">
        <v>21.55</v>
      </c>
      <c r="H152">
        <v>0</v>
      </c>
    </row>
    <row r="153" spans="1:8" x14ac:dyDescent="0.25">
      <c r="A153" s="1" t="s">
        <v>190</v>
      </c>
      <c r="B153" s="1" t="s">
        <v>193</v>
      </c>
      <c r="C153" s="1" t="s">
        <v>37</v>
      </c>
      <c r="D153">
        <v>83</v>
      </c>
      <c r="E153" s="1" t="s">
        <v>14</v>
      </c>
      <c r="F153">
        <v>420</v>
      </c>
      <c r="G153">
        <v>94.9</v>
      </c>
      <c r="H153">
        <v>1</v>
      </c>
    </row>
    <row r="154" spans="1:8" x14ac:dyDescent="0.25">
      <c r="A154" s="1" t="s">
        <v>190</v>
      </c>
      <c r="B154" s="1" t="s">
        <v>194</v>
      </c>
      <c r="C154" s="1" t="s">
        <v>40</v>
      </c>
      <c r="D154">
        <v>97</v>
      </c>
      <c r="E154" s="1" t="s">
        <v>11</v>
      </c>
      <c r="F154">
        <v>296</v>
      </c>
      <c r="G154">
        <v>10.87</v>
      </c>
      <c r="H154">
        <v>4</v>
      </c>
    </row>
    <row r="155" spans="1:8" x14ac:dyDescent="0.25">
      <c r="A155" s="1" t="s">
        <v>190</v>
      </c>
      <c r="B155" s="1" t="s">
        <v>195</v>
      </c>
      <c r="C155" s="1" t="s">
        <v>51</v>
      </c>
      <c r="D155">
        <v>66</v>
      </c>
      <c r="E155" s="1" t="s">
        <v>22</v>
      </c>
      <c r="F155">
        <v>387</v>
      </c>
      <c r="G155">
        <v>82.94</v>
      </c>
      <c r="H155">
        <v>3</v>
      </c>
    </row>
    <row r="156" spans="1:8" x14ac:dyDescent="0.25">
      <c r="A156" s="1" t="s">
        <v>190</v>
      </c>
      <c r="B156" s="1" t="s">
        <v>196</v>
      </c>
      <c r="C156" s="1" t="s">
        <v>44</v>
      </c>
      <c r="D156">
        <v>48</v>
      </c>
      <c r="E156" s="1" t="s">
        <v>19</v>
      </c>
      <c r="F156">
        <v>335</v>
      </c>
      <c r="G156">
        <v>85.09</v>
      </c>
      <c r="H156">
        <v>3</v>
      </c>
    </row>
    <row r="157" spans="1:8" x14ac:dyDescent="0.25">
      <c r="A157" s="1" t="s">
        <v>190</v>
      </c>
      <c r="B157" s="1" t="s">
        <v>197</v>
      </c>
      <c r="C157" s="1" t="s">
        <v>44</v>
      </c>
      <c r="D157">
        <v>64</v>
      </c>
      <c r="E157" s="1" t="s">
        <v>14</v>
      </c>
      <c r="F157">
        <v>6</v>
      </c>
      <c r="G157">
        <v>40.58</v>
      </c>
      <c r="H157">
        <v>5</v>
      </c>
    </row>
    <row r="158" spans="1:8" x14ac:dyDescent="0.25">
      <c r="A158" s="1" t="s">
        <v>190</v>
      </c>
      <c r="B158" s="1" t="s">
        <v>198</v>
      </c>
      <c r="C158" s="1" t="s">
        <v>24</v>
      </c>
      <c r="D158">
        <v>67</v>
      </c>
      <c r="E158" s="1" t="s">
        <v>11</v>
      </c>
      <c r="F158">
        <v>241</v>
      </c>
      <c r="G158">
        <v>47.72</v>
      </c>
      <c r="H158">
        <v>0</v>
      </c>
    </row>
    <row r="159" spans="1:8" x14ac:dyDescent="0.25">
      <c r="A159" s="1" t="s">
        <v>190</v>
      </c>
      <c r="B159" s="1" t="s">
        <v>199</v>
      </c>
      <c r="C159" s="1" t="s">
        <v>33</v>
      </c>
      <c r="D159">
        <v>60</v>
      </c>
      <c r="E159" s="1" t="s">
        <v>14</v>
      </c>
      <c r="F159">
        <v>334</v>
      </c>
      <c r="G159">
        <v>71.72</v>
      </c>
      <c r="H159">
        <v>3</v>
      </c>
    </row>
    <row r="160" spans="1:8" x14ac:dyDescent="0.25">
      <c r="A160" s="1" t="s">
        <v>190</v>
      </c>
      <c r="B160" s="1" t="s">
        <v>200</v>
      </c>
      <c r="C160" s="1" t="s">
        <v>33</v>
      </c>
      <c r="D160">
        <v>23</v>
      </c>
      <c r="E160" s="1" t="s">
        <v>14</v>
      </c>
      <c r="F160">
        <v>262</v>
      </c>
      <c r="G160">
        <v>46.3</v>
      </c>
      <c r="H160">
        <v>1</v>
      </c>
    </row>
    <row r="161" spans="1:8" x14ac:dyDescent="0.25">
      <c r="A161" s="1" t="s">
        <v>190</v>
      </c>
      <c r="B161" s="1" t="s">
        <v>201</v>
      </c>
      <c r="C161" s="1" t="s">
        <v>60</v>
      </c>
      <c r="D161">
        <v>42</v>
      </c>
      <c r="E161" s="1" t="s">
        <v>14</v>
      </c>
      <c r="F161">
        <v>389</v>
      </c>
      <c r="G161">
        <v>80.08</v>
      </c>
      <c r="H161">
        <v>1</v>
      </c>
    </row>
    <row r="162" spans="1:8" x14ac:dyDescent="0.25">
      <c r="A162" s="1" t="s">
        <v>190</v>
      </c>
      <c r="B162" s="1" t="s">
        <v>202</v>
      </c>
      <c r="C162" s="1" t="s">
        <v>131</v>
      </c>
      <c r="D162">
        <v>92</v>
      </c>
      <c r="E162" s="1" t="s">
        <v>14</v>
      </c>
      <c r="F162">
        <v>487</v>
      </c>
      <c r="G162">
        <v>58.38</v>
      </c>
      <c r="H162">
        <v>1</v>
      </c>
    </row>
    <row r="163" spans="1:8" x14ac:dyDescent="0.25">
      <c r="A163" s="1" t="s">
        <v>190</v>
      </c>
      <c r="B163" s="1" t="s">
        <v>203</v>
      </c>
      <c r="C163" s="1" t="s">
        <v>37</v>
      </c>
      <c r="D163">
        <v>48</v>
      </c>
      <c r="E163" s="1" t="s">
        <v>14</v>
      </c>
      <c r="F163">
        <v>76</v>
      </c>
      <c r="G163">
        <v>39.35</v>
      </c>
      <c r="H163">
        <v>2</v>
      </c>
    </row>
    <row r="164" spans="1:8" x14ac:dyDescent="0.25">
      <c r="A164" s="1" t="s">
        <v>190</v>
      </c>
      <c r="B164" s="1" t="s">
        <v>204</v>
      </c>
      <c r="C164" s="1" t="s">
        <v>21</v>
      </c>
      <c r="D164">
        <v>68</v>
      </c>
      <c r="E164" s="1" t="s">
        <v>11</v>
      </c>
      <c r="F164">
        <v>443</v>
      </c>
      <c r="G164">
        <v>12.09</v>
      </c>
      <c r="H164">
        <v>3</v>
      </c>
    </row>
    <row r="165" spans="1:8" x14ac:dyDescent="0.25">
      <c r="A165" s="1" t="s">
        <v>190</v>
      </c>
      <c r="B165" s="1" t="s">
        <v>205</v>
      </c>
      <c r="C165" s="1" t="s">
        <v>78</v>
      </c>
      <c r="D165">
        <v>89</v>
      </c>
      <c r="E165" s="1" t="s">
        <v>14</v>
      </c>
      <c r="F165">
        <v>203</v>
      </c>
      <c r="G165">
        <v>80.680000000000007</v>
      </c>
      <c r="H165">
        <v>5</v>
      </c>
    </row>
    <row r="166" spans="1:8" x14ac:dyDescent="0.25">
      <c r="A166" s="1" t="s">
        <v>190</v>
      </c>
      <c r="B166" s="1" t="s">
        <v>206</v>
      </c>
      <c r="C166" s="1" t="s">
        <v>31</v>
      </c>
      <c r="D166">
        <v>62</v>
      </c>
      <c r="E166" s="1" t="s">
        <v>11</v>
      </c>
      <c r="F166">
        <v>116</v>
      </c>
      <c r="G166">
        <v>92.99</v>
      </c>
      <c r="H166">
        <v>5</v>
      </c>
    </row>
    <row r="167" spans="1:8" x14ac:dyDescent="0.25">
      <c r="A167" s="1" t="s">
        <v>190</v>
      </c>
      <c r="B167" s="1" t="s">
        <v>207</v>
      </c>
      <c r="C167" s="1" t="s">
        <v>10</v>
      </c>
      <c r="D167">
        <v>92</v>
      </c>
      <c r="E167" s="1" t="s">
        <v>11</v>
      </c>
      <c r="F167">
        <v>116</v>
      </c>
      <c r="G167">
        <v>23.83</v>
      </c>
      <c r="H167">
        <v>3</v>
      </c>
    </row>
    <row r="168" spans="1:8" x14ac:dyDescent="0.25">
      <c r="A168" s="1" t="s">
        <v>190</v>
      </c>
      <c r="B168" s="1" t="s">
        <v>208</v>
      </c>
      <c r="C168" s="1" t="s">
        <v>16</v>
      </c>
      <c r="D168">
        <v>64</v>
      </c>
      <c r="E168" s="1" t="s">
        <v>14</v>
      </c>
      <c r="F168">
        <v>370</v>
      </c>
      <c r="G168">
        <v>95.74</v>
      </c>
      <c r="H168">
        <v>1</v>
      </c>
    </row>
    <row r="169" spans="1:8" x14ac:dyDescent="0.25">
      <c r="A169" s="1" t="s">
        <v>190</v>
      </c>
      <c r="B169" s="1" t="s">
        <v>209</v>
      </c>
      <c r="C169" s="1" t="s">
        <v>57</v>
      </c>
      <c r="D169">
        <v>61</v>
      </c>
      <c r="E169" s="1" t="s">
        <v>19</v>
      </c>
      <c r="F169">
        <v>383</v>
      </c>
      <c r="G169">
        <v>39.72</v>
      </c>
      <c r="H169">
        <v>4</v>
      </c>
    </row>
    <row r="170" spans="1:8" x14ac:dyDescent="0.25">
      <c r="A170" s="1" t="s">
        <v>190</v>
      </c>
      <c r="B170" s="1" t="s">
        <v>210</v>
      </c>
      <c r="C170" s="1" t="s">
        <v>62</v>
      </c>
      <c r="D170">
        <v>35</v>
      </c>
      <c r="E170" s="1" t="s">
        <v>22</v>
      </c>
      <c r="F170">
        <v>107</v>
      </c>
      <c r="G170">
        <v>66.69</v>
      </c>
      <c r="H170">
        <v>4</v>
      </c>
    </row>
    <row r="171" spans="1:8" x14ac:dyDescent="0.25">
      <c r="A171" s="1" t="s">
        <v>190</v>
      </c>
      <c r="B171" s="1" t="s">
        <v>211</v>
      </c>
      <c r="C171" s="1" t="s">
        <v>137</v>
      </c>
      <c r="D171">
        <v>75</v>
      </c>
      <c r="E171" s="1" t="s">
        <v>14</v>
      </c>
      <c r="F171">
        <v>242</v>
      </c>
      <c r="G171">
        <v>64.27</v>
      </c>
      <c r="H171">
        <v>2</v>
      </c>
    </row>
    <row r="172" spans="1:8" x14ac:dyDescent="0.25">
      <c r="A172" s="1" t="s">
        <v>190</v>
      </c>
      <c r="B172" s="1" t="s">
        <v>212</v>
      </c>
      <c r="C172" s="1" t="s">
        <v>31</v>
      </c>
      <c r="D172">
        <v>52</v>
      </c>
      <c r="E172" s="1" t="s">
        <v>22</v>
      </c>
      <c r="F172">
        <v>119</v>
      </c>
      <c r="G172">
        <v>64.709999999999994</v>
      </c>
      <c r="H172">
        <v>4</v>
      </c>
    </row>
    <row r="173" spans="1:8" x14ac:dyDescent="0.25">
      <c r="A173" s="1" t="s">
        <v>190</v>
      </c>
      <c r="B173" s="1" t="s">
        <v>213</v>
      </c>
      <c r="C173" s="1" t="s">
        <v>89</v>
      </c>
      <c r="D173">
        <v>82</v>
      </c>
      <c r="E173" s="1" t="s">
        <v>11</v>
      </c>
      <c r="F173">
        <v>264</v>
      </c>
      <c r="G173">
        <v>88.03</v>
      </c>
      <c r="H173">
        <v>1</v>
      </c>
    </row>
    <row r="174" spans="1:8" x14ac:dyDescent="0.25">
      <c r="A174" s="1" t="s">
        <v>190</v>
      </c>
      <c r="B174" s="1" t="s">
        <v>214</v>
      </c>
      <c r="C174" s="1" t="s">
        <v>33</v>
      </c>
      <c r="D174">
        <v>118</v>
      </c>
      <c r="E174" s="1" t="s">
        <v>19</v>
      </c>
      <c r="F174">
        <v>300</v>
      </c>
      <c r="G174">
        <v>98.22</v>
      </c>
      <c r="H174">
        <v>4</v>
      </c>
    </row>
    <row r="175" spans="1:8" x14ac:dyDescent="0.25">
      <c r="A175" s="1" t="s">
        <v>190</v>
      </c>
      <c r="B175" s="1" t="s">
        <v>215</v>
      </c>
      <c r="C175" s="1" t="s">
        <v>60</v>
      </c>
      <c r="D175">
        <v>102</v>
      </c>
      <c r="E175" s="1" t="s">
        <v>11</v>
      </c>
      <c r="F175">
        <v>402</v>
      </c>
      <c r="G175">
        <v>28.38</v>
      </c>
      <c r="H175">
        <v>5</v>
      </c>
    </row>
    <row r="176" spans="1:8" x14ac:dyDescent="0.25">
      <c r="A176" s="1" t="s">
        <v>190</v>
      </c>
      <c r="B176" s="1" t="s">
        <v>216</v>
      </c>
      <c r="C176" s="1" t="s">
        <v>35</v>
      </c>
      <c r="D176">
        <v>75</v>
      </c>
      <c r="E176" s="1" t="s">
        <v>19</v>
      </c>
      <c r="F176">
        <v>282</v>
      </c>
      <c r="G176">
        <v>45.16</v>
      </c>
      <c r="H176">
        <v>5</v>
      </c>
    </row>
    <row r="177" spans="1:8" x14ac:dyDescent="0.25">
      <c r="A177" s="1" t="s">
        <v>190</v>
      </c>
      <c r="B177" s="1" t="s">
        <v>217</v>
      </c>
      <c r="C177" s="1" t="s">
        <v>24</v>
      </c>
      <c r="D177">
        <v>84</v>
      </c>
      <c r="E177" s="1" t="s">
        <v>11</v>
      </c>
      <c r="F177">
        <v>387</v>
      </c>
      <c r="G177">
        <v>58.1</v>
      </c>
      <c r="H177">
        <v>3</v>
      </c>
    </row>
    <row r="178" spans="1:8" x14ac:dyDescent="0.25">
      <c r="A178" s="1" t="s">
        <v>190</v>
      </c>
      <c r="B178" s="1" t="s">
        <v>218</v>
      </c>
      <c r="C178" s="1" t="s">
        <v>44</v>
      </c>
      <c r="D178">
        <v>5</v>
      </c>
      <c r="E178" s="1" t="s">
        <v>19</v>
      </c>
      <c r="F178">
        <v>239</v>
      </c>
      <c r="G178">
        <v>26.95</v>
      </c>
      <c r="H178">
        <v>2</v>
      </c>
    </row>
    <row r="179" spans="1:8" x14ac:dyDescent="0.25">
      <c r="A179" s="1" t="s">
        <v>190</v>
      </c>
      <c r="B179" s="1" t="s">
        <v>219</v>
      </c>
      <c r="C179" s="1" t="s">
        <v>78</v>
      </c>
      <c r="D179">
        <v>27</v>
      </c>
      <c r="E179" s="1" t="s">
        <v>11</v>
      </c>
      <c r="F179">
        <v>369</v>
      </c>
      <c r="G179">
        <v>19.78</v>
      </c>
      <c r="H179">
        <v>1</v>
      </c>
    </row>
    <row r="180" spans="1:8" x14ac:dyDescent="0.25">
      <c r="A180" s="1" t="s">
        <v>190</v>
      </c>
      <c r="B180" s="1" t="s">
        <v>220</v>
      </c>
      <c r="C180" s="1" t="s">
        <v>57</v>
      </c>
      <c r="D180">
        <v>29</v>
      </c>
      <c r="E180" s="1" t="s">
        <v>22</v>
      </c>
      <c r="F180">
        <v>416</v>
      </c>
      <c r="G180">
        <v>61.26</v>
      </c>
      <c r="H180">
        <v>0</v>
      </c>
    </row>
    <row r="181" spans="1:8" x14ac:dyDescent="0.25">
      <c r="A181" s="1" t="s">
        <v>190</v>
      </c>
      <c r="B181" s="1" t="s">
        <v>221</v>
      </c>
      <c r="C181" s="1" t="s">
        <v>62</v>
      </c>
      <c r="D181">
        <v>115</v>
      </c>
      <c r="E181" s="1" t="s">
        <v>19</v>
      </c>
      <c r="F181">
        <v>236</v>
      </c>
      <c r="G181">
        <v>50.64</v>
      </c>
      <c r="H181">
        <v>1</v>
      </c>
    </row>
    <row r="182" spans="1:8" x14ac:dyDescent="0.25">
      <c r="A182" s="1" t="s">
        <v>190</v>
      </c>
      <c r="B182" s="1" t="s">
        <v>222</v>
      </c>
      <c r="C182" s="1" t="s">
        <v>16</v>
      </c>
      <c r="D182">
        <v>26</v>
      </c>
      <c r="E182" s="1" t="s">
        <v>19</v>
      </c>
      <c r="F182">
        <v>174</v>
      </c>
      <c r="G182">
        <v>90.53</v>
      </c>
      <c r="H182">
        <v>3</v>
      </c>
    </row>
    <row r="183" spans="1:8" x14ac:dyDescent="0.25">
      <c r="A183" s="1" t="s">
        <v>190</v>
      </c>
      <c r="B183" s="1" t="s">
        <v>223</v>
      </c>
      <c r="C183" s="1" t="s">
        <v>24</v>
      </c>
      <c r="D183">
        <v>58</v>
      </c>
      <c r="E183" s="1" t="s">
        <v>19</v>
      </c>
      <c r="F183">
        <v>405</v>
      </c>
      <c r="G183">
        <v>18.39</v>
      </c>
      <c r="H183">
        <v>0</v>
      </c>
    </row>
    <row r="184" spans="1:8" x14ac:dyDescent="0.25">
      <c r="A184" s="1" t="s">
        <v>190</v>
      </c>
      <c r="B184" s="1" t="s">
        <v>224</v>
      </c>
      <c r="C184" s="1" t="s">
        <v>67</v>
      </c>
      <c r="D184">
        <v>111</v>
      </c>
      <c r="E184" s="1" t="s">
        <v>11</v>
      </c>
      <c r="F184">
        <v>43</v>
      </c>
      <c r="G184">
        <v>19.39</v>
      </c>
      <c r="H184">
        <v>3</v>
      </c>
    </row>
    <row r="185" spans="1:8" x14ac:dyDescent="0.25">
      <c r="A185" s="1" t="s">
        <v>190</v>
      </c>
      <c r="B185" s="1" t="s">
        <v>225</v>
      </c>
      <c r="C185" s="1" t="s">
        <v>44</v>
      </c>
      <c r="D185">
        <v>31</v>
      </c>
      <c r="E185" s="1" t="s">
        <v>19</v>
      </c>
      <c r="F185">
        <v>160</v>
      </c>
      <c r="G185">
        <v>59.76</v>
      </c>
      <c r="H185">
        <v>4</v>
      </c>
    </row>
    <row r="186" spans="1:8" x14ac:dyDescent="0.25">
      <c r="A186" s="1" t="s">
        <v>190</v>
      </c>
      <c r="B186" s="1" t="s">
        <v>226</v>
      </c>
      <c r="C186" s="1" t="s">
        <v>73</v>
      </c>
      <c r="D186">
        <v>51</v>
      </c>
      <c r="E186" s="1" t="s">
        <v>22</v>
      </c>
      <c r="F186">
        <v>433</v>
      </c>
      <c r="G186">
        <v>12.89</v>
      </c>
      <c r="H186">
        <v>1</v>
      </c>
    </row>
    <row r="187" spans="1:8" x14ac:dyDescent="0.25">
      <c r="A187" s="1" t="s">
        <v>190</v>
      </c>
      <c r="B187" s="1" t="s">
        <v>227</v>
      </c>
      <c r="C187" s="1" t="s">
        <v>89</v>
      </c>
      <c r="D187">
        <v>28</v>
      </c>
      <c r="E187" s="1" t="s">
        <v>11</v>
      </c>
      <c r="F187">
        <v>96</v>
      </c>
      <c r="G187">
        <v>72.010000000000005</v>
      </c>
      <c r="H187">
        <v>4</v>
      </c>
    </row>
    <row r="188" spans="1:8" x14ac:dyDescent="0.25">
      <c r="A188" s="1" t="s">
        <v>190</v>
      </c>
      <c r="B188" s="1" t="s">
        <v>228</v>
      </c>
      <c r="C188" s="1" t="s">
        <v>26</v>
      </c>
      <c r="D188">
        <v>40</v>
      </c>
      <c r="E188" s="1" t="s">
        <v>22</v>
      </c>
      <c r="F188">
        <v>219</v>
      </c>
      <c r="G188">
        <v>53.98</v>
      </c>
      <c r="H188">
        <v>2</v>
      </c>
    </row>
    <row r="189" spans="1:8" x14ac:dyDescent="0.25">
      <c r="A189" s="1" t="s">
        <v>190</v>
      </c>
      <c r="B189" s="1" t="s">
        <v>229</v>
      </c>
      <c r="C189" s="1" t="s">
        <v>33</v>
      </c>
      <c r="D189">
        <v>55</v>
      </c>
      <c r="E189" s="1" t="s">
        <v>11</v>
      </c>
      <c r="F189">
        <v>394</v>
      </c>
      <c r="G189">
        <v>26.8</v>
      </c>
      <c r="H189">
        <v>4</v>
      </c>
    </row>
    <row r="190" spans="1:8" x14ac:dyDescent="0.25">
      <c r="A190" s="1" t="s">
        <v>190</v>
      </c>
      <c r="B190" s="1" t="s">
        <v>230</v>
      </c>
      <c r="C190" s="1" t="s">
        <v>18</v>
      </c>
      <c r="D190">
        <v>114</v>
      </c>
      <c r="E190" s="1" t="s">
        <v>11</v>
      </c>
      <c r="F190">
        <v>482</v>
      </c>
      <c r="G190">
        <v>16.25</v>
      </c>
      <c r="H190">
        <v>3</v>
      </c>
    </row>
    <row r="191" spans="1:8" x14ac:dyDescent="0.25">
      <c r="A191" s="1" t="s">
        <v>190</v>
      </c>
      <c r="B191" s="1" t="s">
        <v>231</v>
      </c>
      <c r="C191" s="1" t="s">
        <v>40</v>
      </c>
      <c r="D191">
        <v>49</v>
      </c>
      <c r="E191" s="1" t="s">
        <v>11</v>
      </c>
      <c r="F191">
        <v>357</v>
      </c>
      <c r="G191">
        <v>96.67</v>
      </c>
      <c r="H191">
        <v>3</v>
      </c>
    </row>
    <row r="192" spans="1:8" x14ac:dyDescent="0.25">
      <c r="A192" s="1" t="s">
        <v>190</v>
      </c>
      <c r="B192" s="1" t="s">
        <v>232</v>
      </c>
      <c r="C192" s="1" t="s">
        <v>24</v>
      </c>
      <c r="D192">
        <v>74</v>
      </c>
      <c r="E192" s="1" t="s">
        <v>11</v>
      </c>
      <c r="F192">
        <v>213</v>
      </c>
      <c r="G192">
        <v>35.54</v>
      </c>
      <c r="H192">
        <v>3</v>
      </c>
    </row>
    <row r="193" spans="1:8" x14ac:dyDescent="0.25">
      <c r="A193" s="1" t="s">
        <v>190</v>
      </c>
      <c r="B193" s="1" t="s">
        <v>233</v>
      </c>
      <c r="C193" s="1" t="s">
        <v>26</v>
      </c>
      <c r="D193">
        <v>21</v>
      </c>
      <c r="E193" s="1" t="s">
        <v>22</v>
      </c>
      <c r="F193">
        <v>107</v>
      </c>
      <c r="G193">
        <v>30.97</v>
      </c>
      <c r="H193">
        <v>4</v>
      </c>
    </row>
    <row r="194" spans="1:8" x14ac:dyDescent="0.25">
      <c r="A194" s="1" t="s">
        <v>190</v>
      </c>
      <c r="B194" s="1" t="s">
        <v>234</v>
      </c>
      <c r="C194" s="1" t="s">
        <v>24</v>
      </c>
      <c r="D194">
        <v>120</v>
      </c>
      <c r="E194" s="1" t="s">
        <v>22</v>
      </c>
      <c r="F194">
        <v>224</v>
      </c>
      <c r="G194">
        <v>69.36</v>
      </c>
      <c r="H194">
        <v>0</v>
      </c>
    </row>
    <row r="195" spans="1:8" x14ac:dyDescent="0.25">
      <c r="A195" s="1" t="s">
        <v>190</v>
      </c>
      <c r="B195" s="1" t="s">
        <v>235</v>
      </c>
      <c r="C195" s="1" t="s">
        <v>13</v>
      </c>
      <c r="D195">
        <v>108</v>
      </c>
      <c r="E195" s="1" t="s">
        <v>11</v>
      </c>
      <c r="F195">
        <v>230</v>
      </c>
      <c r="G195">
        <v>16.3</v>
      </c>
      <c r="H195">
        <v>5</v>
      </c>
    </row>
    <row r="196" spans="1:8" x14ac:dyDescent="0.25">
      <c r="A196" s="1" t="s">
        <v>190</v>
      </c>
      <c r="B196" s="1" t="s">
        <v>236</v>
      </c>
      <c r="C196" s="1" t="s">
        <v>31</v>
      </c>
      <c r="D196">
        <v>48</v>
      </c>
      <c r="E196" s="1" t="s">
        <v>19</v>
      </c>
      <c r="F196">
        <v>436</v>
      </c>
      <c r="G196">
        <v>15.17</v>
      </c>
      <c r="H196">
        <v>0</v>
      </c>
    </row>
    <row r="197" spans="1:8" x14ac:dyDescent="0.25">
      <c r="A197" s="1" t="s">
        <v>190</v>
      </c>
      <c r="B197" s="1" t="s">
        <v>237</v>
      </c>
      <c r="C197" s="1" t="s">
        <v>40</v>
      </c>
      <c r="D197">
        <v>33</v>
      </c>
      <c r="E197" s="1" t="s">
        <v>11</v>
      </c>
      <c r="F197">
        <v>285</v>
      </c>
      <c r="G197">
        <v>56.67</v>
      </c>
      <c r="H197">
        <v>2</v>
      </c>
    </row>
    <row r="198" spans="1:8" x14ac:dyDescent="0.25">
      <c r="A198" s="1" t="s">
        <v>190</v>
      </c>
      <c r="B198" s="1" t="s">
        <v>238</v>
      </c>
      <c r="C198" s="1" t="s">
        <v>29</v>
      </c>
      <c r="D198">
        <v>71</v>
      </c>
      <c r="E198" s="1" t="s">
        <v>11</v>
      </c>
      <c r="F198">
        <v>15</v>
      </c>
      <c r="G198">
        <v>25.46</v>
      </c>
      <c r="H198">
        <v>5</v>
      </c>
    </row>
    <row r="199" spans="1:8" x14ac:dyDescent="0.25">
      <c r="A199" s="1" t="s">
        <v>190</v>
      </c>
      <c r="B199" s="1" t="s">
        <v>239</v>
      </c>
      <c r="C199" s="1" t="s">
        <v>73</v>
      </c>
      <c r="D199">
        <v>11</v>
      </c>
      <c r="E199" s="1" t="s">
        <v>11</v>
      </c>
      <c r="F199">
        <v>191</v>
      </c>
      <c r="G199">
        <v>87.37</v>
      </c>
      <c r="H199">
        <v>3</v>
      </c>
    </row>
    <row r="200" spans="1:8" x14ac:dyDescent="0.25">
      <c r="A200" s="1" t="s">
        <v>190</v>
      </c>
      <c r="B200" s="1" t="s">
        <v>240</v>
      </c>
      <c r="C200" s="1" t="s">
        <v>131</v>
      </c>
      <c r="D200">
        <v>18</v>
      </c>
      <c r="E200" s="1" t="s">
        <v>14</v>
      </c>
      <c r="F200">
        <v>71</v>
      </c>
      <c r="G200">
        <v>46.98</v>
      </c>
      <c r="H200">
        <v>2</v>
      </c>
    </row>
    <row r="201" spans="1:8" x14ac:dyDescent="0.25">
      <c r="A201" s="1" t="s">
        <v>241</v>
      </c>
      <c r="B201" s="1" t="s">
        <v>242</v>
      </c>
      <c r="C201" s="1" t="s">
        <v>35</v>
      </c>
      <c r="D201">
        <v>27</v>
      </c>
      <c r="E201" s="1" t="s">
        <v>11</v>
      </c>
      <c r="F201">
        <v>61</v>
      </c>
      <c r="G201">
        <v>97.51</v>
      </c>
      <c r="H201">
        <v>5</v>
      </c>
    </row>
    <row r="202" spans="1:8" x14ac:dyDescent="0.25">
      <c r="A202" s="1" t="s">
        <v>241</v>
      </c>
      <c r="B202" s="1" t="s">
        <v>243</v>
      </c>
      <c r="C202" s="1" t="s">
        <v>131</v>
      </c>
      <c r="D202">
        <v>65</v>
      </c>
      <c r="E202" s="1" t="s">
        <v>19</v>
      </c>
      <c r="F202">
        <v>118</v>
      </c>
      <c r="G202">
        <v>72.430000000000007</v>
      </c>
      <c r="H202">
        <v>1</v>
      </c>
    </row>
    <row r="203" spans="1:8" x14ac:dyDescent="0.25">
      <c r="A203" s="1" t="s">
        <v>241</v>
      </c>
      <c r="B203" s="1" t="s">
        <v>244</v>
      </c>
      <c r="C203" s="1" t="s">
        <v>31</v>
      </c>
      <c r="D203">
        <v>6</v>
      </c>
      <c r="E203" s="1" t="s">
        <v>14</v>
      </c>
      <c r="F203">
        <v>109</v>
      </c>
      <c r="G203">
        <v>39.880000000000003</v>
      </c>
      <c r="H203">
        <v>4</v>
      </c>
    </row>
    <row r="204" spans="1:8" x14ac:dyDescent="0.25">
      <c r="A204" s="1" t="s">
        <v>241</v>
      </c>
      <c r="B204" s="1" t="s">
        <v>245</v>
      </c>
      <c r="C204" s="1" t="s">
        <v>24</v>
      </c>
      <c r="D204">
        <v>60</v>
      </c>
      <c r="E204" s="1" t="s">
        <v>22</v>
      </c>
      <c r="F204">
        <v>54</v>
      </c>
      <c r="G204">
        <v>67.180000000000007</v>
      </c>
      <c r="H204">
        <v>3</v>
      </c>
    </row>
    <row r="205" spans="1:8" x14ac:dyDescent="0.25">
      <c r="A205" s="1" t="s">
        <v>241</v>
      </c>
      <c r="B205" s="1" t="s">
        <v>246</v>
      </c>
      <c r="C205" s="1" t="s">
        <v>29</v>
      </c>
      <c r="D205">
        <v>4</v>
      </c>
      <c r="E205" s="1" t="s">
        <v>19</v>
      </c>
      <c r="F205">
        <v>182</v>
      </c>
      <c r="G205">
        <v>89.56</v>
      </c>
      <c r="H205">
        <v>4</v>
      </c>
    </row>
    <row r="206" spans="1:8" x14ac:dyDescent="0.25">
      <c r="A206" s="1" t="s">
        <v>241</v>
      </c>
      <c r="B206" s="1" t="s">
        <v>247</v>
      </c>
      <c r="C206" s="1" t="s">
        <v>10</v>
      </c>
      <c r="D206">
        <v>10</v>
      </c>
      <c r="E206" s="1" t="s">
        <v>19</v>
      </c>
      <c r="F206">
        <v>165</v>
      </c>
      <c r="G206">
        <v>38.619999999999997</v>
      </c>
      <c r="H206">
        <v>2</v>
      </c>
    </row>
    <row r="207" spans="1:8" x14ac:dyDescent="0.25">
      <c r="A207" s="1" t="s">
        <v>241</v>
      </c>
      <c r="B207" s="1" t="s">
        <v>248</v>
      </c>
      <c r="C207" s="1" t="s">
        <v>57</v>
      </c>
      <c r="D207">
        <v>82</v>
      </c>
      <c r="E207" s="1" t="s">
        <v>11</v>
      </c>
      <c r="F207">
        <v>88</v>
      </c>
      <c r="G207">
        <v>86.64</v>
      </c>
      <c r="H207">
        <v>1</v>
      </c>
    </row>
    <row r="208" spans="1:8" x14ac:dyDescent="0.25">
      <c r="A208" s="1" t="s">
        <v>241</v>
      </c>
      <c r="B208" s="1" t="s">
        <v>249</v>
      </c>
      <c r="C208" s="1" t="s">
        <v>29</v>
      </c>
      <c r="D208">
        <v>89</v>
      </c>
      <c r="E208" s="1" t="s">
        <v>22</v>
      </c>
      <c r="F208">
        <v>7</v>
      </c>
      <c r="G208">
        <v>53.39</v>
      </c>
      <c r="H208">
        <v>3</v>
      </c>
    </row>
    <row r="209" spans="1:8" x14ac:dyDescent="0.25">
      <c r="A209" s="1" t="s">
        <v>241</v>
      </c>
      <c r="B209" s="1" t="s">
        <v>250</v>
      </c>
      <c r="C209" s="1" t="s">
        <v>31</v>
      </c>
      <c r="D209">
        <v>87</v>
      </c>
      <c r="E209" s="1" t="s">
        <v>14</v>
      </c>
      <c r="F209">
        <v>205</v>
      </c>
      <c r="G209">
        <v>40.159999999999997</v>
      </c>
      <c r="H209">
        <v>5</v>
      </c>
    </row>
    <row r="210" spans="1:8" x14ac:dyDescent="0.25">
      <c r="A210" s="1" t="s">
        <v>241</v>
      </c>
      <c r="B210" s="1" t="s">
        <v>251</v>
      </c>
      <c r="C210" s="1" t="s">
        <v>18</v>
      </c>
      <c r="D210">
        <v>96</v>
      </c>
      <c r="E210" s="1" t="s">
        <v>11</v>
      </c>
      <c r="F210">
        <v>334</v>
      </c>
      <c r="G210">
        <v>64.77</v>
      </c>
      <c r="H210">
        <v>0</v>
      </c>
    </row>
    <row r="211" spans="1:8" x14ac:dyDescent="0.25">
      <c r="A211" s="1" t="s">
        <v>241</v>
      </c>
      <c r="B211" s="1" t="s">
        <v>252</v>
      </c>
      <c r="C211" s="1" t="s">
        <v>10</v>
      </c>
      <c r="D211">
        <v>60</v>
      </c>
      <c r="E211" s="1" t="s">
        <v>22</v>
      </c>
      <c r="F211">
        <v>161</v>
      </c>
      <c r="G211">
        <v>62.65</v>
      </c>
      <c r="H211">
        <v>0</v>
      </c>
    </row>
    <row r="212" spans="1:8" x14ac:dyDescent="0.25">
      <c r="A212" s="1" t="s">
        <v>241</v>
      </c>
      <c r="B212" s="1" t="s">
        <v>253</v>
      </c>
      <c r="C212" s="1" t="s">
        <v>127</v>
      </c>
      <c r="D212">
        <v>49</v>
      </c>
      <c r="E212" s="1" t="s">
        <v>22</v>
      </c>
      <c r="F212">
        <v>6</v>
      </c>
      <c r="G212">
        <v>44.41</v>
      </c>
      <c r="H212">
        <v>3</v>
      </c>
    </row>
    <row r="213" spans="1:8" x14ac:dyDescent="0.25">
      <c r="A213" s="1" t="s">
        <v>241</v>
      </c>
      <c r="B213" s="1" t="s">
        <v>254</v>
      </c>
      <c r="C213" s="1" t="s">
        <v>131</v>
      </c>
      <c r="D213">
        <v>44</v>
      </c>
      <c r="E213" s="1" t="s">
        <v>19</v>
      </c>
      <c r="F213">
        <v>199</v>
      </c>
      <c r="G213">
        <v>67.650000000000006</v>
      </c>
      <c r="H213">
        <v>0</v>
      </c>
    </row>
    <row r="214" spans="1:8" x14ac:dyDescent="0.25">
      <c r="A214" s="1" t="s">
        <v>241</v>
      </c>
      <c r="B214" s="1" t="s">
        <v>255</v>
      </c>
      <c r="C214" s="1" t="s">
        <v>13</v>
      </c>
      <c r="D214">
        <v>96</v>
      </c>
      <c r="E214" s="1" t="s">
        <v>22</v>
      </c>
      <c r="F214">
        <v>108</v>
      </c>
      <c r="G214">
        <v>30.92</v>
      </c>
      <c r="H214">
        <v>1</v>
      </c>
    </row>
    <row r="215" spans="1:8" x14ac:dyDescent="0.25">
      <c r="A215" s="1" t="s">
        <v>241</v>
      </c>
      <c r="B215" s="1" t="s">
        <v>256</v>
      </c>
      <c r="C215" s="1" t="s">
        <v>29</v>
      </c>
      <c r="D215">
        <v>52</v>
      </c>
      <c r="E215" s="1" t="s">
        <v>14</v>
      </c>
      <c r="F215">
        <v>234</v>
      </c>
      <c r="G215">
        <v>62.87</v>
      </c>
      <c r="H215">
        <v>0</v>
      </c>
    </row>
    <row r="216" spans="1:8" x14ac:dyDescent="0.25">
      <c r="A216" s="1" t="s">
        <v>241</v>
      </c>
      <c r="B216" s="1" t="s">
        <v>257</v>
      </c>
      <c r="C216" s="1" t="s">
        <v>37</v>
      </c>
      <c r="D216">
        <v>110</v>
      </c>
      <c r="E216" s="1" t="s">
        <v>19</v>
      </c>
      <c r="F216">
        <v>112</v>
      </c>
      <c r="G216">
        <v>98.95</v>
      </c>
      <c r="H216">
        <v>5</v>
      </c>
    </row>
    <row r="217" spans="1:8" x14ac:dyDescent="0.25">
      <c r="A217" s="1" t="s">
        <v>241</v>
      </c>
      <c r="B217" s="1" t="s">
        <v>258</v>
      </c>
      <c r="C217" s="1" t="s">
        <v>89</v>
      </c>
      <c r="D217">
        <v>25</v>
      </c>
      <c r="E217" s="1" t="s">
        <v>19</v>
      </c>
      <c r="F217">
        <v>33</v>
      </c>
      <c r="G217">
        <v>30.93</v>
      </c>
      <c r="H217">
        <v>1</v>
      </c>
    </row>
    <row r="218" spans="1:8" x14ac:dyDescent="0.25">
      <c r="A218" s="1" t="s">
        <v>241</v>
      </c>
      <c r="B218" s="1" t="s">
        <v>259</v>
      </c>
      <c r="C218" s="1" t="s">
        <v>51</v>
      </c>
      <c r="D218">
        <v>51</v>
      </c>
      <c r="E218" s="1" t="s">
        <v>14</v>
      </c>
      <c r="F218">
        <v>336</v>
      </c>
      <c r="G218">
        <v>65.47</v>
      </c>
      <c r="H218">
        <v>1</v>
      </c>
    </row>
    <row r="219" spans="1:8" x14ac:dyDescent="0.25">
      <c r="A219" s="1" t="s">
        <v>241</v>
      </c>
      <c r="B219" s="1" t="s">
        <v>260</v>
      </c>
      <c r="C219" s="1" t="s">
        <v>131</v>
      </c>
      <c r="D219">
        <v>5</v>
      </c>
      <c r="E219" s="1" t="s">
        <v>11</v>
      </c>
      <c r="F219">
        <v>417</v>
      </c>
      <c r="G219">
        <v>90.71</v>
      </c>
      <c r="H219">
        <v>1</v>
      </c>
    </row>
    <row r="220" spans="1:8" x14ac:dyDescent="0.25">
      <c r="A220" s="1" t="s">
        <v>241</v>
      </c>
      <c r="B220" s="1" t="s">
        <v>261</v>
      </c>
      <c r="C220" s="1" t="s">
        <v>37</v>
      </c>
      <c r="D220">
        <v>2</v>
      </c>
      <c r="E220" s="1" t="s">
        <v>14</v>
      </c>
      <c r="F220">
        <v>142</v>
      </c>
      <c r="G220">
        <v>37.799999999999997</v>
      </c>
      <c r="H220">
        <v>0</v>
      </c>
    </row>
    <row r="221" spans="1:8" x14ac:dyDescent="0.25">
      <c r="A221" s="1" t="s">
        <v>241</v>
      </c>
      <c r="B221" s="1" t="s">
        <v>262</v>
      </c>
      <c r="C221" s="1" t="s">
        <v>62</v>
      </c>
      <c r="D221">
        <v>33</v>
      </c>
      <c r="E221" s="1" t="s">
        <v>19</v>
      </c>
      <c r="F221">
        <v>332</v>
      </c>
      <c r="G221">
        <v>76.41</v>
      </c>
      <c r="H221">
        <v>1</v>
      </c>
    </row>
    <row r="222" spans="1:8" x14ac:dyDescent="0.25">
      <c r="A222" s="1" t="s">
        <v>241</v>
      </c>
      <c r="B222" s="1" t="s">
        <v>263</v>
      </c>
      <c r="C222" s="1" t="s">
        <v>57</v>
      </c>
      <c r="D222">
        <v>15</v>
      </c>
      <c r="E222" s="1" t="s">
        <v>19</v>
      </c>
      <c r="F222">
        <v>319</v>
      </c>
      <c r="G222">
        <v>78.150000000000006</v>
      </c>
      <c r="H222">
        <v>4</v>
      </c>
    </row>
    <row r="223" spans="1:8" x14ac:dyDescent="0.25">
      <c r="A223" s="1" t="s">
        <v>241</v>
      </c>
      <c r="B223" s="1" t="s">
        <v>264</v>
      </c>
      <c r="C223" s="1" t="s">
        <v>29</v>
      </c>
      <c r="D223">
        <v>91</v>
      </c>
      <c r="E223" s="1" t="s">
        <v>19</v>
      </c>
      <c r="F223">
        <v>188</v>
      </c>
      <c r="G223">
        <v>65.78</v>
      </c>
      <c r="H223">
        <v>4</v>
      </c>
    </row>
    <row r="224" spans="1:8" x14ac:dyDescent="0.25">
      <c r="A224" s="1" t="s">
        <v>241</v>
      </c>
      <c r="B224" s="1" t="s">
        <v>265</v>
      </c>
      <c r="C224" s="1" t="s">
        <v>67</v>
      </c>
      <c r="D224">
        <v>118</v>
      </c>
      <c r="E224" s="1" t="s">
        <v>14</v>
      </c>
      <c r="F224">
        <v>22</v>
      </c>
      <c r="G224">
        <v>15.39</v>
      </c>
      <c r="H224">
        <v>1</v>
      </c>
    </row>
    <row r="225" spans="1:8" x14ac:dyDescent="0.25">
      <c r="A225" s="1" t="s">
        <v>241</v>
      </c>
      <c r="B225" s="1" t="s">
        <v>266</v>
      </c>
      <c r="C225" s="1" t="s">
        <v>16</v>
      </c>
      <c r="D225">
        <v>18</v>
      </c>
      <c r="E225" s="1" t="s">
        <v>22</v>
      </c>
      <c r="F225">
        <v>34</v>
      </c>
      <c r="G225">
        <v>43.71</v>
      </c>
      <c r="H225">
        <v>1</v>
      </c>
    </row>
    <row r="226" spans="1:8" x14ac:dyDescent="0.25">
      <c r="A226" s="1" t="s">
        <v>241</v>
      </c>
      <c r="B226" s="1" t="s">
        <v>267</v>
      </c>
      <c r="C226" s="1" t="s">
        <v>60</v>
      </c>
      <c r="D226">
        <v>42</v>
      </c>
      <c r="E226" s="1" t="s">
        <v>22</v>
      </c>
      <c r="F226">
        <v>453</v>
      </c>
      <c r="G226">
        <v>36.700000000000003</v>
      </c>
      <c r="H226">
        <v>4</v>
      </c>
    </row>
    <row r="227" spans="1:8" x14ac:dyDescent="0.25">
      <c r="A227" s="1" t="s">
        <v>241</v>
      </c>
      <c r="B227" s="1" t="s">
        <v>268</v>
      </c>
      <c r="C227" s="1" t="s">
        <v>35</v>
      </c>
      <c r="D227">
        <v>86</v>
      </c>
      <c r="E227" s="1" t="s">
        <v>11</v>
      </c>
      <c r="F227">
        <v>111</v>
      </c>
      <c r="G227">
        <v>23.65</v>
      </c>
      <c r="H227">
        <v>0</v>
      </c>
    </row>
    <row r="228" spans="1:8" x14ac:dyDescent="0.25">
      <c r="A228" s="1" t="s">
        <v>241</v>
      </c>
      <c r="B228" s="1" t="s">
        <v>269</v>
      </c>
      <c r="C228" s="1" t="s">
        <v>13</v>
      </c>
      <c r="D228">
        <v>96</v>
      </c>
      <c r="E228" s="1" t="s">
        <v>22</v>
      </c>
      <c r="F228">
        <v>210</v>
      </c>
      <c r="G228">
        <v>28.39</v>
      </c>
      <c r="H228">
        <v>3</v>
      </c>
    </row>
    <row r="229" spans="1:8" x14ac:dyDescent="0.25">
      <c r="A229" s="1" t="s">
        <v>241</v>
      </c>
      <c r="B229" s="1" t="s">
        <v>270</v>
      </c>
      <c r="C229" s="1" t="s">
        <v>40</v>
      </c>
      <c r="D229">
        <v>60</v>
      </c>
      <c r="E229" s="1" t="s">
        <v>22</v>
      </c>
      <c r="F229">
        <v>154</v>
      </c>
      <c r="G229">
        <v>13.41</v>
      </c>
      <c r="H229">
        <v>5</v>
      </c>
    </row>
    <row r="230" spans="1:8" x14ac:dyDescent="0.25">
      <c r="A230" s="1" t="s">
        <v>241</v>
      </c>
      <c r="B230" s="1" t="s">
        <v>271</v>
      </c>
      <c r="C230" s="1" t="s">
        <v>37</v>
      </c>
      <c r="D230">
        <v>63</v>
      </c>
      <c r="E230" s="1" t="s">
        <v>19</v>
      </c>
      <c r="F230">
        <v>392</v>
      </c>
      <c r="G230">
        <v>93.11</v>
      </c>
      <c r="H230">
        <v>3</v>
      </c>
    </row>
    <row r="231" spans="1:8" x14ac:dyDescent="0.25">
      <c r="A231" s="1" t="s">
        <v>241</v>
      </c>
      <c r="B231" s="1" t="s">
        <v>272</v>
      </c>
      <c r="C231" s="1" t="s">
        <v>18</v>
      </c>
      <c r="D231">
        <v>60</v>
      </c>
      <c r="E231" s="1" t="s">
        <v>19</v>
      </c>
      <c r="F231">
        <v>306</v>
      </c>
      <c r="G231">
        <v>63.83</v>
      </c>
      <c r="H231">
        <v>2</v>
      </c>
    </row>
    <row r="232" spans="1:8" x14ac:dyDescent="0.25">
      <c r="A232" s="1" t="s">
        <v>241</v>
      </c>
      <c r="B232" s="1" t="s">
        <v>273</v>
      </c>
      <c r="C232" s="1" t="s">
        <v>18</v>
      </c>
      <c r="D232">
        <v>9</v>
      </c>
      <c r="E232" s="1" t="s">
        <v>14</v>
      </c>
      <c r="F232">
        <v>255</v>
      </c>
      <c r="G232">
        <v>95.13</v>
      </c>
      <c r="H232">
        <v>1</v>
      </c>
    </row>
    <row r="233" spans="1:8" x14ac:dyDescent="0.25">
      <c r="A233" s="1" t="s">
        <v>241</v>
      </c>
      <c r="B233" s="1" t="s">
        <v>274</v>
      </c>
      <c r="C233" s="1" t="s">
        <v>33</v>
      </c>
      <c r="D233">
        <v>11</v>
      </c>
      <c r="E233" s="1" t="s">
        <v>19</v>
      </c>
      <c r="F233">
        <v>52</v>
      </c>
      <c r="G233">
        <v>76.53</v>
      </c>
      <c r="H233">
        <v>5</v>
      </c>
    </row>
    <row r="234" spans="1:8" x14ac:dyDescent="0.25">
      <c r="A234" s="1" t="s">
        <v>241</v>
      </c>
      <c r="B234" s="1" t="s">
        <v>275</v>
      </c>
      <c r="C234" s="1" t="s">
        <v>26</v>
      </c>
      <c r="D234">
        <v>71</v>
      </c>
      <c r="E234" s="1" t="s">
        <v>19</v>
      </c>
      <c r="F234">
        <v>364</v>
      </c>
      <c r="G234">
        <v>39.58</v>
      </c>
      <c r="H234">
        <v>1</v>
      </c>
    </row>
    <row r="235" spans="1:8" x14ac:dyDescent="0.25">
      <c r="A235" s="1" t="s">
        <v>241</v>
      </c>
      <c r="B235" s="1" t="s">
        <v>276</v>
      </c>
      <c r="C235" s="1" t="s">
        <v>10</v>
      </c>
      <c r="D235">
        <v>85</v>
      </c>
      <c r="E235" s="1" t="s">
        <v>11</v>
      </c>
      <c r="F235">
        <v>274</v>
      </c>
      <c r="G235">
        <v>35.03</v>
      </c>
      <c r="H235">
        <v>1</v>
      </c>
    </row>
    <row r="236" spans="1:8" x14ac:dyDescent="0.25">
      <c r="A236" s="1" t="s">
        <v>241</v>
      </c>
      <c r="B236" s="1" t="s">
        <v>277</v>
      </c>
      <c r="C236" s="1" t="s">
        <v>137</v>
      </c>
      <c r="D236">
        <v>32</v>
      </c>
      <c r="E236" s="1" t="s">
        <v>22</v>
      </c>
      <c r="F236">
        <v>405</v>
      </c>
      <c r="G236">
        <v>67.92</v>
      </c>
      <c r="H236">
        <v>3</v>
      </c>
    </row>
    <row r="237" spans="1:8" x14ac:dyDescent="0.25">
      <c r="A237" s="1" t="s">
        <v>241</v>
      </c>
      <c r="B237" s="1" t="s">
        <v>278</v>
      </c>
      <c r="C237" s="1" t="s">
        <v>60</v>
      </c>
      <c r="D237">
        <v>92</v>
      </c>
      <c r="E237" s="1" t="s">
        <v>19</v>
      </c>
      <c r="F237">
        <v>472</v>
      </c>
      <c r="G237">
        <v>78.44</v>
      </c>
      <c r="H237">
        <v>1</v>
      </c>
    </row>
    <row r="238" spans="1:8" x14ac:dyDescent="0.25">
      <c r="A238" s="1" t="s">
        <v>241</v>
      </c>
      <c r="B238" s="1" t="s">
        <v>279</v>
      </c>
      <c r="C238" s="1" t="s">
        <v>51</v>
      </c>
      <c r="D238">
        <v>57</v>
      </c>
      <c r="E238" s="1" t="s">
        <v>22</v>
      </c>
      <c r="F238">
        <v>435</v>
      </c>
      <c r="G238">
        <v>56.88</v>
      </c>
      <c r="H238">
        <v>4</v>
      </c>
    </row>
    <row r="239" spans="1:8" x14ac:dyDescent="0.25">
      <c r="A239" s="1" t="s">
        <v>241</v>
      </c>
      <c r="B239" s="1" t="s">
        <v>280</v>
      </c>
      <c r="C239" s="1" t="s">
        <v>21</v>
      </c>
      <c r="D239">
        <v>18</v>
      </c>
      <c r="E239" s="1" t="s">
        <v>19</v>
      </c>
      <c r="F239">
        <v>291</v>
      </c>
      <c r="G239">
        <v>97.98</v>
      </c>
      <c r="H239">
        <v>1</v>
      </c>
    </row>
    <row r="240" spans="1:8" x14ac:dyDescent="0.25">
      <c r="A240" s="1" t="s">
        <v>241</v>
      </c>
      <c r="B240" s="1" t="s">
        <v>281</v>
      </c>
      <c r="C240" s="1" t="s">
        <v>40</v>
      </c>
      <c r="D240">
        <v>61</v>
      </c>
      <c r="E240" s="1" t="s">
        <v>22</v>
      </c>
      <c r="F240">
        <v>87</v>
      </c>
      <c r="G240">
        <v>68.319999999999993</v>
      </c>
      <c r="H240">
        <v>2</v>
      </c>
    </row>
    <row r="241" spans="1:8" x14ac:dyDescent="0.25">
      <c r="A241" s="1" t="s">
        <v>241</v>
      </c>
      <c r="B241" s="1" t="s">
        <v>282</v>
      </c>
      <c r="C241" s="1" t="s">
        <v>137</v>
      </c>
      <c r="D241">
        <v>106</v>
      </c>
      <c r="E241" s="1" t="s">
        <v>22</v>
      </c>
      <c r="F241">
        <v>128</v>
      </c>
      <c r="G241">
        <v>35.96</v>
      </c>
      <c r="H241">
        <v>2</v>
      </c>
    </row>
    <row r="242" spans="1:8" x14ac:dyDescent="0.25">
      <c r="A242" s="1" t="s">
        <v>241</v>
      </c>
      <c r="B242" s="1" t="s">
        <v>283</v>
      </c>
      <c r="C242" s="1" t="s">
        <v>51</v>
      </c>
      <c r="D242">
        <v>36</v>
      </c>
      <c r="E242" s="1" t="s">
        <v>19</v>
      </c>
      <c r="F242">
        <v>491</v>
      </c>
      <c r="G242">
        <v>12.13</v>
      </c>
      <c r="H242">
        <v>4</v>
      </c>
    </row>
    <row r="243" spans="1:8" x14ac:dyDescent="0.25">
      <c r="A243" s="1" t="s">
        <v>241</v>
      </c>
      <c r="B243" s="1" t="s">
        <v>284</v>
      </c>
      <c r="C243" s="1" t="s">
        <v>73</v>
      </c>
      <c r="D243">
        <v>108</v>
      </c>
      <c r="E243" s="1" t="s">
        <v>14</v>
      </c>
      <c r="F243">
        <v>48</v>
      </c>
      <c r="G243">
        <v>86.22</v>
      </c>
      <c r="H243">
        <v>3</v>
      </c>
    </row>
    <row r="244" spans="1:8" x14ac:dyDescent="0.25">
      <c r="A244" s="1" t="s">
        <v>241</v>
      </c>
      <c r="B244" s="1" t="s">
        <v>285</v>
      </c>
      <c r="C244" s="1" t="s">
        <v>137</v>
      </c>
      <c r="D244">
        <v>21</v>
      </c>
      <c r="E244" s="1" t="s">
        <v>19</v>
      </c>
      <c r="F244">
        <v>307</v>
      </c>
      <c r="G244">
        <v>39.81</v>
      </c>
      <c r="H244">
        <v>5</v>
      </c>
    </row>
    <row r="245" spans="1:8" x14ac:dyDescent="0.25">
      <c r="A245" s="1" t="s">
        <v>241</v>
      </c>
      <c r="B245" s="1" t="s">
        <v>286</v>
      </c>
      <c r="C245" s="1" t="s">
        <v>137</v>
      </c>
      <c r="D245">
        <v>22</v>
      </c>
      <c r="E245" s="1" t="s">
        <v>11</v>
      </c>
      <c r="F245">
        <v>166</v>
      </c>
      <c r="G245">
        <v>31.8</v>
      </c>
      <c r="H245">
        <v>1</v>
      </c>
    </row>
    <row r="246" spans="1:8" x14ac:dyDescent="0.25">
      <c r="A246" s="1" t="s">
        <v>241</v>
      </c>
      <c r="B246" s="1" t="s">
        <v>287</v>
      </c>
      <c r="C246" s="1" t="s">
        <v>78</v>
      </c>
      <c r="D246">
        <v>108</v>
      </c>
      <c r="E246" s="1" t="s">
        <v>11</v>
      </c>
      <c r="F246">
        <v>323</v>
      </c>
      <c r="G246">
        <v>58.54</v>
      </c>
      <c r="H246">
        <v>2</v>
      </c>
    </row>
    <row r="247" spans="1:8" x14ac:dyDescent="0.25">
      <c r="A247" s="1" t="s">
        <v>241</v>
      </c>
      <c r="B247" s="1" t="s">
        <v>288</v>
      </c>
      <c r="C247" s="1" t="s">
        <v>10</v>
      </c>
      <c r="D247">
        <v>3</v>
      </c>
      <c r="E247" s="1" t="s">
        <v>22</v>
      </c>
      <c r="F247">
        <v>356</v>
      </c>
      <c r="G247">
        <v>91.6</v>
      </c>
      <c r="H247">
        <v>3</v>
      </c>
    </row>
    <row r="248" spans="1:8" x14ac:dyDescent="0.25">
      <c r="A248" s="1" t="s">
        <v>241</v>
      </c>
      <c r="B248" s="1" t="s">
        <v>289</v>
      </c>
      <c r="C248" s="1" t="s">
        <v>127</v>
      </c>
      <c r="D248">
        <v>78</v>
      </c>
      <c r="E248" s="1" t="s">
        <v>22</v>
      </c>
      <c r="F248">
        <v>198</v>
      </c>
      <c r="G248">
        <v>69.849999999999994</v>
      </c>
      <c r="H248">
        <v>0</v>
      </c>
    </row>
    <row r="249" spans="1:8" x14ac:dyDescent="0.25">
      <c r="A249" s="1" t="s">
        <v>241</v>
      </c>
      <c r="B249" s="1" t="s">
        <v>290</v>
      </c>
      <c r="C249" s="1" t="s">
        <v>29</v>
      </c>
      <c r="D249">
        <v>13</v>
      </c>
      <c r="E249" s="1" t="s">
        <v>14</v>
      </c>
      <c r="F249">
        <v>347</v>
      </c>
      <c r="G249">
        <v>32.35</v>
      </c>
      <c r="H249">
        <v>2</v>
      </c>
    </row>
    <row r="250" spans="1:8" x14ac:dyDescent="0.25">
      <c r="A250" s="1" t="s">
        <v>241</v>
      </c>
      <c r="B250" s="1" t="s">
        <v>291</v>
      </c>
      <c r="C250" s="1" t="s">
        <v>67</v>
      </c>
      <c r="D250">
        <v>23</v>
      </c>
      <c r="E250" s="1" t="s">
        <v>14</v>
      </c>
      <c r="F250">
        <v>473</v>
      </c>
      <c r="G250">
        <v>71.86</v>
      </c>
      <c r="H250">
        <v>3</v>
      </c>
    </row>
    <row r="251" spans="1:8" x14ac:dyDescent="0.25">
      <c r="A251" s="1" t="s">
        <v>292</v>
      </c>
      <c r="B251" s="1" t="s">
        <v>293</v>
      </c>
      <c r="C251" s="1" t="s">
        <v>10</v>
      </c>
      <c r="D251">
        <v>96</v>
      </c>
      <c r="E251" s="1" t="s">
        <v>22</v>
      </c>
      <c r="F251">
        <v>290</v>
      </c>
      <c r="G251">
        <v>29</v>
      </c>
      <c r="H251">
        <v>3</v>
      </c>
    </row>
    <row r="252" spans="1:8" x14ac:dyDescent="0.25">
      <c r="A252" s="1" t="s">
        <v>292</v>
      </c>
      <c r="B252" s="1" t="s">
        <v>294</v>
      </c>
      <c r="C252" s="1" t="s">
        <v>73</v>
      </c>
      <c r="D252">
        <v>48</v>
      </c>
      <c r="E252" s="1" t="s">
        <v>11</v>
      </c>
      <c r="F252">
        <v>416</v>
      </c>
      <c r="G252">
        <v>81.260000000000005</v>
      </c>
      <c r="H252">
        <v>5</v>
      </c>
    </row>
    <row r="253" spans="1:8" x14ac:dyDescent="0.25">
      <c r="A253" s="1" t="s">
        <v>292</v>
      </c>
      <c r="B253" s="1" t="s">
        <v>295</v>
      </c>
      <c r="C253" s="1" t="s">
        <v>31</v>
      </c>
      <c r="D253">
        <v>50</v>
      </c>
      <c r="E253" s="1" t="s">
        <v>14</v>
      </c>
      <c r="F253">
        <v>108</v>
      </c>
      <c r="G253">
        <v>43.81</v>
      </c>
      <c r="H253">
        <v>5</v>
      </c>
    </row>
    <row r="254" spans="1:8" x14ac:dyDescent="0.25">
      <c r="A254" s="1" t="s">
        <v>292</v>
      </c>
      <c r="B254" s="1" t="s">
        <v>296</v>
      </c>
      <c r="C254" s="1" t="s">
        <v>18</v>
      </c>
      <c r="D254">
        <v>63</v>
      </c>
      <c r="E254" s="1" t="s">
        <v>22</v>
      </c>
      <c r="F254">
        <v>95</v>
      </c>
      <c r="G254">
        <v>56.81</v>
      </c>
      <c r="H254">
        <v>0</v>
      </c>
    </row>
    <row r="255" spans="1:8" x14ac:dyDescent="0.25">
      <c r="A255" s="1" t="s">
        <v>292</v>
      </c>
      <c r="B255" s="1" t="s">
        <v>297</v>
      </c>
      <c r="C255" s="1" t="s">
        <v>10</v>
      </c>
      <c r="D255">
        <v>40</v>
      </c>
      <c r="E255" s="1" t="s">
        <v>11</v>
      </c>
      <c r="F255">
        <v>102</v>
      </c>
      <c r="G255">
        <v>96.59</v>
      </c>
      <c r="H255">
        <v>5</v>
      </c>
    </row>
    <row r="256" spans="1:8" x14ac:dyDescent="0.25">
      <c r="A256" s="1" t="s">
        <v>292</v>
      </c>
      <c r="B256" s="1" t="s">
        <v>298</v>
      </c>
      <c r="C256" s="1" t="s">
        <v>137</v>
      </c>
      <c r="D256">
        <v>83</v>
      </c>
      <c r="E256" s="1" t="s">
        <v>22</v>
      </c>
      <c r="F256">
        <v>30</v>
      </c>
      <c r="G256">
        <v>33.93</v>
      </c>
      <c r="H256">
        <v>3</v>
      </c>
    </row>
    <row r="257" spans="1:8" x14ac:dyDescent="0.25">
      <c r="A257" s="1" t="s">
        <v>292</v>
      </c>
      <c r="B257" s="1" t="s">
        <v>299</v>
      </c>
      <c r="C257" s="1" t="s">
        <v>44</v>
      </c>
      <c r="D257">
        <v>76</v>
      </c>
      <c r="E257" s="1" t="s">
        <v>22</v>
      </c>
      <c r="F257">
        <v>383</v>
      </c>
      <c r="G257">
        <v>53.73</v>
      </c>
      <c r="H257">
        <v>2</v>
      </c>
    </row>
    <row r="258" spans="1:8" x14ac:dyDescent="0.25">
      <c r="A258" s="1" t="s">
        <v>292</v>
      </c>
      <c r="B258" s="1" t="s">
        <v>300</v>
      </c>
      <c r="C258" s="1" t="s">
        <v>24</v>
      </c>
      <c r="D258">
        <v>10</v>
      </c>
      <c r="E258" s="1" t="s">
        <v>19</v>
      </c>
      <c r="F258">
        <v>93</v>
      </c>
      <c r="G258">
        <v>78.12</v>
      </c>
      <c r="H258">
        <v>4</v>
      </c>
    </row>
    <row r="259" spans="1:8" x14ac:dyDescent="0.25">
      <c r="A259" s="1" t="s">
        <v>292</v>
      </c>
      <c r="B259" s="1" t="s">
        <v>301</v>
      </c>
      <c r="C259" s="1" t="s">
        <v>64</v>
      </c>
      <c r="D259">
        <v>114</v>
      </c>
      <c r="E259" s="1" t="s">
        <v>19</v>
      </c>
      <c r="F259">
        <v>388</v>
      </c>
      <c r="G259">
        <v>40.29</v>
      </c>
      <c r="H259">
        <v>5</v>
      </c>
    </row>
    <row r="260" spans="1:8" x14ac:dyDescent="0.25">
      <c r="A260" s="1" t="s">
        <v>292</v>
      </c>
      <c r="B260" s="1" t="s">
        <v>302</v>
      </c>
      <c r="C260" s="1" t="s">
        <v>137</v>
      </c>
      <c r="D260">
        <v>5</v>
      </c>
      <c r="E260" s="1" t="s">
        <v>14</v>
      </c>
      <c r="F260">
        <v>98</v>
      </c>
      <c r="G260">
        <v>71.37</v>
      </c>
      <c r="H260">
        <v>1</v>
      </c>
    </row>
    <row r="261" spans="1:8" x14ac:dyDescent="0.25">
      <c r="A261" s="1" t="s">
        <v>292</v>
      </c>
      <c r="B261" s="1" t="s">
        <v>303</v>
      </c>
      <c r="C261" s="1" t="s">
        <v>131</v>
      </c>
      <c r="D261">
        <v>118</v>
      </c>
      <c r="E261" s="1" t="s">
        <v>14</v>
      </c>
      <c r="F261">
        <v>132</v>
      </c>
      <c r="G261">
        <v>40.880000000000003</v>
      </c>
      <c r="H261">
        <v>4</v>
      </c>
    </row>
    <row r="262" spans="1:8" x14ac:dyDescent="0.25">
      <c r="A262" s="1" t="s">
        <v>292</v>
      </c>
      <c r="B262" s="1" t="s">
        <v>304</v>
      </c>
      <c r="C262" s="1" t="s">
        <v>10</v>
      </c>
      <c r="D262">
        <v>16</v>
      </c>
      <c r="E262" s="1" t="s">
        <v>19</v>
      </c>
      <c r="F262">
        <v>461</v>
      </c>
      <c r="G262">
        <v>38.369999999999997</v>
      </c>
      <c r="H262">
        <v>4</v>
      </c>
    </row>
    <row r="263" spans="1:8" x14ac:dyDescent="0.25">
      <c r="A263" s="1" t="s">
        <v>292</v>
      </c>
      <c r="B263" s="1" t="s">
        <v>305</v>
      </c>
      <c r="C263" s="1" t="s">
        <v>40</v>
      </c>
      <c r="D263">
        <v>50</v>
      </c>
      <c r="E263" s="1" t="s">
        <v>22</v>
      </c>
      <c r="F263">
        <v>446</v>
      </c>
      <c r="G263">
        <v>31.56</v>
      </c>
      <c r="H263">
        <v>5</v>
      </c>
    </row>
    <row r="264" spans="1:8" x14ac:dyDescent="0.25">
      <c r="A264" s="1" t="s">
        <v>292</v>
      </c>
      <c r="B264" s="1" t="s">
        <v>306</v>
      </c>
      <c r="C264" s="1" t="s">
        <v>137</v>
      </c>
      <c r="D264">
        <v>120</v>
      </c>
      <c r="E264" s="1" t="s">
        <v>14</v>
      </c>
      <c r="F264">
        <v>209</v>
      </c>
      <c r="G264">
        <v>42.51</v>
      </c>
      <c r="H264">
        <v>4</v>
      </c>
    </row>
    <row r="265" spans="1:8" x14ac:dyDescent="0.25">
      <c r="A265" s="1" t="s">
        <v>292</v>
      </c>
      <c r="B265" s="1" t="s">
        <v>307</v>
      </c>
      <c r="C265" s="1" t="s">
        <v>35</v>
      </c>
      <c r="D265">
        <v>73</v>
      </c>
      <c r="E265" s="1" t="s">
        <v>22</v>
      </c>
      <c r="F265">
        <v>225</v>
      </c>
      <c r="G265">
        <v>45.86</v>
      </c>
      <c r="H265">
        <v>0</v>
      </c>
    </row>
    <row r="266" spans="1:8" x14ac:dyDescent="0.25">
      <c r="A266" s="1" t="s">
        <v>292</v>
      </c>
      <c r="B266" s="1" t="s">
        <v>308</v>
      </c>
      <c r="C266" s="1" t="s">
        <v>31</v>
      </c>
      <c r="D266">
        <v>21</v>
      </c>
      <c r="E266" s="1" t="s">
        <v>14</v>
      </c>
      <c r="F266">
        <v>320</v>
      </c>
      <c r="G266">
        <v>64.97</v>
      </c>
      <c r="H266">
        <v>1</v>
      </c>
    </row>
    <row r="267" spans="1:8" x14ac:dyDescent="0.25">
      <c r="A267" s="1" t="s">
        <v>292</v>
      </c>
      <c r="B267" s="1" t="s">
        <v>309</v>
      </c>
      <c r="C267" s="1" t="s">
        <v>60</v>
      </c>
      <c r="D267">
        <v>25</v>
      </c>
      <c r="E267" s="1" t="s">
        <v>11</v>
      </c>
      <c r="F267">
        <v>467</v>
      </c>
      <c r="G267">
        <v>97.78</v>
      </c>
      <c r="H267">
        <v>3</v>
      </c>
    </row>
    <row r="268" spans="1:8" x14ac:dyDescent="0.25">
      <c r="A268" s="1" t="s">
        <v>292</v>
      </c>
      <c r="B268" s="1" t="s">
        <v>310</v>
      </c>
      <c r="C268" s="1" t="s">
        <v>44</v>
      </c>
      <c r="D268">
        <v>98</v>
      </c>
      <c r="E268" s="1" t="s">
        <v>11</v>
      </c>
      <c r="F268">
        <v>319</v>
      </c>
      <c r="G268">
        <v>88.58</v>
      </c>
      <c r="H268">
        <v>0</v>
      </c>
    </row>
    <row r="269" spans="1:8" x14ac:dyDescent="0.25">
      <c r="A269" s="1" t="s">
        <v>292</v>
      </c>
      <c r="B269" s="1" t="s">
        <v>311</v>
      </c>
      <c r="C269" s="1" t="s">
        <v>60</v>
      </c>
      <c r="D269">
        <v>56</v>
      </c>
      <c r="E269" s="1" t="s">
        <v>14</v>
      </c>
      <c r="F269">
        <v>55</v>
      </c>
      <c r="G269">
        <v>82.56</v>
      </c>
      <c r="H269">
        <v>2</v>
      </c>
    </row>
    <row r="270" spans="1:8" x14ac:dyDescent="0.25">
      <c r="A270" s="1" t="s">
        <v>292</v>
      </c>
      <c r="B270" s="1" t="s">
        <v>312</v>
      </c>
      <c r="C270" s="1" t="s">
        <v>18</v>
      </c>
      <c r="D270">
        <v>33</v>
      </c>
      <c r="E270" s="1" t="s">
        <v>11</v>
      </c>
      <c r="F270">
        <v>444</v>
      </c>
      <c r="G270">
        <v>10.28</v>
      </c>
      <c r="H270">
        <v>5</v>
      </c>
    </row>
    <row r="271" spans="1:8" x14ac:dyDescent="0.25">
      <c r="A271" s="1" t="s">
        <v>292</v>
      </c>
      <c r="B271" s="1" t="s">
        <v>313</v>
      </c>
      <c r="C271" s="1" t="s">
        <v>29</v>
      </c>
      <c r="D271">
        <v>99</v>
      </c>
      <c r="E271" s="1" t="s">
        <v>14</v>
      </c>
      <c r="F271">
        <v>325</v>
      </c>
      <c r="G271">
        <v>88.35</v>
      </c>
      <c r="H271">
        <v>4</v>
      </c>
    </row>
    <row r="272" spans="1:8" x14ac:dyDescent="0.25">
      <c r="A272" s="1" t="s">
        <v>292</v>
      </c>
      <c r="B272" s="1" t="s">
        <v>314</v>
      </c>
      <c r="C272" s="1" t="s">
        <v>67</v>
      </c>
      <c r="D272">
        <v>117</v>
      </c>
      <c r="E272" s="1" t="s">
        <v>19</v>
      </c>
      <c r="F272">
        <v>85</v>
      </c>
      <c r="G272">
        <v>46.16</v>
      </c>
      <c r="H272">
        <v>3</v>
      </c>
    </row>
    <row r="273" spans="1:8" x14ac:dyDescent="0.25">
      <c r="A273" s="1" t="s">
        <v>292</v>
      </c>
      <c r="B273" s="1" t="s">
        <v>315</v>
      </c>
      <c r="C273" s="1" t="s">
        <v>131</v>
      </c>
      <c r="D273">
        <v>97</v>
      </c>
      <c r="E273" s="1" t="s">
        <v>19</v>
      </c>
      <c r="F273">
        <v>40</v>
      </c>
      <c r="G273">
        <v>85.19</v>
      </c>
      <c r="H273">
        <v>1</v>
      </c>
    </row>
    <row r="274" spans="1:8" x14ac:dyDescent="0.25">
      <c r="A274" s="1" t="s">
        <v>292</v>
      </c>
      <c r="B274" s="1" t="s">
        <v>316</v>
      </c>
      <c r="C274" s="1" t="s">
        <v>127</v>
      </c>
      <c r="D274">
        <v>93</v>
      </c>
      <c r="E274" s="1" t="s">
        <v>11</v>
      </c>
      <c r="F274">
        <v>150</v>
      </c>
      <c r="G274">
        <v>93.25</v>
      </c>
      <c r="H274">
        <v>3</v>
      </c>
    </row>
    <row r="275" spans="1:8" x14ac:dyDescent="0.25">
      <c r="A275" s="1" t="s">
        <v>292</v>
      </c>
      <c r="B275" s="1" t="s">
        <v>317</v>
      </c>
      <c r="C275" s="1" t="s">
        <v>35</v>
      </c>
      <c r="D275">
        <v>45</v>
      </c>
      <c r="E275" s="1" t="s">
        <v>22</v>
      </c>
      <c r="F275">
        <v>43</v>
      </c>
      <c r="G275">
        <v>12.31</v>
      </c>
      <c r="H275">
        <v>0</v>
      </c>
    </row>
    <row r="276" spans="1:8" x14ac:dyDescent="0.25">
      <c r="A276" s="1" t="s">
        <v>292</v>
      </c>
      <c r="B276" s="1" t="s">
        <v>318</v>
      </c>
      <c r="C276" s="1" t="s">
        <v>127</v>
      </c>
      <c r="D276">
        <v>66</v>
      </c>
      <c r="E276" s="1" t="s">
        <v>11</v>
      </c>
      <c r="F276">
        <v>193</v>
      </c>
      <c r="G276">
        <v>21.06</v>
      </c>
      <c r="H276">
        <v>3</v>
      </c>
    </row>
    <row r="277" spans="1:8" x14ac:dyDescent="0.25">
      <c r="A277" s="1" t="s">
        <v>292</v>
      </c>
      <c r="B277" s="1" t="s">
        <v>319</v>
      </c>
      <c r="C277" s="1" t="s">
        <v>35</v>
      </c>
      <c r="D277">
        <v>91</v>
      </c>
      <c r="E277" s="1" t="s">
        <v>22</v>
      </c>
      <c r="F277">
        <v>63</v>
      </c>
      <c r="G277">
        <v>57.76</v>
      </c>
      <c r="H277">
        <v>5</v>
      </c>
    </row>
    <row r="278" spans="1:8" x14ac:dyDescent="0.25">
      <c r="A278" s="1" t="s">
        <v>292</v>
      </c>
      <c r="B278" s="1" t="s">
        <v>320</v>
      </c>
      <c r="C278" s="1" t="s">
        <v>131</v>
      </c>
      <c r="D278">
        <v>63</v>
      </c>
      <c r="E278" s="1" t="s">
        <v>14</v>
      </c>
      <c r="F278">
        <v>141</v>
      </c>
      <c r="G278">
        <v>95.6</v>
      </c>
      <c r="H278">
        <v>4</v>
      </c>
    </row>
    <row r="279" spans="1:8" x14ac:dyDescent="0.25">
      <c r="A279" s="1" t="s">
        <v>292</v>
      </c>
      <c r="B279" s="1" t="s">
        <v>321</v>
      </c>
      <c r="C279" s="1" t="s">
        <v>60</v>
      </c>
      <c r="D279">
        <v>82</v>
      </c>
      <c r="E279" s="1" t="s">
        <v>11</v>
      </c>
      <c r="F279">
        <v>32</v>
      </c>
      <c r="G279">
        <v>77.63</v>
      </c>
      <c r="H279">
        <v>1</v>
      </c>
    </row>
    <row r="280" spans="1:8" x14ac:dyDescent="0.25">
      <c r="A280" s="1" t="s">
        <v>292</v>
      </c>
      <c r="B280" s="1" t="s">
        <v>322</v>
      </c>
      <c r="C280" s="1" t="s">
        <v>31</v>
      </c>
      <c r="D280">
        <v>89</v>
      </c>
      <c r="E280" s="1" t="s">
        <v>19</v>
      </c>
      <c r="F280">
        <v>175</v>
      </c>
      <c r="G280">
        <v>32.369999999999997</v>
      </c>
      <c r="H280">
        <v>1</v>
      </c>
    </row>
    <row r="281" spans="1:8" x14ac:dyDescent="0.25">
      <c r="A281" s="1" t="s">
        <v>292</v>
      </c>
      <c r="B281" s="1" t="s">
        <v>323</v>
      </c>
      <c r="C281" s="1" t="s">
        <v>26</v>
      </c>
      <c r="D281">
        <v>48</v>
      </c>
      <c r="E281" s="1" t="s">
        <v>22</v>
      </c>
      <c r="F281">
        <v>15</v>
      </c>
      <c r="G281">
        <v>50.67</v>
      </c>
      <c r="H281">
        <v>1</v>
      </c>
    </row>
    <row r="282" spans="1:8" x14ac:dyDescent="0.25">
      <c r="A282" s="1" t="s">
        <v>292</v>
      </c>
      <c r="B282" s="1" t="s">
        <v>324</v>
      </c>
      <c r="C282" s="1" t="s">
        <v>40</v>
      </c>
      <c r="D282">
        <v>90</v>
      </c>
      <c r="E282" s="1" t="s">
        <v>14</v>
      </c>
      <c r="F282">
        <v>299</v>
      </c>
      <c r="G282">
        <v>71.760000000000005</v>
      </c>
      <c r="H282">
        <v>1</v>
      </c>
    </row>
    <row r="283" spans="1:8" x14ac:dyDescent="0.25">
      <c r="A283" s="1" t="s">
        <v>292</v>
      </c>
      <c r="B283" s="1" t="s">
        <v>325</v>
      </c>
      <c r="C283" s="1" t="s">
        <v>78</v>
      </c>
      <c r="D283">
        <v>8</v>
      </c>
      <c r="E283" s="1" t="s">
        <v>19</v>
      </c>
      <c r="F283">
        <v>120</v>
      </c>
      <c r="G283">
        <v>88.29</v>
      </c>
      <c r="H283">
        <v>5</v>
      </c>
    </row>
    <row r="284" spans="1:8" x14ac:dyDescent="0.25">
      <c r="A284" s="1" t="s">
        <v>292</v>
      </c>
      <c r="B284" s="1" t="s">
        <v>326</v>
      </c>
      <c r="C284" s="1" t="s">
        <v>44</v>
      </c>
      <c r="D284">
        <v>84</v>
      </c>
      <c r="E284" s="1" t="s">
        <v>19</v>
      </c>
      <c r="F284">
        <v>244</v>
      </c>
      <c r="G284">
        <v>56.34</v>
      </c>
      <c r="H284">
        <v>5</v>
      </c>
    </row>
    <row r="285" spans="1:8" x14ac:dyDescent="0.25">
      <c r="A285" s="1" t="s">
        <v>292</v>
      </c>
      <c r="B285" s="1" t="s">
        <v>327</v>
      </c>
      <c r="C285" s="1" t="s">
        <v>37</v>
      </c>
      <c r="D285">
        <v>50</v>
      </c>
      <c r="E285" s="1" t="s">
        <v>19</v>
      </c>
      <c r="F285">
        <v>248</v>
      </c>
      <c r="G285">
        <v>69.42</v>
      </c>
      <c r="H285">
        <v>0</v>
      </c>
    </row>
    <row r="286" spans="1:8" x14ac:dyDescent="0.25">
      <c r="A286" s="1" t="s">
        <v>292</v>
      </c>
      <c r="B286" s="1" t="s">
        <v>328</v>
      </c>
      <c r="C286" s="1" t="s">
        <v>26</v>
      </c>
      <c r="D286">
        <v>119</v>
      </c>
      <c r="E286" s="1" t="s">
        <v>14</v>
      </c>
      <c r="F286">
        <v>344</v>
      </c>
      <c r="G286">
        <v>10.28</v>
      </c>
      <c r="H286">
        <v>0</v>
      </c>
    </row>
    <row r="287" spans="1:8" x14ac:dyDescent="0.25">
      <c r="A287" s="1" t="s">
        <v>292</v>
      </c>
      <c r="B287" s="1" t="s">
        <v>329</v>
      </c>
      <c r="C287" s="1" t="s">
        <v>33</v>
      </c>
      <c r="D287">
        <v>55</v>
      </c>
      <c r="E287" s="1" t="s">
        <v>14</v>
      </c>
      <c r="F287">
        <v>389</v>
      </c>
      <c r="G287">
        <v>67.430000000000007</v>
      </c>
      <c r="H287">
        <v>3</v>
      </c>
    </row>
    <row r="288" spans="1:8" x14ac:dyDescent="0.25">
      <c r="A288" s="1" t="s">
        <v>292</v>
      </c>
      <c r="B288" s="1" t="s">
        <v>330</v>
      </c>
      <c r="C288" s="1" t="s">
        <v>44</v>
      </c>
      <c r="D288">
        <v>95</v>
      </c>
      <c r="E288" s="1" t="s">
        <v>11</v>
      </c>
      <c r="F288">
        <v>51</v>
      </c>
      <c r="G288">
        <v>94.77</v>
      </c>
      <c r="H288">
        <v>5</v>
      </c>
    </row>
    <row r="289" spans="1:8" x14ac:dyDescent="0.25">
      <c r="A289" s="1" t="s">
        <v>292</v>
      </c>
      <c r="B289" s="1" t="s">
        <v>331</v>
      </c>
      <c r="C289" s="1" t="s">
        <v>33</v>
      </c>
      <c r="D289">
        <v>32</v>
      </c>
      <c r="E289" s="1" t="s">
        <v>14</v>
      </c>
      <c r="F289">
        <v>4</v>
      </c>
      <c r="G289">
        <v>39</v>
      </c>
      <c r="H289">
        <v>0</v>
      </c>
    </row>
    <row r="290" spans="1:8" x14ac:dyDescent="0.25">
      <c r="A290" s="1" t="s">
        <v>292</v>
      </c>
      <c r="B290" s="1" t="s">
        <v>332</v>
      </c>
      <c r="C290" s="1" t="s">
        <v>64</v>
      </c>
      <c r="D290">
        <v>32</v>
      </c>
      <c r="E290" s="1" t="s">
        <v>22</v>
      </c>
      <c r="F290">
        <v>31</v>
      </c>
      <c r="G290">
        <v>67.040000000000006</v>
      </c>
      <c r="H290">
        <v>1</v>
      </c>
    </row>
    <row r="291" spans="1:8" x14ac:dyDescent="0.25">
      <c r="A291" s="1" t="s">
        <v>292</v>
      </c>
      <c r="B291" s="1" t="s">
        <v>333</v>
      </c>
      <c r="C291" s="1" t="s">
        <v>64</v>
      </c>
      <c r="D291">
        <v>62</v>
      </c>
      <c r="E291" s="1" t="s">
        <v>22</v>
      </c>
      <c r="F291">
        <v>136</v>
      </c>
      <c r="G291">
        <v>88.61</v>
      </c>
      <c r="H291">
        <v>2</v>
      </c>
    </row>
    <row r="292" spans="1:8" x14ac:dyDescent="0.25">
      <c r="A292" s="1" t="s">
        <v>292</v>
      </c>
      <c r="B292" s="1" t="s">
        <v>334</v>
      </c>
      <c r="C292" s="1" t="s">
        <v>73</v>
      </c>
      <c r="D292">
        <v>5</v>
      </c>
      <c r="E292" s="1" t="s">
        <v>11</v>
      </c>
      <c r="F292">
        <v>384</v>
      </c>
      <c r="G292">
        <v>97.26</v>
      </c>
      <c r="H292">
        <v>3</v>
      </c>
    </row>
    <row r="293" spans="1:8" x14ac:dyDescent="0.25">
      <c r="A293" s="1" t="s">
        <v>292</v>
      </c>
      <c r="B293" s="1" t="s">
        <v>335</v>
      </c>
      <c r="C293" s="1" t="s">
        <v>18</v>
      </c>
      <c r="D293">
        <v>118</v>
      </c>
      <c r="E293" s="1" t="s">
        <v>22</v>
      </c>
      <c r="F293">
        <v>489</v>
      </c>
      <c r="G293">
        <v>76.22</v>
      </c>
      <c r="H293">
        <v>2</v>
      </c>
    </row>
    <row r="294" spans="1:8" x14ac:dyDescent="0.25">
      <c r="A294" s="1" t="s">
        <v>292</v>
      </c>
      <c r="B294" s="1" t="s">
        <v>336</v>
      </c>
      <c r="C294" s="1" t="s">
        <v>18</v>
      </c>
      <c r="D294">
        <v>105</v>
      </c>
      <c r="E294" s="1" t="s">
        <v>22</v>
      </c>
      <c r="F294">
        <v>3</v>
      </c>
      <c r="G294">
        <v>71.010000000000005</v>
      </c>
      <c r="H294">
        <v>1</v>
      </c>
    </row>
    <row r="295" spans="1:8" x14ac:dyDescent="0.25">
      <c r="A295" s="1" t="s">
        <v>292</v>
      </c>
      <c r="B295" s="1" t="s">
        <v>337</v>
      </c>
      <c r="C295" s="1" t="s">
        <v>21</v>
      </c>
      <c r="D295">
        <v>47</v>
      </c>
      <c r="E295" s="1" t="s">
        <v>22</v>
      </c>
      <c r="F295">
        <v>340</v>
      </c>
      <c r="G295">
        <v>31.02</v>
      </c>
      <c r="H295">
        <v>5</v>
      </c>
    </row>
    <row r="296" spans="1:8" x14ac:dyDescent="0.25">
      <c r="A296" s="1" t="s">
        <v>292</v>
      </c>
      <c r="B296" s="1" t="s">
        <v>338</v>
      </c>
      <c r="C296" s="1" t="s">
        <v>26</v>
      </c>
      <c r="D296">
        <v>81</v>
      </c>
      <c r="E296" s="1" t="s">
        <v>14</v>
      </c>
      <c r="F296">
        <v>298</v>
      </c>
      <c r="G296">
        <v>53.61</v>
      </c>
      <c r="H296">
        <v>2</v>
      </c>
    </row>
    <row r="297" spans="1:8" x14ac:dyDescent="0.25">
      <c r="A297" s="1" t="s">
        <v>292</v>
      </c>
      <c r="B297" s="1" t="s">
        <v>339</v>
      </c>
      <c r="C297" s="1" t="s">
        <v>131</v>
      </c>
      <c r="D297">
        <v>91</v>
      </c>
      <c r="E297" s="1" t="s">
        <v>22</v>
      </c>
      <c r="F297">
        <v>404</v>
      </c>
      <c r="G297">
        <v>76.53</v>
      </c>
      <c r="H297">
        <v>5</v>
      </c>
    </row>
    <row r="298" spans="1:8" x14ac:dyDescent="0.25">
      <c r="A298" s="1" t="s">
        <v>292</v>
      </c>
      <c r="B298" s="1" t="s">
        <v>340</v>
      </c>
      <c r="C298" s="1" t="s">
        <v>10</v>
      </c>
      <c r="D298">
        <v>87</v>
      </c>
      <c r="E298" s="1" t="s">
        <v>19</v>
      </c>
      <c r="F298">
        <v>21</v>
      </c>
      <c r="G298">
        <v>81.459999999999994</v>
      </c>
      <c r="H298">
        <v>3</v>
      </c>
    </row>
    <row r="299" spans="1:8" x14ac:dyDescent="0.25">
      <c r="A299" s="1" t="s">
        <v>292</v>
      </c>
      <c r="B299" s="1" t="s">
        <v>341</v>
      </c>
      <c r="C299" s="1" t="s">
        <v>131</v>
      </c>
      <c r="D299">
        <v>4</v>
      </c>
      <c r="E299" s="1" t="s">
        <v>14</v>
      </c>
      <c r="F299">
        <v>49</v>
      </c>
      <c r="G299">
        <v>41.35</v>
      </c>
      <c r="H299">
        <v>5</v>
      </c>
    </row>
    <row r="300" spans="1:8" x14ac:dyDescent="0.25">
      <c r="A300" s="1" t="s">
        <v>342</v>
      </c>
      <c r="B300" s="1" t="s">
        <v>343</v>
      </c>
      <c r="C300" s="1" t="s">
        <v>16</v>
      </c>
      <c r="D300">
        <v>76</v>
      </c>
      <c r="E300" s="1" t="s">
        <v>19</v>
      </c>
      <c r="F300">
        <v>192</v>
      </c>
      <c r="G300">
        <v>68.53</v>
      </c>
      <c r="H300">
        <v>0</v>
      </c>
    </row>
    <row r="301" spans="1:8" x14ac:dyDescent="0.25">
      <c r="A301" s="1" t="s">
        <v>342</v>
      </c>
      <c r="B301" s="1" t="s">
        <v>344</v>
      </c>
      <c r="C301" s="1" t="s">
        <v>18</v>
      </c>
      <c r="D301">
        <v>69</v>
      </c>
      <c r="E301" s="1" t="s">
        <v>11</v>
      </c>
      <c r="F301">
        <v>486</v>
      </c>
      <c r="G301">
        <v>34.770000000000003</v>
      </c>
      <c r="H301">
        <v>0</v>
      </c>
    </row>
    <row r="302" spans="1:8" x14ac:dyDescent="0.25">
      <c r="A302" s="1" t="s">
        <v>342</v>
      </c>
      <c r="B302" s="1" t="s">
        <v>345</v>
      </c>
      <c r="C302" s="1" t="s">
        <v>26</v>
      </c>
      <c r="D302">
        <v>25</v>
      </c>
      <c r="E302" s="1" t="s">
        <v>14</v>
      </c>
      <c r="F302">
        <v>218</v>
      </c>
      <c r="G302">
        <v>68.790000000000006</v>
      </c>
      <c r="H302">
        <v>0</v>
      </c>
    </row>
    <row r="303" spans="1:8" x14ac:dyDescent="0.25">
      <c r="A303" s="1" t="s">
        <v>342</v>
      </c>
      <c r="B303" s="1" t="s">
        <v>346</v>
      </c>
      <c r="C303" s="1" t="s">
        <v>40</v>
      </c>
      <c r="D303">
        <v>109</v>
      </c>
      <c r="E303" s="1" t="s">
        <v>22</v>
      </c>
      <c r="F303">
        <v>347</v>
      </c>
      <c r="G303">
        <v>43.06</v>
      </c>
      <c r="H303">
        <v>4</v>
      </c>
    </row>
    <row r="304" spans="1:8" x14ac:dyDescent="0.25">
      <c r="A304" s="1" t="s">
        <v>342</v>
      </c>
      <c r="B304" s="1" t="s">
        <v>347</v>
      </c>
      <c r="C304" s="1" t="s">
        <v>24</v>
      </c>
      <c r="D304">
        <v>50</v>
      </c>
      <c r="E304" s="1" t="s">
        <v>14</v>
      </c>
      <c r="F304">
        <v>430</v>
      </c>
      <c r="G304">
        <v>20.8</v>
      </c>
      <c r="H304">
        <v>2</v>
      </c>
    </row>
    <row r="305" spans="1:8" x14ac:dyDescent="0.25">
      <c r="A305" s="1" t="s">
        <v>342</v>
      </c>
      <c r="B305" s="1" t="s">
        <v>348</v>
      </c>
      <c r="C305" s="1" t="s">
        <v>37</v>
      </c>
      <c r="D305">
        <v>55</v>
      </c>
      <c r="E305" s="1" t="s">
        <v>11</v>
      </c>
      <c r="F305">
        <v>86</v>
      </c>
      <c r="G305">
        <v>17.440000000000001</v>
      </c>
      <c r="H305">
        <v>2</v>
      </c>
    </row>
    <row r="306" spans="1:8" x14ac:dyDescent="0.25">
      <c r="A306" s="1" t="s">
        <v>342</v>
      </c>
      <c r="B306" s="1" t="s">
        <v>349</v>
      </c>
      <c r="C306" s="1" t="s">
        <v>78</v>
      </c>
      <c r="D306">
        <v>41</v>
      </c>
      <c r="E306" s="1" t="s">
        <v>14</v>
      </c>
      <c r="F306">
        <v>474</v>
      </c>
      <c r="G306">
        <v>54.03</v>
      </c>
      <c r="H306">
        <v>4</v>
      </c>
    </row>
    <row r="307" spans="1:8" x14ac:dyDescent="0.25">
      <c r="A307" s="1" t="s">
        <v>342</v>
      </c>
      <c r="B307" s="1" t="s">
        <v>350</v>
      </c>
      <c r="C307" s="1" t="s">
        <v>57</v>
      </c>
      <c r="D307">
        <v>99</v>
      </c>
      <c r="E307" s="1" t="s">
        <v>19</v>
      </c>
      <c r="F307">
        <v>28</v>
      </c>
      <c r="G307">
        <v>70.19</v>
      </c>
      <c r="H307">
        <v>1</v>
      </c>
    </row>
    <row r="308" spans="1:8" x14ac:dyDescent="0.25">
      <c r="A308" s="1" t="s">
        <v>342</v>
      </c>
      <c r="B308" s="1" t="s">
        <v>351</v>
      </c>
      <c r="C308" s="1" t="s">
        <v>89</v>
      </c>
      <c r="D308">
        <v>47</v>
      </c>
      <c r="E308" s="1" t="s">
        <v>11</v>
      </c>
      <c r="F308">
        <v>49</v>
      </c>
      <c r="G308">
        <v>55.88</v>
      </c>
      <c r="H308">
        <v>3</v>
      </c>
    </row>
    <row r="309" spans="1:8" x14ac:dyDescent="0.25">
      <c r="A309" s="1" t="s">
        <v>342</v>
      </c>
      <c r="B309" s="1" t="s">
        <v>352</v>
      </c>
      <c r="C309" s="1" t="s">
        <v>137</v>
      </c>
      <c r="D309">
        <v>103</v>
      </c>
      <c r="E309" s="1" t="s">
        <v>22</v>
      </c>
      <c r="F309">
        <v>182</v>
      </c>
      <c r="G309">
        <v>12.07</v>
      </c>
      <c r="H309">
        <v>5</v>
      </c>
    </row>
    <row r="310" spans="1:8" x14ac:dyDescent="0.25">
      <c r="A310" s="1" t="s">
        <v>342</v>
      </c>
      <c r="B310" s="1" t="s">
        <v>353</v>
      </c>
      <c r="C310" s="1" t="s">
        <v>31</v>
      </c>
      <c r="D310">
        <v>87</v>
      </c>
      <c r="E310" s="1" t="s">
        <v>22</v>
      </c>
      <c r="F310">
        <v>498</v>
      </c>
      <c r="G310">
        <v>61.57</v>
      </c>
      <c r="H310">
        <v>0</v>
      </c>
    </row>
    <row r="311" spans="1:8" x14ac:dyDescent="0.25">
      <c r="A311" s="1" t="s">
        <v>342</v>
      </c>
      <c r="B311" s="1" t="s">
        <v>354</v>
      </c>
      <c r="C311" s="1" t="s">
        <v>40</v>
      </c>
      <c r="D311">
        <v>120</v>
      </c>
      <c r="E311" s="1" t="s">
        <v>22</v>
      </c>
      <c r="F311">
        <v>242</v>
      </c>
      <c r="G311">
        <v>61.54</v>
      </c>
      <c r="H311">
        <v>1</v>
      </c>
    </row>
    <row r="312" spans="1:8" x14ac:dyDescent="0.25">
      <c r="A312" s="1" t="s">
        <v>342</v>
      </c>
      <c r="B312" s="1" t="s">
        <v>355</v>
      </c>
      <c r="C312" s="1" t="s">
        <v>16</v>
      </c>
      <c r="D312">
        <v>102</v>
      </c>
      <c r="E312" s="1" t="s">
        <v>19</v>
      </c>
      <c r="F312">
        <v>91</v>
      </c>
      <c r="G312">
        <v>34.64</v>
      </c>
      <c r="H312">
        <v>2</v>
      </c>
    </row>
    <row r="313" spans="1:8" x14ac:dyDescent="0.25">
      <c r="A313" s="1" t="s">
        <v>342</v>
      </c>
      <c r="B313" s="1" t="s">
        <v>356</v>
      </c>
      <c r="C313" s="1" t="s">
        <v>78</v>
      </c>
      <c r="D313">
        <v>17</v>
      </c>
      <c r="E313" s="1" t="s">
        <v>22</v>
      </c>
      <c r="F313">
        <v>483</v>
      </c>
      <c r="G313">
        <v>77.08</v>
      </c>
      <c r="H313">
        <v>0</v>
      </c>
    </row>
    <row r="314" spans="1:8" x14ac:dyDescent="0.25">
      <c r="A314" s="1" t="s">
        <v>342</v>
      </c>
      <c r="B314" s="1" t="s">
        <v>357</v>
      </c>
      <c r="C314" s="1" t="s">
        <v>131</v>
      </c>
      <c r="D314">
        <v>67</v>
      </c>
      <c r="E314" s="1" t="s">
        <v>14</v>
      </c>
      <c r="F314">
        <v>26</v>
      </c>
      <c r="G314">
        <v>81.489999999999995</v>
      </c>
      <c r="H314">
        <v>4</v>
      </c>
    </row>
    <row r="315" spans="1:8" x14ac:dyDescent="0.25">
      <c r="A315" s="1" t="s">
        <v>342</v>
      </c>
      <c r="B315" s="1" t="s">
        <v>358</v>
      </c>
      <c r="C315" s="1" t="s">
        <v>37</v>
      </c>
      <c r="D315">
        <v>85</v>
      </c>
      <c r="E315" s="1" t="s">
        <v>14</v>
      </c>
      <c r="F315">
        <v>60</v>
      </c>
      <c r="G315">
        <v>26.3</v>
      </c>
      <c r="H315">
        <v>2</v>
      </c>
    </row>
    <row r="316" spans="1:8" x14ac:dyDescent="0.25">
      <c r="A316" s="1" t="s">
        <v>342</v>
      </c>
      <c r="B316" s="1" t="s">
        <v>359</v>
      </c>
      <c r="C316" s="1" t="s">
        <v>18</v>
      </c>
      <c r="D316">
        <v>78</v>
      </c>
      <c r="E316" s="1" t="s">
        <v>11</v>
      </c>
      <c r="F316">
        <v>263</v>
      </c>
      <c r="G316">
        <v>53.58</v>
      </c>
      <c r="H316">
        <v>5</v>
      </c>
    </row>
    <row r="317" spans="1:8" x14ac:dyDescent="0.25">
      <c r="A317" s="1" t="s">
        <v>342</v>
      </c>
      <c r="B317" s="1" t="s">
        <v>360</v>
      </c>
      <c r="C317" s="1" t="s">
        <v>18</v>
      </c>
      <c r="D317">
        <v>76</v>
      </c>
      <c r="E317" s="1" t="s">
        <v>22</v>
      </c>
      <c r="F317">
        <v>332</v>
      </c>
      <c r="G317">
        <v>68.010000000000005</v>
      </c>
      <c r="H317">
        <v>4</v>
      </c>
    </row>
    <row r="318" spans="1:8" x14ac:dyDescent="0.25">
      <c r="A318" s="1" t="s">
        <v>342</v>
      </c>
      <c r="B318" s="1" t="s">
        <v>361</v>
      </c>
      <c r="C318" s="1" t="s">
        <v>18</v>
      </c>
      <c r="D318">
        <v>29</v>
      </c>
      <c r="E318" s="1" t="s">
        <v>19</v>
      </c>
      <c r="F318">
        <v>173</v>
      </c>
      <c r="G318">
        <v>49.03</v>
      </c>
      <c r="H318">
        <v>3</v>
      </c>
    </row>
    <row r="319" spans="1:8" x14ac:dyDescent="0.25">
      <c r="A319" s="1" t="s">
        <v>342</v>
      </c>
      <c r="B319" s="1" t="s">
        <v>362</v>
      </c>
      <c r="C319" s="1" t="s">
        <v>131</v>
      </c>
      <c r="D319">
        <v>14</v>
      </c>
      <c r="E319" s="1" t="s">
        <v>14</v>
      </c>
      <c r="F319">
        <v>303</v>
      </c>
      <c r="G319">
        <v>61.43</v>
      </c>
      <c r="H319">
        <v>1</v>
      </c>
    </row>
    <row r="320" spans="1:8" x14ac:dyDescent="0.25">
      <c r="A320" s="1" t="s">
        <v>342</v>
      </c>
      <c r="B320" s="1" t="s">
        <v>363</v>
      </c>
      <c r="C320" s="1" t="s">
        <v>16</v>
      </c>
      <c r="D320">
        <v>51</v>
      </c>
      <c r="E320" s="1" t="s">
        <v>11</v>
      </c>
      <c r="F320">
        <v>222</v>
      </c>
      <c r="G320">
        <v>18.95</v>
      </c>
      <c r="H320">
        <v>4</v>
      </c>
    </row>
    <row r="321" spans="1:8" x14ac:dyDescent="0.25">
      <c r="A321" s="1" t="s">
        <v>342</v>
      </c>
      <c r="B321" s="1" t="s">
        <v>364</v>
      </c>
      <c r="C321" s="1" t="s">
        <v>16</v>
      </c>
      <c r="D321">
        <v>2</v>
      </c>
      <c r="E321" s="1" t="s">
        <v>14</v>
      </c>
      <c r="F321">
        <v>496</v>
      </c>
      <c r="G321">
        <v>15.71</v>
      </c>
      <c r="H321">
        <v>3</v>
      </c>
    </row>
    <row r="322" spans="1:8" x14ac:dyDescent="0.25">
      <c r="A322" s="1" t="s">
        <v>342</v>
      </c>
      <c r="B322" s="1" t="s">
        <v>365</v>
      </c>
      <c r="C322" s="1" t="s">
        <v>24</v>
      </c>
      <c r="D322">
        <v>69</v>
      </c>
      <c r="E322" s="1" t="s">
        <v>14</v>
      </c>
      <c r="F322">
        <v>76</v>
      </c>
      <c r="G322">
        <v>91.8</v>
      </c>
      <c r="H322">
        <v>5</v>
      </c>
    </row>
    <row r="323" spans="1:8" x14ac:dyDescent="0.25">
      <c r="A323" s="1" t="s">
        <v>342</v>
      </c>
      <c r="B323" s="1" t="s">
        <v>366</v>
      </c>
      <c r="C323" s="1" t="s">
        <v>60</v>
      </c>
      <c r="D323">
        <v>110</v>
      </c>
      <c r="E323" s="1" t="s">
        <v>11</v>
      </c>
      <c r="F323">
        <v>321</v>
      </c>
      <c r="G323">
        <v>81.569999999999993</v>
      </c>
      <c r="H323">
        <v>2</v>
      </c>
    </row>
    <row r="324" spans="1:8" x14ac:dyDescent="0.25">
      <c r="A324" s="1" t="s">
        <v>342</v>
      </c>
      <c r="B324" s="1" t="s">
        <v>367</v>
      </c>
      <c r="C324" s="1" t="s">
        <v>10</v>
      </c>
      <c r="D324">
        <v>59</v>
      </c>
      <c r="E324" s="1" t="s">
        <v>14</v>
      </c>
      <c r="F324">
        <v>369</v>
      </c>
      <c r="G324">
        <v>26.64</v>
      </c>
      <c r="H324">
        <v>4</v>
      </c>
    </row>
    <row r="325" spans="1:8" x14ac:dyDescent="0.25">
      <c r="A325" s="1" t="s">
        <v>342</v>
      </c>
      <c r="B325" s="1" t="s">
        <v>368</v>
      </c>
      <c r="C325" s="1" t="s">
        <v>24</v>
      </c>
      <c r="D325">
        <v>41</v>
      </c>
      <c r="E325" s="1" t="s">
        <v>14</v>
      </c>
      <c r="F325">
        <v>206</v>
      </c>
      <c r="G325">
        <v>83.16</v>
      </c>
      <c r="H325">
        <v>2</v>
      </c>
    </row>
    <row r="326" spans="1:8" x14ac:dyDescent="0.25">
      <c r="A326" s="1" t="s">
        <v>342</v>
      </c>
      <c r="B326" s="1" t="s">
        <v>369</v>
      </c>
      <c r="C326" s="1" t="s">
        <v>57</v>
      </c>
      <c r="D326">
        <v>19</v>
      </c>
      <c r="E326" s="1" t="s">
        <v>19</v>
      </c>
      <c r="F326">
        <v>125</v>
      </c>
      <c r="G326">
        <v>11.78</v>
      </c>
      <c r="H326">
        <v>4</v>
      </c>
    </row>
    <row r="327" spans="1:8" x14ac:dyDescent="0.25">
      <c r="A327" s="1" t="s">
        <v>342</v>
      </c>
      <c r="B327" s="1" t="s">
        <v>370</v>
      </c>
      <c r="C327" s="1" t="s">
        <v>57</v>
      </c>
      <c r="D327">
        <v>105</v>
      </c>
      <c r="E327" s="1" t="s">
        <v>11</v>
      </c>
      <c r="F327">
        <v>17</v>
      </c>
      <c r="G327">
        <v>60.05</v>
      </c>
      <c r="H327">
        <v>4</v>
      </c>
    </row>
    <row r="328" spans="1:8" x14ac:dyDescent="0.25">
      <c r="A328" s="1" t="s">
        <v>342</v>
      </c>
      <c r="B328" s="1" t="s">
        <v>371</v>
      </c>
      <c r="C328" s="1" t="s">
        <v>67</v>
      </c>
      <c r="D328">
        <v>38</v>
      </c>
      <c r="E328" s="1" t="s">
        <v>11</v>
      </c>
      <c r="F328">
        <v>60</v>
      </c>
      <c r="G328">
        <v>58.28</v>
      </c>
      <c r="H328">
        <v>4</v>
      </c>
    </row>
    <row r="329" spans="1:8" x14ac:dyDescent="0.25">
      <c r="A329" s="1" t="s">
        <v>342</v>
      </c>
      <c r="B329" s="1" t="s">
        <v>372</v>
      </c>
      <c r="C329" s="1" t="s">
        <v>51</v>
      </c>
      <c r="D329">
        <v>108</v>
      </c>
      <c r="E329" s="1" t="s">
        <v>22</v>
      </c>
      <c r="F329">
        <v>123</v>
      </c>
      <c r="G329">
        <v>83.1</v>
      </c>
      <c r="H329">
        <v>1</v>
      </c>
    </row>
    <row r="330" spans="1:8" x14ac:dyDescent="0.25">
      <c r="A330" s="1" t="s">
        <v>342</v>
      </c>
      <c r="B330" s="1" t="s">
        <v>373</v>
      </c>
      <c r="C330" s="1" t="s">
        <v>35</v>
      </c>
      <c r="D330">
        <v>29</v>
      </c>
      <c r="E330" s="1" t="s">
        <v>14</v>
      </c>
      <c r="F330">
        <v>203</v>
      </c>
      <c r="G330">
        <v>53.97</v>
      </c>
      <c r="H330">
        <v>5</v>
      </c>
    </row>
    <row r="331" spans="1:8" x14ac:dyDescent="0.25">
      <c r="A331" s="1" t="s">
        <v>342</v>
      </c>
      <c r="B331" s="1" t="s">
        <v>374</v>
      </c>
      <c r="C331" s="1" t="s">
        <v>40</v>
      </c>
      <c r="D331">
        <v>64</v>
      </c>
      <c r="E331" s="1" t="s">
        <v>19</v>
      </c>
      <c r="F331">
        <v>250</v>
      </c>
      <c r="G331">
        <v>56.7</v>
      </c>
      <c r="H331">
        <v>0</v>
      </c>
    </row>
    <row r="332" spans="1:8" x14ac:dyDescent="0.25">
      <c r="A332" s="1" t="s">
        <v>342</v>
      </c>
      <c r="B332" s="1" t="s">
        <v>375</v>
      </c>
      <c r="C332" s="1" t="s">
        <v>51</v>
      </c>
      <c r="D332">
        <v>88</v>
      </c>
      <c r="E332" s="1" t="s">
        <v>22</v>
      </c>
      <c r="F332">
        <v>154</v>
      </c>
      <c r="G332">
        <v>62.62</v>
      </c>
      <c r="H332">
        <v>5</v>
      </c>
    </row>
    <row r="333" spans="1:8" x14ac:dyDescent="0.25">
      <c r="A333" s="1" t="s">
        <v>342</v>
      </c>
      <c r="B333" s="1" t="s">
        <v>376</v>
      </c>
      <c r="C333" s="1" t="s">
        <v>40</v>
      </c>
      <c r="D333">
        <v>59</v>
      </c>
      <c r="E333" s="1" t="s">
        <v>11</v>
      </c>
      <c r="F333">
        <v>352</v>
      </c>
      <c r="G333">
        <v>74.239999999999995</v>
      </c>
      <c r="H333">
        <v>0</v>
      </c>
    </row>
    <row r="334" spans="1:8" x14ac:dyDescent="0.25">
      <c r="A334" s="1" t="s">
        <v>342</v>
      </c>
      <c r="B334" s="1" t="s">
        <v>377</v>
      </c>
      <c r="C334" s="1" t="s">
        <v>78</v>
      </c>
      <c r="D334">
        <v>19</v>
      </c>
      <c r="E334" s="1" t="s">
        <v>19</v>
      </c>
      <c r="F334">
        <v>305</v>
      </c>
      <c r="G334">
        <v>81.11</v>
      </c>
      <c r="H334">
        <v>1</v>
      </c>
    </row>
    <row r="335" spans="1:8" x14ac:dyDescent="0.25">
      <c r="A335" s="1" t="s">
        <v>342</v>
      </c>
      <c r="B335" s="1" t="s">
        <v>378</v>
      </c>
      <c r="C335" s="1" t="s">
        <v>18</v>
      </c>
      <c r="D335">
        <v>77</v>
      </c>
      <c r="E335" s="1" t="s">
        <v>11</v>
      </c>
      <c r="F335">
        <v>488</v>
      </c>
      <c r="G335">
        <v>21.17</v>
      </c>
      <c r="H335">
        <v>0</v>
      </c>
    </row>
    <row r="336" spans="1:8" x14ac:dyDescent="0.25">
      <c r="A336" s="1" t="s">
        <v>342</v>
      </c>
      <c r="B336" s="1" t="s">
        <v>379</v>
      </c>
      <c r="C336" s="1" t="s">
        <v>89</v>
      </c>
      <c r="D336">
        <v>37</v>
      </c>
      <c r="E336" s="1" t="s">
        <v>14</v>
      </c>
      <c r="F336">
        <v>88</v>
      </c>
      <c r="G336">
        <v>77.77</v>
      </c>
      <c r="H336">
        <v>1</v>
      </c>
    </row>
    <row r="337" spans="1:8" x14ac:dyDescent="0.25">
      <c r="A337" s="1" t="s">
        <v>342</v>
      </c>
      <c r="B337" s="1" t="s">
        <v>380</v>
      </c>
      <c r="C337" s="1" t="s">
        <v>33</v>
      </c>
      <c r="D337">
        <v>19</v>
      </c>
      <c r="E337" s="1" t="s">
        <v>22</v>
      </c>
      <c r="F337">
        <v>334</v>
      </c>
      <c r="G337">
        <v>96.91</v>
      </c>
      <c r="H337">
        <v>1</v>
      </c>
    </row>
    <row r="338" spans="1:8" x14ac:dyDescent="0.25">
      <c r="A338" s="1" t="s">
        <v>342</v>
      </c>
      <c r="B338" s="1" t="s">
        <v>381</v>
      </c>
      <c r="C338" s="1" t="s">
        <v>18</v>
      </c>
      <c r="D338">
        <v>96</v>
      </c>
      <c r="E338" s="1" t="s">
        <v>22</v>
      </c>
      <c r="F338">
        <v>381</v>
      </c>
      <c r="G338">
        <v>90.78</v>
      </c>
      <c r="H338">
        <v>2</v>
      </c>
    </row>
    <row r="339" spans="1:8" x14ac:dyDescent="0.25">
      <c r="A339" s="1" t="s">
        <v>342</v>
      </c>
      <c r="B339" s="1" t="s">
        <v>382</v>
      </c>
      <c r="C339" s="1" t="s">
        <v>51</v>
      </c>
      <c r="D339">
        <v>86</v>
      </c>
      <c r="E339" s="1" t="s">
        <v>14</v>
      </c>
      <c r="F339">
        <v>192</v>
      </c>
      <c r="G339">
        <v>26.26</v>
      </c>
      <c r="H339">
        <v>1</v>
      </c>
    </row>
    <row r="340" spans="1:8" x14ac:dyDescent="0.25">
      <c r="A340" s="1" t="s">
        <v>342</v>
      </c>
      <c r="B340" s="1" t="s">
        <v>383</v>
      </c>
      <c r="C340" s="1" t="s">
        <v>89</v>
      </c>
      <c r="D340">
        <v>109</v>
      </c>
      <c r="E340" s="1" t="s">
        <v>14</v>
      </c>
      <c r="F340">
        <v>397</v>
      </c>
      <c r="G340">
        <v>63.92</v>
      </c>
      <c r="H340">
        <v>1</v>
      </c>
    </row>
    <row r="341" spans="1:8" x14ac:dyDescent="0.25">
      <c r="A341" s="1" t="s">
        <v>342</v>
      </c>
      <c r="B341" s="1" t="s">
        <v>384</v>
      </c>
      <c r="C341" s="1" t="s">
        <v>21</v>
      </c>
      <c r="D341">
        <v>103</v>
      </c>
      <c r="E341" s="1" t="s">
        <v>11</v>
      </c>
      <c r="F341">
        <v>354</v>
      </c>
      <c r="G341">
        <v>26.19</v>
      </c>
      <c r="H341">
        <v>4</v>
      </c>
    </row>
    <row r="342" spans="1:8" x14ac:dyDescent="0.25">
      <c r="A342" s="1" t="s">
        <v>342</v>
      </c>
      <c r="B342" s="1" t="s">
        <v>385</v>
      </c>
      <c r="C342" s="1" t="s">
        <v>44</v>
      </c>
      <c r="D342">
        <v>106</v>
      </c>
      <c r="E342" s="1" t="s">
        <v>22</v>
      </c>
      <c r="F342">
        <v>407</v>
      </c>
      <c r="G342">
        <v>59.92</v>
      </c>
      <c r="H342">
        <v>4</v>
      </c>
    </row>
    <row r="343" spans="1:8" x14ac:dyDescent="0.25">
      <c r="A343" s="1" t="s">
        <v>342</v>
      </c>
      <c r="B343" s="1" t="s">
        <v>386</v>
      </c>
      <c r="C343" s="1" t="s">
        <v>78</v>
      </c>
      <c r="D343">
        <v>90</v>
      </c>
      <c r="E343" s="1" t="s">
        <v>22</v>
      </c>
      <c r="F343">
        <v>343</v>
      </c>
      <c r="G343">
        <v>82.05</v>
      </c>
      <c r="H343">
        <v>1</v>
      </c>
    </row>
    <row r="344" spans="1:8" x14ac:dyDescent="0.25">
      <c r="A344" s="1" t="s">
        <v>342</v>
      </c>
      <c r="B344" s="1" t="s">
        <v>387</v>
      </c>
      <c r="C344" s="1" t="s">
        <v>131</v>
      </c>
      <c r="D344">
        <v>5</v>
      </c>
      <c r="E344" s="1" t="s">
        <v>22</v>
      </c>
      <c r="F344">
        <v>337</v>
      </c>
      <c r="G344">
        <v>21.07</v>
      </c>
      <c r="H344">
        <v>4</v>
      </c>
    </row>
    <row r="345" spans="1:8" x14ac:dyDescent="0.25">
      <c r="A345" s="1" t="s">
        <v>342</v>
      </c>
      <c r="B345" s="1" t="s">
        <v>388</v>
      </c>
      <c r="C345" s="1" t="s">
        <v>89</v>
      </c>
      <c r="D345">
        <v>77</v>
      </c>
      <c r="E345" s="1" t="s">
        <v>22</v>
      </c>
      <c r="F345">
        <v>45</v>
      </c>
      <c r="G345">
        <v>21.59</v>
      </c>
      <c r="H345">
        <v>2</v>
      </c>
    </row>
    <row r="346" spans="1:8" x14ac:dyDescent="0.25">
      <c r="A346" s="1" t="s">
        <v>342</v>
      </c>
      <c r="B346" s="1" t="s">
        <v>389</v>
      </c>
      <c r="C346" s="1" t="s">
        <v>18</v>
      </c>
      <c r="D346">
        <v>41</v>
      </c>
      <c r="E346" s="1" t="s">
        <v>19</v>
      </c>
      <c r="F346">
        <v>398</v>
      </c>
      <c r="G346">
        <v>28.56</v>
      </c>
      <c r="H346">
        <v>2</v>
      </c>
    </row>
    <row r="347" spans="1:8" x14ac:dyDescent="0.25">
      <c r="A347" s="1" t="s">
        <v>342</v>
      </c>
      <c r="B347" s="1" t="s">
        <v>390</v>
      </c>
      <c r="C347" s="1" t="s">
        <v>64</v>
      </c>
      <c r="D347">
        <v>40</v>
      </c>
      <c r="E347" s="1" t="s">
        <v>11</v>
      </c>
      <c r="F347">
        <v>237</v>
      </c>
      <c r="G347">
        <v>24.51</v>
      </c>
      <c r="H347">
        <v>1</v>
      </c>
    </row>
    <row r="348" spans="1:8" x14ac:dyDescent="0.25">
      <c r="A348" s="1" t="s">
        <v>342</v>
      </c>
      <c r="B348" s="1" t="s">
        <v>391</v>
      </c>
      <c r="C348" s="1" t="s">
        <v>35</v>
      </c>
      <c r="D348">
        <v>65</v>
      </c>
      <c r="E348" s="1" t="s">
        <v>19</v>
      </c>
      <c r="F348">
        <v>442</v>
      </c>
      <c r="G348">
        <v>60.62</v>
      </c>
      <c r="H348">
        <v>5</v>
      </c>
    </row>
    <row r="349" spans="1:8" x14ac:dyDescent="0.25">
      <c r="A349" s="1" t="s">
        <v>342</v>
      </c>
      <c r="B349" s="1" t="s">
        <v>392</v>
      </c>
      <c r="C349" s="1" t="s">
        <v>62</v>
      </c>
      <c r="D349">
        <v>89</v>
      </c>
      <c r="E349" s="1" t="s">
        <v>22</v>
      </c>
      <c r="F349">
        <v>418</v>
      </c>
      <c r="G349">
        <v>86.63</v>
      </c>
      <c r="H349">
        <v>4</v>
      </c>
    </row>
    <row r="350" spans="1:8" x14ac:dyDescent="0.25">
      <c r="A350" s="1" t="s">
        <v>393</v>
      </c>
      <c r="B350" s="1" t="s">
        <v>394</v>
      </c>
      <c r="C350" s="1" t="s">
        <v>67</v>
      </c>
      <c r="D350">
        <v>12</v>
      </c>
      <c r="E350" s="1" t="s">
        <v>14</v>
      </c>
      <c r="F350">
        <v>125</v>
      </c>
      <c r="G350">
        <v>36.93</v>
      </c>
      <c r="H350">
        <v>0</v>
      </c>
    </row>
    <row r="351" spans="1:8" x14ac:dyDescent="0.25">
      <c r="A351" s="1" t="s">
        <v>393</v>
      </c>
      <c r="B351" s="1" t="s">
        <v>395</v>
      </c>
      <c r="C351" s="1" t="s">
        <v>131</v>
      </c>
      <c r="D351">
        <v>47</v>
      </c>
      <c r="E351" s="1" t="s">
        <v>14</v>
      </c>
      <c r="F351">
        <v>378</v>
      </c>
      <c r="G351">
        <v>36.42</v>
      </c>
      <c r="H351">
        <v>1</v>
      </c>
    </row>
    <row r="352" spans="1:8" x14ac:dyDescent="0.25">
      <c r="A352" s="1" t="s">
        <v>393</v>
      </c>
      <c r="B352" s="1" t="s">
        <v>396</v>
      </c>
      <c r="C352" s="1" t="s">
        <v>16</v>
      </c>
      <c r="D352">
        <v>117</v>
      </c>
      <c r="E352" s="1" t="s">
        <v>22</v>
      </c>
      <c r="F352">
        <v>338</v>
      </c>
      <c r="G352">
        <v>29.18</v>
      </c>
      <c r="H352">
        <v>5</v>
      </c>
    </row>
    <row r="353" spans="1:8" x14ac:dyDescent="0.25">
      <c r="A353" s="1" t="s">
        <v>393</v>
      </c>
      <c r="B353" s="1" t="s">
        <v>397</v>
      </c>
      <c r="C353" s="1" t="s">
        <v>29</v>
      </c>
      <c r="D353">
        <v>43</v>
      </c>
      <c r="E353" s="1" t="s">
        <v>11</v>
      </c>
      <c r="F353">
        <v>486</v>
      </c>
      <c r="G353">
        <v>76.42</v>
      </c>
      <c r="H353">
        <v>1</v>
      </c>
    </row>
    <row r="354" spans="1:8" x14ac:dyDescent="0.25">
      <c r="A354" s="1" t="s">
        <v>393</v>
      </c>
      <c r="B354" s="1" t="s">
        <v>398</v>
      </c>
      <c r="C354" s="1" t="s">
        <v>131</v>
      </c>
      <c r="D354">
        <v>100</v>
      </c>
      <c r="E354" s="1" t="s">
        <v>19</v>
      </c>
      <c r="F354">
        <v>471</v>
      </c>
      <c r="G354">
        <v>61.2</v>
      </c>
      <c r="H354">
        <v>3</v>
      </c>
    </row>
    <row r="355" spans="1:8" x14ac:dyDescent="0.25">
      <c r="A355" s="1" t="s">
        <v>393</v>
      </c>
      <c r="B355" s="1" t="s">
        <v>399</v>
      </c>
      <c r="C355" s="1" t="s">
        <v>127</v>
      </c>
      <c r="D355">
        <v>35</v>
      </c>
      <c r="E355" s="1" t="s">
        <v>22</v>
      </c>
      <c r="F355">
        <v>421</v>
      </c>
      <c r="G355">
        <v>29.57</v>
      </c>
      <c r="H355">
        <v>5</v>
      </c>
    </row>
    <row r="356" spans="1:8" x14ac:dyDescent="0.25">
      <c r="A356" s="1" t="s">
        <v>393</v>
      </c>
      <c r="B356" s="1" t="s">
        <v>400</v>
      </c>
      <c r="C356" s="1" t="s">
        <v>40</v>
      </c>
      <c r="D356">
        <v>19</v>
      </c>
      <c r="E356" s="1" t="s">
        <v>22</v>
      </c>
      <c r="F356">
        <v>450</v>
      </c>
      <c r="G356">
        <v>37.43</v>
      </c>
      <c r="H356">
        <v>2</v>
      </c>
    </row>
    <row r="357" spans="1:8" x14ac:dyDescent="0.25">
      <c r="A357" s="1" t="s">
        <v>393</v>
      </c>
      <c r="B357" s="1" t="s">
        <v>401</v>
      </c>
      <c r="C357" s="1" t="s">
        <v>67</v>
      </c>
      <c r="D357">
        <v>112</v>
      </c>
      <c r="E357" s="1" t="s">
        <v>22</v>
      </c>
      <c r="F357">
        <v>483</v>
      </c>
      <c r="G357">
        <v>93.98</v>
      </c>
      <c r="H357">
        <v>0</v>
      </c>
    </row>
    <row r="358" spans="1:8" x14ac:dyDescent="0.25">
      <c r="A358" s="1" t="s">
        <v>393</v>
      </c>
      <c r="B358" s="1" t="s">
        <v>402</v>
      </c>
      <c r="C358" s="1" t="s">
        <v>13</v>
      </c>
      <c r="D358">
        <v>103</v>
      </c>
      <c r="E358" s="1" t="s">
        <v>14</v>
      </c>
      <c r="F358">
        <v>270</v>
      </c>
      <c r="G358">
        <v>67.87</v>
      </c>
      <c r="H358">
        <v>3</v>
      </c>
    </row>
    <row r="359" spans="1:8" x14ac:dyDescent="0.25">
      <c r="A359" s="1" t="s">
        <v>393</v>
      </c>
      <c r="B359" s="1" t="s">
        <v>403</v>
      </c>
      <c r="C359" s="1" t="s">
        <v>10</v>
      </c>
      <c r="D359">
        <v>29</v>
      </c>
      <c r="E359" s="1" t="s">
        <v>11</v>
      </c>
      <c r="F359">
        <v>350</v>
      </c>
      <c r="G359">
        <v>84.32</v>
      </c>
      <c r="H359">
        <v>3</v>
      </c>
    </row>
    <row r="360" spans="1:8" x14ac:dyDescent="0.25">
      <c r="A360" s="1" t="s">
        <v>393</v>
      </c>
      <c r="B360" s="1" t="s">
        <v>404</v>
      </c>
      <c r="C360" s="1" t="s">
        <v>37</v>
      </c>
      <c r="D360">
        <v>36</v>
      </c>
      <c r="E360" s="1" t="s">
        <v>19</v>
      </c>
      <c r="F360">
        <v>311</v>
      </c>
      <c r="G360">
        <v>13.19</v>
      </c>
      <c r="H360">
        <v>4</v>
      </c>
    </row>
    <row r="361" spans="1:8" x14ac:dyDescent="0.25">
      <c r="A361" s="1" t="s">
        <v>393</v>
      </c>
      <c r="B361" s="1" t="s">
        <v>405</v>
      </c>
      <c r="C361" s="1" t="s">
        <v>44</v>
      </c>
      <c r="D361">
        <v>2</v>
      </c>
      <c r="E361" s="1" t="s">
        <v>11</v>
      </c>
      <c r="F361">
        <v>21</v>
      </c>
      <c r="G361">
        <v>51.68</v>
      </c>
      <c r="H361">
        <v>3</v>
      </c>
    </row>
    <row r="362" spans="1:8" x14ac:dyDescent="0.25">
      <c r="A362" s="1" t="s">
        <v>393</v>
      </c>
      <c r="B362" s="1" t="s">
        <v>406</v>
      </c>
      <c r="C362" s="1" t="s">
        <v>60</v>
      </c>
      <c r="D362">
        <v>13</v>
      </c>
      <c r="E362" s="1" t="s">
        <v>22</v>
      </c>
      <c r="F362">
        <v>310</v>
      </c>
      <c r="G362">
        <v>65.599999999999994</v>
      </c>
      <c r="H362">
        <v>5</v>
      </c>
    </row>
    <row r="363" spans="1:8" x14ac:dyDescent="0.25">
      <c r="A363" s="1" t="s">
        <v>393</v>
      </c>
      <c r="B363" s="1" t="s">
        <v>407</v>
      </c>
      <c r="C363" s="1" t="s">
        <v>33</v>
      </c>
      <c r="D363">
        <v>49</v>
      </c>
      <c r="E363" s="1" t="s">
        <v>14</v>
      </c>
      <c r="F363">
        <v>229</v>
      </c>
      <c r="G363">
        <v>53.94</v>
      </c>
      <c r="H363">
        <v>5</v>
      </c>
    </row>
    <row r="364" spans="1:8" x14ac:dyDescent="0.25">
      <c r="A364" s="1" t="s">
        <v>393</v>
      </c>
      <c r="B364" s="1" t="s">
        <v>408</v>
      </c>
      <c r="C364" s="1" t="s">
        <v>40</v>
      </c>
      <c r="D364">
        <v>29</v>
      </c>
      <c r="E364" s="1" t="s">
        <v>14</v>
      </c>
      <c r="F364">
        <v>493</v>
      </c>
      <c r="G364">
        <v>42.02</v>
      </c>
      <c r="H364">
        <v>1</v>
      </c>
    </row>
    <row r="365" spans="1:8" x14ac:dyDescent="0.25">
      <c r="A365" s="1" t="s">
        <v>393</v>
      </c>
      <c r="B365" s="1" t="s">
        <v>409</v>
      </c>
      <c r="C365" s="1" t="s">
        <v>16</v>
      </c>
      <c r="D365">
        <v>49</v>
      </c>
      <c r="E365" s="1" t="s">
        <v>22</v>
      </c>
      <c r="F365">
        <v>86</v>
      </c>
      <c r="G365">
        <v>65.400000000000006</v>
      </c>
      <c r="H365">
        <v>2</v>
      </c>
    </row>
    <row r="366" spans="1:8" x14ac:dyDescent="0.25">
      <c r="A366" s="1" t="s">
        <v>393</v>
      </c>
      <c r="B366" s="1" t="s">
        <v>410</v>
      </c>
      <c r="C366" s="1" t="s">
        <v>18</v>
      </c>
      <c r="D366">
        <v>14</v>
      </c>
      <c r="E366" s="1" t="s">
        <v>14</v>
      </c>
      <c r="F366">
        <v>345</v>
      </c>
      <c r="G366">
        <v>39.57</v>
      </c>
      <c r="H366">
        <v>3</v>
      </c>
    </row>
    <row r="367" spans="1:8" x14ac:dyDescent="0.25">
      <c r="A367" s="1" t="s">
        <v>393</v>
      </c>
      <c r="B367" s="1" t="s">
        <v>411</v>
      </c>
      <c r="C367" s="1" t="s">
        <v>67</v>
      </c>
      <c r="D367">
        <v>101</v>
      </c>
      <c r="E367" s="1" t="s">
        <v>11</v>
      </c>
      <c r="F367">
        <v>476</v>
      </c>
      <c r="G367">
        <v>41.85</v>
      </c>
      <c r="H367">
        <v>4</v>
      </c>
    </row>
    <row r="368" spans="1:8" x14ac:dyDescent="0.25">
      <c r="A368" s="1" t="s">
        <v>393</v>
      </c>
      <c r="B368" s="1" t="s">
        <v>412</v>
      </c>
      <c r="C368" s="1" t="s">
        <v>16</v>
      </c>
      <c r="D368">
        <v>119</v>
      </c>
      <c r="E368" s="1" t="s">
        <v>14</v>
      </c>
      <c r="F368">
        <v>451</v>
      </c>
      <c r="G368">
        <v>10.46</v>
      </c>
      <c r="H368">
        <v>5</v>
      </c>
    </row>
    <row r="369" spans="1:8" x14ac:dyDescent="0.25">
      <c r="A369" s="1" t="s">
        <v>393</v>
      </c>
      <c r="B369" s="1" t="s">
        <v>413</v>
      </c>
      <c r="C369" s="1" t="s">
        <v>37</v>
      </c>
      <c r="D369">
        <v>16</v>
      </c>
      <c r="E369" s="1" t="s">
        <v>11</v>
      </c>
      <c r="F369">
        <v>391</v>
      </c>
      <c r="G369">
        <v>90.12</v>
      </c>
      <c r="H369">
        <v>5</v>
      </c>
    </row>
    <row r="370" spans="1:8" x14ac:dyDescent="0.25">
      <c r="A370" s="1" t="s">
        <v>393</v>
      </c>
      <c r="B370" s="1" t="s">
        <v>414</v>
      </c>
      <c r="C370" s="1" t="s">
        <v>16</v>
      </c>
      <c r="D370">
        <v>23</v>
      </c>
      <c r="E370" s="1" t="s">
        <v>11</v>
      </c>
      <c r="F370">
        <v>268</v>
      </c>
      <c r="G370">
        <v>26.75</v>
      </c>
      <c r="H370">
        <v>3</v>
      </c>
    </row>
    <row r="371" spans="1:8" x14ac:dyDescent="0.25">
      <c r="A371" s="1" t="s">
        <v>393</v>
      </c>
      <c r="B371" s="1" t="s">
        <v>415</v>
      </c>
      <c r="C371" s="1" t="s">
        <v>33</v>
      </c>
      <c r="D371">
        <v>68</v>
      </c>
      <c r="E371" s="1" t="s">
        <v>14</v>
      </c>
      <c r="F371">
        <v>462</v>
      </c>
      <c r="G371">
        <v>41.91</v>
      </c>
      <c r="H371">
        <v>1</v>
      </c>
    </row>
    <row r="372" spans="1:8" x14ac:dyDescent="0.25">
      <c r="A372" s="1" t="s">
        <v>393</v>
      </c>
      <c r="B372" s="1" t="s">
        <v>416</v>
      </c>
      <c r="C372" s="1" t="s">
        <v>37</v>
      </c>
      <c r="D372">
        <v>94</v>
      </c>
      <c r="E372" s="1" t="s">
        <v>22</v>
      </c>
      <c r="F372">
        <v>115</v>
      </c>
      <c r="G372">
        <v>19.12</v>
      </c>
      <c r="H372">
        <v>0</v>
      </c>
    </row>
    <row r="373" spans="1:8" x14ac:dyDescent="0.25">
      <c r="A373" s="1" t="s">
        <v>393</v>
      </c>
      <c r="B373" s="1" t="s">
        <v>417</v>
      </c>
      <c r="C373" s="1" t="s">
        <v>21</v>
      </c>
      <c r="D373">
        <v>113</v>
      </c>
      <c r="E373" s="1" t="s">
        <v>11</v>
      </c>
      <c r="F373">
        <v>89</v>
      </c>
      <c r="G373">
        <v>54.28</v>
      </c>
      <c r="H373">
        <v>0</v>
      </c>
    </row>
    <row r="374" spans="1:8" x14ac:dyDescent="0.25">
      <c r="A374" s="1" t="s">
        <v>393</v>
      </c>
      <c r="B374" s="1" t="s">
        <v>418</v>
      </c>
      <c r="C374" s="1" t="s">
        <v>89</v>
      </c>
      <c r="D374">
        <v>40</v>
      </c>
      <c r="E374" s="1" t="s">
        <v>19</v>
      </c>
      <c r="F374">
        <v>38</v>
      </c>
      <c r="G374">
        <v>17.63</v>
      </c>
      <c r="H374">
        <v>0</v>
      </c>
    </row>
    <row r="375" spans="1:8" x14ac:dyDescent="0.25">
      <c r="A375" s="1" t="s">
        <v>393</v>
      </c>
      <c r="B375" s="1" t="s">
        <v>419</v>
      </c>
      <c r="C375" s="1" t="s">
        <v>13</v>
      </c>
      <c r="D375">
        <v>76</v>
      </c>
      <c r="E375" s="1" t="s">
        <v>11</v>
      </c>
      <c r="F375">
        <v>187</v>
      </c>
      <c r="G375">
        <v>56.29</v>
      </c>
      <c r="H375">
        <v>1</v>
      </c>
    </row>
    <row r="376" spans="1:8" x14ac:dyDescent="0.25">
      <c r="A376" s="1" t="s">
        <v>393</v>
      </c>
      <c r="B376" s="1" t="s">
        <v>420</v>
      </c>
      <c r="C376" s="1" t="s">
        <v>16</v>
      </c>
      <c r="D376">
        <v>106</v>
      </c>
      <c r="E376" s="1" t="s">
        <v>14</v>
      </c>
      <c r="F376">
        <v>429</v>
      </c>
      <c r="G376">
        <v>23.83</v>
      </c>
      <c r="H376">
        <v>1</v>
      </c>
    </row>
    <row r="377" spans="1:8" x14ac:dyDescent="0.25">
      <c r="A377" s="1" t="s">
        <v>393</v>
      </c>
      <c r="B377" s="1" t="s">
        <v>421</v>
      </c>
      <c r="C377" s="1" t="s">
        <v>73</v>
      </c>
      <c r="D377">
        <v>104</v>
      </c>
      <c r="E377" s="1" t="s">
        <v>11</v>
      </c>
      <c r="F377">
        <v>68</v>
      </c>
      <c r="G377">
        <v>21.15</v>
      </c>
      <c r="H377">
        <v>2</v>
      </c>
    </row>
    <row r="378" spans="1:8" x14ac:dyDescent="0.25">
      <c r="A378" s="1" t="s">
        <v>393</v>
      </c>
      <c r="B378" s="1" t="s">
        <v>422</v>
      </c>
      <c r="C378" s="1" t="s">
        <v>31</v>
      </c>
      <c r="D378">
        <v>63</v>
      </c>
      <c r="E378" s="1" t="s">
        <v>19</v>
      </c>
      <c r="F378">
        <v>263</v>
      </c>
      <c r="G378">
        <v>53.87</v>
      </c>
      <c r="H378">
        <v>4</v>
      </c>
    </row>
    <row r="379" spans="1:8" x14ac:dyDescent="0.25">
      <c r="A379" s="1" t="s">
        <v>393</v>
      </c>
      <c r="B379" s="1" t="s">
        <v>423</v>
      </c>
      <c r="C379" s="1" t="s">
        <v>29</v>
      </c>
      <c r="D379">
        <v>13</v>
      </c>
      <c r="E379" s="1" t="s">
        <v>19</v>
      </c>
      <c r="F379">
        <v>180</v>
      </c>
      <c r="G379">
        <v>24.01</v>
      </c>
      <c r="H379">
        <v>0</v>
      </c>
    </row>
    <row r="380" spans="1:8" x14ac:dyDescent="0.25">
      <c r="A380" s="1" t="s">
        <v>393</v>
      </c>
      <c r="B380" s="1" t="s">
        <v>424</v>
      </c>
      <c r="C380" s="1" t="s">
        <v>10</v>
      </c>
      <c r="D380">
        <v>68</v>
      </c>
      <c r="E380" s="1" t="s">
        <v>19</v>
      </c>
      <c r="F380">
        <v>487</v>
      </c>
      <c r="G380">
        <v>69.099999999999994</v>
      </c>
      <c r="H380">
        <v>5</v>
      </c>
    </row>
    <row r="381" spans="1:8" x14ac:dyDescent="0.25">
      <c r="A381" s="1" t="s">
        <v>393</v>
      </c>
      <c r="B381" s="1" t="s">
        <v>425</v>
      </c>
      <c r="C381" s="1" t="s">
        <v>44</v>
      </c>
      <c r="D381">
        <v>45</v>
      </c>
      <c r="E381" s="1" t="s">
        <v>22</v>
      </c>
      <c r="F381">
        <v>26</v>
      </c>
      <c r="G381">
        <v>30.35</v>
      </c>
      <c r="H381">
        <v>1</v>
      </c>
    </row>
    <row r="382" spans="1:8" x14ac:dyDescent="0.25">
      <c r="A382" s="1" t="s">
        <v>393</v>
      </c>
      <c r="B382" s="1" t="s">
        <v>426</v>
      </c>
      <c r="C382" s="1" t="s">
        <v>78</v>
      </c>
      <c r="D382">
        <v>90</v>
      </c>
      <c r="E382" s="1" t="s">
        <v>19</v>
      </c>
      <c r="F382">
        <v>216</v>
      </c>
      <c r="G382">
        <v>45.58</v>
      </c>
      <c r="H382">
        <v>0</v>
      </c>
    </row>
    <row r="383" spans="1:8" x14ac:dyDescent="0.25">
      <c r="A383" s="1" t="s">
        <v>393</v>
      </c>
      <c r="B383" s="1" t="s">
        <v>427</v>
      </c>
      <c r="C383" s="1" t="s">
        <v>24</v>
      </c>
      <c r="D383">
        <v>74</v>
      </c>
      <c r="E383" s="1" t="s">
        <v>22</v>
      </c>
      <c r="F383">
        <v>253</v>
      </c>
      <c r="G383">
        <v>36.94</v>
      </c>
      <c r="H383">
        <v>5</v>
      </c>
    </row>
    <row r="384" spans="1:8" x14ac:dyDescent="0.25">
      <c r="A384" s="1" t="s">
        <v>393</v>
      </c>
      <c r="B384" s="1" t="s">
        <v>428</v>
      </c>
      <c r="C384" s="1" t="s">
        <v>10</v>
      </c>
      <c r="D384">
        <v>111</v>
      </c>
      <c r="E384" s="1" t="s">
        <v>19</v>
      </c>
      <c r="F384">
        <v>194</v>
      </c>
      <c r="G384">
        <v>48.55</v>
      </c>
      <c r="H384">
        <v>2</v>
      </c>
    </row>
    <row r="385" spans="1:8" x14ac:dyDescent="0.25">
      <c r="A385" s="1" t="s">
        <v>393</v>
      </c>
      <c r="B385" s="1" t="s">
        <v>429</v>
      </c>
      <c r="C385" s="1" t="s">
        <v>131</v>
      </c>
      <c r="D385">
        <v>37</v>
      </c>
      <c r="E385" s="1" t="s">
        <v>19</v>
      </c>
      <c r="F385">
        <v>87</v>
      </c>
      <c r="G385">
        <v>26.4</v>
      </c>
      <c r="H385">
        <v>3</v>
      </c>
    </row>
    <row r="386" spans="1:8" x14ac:dyDescent="0.25">
      <c r="A386" s="1" t="s">
        <v>393</v>
      </c>
      <c r="B386" s="1" t="s">
        <v>430</v>
      </c>
      <c r="C386" s="1" t="s">
        <v>64</v>
      </c>
      <c r="D386">
        <v>71</v>
      </c>
      <c r="E386" s="1" t="s">
        <v>11</v>
      </c>
      <c r="F386">
        <v>191</v>
      </c>
      <c r="G386">
        <v>83.04</v>
      </c>
      <c r="H386">
        <v>4</v>
      </c>
    </row>
    <row r="387" spans="1:8" x14ac:dyDescent="0.25">
      <c r="A387" s="1" t="s">
        <v>393</v>
      </c>
      <c r="B387" s="1" t="s">
        <v>431</v>
      </c>
      <c r="C387" s="1" t="s">
        <v>31</v>
      </c>
      <c r="D387">
        <v>35</v>
      </c>
      <c r="E387" s="1" t="s">
        <v>14</v>
      </c>
      <c r="F387">
        <v>496</v>
      </c>
      <c r="G387">
        <v>19.78</v>
      </c>
      <c r="H387">
        <v>5</v>
      </c>
    </row>
    <row r="388" spans="1:8" x14ac:dyDescent="0.25">
      <c r="A388" s="1" t="s">
        <v>393</v>
      </c>
      <c r="B388" s="1" t="s">
        <v>432</v>
      </c>
      <c r="C388" s="1" t="s">
        <v>57</v>
      </c>
      <c r="D388">
        <v>78</v>
      </c>
      <c r="E388" s="1" t="s">
        <v>19</v>
      </c>
      <c r="F388">
        <v>57</v>
      </c>
      <c r="G388">
        <v>49.47</v>
      </c>
      <c r="H388">
        <v>0</v>
      </c>
    </row>
    <row r="389" spans="1:8" x14ac:dyDescent="0.25">
      <c r="A389" s="1" t="s">
        <v>393</v>
      </c>
      <c r="B389" s="1" t="s">
        <v>433</v>
      </c>
      <c r="C389" s="1" t="s">
        <v>40</v>
      </c>
      <c r="D389">
        <v>13</v>
      </c>
      <c r="E389" s="1" t="s">
        <v>14</v>
      </c>
      <c r="F389">
        <v>173</v>
      </c>
      <c r="G389">
        <v>85.54</v>
      </c>
      <c r="H389">
        <v>3</v>
      </c>
    </row>
    <row r="390" spans="1:8" x14ac:dyDescent="0.25">
      <c r="A390" s="1" t="s">
        <v>393</v>
      </c>
      <c r="B390" s="1" t="s">
        <v>434</v>
      </c>
      <c r="C390" s="1" t="s">
        <v>67</v>
      </c>
      <c r="D390">
        <v>115</v>
      </c>
      <c r="E390" s="1" t="s">
        <v>22</v>
      </c>
      <c r="F390">
        <v>467</v>
      </c>
      <c r="G390">
        <v>24.57</v>
      </c>
      <c r="H390">
        <v>3</v>
      </c>
    </row>
    <row r="391" spans="1:8" x14ac:dyDescent="0.25">
      <c r="A391" s="1" t="s">
        <v>393</v>
      </c>
      <c r="B391" s="1" t="s">
        <v>435</v>
      </c>
      <c r="C391" s="1" t="s">
        <v>51</v>
      </c>
      <c r="D391">
        <v>7</v>
      </c>
      <c r="E391" s="1" t="s">
        <v>14</v>
      </c>
      <c r="F391">
        <v>347</v>
      </c>
      <c r="G391">
        <v>41.84</v>
      </c>
      <c r="H391">
        <v>2</v>
      </c>
    </row>
    <row r="392" spans="1:8" x14ac:dyDescent="0.25">
      <c r="A392" s="1" t="s">
        <v>393</v>
      </c>
      <c r="B392" s="1" t="s">
        <v>436</v>
      </c>
      <c r="C392" s="1" t="s">
        <v>60</v>
      </c>
      <c r="D392">
        <v>22</v>
      </c>
      <c r="E392" s="1" t="s">
        <v>14</v>
      </c>
      <c r="F392">
        <v>127</v>
      </c>
      <c r="G392">
        <v>49.06</v>
      </c>
      <c r="H392">
        <v>2</v>
      </c>
    </row>
    <row r="393" spans="1:8" x14ac:dyDescent="0.25">
      <c r="A393" s="1" t="s">
        <v>393</v>
      </c>
      <c r="B393" s="1" t="s">
        <v>437</v>
      </c>
      <c r="C393" s="1" t="s">
        <v>51</v>
      </c>
      <c r="D393">
        <v>41</v>
      </c>
      <c r="E393" s="1" t="s">
        <v>19</v>
      </c>
      <c r="F393">
        <v>425</v>
      </c>
      <c r="G393">
        <v>42.33</v>
      </c>
      <c r="H393">
        <v>3</v>
      </c>
    </row>
    <row r="394" spans="1:8" x14ac:dyDescent="0.25">
      <c r="A394" s="1" t="s">
        <v>393</v>
      </c>
      <c r="B394" s="1" t="s">
        <v>438</v>
      </c>
      <c r="C394" s="1" t="s">
        <v>13</v>
      </c>
      <c r="D394">
        <v>97</v>
      </c>
      <c r="E394" s="1" t="s">
        <v>14</v>
      </c>
      <c r="F394">
        <v>276</v>
      </c>
      <c r="G394">
        <v>88.35</v>
      </c>
      <c r="H394">
        <v>0</v>
      </c>
    </row>
    <row r="395" spans="1:8" x14ac:dyDescent="0.25">
      <c r="A395" s="1" t="s">
        <v>393</v>
      </c>
      <c r="B395" s="1" t="s">
        <v>439</v>
      </c>
      <c r="C395" s="1" t="s">
        <v>60</v>
      </c>
      <c r="D395">
        <v>50</v>
      </c>
      <c r="E395" s="1" t="s">
        <v>19</v>
      </c>
      <c r="F395">
        <v>435</v>
      </c>
      <c r="G395">
        <v>27.86</v>
      </c>
      <c r="H395">
        <v>3</v>
      </c>
    </row>
    <row r="396" spans="1:8" x14ac:dyDescent="0.25">
      <c r="A396" s="1" t="s">
        <v>393</v>
      </c>
      <c r="B396" s="1" t="s">
        <v>440</v>
      </c>
      <c r="C396" s="1" t="s">
        <v>10</v>
      </c>
      <c r="D396">
        <v>24</v>
      </c>
      <c r="E396" s="1" t="s">
        <v>22</v>
      </c>
      <c r="F396">
        <v>392</v>
      </c>
      <c r="G396">
        <v>27.06</v>
      </c>
      <c r="H396">
        <v>1</v>
      </c>
    </row>
    <row r="397" spans="1:8" x14ac:dyDescent="0.25">
      <c r="A397" s="1" t="s">
        <v>393</v>
      </c>
      <c r="B397" s="1" t="s">
        <v>441</v>
      </c>
      <c r="C397" s="1" t="s">
        <v>40</v>
      </c>
      <c r="D397">
        <v>45</v>
      </c>
      <c r="E397" s="1" t="s">
        <v>19</v>
      </c>
      <c r="F397">
        <v>439</v>
      </c>
      <c r="G397">
        <v>13.62</v>
      </c>
      <c r="H397">
        <v>4</v>
      </c>
    </row>
    <row r="398" spans="1:8" x14ac:dyDescent="0.25">
      <c r="A398" s="1" t="s">
        <v>393</v>
      </c>
      <c r="B398" s="1" t="s">
        <v>442</v>
      </c>
      <c r="C398" s="1" t="s">
        <v>78</v>
      </c>
      <c r="D398">
        <v>104</v>
      </c>
      <c r="E398" s="1" t="s">
        <v>14</v>
      </c>
      <c r="F398">
        <v>60</v>
      </c>
      <c r="G398">
        <v>45.51</v>
      </c>
      <c r="H398">
        <v>1</v>
      </c>
    </row>
    <row r="399" spans="1:8" x14ac:dyDescent="0.25">
      <c r="A399" s="1" t="s">
        <v>393</v>
      </c>
      <c r="B399" s="1" t="s">
        <v>443</v>
      </c>
      <c r="C399" s="1" t="s">
        <v>16</v>
      </c>
      <c r="D399">
        <v>95</v>
      </c>
      <c r="E399" s="1" t="s">
        <v>11</v>
      </c>
      <c r="F399">
        <v>148</v>
      </c>
      <c r="H399">
        <v>5</v>
      </c>
    </row>
    <row r="400" spans="1:8" x14ac:dyDescent="0.25">
      <c r="A400" s="1" t="s">
        <v>444</v>
      </c>
      <c r="B400" s="1" t="s">
        <v>445</v>
      </c>
      <c r="C400" s="1" t="s">
        <v>51</v>
      </c>
      <c r="D400">
        <v>83</v>
      </c>
      <c r="E400" s="1" t="s">
        <v>11</v>
      </c>
      <c r="F400">
        <v>105</v>
      </c>
      <c r="G400">
        <v>20.46</v>
      </c>
      <c r="H400">
        <v>1</v>
      </c>
    </row>
    <row r="401" spans="1:8" x14ac:dyDescent="0.25">
      <c r="A401" s="1" t="s">
        <v>444</v>
      </c>
      <c r="B401" s="1" t="s">
        <v>446</v>
      </c>
      <c r="C401" s="1" t="s">
        <v>67</v>
      </c>
      <c r="D401">
        <v>7</v>
      </c>
      <c r="E401" s="1" t="s">
        <v>22</v>
      </c>
      <c r="F401">
        <v>94</v>
      </c>
      <c r="G401">
        <v>68.38</v>
      </c>
      <c r="H401">
        <v>3</v>
      </c>
    </row>
    <row r="402" spans="1:8" x14ac:dyDescent="0.25">
      <c r="A402" s="1" t="s">
        <v>444</v>
      </c>
      <c r="B402" s="1" t="s">
        <v>447</v>
      </c>
      <c r="C402" s="1" t="s">
        <v>37</v>
      </c>
      <c r="D402">
        <v>39</v>
      </c>
      <c r="E402" s="1" t="s">
        <v>11</v>
      </c>
      <c r="F402">
        <v>1</v>
      </c>
      <c r="G402">
        <v>66.94</v>
      </c>
      <c r="H402">
        <v>5</v>
      </c>
    </row>
    <row r="403" spans="1:8" x14ac:dyDescent="0.25">
      <c r="A403" s="1" t="s">
        <v>444</v>
      </c>
      <c r="B403" s="1" t="s">
        <v>448</v>
      </c>
      <c r="C403" s="1" t="s">
        <v>57</v>
      </c>
      <c r="D403">
        <v>15</v>
      </c>
      <c r="E403" s="1" t="s">
        <v>22</v>
      </c>
      <c r="F403">
        <v>81</v>
      </c>
      <c r="H403">
        <v>4</v>
      </c>
    </row>
    <row r="404" spans="1:8" x14ac:dyDescent="0.25">
      <c r="A404" s="1" t="s">
        <v>444</v>
      </c>
      <c r="B404" s="1" t="s">
        <v>449</v>
      </c>
      <c r="C404" s="1" t="s">
        <v>13</v>
      </c>
      <c r="D404">
        <v>35</v>
      </c>
      <c r="E404" s="1" t="s">
        <v>14</v>
      </c>
      <c r="F404">
        <v>292</v>
      </c>
      <c r="G404">
        <v>39.21</v>
      </c>
      <c r="H404">
        <v>1</v>
      </c>
    </row>
    <row r="405" spans="1:8" x14ac:dyDescent="0.25">
      <c r="A405" s="1" t="s">
        <v>444</v>
      </c>
      <c r="B405" s="1" t="s">
        <v>450</v>
      </c>
      <c r="C405" s="1" t="s">
        <v>10</v>
      </c>
      <c r="D405">
        <v>47</v>
      </c>
      <c r="E405" s="1" t="s">
        <v>19</v>
      </c>
      <c r="F405">
        <v>111</v>
      </c>
      <c r="G405">
        <v>95.18</v>
      </c>
      <c r="H405">
        <v>0</v>
      </c>
    </row>
    <row r="406" spans="1:8" x14ac:dyDescent="0.25">
      <c r="A406" s="1" t="s">
        <v>444</v>
      </c>
      <c r="B406" s="1" t="s">
        <v>451</v>
      </c>
      <c r="C406" s="1" t="s">
        <v>33</v>
      </c>
      <c r="D406">
        <v>36</v>
      </c>
      <c r="E406" s="1" t="s">
        <v>19</v>
      </c>
      <c r="F406">
        <v>303</v>
      </c>
      <c r="G406">
        <v>89.56</v>
      </c>
      <c r="H406">
        <v>1</v>
      </c>
    </row>
    <row r="407" spans="1:8" x14ac:dyDescent="0.25">
      <c r="A407" s="1" t="s">
        <v>444</v>
      </c>
      <c r="B407" s="1" t="s">
        <v>452</v>
      </c>
      <c r="C407" s="1" t="s">
        <v>26</v>
      </c>
      <c r="D407">
        <v>45</v>
      </c>
      <c r="E407" s="1" t="s">
        <v>22</v>
      </c>
      <c r="F407">
        <v>356</v>
      </c>
      <c r="G407">
        <v>33.76</v>
      </c>
      <c r="H407">
        <v>0</v>
      </c>
    </row>
    <row r="408" spans="1:8" x14ac:dyDescent="0.25">
      <c r="A408" s="1" t="s">
        <v>444</v>
      </c>
      <c r="B408" s="1" t="s">
        <v>453</v>
      </c>
      <c r="C408" s="1" t="s">
        <v>37</v>
      </c>
      <c r="D408">
        <v>92</v>
      </c>
      <c r="E408" s="1" t="s">
        <v>19</v>
      </c>
      <c r="F408">
        <v>4</v>
      </c>
      <c r="G408">
        <v>22.03</v>
      </c>
      <c r="H408">
        <v>3</v>
      </c>
    </row>
    <row r="409" spans="1:8" x14ac:dyDescent="0.25">
      <c r="A409" s="1" t="s">
        <v>444</v>
      </c>
      <c r="B409" s="1" t="s">
        <v>454</v>
      </c>
      <c r="C409" s="1" t="s">
        <v>24</v>
      </c>
      <c r="D409">
        <v>54</v>
      </c>
      <c r="E409" s="1" t="s">
        <v>19</v>
      </c>
      <c r="F409">
        <v>450</v>
      </c>
      <c r="G409">
        <v>90.85</v>
      </c>
      <c r="H409">
        <v>1</v>
      </c>
    </row>
    <row r="410" spans="1:8" x14ac:dyDescent="0.25">
      <c r="A410" s="1" t="s">
        <v>444</v>
      </c>
      <c r="B410" s="1" t="s">
        <v>455</v>
      </c>
      <c r="C410" s="1" t="s">
        <v>24</v>
      </c>
      <c r="D410">
        <v>32</v>
      </c>
      <c r="E410" s="1" t="s">
        <v>22</v>
      </c>
      <c r="F410">
        <v>475</v>
      </c>
      <c r="G410">
        <v>36.54</v>
      </c>
      <c r="H410">
        <v>3</v>
      </c>
    </row>
    <row r="411" spans="1:8" x14ac:dyDescent="0.25">
      <c r="A411" s="1" t="s">
        <v>444</v>
      </c>
      <c r="B411" s="1" t="s">
        <v>456</v>
      </c>
      <c r="C411" s="1" t="s">
        <v>51</v>
      </c>
      <c r="D411">
        <v>41</v>
      </c>
      <c r="E411" s="1" t="s">
        <v>22</v>
      </c>
      <c r="F411">
        <v>404</v>
      </c>
      <c r="G411">
        <v>98.67</v>
      </c>
      <c r="H411">
        <v>5</v>
      </c>
    </row>
    <row r="412" spans="1:8" x14ac:dyDescent="0.25">
      <c r="A412" s="1" t="s">
        <v>444</v>
      </c>
      <c r="B412" s="1" t="s">
        <v>457</v>
      </c>
      <c r="C412" s="1" t="s">
        <v>37</v>
      </c>
      <c r="D412">
        <v>115</v>
      </c>
      <c r="E412" s="1" t="s">
        <v>14</v>
      </c>
      <c r="F412">
        <v>262</v>
      </c>
      <c r="G412">
        <v>66.34</v>
      </c>
      <c r="H412">
        <v>3</v>
      </c>
    </row>
    <row r="413" spans="1:8" x14ac:dyDescent="0.25">
      <c r="A413" s="1" t="s">
        <v>444</v>
      </c>
      <c r="B413" s="1" t="s">
        <v>458</v>
      </c>
      <c r="C413" s="1" t="s">
        <v>18</v>
      </c>
      <c r="D413">
        <v>7</v>
      </c>
      <c r="E413" s="1" t="s">
        <v>19</v>
      </c>
      <c r="F413">
        <v>233</v>
      </c>
      <c r="G413">
        <v>10.94</v>
      </c>
      <c r="H413">
        <v>0</v>
      </c>
    </row>
    <row r="414" spans="1:8" x14ac:dyDescent="0.25">
      <c r="A414" s="1" t="s">
        <v>444</v>
      </c>
      <c r="B414" s="1" t="s">
        <v>459</v>
      </c>
      <c r="C414" s="1" t="s">
        <v>73</v>
      </c>
      <c r="D414">
        <v>24</v>
      </c>
      <c r="E414" s="1" t="s">
        <v>19</v>
      </c>
      <c r="F414">
        <v>257</v>
      </c>
      <c r="G414">
        <v>41.99</v>
      </c>
      <c r="H414">
        <v>5</v>
      </c>
    </row>
    <row r="415" spans="1:8" x14ac:dyDescent="0.25">
      <c r="A415" s="1" t="s">
        <v>444</v>
      </c>
      <c r="B415" s="1" t="s">
        <v>460</v>
      </c>
      <c r="C415" s="1" t="s">
        <v>31</v>
      </c>
      <c r="D415">
        <v>6</v>
      </c>
      <c r="E415" s="1" t="s">
        <v>11</v>
      </c>
      <c r="F415">
        <v>362</v>
      </c>
      <c r="G415">
        <v>75.739999999999995</v>
      </c>
      <c r="H415">
        <v>4</v>
      </c>
    </row>
    <row r="416" spans="1:8" x14ac:dyDescent="0.25">
      <c r="A416" s="1" t="s">
        <v>444</v>
      </c>
      <c r="B416" s="1" t="s">
        <v>461</v>
      </c>
      <c r="C416" s="1" t="s">
        <v>29</v>
      </c>
      <c r="D416">
        <v>1</v>
      </c>
      <c r="E416" s="1" t="s">
        <v>11</v>
      </c>
      <c r="F416">
        <v>368</v>
      </c>
      <c r="G416">
        <v>35.17</v>
      </c>
      <c r="H416">
        <v>1</v>
      </c>
    </row>
    <row r="417" spans="1:8" x14ac:dyDescent="0.25">
      <c r="A417" s="1" t="s">
        <v>444</v>
      </c>
      <c r="B417" s="1" t="s">
        <v>462</v>
      </c>
      <c r="C417" s="1" t="s">
        <v>33</v>
      </c>
      <c r="D417">
        <v>7</v>
      </c>
      <c r="E417" s="1" t="s">
        <v>14</v>
      </c>
      <c r="F417">
        <v>268</v>
      </c>
      <c r="G417">
        <v>33.04</v>
      </c>
      <c r="H417">
        <v>5</v>
      </c>
    </row>
    <row r="418" spans="1:8" x14ac:dyDescent="0.25">
      <c r="A418" s="1" t="s">
        <v>444</v>
      </c>
      <c r="B418" s="1" t="s">
        <v>463</v>
      </c>
      <c r="C418" s="1" t="s">
        <v>89</v>
      </c>
      <c r="D418">
        <v>85</v>
      </c>
      <c r="E418" s="1" t="s">
        <v>22</v>
      </c>
      <c r="F418">
        <v>132</v>
      </c>
      <c r="G418">
        <v>11.41</v>
      </c>
      <c r="H418">
        <v>0</v>
      </c>
    </row>
    <row r="419" spans="1:8" x14ac:dyDescent="0.25">
      <c r="A419" s="1" t="s">
        <v>444</v>
      </c>
      <c r="B419" s="1" t="s">
        <v>464</v>
      </c>
      <c r="C419" s="1" t="s">
        <v>16</v>
      </c>
      <c r="D419">
        <v>96</v>
      </c>
      <c r="E419" s="1" t="s">
        <v>22</v>
      </c>
      <c r="F419">
        <v>155</v>
      </c>
      <c r="G419">
        <v>69.16</v>
      </c>
      <c r="H419">
        <v>4</v>
      </c>
    </row>
    <row r="420" spans="1:8" x14ac:dyDescent="0.25">
      <c r="A420" s="1" t="s">
        <v>444</v>
      </c>
      <c r="B420" s="1" t="s">
        <v>465</v>
      </c>
      <c r="C420" s="1" t="s">
        <v>16</v>
      </c>
      <c r="D420">
        <v>42</v>
      </c>
      <c r="E420" s="1" t="s">
        <v>19</v>
      </c>
      <c r="F420">
        <v>436</v>
      </c>
      <c r="G420">
        <v>88.12</v>
      </c>
      <c r="H420">
        <v>0</v>
      </c>
    </row>
    <row r="421" spans="1:8" x14ac:dyDescent="0.25">
      <c r="A421" s="1" t="s">
        <v>444</v>
      </c>
      <c r="B421" s="1" t="s">
        <v>466</v>
      </c>
      <c r="C421" s="1" t="s">
        <v>44</v>
      </c>
      <c r="D421">
        <v>28</v>
      </c>
      <c r="E421" s="1" t="s">
        <v>22</v>
      </c>
      <c r="F421">
        <v>112</v>
      </c>
      <c r="G421">
        <v>94.51</v>
      </c>
      <c r="H421">
        <v>3</v>
      </c>
    </row>
    <row r="422" spans="1:8" x14ac:dyDescent="0.25">
      <c r="A422" s="1" t="s">
        <v>444</v>
      </c>
      <c r="B422" s="1" t="s">
        <v>467</v>
      </c>
      <c r="C422" s="1" t="s">
        <v>57</v>
      </c>
      <c r="D422">
        <v>37</v>
      </c>
      <c r="E422" s="1" t="s">
        <v>22</v>
      </c>
      <c r="F422">
        <v>151</v>
      </c>
      <c r="G422">
        <v>62.49</v>
      </c>
      <c r="H422">
        <v>3</v>
      </c>
    </row>
    <row r="423" spans="1:8" x14ac:dyDescent="0.25">
      <c r="A423" s="1" t="s">
        <v>444</v>
      </c>
      <c r="B423" s="1" t="s">
        <v>468</v>
      </c>
      <c r="C423" s="1" t="s">
        <v>51</v>
      </c>
      <c r="D423">
        <v>61</v>
      </c>
      <c r="E423" s="1" t="s">
        <v>14</v>
      </c>
      <c r="F423">
        <v>362</v>
      </c>
      <c r="G423">
        <v>75.03</v>
      </c>
      <c r="H423">
        <v>0</v>
      </c>
    </row>
    <row r="424" spans="1:8" x14ac:dyDescent="0.25">
      <c r="A424" s="1" t="s">
        <v>444</v>
      </c>
      <c r="B424" s="1" t="s">
        <v>469</v>
      </c>
      <c r="C424" s="1" t="s">
        <v>44</v>
      </c>
      <c r="D424">
        <v>36</v>
      </c>
      <c r="E424" s="1" t="s">
        <v>11</v>
      </c>
      <c r="F424">
        <v>137</v>
      </c>
      <c r="G424">
        <v>71.930000000000007</v>
      </c>
      <c r="H424">
        <v>0</v>
      </c>
    </row>
    <row r="425" spans="1:8" x14ac:dyDescent="0.25">
      <c r="A425" s="1" t="s">
        <v>444</v>
      </c>
      <c r="B425" s="1" t="s">
        <v>470</v>
      </c>
      <c r="C425" s="1" t="s">
        <v>131</v>
      </c>
      <c r="D425">
        <v>117</v>
      </c>
      <c r="E425" s="1" t="s">
        <v>11</v>
      </c>
      <c r="F425">
        <v>282</v>
      </c>
      <c r="G425">
        <v>95.11</v>
      </c>
      <c r="H425">
        <v>0</v>
      </c>
    </row>
    <row r="426" spans="1:8" x14ac:dyDescent="0.25">
      <c r="A426" s="1" t="s">
        <v>444</v>
      </c>
      <c r="B426" s="1" t="s">
        <v>471</v>
      </c>
      <c r="C426" s="1" t="s">
        <v>62</v>
      </c>
      <c r="D426">
        <v>78</v>
      </c>
      <c r="E426" s="1" t="s">
        <v>11</v>
      </c>
      <c r="F426">
        <v>60</v>
      </c>
      <c r="G426">
        <v>33.159999999999997</v>
      </c>
      <c r="H426">
        <v>5</v>
      </c>
    </row>
    <row r="427" spans="1:8" x14ac:dyDescent="0.25">
      <c r="A427" s="1" t="s">
        <v>444</v>
      </c>
      <c r="B427" s="1" t="s">
        <v>472</v>
      </c>
      <c r="C427" s="1" t="s">
        <v>67</v>
      </c>
      <c r="D427">
        <v>13</v>
      </c>
      <c r="E427" s="1" t="s">
        <v>14</v>
      </c>
      <c r="F427">
        <v>87</v>
      </c>
      <c r="G427">
        <v>66.36</v>
      </c>
      <c r="H427">
        <v>0</v>
      </c>
    </row>
    <row r="428" spans="1:8" x14ac:dyDescent="0.25">
      <c r="A428" s="1" t="s">
        <v>444</v>
      </c>
      <c r="B428" s="1" t="s">
        <v>473</v>
      </c>
      <c r="C428" s="1" t="s">
        <v>33</v>
      </c>
      <c r="D428">
        <v>56</v>
      </c>
      <c r="E428" s="1" t="s">
        <v>19</v>
      </c>
      <c r="F428">
        <v>114</v>
      </c>
      <c r="G428">
        <v>64.39</v>
      </c>
      <c r="H428">
        <v>1</v>
      </c>
    </row>
    <row r="429" spans="1:8" x14ac:dyDescent="0.25">
      <c r="A429" s="1" t="s">
        <v>444</v>
      </c>
      <c r="B429" s="1" t="s">
        <v>474</v>
      </c>
      <c r="C429" s="1" t="s">
        <v>44</v>
      </c>
      <c r="D429">
        <v>24</v>
      </c>
      <c r="E429" s="1" t="s">
        <v>14</v>
      </c>
      <c r="F429">
        <v>23</v>
      </c>
      <c r="G429">
        <v>28.55</v>
      </c>
      <c r="H429">
        <v>1</v>
      </c>
    </row>
    <row r="430" spans="1:8" x14ac:dyDescent="0.25">
      <c r="A430" s="1" t="s">
        <v>444</v>
      </c>
      <c r="B430" s="1" t="s">
        <v>475</v>
      </c>
      <c r="C430" s="1" t="s">
        <v>10</v>
      </c>
      <c r="D430">
        <v>33</v>
      </c>
      <c r="E430" s="1" t="s">
        <v>19</v>
      </c>
      <c r="F430">
        <v>273</v>
      </c>
      <c r="G430">
        <v>49.8</v>
      </c>
      <c r="H430">
        <v>0</v>
      </c>
    </row>
    <row r="431" spans="1:8" x14ac:dyDescent="0.25">
      <c r="A431" s="1" t="s">
        <v>444</v>
      </c>
      <c r="B431" s="1" t="s">
        <v>476</v>
      </c>
      <c r="C431" s="1" t="s">
        <v>64</v>
      </c>
      <c r="D431">
        <v>63</v>
      </c>
      <c r="E431" s="1" t="s">
        <v>14</v>
      </c>
      <c r="F431">
        <v>121</v>
      </c>
      <c r="G431">
        <v>39.18</v>
      </c>
      <c r="H431">
        <v>2</v>
      </c>
    </row>
    <row r="432" spans="1:8" x14ac:dyDescent="0.25">
      <c r="A432" s="1" t="s">
        <v>444</v>
      </c>
      <c r="B432" s="1" t="s">
        <v>477</v>
      </c>
      <c r="C432" s="1" t="s">
        <v>31</v>
      </c>
      <c r="D432">
        <v>47</v>
      </c>
      <c r="E432" s="1" t="s">
        <v>14</v>
      </c>
      <c r="F432">
        <v>149</v>
      </c>
      <c r="G432">
        <v>28.35</v>
      </c>
      <c r="H432">
        <v>1</v>
      </c>
    </row>
    <row r="433" spans="1:8" x14ac:dyDescent="0.25">
      <c r="A433" s="1" t="s">
        <v>444</v>
      </c>
      <c r="B433" s="1" t="s">
        <v>478</v>
      </c>
      <c r="C433" s="1" t="s">
        <v>33</v>
      </c>
      <c r="D433">
        <v>43</v>
      </c>
      <c r="E433" s="1" t="s">
        <v>19</v>
      </c>
      <c r="F433">
        <v>20</v>
      </c>
      <c r="G433">
        <v>66.680000000000007</v>
      </c>
      <c r="H433">
        <v>5</v>
      </c>
    </row>
    <row r="434" spans="1:8" x14ac:dyDescent="0.25">
      <c r="A434" s="1" t="s">
        <v>444</v>
      </c>
      <c r="B434" s="1" t="s">
        <v>479</v>
      </c>
      <c r="C434" s="1" t="s">
        <v>40</v>
      </c>
      <c r="D434">
        <v>39</v>
      </c>
      <c r="E434" s="1" t="s">
        <v>22</v>
      </c>
      <c r="F434">
        <v>327</v>
      </c>
      <c r="G434">
        <v>87.24</v>
      </c>
      <c r="H434">
        <v>4</v>
      </c>
    </row>
    <row r="435" spans="1:8" x14ac:dyDescent="0.25">
      <c r="A435" s="1" t="s">
        <v>444</v>
      </c>
      <c r="B435" s="1" t="s">
        <v>480</v>
      </c>
      <c r="C435" s="1" t="s">
        <v>62</v>
      </c>
      <c r="D435">
        <v>15</v>
      </c>
      <c r="E435" s="1" t="s">
        <v>11</v>
      </c>
      <c r="F435">
        <v>75</v>
      </c>
      <c r="G435">
        <v>45.59</v>
      </c>
      <c r="H435">
        <v>0</v>
      </c>
    </row>
    <row r="436" spans="1:8" x14ac:dyDescent="0.25">
      <c r="A436" s="1" t="s">
        <v>444</v>
      </c>
      <c r="B436" s="1" t="s">
        <v>481</v>
      </c>
      <c r="C436" s="1" t="s">
        <v>131</v>
      </c>
      <c r="D436">
        <v>13</v>
      </c>
      <c r="E436" s="1" t="s">
        <v>22</v>
      </c>
      <c r="F436">
        <v>482</v>
      </c>
      <c r="G436">
        <v>50.15</v>
      </c>
      <c r="H436">
        <v>0</v>
      </c>
    </row>
    <row r="437" spans="1:8" x14ac:dyDescent="0.25">
      <c r="A437" s="1" t="s">
        <v>444</v>
      </c>
      <c r="B437" s="1" t="s">
        <v>482</v>
      </c>
      <c r="C437" s="1" t="s">
        <v>10</v>
      </c>
      <c r="D437">
        <v>86</v>
      </c>
      <c r="E437" s="1" t="s">
        <v>11</v>
      </c>
      <c r="F437">
        <v>452</v>
      </c>
      <c r="G437">
        <v>75.680000000000007</v>
      </c>
      <c r="H437">
        <v>0</v>
      </c>
    </row>
    <row r="438" spans="1:8" x14ac:dyDescent="0.25">
      <c r="A438" s="1" t="s">
        <v>444</v>
      </c>
      <c r="B438" s="1" t="s">
        <v>483</v>
      </c>
      <c r="C438" s="1" t="s">
        <v>73</v>
      </c>
      <c r="D438">
        <v>2</v>
      </c>
      <c r="E438" s="1" t="s">
        <v>19</v>
      </c>
      <c r="F438">
        <v>142</v>
      </c>
      <c r="G438">
        <v>49.05</v>
      </c>
      <c r="H438">
        <v>4</v>
      </c>
    </row>
    <row r="439" spans="1:8" x14ac:dyDescent="0.25">
      <c r="A439" s="1" t="s">
        <v>444</v>
      </c>
      <c r="B439" s="1" t="s">
        <v>484</v>
      </c>
      <c r="C439" s="1" t="s">
        <v>35</v>
      </c>
      <c r="D439">
        <v>88</v>
      </c>
      <c r="E439" s="1" t="s">
        <v>19</v>
      </c>
      <c r="F439">
        <v>474</v>
      </c>
      <c r="G439">
        <v>23.35</v>
      </c>
      <c r="H439">
        <v>5</v>
      </c>
    </row>
    <row r="440" spans="1:8" x14ac:dyDescent="0.25">
      <c r="A440" s="1" t="s">
        <v>444</v>
      </c>
      <c r="B440" s="1" t="s">
        <v>485</v>
      </c>
      <c r="C440" s="1" t="s">
        <v>37</v>
      </c>
      <c r="D440">
        <v>71</v>
      </c>
      <c r="E440" s="1" t="s">
        <v>22</v>
      </c>
      <c r="F440">
        <v>68</v>
      </c>
      <c r="G440">
        <v>53.11</v>
      </c>
      <c r="H440">
        <v>2</v>
      </c>
    </row>
    <row r="441" spans="1:8" x14ac:dyDescent="0.25">
      <c r="A441" s="1" t="s">
        <v>444</v>
      </c>
      <c r="B441" s="1" t="s">
        <v>486</v>
      </c>
      <c r="C441" s="1" t="s">
        <v>16</v>
      </c>
      <c r="D441">
        <v>99</v>
      </c>
      <c r="E441" s="1" t="s">
        <v>14</v>
      </c>
      <c r="F441">
        <v>138</v>
      </c>
      <c r="G441">
        <v>54.64</v>
      </c>
      <c r="H441">
        <v>5</v>
      </c>
    </row>
    <row r="442" spans="1:8" x14ac:dyDescent="0.25">
      <c r="A442" s="1" t="s">
        <v>444</v>
      </c>
      <c r="B442" s="1" t="s">
        <v>487</v>
      </c>
      <c r="C442" s="1" t="s">
        <v>57</v>
      </c>
      <c r="D442">
        <v>111</v>
      </c>
      <c r="E442" s="1" t="s">
        <v>14</v>
      </c>
      <c r="F442">
        <v>447</v>
      </c>
      <c r="G442">
        <v>51.35</v>
      </c>
      <c r="H442">
        <v>0</v>
      </c>
    </row>
    <row r="443" spans="1:8" x14ac:dyDescent="0.25">
      <c r="A443" s="1" t="s">
        <v>444</v>
      </c>
      <c r="B443" s="1" t="s">
        <v>488</v>
      </c>
      <c r="C443" s="1" t="s">
        <v>57</v>
      </c>
      <c r="D443">
        <v>17</v>
      </c>
      <c r="E443" s="1" t="s">
        <v>19</v>
      </c>
      <c r="F443">
        <v>404</v>
      </c>
      <c r="G443">
        <v>83.4</v>
      </c>
      <c r="H443">
        <v>1</v>
      </c>
    </row>
    <row r="444" spans="1:8" x14ac:dyDescent="0.25">
      <c r="A444" s="1" t="s">
        <v>444</v>
      </c>
      <c r="B444" s="1" t="s">
        <v>489</v>
      </c>
      <c r="C444" s="1" t="s">
        <v>78</v>
      </c>
      <c r="D444">
        <v>43</v>
      </c>
      <c r="E444" s="1" t="s">
        <v>22</v>
      </c>
      <c r="F444">
        <v>26</v>
      </c>
      <c r="G444">
        <v>25.85</v>
      </c>
      <c r="H444">
        <v>1</v>
      </c>
    </row>
    <row r="445" spans="1:8" x14ac:dyDescent="0.25">
      <c r="A445" s="1" t="s">
        <v>444</v>
      </c>
      <c r="B445" s="1" t="s">
        <v>490</v>
      </c>
      <c r="C445" s="1" t="s">
        <v>10</v>
      </c>
      <c r="D445">
        <v>47</v>
      </c>
      <c r="E445" s="1" t="s">
        <v>14</v>
      </c>
      <c r="F445">
        <v>328</v>
      </c>
      <c r="G445">
        <v>61.27</v>
      </c>
      <c r="H445">
        <v>3</v>
      </c>
    </row>
    <row r="446" spans="1:8" x14ac:dyDescent="0.25">
      <c r="A446" s="1" t="s">
        <v>444</v>
      </c>
      <c r="B446" s="1" t="s">
        <v>491</v>
      </c>
      <c r="C446" s="1" t="s">
        <v>26</v>
      </c>
      <c r="D446">
        <v>95</v>
      </c>
      <c r="E446" s="1" t="s">
        <v>14</v>
      </c>
      <c r="F446">
        <v>127</v>
      </c>
      <c r="G446">
        <v>94.9</v>
      </c>
      <c r="H446">
        <v>4</v>
      </c>
    </row>
    <row r="447" spans="1:8" x14ac:dyDescent="0.25">
      <c r="A447" s="1" t="s">
        <v>444</v>
      </c>
      <c r="B447" s="1" t="s">
        <v>492</v>
      </c>
      <c r="C447" s="1" t="s">
        <v>62</v>
      </c>
      <c r="D447">
        <v>104</v>
      </c>
      <c r="E447" s="1" t="s">
        <v>14</v>
      </c>
      <c r="F447">
        <v>421</v>
      </c>
      <c r="G447">
        <v>26.24</v>
      </c>
      <c r="H447">
        <v>3</v>
      </c>
    </row>
    <row r="448" spans="1:8" x14ac:dyDescent="0.25">
      <c r="A448" s="1" t="s">
        <v>444</v>
      </c>
      <c r="B448" s="1" t="s">
        <v>493</v>
      </c>
      <c r="C448" s="1" t="s">
        <v>73</v>
      </c>
      <c r="D448">
        <v>47</v>
      </c>
      <c r="E448" s="1" t="s">
        <v>14</v>
      </c>
      <c r="F448">
        <v>107</v>
      </c>
      <c r="G448">
        <v>35.380000000000003</v>
      </c>
      <c r="H448">
        <v>1</v>
      </c>
    </row>
    <row r="449" spans="1:8" x14ac:dyDescent="0.25">
      <c r="A449" s="1" t="s">
        <v>444</v>
      </c>
      <c r="B449" s="1" t="s">
        <v>494</v>
      </c>
      <c r="C449" s="1" t="s">
        <v>10</v>
      </c>
      <c r="D449">
        <v>96</v>
      </c>
      <c r="E449" s="1" t="s">
        <v>11</v>
      </c>
      <c r="F449">
        <v>273</v>
      </c>
      <c r="G449">
        <v>37.909999999999997</v>
      </c>
      <c r="H449">
        <v>2</v>
      </c>
    </row>
    <row r="450" spans="1:8" x14ac:dyDescent="0.25">
      <c r="A450" s="1" t="s">
        <v>495</v>
      </c>
      <c r="B450" s="1" t="s">
        <v>496</v>
      </c>
      <c r="C450" s="1" t="s">
        <v>60</v>
      </c>
      <c r="D450">
        <v>43</v>
      </c>
      <c r="E450" s="1" t="s">
        <v>11</v>
      </c>
      <c r="F450">
        <v>193</v>
      </c>
      <c r="G450">
        <v>35.81</v>
      </c>
      <c r="H450">
        <v>0</v>
      </c>
    </row>
    <row r="451" spans="1:8" x14ac:dyDescent="0.25">
      <c r="A451" s="1" t="s">
        <v>495</v>
      </c>
      <c r="B451" s="1" t="s">
        <v>497</v>
      </c>
      <c r="C451" s="1" t="s">
        <v>37</v>
      </c>
      <c r="D451">
        <v>77</v>
      </c>
      <c r="E451" s="1" t="s">
        <v>22</v>
      </c>
      <c r="F451">
        <v>375</v>
      </c>
      <c r="G451">
        <v>24.03</v>
      </c>
      <c r="H451">
        <v>1</v>
      </c>
    </row>
    <row r="452" spans="1:8" x14ac:dyDescent="0.25">
      <c r="A452" s="1" t="s">
        <v>495</v>
      </c>
      <c r="B452" s="1" t="s">
        <v>498</v>
      </c>
      <c r="C452" s="1" t="s">
        <v>67</v>
      </c>
      <c r="D452">
        <v>24</v>
      </c>
      <c r="E452" s="1" t="s">
        <v>19</v>
      </c>
      <c r="F452">
        <v>13</v>
      </c>
      <c r="G452">
        <v>89.3</v>
      </c>
      <c r="H452">
        <v>2</v>
      </c>
    </row>
    <row r="453" spans="1:8" x14ac:dyDescent="0.25">
      <c r="A453" s="1" t="s">
        <v>495</v>
      </c>
      <c r="B453" s="1" t="s">
        <v>499</v>
      </c>
      <c r="C453" s="1" t="s">
        <v>16</v>
      </c>
      <c r="D453">
        <v>87</v>
      </c>
      <c r="E453" s="1" t="s">
        <v>11</v>
      </c>
      <c r="F453">
        <v>356</v>
      </c>
      <c r="G453">
        <v>12.89</v>
      </c>
      <c r="H453">
        <v>0</v>
      </c>
    </row>
    <row r="454" spans="1:8" x14ac:dyDescent="0.25">
      <c r="A454" s="1" t="s">
        <v>495</v>
      </c>
      <c r="B454" s="1" t="s">
        <v>500</v>
      </c>
      <c r="C454" s="1" t="s">
        <v>60</v>
      </c>
      <c r="D454">
        <v>55</v>
      </c>
      <c r="E454" s="1" t="s">
        <v>22</v>
      </c>
      <c r="F454">
        <v>494</v>
      </c>
      <c r="G454">
        <v>77.599999999999994</v>
      </c>
      <c r="H454">
        <v>4</v>
      </c>
    </row>
    <row r="455" spans="1:8" x14ac:dyDescent="0.25">
      <c r="A455" s="1" t="s">
        <v>495</v>
      </c>
      <c r="B455" s="1" t="s">
        <v>501</v>
      </c>
      <c r="C455" s="1" t="s">
        <v>51</v>
      </c>
      <c r="D455">
        <v>20</v>
      </c>
      <c r="E455" s="1" t="s">
        <v>22</v>
      </c>
      <c r="F455">
        <v>217</v>
      </c>
      <c r="G455">
        <v>55.3</v>
      </c>
      <c r="H455">
        <v>4</v>
      </c>
    </row>
    <row r="456" spans="1:8" x14ac:dyDescent="0.25">
      <c r="A456" s="1" t="s">
        <v>495</v>
      </c>
      <c r="B456" s="1" t="s">
        <v>502</v>
      </c>
      <c r="C456" s="1" t="s">
        <v>64</v>
      </c>
      <c r="D456">
        <v>115</v>
      </c>
      <c r="E456" s="1" t="s">
        <v>14</v>
      </c>
      <c r="F456">
        <v>190</v>
      </c>
      <c r="G456">
        <v>10.98</v>
      </c>
      <c r="H456">
        <v>0</v>
      </c>
    </row>
    <row r="457" spans="1:8" x14ac:dyDescent="0.25">
      <c r="A457" s="1" t="s">
        <v>495</v>
      </c>
      <c r="B457" s="1" t="s">
        <v>503</v>
      </c>
      <c r="C457" s="1" t="s">
        <v>62</v>
      </c>
      <c r="D457">
        <v>86</v>
      </c>
      <c r="E457" s="1" t="s">
        <v>11</v>
      </c>
      <c r="F457">
        <v>27</v>
      </c>
      <c r="G457">
        <v>84.94</v>
      </c>
      <c r="H457">
        <v>4</v>
      </c>
    </row>
    <row r="458" spans="1:8" x14ac:dyDescent="0.25">
      <c r="A458" s="1" t="s">
        <v>495</v>
      </c>
      <c r="B458" s="1" t="s">
        <v>504</v>
      </c>
      <c r="C458" s="1" t="s">
        <v>51</v>
      </c>
      <c r="D458">
        <v>88</v>
      </c>
      <c r="E458" s="1" t="s">
        <v>11</v>
      </c>
      <c r="F458">
        <v>359</v>
      </c>
      <c r="G458">
        <v>71.19</v>
      </c>
      <c r="H458">
        <v>3</v>
      </c>
    </row>
    <row r="459" spans="1:8" x14ac:dyDescent="0.25">
      <c r="A459" s="1" t="s">
        <v>495</v>
      </c>
      <c r="B459" s="1" t="s">
        <v>505</v>
      </c>
      <c r="C459" s="1" t="s">
        <v>60</v>
      </c>
      <c r="D459">
        <v>39</v>
      </c>
      <c r="E459" s="1" t="s">
        <v>14</v>
      </c>
      <c r="F459">
        <v>54</v>
      </c>
      <c r="G459">
        <v>88.84</v>
      </c>
      <c r="H459">
        <v>0</v>
      </c>
    </row>
    <row r="460" spans="1:8" x14ac:dyDescent="0.25">
      <c r="A460" s="1" t="s">
        <v>495</v>
      </c>
      <c r="B460" s="1" t="s">
        <v>506</v>
      </c>
      <c r="C460" s="1" t="s">
        <v>35</v>
      </c>
      <c r="D460">
        <v>80</v>
      </c>
      <c r="E460" s="1" t="s">
        <v>14</v>
      </c>
      <c r="F460">
        <v>339</v>
      </c>
      <c r="G460">
        <v>59.87</v>
      </c>
      <c r="H460">
        <v>0</v>
      </c>
    </row>
    <row r="461" spans="1:8" x14ac:dyDescent="0.25">
      <c r="A461" s="1" t="s">
        <v>495</v>
      </c>
      <c r="B461" s="1" t="s">
        <v>507</v>
      </c>
      <c r="C461" s="1" t="s">
        <v>51</v>
      </c>
      <c r="D461">
        <v>105</v>
      </c>
      <c r="E461" s="1" t="s">
        <v>14</v>
      </c>
      <c r="F461">
        <v>297</v>
      </c>
      <c r="G461">
        <v>84.66</v>
      </c>
      <c r="H461">
        <v>2</v>
      </c>
    </row>
    <row r="462" spans="1:8" x14ac:dyDescent="0.25">
      <c r="A462" s="1" t="s">
        <v>495</v>
      </c>
      <c r="B462" s="1" t="s">
        <v>508</v>
      </c>
      <c r="C462" s="1" t="s">
        <v>73</v>
      </c>
      <c r="D462">
        <v>37</v>
      </c>
      <c r="E462" s="1" t="s">
        <v>14</v>
      </c>
      <c r="F462">
        <v>37</v>
      </c>
      <c r="G462">
        <v>92.72</v>
      </c>
      <c r="H462">
        <v>0</v>
      </c>
    </row>
    <row r="463" spans="1:8" x14ac:dyDescent="0.25">
      <c r="A463" s="1" t="s">
        <v>495</v>
      </c>
      <c r="B463" s="1" t="s">
        <v>509</v>
      </c>
      <c r="C463" s="1" t="s">
        <v>10</v>
      </c>
      <c r="D463">
        <v>45</v>
      </c>
      <c r="E463" s="1" t="s">
        <v>11</v>
      </c>
      <c r="F463">
        <v>244</v>
      </c>
      <c r="G463">
        <v>55.17</v>
      </c>
      <c r="H463">
        <v>2</v>
      </c>
    </row>
    <row r="464" spans="1:8" x14ac:dyDescent="0.25">
      <c r="A464" s="1" t="s">
        <v>495</v>
      </c>
      <c r="B464" s="1" t="s">
        <v>510</v>
      </c>
      <c r="C464" s="1" t="s">
        <v>44</v>
      </c>
      <c r="D464">
        <v>113</v>
      </c>
      <c r="E464" s="1" t="s">
        <v>22</v>
      </c>
      <c r="F464">
        <v>428</v>
      </c>
      <c r="G464">
        <v>73.84</v>
      </c>
      <c r="H464">
        <v>0</v>
      </c>
    </row>
    <row r="465" spans="1:8" x14ac:dyDescent="0.25">
      <c r="A465" s="1" t="s">
        <v>495</v>
      </c>
      <c r="B465" s="1" t="s">
        <v>511</v>
      </c>
      <c r="C465" s="1" t="s">
        <v>64</v>
      </c>
      <c r="D465">
        <v>14</v>
      </c>
      <c r="E465" s="1" t="s">
        <v>22</v>
      </c>
      <c r="F465">
        <v>304</v>
      </c>
      <c r="G465">
        <v>48.13</v>
      </c>
      <c r="H465">
        <v>2</v>
      </c>
    </row>
    <row r="466" spans="1:8" x14ac:dyDescent="0.25">
      <c r="A466" s="1" t="s">
        <v>495</v>
      </c>
      <c r="B466" s="1" t="s">
        <v>512</v>
      </c>
      <c r="C466" s="1" t="s">
        <v>57</v>
      </c>
      <c r="D466">
        <v>35</v>
      </c>
      <c r="E466" s="1" t="s">
        <v>14</v>
      </c>
      <c r="F466">
        <v>445</v>
      </c>
      <c r="G466">
        <v>24.11</v>
      </c>
      <c r="H466">
        <v>2</v>
      </c>
    </row>
    <row r="467" spans="1:8" x14ac:dyDescent="0.25">
      <c r="A467" s="1" t="s">
        <v>495</v>
      </c>
      <c r="B467" s="1" t="s">
        <v>513</v>
      </c>
      <c r="C467" s="1" t="s">
        <v>64</v>
      </c>
      <c r="D467">
        <v>118</v>
      </c>
      <c r="E467" s="1" t="s">
        <v>14</v>
      </c>
      <c r="F467">
        <v>80</v>
      </c>
      <c r="G467">
        <v>97.58</v>
      </c>
      <c r="H467">
        <v>3</v>
      </c>
    </row>
    <row r="468" spans="1:8" x14ac:dyDescent="0.25">
      <c r="A468" s="1" t="s">
        <v>495</v>
      </c>
      <c r="B468" s="1" t="s">
        <v>514</v>
      </c>
      <c r="C468" s="1" t="s">
        <v>57</v>
      </c>
      <c r="D468">
        <v>64</v>
      </c>
      <c r="E468" s="1" t="s">
        <v>14</v>
      </c>
      <c r="F468">
        <v>15</v>
      </c>
      <c r="G468">
        <v>56.94</v>
      </c>
      <c r="H468">
        <v>4</v>
      </c>
    </row>
    <row r="469" spans="1:8" x14ac:dyDescent="0.25">
      <c r="A469" s="1" t="s">
        <v>495</v>
      </c>
      <c r="B469" s="1" t="s">
        <v>515</v>
      </c>
      <c r="C469" s="1" t="s">
        <v>10</v>
      </c>
      <c r="D469">
        <v>85</v>
      </c>
      <c r="E469" s="1" t="s">
        <v>14</v>
      </c>
      <c r="F469">
        <v>75</v>
      </c>
      <c r="G469">
        <v>98.01</v>
      </c>
      <c r="H469">
        <v>1</v>
      </c>
    </row>
    <row r="470" spans="1:8" x14ac:dyDescent="0.25">
      <c r="A470" s="1" t="s">
        <v>495</v>
      </c>
      <c r="B470" s="1" t="s">
        <v>516</v>
      </c>
      <c r="C470" s="1" t="s">
        <v>131</v>
      </c>
      <c r="D470">
        <v>48</v>
      </c>
      <c r="E470" s="1" t="s">
        <v>22</v>
      </c>
      <c r="F470">
        <v>187</v>
      </c>
      <c r="G470">
        <v>21.26</v>
      </c>
      <c r="H470">
        <v>2</v>
      </c>
    </row>
    <row r="471" spans="1:8" x14ac:dyDescent="0.25">
      <c r="A471" s="1" t="s">
        <v>495</v>
      </c>
      <c r="B471" s="1" t="s">
        <v>517</v>
      </c>
      <c r="C471" s="1" t="s">
        <v>44</v>
      </c>
      <c r="D471">
        <v>120</v>
      </c>
      <c r="E471" s="1" t="s">
        <v>14</v>
      </c>
      <c r="F471">
        <v>72</v>
      </c>
      <c r="G471">
        <v>29.07</v>
      </c>
      <c r="H471">
        <v>3</v>
      </c>
    </row>
    <row r="472" spans="1:8" x14ac:dyDescent="0.25">
      <c r="A472" s="1" t="s">
        <v>495</v>
      </c>
      <c r="B472" s="1" t="s">
        <v>518</v>
      </c>
      <c r="C472" s="1" t="s">
        <v>21</v>
      </c>
      <c r="D472">
        <v>34</v>
      </c>
      <c r="E472" s="1" t="s">
        <v>19</v>
      </c>
      <c r="F472">
        <v>40</v>
      </c>
      <c r="G472">
        <v>65.709999999999994</v>
      </c>
      <c r="H472">
        <v>5</v>
      </c>
    </row>
    <row r="473" spans="1:8" x14ac:dyDescent="0.25">
      <c r="A473" s="1" t="s">
        <v>495</v>
      </c>
      <c r="B473" s="1" t="s">
        <v>519</v>
      </c>
      <c r="C473" s="1" t="s">
        <v>16</v>
      </c>
      <c r="D473">
        <v>104</v>
      </c>
      <c r="E473" s="1" t="s">
        <v>14</v>
      </c>
      <c r="F473">
        <v>125</v>
      </c>
      <c r="G473">
        <v>29.7</v>
      </c>
      <c r="H473">
        <v>2</v>
      </c>
    </row>
    <row r="474" spans="1:8" x14ac:dyDescent="0.25">
      <c r="A474" s="1" t="s">
        <v>495</v>
      </c>
      <c r="B474" s="1" t="s">
        <v>520</v>
      </c>
      <c r="C474" s="1" t="s">
        <v>35</v>
      </c>
      <c r="D474">
        <v>117</v>
      </c>
      <c r="E474" s="1" t="s">
        <v>22</v>
      </c>
      <c r="F474">
        <v>39</v>
      </c>
      <c r="G474">
        <v>26.53</v>
      </c>
      <c r="H474">
        <v>1</v>
      </c>
    </row>
    <row r="475" spans="1:8" x14ac:dyDescent="0.25">
      <c r="A475" s="1" t="s">
        <v>495</v>
      </c>
      <c r="B475" s="1" t="s">
        <v>521</v>
      </c>
      <c r="C475" s="1" t="s">
        <v>57</v>
      </c>
      <c r="D475">
        <v>92</v>
      </c>
      <c r="E475" s="1" t="s">
        <v>19</v>
      </c>
      <c r="F475">
        <v>6</v>
      </c>
      <c r="G475">
        <v>77.14</v>
      </c>
      <c r="H475">
        <v>5</v>
      </c>
    </row>
    <row r="476" spans="1:8" x14ac:dyDescent="0.25">
      <c r="A476" s="1" t="s">
        <v>495</v>
      </c>
      <c r="B476" s="1" t="s">
        <v>522</v>
      </c>
      <c r="C476" s="1" t="s">
        <v>13</v>
      </c>
      <c r="D476">
        <v>103</v>
      </c>
      <c r="E476" s="1" t="s">
        <v>22</v>
      </c>
      <c r="F476">
        <v>291</v>
      </c>
      <c r="G476">
        <v>60.34</v>
      </c>
      <c r="H476">
        <v>5</v>
      </c>
    </row>
    <row r="477" spans="1:8" x14ac:dyDescent="0.25">
      <c r="A477" s="1" t="s">
        <v>495</v>
      </c>
      <c r="B477" s="1" t="s">
        <v>523</v>
      </c>
      <c r="C477" s="1" t="s">
        <v>131</v>
      </c>
      <c r="D477">
        <v>10</v>
      </c>
      <c r="E477" s="1" t="s">
        <v>11</v>
      </c>
      <c r="F477">
        <v>425</v>
      </c>
      <c r="G477">
        <v>85.75</v>
      </c>
      <c r="H477">
        <v>0</v>
      </c>
    </row>
    <row r="478" spans="1:8" x14ac:dyDescent="0.25">
      <c r="A478" s="1" t="s">
        <v>495</v>
      </c>
      <c r="B478" s="1" t="s">
        <v>524</v>
      </c>
      <c r="C478" s="1" t="s">
        <v>13</v>
      </c>
      <c r="D478">
        <v>101</v>
      </c>
      <c r="E478" s="1" t="s">
        <v>19</v>
      </c>
      <c r="F478">
        <v>416</v>
      </c>
      <c r="G478">
        <v>83.49</v>
      </c>
      <c r="H478">
        <v>2</v>
      </c>
    </row>
    <row r="479" spans="1:8" x14ac:dyDescent="0.25">
      <c r="A479" s="1" t="s">
        <v>495</v>
      </c>
      <c r="B479" s="1" t="s">
        <v>525</v>
      </c>
      <c r="C479" s="1" t="s">
        <v>37</v>
      </c>
      <c r="D479">
        <v>1</v>
      </c>
      <c r="E479" s="1" t="s">
        <v>22</v>
      </c>
      <c r="F479">
        <v>213</v>
      </c>
      <c r="G479">
        <v>52.16</v>
      </c>
      <c r="H479">
        <v>3</v>
      </c>
    </row>
    <row r="480" spans="1:8" x14ac:dyDescent="0.25">
      <c r="A480" s="1" t="s">
        <v>495</v>
      </c>
      <c r="B480" s="1" t="s">
        <v>526</v>
      </c>
      <c r="C480" s="1" t="s">
        <v>51</v>
      </c>
      <c r="D480">
        <v>111</v>
      </c>
      <c r="E480" s="1" t="s">
        <v>19</v>
      </c>
      <c r="F480">
        <v>76</v>
      </c>
      <c r="G480">
        <v>38.19</v>
      </c>
      <c r="H480">
        <v>5</v>
      </c>
    </row>
    <row r="481" spans="1:8" x14ac:dyDescent="0.25">
      <c r="A481" s="1" t="s">
        <v>495</v>
      </c>
      <c r="B481" s="1" t="s">
        <v>527</v>
      </c>
      <c r="C481" s="1" t="s">
        <v>26</v>
      </c>
      <c r="D481">
        <v>120</v>
      </c>
      <c r="E481" s="1" t="s">
        <v>11</v>
      </c>
      <c r="F481">
        <v>391</v>
      </c>
      <c r="G481">
        <v>67.77</v>
      </c>
      <c r="H481">
        <v>4</v>
      </c>
    </row>
    <row r="482" spans="1:8" x14ac:dyDescent="0.25">
      <c r="A482" s="1" t="s">
        <v>495</v>
      </c>
      <c r="B482" s="1" t="s">
        <v>528</v>
      </c>
      <c r="C482" s="1" t="s">
        <v>29</v>
      </c>
      <c r="D482">
        <v>20</v>
      </c>
      <c r="E482" s="1" t="s">
        <v>14</v>
      </c>
      <c r="F482">
        <v>93</v>
      </c>
      <c r="G482">
        <v>84.45</v>
      </c>
      <c r="H482">
        <v>0</v>
      </c>
    </row>
    <row r="483" spans="1:8" x14ac:dyDescent="0.25">
      <c r="A483" s="1" t="s">
        <v>495</v>
      </c>
      <c r="B483" s="1" t="s">
        <v>529</v>
      </c>
      <c r="C483" s="1" t="s">
        <v>51</v>
      </c>
      <c r="D483">
        <v>100</v>
      </c>
      <c r="E483" s="1" t="s">
        <v>22</v>
      </c>
      <c r="F483">
        <v>240</v>
      </c>
      <c r="G483">
        <v>24.83</v>
      </c>
      <c r="H483">
        <v>4</v>
      </c>
    </row>
    <row r="484" spans="1:8" x14ac:dyDescent="0.25">
      <c r="A484" s="1" t="s">
        <v>495</v>
      </c>
      <c r="B484" s="1" t="s">
        <v>530</v>
      </c>
      <c r="C484" s="1" t="s">
        <v>57</v>
      </c>
      <c r="D484">
        <v>84</v>
      </c>
      <c r="E484" s="1" t="s">
        <v>19</v>
      </c>
      <c r="F484">
        <v>380</v>
      </c>
      <c r="G484">
        <v>82.3</v>
      </c>
      <c r="H484">
        <v>1</v>
      </c>
    </row>
    <row r="485" spans="1:8" x14ac:dyDescent="0.25">
      <c r="A485" s="1" t="s">
        <v>495</v>
      </c>
      <c r="B485" s="1" t="s">
        <v>531</v>
      </c>
      <c r="C485" s="1" t="s">
        <v>51</v>
      </c>
      <c r="D485">
        <v>19</v>
      </c>
      <c r="E485" s="1" t="s">
        <v>19</v>
      </c>
      <c r="F485">
        <v>71</v>
      </c>
      <c r="G485">
        <v>68.2</v>
      </c>
      <c r="H485">
        <v>0</v>
      </c>
    </row>
    <row r="486" spans="1:8" x14ac:dyDescent="0.25">
      <c r="A486" s="1" t="s">
        <v>495</v>
      </c>
      <c r="B486" s="1" t="s">
        <v>532</v>
      </c>
      <c r="C486" s="1" t="s">
        <v>35</v>
      </c>
      <c r="D486">
        <v>41</v>
      </c>
      <c r="E486" s="1" t="s">
        <v>11</v>
      </c>
      <c r="F486">
        <v>383</v>
      </c>
      <c r="G486">
        <v>27.53</v>
      </c>
      <c r="H486">
        <v>4</v>
      </c>
    </row>
    <row r="487" spans="1:8" x14ac:dyDescent="0.25">
      <c r="A487" s="1" t="s">
        <v>495</v>
      </c>
      <c r="B487" s="1" t="s">
        <v>533</v>
      </c>
      <c r="C487" s="1" t="s">
        <v>21</v>
      </c>
      <c r="D487">
        <v>19</v>
      </c>
      <c r="E487" s="1" t="s">
        <v>11</v>
      </c>
      <c r="F487">
        <v>270</v>
      </c>
      <c r="G487">
        <v>19.760000000000002</v>
      </c>
      <c r="H487">
        <v>3</v>
      </c>
    </row>
    <row r="488" spans="1:8" x14ac:dyDescent="0.25">
      <c r="A488" s="1" t="s">
        <v>495</v>
      </c>
      <c r="B488" s="1" t="s">
        <v>534</v>
      </c>
      <c r="C488" s="1" t="s">
        <v>40</v>
      </c>
      <c r="D488">
        <v>50</v>
      </c>
      <c r="E488" s="1" t="s">
        <v>22</v>
      </c>
      <c r="F488">
        <v>357</v>
      </c>
      <c r="G488">
        <v>17</v>
      </c>
      <c r="H488">
        <v>3</v>
      </c>
    </row>
    <row r="489" spans="1:8" x14ac:dyDescent="0.25">
      <c r="A489" s="1" t="s">
        <v>495</v>
      </c>
      <c r="B489" s="1" t="s">
        <v>535</v>
      </c>
      <c r="C489" s="1" t="s">
        <v>31</v>
      </c>
      <c r="D489">
        <v>58</v>
      </c>
      <c r="E489" s="1" t="s">
        <v>11</v>
      </c>
      <c r="F489">
        <v>485</v>
      </c>
      <c r="G489">
        <v>64.290000000000006</v>
      </c>
      <c r="H489">
        <v>4</v>
      </c>
    </row>
    <row r="490" spans="1:8" x14ac:dyDescent="0.25">
      <c r="A490" s="1" t="s">
        <v>495</v>
      </c>
      <c r="B490" s="1" t="s">
        <v>536</v>
      </c>
      <c r="C490" s="1" t="s">
        <v>78</v>
      </c>
      <c r="D490">
        <v>93</v>
      </c>
      <c r="E490" s="1" t="s">
        <v>14</v>
      </c>
      <c r="F490">
        <v>153</v>
      </c>
      <c r="G490">
        <v>86.19</v>
      </c>
      <c r="H490">
        <v>0</v>
      </c>
    </row>
    <row r="491" spans="1:8" x14ac:dyDescent="0.25">
      <c r="A491" s="1" t="s">
        <v>495</v>
      </c>
      <c r="B491" s="1" t="s">
        <v>537</v>
      </c>
      <c r="C491" s="1" t="s">
        <v>51</v>
      </c>
      <c r="D491">
        <v>102</v>
      </c>
      <c r="E491" s="1" t="s">
        <v>22</v>
      </c>
      <c r="F491">
        <v>240</v>
      </c>
      <c r="G491">
        <v>12.52</v>
      </c>
      <c r="H491">
        <v>2</v>
      </c>
    </row>
    <row r="492" spans="1:8" x14ac:dyDescent="0.25">
      <c r="A492" s="1" t="s">
        <v>495</v>
      </c>
      <c r="B492" s="1" t="s">
        <v>538</v>
      </c>
      <c r="C492" s="1" t="s">
        <v>21</v>
      </c>
      <c r="D492">
        <v>101</v>
      </c>
      <c r="E492" s="1" t="s">
        <v>14</v>
      </c>
      <c r="F492">
        <v>210</v>
      </c>
      <c r="G492">
        <v>35.4</v>
      </c>
      <c r="H492">
        <v>1</v>
      </c>
    </row>
    <row r="493" spans="1:8" x14ac:dyDescent="0.25">
      <c r="A493" s="1" t="s">
        <v>495</v>
      </c>
      <c r="B493" s="1" t="s">
        <v>539</v>
      </c>
      <c r="C493" s="1" t="s">
        <v>40</v>
      </c>
      <c r="D493">
        <v>62</v>
      </c>
      <c r="E493" s="1" t="s">
        <v>22</v>
      </c>
      <c r="F493">
        <v>369</v>
      </c>
      <c r="H493">
        <v>1</v>
      </c>
    </row>
    <row r="494" spans="1:8" x14ac:dyDescent="0.25">
      <c r="A494" s="1" t="s">
        <v>495</v>
      </c>
      <c r="B494" s="1" t="s">
        <v>540</v>
      </c>
      <c r="C494" s="1" t="s">
        <v>62</v>
      </c>
      <c r="D494">
        <v>105</v>
      </c>
      <c r="E494" s="1" t="s">
        <v>22</v>
      </c>
      <c r="F494">
        <v>172</v>
      </c>
      <c r="G494">
        <v>15.88</v>
      </c>
      <c r="H494">
        <v>5</v>
      </c>
    </row>
    <row r="495" spans="1:8" x14ac:dyDescent="0.25">
      <c r="A495" s="1" t="s">
        <v>495</v>
      </c>
      <c r="B495" s="1" t="s">
        <v>541</v>
      </c>
      <c r="C495" s="1" t="s">
        <v>31</v>
      </c>
      <c r="D495">
        <v>9</v>
      </c>
      <c r="E495" s="1" t="s">
        <v>22</v>
      </c>
      <c r="F495">
        <v>227</v>
      </c>
      <c r="G495">
        <v>63.74</v>
      </c>
      <c r="H495">
        <v>3</v>
      </c>
    </row>
    <row r="496" spans="1:8" x14ac:dyDescent="0.25">
      <c r="A496" s="1" t="s">
        <v>495</v>
      </c>
      <c r="B496" s="1" t="s">
        <v>542</v>
      </c>
      <c r="C496" s="1" t="s">
        <v>44</v>
      </c>
      <c r="D496">
        <v>15</v>
      </c>
      <c r="E496" s="1" t="s">
        <v>19</v>
      </c>
      <c r="F496">
        <v>400</v>
      </c>
      <c r="G496">
        <v>78.09</v>
      </c>
      <c r="H496">
        <v>0</v>
      </c>
    </row>
    <row r="497" spans="1:8" x14ac:dyDescent="0.25">
      <c r="A497" s="1" t="s">
        <v>495</v>
      </c>
      <c r="B497" s="1" t="s">
        <v>543</v>
      </c>
      <c r="C497" s="1" t="s">
        <v>29</v>
      </c>
      <c r="D497">
        <v>74</v>
      </c>
      <c r="E497" s="1" t="s">
        <v>22</v>
      </c>
      <c r="F497">
        <v>330</v>
      </c>
      <c r="G497">
        <v>37.82</v>
      </c>
      <c r="H497">
        <v>5</v>
      </c>
    </row>
    <row r="498" spans="1:8" x14ac:dyDescent="0.25">
      <c r="A498" s="1" t="s">
        <v>495</v>
      </c>
      <c r="B498" s="1" t="s">
        <v>544</v>
      </c>
      <c r="C498" s="1" t="s">
        <v>10</v>
      </c>
      <c r="D498">
        <v>55</v>
      </c>
      <c r="E498" s="1" t="s">
        <v>19</v>
      </c>
      <c r="F498">
        <v>355</v>
      </c>
      <c r="G498">
        <v>59.65</v>
      </c>
      <c r="H498">
        <v>0</v>
      </c>
    </row>
    <row r="499" spans="1:8" x14ac:dyDescent="0.25">
      <c r="A499" s="1" t="s">
        <v>495</v>
      </c>
      <c r="B499" s="1" t="s">
        <v>545</v>
      </c>
      <c r="C499" s="1" t="s">
        <v>73</v>
      </c>
      <c r="D499">
        <v>94</v>
      </c>
      <c r="E499" s="1" t="s">
        <v>22</v>
      </c>
      <c r="F499">
        <v>6</v>
      </c>
      <c r="G499">
        <v>67.459999999999994</v>
      </c>
      <c r="H499">
        <v>5</v>
      </c>
    </row>
    <row r="500" spans="1:8" x14ac:dyDescent="0.25">
      <c r="A500" s="1" t="s">
        <v>546</v>
      </c>
      <c r="B500" s="1" t="s">
        <v>547</v>
      </c>
      <c r="C500" s="1" t="s">
        <v>16</v>
      </c>
      <c r="D500">
        <v>120</v>
      </c>
      <c r="E500" s="1" t="s">
        <v>19</v>
      </c>
      <c r="F500">
        <v>27</v>
      </c>
      <c r="G500">
        <v>24.46</v>
      </c>
      <c r="H500">
        <v>3</v>
      </c>
    </row>
    <row r="501" spans="1:8" x14ac:dyDescent="0.25">
      <c r="A501" s="1" t="s">
        <v>546</v>
      </c>
      <c r="B501" s="1" t="s">
        <v>548</v>
      </c>
      <c r="C501" s="1" t="s">
        <v>44</v>
      </c>
      <c r="D501">
        <v>38</v>
      </c>
      <c r="E501" s="1" t="s">
        <v>19</v>
      </c>
      <c r="F501">
        <v>108</v>
      </c>
      <c r="G501">
        <v>72.7</v>
      </c>
      <c r="H501">
        <v>3</v>
      </c>
    </row>
    <row r="502" spans="1:8" x14ac:dyDescent="0.25">
      <c r="A502" s="1" t="s">
        <v>546</v>
      </c>
      <c r="B502" s="1" t="s">
        <v>549</v>
      </c>
      <c r="C502" s="1" t="s">
        <v>137</v>
      </c>
      <c r="D502">
        <v>21</v>
      </c>
      <c r="E502" s="1" t="s">
        <v>22</v>
      </c>
      <c r="F502">
        <v>444</v>
      </c>
      <c r="G502">
        <v>41.92</v>
      </c>
      <c r="H502">
        <v>3</v>
      </c>
    </row>
    <row r="503" spans="1:8" x14ac:dyDescent="0.25">
      <c r="A503" s="1" t="s">
        <v>546</v>
      </c>
      <c r="B503" s="1" t="s">
        <v>550</v>
      </c>
      <c r="C503" s="1" t="s">
        <v>37</v>
      </c>
      <c r="D503">
        <v>9</v>
      </c>
      <c r="E503" s="1" t="s">
        <v>19</v>
      </c>
      <c r="F503">
        <v>11</v>
      </c>
      <c r="G503">
        <v>72.36</v>
      </c>
      <c r="H503">
        <v>2</v>
      </c>
    </row>
    <row r="504" spans="1:8" x14ac:dyDescent="0.25">
      <c r="A504" s="1" t="s">
        <v>546</v>
      </c>
      <c r="B504" s="1" t="s">
        <v>551</v>
      </c>
      <c r="C504" s="1" t="s">
        <v>29</v>
      </c>
      <c r="D504">
        <v>36</v>
      </c>
      <c r="E504" s="1" t="s">
        <v>22</v>
      </c>
      <c r="F504">
        <v>487</v>
      </c>
      <c r="G504">
        <v>45.02</v>
      </c>
      <c r="H504">
        <v>2</v>
      </c>
    </row>
    <row r="505" spans="1:8" x14ac:dyDescent="0.25">
      <c r="A505" s="1" t="s">
        <v>546</v>
      </c>
      <c r="B505" s="1" t="s">
        <v>552</v>
      </c>
      <c r="C505" s="1" t="s">
        <v>73</v>
      </c>
      <c r="D505">
        <v>74</v>
      </c>
      <c r="E505" s="1" t="s">
        <v>19</v>
      </c>
      <c r="F505">
        <v>388</v>
      </c>
      <c r="G505">
        <v>10.89</v>
      </c>
      <c r="H505">
        <v>4</v>
      </c>
    </row>
    <row r="506" spans="1:8" x14ac:dyDescent="0.25">
      <c r="A506" s="1" t="s">
        <v>546</v>
      </c>
      <c r="B506" s="1" t="s">
        <v>553</v>
      </c>
      <c r="C506" s="1" t="s">
        <v>73</v>
      </c>
      <c r="D506">
        <v>47</v>
      </c>
      <c r="E506" s="1" t="s">
        <v>11</v>
      </c>
      <c r="F506">
        <v>350</v>
      </c>
      <c r="G506">
        <v>80.48</v>
      </c>
      <c r="H506">
        <v>3</v>
      </c>
    </row>
    <row r="507" spans="1:8" x14ac:dyDescent="0.25">
      <c r="A507" s="1" t="s">
        <v>546</v>
      </c>
      <c r="B507" s="1" t="s">
        <v>554</v>
      </c>
      <c r="C507" s="1" t="s">
        <v>18</v>
      </c>
      <c r="D507">
        <v>46</v>
      </c>
      <c r="E507" s="1" t="s">
        <v>14</v>
      </c>
      <c r="F507">
        <v>216</v>
      </c>
      <c r="G507">
        <v>63.74</v>
      </c>
      <c r="H507">
        <v>4</v>
      </c>
    </row>
    <row r="508" spans="1:8" x14ac:dyDescent="0.25">
      <c r="A508" s="1" t="s">
        <v>546</v>
      </c>
      <c r="B508" s="1" t="s">
        <v>555</v>
      </c>
      <c r="C508" s="1" t="s">
        <v>31</v>
      </c>
      <c r="D508">
        <v>12</v>
      </c>
      <c r="E508" s="1" t="s">
        <v>22</v>
      </c>
      <c r="F508">
        <v>138</v>
      </c>
      <c r="G508">
        <v>17</v>
      </c>
      <c r="H508">
        <v>2</v>
      </c>
    </row>
    <row r="509" spans="1:8" x14ac:dyDescent="0.25">
      <c r="A509" s="1" t="s">
        <v>546</v>
      </c>
      <c r="B509" s="1" t="s">
        <v>556</v>
      </c>
      <c r="C509" s="1" t="s">
        <v>16</v>
      </c>
      <c r="D509">
        <v>10</v>
      </c>
      <c r="E509" s="1" t="s">
        <v>14</v>
      </c>
      <c r="F509">
        <v>129</v>
      </c>
      <c r="G509">
        <v>70.12</v>
      </c>
      <c r="H509">
        <v>0</v>
      </c>
    </row>
    <row r="510" spans="1:8" x14ac:dyDescent="0.25">
      <c r="A510" s="1" t="s">
        <v>546</v>
      </c>
      <c r="B510" s="1" t="s">
        <v>557</v>
      </c>
      <c r="C510" s="1" t="s">
        <v>73</v>
      </c>
      <c r="D510">
        <v>23</v>
      </c>
      <c r="E510" s="1" t="s">
        <v>19</v>
      </c>
      <c r="F510">
        <v>325</v>
      </c>
      <c r="G510">
        <v>65.489999999999995</v>
      </c>
      <c r="H510">
        <v>1</v>
      </c>
    </row>
    <row r="511" spans="1:8" x14ac:dyDescent="0.25">
      <c r="A511" s="1" t="s">
        <v>546</v>
      </c>
      <c r="B511" s="1" t="s">
        <v>558</v>
      </c>
      <c r="C511" s="1" t="s">
        <v>137</v>
      </c>
      <c r="D511">
        <v>91</v>
      </c>
      <c r="E511" s="1" t="s">
        <v>22</v>
      </c>
      <c r="F511">
        <v>90</v>
      </c>
      <c r="G511">
        <v>39.14</v>
      </c>
      <c r="H511">
        <v>3</v>
      </c>
    </row>
    <row r="512" spans="1:8" x14ac:dyDescent="0.25">
      <c r="A512" s="1" t="s">
        <v>546</v>
      </c>
      <c r="B512" s="1" t="s">
        <v>559</v>
      </c>
      <c r="C512" s="1" t="s">
        <v>78</v>
      </c>
      <c r="D512">
        <v>99</v>
      </c>
      <c r="E512" s="1" t="s">
        <v>14</v>
      </c>
      <c r="F512">
        <v>42</v>
      </c>
      <c r="G512">
        <v>98.77</v>
      </c>
      <c r="H512">
        <v>3</v>
      </c>
    </row>
    <row r="513" spans="1:8" x14ac:dyDescent="0.25">
      <c r="A513" s="1" t="s">
        <v>546</v>
      </c>
      <c r="B513" s="1" t="s">
        <v>560</v>
      </c>
      <c r="C513" s="1" t="s">
        <v>127</v>
      </c>
      <c r="D513">
        <v>59</v>
      </c>
      <c r="E513" s="1" t="s">
        <v>14</v>
      </c>
      <c r="F513">
        <v>72</v>
      </c>
      <c r="G513">
        <v>94.51</v>
      </c>
      <c r="H513">
        <v>2</v>
      </c>
    </row>
    <row r="514" spans="1:8" x14ac:dyDescent="0.25">
      <c r="A514" s="1" t="s">
        <v>546</v>
      </c>
      <c r="B514" s="1" t="s">
        <v>561</v>
      </c>
      <c r="C514" s="1" t="s">
        <v>24</v>
      </c>
      <c r="D514">
        <v>34</v>
      </c>
      <c r="E514" s="1" t="s">
        <v>19</v>
      </c>
      <c r="F514">
        <v>35</v>
      </c>
      <c r="G514">
        <v>76.86</v>
      </c>
      <c r="H514">
        <v>1</v>
      </c>
    </row>
    <row r="515" spans="1:8" x14ac:dyDescent="0.25">
      <c r="A515" s="1" t="s">
        <v>546</v>
      </c>
      <c r="B515" s="1" t="s">
        <v>562</v>
      </c>
      <c r="C515" s="1" t="s">
        <v>44</v>
      </c>
      <c r="D515">
        <v>61</v>
      </c>
      <c r="E515" s="1" t="s">
        <v>11</v>
      </c>
      <c r="F515">
        <v>140</v>
      </c>
      <c r="G515">
        <v>76.3</v>
      </c>
      <c r="H515">
        <v>4</v>
      </c>
    </row>
    <row r="516" spans="1:8" x14ac:dyDescent="0.25">
      <c r="A516" s="1" t="s">
        <v>546</v>
      </c>
      <c r="B516" s="1" t="s">
        <v>563</v>
      </c>
      <c r="C516" s="1" t="s">
        <v>78</v>
      </c>
      <c r="D516">
        <v>33</v>
      </c>
      <c r="E516" s="1" t="s">
        <v>14</v>
      </c>
      <c r="F516">
        <v>207</v>
      </c>
      <c r="G516">
        <v>38.49</v>
      </c>
      <c r="H516">
        <v>4</v>
      </c>
    </row>
    <row r="517" spans="1:8" x14ac:dyDescent="0.25">
      <c r="A517" s="1" t="s">
        <v>546</v>
      </c>
      <c r="B517" s="1" t="s">
        <v>564</v>
      </c>
      <c r="C517" s="1" t="s">
        <v>35</v>
      </c>
      <c r="D517">
        <v>98</v>
      </c>
      <c r="E517" s="1" t="s">
        <v>14</v>
      </c>
      <c r="F517">
        <v>41</v>
      </c>
      <c r="G517">
        <v>23.55</v>
      </c>
      <c r="H517">
        <v>1</v>
      </c>
    </row>
    <row r="518" spans="1:8" x14ac:dyDescent="0.25">
      <c r="A518" s="1" t="s">
        <v>546</v>
      </c>
      <c r="B518" s="1" t="s">
        <v>565</v>
      </c>
      <c r="C518" s="1" t="s">
        <v>21</v>
      </c>
      <c r="D518">
        <v>113</v>
      </c>
      <c r="E518" s="1" t="s">
        <v>14</v>
      </c>
      <c r="F518">
        <v>152</v>
      </c>
      <c r="G518">
        <v>51.28</v>
      </c>
      <c r="H518">
        <v>4</v>
      </c>
    </row>
    <row r="519" spans="1:8" x14ac:dyDescent="0.25">
      <c r="A519" s="1" t="s">
        <v>546</v>
      </c>
      <c r="B519" s="1" t="s">
        <v>566</v>
      </c>
      <c r="C519" s="1" t="s">
        <v>31</v>
      </c>
      <c r="D519">
        <v>57</v>
      </c>
      <c r="E519" s="1" t="s">
        <v>19</v>
      </c>
      <c r="F519">
        <v>447</v>
      </c>
      <c r="G519">
        <v>23.27</v>
      </c>
      <c r="H519">
        <v>3</v>
      </c>
    </row>
    <row r="520" spans="1:8" x14ac:dyDescent="0.25">
      <c r="A520" s="1" t="s">
        <v>546</v>
      </c>
      <c r="B520" s="1" t="s">
        <v>567</v>
      </c>
      <c r="C520" s="1" t="s">
        <v>10</v>
      </c>
      <c r="D520">
        <v>84</v>
      </c>
      <c r="E520" s="1" t="s">
        <v>19</v>
      </c>
      <c r="F520">
        <v>364</v>
      </c>
      <c r="G520">
        <v>87.79</v>
      </c>
      <c r="H520">
        <v>3</v>
      </c>
    </row>
    <row r="521" spans="1:8" x14ac:dyDescent="0.25">
      <c r="A521" s="1" t="s">
        <v>546</v>
      </c>
      <c r="B521" s="1" t="s">
        <v>568</v>
      </c>
      <c r="C521" s="1" t="s">
        <v>62</v>
      </c>
      <c r="D521">
        <v>119</v>
      </c>
      <c r="E521" s="1" t="s">
        <v>22</v>
      </c>
      <c r="F521">
        <v>231</v>
      </c>
      <c r="G521">
        <v>20.22</v>
      </c>
      <c r="H521">
        <v>2</v>
      </c>
    </row>
    <row r="522" spans="1:8" x14ac:dyDescent="0.25">
      <c r="A522" s="1" t="s">
        <v>546</v>
      </c>
      <c r="B522" s="1" t="s">
        <v>569</v>
      </c>
      <c r="C522" s="1" t="s">
        <v>37</v>
      </c>
      <c r="D522">
        <v>18</v>
      </c>
      <c r="E522" s="1" t="s">
        <v>19</v>
      </c>
      <c r="F522">
        <v>446</v>
      </c>
      <c r="G522">
        <v>97.3</v>
      </c>
      <c r="H522">
        <v>5</v>
      </c>
    </row>
    <row r="523" spans="1:8" x14ac:dyDescent="0.25">
      <c r="A523" s="1" t="s">
        <v>546</v>
      </c>
      <c r="B523" s="1" t="s">
        <v>570</v>
      </c>
      <c r="C523" s="1" t="s">
        <v>137</v>
      </c>
      <c r="D523">
        <v>16</v>
      </c>
      <c r="E523" s="1" t="s">
        <v>14</v>
      </c>
      <c r="F523">
        <v>214</v>
      </c>
      <c r="G523">
        <v>46.57</v>
      </c>
      <c r="H523">
        <v>5</v>
      </c>
    </row>
    <row r="524" spans="1:8" x14ac:dyDescent="0.25">
      <c r="A524" s="1" t="s">
        <v>546</v>
      </c>
      <c r="B524" s="1" t="s">
        <v>571</v>
      </c>
      <c r="C524" s="1" t="s">
        <v>13</v>
      </c>
      <c r="D524">
        <v>73</v>
      </c>
      <c r="E524" s="1" t="s">
        <v>14</v>
      </c>
      <c r="F524">
        <v>268</v>
      </c>
      <c r="G524">
        <v>56.86</v>
      </c>
      <c r="H524">
        <v>5</v>
      </c>
    </row>
    <row r="525" spans="1:8" x14ac:dyDescent="0.25">
      <c r="A525" s="1" t="s">
        <v>546</v>
      </c>
      <c r="B525" s="1" t="s">
        <v>572</v>
      </c>
      <c r="C525" s="1" t="s">
        <v>131</v>
      </c>
      <c r="D525">
        <v>63</v>
      </c>
      <c r="E525" s="1" t="s">
        <v>22</v>
      </c>
      <c r="F525">
        <v>109</v>
      </c>
      <c r="G525">
        <v>10.33</v>
      </c>
      <c r="H525">
        <v>3</v>
      </c>
    </row>
    <row r="526" spans="1:8" x14ac:dyDescent="0.25">
      <c r="A526" s="1" t="s">
        <v>546</v>
      </c>
      <c r="B526" s="1" t="s">
        <v>573</v>
      </c>
      <c r="C526" s="1" t="s">
        <v>57</v>
      </c>
      <c r="D526">
        <v>6</v>
      </c>
      <c r="E526" s="1" t="s">
        <v>14</v>
      </c>
      <c r="F526">
        <v>342</v>
      </c>
      <c r="G526">
        <v>50.55</v>
      </c>
      <c r="H526">
        <v>5</v>
      </c>
    </row>
    <row r="527" spans="1:8" x14ac:dyDescent="0.25">
      <c r="A527" s="1" t="s">
        <v>546</v>
      </c>
      <c r="B527" s="1" t="s">
        <v>574</v>
      </c>
      <c r="C527" s="1" t="s">
        <v>33</v>
      </c>
      <c r="D527">
        <v>47</v>
      </c>
      <c r="E527" s="1" t="s">
        <v>11</v>
      </c>
      <c r="F527">
        <v>457</v>
      </c>
      <c r="G527">
        <v>84.93</v>
      </c>
      <c r="H527">
        <v>2</v>
      </c>
    </row>
    <row r="528" spans="1:8" x14ac:dyDescent="0.25">
      <c r="A528" s="1" t="s">
        <v>546</v>
      </c>
      <c r="B528" s="1" t="s">
        <v>575</v>
      </c>
      <c r="C528" s="1" t="s">
        <v>31</v>
      </c>
      <c r="D528">
        <v>110</v>
      </c>
      <c r="E528" s="1" t="s">
        <v>19</v>
      </c>
      <c r="F528">
        <v>132</v>
      </c>
      <c r="G528">
        <v>21.31</v>
      </c>
      <c r="H528">
        <v>5</v>
      </c>
    </row>
    <row r="529" spans="1:8" x14ac:dyDescent="0.25">
      <c r="A529" s="1" t="s">
        <v>546</v>
      </c>
      <c r="B529" s="1" t="s">
        <v>576</v>
      </c>
      <c r="C529" s="1" t="s">
        <v>31</v>
      </c>
      <c r="D529">
        <v>37</v>
      </c>
      <c r="E529" s="1" t="s">
        <v>11</v>
      </c>
      <c r="F529">
        <v>94</v>
      </c>
      <c r="G529">
        <v>50.44</v>
      </c>
      <c r="H529">
        <v>4</v>
      </c>
    </row>
    <row r="530" spans="1:8" x14ac:dyDescent="0.25">
      <c r="A530" s="1" t="s">
        <v>546</v>
      </c>
      <c r="B530" s="1" t="s">
        <v>577</v>
      </c>
      <c r="C530" s="1" t="s">
        <v>40</v>
      </c>
      <c r="D530">
        <v>52</v>
      </c>
      <c r="E530" s="1" t="s">
        <v>11</v>
      </c>
      <c r="F530">
        <v>425</v>
      </c>
      <c r="G530">
        <v>97.25</v>
      </c>
      <c r="H530">
        <v>0</v>
      </c>
    </row>
    <row r="531" spans="1:8" x14ac:dyDescent="0.25">
      <c r="A531" s="1" t="s">
        <v>546</v>
      </c>
      <c r="B531" s="1" t="s">
        <v>578</v>
      </c>
      <c r="C531" s="1" t="s">
        <v>44</v>
      </c>
      <c r="D531">
        <v>53</v>
      </c>
      <c r="E531" s="1" t="s">
        <v>14</v>
      </c>
      <c r="F531">
        <v>27</v>
      </c>
      <c r="G531">
        <v>18.77</v>
      </c>
      <c r="H531">
        <v>0</v>
      </c>
    </row>
    <row r="532" spans="1:8" x14ac:dyDescent="0.25">
      <c r="A532" s="1" t="s">
        <v>546</v>
      </c>
      <c r="B532" s="1" t="s">
        <v>579</v>
      </c>
      <c r="C532" s="1" t="s">
        <v>89</v>
      </c>
      <c r="D532">
        <v>110</v>
      </c>
      <c r="E532" s="1" t="s">
        <v>22</v>
      </c>
      <c r="F532">
        <v>47</v>
      </c>
      <c r="G532">
        <v>29.68</v>
      </c>
      <c r="H532">
        <v>0</v>
      </c>
    </row>
    <row r="533" spans="1:8" x14ac:dyDescent="0.25">
      <c r="A533" s="1" t="s">
        <v>546</v>
      </c>
      <c r="B533" s="1" t="s">
        <v>580</v>
      </c>
      <c r="C533" s="1" t="s">
        <v>16</v>
      </c>
      <c r="D533">
        <v>80</v>
      </c>
      <c r="E533" s="1" t="s">
        <v>14</v>
      </c>
      <c r="F533">
        <v>458</v>
      </c>
      <c r="G533">
        <v>98.11</v>
      </c>
      <c r="H533">
        <v>0</v>
      </c>
    </row>
    <row r="534" spans="1:8" x14ac:dyDescent="0.25">
      <c r="A534" s="1" t="s">
        <v>546</v>
      </c>
      <c r="B534" s="1" t="s">
        <v>581</v>
      </c>
      <c r="C534" s="1" t="s">
        <v>26</v>
      </c>
      <c r="D534">
        <v>118</v>
      </c>
      <c r="E534" s="1" t="s">
        <v>19</v>
      </c>
      <c r="F534">
        <v>461</v>
      </c>
      <c r="G534">
        <v>47.82</v>
      </c>
      <c r="H534">
        <v>5</v>
      </c>
    </row>
    <row r="535" spans="1:8" x14ac:dyDescent="0.25">
      <c r="A535" s="1" t="s">
        <v>546</v>
      </c>
      <c r="B535" s="1" t="s">
        <v>582</v>
      </c>
      <c r="C535" s="1" t="s">
        <v>51</v>
      </c>
      <c r="D535">
        <v>88</v>
      </c>
      <c r="E535" s="1" t="s">
        <v>11</v>
      </c>
      <c r="F535">
        <v>219</v>
      </c>
      <c r="G535">
        <v>59.15</v>
      </c>
      <c r="H535">
        <v>0</v>
      </c>
    </row>
    <row r="536" spans="1:8" x14ac:dyDescent="0.25">
      <c r="A536" s="1" t="s">
        <v>546</v>
      </c>
      <c r="B536" s="1" t="s">
        <v>583</v>
      </c>
      <c r="C536" s="1" t="s">
        <v>24</v>
      </c>
      <c r="D536">
        <v>17</v>
      </c>
      <c r="E536" s="1" t="s">
        <v>14</v>
      </c>
      <c r="F536">
        <v>175</v>
      </c>
      <c r="G536">
        <v>24.95</v>
      </c>
      <c r="H536">
        <v>4</v>
      </c>
    </row>
    <row r="537" spans="1:8" x14ac:dyDescent="0.25">
      <c r="A537" s="1" t="s">
        <v>546</v>
      </c>
      <c r="B537" s="1" t="s">
        <v>584</v>
      </c>
      <c r="C537" s="1" t="s">
        <v>64</v>
      </c>
      <c r="D537">
        <v>57</v>
      </c>
      <c r="E537" s="1" t="s">
        <v>19</v>
      </c>
      <c r="F537">
        <v>493</v>
      </c>
      <c r="G537">
        <v>43.98</v>
      </c>
      <c r="H537">
        <v>3</v>
      </c>
    </row>
    <row r="538" spans="1:8" x14ac:dyDescent="0.25">
      <c r="A538" s="1" t="s">
        <v>546</v>
      </c>
      <c r="B538" s="1" t="s">
        <v>585</v>
      </c>
      <c r="C538" s="1" t="s">
        <v>44</v>
      </c>
      <c r="D538">
        <v>47</v>
      </c>
      <c r="E538" s="1" t="s">
        <v>22</v>
      </c>
      <c r="F538">
        <v>385</v>
      </c>
      <c r="G538">
        <v>41.33</v>
      </c>
      <c r="H538">
        <v>0</v>
      </c>
    </row>
    <row r="539" spans="1:8" x14ac:dyDescent="0.25">
      <c r="A539" s="1" t="s">
        <v>546</v>
      </c>
      <c r="B539" s="1" t="s">
        <v>586</v>
      </c>
      <c r="C539" s="1" t="s">
        <v>137</v>
      </c>
      <c r="D539">
        <v>66</v>
      </c>
      <c r="E539" s="1" t="s">
        <v>14</v>
      </c>
      <c r="F539">
        <v>152</v>
      </c>
      <c r="G539">
        <v>95.71</v>
      </c>
      <c r="H539">
        <v>3</v>
      </c>
    </row>
    <row r="540" spans="1:8" x14ac:dyDescent="0.25">
      <c r="A540" s="1" t="s">
        <v>546</v>
      </c>
      <c r="B540" s="1" t="s">
        <v>587</v>
      </c>
      <c r="C540" s="1" t="s">
        <v>35</v>
      </c>
      <c r="D540">
        <v>109</v>
      </c>
      <c r="E540" s="1" t="s">
        <v>22</v>
      </c>
      <c r="F540">
        <v>84</v>
      </c>
      <c r="G540">
        <v>97.46</v>
      </c>
      <c r="H540">
        <v>5</v>
      </c>
    </row>
    <row r="541" spans="1:8" x14ac:dyDescent="0.25">
      <c r="A541" s="1" t="s">
        <v>546</v>
      </c>
      <c r="B541" s="1" t="s">
        <v>588</v>
      </c>
      <c r="C541" s="1" t="s">
        <v>60</v>
      </c>
      <c r="D541">
        <v>80</v>
      </c>
      <c r="E541" s="1" t="s">
        <v>22</v>
      </c>
      <c r="F541">
        <v>101</v>
      </c>
      <c r="G541">
        <v>61.92</v>
      </c>
      <c r="H541">
        <v>4</v>
      </c>
    </row>
    <row r="542" spans="1:8" x14ac:dyDescent="0.25">
      <c r="A542" s="1" t="s">
        <v>546</v>
      </c>
      <c r="B542" s="1" t="s">
        <v>589</v>
      </c>
      <c r="C542" s="1" t="s">
        <v>24</v>
      </c>
      <c r="D542">
        <v>41</v>
      </c>
      <c r="E542" s="1" t="s">
        <v>11</v>
      </c>
      <c r="F542">
        <v>178</v>
      </c>
      <c r="G542">
        <v>11.29</v>
      </c>
      <c r="H542">
        <v>4</v>
      </c>
    </row>
    <row r="543" spans="1:8" x14ac:dyDescent="0.25">
      <c r="A543" s="1" t="s">
        <v>546</v>
      </c>
      <c r="B543" s="1" t="s">
        <v>590</v>
      </c>
      <c r="C543" s="1" t="s">
        <v>24</v>
      </c>
      <c r="D543">
        <v>48</v>
      </c>
      <c r="E543" s="1" t="s">
        <v>19</v>
      </c>
      <c r="F543">
        <v>482</v>
      </c>
      <c r="G543">
        <v>83.24</v>
      </c>
      <c r="H543">
        <v>0</v>
      </c>
    </row>
    <row r="544" spans="1:8" x14ac:dyDescent="0.25">
      <c r="A544" s="1" t="s">
        <v>546</v>
      </c>
      <c r="B544" s="1" t="s">
        <v>591</v>
      </c>
      <c r="C544" s="1" t="s">
        <v>40</v>
      </c>
      <c r="D544">
        <v>11</v>
      </c>
      <c r="E544" s="1" t="s">
        <v>14</v>
      </c>
      <c r="F544">
        <v>214</v>
      </c>
      <c r="G544">
        <v>11.46</v>
      </c>
      <c r="H544">
        <v>5</v>
      </c>
    </row>
    <row r="545" spans="1:8" x14ac:dyDescent="0.25">
      <c r="A545" s="1" t="s">
        <v>546</v>
      </c>
      <c r="B545" s="1" t="s">
        <v>592</v>
      </c>
      <c r="C545" s="1" t="s">
        <v>26</v>
      </c>
      <c r="D545">
        <v>88</v>
      </c>
      <c r="E545" s="1" t="s">
        <v>19</v>
      </c>
      <c r="F545">
        <v>246</v>
      </c>
      <c r="G545">
        <v>90.7</v>
      </c>
      <c r="H545">
        <v>3</v>
      </c>
    </row>
    <row r="546" spans="1:8" x14ac:dyDescent="0.25">
      <c r="A546" s="1" t="s">
        <v>546</v>
      </c>
      <c r="B546" s="1" t="s">
        <v>593</v>
      </c>
      <c r="C546" s="1" t="s">
        <v>51</v>
      </c>
      <c r="D546">
        <v>53</v>
      </c>
      <c r="E546" s="1" t="s">
        <v>11</v>
      </c>
      <c r="F546">
        <v>243</v>
      </c>
      <c r="G546">
        <v>55.19</v>
      </c>
      <c r="H546">
        <v>4</v>
      </c>
    </row>
    <row r="547" spans="1:8" x14ac:dyDescent="0.25">
      <c r="A547" s="1" t="s">
        <v>546</v>
      </c>
      <c r="B547" s="1" t="s">
        <v>594</v>
      </c>
      <c r="C547" s="1" t="s">
        <v>127</v>
      </c>
      <c r="D547">
        <v>65</v>
      </c>
      <c r="E547" s="1" t="s">
        <v>14</v>
      </c>
      <c r="F547">
        <v>274</v>
      </c>
      <c r="G547">
        <v>88.1</v>
      </c>
      <c r="H547">
        <v>4</v>
      </c>
    </row>
    <row r="548" spans="1:8" x14ac:dyDescent="0.25">
      <c r="A548" s="1" t="s">
        <v>546</v>
      </c>
      <c r="B548" s="1" t="s">
        <v>595</v>
      </c>
      <c r="C548" s="1" t="s">
        <v>78</v>
      </c>
      <c r="D548">
        <v>58</v>
      </c>
      <c r="E548" s="1" t="s">
        <v>14</v>
      </c>
      <c r="F548">
        <v>352</v>
      </c>
      <c r="G548">
        <v>72.94</v>
      </c>
      <c r="H548">
        <v>0</v>
      </c>
    </row>
    <row r="549" spans="1:8" x14ac:dyDescent="0.25">
      <c r="A549" s="1" t="s">
        <v>546</v>
      </c>
      <c r="B549" s="1" t="s">
        <v>596</v>
      </c>
      <c r="C549" s="1" t="s">
        <v>29</v>
      </c>
      <c r="D549">
        <v>34</v>
      </c>
      <c r="E549" s="1" t="s">
        <v>22</v>
      </c>
      <c r="F549">
        <v>401</v>
      </c>
      <c r="G549">
        <v>68.400000000000006</v>
      </c>
      <c r="H549">
        <v>5</v>
      </c>
    </row>
    <row r="550" spans="1:8" x14ac:dyDescent="0.25">
      <c r="A550" s="1" t="s">
        <v>597</v>
      </c>
      <c r="B550" s="1" t="s">
        <v>598</v>
      </c>
      <c r="C550" s="1" t="s">
        <v>57</v>
      </c>
      <c r="D550">
        <v>51</v>
      </c>
      <c r="E550" s="1" t="s">
        <v>22</v>
      </c>
      <c r="F550">
        <v>152</v>
      </c>
      <c r="G550">
        <v>34.630000000000003</v>
      </c>
      <c r="H550">
        <v>2</v>
      </c>
    </row>
    <row r="551" spans="1:8" x14ac:dyDescent="0.25">
      <c r="A551" s="1" t="s">
        <v>597</v>
      </c>
      <c r="B551" s="1" t="s">
        <v>599</v>
      </c>
      <c r="C551" s="1" t="s">
        <v>137</v>
      </c>
      <c r="D551">
        <v>25</v>
      </c>
      <c r="E551" s="1" t="s">
        <v>19</v>
      </c>
      <c r="F551">
        <v>5</v>
      </c>
      <c r="G551">
        <v>27.93</v>
      </c>
      <c r="H551">
        <v>0</v>
      </c>
    </row>
    <row r="552" spans="1:8" x14ac:dyDescent="0.25">
      <c r="A552" s="1" t="s">
        <v>597</v>
      </c>
      <c r="B552" s="1" t="s">
        <v>600</v>
      </c>
      <c r="C552" s="1" t="s">
        <v>127</v>
      </c>
      <c r="D552">
        <v>79</v>
      </c>
      <c r="E552" s="1" t="s">
        <v>19</v>
      </c>
      <c r="F552">
        <v>462</v>
      </c>
      <c r="G552">
        <v>18.28</v>
      </c>
      <c r="H552">
        <v>0</v>
      </c>
    </row>
    <row r="553" spans="1:8" x14ac:dyDescent="0.25">
      <c r="A553" s="1" t="s">
        <v>597</v>
      </c>
      <c r="B553" s="1" t="s">
        <v>601</v>
      </c>
      <c r="C553" s="1" t="s">
        <v>60</v>
      </c>
      <c r="D553">
        <v>83</v>
      </c>
      <c r="E553" s="1" t="s">
        <v>14</v>
      </c>
      <c r="F553">
        <v>91</v>
      </c>
      <c r="G553">
        <v>73.73</v>
      </c>
      <c r="H553">
        <v>2</v>
      </c>
    </row>
    <row r="554" spans="1:8" x14ac:dyDescent="0.25">
      <c r="A554" s="1" t="s">
        <v>597</v>
      </c>
      <c r="B554" s="1" t="s">
        <v>602</v>
      </c>
      <c r="C554" s="1" t="s">
        <v>131</v>
      </c>
      <c r="D554">
        <v>51</v>
      </c>
      <c r="E554" s="1" t="s">
        <v>19</v>
      </c>
      <c r="F554">
        <v>337</v>
      </c>
      <c r="G554">
        <v>68.67</v>
      </c>
      <c r="H554">
        <v>5</v>
      </c>
    </row>
    <row r="555" spans="1:8" x14ac:dyDescent="0.25">
      <c r="A555" s="1" t="s">
        <v>597</v>
      </c>
      <c r="B555" s="1" t="s">
        <v>603</v>
      </c>
      <c r="C555" s="1" t="s">
        <v>51</v>
      </c>
      <c r="D555">
        <v>107</v>
      </c>
      <c r="E555" s="1" t="s">
        <v>22</v>
      </c>
      <c r="F555">
        <v>290</v>
      </c>
      <c r="G555">
        <v>52.03</v>
      </c>
      <c r="H555">
        <v>0</v>
      </c>
    </row>
    <row r="556" spans="1:8" x14ac:dyDescent="0.25">
      <c r="A556" s="1" t="s">
        <v>597</v>
      </c>
      <c r="B556" s="1" t="s">
        <v>604</v>
      </c>
      <c r="C556" s="1" t="s">
        <v>33</v>
      </c>
      <c r="D556">
        <v>7</v>
      </c>
      <c r="E556" s="1" t="s">
        <v>14</v>
      </c>
      <c r="F556">
        <v>323</v>
      </c>
      <c r="G556">
        <v>82.81</v>
      </c>
      <c r="H556">
        <v>5</v>
      </c>
    </row>
    <row r="557" spans="1:8" x14ac:dyDescent="0.25">
      <c r="A557" s="1" t="s">
        <v>597</v>
      </c>
      <c r="B557" s="1" t="s">
        <v>605</v>
      </c>
      <c r="C557" s="1" t="s">
        <v>26</v>
      </c>
      <c r="D557">
        <v>103</v>
      </c>
      <c r="E557" s="1" t="s">
        <v>11</v>
      </c>
      <c r="F557">
        <v>310</v>
      </c>
      <c r="G557">
        <v>49.25</v>
      </c>
      <c r="H557">
        <v>2</v>
      </c>
    </row>
    <row r="558" spans="1:8" x14ac:dyDescent="0.25">
      <c r="A558" s="1" t="s">
        <v>597</v>
      </c>
      <c r="B558" s="1" t="s">
        <v>606</v>
      </c>
      <c r="C558" s="1" t="s">
        <v>51</v>
      </c>
      <c r="D558">
        <v>120</v>
      </c>
      <c r="E558" s="1" t="s">
        <v>22</v>
      </c>
      <c r="F558">
        <v>437</v>
      </c>
      <c r="G558">
        <v>95.17</v>
      </c>
      <c r="H558">
        <v>1</v>
      </c>
    </row>
    <row r="559" spans="1:8" x14ac:dyDescent="0.25">
      <c r="A559" s="1" t="s">
        <v>597</v>
      </c>
      <c r="B559" s="1" t="s">
        <v>607</v>
      </c>
      <c r="C559" s="1" t="s">
        <v>21</v>
      </c>
      <c r="D559">
        <v>74</v>
      </c>
      <c r="E559" s="1" t="s">
        <v>22</v>
      </c>
      <c r="F559">
        <v>16</v>
      </c>
      <c r="G559">
        <v>93.01</v>
      </c>
      <c r="H559">
        <v>3</v>
      </c>
    </row>
    <row r="560" spans="1:8" x14ac:dyDescent="0.25">
      <c r="A560" s="1" t="s">
        <v>597</v>
      </c>
      <c r="B560" s="1" t="s">
        <v>608</v>
      </c>
      <c r="C560" s="1" t="s">
        <v>24</v>
      </c>
      <c r="D560">
        <v>55</v>
      </c>
      <c r="E560" s="1" t="s">
        <v>22</v>
      </c>
      <c r="F560">
        <v>60</v>
      </c>
      <c r="G560">
        <v>32.51</v>
      </c>
      <c r="H560">
        <v>4</v>
      </c>
    </row>
    <row r="561" spans="1:8" x14ac:dyDescent="0.25">
      <c r="A561" s="1" t="s">
        <v>597</v>
      </c>
      <c r="B561" s="1" t="s">
        <v>609</v>
      </c>
      <c r="C561" s="1" t="s">
        <v>127</v>
      </c>
      <c r="D561">
        <v>17</v>
      </c>
      <c r="E561" s="1" t="s">
        <v>11</v>
      </c>
      <c r="F561">
        <v>499</v>
      </c>
      <c r="G561">
        <v>27.81</v>
      </c>
      <c r="H561">
        <v>2</v>
      </c>
    </row>
    <row r="562" spans="1:8" x14ac:dyDescent="0.25">
      <c r="A562" s="1" t="s">
        <v>597</v>
      </c>
      <c r="B562" s="1" t="s">
        <v>610</v>
      </c>
      <c r="C562" s="1" t="s">
        <v>10</v>
      </c>
      <c r="D562">
        <v>82</v>
      </c>
      <c r="E562" s="1" t="s">
        <v>22</v>
      </c>
      <c r="F562">
        <v>175</v>
      </c>
      <c r="G562">
        <v>86.14</v>
      </c>
      <c r="H562">
        <v>1</v>
      </c>
    </row>
    <row r="563" spans="1:8" x14ac:dyDescent="0.25">
      <c r="A563" s="1" t="s">
        <v>597</v>
      </c>
      <c r="B563" s="1" t="s">
        <v>611</v>
      </c>
      <c r="C563" s="1" t="s">
        <v>16</v>
      </c>
      <c r="D563">
        <v>50</v>
      </c>
      <c r="E563" s="1" t="s">
        <v>22</v>
      </c>
      <c r="F563">
        <v>177</v>
      </c>
      <c r="G563">
        <v>74.569999999999993</v>
      </c>
      <c r="H563">
        <v>4</v>
      </c>
    </row>
    <row r="564" spans="1:8" x14ac:dyDescent="0.25">
      <c r="A564" s="1" t="s">
        <v>597</v>
      </c>
      <c r="B564" s="1" t="s">
        <v>612</v>
      </c>
      <c r="C564" s="1" t="s">
        <v>37</v>
      </c>
      <c r="D564">
        <v>94</v>
      </c>
      <c r="E564" s="1" t="s">
        <v>14</v>
      </c>
      <c r="F564">
        <v>247</v>
      </c>
      <c r="G564">
        <v>96.57</v>
      </c>
      <c r="H564">
        <v>0</v>
      </c>
    </row>
    <row r="565" spans="1:8" x14ac:dyDescent="0.25">
      <c r="A565" s="1" t="s">
        <v>597</v>
      </c>
      <c r="B565" s="1" t="s">
        <v>613</v>
      </c>
      <c r="C565" s="1" t="s">
        <v>24</v>
      </c>
      <c r="D565">
        <v>23</v>
      </c>
      <c r="E565" s="1" t="s">
        <v>11</v>
      </c>
      <c r="F565">
        <v>314</v>
      </c>
      <c r="G565">
        <v>19.260000000000002</v>
      </c>
      <c r="H565">
        <v>3</v>
      </c>
    </row>
    <row r="566" spans="1:8" x14ac:dyDescent="0.25">
      <c r="A566" s="1" t="s">
        <v>597</v>
      </c>
      <c r="B566" s="1" t="s">
        <v>614</v>
      </c>
      <c r="C566" s="1" t="s">
        <v>18</v>
      </c>
      <c r="D566">
        <v>52</v>
      </c>
      <c r="E566" s="1" t="s">
        <v>19</v>
      </c>
      <c r="F566">
        <v>307</v>
      </c>
      <c r="G566">
        <v>81.38</v>
      </c>
      <c r="H566">
        <v>2</v>
      </c>
    </row>
    <row r="567" spans="1:8" x14ac:dyDescent="0.25">
      <c r="A567" s="1" t="s">
        <v>597</v>
      </c>
      <c r="B567" s="1" t="s">
        <v>615</v>
      </c>
      <c r="C567" s="1" t="s">
        <v>131</v>
      </c>
      <c r="D567">
        <v>116</v>
      </c>
      <c r="E567" s="1" t="s">
        <v>11</v>
      </c>
      <c r="F567">
        <v>279</v>
      </c>
      <c r="G567">
        <v>62.88</v>
      </c>
      <c r="H567">
        <v>4</v>
      </c>
    </row>
    <row r="568" spans="1:8" x14ac:dyDescent="0.25">
      <c r="A568" s="1" t="s">
        <v>597</v>
      </c>
      <c r="B568" s="1" t="s">
        <v>616</v>
      </c>
      <c r="C568" s="1" t="s">
        <v>64</v>
      </c>
      <c r="D568">
        <v>41</v>
      </c>
      <c r="E568" s="1" t="s">
        <v>19</v>
      </c>
      <c r="F568">
        <v>2</v>
      </c>
      <c r="G568">
        <v>24.91</v>
      </c>
      <c r="H568">
        <v>1</v>
      </c>
    </row>
    <row r="569" spans="1:8" x14ac:dyDescent="0.25">
      <c r="A569" s="1" t="s">
        <v>597</v>
      </c>
      <c r="B569" s="1" t="s">
        <v>617</v>
      </c>
      <c r="C569" s="1" t="s">
        <v>21</v>
      </c>
      <c r="D569">
        <v>67</v>
      </c>
      <c r="E569" s="1" t="s">
        <v>22</v>
      </c>
      <c r="F569">
        <v>81</v>
      </c>
      <c r="G569">
        <v>28.52</v>
      </c>
      <c r="H569">
        <v>4</v>
      </c>
    </row>
    <row r="570" spans="1:8" x14ac:dyDescent="0.25">
      <c r="A570" s="1" t="s">
        <v>597</v>
      </c>
      <c r="B570" s="1" t="s">
        <v>618</v>
      </c>
      <c r="C570" s="1" t="s">
        <v>24</v>
      </c>
      <c r="D570">
        <v>21</v>
      </c>
      <c r="E570" s="1" t="s">
        <v>19</v>
      </c>
      <c r="F570">
        <v>267</v>
      </c>
      <c r="G570">
        <v>74.989999999999995</v>
      </c>
      <c r="H570">
        <v>1</v>
      </c>
    </row>
    <row r="571" spans="1:8" x14ac:dyDescent="0.25">
      <c r="A571" s="1" t="s">
        <v>597</v>
      </c>
      <c r="B571" s="1" t="s">
        <v>619</v>
      </c>
      <c r="C571" s="1" t="s">
        <v>57</v>
      </c>
      <c r="D571">
        <v>56</v>
      </c>
      <c r="E571" s="1" t="s">
        <v>19</v>
      </c>
      <c r="F571">
        <v>379</v>
      </c>
      <c r="G571">
        <v>49.01</v>
      </c>
      <c r="H571">
        <v>0</v>
      </c>
    </row>
    <row r="572" spans="1:8" x14ac:dyDescent="0.25">
      <c r="A572" s="1" t="s">
        <v>597</v>
      </c>
      <c r="B572" s="1" t="s">
        <v>620</v>
      </c>
      <c r="C572" s="1" t="s">
        <v>73</v>
      </c>
      <c r="D572">
        <v>30</v>
      </c>
      <c r="E572" s="1" t="s">
        <v>19</v>
      </c>
      <c r="F572">
        <v>130</v>
      </c>
      <c r="G572">
        <v>50.15</v>
      </c>
      <c r="H572">
        <v>4</v>
      </c>
    </row>
    <row r="573" spans="1:8" x14ac:dyDescent="0.25">
      <c r="A573" s="1" t="s">
        <v>597</v>
      </c>
      <c r="B573" s="1" t="s">
        <v>621</v>
      </c>
      <c r="C573" s="1" t="s">
        <v>35</v>
      </c>
      <c r="D573">
        <v>13</v>
      </c>
      <c r="E573" s="1" t="s">
        <v>14</v>
      </c>
      <c r="F573">
        <v>474</v>
      </c>
      <c r="G573">
        <v>63.67</v>
      </c>
      <c r="H573">
        <v>2</v>
      </c>
    </row>
    <row r="574" spans="1:8" x14ac:dyDescent="0.25">
      <c r="A574" s="1" t="s">
        <v>597</v>
      </c>
      <c r="B574" s="1" t="s">
        <v>622</v>
      </c>
      <c r="C574" s="1" t="s">
        <v>67</v>
      </c>
      <c r="D574">
        <v>91</v>
      </c>
      <c r="E574" s="1" t="s">
        <v>19</v>
      </c>
      <c r="F574">
        <v>62</v>
      </c>
      <c r="G574">
        <v>34.450000000000003</v>
      </c>
      <c r="H574">
        <v>5</v>
      </c>
    </row>
    <row r="575" spans="1:8" x14ac:dyDescent="0.25">
      <c r="A575" s="1" t="s">
        <v>597</v>
      </c>
      <c r="B575" s="1" t="s">
        <v>623</v>
      </c>
      <c r="C575" s="1" t="s">
        <v>13</v>
      </c>
      <c r="D575">
        <v>103</v>
      </c>
      <c r="E575" s="1" t="s">
        <v>19</v>
      </c>
      <c r="F575">
        <v>98</v>
      </c>
      <c r="G575">
        <v>38.69</v>
      </c>
      <c r="H575">
        <v>4</v>
      </c>
    </row>
    <row r="576" spans="1:8" x14ac:dyDescent="0.25">
      <c r="A576" s="1" t="s">
        <v>597</v>
      </c>
      <c r="B576" s="1" t="s">
        <v>624</v>
      </c>
      <c r="C576" s="1" t="s">
        <v>67</v>
      </c>
      <c r="D576">
        <v>17</v>
      </c>
      <c r="E576" s="1" t="s">
        <v>22</v>
      </c>
      <c r="F576">
        <v>310</v>
      </c>
      <c r="G576">
        <v>19.68</v>
      </c>
      <c r="H576">
        <v>5</v>
      </c>
    </row>
    <row r="577" spans="1:8" x14ac:dyDescent="0.25">
      <c r="A577" s="1" t="s">
        <v>597</v>
      </c>
      <c r="B577" s="1" t="s">
        <v>625</v>
      </c>
      <c r="C577" s="1" t="s">
        <v>35</v>
      </c>
      <c r="D577">
        <v>65</v>
      </c>
      <c r="E577" s="1" t="s">
        <v>11</v>
      </c>
      <c r="F577">
        <v>15</v>
      </c>
      <c r="G577">
        <v>44.47</v>
      </c>
      <c r="H577">
        <v>0</v>
      </c>
    </row>
    <row r="578" spans="1:8" x14ac:dyDescent="0.25">
      <c r="A578" s="1" t="s">
        <v>597</v>
      </c>
      <c r="B578" s="1" t="s">
        <v>626</v>
      </c>
      <c r="C578" s="1" t="s">
        <v>24</v>
      </c>
      <c r="D578">
        <v>16</v>
      </c>
      <c r="E578" s="1" t="s">
        <v>11</v>
      </c>
      <c r="F578">
        <v>274</v>
      </c>
      <c r="G578">
        <v>27.97</v>
      </c>
      <c r="H578">
        <v>4</v>
      </c>
    </row>
    <row r="579" spans="1:8" x14ac:dyDescent="0.25">
      <c r="A579" s="1" t="s">
        <v>597</v>
      </c>
      <c r="B579" s="1" t="s">
        <v>627</v>
      </c>
      <c r="C579" s="1" t="s">
        <v>10</v>
      </c>
      <c r="D579">
        <v>81</v>
      </c>
      <c r="E579" s="1" t="s">
        <v>22</v>
      </c>
      <c r="F579">
        <v>11</v>
      </c>
      <c r="G579">
        <v>41.76</v>
      </c>
      <c r="H579">
        <v>5</v>
      </c>
    </row>
    <row r="580" spans="1:8" x14ac:dyDescent="0.25">
      <c r="A580" s="1" t="s">
        <v>597</v>
      </c>
      <c r="B580" s="1" t="s">
        <v>628</v>
      </c>
      <c r="C580" s="1" t="s">
        <v>13</v>
      </c>
      <c r="D580">
        <v>74</v>
      </c>
      <c r="E580" s="1" t="s">
        <v>19</v>
      </c>
      <c r="F580">
        <v>265</v>
      </c>
      <c r="G580">
        <v>90.81</v>
      </c>
      <c r="H580">
        <v>3</v>
      </c>
    </row>
    <row r="581" spans="1:8" x14ac:dyDescent="0.25">
      <c r="A581" s="1" t="s">
        <v>597</v>
      </c>
      <c r="B581" s="1" t="s">
        <v>629</v>
      </c>
      <c r="C581" s="1" t="s">
        <v>57</v>
      </c>
      <c r="D581">
        <v>101</v>
      </c>
      <c r="E581" s="1" t="s">
        <v>19</v>
      </c>
      <c r="F581">
        <v>262</v>
      </c>
      <c r="G581">
        <v>83.74</v>
      </c>
      <c r="H581">
        <v>5</v>
      </c>
    </row>
    <row r="582" spans="1:8" x14ac:dyDescent="0.25">
      <c r="A582" s="1" t="s">
        <v>597</v>
      </c>
      <c r="B582" s="1" t="s">
        <v>630</v>
      </c>
      <c r="C582" s="1" t="s">
        <v>64</v>
      </c>
      <c r="D582">
        <v>51</v>
      </c>
      <c r="E582" s="1" t="s">
        <v>14</v>
      </c>
      <c r="F582">
        <v>389</v>
      </c>
      <c r="G582">
        <v>50.45</v>
      </c>
      <c r="H582">
        <v>3</v>
      </c>
    </row>
    <row r="583" spans="1:8" x14ac:dyDescent="0.25">
      <c r="A583" s="1" t="s">
        <v>597</v>
      </c>
      <c r="B583" s="1" t="s">
        <v>631</v>
      </c>
      <c r="C583" s="1" t="s">
        <v>10</v>
      </c>
      <c r="D583">
        <v>108</v>
      </c>
      <c r="E583" s="1" t="s">
        <v>11</v>
      </c>
      <c r="F583">
        <v>78</v>
      </c>
      <c r="G583">
        <v>90.05</v>
      </c>
      <c r="H583">
        <v>2</v>
      </c>
    </row>
    <row r="584" spans="1:8" x14ac:dyDescent="0.25">
      <c r="A584" s="1" t="s">
        <v>597</v>
      </c>
      <c r="B584" s="1" t="s">
        <v>632</v>
      </c>
      <c r="C584" s="1" t="s">
        <v>62</v>
      </c>
      <c r="D584">
        <v>98</v>
      </c>
      <c r="E584" s="1" t="s">
        <v>22</v>
      </c>
      <c r="F584">
        <v>110</v>
      </c>
      <c r="G584">
        <v>96.23</v>
      </c>
      <c r="H584">
        <v>2</v>
      </c>
    </row>
    <row r="585" spans="1:8" x14ac:dyDescent="0.25">
      <c r="A585" s="1" t="s">
        <v>597</v>
      </c>
      <c r="B585" s="1" t="s">
        <v>633</v>
      </c>
      <c r="C585" s="1" t="s">
        <v>64</v>
      </c>
      <c r="D585">
        <v>81</v>
      </c>
      <c r="E585" s="1" t="s">
        <v>14</v>
      </c>
      <c r="F585">
        <v>443</v>
      </c>
      <c r="G585">
        <v>32.78</v>
      </c>
      <c r="H585">
        <v>1</v>
      </c>
    </row>
    <row r="586" spans="1:8" x14ac:dyDescent="0.25">
      <c r="A586" s="1" t="s">
        <v>597</v>
      </c>
      <c r="B586" s="1" t="s">
        <v>634</v>
      </c>
      <c r="C586" s="1" t="s">
        <v>64</v>
      </c>
      <c r="D586">
        <v>118</v>
      </c>
      <c r="E586" s="1" t="s">
        <v>19</v>
      </c>
      <c r="F586">
        <v>186</v>
      </c>
      <c r="G586">
        <v>46.88</v>
      </c>
      <c r="H586">
        <v>1</v>
      </c>
    </row>
    <row r="587" spans="1:8" x14ac:dyDescent="0.25">
      <c r="A587" s="1" t="s">
        <v>597</v>
      </c>
      <c r="B587" s="1" t="s">
        <v>635</v>
      </c>
      <c r="C587" s="1" t="s">
        <v>44</v>
      </c>
      <c r="D587">
        <v>34</v>
      </c>
      <c r="E587" s="1" t="s">
        <v>14</v>
      </c>
      <c r="F587">
        <v>58</v>
      </c>
      <c r="G587">
        <v>64.349999999999994</v>
      </c>
      <c r="H587">
        <v>0</v>
      </c>
    </row>
    <row r="588" spans="1:8" x14ac:dyDescent="0.25">
      <c r="A588" s="1" t="s">
        <v>597</v>
      </c>
      <c r="B588" s="1" t="s">
        <v>636</v>
      </c>
      <c r="C588" s="1" t="s">
        <v>24</v>
      </c>
      <c r="D588">
        <v>108</v>
      </c>
      <c r="E588" s="1" t="s">
        <v>19</v>
      </c>
      <c r="F588">
        <v>460</v>
      </c>
      <c r="G588">
        <v>88.95</v>
      </c>
      <c r="H588">
        <v>3</v>
      </c>
    </row>
    <row r="589" spans="1:8" x14ac:dyDescent="0.25">
      <c r="A589" s="1" t="s">
        <v>597</v>
      </c>
      <c r="B589" s="1" t="s">
        <v>637</v>
      </c>
      <c r="C589" s="1" t="s">
        <v>21</v>
      </c>
      <c r="D589">
        <v>71</v>
      </c>
      <c r="E589" s="1" t="s">
        <v>14</v>
      </c>
      <c r="F589">
        <v>111</v>
      </c>
      <c r="G589">
        <v>95.53</v>
      </c>
      <c r="H589">
        <v>3</v>
      </c>
    </row>
    <row r="590" spans="1:8" x14ac:dyDescent="0.25">
      <c r="A590" s="1" t="s">
        <v>597</v>
      </c>
      <c r="B590" s="1" t="s">
        <v>638</v>
      </c>
      <c r="C590" s="1" t="s">
        <v>73</v>
      </c>
      <c r="D590">
        <v>21</v>
      </c>
      <c r="E590" s="1" t="s">
        <v>19</v>
      </c>
      <c r="F590">
        <v>15</v>
      </c>
      <c r="G590">
        <v>57.74</v>
      </c>
      <c r="H590">
        <v>0</v>
      </c>
    </row>
    <row r="591" spans="1:8" x14ac:dyDescent="0.25">
      <c r="A591" s="1" t="s">
        <v>597</v>
      </c>
      <c r="B591" s="1" t="s">
        <v>639</v>
      </c>
      <c r="C591" s="1" t="s">
        <v>18</v>
      </c>
      <c r="D591">
        <v>42</v>
      </c>
      <c r="E591" s="1" t="s">
        <v>14</v>
      </c>
      <c r="F591">
        <v>167</v>
      </c>
      <c r="G591">
        <v>45.85</v>
      </c>
      <c r="H591">
        <v>2</v>
      </c>
    </row>
    <row r="592" spans="1:8" x14ac:dyDescent="0.25">
      <c r="A592" s="1" t="s">
        <v>597</v>
      </c>
      <c r="B592" s="1" t="s">
        <v>640</v>
      </c>
      <c r="C592" s="1" t="s">
        <v>31</v>
      </c>
      <c r="D592">
        <v>27</v>
      </c>
      <c r="E592" s="1" t="s">
        <v>19</v>
      </c>
      <c r="F592">
        <v>70</v>
      </c>
      <c r="G592">
        <v>20.32</v>
      </c>
      <c r="H592">
        <v>3</v>
      </c>
    </row>
    <row r="593" spans="1:8" x14ac:dyDescent="0.25">
      <c r="A593" s="1" t="s">
        <v>597</v>
      </c>
      <c r="B593" s="1" t="s">
        <v>641</v>
      </c>
      <c r="C593" s="1" t="s">
        <v>78</v>
      </c>
      <c r="D593">
        <v>12</v>
      </c>
      <c r="E593" s="1" t="s">
        <v>22</v>
      </c>
      <c r="F593">
        <v>112</v>
      </c>
      <c r="G593">
        <v>82.81</v>
      </c>
      <c r="H593">
        <v>0</v>
      </c>
    </row>
    <row r="594" spans="1:8" x14ac:dyDescent="0.25">
      <c r="A594" s="1" t="s">
        <v>597</v>
      </c>
      <c r="B594" s="1" t="s">
        <v>642</v>
      </c>
      <c r="C594" s="1" t="s">
        <v>78</v>
      </c>
      <c r="D594">
        <v>12</v>
      </c>
      <c r="E594" s="1" t="s">
        <v>14</v>
      </c>
      <c r="F594">
        <v>42</v>
      </c>
      <c r="G594">
        <v>48.64</v>
      </c>
      <c r="H594">
        <v>0</v>
      </c>
    </row>
    <row r="595" spans="1:8" x14ac:dyDescent="0.25">
      <c r="A595" s="1" t="s">
        <v>597</v>
      </c>
      <c r="B595" s="1" t="s">
        <v>643</v>
      </c>
      <c r="C595" s="1" t="s">
        <v>29</v>
      </c>
      <c r="D595">
        <v>4</v>
      </c>
      <c r="E595" s="1" t="s">
        <v>14</v>
      </c>
      <c r="F595">
        <v>372</v>
      </c>
      <c r="G595">
        <v>26.73</v>
      </c>
      <c r="H595">
        <v>3</v>
      </c>
    </row>
    <row r="596" spans="1:8" x14ac:dyDescent="0.25">
      <c r="A596" s="1" t="s">
        <v>597</v>
      </c>
      <c r="B596" s="1" t="s">
        <v>644</v>
      </c>
      <c r="C596" s="1" t="s">
        <v>89</v>
      </c>
      <c r="D596">
        <v>56</v>
      </c>
      <c r="E596" s="1" t="s">
        <v>11</v>
      </c>
      <c r="F596">
        <v>354</v>
      </c>
      <c r="G596">
        <v>32.08</v>
      </c>
      <c r="H596">
        <v>1</v>
      </c>
    </row>
    <row r="597" spans="1:8" x14ac:dyDescent="0.25">
      <c r="A597" s="1" t="s">
        <v>597</v>
      </c>
      <c r="B597" s="1" t="s">
        <v>645</v>
      </c>
      <c r="C597" s="1" t="s">
        <v>10</v>
      </c>
      <c r="D597">
        <v>2</v>
      </c>
      <c r="E597" s="1" t="s">
        <v>14</v>
      </c>
      <c r="F597">
        <v>481</v>
      </c>
      <c r="G597">
        <v>29.37</v>
      </c>
      <c r="H597">
        <v>4</v>
      </c>
    </row>
    <row r="598" spans="1:8" x14ac:dyDescent="0.25">
      <c r="A598" s="1" t="s">
        <v>597</v>
      </c>
      <c r="B598" s="1" t="s">
        <v>646</v>
      </c>
      <c r="C598" s="1" t="s">
        <v>57</v>
      </c>
      <c r="D598">
        <v>81</v>
      </c>
      <c r="E598" s="1" t="s">
        <v>22</v>
      </c>
      <c r="F598">
        <v>64</v>
      </c>
      <c r="G598">
        <v>43.45</v>
      </c>
      <c r="H598">
        <v>2</v>
      </c>
    </row>
    <row r="599" spans="1:8" x14ac:dyDescent="0.25">
      <c r="A599" s="1" t="s">
        <v>597</v>
      </c>
      <c r="B599" s="1" t="s">
        <v>647</v>
      </c>
      <c r="C599" s="1" t="s">
        <v>60</v>
      </c>
      <c r="D599">
        <v>99</v>
      </c>
      <c r="E599" s="1" t="s">
        <v>22</v>
      </c>
      <c r="F599">
        <v>137</v>
      </c>
      <c r="G599">
        <v>23.05</v>
      </c>
      <c r="H599">
        <v>4</v>
      </c>
    </row>
    <row r="600" spans="1:8" x14ac:dyDescent="0.25">
      <c r="A600" s="1" t="s">
        <v>648</v>
      </c>
      <c r="B600" s="1" t="s">
        <v>649</v>
      </c>
      <c r="C600" s="1" t="s">
        <v>35</v>
      </c>
      <c r="D600">
        <v>18</v>
      </c>
      <c r="E600" s="1" t="s">
        <v>14</v>
      </c>
      <c r="F600">
        <v>75</v>
      </c>
      <c r="G600">
        <v>57.66</v>
      </c>
      <c r="H600">
        <v>1</v>
      </c>
    </row>
    <row r="601" spans="1:8" x14ac:dyDescent="0.25">
      <c r="A601" s="1" t="s">
        <v>648</v>
      </c>
      <c r="B601" s="1" t="s">
        <v>650</v>
      </c>
      <c r="C601" s="1" t="s">
        <v>64</v>
      </c>
      <c r="D601">
        <v>14</v>
      </c>
      <c r="E601" s="1" t="s">
        <v>14</v>
      </c>
      <c r="F601">
        <v>236</v>
      </c>
      <c r="G601">
        <v>54.43</v>
      </c>
      <c r="H601">
        <v>3</v>
      </c>
    </row>
    <row r="602" spans="1:8" x14ac:dyDescent="0.25">
      <c r="A602" s="1" t="s">
        <v>648</v>
      </c>
      <c r="B602" s="1" t="s">
        <v>651</v>
      </c>
      <c r="C602" s="1" t="s">
        <v>16</v>
      </c>
      <c r="D602">
        <v>42</v>
      </c>
      <c r="E602" s="1" t="s">
        <v>19</v>
      </c>
      <c r="F602">
        <v>448</v>
      </c>
      <c r="G602">
        <v>49.02</v>
      </c>
      <c r="H602">
        <v>0</v>
      </c>
    </row>
    <row r="603" spans="1:8" x14ac:dyDescent="0.25">
      <c r="A603" s="1" t="s">
        <v>648</v>
      </c>
      <c r="B603" s="1" t="s">
        <v>652</v>
      </c>
      <c r="C603" s="1" t="s">
        <v>24</v>
      </c>
      <c r="D603">
        <v>111</v>
      </c>
      <c r="E603" s="1" t="s">
        <v>22</v>
      </c>
      <c r="F603">
        <v>54</v>
      </c>
      <c r="G603">
        <v>71.3</v>
      </c>
      <c r="H603">
        <v>0</v>
      </c>
    </row>
    <row r="604" spans="1:8" x14ac:dyDescent="0.25">
      <c r="A604" s="1" t="s">
        <v>648</v>
      </c>
      <c r="B604" s="1" t="s">
        <v>653</v>
      </c>
      <c r="C604" s="1" t="s">
        <v>89</v>
      </c>
      <c r="D604">
        <v>89</v>
      </c>
      <c r="E604" s="1" t="s">
        <v>14</v>
      </c>
      <c r="F604">
        <v>381</v>
      </c>
      <c r="G604">
        <v>68.17</v>
      </c>
      <c r="H604">
        <v>0</v>
      </c>
    </row>
    <row r="605" spans="1:8" x14ac:dyDescent="0.25">
      <c r="A605" s="1" t="s">
        <v>648</v>
      </c>
      <c r="B605" s="1" t="s">
        <v>654</v>
      </c>
      <c r="C605" s="1" t="s">
        <v>64</v>
      </c>
      <c r="D605">
        <v>93</v>
      </c>
      <c r="E605" s="1" t="s">
        <v>14</v>
      </c>
      <c r="F605">
        <v>56</v>
      </c>
      <c r="G605">
        <v>96.31</v>
      </c>
      <c r="H605">
        <v>4</v>
      </c>
    </row>
    <row r="606" spans="1:8" x14ac:dyDescent="0.25">
      <c r="A606" s="1" t="s">
        <v>648</v>
      </c>
      <c r="B606" s="1" t="s">
        <v>655</v>
      </c>
      <c r="C606" s="1" t="s">
        <v>127</v>
      </c>
      <c r="D606">
        <v>56</v>
      </c>
      <c r="E606" s="1" t="s">
        <v>11</v>
      </c>
      <c r="F606">
        <v>123</v>
      </c>
      <c r="G606">
        <v>29.76</v>
      </c>
      <c r="H606">
        <v>5</v>
      </c>
    </row>
    <row r="607" spans="1:8" x14ac:dyDescent="0.25">
      <c r="A607" s="1" t="s">
        <v>648</v>
      </c>
      <c r="B607" s="1" t="s">
        <v>656</v>
      </c>
      <c r="C607" s="1" t="s">
        <v>35</v>
      </c>
      <c r="D607">
        <v>29</v>
      </c>
      <c r="E607" s="1" t="s">
        <v>11</v>
      </c>
      <c r="F607">
        <v>8</v>
      </c>
      <c r="G607">
        <v>14.78</v>
      </c>
      <c r="H607">
        <v>2</v>
      </c>
    </row>
    <row r="608" spans="1:8" x14ac:dyDescent="0.25">
      <c r="A608" s="1" t="s">
        <v>648</v>
      </c>
      <c r="B608" s="1" t="s">
        <v>657</v>
      </c>
      <c r="C608" s="1" t="s">
        <v>44</v>
      </c>
      <c r="D608">
        <v>22</v>
      </c>
      <c r="E608" s="1" t="s">
        <v>14</v>
      </c>
      <c r="F608">
        <v>457</v>
      </c>
      <c r="G608">
        <v>13.21</v>
      </c>
      <c r="H608">
        <v>1</v>
      </c>
    </row>
    <row r="609" spans="1:8" x14ac:dyDescent="0.25">
      <c r="A609" s="1" t="s">
        <v>648</v>
      </c>
      <c r="B609" s="1" t="s">
        <v>658</v>
      </c>
      <c r="C609" s="1" t="s">
        <v>131</v>
      </c>
      <c r="D609">
        <v>12</v>
      </c>
      <c r="E609" s="1" t="s">
        <v>22</v>
      </c>
      <c r="F609">
        <v>235</v>
      </c>
      <c r="G609">
        <v>33.96</v>
      </c>
      <c r="H609">
        <v>4</v>
      </c>
    </row>
    <row r="610" spans="1:8" x14ac:dyDescent="0.25">
      <c r="A610" s="1" t="s">
        <v>648</v>
      </c>
      <c r="B610" s="1" t="s">
        <v>659</v>
      </c>
      <c r="C610" s="1" t="s">
        <v>62</v>
      </c>
      <c r="D610">
        <v>25</v>
      </c>
      <c r="E610" s="1" t="s">
        <v>19</v>
      </c>
      <c r="F610">
        <v>95</v>
      </c>
      <c r="G610">
        <v>15.93</v>
      </c>
      <c r="H610">
        <v>4</v>
      </c>
    </row>
    <row r="611" spans="1:8" x14ac:dyDescent="0.25">
      <c r="A611" s="1" t="s">
        <v>648</v>
      </c>
      <c r="B611" s="1" t="s">
        <v>660</v>
      </c>
      <c r="C611" s="1" t="s">
        <v>60</v>
      </c>
      <c r="D611">
        <v>93</v>
      </c>
      <c r="E611" s="1" t="s">
        <v>11</v>
      </c>
      <c r="F611">
        <v>136</v>
      </c>
      <c r="G611">
        <v>19.09</v>
      </c>
      <c r="H611">
        <v>1</v>
      </c>
    </row>
    <row r="612" spans="1:8" x14ac:dyDescent="0.25">
      <c r="A612" s="1" t="s">
        <v>648</v>
      </c>
      <c r="B612" s="1" t="s">
        <v>661</v>
      </c>
      <c r="C612" s="1" t="s">
        <v>73</v>
      </c>
      <c r="D612">
        <v>116</v>
      </c>
      <c r="E612" s="1" t="s">
        <v>11</v>
      </c>
      <c r="F612">
        <v>14</v>
      </c>
      <c r="G612">
        <v>30.38</v>
      </c>
      <c r="H612">
        <v>1</v>
      </c>
    </row>
    <row r="613" spans="1:8" x14ac:dyDescent="0.25">
      <c r="A613" s="1" t="s">
        <v>648</v>
      </c>
      <c r="B613" s="1" t="s">
        <v>662</v>
      </c>
      <c r="C613" s="1" t="s">
        <v>62</v>
      </c>
      <c r="D613">
        <v>104</v>
      </c>
      <c r="E613" s="1" t="s">
        <v>19</v>
      </c>
      <c r="F613">
        <v>243</v>
      </c>
      <c r="G613">
        <v>65.819999999999993</v>
      </c>
      <c r="H613">
        <v>0</v>
      </c>
    </row>
    <row r="614" spans="1:8" x14ac:dyDescent="0.25">
      <c r="A614" s="1" t="s">
        <v>648</v>
      </c>
      <c r="B614" s="1" t="s">
        <v>663</v>
      </c>
      <c r="C614" s="1" t="s">
        <v>78</v>
      </c>
      <c r="D614">
        <v>48</v>
      </c>
      <c r="E614" s="1" t="s">
        <v>11</v>
      </c>
      <c r="F614">
        <v>338</v>
      </c>
      <c r="G614">
        <v>74.42</v>
      </c>
      <c r="H614">
        <v>0</v>
      </c>
    </row>
    <row r="615" spans="1:8" x14ac:dyDescent="0.25">
      <c r="A615" s="1" t="s">
        <v>648</v>
      </c>
      <c r="B615" s="1" t="s">
        <v>664</v>
      </c>
      <c r="C615" s="1" t="s">
        <v>16</v>
      </c>
      <c r="D615">
        <v>105</v>
      </c>
      <c r="E615" s="1" t="s">
        <v>22</v>
      </c>
      <c r="F615">
        <v>271</v>
      </c>
      <c r="G615">
        <v>45.27</v>
      </c>
      <c r="H615">
        <v>2</v>
      </c>
    </row>
    <row r="616" spans="1:8" x14ac:dyDescent="0.25">
      <c r="A616" s="1" t="s">
        <v>648</v>
      </c>
      <c r="B616" s="1" t="s">
        <v>665</v>
      </c>
      <c r="C616" s="1" t="s">
        <v>64</v>
      </c>
      <c r="D616">
        <v>116</v>
      </c>
      <c r="E616" s="1" t="s">
        <v>22</v>
      </c>
      <c r="F616">
        <v>231</v>
      </c>
      <c r="G616">
        <v>19.12</v>
      </c>
      <c r="H616">
        <v>5</v>
      </c>
    </row>
    <row r="617" spans="1:8" x14ac:dyDescent="0.25">
      <c r="A617" s="1" t="s">
        <v>648</v>
      </c>
      <c r="B617" s="1" t="s">
        <v>666</v>
      </c>
      <c r="C617" s="1" t="s">
        <v>40</v>
      </c>
      <c r="D617">
        <v>69</v>
      </c>
      <c r="E617" s="1" t="s">
        <v>19</v>
      </c>
      <c r="F617">
        <v>180</v>
      </c>
      <c r="G617">
        <v>76.05</v>
      </c>
      <c r="H617">
        <v>2</v>
      </c>
    </row>
    <row r="618" spans="1:8" x14ac:dyDescent="0.25">
      <c r="A618" s="1" t="s">
        <v>648</v>
      </c>
      <c r="B618" s="1" t="s">
        <v>667</v>
      </c>
      <c r="C618" s="1" t="s">
        <v>26</v>
      </c>
      <c r="D618">
        <v>1</v>
      </c>
      <c r="E618" s="1" t="s">
        <v>19</v>
      </c>
      <c r="F618">
        <v>135</v>
      </c>
      <c r="G618">
        <v>89.16</v>
      </c>
      <c r="H618">
        <v>3</v>
      </c>
    </row>
    <row r="619" spans="1:8" x14ac:dyDescent="0.25">
      <c r="A619" s="1" t="s">
        <v>648</v>
      </c>
      <c r="B619" s="1" t="s">
        <v>668</v>
      </c>
      <c r="C619" s="1" t="s">
        <v>51</v>
      </c>
      <c r="D619">
        <v>120</v>
      </c>
      <c r="E619" s="1" t="s">
        <v>14</v>
      </c>
      <c r="F619">
        <v>60</v>
      </c>
      <c r="G619">
        <v>34.14</v>
      </c>
      <c r="H619">
        <v>3</v>
      </c>
    </row>
    <row r="620" spans="1:8" x14ac:dyDescent="0.25">
      <c r="A620" s="1" t="s">
        <v>648</v>
      </c>
      <c r="B620" s="1" t="s">
        <v>669</v>
      </c>
      <c r="C620" s="1" t="s">
        <v>24</v>
      </c>
      <c r="D620">
        <v>89</v>
      </c>
      <c r="E620" s="1" t="s">
        <v>19</v>
      </c>
      <c r="F620">
        <v>474</v>
      </c>
      <c r="G620">
        <v>28.51</v>
      </c>
      <c r="H620">
        <v>5</v>
      </c>
    </row>
    <row r="621" spans="1:8" x14ac:dyDescent="0.25">
      <c r="A621" s="1" t="s">
        <v>648</v>
      </c>
      <c r="B621" s="1" t="s">
        <v>670</v>
      </c>
      <c r="C621" s="1" t="s">
        <v>10</v>
      </c>
      <c r="D621">
        <v>112</v>
      </c>
      <c r="E621" s="1" t="s">
        <v>22</v>
      </c>
      <c r="F621">
        <v>281</v>
      </c>
      <c r="G621">
        <v>80.72</v>
      </c>
      <c r="H621">
        <v>2</v>
      </c>
    </row>
    <row r="622" spans="1:8" x14ac:dyDescent="0.25">
      <c r="A622" s="1" t="s">
        <v>648</v>
      </c>
      <c r="B622" s="1" t="s">
        <v>671</v>
      </c>
      <c r="C622" s="1" t="s">
        <v>18</v>
      </c>
      <c r="D622">
        <v>7</v>
      </c>
      <c r="E622" s="1" t="s">
        <v>19</v>
      </c>
      <c r="F622">
        <v>43</v>
      </c>
      <c r="G622">
        <v>41.29</v>
      </c>
      <c r="H622">
        <v>4</v>
      </c>
    </row>
    <row r="623" spans="1:8" x14ac:dyDescent="0.25">
      <c r="A623" s="1" t="s">
        <v>648</v>
      </c>
      <c r="B623" s="1" t="s">
        <v>672</v>
      </c>
      <c r="C623" s="1" t="s">
        <v>35</v>
      </c>
      <c r="D623">
        <v>34</v>
      </c>
      <c r="E623" s="1" t="s">
        <v>22</v>
      </c>
      <c r="F623">
        <v>181</v>
      </c>
      <c r="G623">
        <v>35.92</v>
      </c>
      <c r="H623">
        <v>2</v>
      </c>
    </row>
    <row r="624" spans="1:8" x14ac:dyDescent="0.25">
      <c r="A624" s="1" t="s">
        <v>648</v>
      </c>
      <c r="B624" s="1" t="s">
        <v>673</v>
      </c>
      <c r="C624" s="1" t="s">
        <v>67</v>
      </c>
      <c r="D624">
        <v>114</v>
      </c>
      <c r="E624" s="1" t="s">
        <v>14</v>
      </c>
      <c r="F624">
        <v>220</v>
      </c>
      <c r="G624">
        <v>63.67</v>
      </c>
      <c r="H624">
        <v>5</v>
      </c>
    </row>
    <row r="625" spans="1:8" x14ac:dyDescent="0.25">
      <c r="A625" s="1" t="s">
        <v>648</v>
      </c>
      <c r="B625" s="1" t="s">
        <v>674</v>
      </c>
      <c r="C625" s="1" t="s">
        <v>78</v>
      </c>
      <c r="D625">
        <v>101</v>
      </c>
      <c r="E625" s="1" t="s">
        <v>14</v>
      </c>
      <c r="F625">
        <v>108</v>
      </c>
      <c r="G625">
        <v>76.05</v>
      </c>
      <c r="H625">
        <v>3</v>
      </c>
    </row>
    <row r="626" spans="1:8" x14ac:dyDescent="0.25">
      <c r="A626" s="1" t="s">
        <v>648</v>
      </c>
      <c r="B626" s="1" t="s">
        <v>675</v>
      </c>
      <c r="C626" s="1" t="s">
        <v>137</v>
      </c>
      <c r="D626">
        <v>6</v>
      </c>
      <c r="E626" s="1" t="s">
        <v>22</v>
      </c>
      <c r="F626">
        <v>77</v>
      </c>
      <c r="G626">
        <v>18.48</v>
      </c>
      <c r="H626">
        <v>2</v>
      </c>
    </row>
    <row r="627" spans="1:8" x14ac:dyDescent="0.25">
      <c r="A627" s="1" t="s">
        <v>648</v>
      </c>
      <c r="B627" s="1" t="s">
        <v>676</v>
      </c>
      <c r="C627" s="1" t="s">
        <v>21</v>
      </c>
      <c r="D627">
        <v>15</v>
      </c>
      <c r="E627" s="1" t="s">
        <v>14</v>
      </c>
      <c r="F627">
        <v>203</v>
      </c>
      <c r="G627">
        <v>55.29</v>
      </c>
      <c r="H627">
        <v>2</v>
      </c>
    </row>
    <row r="628" spans="1:8" x14ac:dyDescent="0.25">
      <c r="A628" s="1" t="s">
        <v>648</v>
      </c>
      <c r="B628" s="1" t="s">
        <v>677</v>
      </c>
      <c r="C628" s="1" t="s">
        <v>131</v>
      </c>
      <c r="D628">
        <v>7</v>
      </c>
      <c r="E628" s="1" t="s">
        <v>19</v>
      </c>
      <c r="F628">
        <v>257</v>
      </c>
      <c r="G628">
        <v>73.040000000000006</v>
      </c>
      <c r="H628">
        <v>3</v>
      </c>
    </row>
    <row r="629" spans="1:8" x14ac:dyDescent="0.25">
      <c r="A629" s="1" t="s">
        <v>648</v>
      </c>
      <c r="B629" s="1" t="s">
        <v>678</v>
      </c>
      <c r="C629" s="1" t="s">
        <v>40</v>
      </c>
      <c r="D629">
        <v>39</v>
      </c>
      <c r="E629" s="1" t="s">
        <v>11</v>
      </c>
      <c r="F629">
        <v>220</v>
      </c>
      <c r="G629">
        <v>52.91</v>
      </c>
      <c r="H629">
        <v>0</v>
      </c>
    </row>
    <row r="630" spans="1:8" x14ac:dyDescent="0.25">
      <c r="A630" s="1" t="s">
        <v>648</v>
      </c>
      <c r="B630" s="1" t="s">
        <v>679</v>
      </c>
      <c r="C630" s="1" t="s">
        <v>60</v>
      </c>
      <c r="D630">
        <v>10</v>
      </c>
      <c r="E630" s="1" t="s">
        <v>22</v>
      </c>
      <c r="F630">
        <v>260</v>
      </c>
      <c r="G630">
        <v>37.479999999999997</v>
      </c>
      <c r="H630">
        <v>2</v>
      </c>
    </row>
    <row r="631" spans="1:8" x14ac:dyDescent="0.25">
      <c r="A631" s="1" t="s">
        <v>648</v>
      </c>
      <c r="B631" s="1" t="s">
        <v>680</v>
      </c>
      <c r="C631" s="1" t="s">
        <v>137</v>
      </c>
      <c r="D631">
        <v>34</v>
      </c>
      <c r="E631" s="1" t="s">
        <v>11</v>
      </c>
      <c r="F631">
        <v>170</v>
      </c>
      <c r="G631">
        <v>91.6</v>
      </c>
      <c r="H631">
        <v>2</v>
      </c>
    </row>
    <row r="632" spans="1:8" x14ac:dyDescent="0.25">
      <c r="A632" s="1" t="s">
        <v>648</v>
      </c>
      <c r="B632" s="1" t="s">
        <v>681</v>
      </c>
      <c r="C632" s="1" t="s">
        <v>78</v>
      </c>
      <c r="D632">
        <v>43</v>
      </c>
      <c r="E632" s="1" t="s">
        <v>11</v>
      </c>
      <c r="F632">
        <v>27</v>
      </c>
      <c r="G632">
        <v>31.48</v>
      </c>
      <c r="H632">
        <v>5</v>
      </c>
    </row>
    <row r="633" spans="1:8" x14ac:dyDescent="0.25">
      <c r="A633" s="1" t="s">
        <v>648</v>
      </c>
      <c r="B633" s="1" t="s">
        <v>682</v>
      </c>
      <c r="C633" s="1" t="s">
        <v>26</v>
      </c>
      <c r="D633">
        <v>89</v>
      </c>
      <c r="E633" s="1" t="s">
        <v>14</v>
      </c>
      <c r="F633">
        <v>225</v>
      </c>
      <c r="G633">
        <v>38.36</v>
      </c>
      <c r="H633">
        <v>2</v>
      </c>
    </row>
    <row r="634" spans="1:8" x14ac:dyDescent="0.25">
      <c r="A634" s="1" t="s">
        <v>648</v>
      </c>
      <c r="B634" s="1" t="s">
        <v>683</v>
      </c>
      <c r="C634" s="1" t="s">
        <v>31</v>
      </c>
      <c r="D634">
        <v>79</v>
      </c>
      <c r="E634" s="1" t="s">
        <v>22</v>
      </c>
      <c r="F634">
        <v>139</v>
      </c>
      <c r="G634">
        <v>16.25</v>
      </c>
      <c r="H634">
        <v>4</v>
      </c>
    </row>
    <row r="635" spans="1:8" x14ac:dyDescent="0.25">
      <c r="A635" s="1" t="s">
        <v>648</v>
      </c>
      <c r="B635" s="1" t="s">
        <v>684</v>
      </c>
      <c r="C635" s="1" t="s">
        <v>62</v>
      </c>
      <c r="D635">
        <v>102</v>
      </c>
      <c r="E635" s="1" t="s">
        <v>19</v>
      </c>
      <c r="F635">
        <v>189</v>
      </c>
      <c r="G635">
        <v>26.86</v>
      </c>
      <c r="H635">
        <v>5</v>
      </c>
    </row>
    <row r="636" spans="1:8" x14ac:dyDescent="0.25">
      <c r="A636" s="1" t="s">
        <v>648</v>
      </c>
      <c r="B636" s="1" t="s">
        <v>685</v>
      </c>
      <c r="C636" s="1" t="s">
        <v>131</v>
      </c>
      <c r="D636">
        <v>104</v>
      </c>
      <c r="E636" s="1" t="s">
        <v>22</v>
      </c>
      <c r="F636">
        <v>50</v>
      </c>
      <c r="H636">
        <v>4</v>
      </c>
    </row>
    <row r="637" spans="1:8" x14ac:dyDescent="0.25">
      <c r="A637" s="1" t="s">
        <v>648</v>
      </c>
      <c r="B637" s="1" t="s">
        <v>686</v>
      </c>
      <c r="C637" s="1" t="s">
        <v>35</v>
      </c>
      <c r="D637">
        <v>49</v>
      </c>
      <c r="E637" s="1" t="s">
        <v>22</v>
      </c>
      <c r="F637">
        <v>25</v>
      </c>
      <c r="G637">
        <v>22.77</v>
      </c>
      <c r="H637">
        <v>3</v>
      </c>
    </row>
    <row r="638" spans="1:8" x14ac:dyDescent="0.25">
      <c r="A638" s="1" t="s">
        <v>648</v>
      </c>
      <c r="B638" s="1" t="s">
        <v>687</v>
      </c>
      <c r="C638" s="1" t="s">
        <v>37</v>
      </c>
      <c r="D638">
        <v>35</v>
      </c>
      <c r="E638" s="1" t="s">
        <v>11</v>
      </c>
      <c r="F638">
        <v>332</v>
      </c>
      <c r="G638">
        <v>11.15</v>
      </c>
      <c r="H638">
        <v>0</v>
      </c>
    </row>
    <row r="639" spans="1:8" x14ac:dyDescent="0.25">
      <c r="A639" s="1" t="s">
        <v>648</v>
      </c>
      <c r="B639" s="1" t="s">
        <v>688</v>
      </c>
      <c r="C639" s="1" t="s">
        <v>127</v>
      </c>
      <c r="D639">
        <v>90</v>
      </c>
      <c r="E639" s="1" t="s">
        <v>14</v>
      </c>
      <c r="F639">
        <v>195</v>
      </c>
      <c r="G639">
        <v>52.71</v>
      </c>
      <c r="H639">
        <v>2</v>
      </c>
    </row>
    <row r="640" spans="1:8" x14ac:dyDescent="0.25">
      <c r="A640" s="1" t="s">
        <v>648</v>
      </c>
      <c r="B640" s="1" t="s">
        <v>689</v>
      </c>
      <c r="C640" s="1" t="s">
        <v>26</v>
      </c>
      <c r="D640">
        <v>22</v>
      </c>
      <c r="E640" s="1" t="s">
        <v>14</v>
      </c>
      <c r="F640">
        <v>374</v>
      </c>
      <c r="G640">
        <v>40.06</v>
      </c>
      <c r="H640">
        <v>5</v>
      </c>
    </row>
    <row r="641" spans="1:8" x14ac:dyDescent="0.25">
      <c r="A641" s="1" t="s">
        <v>648</v>
      </c>
      <c r="B641" s="1" t="s">
        <v>690</v>
      </c>
      <c r="C641" s="1" t="s">
        <v>16</v>
      </c>
      <c r="D641">
        <v>119</v>
      </c>
      <c r="E641" s="1" t="s">
        <v>22</v>
      </c>
      <c r="F641">
        <v>475</v>
      </c>
      <c r="G641">
        <v>25.98</v>
      </c>
      <c r="H641">
        <v>4</v>
      </c>
    </row>
    <row r="642" spans="1:8" x14ac:dyDescent="0.25">
      <c r="A642" s="1" t="s">
        <v>648</v>
      </c>
      <c r="B642" s="1" t="s">
        <v>691</v>
      </c>
      <c r="C642" s="1" t="s">
        <v>51</v>
      </c>
      <c r="D642">
        <v>18</v>
      </c>
      <c r="E642" s="1" t="s">
        <v>14</v>
      </c>
      <c r="F642">
        <v>216</v>
      </c>
      <c r="G642">
        <v>33.74</v>
      </c>
      <c r="H642">
        <v>5</v>
      </c>
    </row>
    <row r="643" spans="1:8" x14ac:dyDescent="0.25">
      <c r="A643" s="1" t="s">
        <v>648</v>
      </c>
      <c r="B643" s="1" t="s">
        <v>692</v>
      </c>
      <c r="C643" s="1" t="s">
        <v>21</v>
      </c>
      <c r="D643">
        <v>75</v>
      </c>
      <c r="E643" s="1" t="s">
        <v>22</v>
      </c>
      <c r="F643">
        <v>99</v>
      </c>
      <c r="G643">
        <v>16.93</v>
      </c>
      <c r="H643">
        <v>5</v>
      </c>
    </row>
    <row r="644" spans="1:8" x14ac:dyDescent="0.25">
      <c r="A644" s="1" t="s">
        <v>648</v>
      </c>
      <c r="B644" s="1" t="s">
        <v>693</v>
      </c>
      <c r="C644" s="1" t="s">
        <v>31</v>
      </c>
      <c r="D644">
        <v>59</v>
      </c>
      <c r="E644" s="1" t="s">
        <v>19</v>
      </c>
      <c r="F644">
        <v>150</v>
      </c>
      <c r="G644">
        <v>71.13</v>
      </c>
      <c r="H644">
        <v>0</v>
      </c>
    </row>
    <row r="645" spans="1:8" x14ac:dyDescent="0.25">
      <c r="A645" s="1" t="s">
        <v>648</v>
      </c>
      <c r="B645" s="1" t="s">
        <v>694</v>
      </c>
      <c r="C645" s="1" t="s">
        <v>51</v>
      </c>
      <c r="D645">
        <v>16</v>
      </c>
      <c r="E645" s="1" t="s">
        <v>11</v>
      </c>
      <c r="F645">
        <v>96</v>
      </c>
      <c r="G645">
        <v>86.78</v>
      </c>
      <c r="H645">
        <v>1</v>
      </c>
    </row>
    <row r="646" spans="1:8" x14ac:dyDescent="0.25">
      <c r="A646" s="1" t="s">
        <v>648</v>
      </c>
      <c r="B646" s="1" t="s">
        <v>695</v>
      </c>
      <c r="C646" s="1" t="s">
        <v>64</v>
      </c>
      <c r="D646">
        <v>17</v>
      </c>
      <c r="E646" s="1" t="s">
        <v>14</v>
      </c>
      <c r="F646">
        <v>206</v>
      </c>
      <c r="G646">
        <v>63.46</v>
      </c>
      <c r="H646">
        <v>3</v>
      </c>
    </row>
    <row r="647" spans="1:8" x14ac:dyDescent="0.25">
      <c r="A647" s="1" t="s">
        <v>648</v>
      </c>
      <c r="B647" s="1" t="s">
        <v>696</v>
      </c>
      <c r="C647" s="1" t="s">
        <v>57</v>
      </c>
      <c r="D647">
        <v>41</v>
      </c>
      <c r="E647" s="1" t="s">
        <v>22</v>
      </c>
      <c r="F647">
        <v>90</v>
      </c>
      <c r="G647">
        <v>97.26</v>
      </c>
      <c r="H647">
        <v>1</v>
      </c>
    </row>
    <row r="648" spans="1:8" x14ac:dyDescent="0.25">
      <c r="A648" s="1" t="s">
        <v>648</v>
      </c>
      <c r="B648" s="1" t="s">
        <v>697</v>
      </c>
      <c r="C648" s="1" t="s">
        <v>62</v>
      </c>
      <c r="D648">
        <v>111</v>
      </c>
      <c r="E648" s="1" t="s">
        <v>11</v>
      </c>
      <c r="F648">
        <v>304</v>
      </c>
      <c r="G648">
        <v>62.48</v>
      </c>
      <c r="H648">
        <v>5</v>
      </c>
    </row>
    <row r="649" spans="1:8" x14ac:dyDescent="0.25">
      <c r="A649" s="1" t="s">
        <v>648</v>
      </c>
      <c r="B649" s="1" t="s">
        <v>698</v>
      </c>
      <c r="C649" s="1" t="s">
        <v>64</v>
      </c>
      <c r="D649">
        <v>19</v>
      </c>
      <c r="E649" s="1" t="s">
        <v>19</v>
      </c>
      <c r="F649">
        <v>141</v>
      </c>
      <c r="G649">
        <v>53.95</v>
      </c>
      <c r="H649">
        <v>1</v>
      </c>
    </row>
    <row r="650" spans="1:8" x14ac:dyDescent="0.25">
      <c r="A650" s="1" t="s">
        <v>699</v>
      </c>
      <c r="B650" s="1" t="s">
        <v>700</v>
      </c>
      <c r="C650" s="1" t="s">
        <v>18</v>
      </c>
      <c r="D650">
        <v>20</v>
      </c>
      <c r="E650" s="1" t="s">
        <v>19</v>
      </c>
      <c r="F650">
        <v>297</v>
      </c>
      <c r="G650">
        <v>14.77</v>
      </c>
      <c r="H650">
        <v>0</v>
      </c>
    </row>
    <row r="651" spans="1:8" x14ac:dyDescent="0.25">
      <c r="A651" s="1" t="s">
        <v>699</v>
      </c>
      <c r="B651" s="1" t="s">
        <v>701</v>
      </c>
      <c r="C651" s="1" t="s">
        <v>37</v>
      </c>
      <c r="D651">
        <v>67</v>
      </c>
      <c r="E651" s="1" t="s">
        <v>11</v>
      </c>
      <c r="F651">
        <v>262</v>
      </c>
      <c r="G651">
        <v>28.46</v>
      </c>
      <c r="H651">
        <v>3</v>
      </c>
    </row>
    <row r="652" spans="1:8" x14ac:dyDescent="0.25">
      <c r="A652" s="1" t="s">
        <v>699</v>
      </c>
      <c r="B652" s="1" t="s">
        <v>702</v>
      </c>
      <c r="C652" s="1" t="s">
        <v>10</v>
      </c>
      <c r="D652">
        <v>38</v>
      </c>
      <c r="E652" s="1" t="s">
        <v>22</v>
      </c>
      <c r="F652">
        <v>191</v>
      </c>
      <c r="G652">
        <v>22.97</v>
      </c>
      <c r="H652">
        <v>3</v>
      </c>
    </row>
    <row r="653" spans="1:8" x14ac:dyDescent="0.25">
      <c r="A653" s="1" t="s">
        <v>699</v>
      </c>
      <c r="B653" s="1" t="s">
        <v>703</v>
      </c>
      <c r="C653" s="1" t="s">
        <v>21</v>
      </c>
      <c r="D653">
        <v>80</v>
      </c>
      <c r="E653" s="1" t="s">
        <v>19</v>
      </c>
      <c r="F653">
        <v>65</v>
      </c>
      <c r="G653">
        <v>76.64</v>
      </c>
      <c r="H653">
        <v>3</v>
      </c>
    </row>
    <row r="654" spans="1:8" x14ac:dyDescent="0.25">
      <c r="A654" s="1" t="s">
        <v>699</v>
      </c>
      <c r="B654" s="1" t="s">
        <v>704</v>
      </c>
      <c r="C654" s="1" t="s">
        <v>33</v>
      </c>
      <c r="D654">
        <v>72</v>
      </c>
      <c r="E654" s="1" t="s">
        <v>14</v>
      </c>
      <c r="F654">
        <v>317</v>
      </c>
      <c r="G654">
        <v>54.58</v>
      </c>
      <c r="H654">
        <v>1</v>
      </c>
    </row>
    <row r="655" spans="1:8" x14ac:dyDescent="0.25">
      <c r="A655" s="1" t="s">
        <v>699</v>
      </c>
      <c r="B655" s="1" t="s">
        <v>705</v>
      </c>
      <c r="C655" s="1" t="s">
        <v>18</v>
      </c>
      <c r="D655">
        <v>86</v>
      </c>
      <c r="E655" s="1" t="s">
        <v>11</v>
      </c>
      <c r="F655">
        <v>278</v>
      </c>
      <c r="G655">
        <v>30.12</v>
      </c>
      <c r="H655">
        <v>0</v>
      </c>
    </row>
    <row r="656" spans="1:8" x14ac:dyDescent="0.25">
      <c r="A656" s="1" t="s">
        <v>699</v>
      </c>
      <c r="B656" s="1" t="s">
        <v>706</v>
      </c>
      <c r="C656" s="1" t="s">
        <v>40</v>
      </c>
      <c r="D656">
        <v>21</v>
      </c>
      <c r="E656" s="1" t="s">
        <v>22</v>
      </c>
      <c r="F656">
        <v>460</v>
      </c>
      <c r="G656">
        <v>70.81</v>
      </c>
      <c r="H656">
        <v>2</v>
      </c>
    </row>
    <row r="657" spans="1:8" x14ac:dyDescent="0.25">
      <c r="A657" s="1" t="s">
        <v>699</v>
      </c>
      <c r="B657" s="1" t="s">
        <v>707</v>
      </c>
      <c r="C657" s="1" t="s">
        <v>33</v>
      </c>
      <c r="D657">
        <v>39</v>
      </c>
      <c r="E657" s="1" t="s">
        <v>14</v>
      </c>
      <c r="F657">
        <v>289</v>
      </c>
      <c r="G657">
        <v>86.7</v>
      </c>
      <c r="H657">
        <v>3</v>
      </c>
    </row>
    <row r="658" spans="1:8" x14ac:dyDescent="0.25">
      <c r="A658" s="1" t="s">
        <v>699</v>
      </c>
      <c r="B658" s="1" t="s">
        <v>708</v>
      </c>
      <c r="C658" s="1" t="s">
        <v>131</v>
      </c>
      <c r="D658">
        <v>63</v>
      </c>
      <c r="E658" s="1" t="s">
        <v>14</v>
      </c>
      <c r="F658">
        <v>449</v>
      </c>
      <c r="G658">
        <v>37.08</v>
      </c>
      <c r="H658">
        <v>0</v>
      </c>
    </row>
    <row r="659" spans="1:8" x14ac:dyDescent="0.25">
      <c r="A659" s="1" t="s">
        <v>699</v>
      </c>
      <c r="B659" s="1" t="s">
        <v>709</v>
      </c>
      <c r="C659" s="1" t="s">
        <v>16</v>
      </c>
      <c r="D659">
        <v>37</v>
      </c>
      <c r="E659" s="1" t="s">
        <v>14</v>
      </c>
      <c r="F659">
        <v>150</v>
      </c>
      <c r="G659">
        <v>37.979999999999997</v>
      </c>
      <c r="H659">
        <v>4</v>
      </c>
    </row>
    <row r="660" spans="1:8" x14ac:dyDescent="0.25">
      <c r="A660" s="1" t="s">
        <v>699</v>
      </c>
      <c r="B660" s="1" t="s">
        <v>710</v>
      </c>
      <c r="C660" s="1" t="s">
        <v>51</v>
      </c>
      <c r="D660">
        <v>9</v>
      </c>
      <c r="E660" s="1" t="s">
        <v>19</v>
      </c>
      <c r="F660">
        <v>27</v>
      </c>
      <c r="G660">
        <v>99.02</v>
      </c>
      <c r="H660">
        <v>3</v>
      </c>
    </row>
    <row r="661" spans="1:8" x14ac:dyDescent="0.25">
      <c r="A661" s="1" t="s">
        <v>699</v>
      </c>
      <c r="B661" s="1" t="s">
        <v>711</v>
      </c>
      <c r="C661" s="1" t="s">
        <v>67</v>
      </c>
      <c r="D661">
        <v>103</v>
      </c>
      <c r="E661" s="1" t="s">
        <v>11</v>
      </c>
      <c r="F661">
        <v>386</v>
      </c>
      <c r="G661">
        <v>10.58</v>
      </c>
      <c r="H661">
        <v>0</v>
      </c>
    </row>
    <row r="662" spans="1:8" x14ac:dyDescent="0.25">
      <c r="A662" s="1" t="s">
        <v>699</v>
      </c>
      <c r="B662" s="1" t="s">
        <v>712</v>
      </c>
      <c r="C662" s="1" t="s">
        <v>16</v>
      </c>
      <c r="D662">
        <v>38</v>
      </c>
      <c r="E662" s="1" t="s">
        <v>11</v>
      </c>
      <c r="F662">
        <v>432</v>
      </c>
      <c r="G662">
        <v>53.65</v>
      </c>
      <c r="H662">
        <v>4</v>
      </c>
    </row>
    <row r="663" spans="1:8" x14ac:dyDescent="0.25">
      <c r="A663" s="1" t="s">
        <v>699</v>
      </c>
      <c r="B663" s="1" t="s">
        <v>713</v>
      </c>
      <c r="C663" s="1" t="s">
        <v>13</v>
      </c>
      <c r="D663">
        <v>2</v>
      </c>
      <c r="E663" s="1" t="s">
        <v>11</v>
      </c>
      <c r="F663">
        <v>201</v>
      </c>
      <c r="G663">
        <v>71.900000000000006</v>
      </c>
      <c r="H663">
        <v>2</v>
      </c>
    </row>
    <row r="664" spans="1:8" x14ac:dyDescent="0.25">
      <c r="A664" s="1" t="s">
        <v>699</v>
      </c>
      <c r="B664" s="1" t="s">
        <v>714</v>
      </c>
      <c r="C664" s="1" t="s">
        <v>60</v>
      </c>
      <c r="D664">
        <v>59</v>
      </c>
      <c r="E664" s="1" t="s">
        <v>22</v>
      </c>
      <c r="F664">
        <v>64</v>
      </c>
      <c r="G664">
        <v>20.32</v>
      </c>
      <c r="H664">
        <v>0</v>
      </c>
    </row>
    <row r="665" spans="1:8" x14ac:dyDescent="0.25">
      <c r="A665" s="1" t="s">
        <v>699</v>
      </c>
      <c r="B665" s="1" t="s">
        <v>715</v>
      </c>
      <c r="C665" s="1" t="s">
        <v>127</v>
      </c>
      <c r="D665">
        <v>6</v>
      </c>
      <c r="E665" s="1" t="s">
        <v>14</v>
      </c>
      <c r="F665">
        <v>206</v>
      </c>
      <c r="G665">
        <v>10</v>
      </c>
      <c r="H665">
        <v>5</v>
      </c>
    </row>
    <row r="666" spans="1:8" x14ac:dyDescent="0.25">
      <c r="A666" s="1" t="s">
        <v>699</v>
      </c>
      <c r="B666" s="1" t="s">
        <v>716</v>
      </c>
      <c r="C666" s="1" t="s">
        <v>73</v>
      </c>
      <c r="D666">
        <v>28</v>
      </c>
      <c r="E666" s="1" t="s">
        <v>11</v>
      </c>
      <c r="F666">
        <v>343</v>
      </c>
      <c r="G666">
        <v>64.34</v>
      </c>
      <c r="H666">
        <v>5</v>
      </c>
    </row>
    <row r="667" spans="1:8" x14ac:dyDescent="0.25">
      <c r="A667" s="1" t="s">
        <v>699</v>
      </c>
      <c r="B667" s="1" t="s">
        <v>717</v>
      </c>
      <c r="C667" s="1" t="s">
        <v>29</v>
      </c>
      <c r="D667">
        <v>37</v>
      </c>
      <c r="E667" s="1" t="s">
        <v>22</v>
      </c>
      <c r="F667">
        <v>3</v>
      </c>
      <c r="G667">
        <v>20.89</v>
      </c>
      <c r="H667">
        <v>5</v>
      </c>
    </row>
    <row r="668" spans="1:8" x14ac:dyDescent="0.25">
      <c r="A668" s="1" t="s">
        <v>699</v>
      </c>
      <c r="B668" s="1" t="s">
        <v>718</v>
      </c>
      <c r="C668" s="1" t="s">
        <v>67</v>
      </c>
      <c r="D668">
        <v>106</v>
      </c>
      <c r="E668" s="1" t="s">
        <v>22</v>
      </c>
      <c r="F668">
        <v>236</v>
      </c>
      <c r="G668">
        <v>18.72</v>
      </c>
      <c r="H668">
        <v>4</v>
      </c>
    </row>
    <row r="669" spans="1:8" x14ac:dyDescent="0.25">
      <c r="A669" s="1" t="s">
        <v>699</v>
      </c>
      <c r="B669" s="1" t="s">
        <v>719</v>
      </c>
      <c r="C669" s="1" t="s">
        <v>13</v>
      </c>
      <c r="D669">
        <v>76</v>
      </c>
      <c r="E669" s="1" t="s">
        <v>11</v>
      </c>
      <c r="F669">
        <v>413</v>
      </c>
      <c r="G669">
        <v>28.39</v>
      </c>
      <c r="H669">
        <v>3</v>
      </c>
    </row>
    <row r="670" spans="1:8" x14ac:dyDescent="0.25">
      <c r="A670" s="1" t="s">
        <v>699</v>
      </c>
      <c r="B670" s="1" t="s">
        <v>720</v>
      </c>
      <c r="C670" s="1" t="s">
        <v>21</v>
      </c>
      <c r="D670">
        <v>16</v>
      </c>
      <c r="E670" s="1" t="s">
        <v>22</v>
      </c>
      <c r="F670">
        <v>390</v>
      </c>
      <c r="G670">
        <v>52.64</v>
      </c>
      <c r="H670">
        <v>0</v>
      </c>
    </row>
    <row r="671" spans="1:8" x14ac:dyDescent="0.25">
      <c r="A671" s="1" t="s">
        <v>699</v>
      </c>
      <c r="B671" s="1" t="s">
        <v>721</v>
      </c>
      <c r="C671" s="1" t="s">
        <v>78</v>
      </c>
      <c r="D671">
        <v>7</v>
      </c>
      <c r="E671" s="1" t="s">
        <v>14</v>
      </c>
      <c r="F671">
        <v>447</v>
      </c>
      <c r="G671">
        <v>84.95</v>
      </c>
      <c r="H671">
        <v>2</v>
      </c>
    </row>
    <row r="672" spans="1:8" x14ac:dyDescent="0.25">
      <c r="A672" s="1" t="s">
        <v>699</v>
      </c>
      <c r="B672" s="1" t="s">
        <v>722</v>
      </c>
      <c r="C672" s="1" t="s">
        <v>131</v>
      </c>
      <c r="D672">
        <v>63</v>
      </c>
      <c r="E672" s="1" t="s">
        <v>22</v>
      </c>
      <c r="F672">
        <v>265</v>
      </c>
      <c r="G672">
        <v>49.94</v>
      </c>
      <c r="H672">
        <v>1</v>
      </c>
    </row>
    <row r="673" spans="1:8" x14ac:dyDescent="0.25">
      <c r="A673" s="1" t="s">
        <v>699</v>
      </c>
      <c r="B673" s="1" t="s">
        <v>723</v>
      </c>
      <c r="C673" s="1" t="s">
        <v>89</v>
      </c>
      <c r="D673">
        <v>40</v>
      </c>
      <c r="E673" s="1" t="s">
        <v>11</v>
      </c>
      <c r="F673">
        <v>235</v>
      </c>
      <c r="G673">
        <v>15.01</v>
      </c>
      <c r="H673">
        <v>3</v>
      </c>
    </row>
    <row r="674" spans="1:8" x14ac:dyDescent="0.25">
      <c r="A674" s="1" t="s">
        <v>699</v>
      </c>
      <c r="B674" s="1" t="s">
        <v>724</v>
      </c>
      <c r="C674" s="1" t="s">
        <v>10</v>
      </c>
      <c r="D674">
        <v>1</v>
      </c>
      <c r="E674" s="1" t="s">
        <v>11</v>
      </c>
      <c r="F674">
        <v>429</v>
      </c>
      <c r="G674">
        <v>20.96</v>
      </c>
      <c r="H674">
        <v>5</v>
      </c>
    </row>
    <row r="675" spans="1:8" x14ac:dyDescent="0.25">
      <c r="A675" s="1" t="s">
        <v>699</v>
      </c>
      <c r="B675" s="1" t="s">
        <v>725</v>
      </c>
      <c r="C675" s="1" t="s">
        <v>67</v>
      </c>
      <c r="D675">
        <v>56</v>
      </c>
      <c r="E675" s="1" t="s">
        <v>19</v>
      </c>
      <c r="F675">
        <v>27</v>
      </c>
      <c r="G675">
        <v>46.41</v>
      </c>
      <c r="H675">
        <v>3</v>
      </c>
    </row>
    <row r="676" spans="1:8" x14ac:dyDescent="0.25">
      <c r="A676" s="1" t="s">
        <v>699</v>
      </c>
      <c r="B676" s="1" t="s">
        <v>726</v>
      </c>
      <c r="C676" s="1" t="s">
        <v>35</v>
      </c>
      <c r="D676">
        <v>46</v>
      </c>
      <c r="E676" s="1" t="s">
        <v>11</v>
      </c>
      <c r="F676">
        <v>43</v>
      </c>
      <c r="G676">
        <v>98.44</v>
      </c>
      <c r="H676">
        <v>2</v>
      </c>
    </row>
    <row r="677" spans="1:8" x14ac:dyDescent="0.25">
      <c r="A677" s="1" t="s">
        <v>699</v>
      </c>
      <c r="B677" s="1" t="s">
        <v>727</v>
      </c>
      <c r="C677" s="1" t="s">
        <v>33</v>
      </c>
      <c r="D677">
        <v>85</v>
      </c>
      <c r="E677" s="1" t="s">
        <v>14</v>
      </c>
      <c r="F677">
        <v>28</v>
      </c>
      <c r="G677">
        <v>83.82</v>
      </c>
      <c r="H677">
        <v>0</v>
      </c>
    </row>
    <row r="678" spans="1:8" x14ac:dyDescent="0.25">
      <c r="A678" s="1" t="s">
        <v>699</v>
      </c>
      <c r="B678" s="1" t="s">
        <v>728</v>
      </c>
      <c r="C678" s="1" t="s">
        <v>62</v>
      </c>
      <c r="D678">
        <v>107</v>
      </c>
      <c r="E678" s="1" t="s">
        <v>22</v>
      </c>
      <c r="F678">
        <v>138</v>
      </c>
      <c r="G678">
        <v>85.75</v>
      </c>
      <c r="H678">
        <v>1</v>
      </c>
    </row>
    <row r="679" spans="1:8" x14ac:dyDescent="0.25">
      <c r="A679" s="1" t="s">
        <v>699</v>
      </c>
      <c r="B679" s="1" t="s">
        <v>729</v>
      </c>
      <c r="C679" s="1" t="s">
        <v>89</v>
      </c>
      <c r="D679">
        <v>1</v>
      </c>
      <c r="E679" s="1" t="s">
        <v>14</v>
      </c>
      <c r="F679">
        <v>424</v>
      </c>
      <c r="G679">
        <v>59.2</v>
      </c>
      <c r="H679">
        <v>2</v>
      </c>
    </row>
    <row r="680" spans="1:8" x14ac:dyDescent="0.25">
      <c r="A680" s="1" t="s">
        <v>699</v>
      </c>
      <c r="B680" s="1" t="s">
        <v>730</v>
      </c>
      <c r="C680" s="1" t="s">
        <v>73</v>
      </c>
      <c r="D680">
        <v>7</v>
      </c>
      <c r="E680" s="1" t="s">
        <v>14</v>
      </c>
      <c r="F680">
        <v>332</v>
      </c>
      <c r="G680">
        <v>83.95</v>
      </c>
      <c r="H680">
        <v>4</v>
      </c>
    </row>
    <row r="681" spans="1:8" x14ac:dyDescent="0.25">
      <c r="A681" s="1" t="s">
        <v>699</v>
      </c>
      <c r="B681" s="1" t="s">
        <v>731</v>
      </c>
      <c r="C681" s="1" t="s">
        <v>37</v>
      </c>
      <c r="D681">
        <v>33</v>
      </c>
      <c r="E681" s="1" t="s">
        <v>19</v>
      </c>
      <c r="F681">
        <v>54</v>
      </c>
      <c r="G681">
        <v>71.319999999999993</v>
      </c>
      <c r="H681">
        <v>4</v>
      </c>
    </row>
    <row r="682" spans="1:8" x14ac:dyDescent="0.25">
      <c r="A682" s="1" t="s">
        <v>699</v>
      </c>
      <c r="B682" s="1" t="s">
        <v>732</v>
      </c>
      <c r="C682" s="1" t="s">
        <v>78</v>
      </c>
      <c r="D682">
        <v>18</v>
      </c>
      <c r="E682" s="1" t="s">
        <v>22</v>
      </c>
      <c r="F682">
        <v>170</v>
      </c>
      <c r="G682">
        <v>87.34</v>
      </c>
      <c r="H682">
        <v>1</v>
      </c>
    </row>
    <row r="683" spans="1:8" x14ac:dyDescent="0.25">
      <c r="A683" s="1" t="s">
        <v>699</v>
      </c>
      <c r="B683" s="1" t="s">
        <v>733</v>
      </c>
      <c r="C683" s="1" t="s">
        <v>31</v>
      </c>
      <c r="D683">
        <v>45</v>
      </c>
      <c r="E683" s="1" t="s">
        <v>14</v>
      </c>
      <c r="F683">
        <v>304</v>
      </c>
      <c r="G683">
        <v>65.540000000000006</v>
      </c>
      <c r="H683">
        <v>2</v>
      </c>
    </row>
    <row r="684" spans="1:8" x14ac:dyDescent="0.25">
      <c r="A684" s="1" t="s">
        <v>699</v>
      </c>
      <c r="B684" s="1" t="s">
        <v>734</v>
      </c>
      <c r="C684" s="1" t="s">
        <v>51</v>
      </c>
      <c r="D684">
        <v>113</v>
      </c>
      <c r="E684" s="1" t="s">
        <v>11</v>
      </c>
      <c r="F684">
        <v>49</v>
      </c>
      <c r="G684">
        <v>48.91</v>
      </c>
      <c r="H684">
        <v>5</v>
      </c>
    </row>
    <row r="685" spans="1:8" x14ac:dyDescent="0.25">
      <c r="A685" s="1" t="s">
        <v>699</v>
      </c>
      <c r="B685" s="1" t="s">
        <v>735</v>
      </c>
      <c r="C685" s="1" t="s">
        <v>10</v>
      </c>
      <c r="D685">
        <v>37</v>
      </c>
      <c r="E685" s="1" t="s">
        <v>11</v>
      </c>
      <c r="F685">
        <v>420</v>
      </c>
      <c r="G685">
        <v>67.260000000000005</v>
      </c>
      <c r="H685">
        <v>4</v>
      </c>
    </row>
    <row r="686" spans="1:8" x14ac:dyDescent="0.25">
      <c r="A686" s="1" t="s">
        <v>699</v>
      </c>
      <c r="B686" s="1" t="s">
        <v>736</v>
      </c>
      <c r="C686" s="1" t="s">
        <v>24</v>
      </c>
      <c r="D686">
        <v>101</v>
      </c>
      <c r="E686" s="1" t="s">
        <v>14</v>
      </c>
      <c r="F686">
        <v>148</v>
      </c>
      <c r="G686">
        <v>26.63</v>
      </c>
      <c r="H686">
        <v>3</v>
      </c>
    </row>
    <row r="687" spans="1:8" x14ac:dyDescent="0.25">
      <c r="A687" s="1" t="s">
        <v>699</v>
      </c>
      <c r="B687" s="1" t="s">
        <v>737</v>
      </c>
      <c r="C687" s="1" t="s">
        <v>127</v>
      </c>
      <c r="D687">
        <v>110</v>
      </c>
      <c r="E687" s="1" t="s">
        <v>11</v>
      </c>
      <c r="F687">
        <v>289</v>
      </c>
      <c r="G687">
        <v>83.67</v>
      </c>
      <c r="H687">
        <v>4</v>
      </c>
    </row>
    <row r="688" spans="1:8" x14ac:dyDescent="0.25">
      <c r="A688" s="1" t="s">
        <v>699</v>
      </c>
      <c r="B688" s="1" t="s">
        <v>738</v>
      </c>
      <c r="C688" s="1" t="s">
        <v>89</v>
      </c>
      <c r="D688">
        <v>65</v>
      </c>
      <c r="E688" s="1" t="s">
        <v>14</v>
      </c>
      <c r="F688">
        <v>246</v>
      </c>
      <c r="G688">
        <v>69.17</v>
      </c>
      <c r="H688">
        <v>0</v>
      </c>
    </row>
    <row r="689" spans="1:8" x14ac:dyDescent="0.25">
      <c r="A689" s="1" t="s">
        <v>699</v>
      </c>
      <c r="B689" s="1" t="s">
        <v>739</v>
      </c>
      <c r="C689" s="1" t="s">
        <v>24</v>
      </c>
      <c r="D689">
        <v>86</v>
      </c>
      <c r="E689" s="1" t="s">
        <v>14</v>
      </c>
      <c r="F689">
        <v>353</v>
      </c>
      <c r="G689">
        <v>25.37</v>
      </c>
      <c r="H689">
        <v>1</v>
      </c>
    </row>
    <row r="690" spans="1:8" x14ac:dyDescent="0.25">
      <c r="A690" s="1" t="s">
        <v>699</v>
      </c>
      <c r="B690" s="1" t="s">
        <v>740</v>
      </c>
      <c r="C690" s="1" t="s">
        <v>24</v>
      </c>
      <c r="D690">
        <v>99</v>
      </c>
      <c r="E690" s="1" t="s">
        <v>14</v>
      </c>
      <c r="F690">
        <v>169</v>
      </c>
      <c r="G690">
        <v>76.75</v>
      </c>
      <c r="H690">
        <v>5</v>
      </c>
    </row>
    <row r="691" spans="1:8" x14ac:dyDescent="0.25">
      <c r="A691" s="1" t="s">
        <v>699</v>
      </c>
      <c r="B691" s="1" t="s">
        <v>741</v>
      </c>
      <c r="C691" s="1" t="s">
        <v>21</v>
      </c>
      <c r="D691">
        <v>72</v>
      </c>
      <c r="E691" s="1" t="s">
        <v>14</v>
      </c>
      <c r="F691">
        <v>442</v>
      </c>
      <c r="G691">
        <v>59.2</v>
      </c>
      <c r="H691">
        <v>1</v>
      </c>
    </row>
    <row r="692" spans="1:8" x14ac:dyDescent="0.25">
      <c r="A692" s="1" t="s">
        <v>699</v>
      </c>
      <c r="B692" s="1" t="s">
        <v>742</v>
      </c>
      <c r="C692" s="1" t="s">
        <v>35</v>
      </c>
      <c r="D692">
        <v>20</v>
      </c>
      <c r="E692" s="1" t="s">
        <v>14</v>
      </c>
      <c r="F692">
        <v>31</v>
      </c>
      <c r="G692">
        <v>52.85</v>
      </c>
      <c r="H692">
        <v>2</v>
      </c>
    </row>
    <row r="693" spans="1:8" x14ac:dyDescent="0.25">
      <c r="A693" s="1" t="s">
        <v>699</v>
      </c>
      <c r="B693" s="1" t="s">
        <v>743</v>
      </c>
      <c r="C693" s="1" t="s">
        <v>51</v>
      </c>
      <c r="D693">
        <v>12</v>
      </c>
      <c r="E693" s="1" t="s">
        <v>19</v>
      </c>
      <c r="F693">
        <v>62</v>
      </c>
      <c r="G693">
        <v>36.1</v>
      </c>
      <c r="H693">
        <v>5</v>
      </c>
    </row>
    <row r="694" spans="1:8" x14ac:dyDescent="0.25">
      <c r="A694" s="1" t="s">
        <v>699</v>
      </c>
      <c r="B694" s="1" t="s">
        <v>744</v>
      </c>
      <c r="C694" s="1" t="s">
        <v>64</v>
      </c>
      <c r="D694">
        <v>92</v>
      </c>
      <c r="E694" s="1" t="s">
        <v>19</v>
      </c>
      <c r="F694">
        <v>379</v>
      </c>
      <c r="G694">
        <v>70.08</v>
      </c>
      <c r="H694">
        <v>5</v>
      </c>
    </row>
    <row r="695" spans="1:8" x14ac:dyDescent="0.25">
      <c r="A695" s="1" t="s">
        <v>699</v>
      </c>
      <c r="B695" s="1" t="s">
        <v>745</v>
      </c>
      <c r="C695" s="1" t="s">
        <v>26</v>
      </c>
      <c r="D695">
        <v>35</v>
      </c>
      <c r="E695" s="1" t="s">
        <v>14</v>
      </c>
      <c r="F695">
        <v>299</v>
      </c>
      <c r="G695">
        <v>96.32</v>
      </c>
      <c r="H695">
        <v>4</v>
      </c>
    </row>
    <row r="696" spans="1:8" x14ac:dyDescent="0.25">
      <c r="A696" s="1" t="s">
        <v>699</v>
      </c>
      <c r="B696" s="1" t="s">
        <v>746</v>
      </c>
      <c r="C696" s="1" t="s">
        <v>13</v>
      </c>
      <c r="D696">
        <v>19</v>
      </c>
      <c r="E696" s="1" t="s">
        <v>19</v>
      </c>
      <c r="F696">
        <v>345</v>
      </c>
      <c r="G696">
        <v>54.37</v>
      </c>
      <c r="H696">
        <v>2</v>
      </c>
    </row>
    <row r="697" spans="1:8" x14ac:dyDescent="0.25">
      <c r="A697" s="1" t="s">
        <v>699</v>
      </c>
      <c r="B697" s="1" t="s">
        <v>747</v>
      </c>
      <c r="C697" s="1" t="s">
        <v>44</v>
      </c>
      <c r="D697">
        <v>94</v>
      </c>
      <c r="E697" s="1" t="s">
        <v>22</v>
      </c>
      <c r="F697">
        <v>261</v>
      </c>
      <c r="G697">
        <v>70.09</v>
      </c>
      <c r="H697">
        <v>3</v>
      </c>
    </row>
    <row r="698" spans="1:8" x14ac:dyDescent="0.25">
      <c r="A698" s="1" t="s">
        <v>699</v>
      </c>
      <c r="B698" s="1" t="s">
        <v>748</v>
      </c>
      <c r="C698" s="1" t="s">
        <v>127</v>
      </c>
      <c r="D698">
        <v>26</v>
      </c>
      <c r="E698" s="1" t="s">
        <v>11</v>
      </c>
      <c r="F698">
        <v>378</v>
      </c>
      <c r="G698">
        <v>45.21</v>
      </c>
      <c r="H698">
        <v>5</v>
      </c>
    </row>
    <row r="699" spans="1:8" x14ac:dyDescent="0.25">
      <c r="A699" s="1" t="s">
        <v>699</v>
      </c>
      <c r="B699" s="1" t="s">
        <v>749</v>
      </c>
      <c r="C699" s="1" t="s">
        <v>13</v>
      </c>
      <c r="D699">
        <v>56</v>
      </c>
      <c r="E699" s="1" t="s">
        <v>22</v>
      </c>
      <c r="F699">
        <v>367</v>
      </c>
      <c r="G699">
        <v>72.790000000000006</v>
      </c>
      <c r="H699">
        <v>1</v>
      </c>
    </row>
    <row r="700" spans="1:8" x14ac:dyDescent="0.25">
      <c r="A700" s="1" t="s">
        <v>750</v>
      </c>
      <c r="B700" s="1" t="s">
        <v>751</v>
      </c>
      <c r="C700" s="1" t="s">
        <v>35</v>
      </c>
      <c r="D700">
        <v>97</v>
      </c>
      <c r="E700" s="1" t="s">
        <v>19</v>
      </c>
      <c r="F700">
        <v>173</v>
      </c>
      <c r="G700">
        <v>19.37</v>
      </c>
      <c r="H700">
        <v>5</v>
      </c>
    </row>
    <row r="701" spans="1:8" x14ac:dyDescent="0.25">
      <c r="A701" s="1" t="s">
        <v>750</v>
      </c>
      <c r="B701" s="1" t="s">
        <v>752</v>
      </c>
      <c r="C701" s="1" t="s">
        <v>131</v>
      </c>
      <c r="D701">
        <v>54</v>
      </c>
      <c r="E701" s="1" t="s">
        <v>22</v>
      </c>
      <c r="F701">
        <v>215</v>
      </c>
      <c r="G701">
        <v>54.69</v>
      </c>
      <c r="H701">
        <v>0</v>
      </c>
    </row>
    <row r="702" spans="1:8" x14ac:dyDescent="0.25">
      <c r="A702" s="1" t="s">
        <v>750</v>
      </c>
      <c r="B702" s="1" t="s">
        <v>753</v>
      </c>
      <c r="C702" s="1" t="s">
        <v>40</v>
      </c>
      <c r="D702">
        <v>119</v>
      </c>
      <c r="E702" s="1" t="s">
        <v>19</v>
      </c>
      <c r="F702">
        <v>133</v>
      </c>
      <c r="G702">
        <v>30.27</v>
      </c>
      <c r="H702">
        <v>5</v>
      </c>
    </row>
    <row r="703" spans="1:8" x14ac:dyDescent="0.25">
      <c r="A703" s="1" t="s">
        <v>750</v>
      </c>
      <c r="B703" s="1" t="s">
        <v>754</v>
      </c>
      <c r="C703" s="1" t="s">
        <v>16</v>
      </c>
      <c r="D703">
        <v>9</v>
      </c>
      <c r="E703" s="1" t="s">
        <v>22</v>
      </c>
      <c r="F703">
        <v>102</v>
      </c>
      <c r="G703">
        <v>41.52</v>
      </c>
      <c r="H703">
        <v>0</v>
      </c>
    </row>
    <row r="704" spans="1:8" x14ac:dyDescent="0.25">
      <c r="A704" s="1" t="s">
        <v>750</v>
      </c>
      <c r="B704" s="1" t="s">
        <v>755</v>
      </c>
      <c r="C704" s="1" t="s">
        <v>26</v>
      </c>
      <c r="D704">
        <v>8</v>
      </c>
      <c r="E704" s="1" t="s">
        <v>19</v>
      </c>
      <c r="F704">
        <v>171</v>
      </c>
      <c r="G704">
        <v>52.98</v>
      </c>
      <c r="H704">
        <v>0</v>
      </c>
    </row>
    <row r="705" spans="1:8" x14ac:dyDescent="0.25">
      <c r="A705" s="1" t="s">
        <v>750</v>
      </c>
      <c r="B705" s="1" t="s">
        <v>756</v>
      </c>
      <c r="C705" s="1" t="s">
        <v>131</v>
      </c>
      <c r="D705">
        <v>79</v>
      </c>
      <c r="E705" s="1" t="s">
        <v>11</v>
      </c>
      <c r="F705">
        <v>454</v>
      </c>
      <c r="G705">
        <v>80.34</v>
      </c>
      <c r="H705">
        <v>2</v>
      </c>
    </row>
    <row r="706" spans="1:8" x14ac:dyDescent="0.25">
      <c r="A706" s="1" t="s">
        <v>750</v>
      </c>
      <c r="B706" s="1" t="s">
        <v>757</v>
      </c>
      <c r="C706" s="1" t="s">
        <v>26</v>
      </c>
      <c r="D706">
        <v>33</v>
      </c>
      <c r="E706" s="1" t="s">
        <v>14</v>
      </c>
      <c r="F706">
        <v>391</v>
      </c>
      <c r="G706">
        <v>88.88</v>
      </c>
      <c r="H706">
        <v>4</v>
      </c>
    </row>
    <row r="707" spans="1:8" x14ac:dyDescent="0.25">
      <c r="A707" s="1" t="s">
        <v>750</v>
      </c>
      <c r="B707" s="1" t="s">
        <v>758</v>
      </c>
      <c r="C707" s="1" t="s">
        <v>31</v>
      </c>
      <c r="D707">
        <v>15</v>
      </c>
      <c r="E707" s="1" t="s">
        <v>19</v>
      </c>
      <c r="F707">
        <v>30</v>
      </c>
      <c r="G707">
        <v>30.5</v>
      </c>
      <c r="H707">
        <v>1</v>
      </c>
    </row>
    <row r="708" spans="1:8" x14ac:dyDescent="0.25">
      <c r="A708" s="1" t="s">
        <v>750</v>
      </c>
      <c r="B708" s="1" t="s">
        <v>759</v>
      </c>
      <c r="C708" s="1" t="s">
        <v>13</v>
      </c>
      <c r="D708">
        <v>5</v>
      </c>
      <c r="E708" s="1" t="s">
        <v>11</v>
      </c>
      <c r="F708">
        <v>71</v>
      </c>
      <c r="G708">
        <v>93.81</v>
      </c>
      <c r="H708">
        <v>3</v>
      </c>
    </row>
    <row r="709" spans="1:8" x14ac:dyDescent="0.25">
      <c r="A709" s="1" t="s">
        <v>750</v>
      </c>
      <c r="B709" s="1" t="s">
        <v>760</v>
      </c>
      <c r="C709" s="1" t="s">
        <v>29</v>
      </c>
      <c r="D709">
        <v>109</v>
      </c>
      <c r="E709" s="1" t="s">
        <v>22</v>
      </c>
      <c r="F709">
        <v>104</v>
      </c>
      <c r="G709">
        <v>12.37</v>
      </c>
      <c r="H709">
        <v>5</v>
      </c>
    </row>
    <row r="710" spans="1:8" x14ac:dyDescent="0.25">
      <c r="A710" s="1" t="s">
        <v>750</v>
      </c>
      <c r="B710" s="1" t="s">
        <v>761</v>
      </c>
      <c r="C710" s="1" t="s">
        <v>89</v>
      </c>
      <c r="D710">
        <v>96</v>
      </c>
      <c r="E710" s="1" t="s">
        <v>14</v>
      </c>
      <c r="F710">
        <v>280</v>
      </c>
      <c r="G710">
        <v>80.36</v>
      </c>
      <c r="H710">
        <v>5</v>
      </c>
    </row>
    <row r="711" spans="1:8" x14ac:dyDescent="0.25">
      <c r="A711" s="1" t="s">
        <v>750</v>
      </c>
      <c r="B711" s="1" t="s">
        <v>762</v>
      </c>
      <c r="C711" s="1" t="s">
        <v>37</v>
      </c>
      <c r="D711">
        <v>10</v>
      </c>
      <c r="E711" s="1" t="s">
        <v>22</v>
      </c>
      <c r="F711">
        <v>418</v>
      </c>
      <c r="G711">
        <v>27.66</v>
      </c>
      <c r="H711">
        <v>2</v>
      </c>
    </row>
    <row r="712" spans="1:8" x14ac:dyDescent="0.25">
      <c r="A712" s="1" t="s">
        <v>750</v>
      </c>
      <c r="B712" s="1" t="s">
        <v>763</v>
      </c>
      <c r="C712" s="1" t="s">
        <v>73</v>
      </c>
      <c r="D712">
        <v>57</v>
      </c>
      <c r="E712" s="1" t="s">
        <v>22</v>
      </c>
      <c r="F712">
        <v>375</v>
      </c>
      <c r="G712">
        <v>64.73</v>
      </c>
      <c r="H712">
        <v>1</v>
      </c>
    </row>
    <row r="713" spans="1:8" x14ac:dyDescent="0.25">
      <c r="A713" s="1" t="s">
        <v>750</v>
      </c>
      <c r="B713" s="1" t="s">
        <v>764</v>
      </c>
      <c r="C713" s="1" t="s">
        <v>137</v>
      </c>
      <c r="D713">
        <v>98</v>
      </c>
      <c r="E713" s="1" t="s">
        <v>14</v>
      </c>
      <c r="F713">
        <v>168</v>
      </c>
      <c r="G713">
        <v>44.14</v>
      </c>
      <c r="H713">
        <v>3</v>
      </c>
    </row>
    <row r="714" spans="1:8" x14ac:dyDescent="0.25">
      <c r="A714" s="1" t="s">
        <v>750</v>
      </c>
      <c r="B714" s="1" t="s">
        <v>765</v>
      </c>
      <c r="C714" s="1" t="s">
        <v>13</v>
      </c>
      <c r="D714">
        <v>48</v>
      </c>
      <c r="E714" s="1" t="s">
        <v>11</v>
      </c>
      <c r="F714">
        <v>473</v>
      </c>
      <c r="G714">
        <v>71.52</v>
      </c>
      <c r="H714">
        <v>5</v>
      </c>
    </row>
    <row r="715" spans="1:8" x14ac:dyDescent="0.25">
      <c r="A715" s="1" t="s">
        <v>750</v>
      </c>
      <c r="B715" s="1" t="s">
        <v>766</v>
      </c>
      <c r="C715" s="1" t="s">
        <v>73</v>
      </c>
      <c r="D715">
        <v>78</v>
      </c>
      <c r="E715" s="1" t="s">
        <v>11</v>
      </c>
      <c r="F715">
        <v>387</v>
      </c>
      <c r="G715">
        <v>11.63</v>
      </c>
      <c r="H715">
        <v>2</v>
      </c>
    </row>
    <row r="716" spans="1:8" x14ac:dyDescent="0.25">
      <c r="A716" s="1" t="s">
        <v>750</v>
      </c>
      <c r="B716" s="1" t="s">
        <v>767</v>
      </c>
      <c r="C716" s="1" t="s">
        <v>67</v>
      </c>
      <c r="D716">
        <v>81</v>
      </c>
      <c r="E716" s="1" t="s">
        <v>22</v>
      </c>
      <c r="F716">
        <v>339</v>
      </c>
      <c r="G716">
        <v>53.4</v>
      </c>
      <c r="H716">
        <v>2</v>
      </c>
    </row>
    <row r="717" spans="1:8" x14ac:dyDescent="0.25">
      <c r="A717" s="1" t="s">
        <v>750</v>
      </c>
      <c r="B717" s="1" t="s">
        <v>768</v>
      </c>
      <c r="C717" s="1" t="s">
        <v>44</v>
      </c>
      <c r="D717">
        <v>108</v>
      </c>
      <c r="E717" s="1" t="s">
        <v>19</v>
      </c>
      <c r="F717">
        <v>467</v>
      </c>
      <c r="G717">
        <v>44.84</v>
      </c>
      <c r="H717">
        <v>4</v>
      </c>
    </row>
    <row r="718" spans="1:8" x14ac:dyDescent="0.25">
      <c r="A718" s="1" t="s">
        <v>750</v>
      </c>
      <c r="B718" s="1" t="s">
        <v>769</v>
      </c>
      <c r="C718" s="1" t="s">
        <v>37</v>
      </c>
      <c r="D718">
        <v>4</v>
      </c>
      <c r="E718" s="1" t="s">
        <v>14</v>
      </c>
      <c r="F718">
        <v>449</v>
      </c>
      <c r="G718">
        <v>43.95</v>
      </c>
      <c r="H718">
        <v>2</v>
      </c>
    </row>
    <row r="719" spans="1:8" x14ac:dyDescent="0.25">
      <c r="A719" s="1" t="s">
        <v>750</v>
      </c>
      <c r="B719" s="1" t="s">
        <v>770</v>
      </c>
      <c r="C719" s="1" t="s">
        <v>78</v>
      </c>
      <c r="D719">
        <v>119</v>
      </c>
      <c r="E719" s="1" t="s">
        <v>14</v>
      </c>
      <c r="F719">
        <v>31</v>
      </c>
      <c r="G719">
        <v>21.27</v>
      </c>
      <c r="H719">
        <v>5</v>
      </c>
    </row>
    <row r="720" spans="1:8" x14ac:dyDescent="0.25">
      <c r="A720" s="1" t="s">
        <v>750</v>
      </c>
      <c r="B720" s="1" t="s">
        <v>771</v>
      </c>
      <c r="C720" s="1" t="s">
        <v>89</v>
      </c>
      <c r="D720">
        <v>23</v>
      </c>
      <c r="E720" s="1" t="s">
        <v>14</v>
      </c>
      <c r="F720">
        <v>120</v>
      </c>
      <c r="G720">
        <v>73.12</v>
      </c>
      <c r="H720">
        <v>1</v>
      </c>
    </row>
    <row r="721" spans="1:8" x14ac:dyDescent="0.25">
      <c r="A721" s="1" t="s">
        <v>750</v>
      </c>
      <c r="B721" s="1" t="s">
        <v>772</v>
      </c>
      <c r="C721" s="1" t="s">
        <v>89</v>
      </c>
      <c r="D721">
        <v>42</v>
      </c>
      <c r="E721" s="1" t="s">
        <v>19</v>
      </c>
      <c r="F721">
        <v>252</v>
      </c>
      <c r="G721">
        <v>59.46</v>
      </c>
      <c r="H721">
        <v>4</v>
      </c>
    </row>
    <row r="722" spans="1:8" x14ac:dyDescent="0.25">
      <c r="A722" s="1" t="s">
        <v>750</v>
      </c>
      <c r="B722" s="1" t="s">
        <v>773</v>
      </c>
      <c r="C722" s="1" t="s">
        <v>21</v>
      </c>
      <c r="D722">
        <v>14</v>
      </c>
      <c r="E722" s="1" t="s">
        <v>19</v>
      </c>
      <c r="F722">
        <v>37</v>
      </c>
      <c r="G722">
        <v>20.399999999999999</v>
      </c>
      <c r="H722">
        <v>2</v>
      </c>
    </row>
    <row r="723" spans="1:8" x14ac:dyDescent="0.25">
      <c r="A723" s="1" t="s">
        <v>750</v>
      </c>
      <c r="B723" s="1" t="s">
        <v>774</v>
      </c>
      <c r="C723" s="1" t="s">
        <v>89</v>
      </c>
      <c r="D723">
        <v>90</v>
      </c>
      <c r="E723" s="1" t="s">
        <v>22</v>
      </c>
      <c r="F723">
        <v>412</v>
      </c>
      <c r="G723">
        <v>20.62</v>
      </c>
      <c r="H723">
        <v>2</v>
      </c>
    </row>
    <row r="724" spans="1:8" x14ac:dyDescent="0.25">
      <c r="A724" s="1" t="s">
        <v>750</v>
      </c>
      <c r="B724" s="1" t="s">
        <v>775</v>
      </c>
      <c r="C724" s="1" t="s">
        <v>31</v>
      </c>
      <c r="D724">
        <v>58</v>
      </c>
      <c r="E724" s="1" t="s">
        <v>11</v>
      </c>
      <c r="F724">
        <v>485</v>
      </c>
      <c r="G724">
        <v>65.41</v>
      </c>
      <c r="H724">
        <v>5</v>
      </c>
    </row>
    <row r="725" spans="1:8" x14ac:dyDescent="0.25">
      <c r="A725" s="1" t="s">
        <v>750</v>
      </c>
      <c r="B725" s="1" t="s">
        <v>776</v>
      </c>
      <c r="C725" s="1" t="s">
        <v>131</v>
      </c>
      <c r="D725">
        <v>49</v>
      </c>
      <c r="E725" s="1" t="s">
        <v>19</v>
      </c>
      <c r="F725">
        <v>288</v>
      </c>
      <c r="G725">
        <v>91.32</v>
      </c>
      <c r="H725">
        <v>4</v>
      </c>
    </row>
    <row r="726" spans="1:8" x14ac:dyDescent="0.25">
      <c r="A726" s="1" t="s">
        <v>750</v>
      </c>
      <c r="B726" s="1" t="s">
        <v>777</v>
      </c>
      <c r="C726" s="1" t="s">
        <v>40</v>
      </c>
      <c r="D726">
        <v>18</v>
      </c>
      <c r="E726" s="1" t="s">
        <v>19</v>
      </c>
      <c r="F726">
        <v>463</v>
      </c>
      <c r="G726">
        <v>41.66</v>
      </c>
      <c r="H726">
        <v>4</v>
      </c>
    </row>
    <row r="727" spans="1:8" x14ac:dyDescent="0.25">
      <c r="A727" s="1" t="s">
        <v>750</v>
      </c>
      <c r="B727" s="1" t="s">
        <v>778</v>
      </c>
      <c r="C727" s="1" t="s">
        <v>62</v>
      </c>
      <c r="D727">
        <v>82</v>
      </c>
      <c r="E727" s="1" t="s">
        <v>14</v>
      </c>
      <c r="F727">
        <v>312</v>
      </c>
      <c r="G727">
        <v>40.880000000000003</v>
      </c>
      <c r="H727">
        <v>0</v>
      </c>
    </row>
    <row r="728" spans="1:8" x14ac:dyDescent="0.25">
      <c r="A728" s="1" t="s">
        <v>750</v>
      </c>
      <c r="B728" s="1" t="s">
        <v>779</v>
      </c>
      <c r="C728" s="1" t="s">
        <v>64</v>
      </c>
      <c r="D728">
        <v>74</v>
      </c>
      <c r="E728" s="1" t="s">
        <v>22</v>
      </c>
      <c r="F728">
        <v>359</v>
      </c>
      <c r="G728">
        <v>92.63</v>
      </c>
      <c r="H728">
        <v>0</v>
      </c>
    </row>
    <row r="729" spans="1:8" x14ac:dyDescent="0.25">
      <c r="A729" s="1" t="s">
        <v>750</v>
      </c>
      <c r="B729" s="1" t="s">
        <v>780</v>
      </c>
      <c r="C729" s="1" t="s">
        <v>18</v>
      </c>
      <c r="D729">
        <v>72</v>
      </c>
      <c r="E729" s="1" t="s">
        <v>19</v>
      </c>
      <c r="F729">
        <v>427</v>
      </c>
      <c r="G729">
        <v>31.44</v>
      </c>
      <c r="H729">
        <v>2</v>
      </c>
    </row>
    <row r="730" spans="1:8" x14ac:dyDescent="0.25">
      <c r="A730" s="1" t="s">
        <v>750</v>
      </c>
      <c r="B730" s="1" t="s">
        <v>781</v>
      </c>
      <c r="C730" s="1" t="s">
        <v>29</v>
      </c>
      <c r="D730">
        <v>26</v>
      </c>
      <c r="E730" s="1" t="s">
        <v>11</v>
      </c>
      <c r="F730">
        <v>391</v>
      </c>
      <c r="G730">
        <v>18.28</v>
      </c>
      <c r="H730">
        <v>3</v>
      </c>
    </row>
    <row r="731" spans="1:8" x14ac:dyDescent="0.25">
      <c r="A731" s="1" t="s">
        <v>750</v>
      </c>
      <c r="B731" s="1" t="s">
        <v>782</v>
      </c>
      <c r="C731" s="1" t="s">
        <v>57</v>
      </c>
      <c r="D731">
        <v>26</v>
      </c>
      <c r="E731" s="1" t="s">
        <v>19</v>
      </c>
      <c r="F731">
        <v>413</v>
      </c>
      <c r="G731">
        <v>10.9</v>
      </c>
      <c r="H731">
        <v>5</v>
      </c>
    </row>
    <row r="732" spans="1:8" x14ac:dyDescent="0.25">
      <c r="A732" s="1" t="s">
        <v>750</v>
      </c>
      <c r="B732" s="1" t="s">
        <v>783</v>
      </c>
      <c r="C732" s="1" t="s">
        <v>51</v>
      </c>
      <c r="D732">
        <v>33</v>
      </c>
      <c r="E732" s="1" t="s">
        <v>22</v>
      </c>
      <c r="F732">
        <v>18</v>
      </c>
      <c r="G732">
        <v>47.18</v>
      </c>
      <c r="H732">
        <v>4</v>
      </c>
    </row>
    <row r="733" spans="1:8" x14ac:dyDescent="0.25">
      <c r="A733" s="1" t="s">
        <v>750</v>
      </c>
      <c r="B733" s="1" t="s">
        <v>784</v>
      </c>
      <c r="C733" s="1" t="s">
        <v>13</v>
      </c>
      <c r="D733">
        <v>63</v>
      </c>
      <c r="E733" s="1" t="s">
        <v>11</v>
      </c>
      <c r="F733">
        <v>177</v>
      </c>
      <c r="G733">
        <v>77.73</v>
      </c>
      <c r="H733">
        <v>3</v>
      </c>
    </row>
    <row r="734" spans="1:8" x14ac:dyDescent="0.25">
      <c r="A734" s="1" t="s">
        <v>750</v>
      </c>
      <c r="B734" s="1" t="s">
        <v>785</v>
      </c>
      <c r="C734" s="1" t="s">
        <v>51</v>
      </c>
      <c r="D734">
        <v>57</v>
      </c>
      <c r="E734" s="1" t="s">
        <v>11</v>
      </c>
      <c r="F734">
        <v>36</v>
      </c>
      <c r="G734">
        <v>82.7</v>
      </c>
      <c r="H734">
        <v>2</v>
      </c>
    </row>
    <row r="735" spans="1:8" x14ac:dyDescent="0.25">
      <c r="A735" s="1" t="s">
        <v>750</v>
      </c>
      <c r="B735" s="1" t="s">
        <v>786</v>
      </c>
      <c r="C735" s="1" t="s">
        <v>26</v>
      </c>
      <c r="D735">
        <v>87</v>
      </c>
      <c r="E735" s="1" t="s">
        <v>14</v>
      </c>
      <c r="F735">
        <v>486</v>
      </c>
      <c r="G735">
        <v>58.26</v>
      </c>
      <c r="H735">
        <v>0</v>
      </c>
    </row>
    <row r="736" spans="1:8" x14ac:dyDescent="0.25">
      <c r="A736" s="1" t="s">
        <v>750</v>
      </c>
      <c r="B736" s="1" t="s">
        <v>787</v>
      </c>
      <c r="C736" s="1" t="s">
        <v>13</v>
      </c>
      <c r="D736">
        <v>37</v>
      </c>
      <c r="E736" s="1" t="s">
        <v>11</v>
      </c>
      <c r="F736">
        <v>213</v>
      </c>
      <c r="G736">
        <v>14.12</v>
      </c>
      <c r="H736">
        <v>1</v>
      </c>
    </row>
    <row r="737" spans="1:8" x14ac:dyDescent="0.25">
      <c r="A737" s="1" t="s">
        <v>750</v>
      </c>
      <c r="B737" s="1" t="s">
        <v>788</v>
      </c>
      <c r="C737" s="1" t="s">
        <v>26</v>
      </c>
      <c r="D737">
        <v>29</v>
      </c>
      <c r="E737" s="1" t="s">
        <v>19</v>
      </c>
      <c r="F737">
        <v>306</v>
      </c>
      <c r="G737">
        <v>82.16</v>
      </c>
      <c r="H737">
        <v>1</v>
      </c>
    </row>
    <row r="738" spans="1:8" x14ac:dyDescent="0.25">
      <c r="A738" s="1" t="s">
        <v>750</v>
      </c>
      <c r="B738" s="1" t="s">
        <v>789</v>
      </c>
      <c r="C738" s="1" t="s">
        <v>78</v>
      </c>
      <c r="D738">
        <v>26</v>
      </c>
      <c r="E738" s="1" t="s">
        <v>22</v>
      </c>
      <c r="F738">
        <v>378</v>
      </c>
      <c r="G738">
        <v>88.59</v>
      </c>
      <c r="H738">
        <v>4</v>
      </c>
    </row>
    <row r="739" spans="1:8" x14ac:dyDescent="0.25">
      <c r="A739" s="1" t="s">
        <v>750</v>
      </c>
      <c r="B739" s="1" t="s">
        <v>790</v>
      </c>
      <c r="C739" s="1" t="s">
        <v>137</v>
      </c>
      <c r="D739">
        <v>95</v>
      </c>
      <c r="E739" s="1" t="s">
        <v>11</v>
      </c>
      <c r="F739">
        <v>313</v>
      </c>
      <c r="G739">
        <v>32.49</v>
      </c>
      <c r="H739">
        <v>1</v>
      </c>
    </row>
    <row r="740" spans="1:8" x14ac:dyDescent="0.25">
      <c r="A740" s="1" t="s">
        <v>750</v>
      </c>
      <c r="B740" s="1" t="s">
        <v>791</v>
      </c>
      <c r="C740" s="1" t="s">
        <v>57</v>
      </c>
      <c r="D740">
        <v>21</v>
      </c>
      <c r="E740" s="1" t="s">
        <v>19</v>
      </c>
      <c r="F740">
        <v>475</v>
      </c>
      <c r="G740">
        <v>15.12</v>
      </c>
      <c r="H740">
        <v>2</v>
      </c>
    </row>
    <row r="741" spans="1:8" x14ac:dyDescent="0.25">
      <c r="A741" s="1" t="s">
        <v>750</v>
      </c>
      <c r="B741" s="1" t="s">
        <v>792</v>
      </c>
      <c r="C741" s="1" t="s">
        <v>137</v>
      </c>
      <c r="D741">
        <v>56</v>
      </c>
      <c r="E741" s="1" t="s">
        <v>22</v>
      </c>
      <c r="F741">
        <v>41</v>
      </c>
      <c r="G741">
        <v>15.1</v>
      </c>
      <c r="H741">
        <v>5</v>
      </c>
    </row>
    <row r="742" spans="1:8" x14ac:dyDescent="0.25">
      <c r="A742" s="1" t="s">
        <v>750</v>
      </c>
      <c r="B742" s="1" t="s">
        <v>793</v>
      </c>
      <c r="C742" s="1" t="s">
        <v>24</v>
      </c>
      <c r="D742">
        <v>105</v>
      </c>
      <c r="E742" s="1" t="s">
        <v>11</v>
      </c>
      <c r="F742">
        <v>454</v>
      </c>
      <c r="G742">
        <v>49.47</v>
      </c>
      <c r="H742">
        <v>4</v>
      </c>
    </row>
    <row r="743" spans="1:8" x14ac:dyDescent="0.25">
      <c r="A743" s="1" t="s">
        <v>750</v>
      </c>
      <c r="B743" s="1" t="s">
        <v>794</v>
      </c>
      <c r="C743" s="1" t="s">
        <v>18</v>
      </c>
      <c r="D743">
        <v>68</v>
      </c>
      <c r="E743" s="1" t="s">
        <v>14</v>
      </c>
      <c r="F743">
        <v>282</v>
      </c>
      <c r="G743">
        <v>35.43</v>
      </c>
      <c r="H743">
        <v>1</v>
      </c>
    </row>
    <row r="744" spans="1:8" x14ac:dyDescent="0.25">
      <c r="A744" s="1" t="s">
        <v>750</v>
      </c>
      <c r="B744" s="1" t="s">
        <v>795</v>
      </c>
      <c r="C744" s="1" t="s">
        <v>24</v>
      </c>
      <c r="D744">
        <v>104</v>
      </c>
      <c r="E744" s="1" t="s">
        <v>19</v>
      </c>
      <c r="F744">
        <v>245</v>
      </c>
      <c r="G744">
        <v>38.270000000000003</v>
      </c>
      <c r="H744">
        <v>0</v>
      </c>
    </row>
    <row r="745" spans="1:8" x14ac:dyDescent="0.25">
      <c r="A745" s="1" t="s">
        <v>750</v>
      </c>
      <c r="B745" s="1" t="s">
        <v>796</v>
      </c>
      <c r="C745" s="1" t="s">
        <v>57</v>
      </c>
      <c r="D745">
        <v>102</v>
      </c>
      <c r="E745" s="1" t="s">
        <v>19</v>
      </c>
      <c r="F745">
        <v>484</v>
      </c>
      <c r="G745">
        <v>64.22</v>
      </c>
      <c r="H745">
        <v>2</v>
      </c>
    </row>
    <row r="746" spans="1:8" x14ac:dyDescent="0.25">
      <c r="A746" s="1" t="s">
        <v>750</v>
      </c>
      <c r="B746" s="1" t="s">
        <v>797</v>
      </c>
      <c r="C746" s="1" t="s">
        <v>51</v>
      </c>
      <c r="D746">
        <v>25</v>
      </c>
      <c r="E746" s="1" t="s">
        <v>14</v>
      </c>
      <c r="F746">
        <v>66</v>
      </c>
      <c r="G746">
        <v>90.14</v>
      </c>
      <c r="H746">
        <v>5</v>
      </c>
    </row>
    <row r="747" spans="1:8" x14ac:dyDescent="0.25">
      <c r="A747" s="1" t="s">
        <v>750</v>
      </c>
      <c r="B747" s="1" t="s">
        <v>798</v>
      </c>
      <c r="C747" s="1" t="s">
        <v>29</v>
      </c>
      <c r="D747">
        <v>12</v>
      </c>
      <c r="E747" s="1" t="s">
        <v>11</v>
      </c>
      <c r="F747">
        <v>138</v>
      </c>
      <c r="G747">
        <v>99.83</v>
      </c>
      <c r="H747">
        <v>1</v>
      </c>
    </row>
    <row r="748" spans="1:8" x14ac:dyDescent="0.25">
      <c r="A748" s="1" t="s">
        <v>750</v>
      </c>
      <c r="B748" s="1" t="s">
        <v>799</v>
      </c>
      <c r="C748" s="1" t="s">
        <v>18</v>
      </c>
      <c r="D748">
        <v>75</v>
      </c>
      <c r="E748" s="1" t="s">
        <v>19</v>
      </c>
      <c r="F748">
        <v>370</v>
      </c>
      <c r="G748">
        <v>21.67</v>
      </c>
      <c r="H748">
        <v>0</v>
      </c>
    </row>
    <row r="749" spans="1:8" x14ac:dyDescent="0.25">
      <c r="A749" s="1" t="s">
        <v>750</v>
      </c>
      <c r="B749" s="1" t="s">
        <v>800</v>
      </c>
      <c r="C749" s="1" t="s">
        <v>131</v>
      </c>
      <c r="D749">
        <v>4</v>
      </c>
      <c r="E749" s="1" t="s">
        <v>19</v>
      </c>
      <c r="F749">
        <v>21</v>
      </c>
      <c r="G749">
        <v>45.8</v>
      </c>
      <c r="H74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355B-1CE8-4D9B-89CD-1019D397C585}">
  <dimension ref="A1:G1080"/>
  <sheetViews>
    <sheetView zoomScale="80" zoomScaleNormal="80" workbookViewId="0">
      <selection activeCell="E1" sqref="E1"/>
    </sheetView>
  </sheetViews>
  <sheetFormatPr baseColWidth="10" defaultRowHeight="15" x14ac:dyDescent="0.25"/>
  <cols>
    <col min="1" max="1" width="23.85546875" bestFit="1" customWidth="1"/>
    <col min="2" max="2" width="22" bestFit="1" customWidth="1"/>
    <col min="3" max="4" width="22.85546875" bestFit="1" customWidth="1"/>
    <col min="5" max="5" width="10.5703125" bestFit="1" customWidth="1"/>
    <col min="6" max="6" width="20" bestFit="1" customWidth="1"/>
    <col min="7" max="7" width="19.85546875" bestFit="1" customWidth="1"/>
  </cols>
  <sheetData>
    <row r="1" spans="1:7" x14ac:dyDescent="0.25">
      <c r="A1" t="s">
        <v>0</v>
      </c>
      <c r="B1" t="s">
        <v>1495</v>
      </c>
      <c r="C1" t="s">
        <v>1668</v>
      </c>
      <c r="D1" t="s">
        <v>1669</v>
      </c>
      <c r="E1" t="s">
        <v>801</v>
      </c>
      <c r="F1" t="s">
        <v>802</v>
      </c>
      <c r="G1" t="s">
        <v>803</v>
      </c>
    </row>
    <row r="2" spans="1:7" x14ac:dyDescent="0.25">
      <c r="A2" s="1" t="s">
        <v>804</v>
      </c>
      <c r="B2" t="str">
        <f>_xlfn.XLOOKUP(Logs__3[[#This Row],[Cell_ID]],Registre_Maintenance[ID_Antenne],Registre_Maintenance[Province_RDC],"Pas de correspondance")</f>
        <v>Tanganyika</v>
      </c>
      <c r="C2" s="2">
        <v>45203</v>
      </c>
      <c r="D2" s="3">
        <v>3.2638888888888891E-2</v>
      </c>
      <c r="E2" s="1" t="s">
        <v>805</v>
      </c>
      <c r="F2">
        <v>73</v>
      </c>
      <c r="G2" s="1" t="s">
        <v>806</v>
      </c>
    </row>
    <row r="3" spans="1:7" x14ac:dyDescent="0.25">
      <c r="A3" s="1" t="s">
        <v>804</v>
      </c>
      <c r="B3" t="str">
        <f>_xlfn.XLOOKUP(Logs__3[[#This Row],[Cell_ID]],Registre_Maintenance[ID_Antenne],Registre_Maintenance[Province_RDC],"Pas de correspondance")</f>
        <v>Pas de correspondance</v>
      </c>
      <c r="C3" s="2">
        <v>45208</v>
      </c>
      <c r="D3" s="3">
        <v>0.30138888888888887</v>
      </c>
      <c r="E3" s="1" t="s">
        <v>807</v>
      </c>
      <c r="F3">
        <v>38</v>
      </c>
      <c r="G3" s="1" t="s">
        <v>806</v>
      </c>
    </row>
    <row r="4" spans="1:7" x14ac:dyDescent="0.25">
      <c r="A4" s="1" t="s">
        <v>804</v>
      </c>
      <c r="B4" t="str">
        <f>_xlfn.XLOOKUP(Logs__3[[#This Row],[Cell_ID]],Registre_Maintenance[ID_Antenne],Registre_Maintenance[Province_RDC],"Pas de correspondance")</f>
        <v>Pas de correspondance</v>
      </c>
      <c r="C4" s="2">
        <v>45204</v>
      </c>
      <c r="D4" s="3">
        <v>0.96250000000000002</v>
      </c>
      <c r="E4" s="1" t="s">
        <v>808</v>
      </c>
      <c r="F4">
        <v>100</v>
      </c>
      <c r="G4" s="1" t="s">
        <v>809</v>
      </c>
    </row>
    <row r="5" spans="1:7" x14ac:dyDescent="0.25">
      <c r="A5" s="1" t="s">
        <v>804</v>
      </c>
      <c r="B5" t="str">
        <f>_xlfn.XLOOKUP(Logs__3[[#This Row],[Cell_ID]],Registre_Maintenance[ID_Antenne],Registre_Maintenance[Province_RDC],"Pas de correspondance")</f>
        <v>Pas de correspondance</v>
      </c>
      <c r="C5" s="2">
        <v>45221</v>
      </c>
      <c r="D5" s="3">
        <v>0.99791666666666667</v>
      </c>
      <c r="E5" s="1" t="s">
        <v>810</v>
      </c>
      <c r="F5">
        <v>79</v>
      </c>
      <c r="G5" s="1" t="s">
        <v>811</v>
      </c>
    </row>
    <row r="6" spans="1:7" x14ac:dyDescent="0.25">
      <c r="A6" s="1" t="s">
        <v>804</v>
      </c>
      <c r="B6" t="str">
        <f>_xlfn.XLOOKUP(Logs__3[[#This Row],[Cell_ID]],Registre_Maintenance[ID_Antenne],Registre_Maintenance[Province_RDC],"Pas de correspondance")</f>
        <v>Pas de correspondance</v>
      </c>
      <c r="C6" s="2">
        <v>45217</v>
      </c>
      <c r="D6" s="3">
        <v>0.10902777777777778</v>
      </c>
      <c r="E6" s="1" t="s">
        <v>812</v>
      </c>
      <c r="F6">
        <v>59</v>
      </c>
      <c r="G6" s="1" t="s">
        <v>806</v>
      </c>
    </row>
    <row r="7" spans="1:7" x14ac:dyDescent="0.25">
      <c r="A7" s="1" t="s">
        <v>804</v>
      </c>
      <c r="B7" t="str">
        <f>_xlfn.XLOOKUP(Logs__3[[#This Row],[Cell_ID]],Registre_Maintenance[ID_Antenne],Registre_Maintenance[Province_RDC],"Pas de correspondance")</f>
        <v>Kongo-Central</v>
      </c>
      <c r="C7" s="2">
        <v>45213</v>
      </c>
      <c r="D7" s="3">
        <v>4.2361111111111113E-2</v>
      </c>
      <c r="E7" s="1" t="s">
        <v>813</v>
      </c>
      <c r="F7">
        <v>119</v>
      </c>
      <c r="G7" s="1" t="s">
        <v>809</v>
      </c>
    </row>
    <row r="8" spans="1:7" x14ac:dyDescent="0.25">
      <c r="A8" s="1" t="s">
        <v>804</v>
      </c>
      <c r="B8" t="str">
        <f>_xlfn.XLOOKUP(Logs__3[[#This Row],[Cell_ID]],Registre_Maintenance[ID_Antenne],Registre_Maintenance[Province_RDC],"Pas de correspondance")</f>
        <v>Kasaï-Central</v>
      </c>
      <c r="C8" s="2">
        <v>45202</v>
      </c>
      <c r="D8" s="3">
        <v>0.25972222222222224</v>
      </c>
      <c r="E8" s="1" t="s">
        <v>814</v>
      </c>
      <c r="F8">
        <v>79</v>
      </c>
      <c r="G8" s="1" t="s">
        <v>806</v>
      </c>
    </row>
    <row r="9" spans="1:7" x14ac:dyDescent="0.25">
      <c r="A9" s="1" t="s">
        <v>804</v>
      </c>
      <c r="B9" t="str">
        <f>_xlfn.XLOOKUP(Logs__3[[#This Row],[Cell_ID]],Registre_Maintenance[ID_Antenne],Registre_Maintenance[Province_RDC],"Pas de correspondance")</f>
        <v>Pas de correspondance</v>
      </c>
      <c r="C9" s="2">
        <v>45216</v>
      </c>
      <c r="D9" s="3">
        <v>0.79236111111111107</v>
      </c>
      <c r="E9" s="1" t="s">
        <v>815</v>
      </c>
      <c r="F9">
        <v>56</v>
      </c>
      <c r="G9" s="1" t="s">
        <v>806</v>
      </c>
    </row>
    <row r="10" spans="1:7" x14ac:dyDescent="0.25">
      <c r="A10" s="1" t="s">
        <v>804</v>
      </c>
      <c r="B10" t="str">
        <f>_xlfn.XLOOKUP(Logs__3[[#This Row],[Cell_ID]],Registre_Maintenance[ID_Antenne],Registre_Maintenance[Province_RDC],"Pas de correspondance")</f>
        <v>Pas de correspondance</v>
      </c>
      <c r="C10" s="2">
        <v>45217</v>
      </c>
      <c r="D10" s="3">
        <v>0.28125</v>
      </c>
      <c r="E10" s="1" t="s">
        <v>816</v>
      </c>
      <c r="F10">
        <v>51</v>
      </c>
      <c r="G10" s="1" t="s">
        <v>809</v>
      </c>
    </row>
    <row r="11" spans="1:7" x14ac:dyDescent="0.25">
      <c r="A11" s="1" t="s">
        <v>804</v>
      </c>
      <c r="B11" t="str">
        <f>_xlfn.XLOOKUP(Logs__3[[#This Row],[Cell_ID]],Registre_Maintenance[ID_Antenne],Registre_Maintenance[Province_RDC],"Pas de correspondance")</f>
        <v>Pas de correspondance</v>
      </c>
      <c r="C11" s="2">
        <v>45220</v>
      </c>
      <c r="D11" s="3">
        <v>0.94027777777777777</v>
      </c>
      <c r="E11" s="1" t="s">
        <v>817</v>
      </c>
      <c r="F11">
        <v>33</v>
      </c>
      <c r="G11" s="1" t="s">
        <v>811</v>
      </c>
    </row>
    <row r="12" spans="1:7" x14ac:dyDescent="0.25">
      <c r="A12" s="1" t="s">
        <v>804</v>
      </c>
      <c r="B12" t="str">
        <f>_xlfn.XLOOKUP(Logs__3[[#This Row],[Cell_ID]],Registre_Maintenance[ID_Antenne],Registre_Maintenance[Province_RDC],"Pas de correspondance")</f>
        <v>Pas de correspondance</v>
      </c>
      <c r="C12" s="2">
        <v>45213</v>
      </c>
      <c r="D12" s="3">
        <v>0.31111111111111112</v>
      </c>
      <c r="E12" s="1" t="s">
        <v>818</v>
      </c>
      <c r="F12">
        <v>22</v>
      </c>
      <c r="G12" s="1" t="s">
        <v>809</v>
      </c>
    </row>
    <row r="13" spans="1:7" x14ac:dyDescent="0.25">
      <c r="A13" s="1" t="s">
        <v>804</v>
      </c>
      <c r="B13" t="str">
        <f>_xlfn.XLOOKUP(Logs__3[[#This Row],[Cell_ID]],Registre_Maintenance[ID_Antenne],Registre_Maintenance[Province_RDC],"Pas de correspondance")</f>
        <v>Lomami</v>
      </c>
      <c r="C13" s="2">
        <v>45218</v>
      </c>
      <c r="D13" s="3">
        <v>0.36875000000000002</v>
      </c>
      <c r="E13" s="1" t="s">
        <v>819</v>
      </c>
      <c r="F13">
        <v>70</v>
      </c>
      <c r="G13" s="1" t="s">
        <v>806</v>
      </c>
    </row>
    <row r="14" spans="1:7" x14ac:dyDescent="0.25">
      <c r="A14" s="1" t="s">
        <v>804</v>
      </c>
      <c r="B14" t="str">
        <f>_xlfn.XLOOKUP(Logs__3[[#This Row],[Cell_ID]],Registre_Maintenance[ID_Antenne],Registre_Maintenance[Province_RDC],"Pas de correspondance")</f>
        <v>Nord-Ubangi</v>
      </c>
      <c r="C14" s="2">
        <v>45227</v>
      </c>
      <c r="D14" s="3">
        <v>3.3333333333333333E-2</v>
      </c>
      <c r="E14" s="1" t="s">
        <v>820</v>
      </c>
      <c r="F14">
        <v>68</v>
      </c>
      <c r="G14" s="1" t="s">
        <v>811</v>
      </c>
    </row>
    <row r="15" spans="1:7" x14ac:dyDescent="0.25">
      <c r="A15" s="1" t="s">
        <v>804</v>
      </c>
      <c r="B15" t="str">
        <f>_xlfn.XLOOKUP(Logs__3[[#This Row],[Cell_ID]],Registre_Maintenance[ID_Antenne],Registre_Maintenance[Province_RDC],"Pas de correspondance")</f>
        <v>Pas de correspondance</v>
      </c>
      <c r="C15" s="2">
        <v>45225</v>
      </c>
      <c r="D15" s="3">
        <v>0.2388888888888889</v>
      </c>
      <c r="E15" s="1" t="s">
        <v>821</v>
      </c>
      <c r="F15">
        <v>16</v>
      </c>
      <c r="G15" s="1" t="s">
        <v>809</v>
      </c>
    </row>
    <row r="16" spans="1:7" x14ac:dyDescent="0.25">
      <c r="A16" s="1" t="s">
        <v>804</v>
      </c>
      <c r="B16" t="str">
        <f>_xlfn.XLOOKUP(Logs__3[[#This Row],[Cell_ID]],Registre_Maintenance[ID_Antenne],Registre_Maintenance[Province_RDC],"Pas de correspondance")</f>
        <v>Pas de correspondance</v>
      </c>
      <c r="C16" s="2">
        <v>45213</v>
      </c>
      <c r="D16" s="3">
        <v>0.4284722222222222</v>
      </c>
      <c r="E16" s="1" t="s">
        <v>822</v>
      </c>
      <c r="F16">
        <v>101</v>
      </c>
      <c r="G16" s="1" t="s">
        <v>809</v>
      </c>
    </row>
    <row r="17" spans="1:7" x14ac:dyDescent="0.25">
      <c r="A17" s="1" t="s">
        <v>804</v>
      </c>
      <c r="B17" t="str">
        <f>_xlfn.XLOOKUP(Logs__3[[#This Row],[Cell_ID]],Registre_Maintenance[ID_Antenne],Registre_Maintenance[Province_RDC],"Pas de correspondance")</f>
        <v>Pas de correspondance</v>
      </c>
      <c r="C17" s="2">
        <v>45204</v>
      </c>
      <c r="D17" s="3">
        <v>0.28333333333333333</v>
      </c>
      <c r="E17" s="1" t="s">
        <v>823</v>
      </c>
      <c r="F17">
        <v>11</v>
      </c>
      <c r="G17" s="1" t="s">
        <v>811</v>
      </c>
    </row>
    <row r="18" spans="1:7" x14ac:dyDescent="0.25">
      <c r="A18" s="1" t="s">
        <v>804</v>
      </c>
      <c r="B18" t="str">
        <f>_xlfn.XLOOKUP(Logs__3[[#This Row],[Cell_ID]],Registre_Maintenance[ID_Antenne],Registre_Maintenance[Province_RDC],"Pas de correspondance")</f>
        <v>Pas de correspondance</v>
      </c>
      <c r="C18" s="2">
        <v>45210</v>
      </c>
      <c r="D18" s="3">
        <v>0.12847222222222221</v>
      </c>
      <c r="E18" s="1" t="s">
        <v>824</v>
      </c>
      <c r="F18">
        <v>115</v>
      </c>
      <c r="G18" s="1" t="s">
        <v>806</v>
      </c>
    </row>
    <row r="19" spans="1:7" x14ac:dyDescent="0.25">
      <c r="A19" s="1" t="s">
        <v>804</v>
      </c>
      <c r="B19" t="str">
        <f>_xlfn.XLOOKUP(Logs__3[[#This Row],[Cell_ID]],Registre_Maintenance[ID_Antenne],Registre_Maintenance[Province_RDC],"Pas de correspondance")</f>
        <v>Tanganyika</v>
      </c>
      <c r="C19" s="2">
        <v>45212</v>
      </c>
      <c r="D19" s="3">
        <v>0.14027777777777778</v>
      </c>
      <c r="E19" s="1" t="s">
        <v>825</v>
      </c>
      <c r="F19">
        <v>19</v>
      </c>
      <c r="G19" s="1" t="s">
        <v>809</v>
      </c>
    </row>
    <row r="20" spans="1:7" x14ac:dyDescent="0.25">
      <c r="A20" s="1" t="s">
        <v>804</v>
      </c>
      <c r="B20" t="str">
        <f>_xlfn.XLOOKUP(Logs__3[[#This Row],[Cell_ID]],Registre_Maintenance[ID_Antenne],Registre_Maintenance[Province_RDC],"Pas de correspondance")</f>
        <v>Pas de correspondance</v>
      </c>
      <c r="C20" s="2">
        <v>45227</v>
      </c>
      <c r="D20" s="3">
        <v>0.48472222222222222</v>
      </c>
      <c r="E20" s="1" t="s">
        <v>826</v>
      </c>
      <c r="F20">
        <v>24</v>
      </c>
      <c r="G20" s="1" t="s">
        <v>809</v>
      </c>
    </row>
    <row r="21" spans="1:7" x14ac:dyDescent="0.25">
      <c r="A21" s="1" t="s">
        <v>804</v>
      </c>
      <c r="B21" t="str">
        <f>_xlfn.XLOOKUP(Logs__3[[#This Row],[Cell_ID]],Registre_Maintenance[ID_Antenne],Registre_Maintenance[Province_RDC],"Pas de correspondance")</f>
        <v>Lomami</v>
      </c>
      <c r="C21" s="2">
        <v>45208</v>
      </c>
      <c r="D21" s="3">
        <v>7.3611111111111113E-2</v>
      </c>
      <c r="E21" s="1" t="s">
        <v>819</v>
      </c>
      <c r="F21">
        <v>85</v>
      </c>
      <c r="G21" s="1" t="s">
        <v>809</v>
      </c>
    </row>
    <row r="22" spans="1:7" x14ac:dyDescent="0.25">
      <c r="A22" s="1" t="s">
        <v>804</v>
      </c>
      <c r="B22" t="str">
        <f>_xlfn.XLOOKUP(Logs__3[[#This Row],[Cell_ID]],Registre_Maintenance[ID_Antenne],Registre_Maintenance[Province_RDC],"Pas de correspondance")</f>
        <v>Haut-Katanga</v>
      </c>
      <c r="C22" s="2">
        <v>45214</v>
      </c>
      <c r="D22" s="3">
        <v>0.71319444444444446</v>
      </c>
      <c r="E22" s="1" t="s">
        <v>827</v>
      </c>
      <c r="F22">
        <v>25</v>
      </c>
      <c r="G22" s="1" t="s">
        <v>806</v>
      </c>
    </row>
    <row r="23" spans="1:7" x14ac:dyDescent="0.25">
      <c r="A23" s="1" t="s">
        <v>804</v>
      </c>
      <c r="B23" t="str">
        <f>_xlfn.XLOOKUP(Logs__3[[#This Row],[Cell_ID]],Registre_Maintenance[ID_Antenne],Registre_Maintenance[Province_RDC],"Pas de correspondance")</f>
        <v>Pas de correspondance</v>
      </c>
      <c r="C23" s="2">
        <v>45229</v>
      </c>
      <c r="D23" s="3">
        <v>0.50347222222222221</v>
      </c>
      <c r="E23" s="1" t="s">
        <v>828</v>
      </c>
      <c r="F23">
        <v>106</v>
      </c>
      <c r="G23" s="1" t="s">
        <v>809</v>
      </c>
    </row>
    <row r="24" spans="1:7" x14ac:dyDescent="0.25">
      <c r="A24" s="1" t="s">
        <v>804</v>
      </c>
      <c r="B24" t="str">
        <f>_xlfn.XLOOKUP(Logs__3[[#This Row],[Cell_ID]],Registre_Maintenance[ID_Antenne],Registre_Maintenance[Province_RDC],"Pas de correspondance")</f>
        <v>Pas de correspondance</v>
      </c>
      <c r="C24" s="2">
        <v>45217</v>
      </c>
      <c r="D24" s="3">
        <v>0.41180555555555554</v>
      </c>
      <c r="E24" s="1" t="s">
        <v>829</v>
      </c>
      <c r="F24">
        <v>92</v>
      </c>
      <c r="G24" s="1" t="s">
        <v>811</v>
      </c>
    </row>
    <row r="25" spans="1:7" x14ac:dyDescent="0.25">
      <c r="A25" s="1" t="s">
        <v>804</v>
      </c>
      <c r="B25" t="str">
        <f>_xlfn.XLOOKUP(Logs__3[[#This Row],[Cell_ID]],Registre_Maintenance[ID_Antenne],Registre_Maintenance[Province_RDC],"Pas de correspondance")</f>
        <v>Pas de correspondance</v>
      </c>
      <c r="C25" s="2">
        <v>45220</v>
      </c>
      <c r="D25" s="3">
        <v>0.8305555555555556</v>
      </c>
      <c r="E25" s="1" t="s">
        <v>830</v>
      </c>
      <c r="F25">
        <v>59</v>
      </c>
      <c r="G25" s="1" t="s">
        <v>811</v>
      </c>
    </row>
    <row r="26" spans="1:7" x14ac:dyDescent="0.25">
      <c r="A26" s="1" t="s">
        <v>804</v>
      </c>
      <c r="B26" t="str">
        <f>_xlfn.XLOOKUP(Logs__3[[#This Row],[Cell_ID]],Registre_Maintenance[ID_Antenne],Registre_Maintenance[Province_RDC],"Pas de correspondance")</f>
        <v>Pas de correspondance</v>
      </c>
      <c r="C26" s="2">
        <v>45227</v>
      </c>
      <c r="D26" s="3">
        <v>0.48333333333333334</v>
      </c>
      <c r="E26" s="1" t="s">
        <v>817</v>
      </c>
      <c r="F26">
        <v>81</v>
      </c>
      <c r="G26" s="1" t="s">
        <v>809</v>
      </c>
    </row>
    <row r="27" spans="1:7" x14ac:dyDescent="0.25">
      <c r="A27" s="1" t="s">
        <v>804</v>
      </c>
      <c r="B27" t="str">
        <f>_xlfn.XLOOKUP(Logs__3[[#This Row],[Cell_ID]],Registre_Maintenance[ID_Antenne],Registre_Maintenance[Province_RDC],"Pas de correspondance")</f>
        <v>Sud-Ubangi</v>
      </c>
      <c r="C27" s="2">
        <v>45206</v>
      </c>
      <c r="D27" s="3">
        <v>0.9194444444444444</v>
      </c>
      <c r="E27" s="1" t="s">
        <v>831</v>
      </c>
      <c r="F27">
        <v>13</v>
      </c>
      <c r="G27" s="1" t="s">
        <v>809</v>
      </c>
    </row>
    <row r="28" spans="1:7" x14ac:dyDescent="0.25">
      <c r="A28" s="1" t="s">
        <v>804</v>
      </c>
      <c r="B28" t="str">
        <f>_xlfn.XLOOKUP(Logs__3[[#This Row],[Cell_ID]],Registre_Maintenance[ID_Antenne],Registre_Maintenance[Province_RDC],"Pas de correspondance")</f>
        <v>Nord-Kivu</v>
      </c>
      <c r="C28" s="2">
        <v>45201</v>
      </c>
      <c r="D28" s="3">
        <v>0.88472222222222219</v>
      </c>
      <c r="E28" s="1" t="s">
        <v>832</v>
      </c>
      <c r="F28">
        <v>54</v>
      </c>
      <c r="G28" s="1" t="s">
        <v>811</v>
      </c>
    </row>
    <row r="29" spans="1:7" x14ac:dyDescent="0.25">
      <c r="A29" s="1" t="s">
        <v>804</v>
      </c>
      <c r="B29" t="str">
        <f>_xlfn.XLOOKUP(Logs__3[[#This Row],[Cell_ID]],Registre_Maintenance[ID_Antenne],Registre_Maintenance[Province_RDC],"Pas de correspondance")</f>
        <v>Pas de correspondance</v>
      </c>
      <c r="C29" s="2">
        <v>45224</v>
      </c>
      <c r="D29" s="3">
        <v>0.37847222222222221</v>
      </c>
      <c r="E29" s="1" t="s">
        <v>808</v>
      </c>
      <c r="F29">
        <v>53</v>
      </c>
      <c r="G29" s="1" t="s">
        <v>811</v>
      </c>
    </row>
    <row r="30" spans="1:7" x14ac:dyDescent="0.25">
      <c r="A30" s="1" t="s">
        <v>804</v>
      </c>
      <c r="B30" t="str">
        <f>_xlfn.XLOOKUP(Logs__3[[#This Row],[Cell_ID]],Registre_Maintenance[ID_Antenne],Registre_Maintenance[Province_RDC],"Pas de correspondance")</f>
        <v>Pas de correspondance</v>
      </c>
      <c r="C30" s="2">
        <v>45227</v>
      </c>
      <c r="D30" s="3">
        <v>0.3298611111111111</v>
      </c>
      <c r="E30" s="1" t="s">
        <v>833</v>
      </c>
      <c r="F30">
        <v>81</v>
      </c>
      <c r="G30" s="1" t="s">
        <v>809</v>
      </c>
    </row>
    <row r="31" spans="1:7" x14ac:dyDescent="0.25">
      <c r="A31" s="1" t="s">
        <v>804</v>
      </c>
      <c r="B31" t="str">
        <f>_xlfn.XLOOKUP(Logs__3[[#This Row],[Cell_ID]],Registre_Maintenance[ID_Antenne],Registre_Maintenance[Province_RDC],"Pas de correspondance")</f>
        <v>Tshopo</v>
      </c>
      <c r="C31" s="2">
        <v>45203</v>
      </c>
      <c r="D31" s="3">
        <v>0.51180555555555551</v>
      </c>
      <c r="E31" s="1" t="s">
        <v>834</v>
      </c>
      <c r="F31">
        <v>64</v>
      </c>
      <c r="G31" s="1" t="s">
        <v>811</v>
      </c>
    </row>
    <row r="32" spans="1:7" x14ac:dyDescent="0.25">
      <c r="A32" s="1" t="s">
        <v>804</v>
      </c>
      <c r="B32" t="str">
        <f>_xlfn.XLOOKUP(Logs__3[[#This Row],[Cell_ID]],Registre_Maintenance[ID_Antenne],Registre_Maintenance[Province_RDC],"Pas de correspondance")</f>
        <v>Pas de correspondance</v>
      </c>
      <c r="C32" s="2">
        <v>45214</v>
      </c>
      <c r="D32" s="3">
        <v>0.87013888888888891</v>
      </c>
      <c r="E32" s="1" t="s">
        <v>835</v>
      </c>
      <c r="F32">
        <v>72</v>
      </c>
      <c r="G32" s="1" t="s">
        <v>806</v>
      </c>
    </row>
    <row r="33" spans="1:7" x14ac:dyDescent="0.25">
      <c r="A33" s="1" t="s">
        <v>804</v>
      </c>
      <c r="B33" t="str">
        <f>_xlfn.XLOOKUP(Logs__3[[#This Row],[Cell_ID]],Registre_Maintenance[ID_Antenne],Registre_Maintenance[Province_RDC],"Pas de correspondance")</f>
        <v>Pas de correspondance</v>
      </c>
      <c r="C33" s="2">
        <v>45211</v>
      </c>
      <c r="D33" s="3">
        <v>0.22430555555555556</v>
      </c>
      <c r="E33" s="1" t="s">
        <v>836</v>
      </c>
      <c r="F33">
        <v>37</v>
      </c>
      <c r="G33" s="1" t="s">
        <v>806</v>
      </c>
    </row>
    <row r="34" spans="1:7" x14ac:dyDescent="0.25">
      <c r="A34" s="1" t="s">
        <v>804</v>
      </c>
      <c r="B34" t="str">
        <f>_xlfn.XLOOKUP(Logs__3[[#This Row],[Cell_ID]],Registre_Maintenance[ID_Antenne],Registre_Maintenance[Province_RDC],"Pas de correspondance")</f>
        <v>Nord-Ubangi</v>
      </c>
      <c r="C34" s="2">
        <v>45211</v>
      </c>
      <c r="D34" s="3">
        <v>0.27916666666666667</v>
      </c>
      <c r="E34" s="1" t="s">
        <v>837</v>
      </c>
      <c r="F34">
        <v>75</v>
      </c>
      <c r="G34" s="1" t="s">
        <v>806</v>
      </c>
    </row>
    <row r="35" spans="1:7" x14ac:dyDescent="0.25">
      <c r="A35" s="1" t="s">
        <v>804</v>
      </c>
      <c r="B35" t="str">
        <f>_xlfn.XLOOKUP(Logs__3[[#This Row],[Cell_ID]],Registre_Maintenance[ID_Antenne],Registre_Maintenance[Province_RDC],"Pas de correspondance")</f>
        <v>Tshopo</v>
      </c>
      <c r="C35" s="2">
        <v>45208</v>
      </c>
      <c r="D35" s="3">
        <v>0.95763888888888893</v>
      </c>
      <c r="E35" s="1" t="s">
        <v>838</v>
      </c>
      <c r="F35">
        <v>115</v>
      </c>
      <c r="G35" s="1" t="s">
        <v>806</v>
      </c>
    </row>
    <row r="36" spans="1:7" x14ac:dyDescent="0.25">
      <c r="A36" s="1" t="s">
        <v>804</v>
      </c>
      <c r="B36" t="str">
        <f>_xlfn.XLOOKUP(Logs__3[[#This Row],[Cell_ID]],Registre_Maintenance[ID_Antenne],Registre_Maintenance[Province_RDC],"Pas de correspondance")</f>
        <v>Kasaï</v>
      </c>
      <c r="C36" s="2">
        <v>45221</v>
      </c>
      <c r="D36" s="3">
        <v>0.83611111111111114</v>
      </c>
      <c r="E36" s="1" t="s">
        <v>839</v>
      </c>
      <c r="F36">
        <v>6</v>
      </c>
      <c r="G36" s="1" t="s">
        <v>811</v>
      </c>
    </row>
    <row r="37" spans="1:7" x14ac:dyDescent="0.25">
      <c r="A37" s="1" t="s">
        <v>804</v>
      </c>
      <c r="B37" t="str">
        <f>_xlfn.XLOOKUP(Logs__3[[#This Row],[Cell_ID]],Registre_Maintenance[ID_Antenne],Registre_Maintenance[Province_RDC],"Pas de correspondance")</f>
        <v>Pas de correspondance</v>
      </c>
      <c r="C37" s="2">
        <v>45219</v>
      </c>
      <c r="D37" s="3">
        <v>0.84027777777777779</v>
      </c>
      <c r="E37" s="1" t="s">
        <v>840</v>
      </c>
      <c r="F37">
        <v>92</v>
      </c>
      <c r="G37" s="1" t="s">
        <v>806</v>
      </c>
    </row>
    <row r="38" spans="1:7" x14ac:dyDescent="0.25">
      <c r="A38" s="1" t="s">
        <v>804</v>
      </c>
      <c r="B38" t="str">
        <f>_xlfn.XLOOKUP(Logs__3[[#This Row],[Cell_ID]],Registre_Maintenance[ID_Antenne],Registre_Maintenance[Province_RDC],"Pas de correspondance")</f>
        <v>Kasaï</v>
      </c>
      <c r="C38" s="2">
        <v>45217</v>
      </c>
      <c r="D38" s="3">
        <v>0.96875</v>
      </c>
      <c r="E38" s="1" t="s">
        <v>841</v>
      </c>
      <c r="F38">
        <v>97</v>
      </c>
      <c r="G38" s="1" t="s">
        <v>809</v>
      </c>
    </row>
    <row r="39" spans="1:7" x14ac:dyDescent="0.25">
      <c r="A39" s="1" t="s">
        <v>804</v>
      </c>
      <c r="B39" t="str">
        <f>_xlfn.XLOOKUP(Logs__3[[#This Row],[Cell_ID]],Registre_Maintenance[ID_Antenne],Registre_Maintenance[Province_RDC],"Pas de correspondance")</f>
        <v>Pas de correspondance</v>
      </c>
      <c r="C39" s="2">
        <v>45205</v>
      </c>
      <c r="D39" s="3">
        <v>0.6</v>
      </c>
      <c r="E39" s="1" t="s">
        <v>842</v>
      </c>
      <c r="F39">
        <v>19</v>
      </c>
      <c r="G39" s="1" t="s">
        <v>809</v>
      </c>
    </row>
    <row r="40" spans="1:7" x14ac:dyDescent="0.25">
      <c r="A40" s="1" t="s">
        <v>804</v>
      </c>
      <c r="B40" t="str">
        <f>_xlfn.XLOOKUP(Logs__3[[#This Row],[Cell_ID]],Registre_Maintenance[ID_Antenne],Registre_Maintenance[Province_RDC],"Pas de correspondance")</f>
        <v>Pas de correspondance</v>
      </c>
      <c r="C40" s="2">
        <v>45208</v>
      </c>
      <c r="D40" s="3">
        <v>0.86388888888888893</v>
      </c>
      <c r="E40" s="1" t="s">
        <v>843</v>
      </c>
      <c r="F40">
        <v>92</v>
      </c>
      <c r="G40" s="1" t="s">
        <v>806</v>
      </c>
    </row>
    <row r="41" spans="1:7" x14ac:dyDescent="0.25">
      <c r="A41" s="1" t="s">
        <v>804</v>
      </c>
      <c r="B41" t="str">
        <f>_xlfn.XLOOKUP(Logs__3[[#This Row],[Cell_ID]],Registre_Maintenance[ID_Antenne],Registre_Maintenance[Province_RDC],"Pas de correspondance")</f>
        <v>Pas de correspondance</v>
      </c>
      <c r="C41" s="2">
        <v>45217</v>
      </c>
      <c r="D41" s="3">
        <v>0.3215277777777778</v>
      </c>
      <c r="E41" s="1" t="s">
        <v>844</v>
      </c>
      <c r="F41">
        <v>118</v>
      </c>
      <c r="G41" s="1" t="s">
        <v>809</v>
      </c>
    </row>
    <row r="42" spans="1:7" x14ac:dyDescent="0.25">
      <c r="A42" s="1" t="s">
        <v>804</v>
      </c>
      <c r="B42" t="str">
        <f>_xlfn.XLOOKUP(Logs__3[[#This Row],[Cell_ID]],Registre_Maintenance[ID_Antenne],Registre_Maintenance[Province_RDC],"Pas de correspondance")</f>
        <v>Tanganyika</v>
      </c>
      <c r="C42" s="2">
        <v>45210</v>
      </c>
      <c r="D42" s="3">
        <v>5.1388888888888887E-2</v>
      </c>
      <c r="E42" s="1" t="s">
        <v>845</v>
      </c>
      <c r="F42">
        <v>73</v>
      </c>
      <c r="G42" s="1" t="s">
        <v>806</v>
      </c>
    </row>
    <row r="43" spans="1:7" x14ac:dyDescent="0.25">
      <c r="A43" s="1" t="s">
        <v>804</v>
      </c>
      <c r="B43" t="str">
        <f>_xlfn.XLOOKUP(Logs__3[[#This Row],[Cell_ID]],Registre_Maintenance[ID_Antenne],Registre_Maintenance[Province_RDC],"Pas de correspondance")</f>
        <v>Sud-Kivu</v>
      </c>
      <c r="C43" s="2">
        <v>45226</v>
      </c>
      <c r="D43" s="3">
        <v>7.7083333333333337E-2</v>
      </c>
      <c r="E43" s="1" t="s">
        <v>846</v>
      </c>
      <c r="F43">
        <v>101</v>
      </c>
      <c r="G43" s="1" t="s">
        <v>806</v>
      </c>
    </row>
    <row r="44" spans="1:7" x14ac:dyDescent="0.25">
      <c r="A44" s="1" t="s">
        <v>804</v>
      </c>
      <c r="B44" t="str">
        <f>_xlfn.XLOOKUP(Logs__3[[#This Row],[Cell_ID]],Registre_Maintenance[ID_Antenne],Registre_Maintenance[Province_RDC],"Pas de correspondance")</f>
        <v>Equateur</v>
      </c>
      <c r="C44" s="2">
        <v>45202</v>
      </c>
      <c r="D44" s="3">
        <v>0.2902777777777778</v>
      </c>
      <c r="E44" s="1" t="s">
        <v>847</v>
      </c>
      <c r="F44">
        <v>103</v>
      </c>
      <c r="G44" s="1" t="s">
        <v>809</v>
      </c>
    </row>
    <row r="45" spans="1:7" x14ac:dyDescent="0.25">
      <c r="A45" s="1" t="s">
        <v>804</v>
      </c>
      <c r="B45" t="str">
        <f>_xlfn.XLOOKUP(Logs__3[[#This Row],[Cell_ID]],Registre_Maintenance[ID_Antenne],Registre_Maintenance[Province_RDC],"Pas de correspondance")</f>
        <v>Pas de correspondance</v>
      </c>
      <c r="C45" s="2">
        <v>45230</v>
      </c>
      <c r="D45" s="3">
        <v>0.78888888888888886</v>
      </c>
      <c r="E45" s="1" t="s">
        <v>848</v>
      </c>
      <c r="F45">
        <v>87</v>
      </c>
      <c r="G45" s="1" t="s">
        <v>809</v>
      </c>
    </row>
    <row r="46" spans="1:7" x14ac:dyDescent="0.25">
      <c r="A46" s="1" t="s">
        <v>804</v>
      </c>
      <c r="B46" t="str">
        <f>_xlfn.XLOOKUP(Logs__3[[#This Row],[Cell_ID]],Registre_Maintenance[ID_Antenne],Registre_Maintenance[Province_RDC],"Pas de correspondance")</f>
        <v>Pas de correspondance</v>
      </c>
      <c r="C46" s="2">
        <v>45222</v>
      </c>
      <c r="D46" s="3">
        <v>0.42569444444444443</v>
      </c>
      <c r="E46" s="1" t="s">
        <v>849</v>
      </c>
      <c r="F46">
        <v>48</v>
      </c>
      <c r="G46" s="1" t="s">
        <v>806</v>
      </c>
    </row>
    <row r="47" spans="1:7" x14ac:dyDescent="0.25">
      <c r="A47" s="1" t="s">
        <v>804</v>
      </c>
      <c r="B47" t="str">
        <f>_xlfn.XLOOKUP(Logs__3[[#This Row],[Cell_ID]],Registre_Maintenance[ID_Antenne],Registre_Maintenance[Province_RDC],"Pas de correspondance")</f>
        <v>Pas de correspondance</v>
      </c>
      <c r="C47" s="2">
        <v>45220</v>
      </c>
      <c r="D47" s="3">
        <v>0.64236111111111116</v>
      </c>
      <c r="E47" s="1" t="s">
        <v>850</v>
      </c>
      <c r="F47">
        <v>19</v>
      </c>
      <c r="G47" s="1" t="s">
        <v>806</v>
      </c>
    </row>
    <row r="48" spans="1:7" x14ac:dyDescent="0.25">
      <c r="A48" s="1" t="s">
        <v>804</v>
      </c>
      <c r="B48" t="str">
        <f>_xlfn.XLOOKUP(Logs__3[[#This Row],[Cell_ID]],Registre_Maintenance[ID_Antenne],Registre_Maintenance[Province_RDC],"Pas de correspondance")</f>
        <v>Tanganyika</v>
      </c>
      <c r="C48" s="2">
        <v>45228</v>
      </c>
      <c r="D48" s="3">
        <v>0.85347222222222219</v>
      </c>
      <c r="E48" s="1" t="s">
        <v>845</v>
      </c>
      <c r="F48">
        <v>42</v>
      </c>
      <c r="G48" s="1" t="s">
        <v>806</v>
      </c>
    </row>
    <row r="49" spans="1:7" x14ac:dyDescent="0.25">
      <c r="A49" s="1" t="s">
        <v>804</v>
      </c>
      <c r="B49" t="str">
        <f>_xlfn.XLOOKUP(Logs__3[[#This Row],[Cell_ID]],Registre_Maintenance[ID_Antenne],Registre_Maintenance[Province_RDC],"Pas de correspondance")</f>
        <v>Pas de correspondance</v>
      </c>
      <c r="C49" s="2">
        <v>45204</v>
      </c>
      <c r="D49" s="3">
        <v>0.33888888888888891</v>
      </c>
      <c r="E49" s="1" t="s">
        <v>851</v>
      </c>
      <c r="F49">
        <v>60</v>
      </c>
      <c r="G49" s="1" t="s">
        <v>806</v>
      </c>
    </row>
    <row r="50" spans="1:7" x14ac:dyDescent="0.25">
      <c r="A50" s="1" t="s">
        <v>804</v>
      </c>
      <c r="B50" t="str">
        <f>_xlfn.XLOOKUP(Logs__3[[#This Row],[Cell_ID]],Registre_Maintenance[ID_Antenne],Registre_Maintenance[Province_RDC],"Pas de correspondance")</f>
        <v>Nord-Kivu</v>
      </c>
      <c r="C50" s="2">
        <v>45207</v>
      </c>
      <c r="D50" s="3">
        <v>0.98263888888888884</v>
      </c>
      <c r="E50" s="1" t="s">
        <v>852</v>
      </c>
      <c r="F50">
        <v>25</v>
      </c>
      <c r="G50" s="1" t="s">
        <v>811</v>
      </c>
    </row>
    <row r="51" spans="1:7" x14ac:dyDescent="0.25">
      <c r="A51" s="1" t="s">
        <v>804</v>
      </c>
      <c r="B51" t="str">
        <f>_xlfn.XLOOKUP(Logs__3[[#This Row],[Cell_ID]],Registre_Maintenance[ID_Antenne],Registre_Maintenance[Province_RDC],"Pas de correspondance")</f>
        <v>Pas de correspondance</v>
      </c>
      <c r="C51" s="2">
        <v>45225</v>
      </c>
      <c r="D51" s="3">
        <v>0.2388888888888889</v>
      </c>
      <c r="E51" s="1" t="s">
        <v>821</v>
      </c>
      <c r="F51">
        <v>16</v>
      </c>
      <c r="G51" s="1" t="s">
        <v>809</v>
      </c>
    </row>
    <row r="52" spans="1:7" x14ac:dyDescent="0.25">
      <c r="A52" s="1" t="s">
        <v>853</v>
      </c>
      <c r="B52" t="str">
        <f>_xlfn.XLOOKUP(Logs__3[[#This Row],[Cell_ID]],Registre_Maintenance[ID_Antenne],Registre_Maintenance[Province_RDC],"Pas de correspondance")</f>
        <v>Pas de correspondance</v>
      </c>
      <c r="C52" s="2">
        <v>45218</v>
      </c>
      <c r="D52" s="3">
        <v>0.63541666666666663</v>
      </c>
      <c r="E52" s="1" t="s">
        <v>854</v>
      </c>
      <c r="F52">
        <v>17</v>
      </c>
      <c r="G52" s="1" t="s">
        <v>811</v>
      </c>
    </row>
    <row r="53" spans="1:7" x14ac:dyDescent="0.25">
      <c r="A53" s="1" t="s">
        <v>853</v>
      </c>
      <c r="B53" t="str">
        <f>_xlfn.XLOOKUP(Logs__3[[#This Row],[Cell_ID]],Registre_Maintenance[ID_Antenne],Registre_Maintenance[Province_RDC],"Pas de correspondance")</f>
        <v>Pas de correspondance</v>
      </c>
      <c r="C53" s="2">
        <v>45225</v>
      </c>
      <c r="D53" s="3">
        <v>0.66041666666666665</v>
      </c>
      <c r="E53" s="1" t="s">
        <v>855</v>
      </c>
      <c r="F53">
        <v>14</v>
      </c>
      <c r="G53" s="1" t="s">
        <v>806</v>
      </c>
    </row>
    <row r="54" spans="1:7" x14ac:dyDescent="0.25">
      <c r="A54" s="1" t="s">
        <v>853</v>
      </c>
      <c r="B54" t="str">
        <f>_xlfn.XLOOKUP(Logs__3[[#This Row],[Cell_ID]],Registre_Maintenance[ID_Antenne],Registre_Maintenance[Province_RDC],"Pas de correspondance")</f>
        <v>Tshuapa</v>
      </c>
      <c r="C54" s="2">
        <v>45213</v>
      </c>
      <c r="D54" s="3">
        <v>0.25416666666666665</v>
      </c>
      <c r="E54" s="1" t="s">
        <v>856</v>
      </c>
      <c r="F54">
        <v>73</v>
      </c>
      <c r="G54" s="1" t="s">
        <v>811</v>
      </c>
    </row>
    <row r="55" spans="1:7" x14ac:dyDescent="0.25">
      <c r="A55" s="1" t="s">
        <v>853</v>
      </c>
      <c r="B55" t="str">
        <f>_xlfn.XLOOKUP(Logs__3[[#This Row],[Cell_ID]],Registre_Maintenance[ID_Antenne],Registre_Maintenance[Province_RDC],"Pas de correspondance")</f>
        <v>Pas de correspondance</v>
      </c>
      <c r="C55" s="2">
        <v>45203</v>
      </c>
      <c r="D55" s="3">
        <v>0.89375000000000004</v>
      </c>
      <c r="E55" s="1" t="s">
        <v>857</v>
      </c>
      <c r="F55">
        <v>32</v>
      </c>
      <c r="G55" s="1" t="s">
        <v>806</v>
      </c>
    </row>
    <row r="56" spans="1:7" x14ac:dyDescent="0.25">
      <c r="A56" s="1" t="s">
        <v>853</v>
      </c>
      <c r="B56" t="str">
        <f>_xlfn.XLOOKUP(Logs__3[[#This Row],[Cell_ID]],Registre_Maintenance[ID_Antenne],Registre_Maintenance[Province_RDC],"Pas de correspondance")</f>
        <v>Pas de correspondance</v>
      </c>
      <c r="C56" s="2">
        <v>45211</v>
      </c>
      <c r="D56" s="3">
        <v>0.55972222222222223</v>
      </c>
      <c r="E56" s="1" t="s">
        <v>840</v>
      </c>
      <c r="F56">
        <v>69</v>
      </c>
      <c r="G56" s="1" t="s">
        <v>809</v>
      </c>
    </row>
    <row r="57" spans="1:7" x14ac:dyDescent="0.25">
      <c r="A57" s="1" t="s">
        <v>853</v>
      </c>
      <c r="B57" t="str">
        <f>_xlfn.XLOOKUP(Logs__3[[#This Row],[Cell_ID]],Registre_Maintenance[ID_Antenne],Registre_Maintenance[Province_RDC],"Pas de correspondance")</f>
        <v>Lualaba</v>
      </c>
      <c r="C57" s="2">
        <v>45214</v>
      </c>
      <c r="D57" s="3">
        <v>0.9604166666666667</v>
      </c>
      <c r="E57" s="1" t="s">
        <v>858</v>
      </c>
      <c r="F57">
        <v>38</v>
      </c>
      <c r="G57" s="1" t="s">
        <v>806</v>
      </c>
    </row>
    <row r="58" spans="1:7" x14ac:dyDescent="0.25">
      <c r="A58" s="1" t="s">
        <v>853</v>
      </c>
      <c r="B58" t="str">
        <f>_xlfn.XLOOKUP(Logs__3[[#This Row],[Cell_ID]],Registre_Maintenance[ID_Antenne],Registre_Maintenance[Province_RDC],"Pas de correspondance")</f>
        <v>Tanganyika</v>
      </c>
      <c r="C58" s="2">
        <v>45221</v>
      </c>
      <c r="D58" s="3">
        <v>0.8618055555555556</v>
      </c>
      <c r="E58" s="1" t="s">
        <v>859</v>
      </c>
      <c r="F58">
        <v>21</v>
      </c>
      <c r="G58" s="1" t="s">
        <v>809</v>
      </c>
    </row>
    <row r="59" spans="1:7" x14ac:dyDescent="0.25">
      <c r="A59" s="1" t="s">
        <v>853</v>
      </c>
      <c r="B59" t="str">
        <f>_xlfn.XLOOKUP(Logs__3[[#This Row],[Cell_ID]],Registre_Maintenance[ID_Antenne],Registre_Maintenance[Province_RDC],"Pas de correspondance")</f>
        <v>Pas de correspondance</v>
      </c>
      <c r="C59" s="2">
        <v>45203</v>
      </c>
      <c r="D59" s="3">
        <v>5.9027777777777776E-2</v>
      </c>
      <c r="E59" s="1" t="s">
        <v>860</v>
      </c>
      <c r="F59">
        <v>49</v>
      </c>
      <c r="G59" s="1" t="s">
        <v>806</v>
      </c>
    </row>
    <row r="60" spans="1:7" x14ac:dyDescent="0.25">
      <c r="A60" s="1" t="s">
        <v>853</v>
      </c>
      <c r="B60" t="str">
        <f>_xlfn.XLOOKUP(Logs__3[[#This Row],[Cell_ID]],Registre_Maintenance[ID_Antenne],Registre_Maintenance[Province_RDC],"Pas de correspondance")</f>
        <v>Pas de correspondance</v>
      </c>
      <c r="C60" s="2">
        <v>45223</v>
      </c>
      <c r="D60" s="3">
        <v>0.45208333333333334</v>
      </c>
      <c r="E60" s="1" t="s">
        <v>861</v>
      </c>
      <c r="F60">
        <v>117</v>
      </c>
      <c r="G60" s="1" t="s">
        <v>811</v>
      </c>
    </row>
    <row r="61" spans="1:7" x14ac:dyDescent="0.25">
      <c r="A61" s="1" t="s">
        <v>853</v>
      </c>
      <c r="B61" t="str">
        <f>_xlfn.XLOOKUP(Logs__3[[#This Row],[Cell_ID]],Registre_Maintenance[ID_Antenne],Registre_Maintenance[Province_RDC],"Pas de correspondance")</f>
        <v>Pas de correspondance</v>
      </c>
      <c r="C61" s="2">
        <v>45227</v>
      </c>
      <c r="D61" s="3">
        <v>0.13541666666666666</v>
      </c>
      <c r="E61" s="1" t="s">
        <v>862</v>
      </c>
      <c r="F61">
        <v>13</v>
      </c>
      <c r="G61" s="1" t="s">
        <v>809</v>
      </c>
    </row>
    <row r="62" spans="1:7" x14ac:dyDescent="0.25">
      <c r="A62" s="1" t="s">
        <v>853</v>
      </c>
      <c r="B62" t="str">
        <f>_xlfn.XLOOKUP(Logs__3[[#This Row],[Cell_ID]],Registre_Maintenance[ID_Antenne],Registre_Maintenance[Province_RDC],"Pas de correspondance")</f>
        <v>Pas de correspondance</v>
      </c>
      <c r="C62" s="2">
        <v>45206</v>
      </c>
      <c r="D62" s="3">
        <v>0.27361111111111114</v>
      </c>
      <c r="E62" s="1" t="s">
        <v>863</v>
      </c>
      <c r="F62">
        <v>117</v>
      </c>
      <c r="G62" s="1" t="s">
        <v>811</v>
      </c>
    </row>
    <row r="63" spans="1:7" x14ac:dyDescent="0.25">
      <c r="A63" s="1" t="s">
        <v>853</v>
      </c>
      <c r="B63" t="str">
        <f>_xlfn.XLOOKUP(Logs__3[[#This Row],[Cell_ID]],Registre_Maintenance[ID_Antenne],Registre_Maintenance[Province_RDC],"Pas de correspondance")</f>
        <v>Pas de correspondance</v>
      </c>
      <c r="C63" s="2">
        <v>45214</v>
      </c>
      <c r="D63" s="3">
        <v>0.18541666666666667</v>
      </c>
      <c r="E63" s="1" t="s">
        <v>854</v>
      </c>
      <c r="F63">
        <v>36</v>
      </c>
      <c r="G63" s="1" t="s">
        <v>809</v>
      </c>
    </row>
    <row r="64" spans="1:7" x14ac:dyDescent="0.25">
      <c r="A64" s="1" t="s">
        <v>853</v>
      </c>
      <c r="B64" t="str">
        <f>_xlfn.XLOOKUP(Logs__3[[#This Row],[Cell_ID]],Registre_Maintenance[ID_Antenne],Registre_Maintenance[Province_RDC],"Pas de correspondance")</f>
        <v>Tanganyika</v>
      </c>
      <c r="C64" s="2">
        <v>45205</v>
      </c>
      <c r="D64" s="3">
        <v>0.35347222222222224</v>
      </c>
      <c r="E64" s="1" t="s">
        <v>864</v>
      </c>
      <c r="F64">
        <v>52</v>
      </c>
      <c r="G64" s="1" t="s">
        <v>809</v>
      </c>
    </row>
    <row r="65" spans="1:7" x14ac:dyDescent="0.25">
      <c r="A65" s="1" t="s">
        <v>853</v>
      </c>
      <c r="B65" t="str">
        <f>_xlfn.XLOOKUP(Logs__3[[#This Row],[Cell_ID]],Registre_Maintenance[ID_Antenne],Registre_Maintenance[Province_RDC],"Pas de correspondance")</f>
        <v>Kwilu</v>
      </c>
      <c r="C65" s="2">
        <v>45207</v>
      </c>
      <c r="D65" s="3">
        <v>0.10277777777777777</v>
      </c>
      <c r="E65" s="1" t="s">
        <v>865</v>
      </c>
      <c r="F65">
        <v>41</v>
      </c>
      <c r="G65" s="1" t="s">
        <v>806</v>
      </c>
    </row>
    <row r="66" spans="1:7" x14ac:dyDescent="0.25">
      <c r="A66" s="1" t="s">
        <v>853</v>
      </c>
      <c r="B66" t="str">
        <f>_xlfn.XLOOKUP(Logs__3[[#This Row],[Cell_ID]],Registre_Maintenance[ID_Antenne],Registre_Maintenance[Province_RDC],"Pas de correspondance")</f>
        <v>Pas de correspondance</v>
      </c>
      <c r="C66" s="2">
        <v>45225</v>
      </c>
      <c r="D66" s="3">
        <v>0.71250000000000002</v>
      </c>
      <c r="E66" s="1" t="s">
        <v>866</v>
      </c>
      <c r="F66">
        <v>25</v>
      </c>
      <c r="G66" s="1" t="s">
        <v>806</v>
      </c>
    </row>
    <row r="67" spans="1:7" x14ac:dyDescent="0.25">
      <c r="A67" s="1" t="s">
        <v>853</v>
      </c>
      <c r="B67" t="str">
        <f>_xlfn.XLOOKUP(Logs__3[[#This Row],[Cell_ID]],Registre_Maintenance[ID_Antenne],Registre_Maintenance[Province_RDC],"Pas de correspondance")</f>
        <v>Pas de correspondance</v>
      </c>
      <c r="C67" s="2">
        <v>45201</v>
      </c>
      <c r="D67" s="3">
        <v>0.8569444444444444</v>
      </c>
      <c r="E67" s="1" t="s">
        <v>867</v>
      </c>
      <c r="F67">
        <v>61</v>
      </c>
      <c r="G67" s="1" t="s">
        <v>806</v>
      </c>
    </row>
    <row r="68" spans="1:7" x14ac:dyDescent="0.25">
      <c r="A68" s="1" t="s">
        <v>853</v>
      </c>
      <c r="B68" t="str">
        <f>_xlfn.XLOOKUP(Logs__3[[#This Row],[Cell_ID]],Registre_Maintenance[ID_Antenne],Registre_Maintenance[Province_RDC],"Pas de correspondance")</f>
        <v>Pas de correspondance</v>
      </c>
      <c r="C68" s="2">
        <v>45226</v>
      </c>
      <c r="D68" s="3">
        <v>3.472222222222222E-3</v>
      </c>
      <c r="E68" s="1" t="s">
        <v>807</v>
      </c>
      <c r="F68">
        <v>111</v>
      </c>
      <c r="G68" s="1" t="s">
        <v>806</v>
      </c>
    </row>
    <row r="69" spans="1:7" x14ac:dyDescent="0.25">
      <c r="A69" s="1" t="s">
        <v>853</v>
      </c>
      <c r="B69" t="str">
        <f>_xlfn.XLOOKUP(Logs__3[[#This Row],[Cell_ID]],Registre_Maintenance[ID_Antenne],Registre_Maintenance[Province_RDC],"Pas de correspondance")</f>
        <v>Pas de correspondance</v>
      </c>
      <c r="C69" s="2">
        <v>45229</v>
      </c>
      <c r="D69" s="3">
        <v>0.2986111111111111</v>
      </c>
      <c r="E69" s="1" t="s">
        <v>868</v>
      </c>
      <c r="F69">
        <v>74</v>
      </c>
      <c r="G69" s="1" t="s">
        <v>811</v>
      </c>
    </row>
    <row r="70" spans="1:7" x14ac:dyDescent="0.25">
      <c r="A70" s="1" t="s">
        <v>853</v>
      </c>
      <c r="B70" t="str">
        <f>_xlfn.XLOOKUP(Logs__3[[#This Row],[Cell_ID]],Registre_Maintenance[ID_Antenne],Registre_Maintenance[Province_RDC],"Pas de correspondance")</f>
        <v>Haut-Katanga</v>
      </c>
      <c r="C70" s="2">
        <v>45213</v>
      </c>
      <c r="D70" s="3">
        <v>0.64583333333333337</v>
      </c>
      <c r="E70" s="1" t="s">
        <v>869</v>
      </c>
      <c r="F70">
        <v>95</v>
      </c>
      <c r="G70" s="1" t="s">
        <v>806</v>
      </c>
    </row>
    <row r="71" spans="1:7" x14ac:dyDescent="0.25">
      <c r="A71" s="1" t="s">
        <v>853</v>
      </c>
      <c r="B71" t="str">
        <f>_xlfn.XLOOKUP(Logs__3[[#This Row],[Cell_ID]],Registre_Maintenance[ID_Antenne],Registre_Maintenance[Province_RDC],"Pas de correspondance")</f>
        <v>Kwango</v>
      </c>
      <c r="C71" s="2">
        <v>45206</v>
      </c>
      <c r="D71" s="3">
        <v>0.5395833333333333</v>
      </c>
      <c r="E71" s="1" t="s">
        <v>870</v>
      </c>
      <c r="F71">
        <v>43</v>
      </c>
      <c r="G71" s="1" t="s">
        <v>806</v>
      </c>
    </row>
    <row r="72" spans="1:7" x14ac:dyDescent="0.25">
      <c r="A72" s="1" t="s">
        <v>853</v>
      </c>
      <c r="B72" t="str">
        <f>_xlfn.XLOOKUP(Logs__3[[#This Row],[Cell_ID]],Registre_Maintenance[ID_Antenne],Registre_Maintenance[Province_RDC],"Pas de correspondance")</f>
        <v>Nord-Kivu</v>
      </c>
      <c r="C72" s="2">
        <v>45201</v>
      </c>
      <c r="D72" s="3">
        <v>0.22500000000000001</v>
      </c>
      <c r="E72" s="1" t="s">
        <v>871</v>
      </c>
      <c r="F72">
        <v>83</v>
      </c>
      <c r="G72" s="1" t="s">
        <v>809</v>
      </c>
    </row>
    <row r="73" spans="1:7" x14ac:dyDescent="0.25">
      <c r="A73" s="1" t="s">
        <v>853</v>
      </c>
      <c r="B73" t="str">
        <f>_xlfn.XLOOKUP(Logs__3[[#This Row],[Cell_ID]],Registre_Maintenance[ID_Antenne],Registre_Maintenance[Province_RDC],"Pas de correspondance")</f>
        <v>Pas de correspondance</v>
      </c>
      <c r="C73" s="2">
        <v>45200</v>
      </c>
      <c r="D73" s="3">
        <v>0.51111111111111107</v>
      </c>
      <c r="E73" s="1" t="s">
        <v>872</v>
      </c>
      <c r="F73">
        <v>108</v>
      </c>
      <c r="G73" s="1" t="s">
        <v>811</v>
      </c>
    </row>
    <row r="74" spans="1:7" x14ac:dyDescent="0.25">
      <c r="A74" s="1" t="s">
        <v>853</v>
      </c>
      <c r="B74" t="str">
        <f>_xlfn.XLOOKUP(Logs__3[[#This Row],[Cell_ID]],Registre_Maintenance[ID_Antenne],Registre_Maintenance[Province_RDC],"Pas de correspondance")</f>
        <v>Sud-Ubangi</v>
      </c>
      <c r="C74" s="2">
        <v>45229</v>
      </c>
      <c r="D74" s="3">
        <v>0.59583333333333333</v>
      </c>
      <c r="E74" s="1" t="s">
        <v>831</v>
      </c>
      <c r="F74">
        <v>88</v>
      </c>
      <c r="G74" s="1" t="s">
        <v>811</v>
      </c>
    </row>
    <row r="75" spans="1:7" x14ac:dyDescent="0.25">
      <c r="A75" s="1" t="s">
        <v>853</v>
      </c>
      <c r="B75" t="str">
        <f>_xlfn.XLOOKUP(Logs__3[[#This Row],[Cell_ID]],Registre_Maintenance[ID_Antenne],Registre_Maintenance[Province_RDC],"Pas de correspondance")</f>
        <v>Sankuru</v>
      </c>
      <c r="C75" s="2">
        <v>45213</v>
      </c>
      <c r="D75" s="3">
        <v>0.94861111111111107</v>
      </c>
      <c r="E75" s="1" t="s">
        <v>873</v>
      </c>
      <c r="F75">
        <v>72</v>
      </c>
      <c r="G75" s="1" t="s">
        <v>809</v>
      </c>
    </row>
    <row r="76" spans="1:7" x14ac:dyDescent="0.25">
      <c r="A76" s="1" t="s">
        <v>853</v>
      </c>
      <c r="B76" t="str">
        <f>_xlfn.XLOOKUP(Logs__3[[#This Row],[Cell_ID]],Registre_Maintenance[ID_Antenne],Registre_Maintenance[Province_RDC],"Pas de correspondance")</f>
        <v>Pas de correspondance</v>
      </c>
      <c r="C76" s="2">
        <v>45225</v>
      </c>
      <c r="D76" s="3">
        <v>0.73750000000000004</v>
      </c>
      <c r="E76" s="1" t="s">
        <v>874</v>
      </c>
      <c r="F76">
        <v>6</v>
      </c>
      <c r="G76" s="1" t="s">
        <v>809</v>
      </c>
    </row>
    <row r="77" spans="1:7" x14ac:dyDescent="0.25">
      <c r="A77" s="1" t="s">
        <v>853</v>
      </c>
      <c r="B77" t="str">
        <f>_xlfn.XLOOKUP(Logs__3[[#This Row],[Cell_ID]],Registre_Maintenance[ID_Antenne],Registre_Maintenance[Province_RDC],"Pas de correspondance")</f>
        <v>Tanganyika</v>
      </c>
      <c r="C77" s="2">
        <v>45222</v>
      </c>
      <c r="D77" s="3">
        <v>0.63124999999999998</v>
      </c>
      <c r="E77" s="1" t="s">
        <v>875</v>
      </c>
      <c r="F77">
        <v>90</v>
      </c>
      <c r="G77" s="1" t="s">
        <v>806</v>
      </c>
    </row>
    <row r="78" spans="1:7" x14ac:dyDescent="0.25">
      <c r="A78" s="1" t="s">
        <v>853</v>
      </c>
      <c r="B78" t="str">
        <f>_xlfn.XLOOKUP(Logs__3[[#This Row],[Cell_ID]],Registre_Maintenance[ID_Antenne],Registre_Maintenance[Province_RDC],"Pas de correspondance")</f>
        <v>Pas de correspondance</v>
      </c>
      <c r="C78" s="2">
        <v>45206</v>
      </c>
      <c r="D78" s="3">
        <v>0.3840277777777778</v>
      </c>
      <c r="E78" s="1" t="s">
        <v>876</v>
      </c>
      <c r="F78">
        <v>109</v>
      </c>
      <c r="G78" s="1" t="s">
        <v>811</v>
      </c>
    </row>
    <row r="79" spans="1:7" x14ac:dyDescent="0.25">
      <c r="A79" s="1" t="s">
        <v>853</v>
      </c>
      <c r="B79" t="str">
        <f>_xlfn.XLOOKUP(Logs__3[[#This Row],[Cell_ID]],Registre_Maintenance[ID_Antenne],Registre_Maintenance[Province_RDC],"Pas de correspondance")</f>
        <v>Pas de correspondance</v>
      </c>
      <c r="C79" s="2">
        <v>45230</v>
      </c>
      <c r="D79" s="3">
        <v>6.7361111111111108E-2</v>
      </c>
      <c r="E79" s="1" t="s">
        <v>877</v>
      </c>
      <c r="F79">
        <v>75</v>
      </c>
      <c r="G79" s="1" t="s">
        <v>806</v>
      </c>
    </row>
    <row r="80" spans="1:7" x14ac:dyDescent="0.25">
      <c r="A80" s="1" t="s">
        <v>853</v>
      </c>
      <c r="B80" t="str">
        <f>_xlfn.XLOOKUP(Logs__3[[#This Row],[Cell_ID]],Registre_Maintenance[ID_Antenne],Registre_Maintenance[Province_RDC],"Pas de correspondance")</f>
        <v>Pas de correspondance</v>
      </c>
      <c r="C80" s="2">
        <v>45223</v>
      </c>
      <c r="D80" s="3">
        <v>0.7104166666666667</v>
      </c>
      <c r="E80" s="1" t="s">
        <v>878</v>
      </c>
      <c r="F80">
        <v>43</v>
      </c>
      <c r="G80" s="1" t="s">
        <v>809</v>
      </c>
    </row>
    <row r="81" spans="1:7" x14ac:dyDescent="0.25">
      <c r="A81" s="1" t="s">
        <v>853</v>
      </c>
      <c r="B81" t="str">
        <f>_xlfn.XLOOKUP(Logs__3[[#This Row],[Cell_ID]],Registre_Maintenance[ID_Antenne],Registre_Maintenance[Province_RDC],"Pas de correspondance")</f>
        <v>Pas de correspondance</v>
      </c>
      <c r="C81" s="2">
        <v>45223</v>
      </c>
      <c r="D81" s="3">
        <v>0.41875000000000001</v>
      </c>
      <c r="E81" s="1" t="s">
        <v>879</v>
      </c>
      <c r="F81">
        <v>89</v>
      </c>
      <c r="G81" s="1" t="s">
        <v>806</v>
      </c>
    </row>
    <row r="82" spans="1:7" x14ac:dyDescent="0.25">
      <c r="A82" s="1" t="s">
        <v>853</v>
      </c>
      <c r="B82" t="str">
        <f>_xlfn.XLOOKUP(Logs__3[[#This Row],[Cell_ID]],Registre_Maintenance[ID_Antenne],Registre_Maintenance[Province_RDC],"Pas de correspondance")</f>
        <v>Pas de correspondance</v>
      </c>
      <c r="C82" s="2">
        <v>45201</v>
      </c>
      <c r="D82" s="3">
        <v>0.77083333333333337</v>
      </c>
      <c r="E82" s="1" t="s">
        <v>842</v>
      </c>
      <c r="F82">
        <v>18</v>
      </c>
      <c r="G82" s="1" t="s">
        <v>811</v>
      </c>
    </row>
    <row r="83" spans="1:7" x14ac:dyDescent="0.25">
      <c r="A83" s="1" t="s">
        <v>853</v>
      </c>
      <c r="B83" t="str">
        <f>_xlfn.XLOOKUP(Logs__3[[#This Row],[Cell_ID]],Registre_Maintenance[ID_Antenne],Registre_Maintenance[Province_RDC],"Pas de correspondance")</f>
        <v>Sud-Ubangi</v>
      </c>
      <c r="C83" s="2">
        <v>45216</v>
      </c>
      <c r="D83" s="3">
        <v>0.67361111111111116</v>
      </c>
      <c r="E83" s="1" t="s">
        <v>880</v>
      </c>
      <c r="F83">
        <v>117</v>
      </c>
      <c r="G83" s="1" t="s">
        <v>806</v>
      </c>
    </row>
    <row r="84" spans="1:7" x14ac:dyDescent="0.25">
      <c r="A84" s="1" t="s">
        <v>853</v>
      </c>
      <c r="B84" t="str">
        <f>_xlfn.XLOOKUP(Logs__3[[#This Row],[Cell_ID]],Registre_Maintenance[ID_Antenne],Registre_Maintenance[Province_RDC],"Pas de correspondance")</f>
        <v>Pas de correspondance</v>
      </c>
      <c r="C84" s="2">
        <v>45201</v>
      </c>
      <c r="D84" s="3">
        <v>0.67013888888888884</v>
      </c>
      <c r="E84" s="1" t="s">
        <v>881</v>
      </c>
      <c r="F84">
        <v>22</v>
      </c>
      <c r="G84" s="1" t="s">
        <v>811</v>
      </c>
    </row>
    <row r="85" spans="1:7" x14ac:dyDescent="0.25">
      <c r="A85" s="1" t="s">
        <v>853</v>
      </c>
      <c r="B85" t="str">
        <f>_xlfn.XLOOKUP(Logs__3[[#This Row],[Cell_ID]],Registre_Maintenance[ID_Antenne],Registre_Maintenance[Province_RDC],"Pas de correspondance")</f>
        <v>Pas de correspondance</v>
      </c>
      <c r="C85" s="2">
        <v>45227</v>
      </c>
      <c r="D85" s="3">
        <v>0.21111111111111111</v>
      </c>
      <c r="E85" s="1" t="s">
        <v>882</v>
      </c>
      <c r="F85">
        <v>38</v>
      </c>
      <c r="G85" s="1" t="s">
        <v>806</v>
      </c>
    </row>
    <row r="86" spans="1:7" x14ac:dyDescent="0.25">
      <c r="A86" s="1" t="s">
        <v>853</v>
      </c>
      <c r="B86" t="str">
        <f>_xlfn.XLOOKUP(Logs__3[[#This Row],[Cell_ID]],Registre_Maintenance[ID_Antenne],Registre_Maintenance[Province_RDC],"Pas de correspondance")</f>
        <v>Pas de correspondance</v>
      </c>
      <c r="C86" s="2">
        <v>45219</v>
      </c>
      <c r="D86" s="3">
        <v>0.11319444444444444</v>
      </c>
      <c r="E86" s="1" t="s">
        <v>883</v>
      </c>
      <c r="F86">
        <v>19</v>
      </c>
      <c r="G86" s="1" t="s">
        <v>806</v>
      </c>
    </row>
    <row r="87" spans="1:7" x14ac:dyDescent="0.25">
      <c r="A87" s="1" t="s">
        <v>853</v>
      </c>
      <c r="B87" t="str">
        <f>_xlfn.XLOOKUP(Logs__3[[#This Row],[Cell_ID]],Registre_Maintenance[ID_Antenne],Registre_Maintenance[Province_RDC],"Pas de correspondance")</f>
        <v>Sud-Ubangi</v>
      </c>
      <c r="C87" s="2">
        <v>45227</v>
      </c>
      <c r="D87" s="3">
        <v>0.30902777777777779</v>
      </c>
      <c r="E87" s="1" t="s">
        <v>884</v>
      </c>
      <c r="F87">
        <v>118</v>
      </c>
      <c r="G87" s="1" t="s">
        <v>811</v>
      </c>
    </row>
    <row r="88" spans="1:7" x14ac:dyDescent="0.25">
      <c r="A88" s="1" t="s">
        <v>853</v>
      </c>
      <c r="B88" t="str">
        <f>_xlfn.XLOOKUP(Logs__3[[#This Row],[Cell_ID]],Registre_Maintenance[ID_Antenne],Registre_Maintenance[Province_RDC],"Pas de correspondance")</f>
        <v>Nord-Ubangi</v>
      </c>
      <c r="C88" s="2">
        <v>45203</v>
      </c>
      <c r="D88" s="3">
        <v>0.76041666666666663</v>
      </c>
      <c r="E88" s="1" t="s">
        <v>885</v>
      </c>
      <c r="F88">
        <v>18</v>
      </c>
      <c r="G88" s="1" t="s">
        <v>811</v>
      </c>
    </row>
    <row r="89" spans="1:7" x14ac:dyDescent="0.25">
      <c r="A89" s="1" t="s">
        <v>853</v>
      </c>
      <c r="B89" t="str">
        <f>_xlfn.XLOOKUP(Logs__3[[#This Row],[Cell_ID]],Registre_Maintenance[ID_Antenne],Registre_Maintenance[Province_RDC],"Pas de correspondance")</f>
        <v>Pas de correspondance</v>
      </c>
      <c r="C89" s="2">
        <v>45218</v>
      </c>
      <c r="D89" s="3">
        <v>0.79305555555555551</v>
      </c>
      <c r="E89" s="1" t="s">
        <v>886</v>
      </c>
      <c r="F89">
        <v>100</v>
      </c>
      <c r="G89" s="1" t="s">
        <v>811</v>
      </c>
    </row>
    <row r="90" spans="1:7" x14ac:dyDescent="0.25">
      <c r="A90" s="1" t="s">
        <v>853</v>
      </c>
      <c r="B90" t="str">
        <f>_xlfn.XLOOKUP(Logs__3[[#This Row],[Cell_ID]],Registre_Maintenance[ID_Antenne],Registre_Maintenance[Province_RDC],"Pas de correspondance")</f>
        <v>Ituri</v>
      </c>
      <c r="C90" s="2">
        <v>45219</v>
      </c>
      <c r="D90" s="3">
        <v>0.10138888888888889</v>
      </c>
      <c r="E90" s="1" t="s">
        <v>887</v>
      </c>
      <c r="F90">
        <v>75</v>
      </c>
      <c r="G90" s="1" t="s">
        <v>806</v>
      </c>
    </row>
    <row r="91" spans="1:7" x14ac:dyDescent="0.25">
      <c r="A91" s="1" t="s">
        <v>853</v>
      </c>
      <c r="B91" t="str">
        <f>_xlfn.XLOOKUP(Logs__3[[#This Row],[Cell_ID]],Registre_Maintenance[ID_Antenne],Registre_Maintenance[Province_RDC],"Pas de correspondance")</f>
        <v>Mongala</v>
      </c>
      <c r="C91" s="2">
        <v>45221</v>
      </c>
      <c r="D91" s="3">
        <v>0.77500000000000002</v>
      </c>
      <c r="E91" s="1" t="s">
        <v>888</v>
      </c>
      <c r="F91">
        <v>24</v>
      </c>
      <c r="G91" s="1" t="s">
        <v>806</v>
      </c>
    </row>
    <row r="92" spans="1:7" x14ac:dyDescent="0.25">
      <c r="A92" s="1" t="s">
        <v>853</v>
      </c>
      <c r="B92" t="str">
        <f>_xlfn.XLOOKUP(Logs__3[[#This Row],[Cell_ID]],Registre_Maintenance[ID_Antenne],Registre_Maintenance[Province_RDC],"Pas de correspondance")</f>
        <v>Kasaï-Central</v>
      </c>
      <c r="C92" s="2">
        <v>45216</v>
      </c>
      <c r="D92" s="3">
        <v>0.45763888888888887</v>
      </c>
      <c r="E92" s="1" t="s">
        <v>889</v>
      </c>
      <c r="F92">
        <v>39</v>
      </c>
      <c r="G92" s="1" t="s">
        <v>806</v>
      </c>
    </row>
    <row r="93" spans="1:7" x14ac:dyDescent="0.25">
      <c r="A93" s="1" t="s">
        <v>853</v>
      </c>
      <c r="B93" t="str">
        <f>_xlfn.XLOOKUP(Logs__3[[#This Row],[Cell_ID]],Registre_Maintenance[ID_Antenne],Registre_Maintenance[Province_RDC],"Pas de correspondance")</f>
        <v>Nord-Ubangi</v>
      </c>
      <c r="C93" s="2">
        <v>45208</v>
      </c>
      <c r="D93" s="3">
        <v>0.27916666666666667</v>
      </c>
      <c r="E93" s="1" t="s">
        <v>890</v>
      </c>
      <c r="F93">
        <v>41</v>
      </c>
      <c r="G93" s="1" t="s">
        <v>809</v>
      </c>
    </row>
    <row r="94" spans="1:7" x14ac:dyDescent="0.25">
      <c r="A94" s="1" t="s">
        <v>853</v>
      </c>
      <c r="B94" t="str">
        <f>_xlfn.XLOOKUP(Logs__3[[#This Row],[Cell_ID]],Registre_Maintenance[ID_Antenne],Registre_Maintenance[Province_RDC],"Pas de correspondance")</f>
        <v>Bas-Uele</v>
      </c>
      <c r="C94" s="2">
        <v>45222</v>
      </c>
      <c r="D94" s="3">
        <v>0.42708333333333331</v>
      </c>
      <c r="E94" s="1" t="s">
        <v>891</v>
      </c>
      <c r="F94">
        <v>82</v>
      </c>
      <c r="G94" s="1" t="s">
        <v>806</v>
      </c>
    </row>
    <row r="95" spans="1:7" x14ac:dyDescent="0.25">
      <c r="A95" s="1" t="s">
        <v>853</v>
      </c>
      <c r="B95" t="str">
        <f>_xlfn.XLOOKUP(Logs__3[[#This Row],[Cell_ID]],Registre_Maintenance[ID_Antenne],Registre_Maintenance[Province_RDC],"Pas de correspondance")</f>
        <v>Pas de correspondance</v>
      </c>
      <c r="C95" s="2">
        <v>45208</v>
      </c>
      <c r="D95" s="3">
        <v>0.50555555555555554</v>
      </c>
      <c r="E95" s="1" t="s">
        <v>892</v>
      </c>
      <c r="F95">
        <v>31</v>
      </c>
      <c r="G95" s="1" t="s">
        <v>811</v>
      </c>
    </row>
    <row r="96" spans="1:7" x14ac:dyDescent="0.25">
      <c r="A96" s="1" t="s">
        <v>853</v>
      </c>
      <c r="B96" t="str">
        <f>_xlfn.XLOOKUP(Logs__3[[#This Row],[Cell_ID]],Registre_Maintenance[ID_Antenne],Registre_Maintenance[Province_RDC],"Pas de correspondance")</f>
        <v>Pas de correspondance</v>
      </c>
      <c r="C96" s="2">
        <v>45221</v>
      </c>
      <c r="D96" s="3">
        <v>0.84652777777777777</v>
      </c>
      <c r="E96" s="1" t="s">
        <v>893</v>
      </c>
      <c r="F96">
        <v>96</v>
      </c>
      <c r="G96" s="1" t="s">
        <v>811</v>
      </c>
    </row>
    <row r="97" spans="1:7" x14ac:dyDescent="0.25">
      <c r="A97" s="1" t="s">
        <v>853</v>
      </c>
      <c r="B97" t="str">
        <f>_xlfn.XLOOKUP(Logs__3[[#This Row],[Cell_ID]],Registre_Maintenance[ID_Antenne],Registre_Maintenance[Province_RDC],"Pas de correspondance")</f>
        <v>Sud-Ubangi</v>
      </c>
      <c r="C97" s="2">
        <v>45214</v>
      </c>
      <c r="D97" s="3">
        <v>0.45763888888888887</v>
      </c>
      <c r="E97" s="1" t="s">
        <v>894</v>
      </c>
      <c r="F97">
        <v>48</v>
      </c>
      <c r="G97" s="1" t="s">
        <v>811</v>
      </c>
    </row>
    <row r="98" spans="1:7" x14ac:dyDescent="0.25">
      <c r="A98" s="1" t="s">
        <v>853</v>
      </c>
      <c r="B98" t="str">
        <f>_xlfn.XLOOKUP(Logs__3[[#This Row],[Cell_ID]],Registre_Maintenance[ID_Antenne],Registre_Maintenance[Province_RDC],"Pas de correspondance")</f>
        <v>Pas de correspondance</v>
      </c>
      <c r="C98" s="2">
        <v>45224</v>
      </c>
      <c r="D98" s="3">
        <v>8.3333333333333329E-2</v>
      </c>
      <c r="E98" s="1" t="s">
        <v>895</v>
      </c>
      <c r="F98">
        <v>31</v>
      </c>
      <c r="G98" s="1" t="s">
        <v>806</v>
      </c>
    </row>
    <row r="99" spans="1:7" x14ac:dyDescent="0.25">
      <c r="A99" s="1" t="s">
        <v>853</v>
      </c>
      <c r="B99" t="str">
        <f>_xlfn.XLOOKUP(Logs__3[[#This Row],[Cell_ID]],Registre_Maintenance[ID_Antenne],Registre_Maintenance[Province_RDC],"Pas de correspondance")</f>
        <v>Pas de correspondance</v>
      </c>
      <c r="C99" s="2">
        <v>45214</v>
      </c>
      <c r="D99" s="3">
        <v>0.81666666666666665</v>
      </c>
      <c r="E99" s="1" t="s">
        <v>896</v>
      </c>
      <c r="F99">
        <v>92</v>
      </c>
      <c r="G99" s="1" t="s">
        <v>811</v>
      </c>
    </row>
    <row r="100" spans="1:7" x14ac:dyDescent="0.25">
      <c r="A100" s="1" t="s">
        <v>897</v>
      </c>
      <c r="B100" t="str">
        <f>_xlfn.XLOOKUP(Logs__3[[#This Row],[Cell_ID]],Registre_Maintenance[ID_Antenne],Registre_Maintenance[Province_RDC],"Pas de correspondance")</f>
        <v>Lualaba</v>
      </c>
      <c r="C100" s="2">
        <v>45230</v>
      </c>
      <c r="D100" s="3">
        <v>4.8611111111111112E-3</v>
      </c>
      <c r="E100" s="1" t="s">
        <v>898</v>
      </c>
      <c r="F100">
        <v>58</v>
      </c>
      <c r="G100" s="1" t="s">
        <v>806</v>
      </c>
    </row>
    <row r="101" spans="1:7" x14ac:dyDescent="0.25">
      <c r="A101" s="1" t="s">
        <v>897</v>
      </c>
      <c r="B101" t="str">
        <f>_xlfn.XLOOKUP(Logs__3[[#This Row],[Cell_ID]],Registre_Maintenance[ID_Antenne],Registre_Maintenance[Province_RDC],"Pas de correspondance")</f>
        <v>Pas de correspondance</v>
      </c>
      <c r="C101" s="2">
        <v>45228</v>
      </c>
      <c r="D101" s="3">
        <v>0.34097222222222223</v>
      </c>
      <c r="E101" s="1" t="s">
        <v>899</v>
      </c>
      <c r="F101">
        <v>118</v>
      </c>
      <c r="G101" s="1" t="s">
        <v>811</v>
      </c>
    </row>
    <row r="102" spans="1:7" x14ac:dyDescent="0.25">
      <c r="A102" s="1" t="s">
        <v>897</v>
      </c>
      <c r="B102" t="str">
        <f>_xlfn.XLOOKUP(Logs__3[[#This Row],[Cell_ID]],Registre_Maintenance[ID_Antenne],Registre_Maintenance[Province_RDC],"Pas de correspondance")</f>
        <v>Pas de correspondance</v>
      </c>
      <c r="C102" s="2">
        <v>45218</v>
      </c>
      <c r="D102" s="3">
        <v>0.3347222222222222</v>
      </c>
      <c r="E102" s="1" t="s">
        <v>900</v>
      </c>
      <c r="F102">
        <v>85</v>
      </c>
      <c r="G102" s="1" t="s">
        <v>811</v>
      </c>
    </row>
    <row r="103" spans="1:7" x14ac:dyDescent="0.25">
      <c r="A103" s="1" t="s">
        <v>897</v>
      </c>
      <c r="B103" t="str">
        <f>_xlfn.XLOOKUP(Logs__3[[#This Row],[Cell_ID]],Registre_Maintenance[ID_Antenne],Registre_Maintenance[Province_RDC],"Pas de correspondance")</f>
        <v>Pas de correspondance</v>
      </c>
      <c r="C103" s="2">
        <v>45203</v>
      </c>
      <c r="D103" s="3">
        <v>0.81041666666666667</v>
      </c>
      <c r="E103" s="1" t="s">
        <v>901</v>
      </c>
      <c r="F103">
        <v>78</v>
      </c>
      <c r="G103" s="1" t="s">
        <v>811</v>
      </c>
    </row>
    <row r="104" spans="1:7" x14ac:dyDescent="0.25">
      <c r="A104" s="1" t="s">
        <v>897</v>
      </c>
      <c r="B104" t="str">
        <f>_xlfn.XLOOKUP(Logs__3[[#This Row],[Cell_ID]],Registre_Maintenance[ID_Antenne],Registre_Maintenance[Province_RDC],"Pas de correspondance")</f>
        <v>Pas de correspondance</v>
      </c>
      <c r="C104" s="2">
        <v>45211</v>
      </c>
      <c r="D104" s="3">
        <v>0.99305555555555558</v>
      </c>
      <c r="E104" s="1" t="s">
        <v>902</v>
      </c>
      <c r="F104">
        <v>29</v>
      </c>
      <c r="G104" s="1" t="s">
        <v>809</v>
      </c>
    </row>
    <row r="105" spans="1:7" x14ac:dyDescent="0.25">
      <c r="A105" s="1" t="s">
        <v>897</v>
      </c>
      <c r="B105" t="str">
        <f>_xlfn.XLOOKUP(Logs__3[[#This Row],[Cell_ID]],Registre_Maintenance[ID_Antenne],Registre_Maintenance[Province_RDC],"Pas de correspondance")</f>
        <v>Kinshasa</v>
      </c>
      <c r="C105" s="2">
        <v>45210</v>
      </c>
      <c r="D105" s="3">
        <v>0.56805555555555554</v>
      </c>
      <c r="E105" s="1" t="s">
        <v>903</v>
      </c>
      <c r="F105">
        <v>96</v>
      </c>
      <c r="G105" s="1" t="s">
        <v>806</v>
      </c>
    </row>
    <row r="106" spans="1:7" x14ac:dyDescent="0.25">
      <c r="A106" s="1" t="s">
        <v>897</v>
      </c>
      <c r="B106" t="str">
        <f>_xlfn.XLOOKUP(Logs__3[[#This Row],[Cell_ID]],Registre_Maintenance[ID_Antenne],Registre_Maintenance[Province_RDC],"Pas de correspondance")</f>
        <v>Pas de correspondance</v>
      </c>
      <c r="C106" s="2">
        <v>45216</v>
      </c>
      <c r="D106" s="3">
        <v>0.14166666666666666</v>
      </c>
      <c r="E106" s="1" t="s">
        <v>904</v>
      </c>
      <c r="F106">
        <v>94</v>
      </c>
      <c r="G106" s="1" t="s">
        <v>806</v>
      </c>
    </row>
    <row r="107" spans="1:7" x14ac:dyDescent="0.25">
      <c r="A107" s="1" t="s">
        <v>897</v>
      </c>
      <c r="B107" t="str">
        <f>_xlfn.XLOOKUP(Logs__3[[#This Row],[Cell_ID]],Registre_Maintenance[ID_Antenne],Registre_Maintenance[Province_RDC],"Pas de correspondance")</f>
        <v>Pas de correspondance</v>
      </c>
      <c r="C107" s="2">
        <v>45228</v>
      </c>
      <c r="D107" s="3">
        <v>0.7583333333333333</v>
      </c>
      <c r="E107" s="1" t="s">
        <v>905</v>
      </c>
      <c r="F107">
        <v>54</v>
      </c>
      <c r="G107" s="1" t="s">
        <v>806</v>
      </c>
    </row>
    <row r="108" spans="1:7" x14ac:dyDescent="0.25">
      <c r="A108" s="1" t="s">
        <v>897</v>
      </c>
      <c r="B108" t="str">
        <f>_xlfn.XLOOKUP(Logs__3[[#This Row],[Cell_ID]],Registre_Maintenance[ID_Antenne],Registre_Maintenance[Province_RDC],"Pas de correspondance")</f>
        <v>Nord-Kivu</v>
      </c>
      <c r="C108" s="2">
        <v>45208</v>
      </c>
      <c r="D108" s="3">
        <v>7.2916666666666671E-2</v>
      </c>
      <c r="E108" s="1" t="s">
        <v>906</v>
      </c>
      <c r="F108">
        <v>68</v>
      </c>
      <c r="G108" s="1" t="s">
        <v>806</v>
      </c>
    </row>
    <row r="109" spans="1:7" x14ac:dyDescent="0.25">
      <c r="A109" s="1" t="s">
        <v>897</v>
      </c>
      <c r="B109" t="str">
        <f>_xlfn.XLOOKUP(Logs__3[[#This Row],[Cell_ID]],Registre_Maintenance[ID_Antenne],Registre_Maintenance[Province_RDC],"Pas de correspondance")</f>
        <v>Kongo-Central</v>
      </c>
      <c r="C109" s="2">
        <v>45213</v>
      </c>
      <c r="D109" s="3">
        <v>2.2916666666666665E-2</v>
      </c>
      <c r="E109" s="1" t="s">
        <v>813</v>
      </c>
      <c r="F109">
        <v>56</v>
      </c>
      <c r="G109" s="1" t="s">
        <v>811</v>
      </c>
    </row>
    <row r="110" spans="1:7" x14ac:dyDescent="0.25">
      <c r="A110" s="1" t="s">
        <v>897</v>
      </c>
      <c r="B110" t="str">
        <f>_xlfn.XLOOKUP(Logs__3[[#This Row],[Cell_ID]],Registre_Maintenance[ID_Antenne],Registre_Maintenance[Province_RDC],"Pas de correspondance")</f>
        <v>Lomami</v>
      </c>
      <c r="C110" s="2">
        <v>45229</v>
      </c>
      <c r="D110" s="3">
        <v>0.73819444444444449</v>
      </c>
      <c r="E110" s="1" t="s">
        <v>907</v>
      </c>
      <c r="F110">
        <v>36</v>
      </c>
      <c r="G110" s="1" t="s">
        <v>809</v>
      </c>
    </row>
    <row r="111" spans="1:7" x14ac:dyDescent="0.25">
      <c r="A111" s="1" t="s">
        <v>897</v>
      </c>
      <c r="B111" t="str">
        <f>_xlfn.XLOOKUP(Logs__3[[#This Row],[Cell_ID]],Registre_Maintenance[ID_Antenne],Registre_Maintenance[Province_RDC],"Pas de correspondance")</f>
        <v>Sankuru</v>
      </c>
      <c r="C111" s="2">
        <v>45223</v>
      </c>
      <c r="D111" s="3">
        <v>0.99097222222222225</v>
      </c>
      <c r="E111" s="1" t="s">
        <v>908</v>
      </c>
      <c r="F111">
        <v>23</v>
      </c>
      <c r="G111" s="1" t="s">
        <v>806</v>
      </c>
    </row>
    <row r="112" spans="1:7" x14ac:dyDescent="0.25">
      <c r="A112" s="1" t="s">
        <v>897</v>
      </c>
      <c r="B112" t="str">
        <f>_xlfn.XLOOKUP(Logs__3[[#This Row],[Cell_ID]],Registre_Maintenance[ID_Antenne],Registre_Maintenance[Province_RDC],"Pas de correspondance")</f>
        <v>Kinshasa</v>
      </c>
      <c r="C112" s="2">
        <v>45221</v>
      </c>
      <c r="D112" s="3">
        <v>0.26597222222222222</v>
      </c>
      <c r="E112" s="1" t="s">
        <v>909</v>
      </c>
      <c r="F112">
        <v>88</v>
      </c>
      <c r="G112" s="1" t="s">
        <v>809</v>
      </c>
    </row>
    <row r="113" spans="1:7" x14ac:dyDescent="0.25">
      <c r="A113" s="1" t="s">
        <v>897</v>
      </c>
      <c r="B113" t="str">
        <f>_xlfn.XLOOKUP(Logs__3[[#This Row],[Cell_ID]],Registre_Maintenance[ID_Antenne],Registre_Maintenance[Province_RDC],"Pas de correspondance")</f>
        <v>Pas de correspondance</v>
      </c>
      <c r="C113" s="2">
        <v>45213</v>
      </c>
      <c r="D113" s="3">
        <v>0.1125</v>
      </c>
      <c r="E113" s="1" t="s">
        <v>910</v>
      </c>
      <c r="F113">
        <v>93</v>
      </c>
      <c r="G113" s="1" t="s">
        <v>806</v>
      </c>
    </row>
    <row r="114" spans="1:7" x14ac:dyDescent="0.25">
      <c r="A114" s="1" t="s">
        <v>897</v>
      </c>
      <c r="B114" t="str">
        <f>_xlfn.XLOOKUP(Logs__3[[#This Row],[Cell_ID]],Registre_Maintenance[ID_Antenne],Registre_Maintenance[Province_RDC],"Pas de correspondance")</f>
        <v>Kasaï-Central</v>
      </c>
      <c r="C114" s="2">
        <v>45229</v>
      </c>
      <c r="D114" s="3">
        <v>0.44374999999999998</v>
      </c>
      <c r="E114" s="1" t="s">
        <v>911</v>
      </c>
      <c r="F114">
        <v>5</v>
      </c>
      <c r="G114" s="1" t="s">
        <v>806</v>
      </c>
    </row>
    <row r="115" spans="1:7" x14ac:dyDescent="0.25">
      <c r="A115" s="1" t="s">
        <v>897</v>
      </c>
      <c r="B115" t="str">
        <f>_xlfn.XLOOKUP(Logs__3[[#This Row],[Cell_ID]],Registre_Maintenance[ID_Antenne],Registre_Maintenance[Province_RDC],"Pas de correspondance")</f>
        <v>Pas de correspondance</v>
      </c>
      <c r="C115" s="2">
        <v>45210</v>
      </c>
      <c r="D115" s="3">
        <v>0.91249999999999998</v>
      </c>
      <c r="E115" s="1" t="s">
        <v>912</v>
      </c>
      <c r="F115">
        <v>119</v>
      </c>
      <c r="G115" s="1" t="s">
        <v>811</v>
      </c>
    </row>
    <row r="116" spans="1:7" x14ac:dyDescent="0.25">
      <c r="A116" s="1" t="s">
        <v>897</v>
      </c>
      <c r="B116" t="str">
        <f>_xlfn.XLOOKUP(Logs__3[[#This Row],[Cell_ID]],Registre_Maintenance[ID_Antenne],Registre_Maintenance[Province_RDC],"Pas de correspondance")</f>
        <v>Nord-Kivu</v>
      </c>
      <c r="C116" s="2">
        <v>45203</v>
      </c>
      <c r="D116" s="3">
        <v>0.99791666666666667</v>
      </c>
      <c r="E116" s="1" t="s">
        <v>913</v>
      </c>
      <c r="F116">
        <v>101</v>
      </c>
      <c r="G116" s="1" t="s">
        <v>811</v>
      </c>
    </row>
    <row r="117" spans="1:7" x14ac:dyDescent="0.25">
      <c r="A117" s="1" t="s">
        <v>897</v>
      </c>
      <c r="B117" t="str">
        <f>_xlfn.XLOOKUP(Logs__3[[#This Row],[Cell_ID]],Registre_Maintenance[ID_Antenne],Registre_Maintenance[Province_RDC],"Pas de correspondance")</f>
        <v>Pas de correspondance</v>
      </c>
      <c r="C117" s="2">
        <v>45209</v>
      </c>
      <c r="D117" s="3">
        <v>0.67986111111111114</v>
      </c>
      <c r="E117" s="1" t="s">
        <v>914</v>
      </c>
      <c r="F117">
        <v>115</v>
      </c>
      <c r="G117" s="1" t="s">
        <v>811</v>
      </c>
    </row>
    <row r="118" spans="1:7" x14ac:dyDescent="0.25">
      <c r="A118" s="1" t="s">
        <v>897</v>
      </c>
      <c r="B118" t="str">
        <f>_xlfn.XLOOKUP(Logs__3[[#This Row],[Cell_ID]],Registre_Maintenance[ID_Antenne],Registre_Maintenance[Province_RDC],"Pas de correspondance")</f>
        <v>Pas de correspondance</v>
      </c>
      <c r="C118" s="2">
        <v>45221</v>
      </c>
      <c r="D118" s="3">
        <v>0.55555555555555558</v>
      </c>
      <c r="E118" s="1" t="s">
        <v>915</v>
      </c>
      <c r="F118">
        <v>103</v>
      </c>
      <c r="G118" s="1" t="s">
        <v>809</v>
      </c>
    </row>
    <row r="119" spans="1:7" x14ac:dyDescent="0.25">
      <c r="A119" s="1" t="s">
        <v>897</v>
      </c>
      <c r="B119" t="str">
        <f>_xlfn.XLOOKUP(Logs__3[[#This Row],[Cell_ID]],Registre_Maintenance[ID_Antenne],Registre_Maintenance[Province_RDC],"Pas de correspondance")</f>
        <v>Pas de correspondance</v>
      </c>
      <c r="C119" s="2">
        <v>45212</v>
      </c>
      <c r="D119" s="3">
        <v>0.9291666666666667</v>
      </c>
      <c r="E119" s="1" t="s">
        <v>916</v>
      </c>
      <c r="F119">
        <v>118</v>
      </c>
      <c r="G119" s="1" t="s">
        <v>811</v>
      </c>
    </row>
    <row r="120" spans="1:7" x14ac:dyDescent="0.25">
      <c r="A120" s="1" t="s">
        <v>897</v>
      </c>
      <c r="B120" t="str">
        <f>_xlfn.XLOOKUP(Logs__3[[#This Row],[Cell_ID]],Registre_Maintenance[ID_Antenne],Registre_Maintenance[Province_RDC],"Pas de correspondance")</f>
        <v>Sud-Kivu</v>
      </c>
      <c r="C120" s="2">
        <v>45217</v>
      </c>
      <c r="D120" s="3">
        <v>0.17499999999999999</v>
      </c>
      <c r="E120" s="1" t="s">
        <v>917</v>
      </c>
      <c r="F120">
        <v>18</v>
      </c>
      <c r="G120" s="1" t="s">
        <v>811</v>
      </c>
    </row>
    <row r="121" spans="1:7" x14ac:dyDescent="0.25">
      <c r="A121" s="1" t="s">
        <v>897</v>
      </c>
      <c r="B121" t="str">
        <f>_xlfn.XLOOKUP(Logs__3[[#This Row],[Cell_ID]],Registre_Maintenance[ID_Antenne],Registre_Maintenance[Province_RDC],"Pas de correspondance")</f>
        <v>Pas de correspondance</v>
      </c>
      <c r="C121" s="2">
        <v>45213</v>
      </c>
      <c r="D121" s="3">
        <v>0.89166666666666672</v>
      </c>
      <c r="E121" s="1" t="s">
        <v>918</v>
      </c>
      <c r="F121">
        <v>104</v>
      </c>
      <c r="G121" s="1" t="s">
        <v>806</v>
      </c>
    </row>
    <row r="122" spans="1:7" x14ac:dyDescent="0.25">
      <c r="A122" s="1" t="s">
        <v>897</v>
      </c>
      <c r="B122" t="str">
        <f>_xlfn.XLOOKUP(Logs__3[[#This Row],[Cell_ID]],Registre_Maintenance[ID_Antenne],Registre_Maintenance[Province_RDC],"Pas de correspondance")</f>
        <v>Pas de correspondance</v>
      </c>
      <c r="C122" s="2">
        <v>45221</v>
      </c>
      <c r="D122" s="3">
        <v>0.99791666666666667</v>
      </c>
      <c r="E122" s="1" t="s">
        <v>919</v>
      </c>
      <c r="F122">
        <v>59</v>
      </c>
      <c r="G122" s="1" t="s">
        <v>806</v>
      </c>
    </row>
    <row r="123" spans="1:7" x14ac:dyDescent="0.25">
      <c r="A123" s="1" t="s">
        <v>897</v>
      </c>
      <c r="B123" t="str">
        <f>_xlfn.XLOOKUP(Logs__3[[#This Row],[Cell_ID]],Registre_Maintenance[ID_Antenne],Registre_Maintenance[Province_RDC],"Pas de correspondance")</f>
        <v>Pas de correspondance</v>
      </c>
      <c r="C123" s="2">
        <v>45205</v>
      </c>
      <c r="D123" s="3">
        <v>0.81666666666666665</v>
      </c>
      <c r="E123" s="1" t="s">
        <v>920</v>
      </c>
      <c r="F123">
        <v>33</v>
      </c>
      <c r="G123" s="1" t="s">
        <v>811</v>
      </c>
    </row>
    <row r="124" spans="1:7" x14ac:dyDescent="0.25">
      <c r="A124" s="1" t="s">
        <v>897</v>
      </c>
      <c r="B124" t="str">
        <f>_xlfn.XLOOKUP(Logs__3[[#This Row],[Cell_ID]],Registre_Maintenance[ID_Antenne],Registre_Maintenance[Province_RDC],"Pas de correspondance")</f>
        <v>Pas de correspondance</v>
      </c>
      <c r="C124" s="2">
        <v>45209</v>
      </c>
      <c r="D124" s="3">
        <v>0.52430555555555558</v>
      </c>
      <c r="E124" s="1" t="s">
        <v>921</v>
      </c>
      <c r="F124">
        <v>27</v>
      </c>
      <c r="G124" s="1" t="s">
        <v>811</v>
      </c>
    </row>
    <row r="125" spans="1:7" x14ac:dyDescent="0.25">
      <c r="A125" s="1" t="s">
        <v>897</v>
      </c>
      <c r="B125" t="str">
        <f>_xlfn.XLOOKUP(Logs__3[[#This Row],[Cell_ID]],Registre_Maintenance[ID_Antenne],Registre_Maintenance[Province_RDC],"Pas de correspondance")</f>
        <v>Pas de correspondance</v>
      </c>
      <c r="C125" s="2">
        <v>45226</v>
      </c>
      <c r="D125" s="3">
        <v>1.3194444444444444E-2</v>
      </c>
      <c r="E125" s="1" t="s">
        <v>922</v>
      </c>
      <c r="F125">
        <v>107</v>
      </c>
      <c r="G125" s="1" t="s">
        <v>809</v>
      </c>
    </row>
    <row r="126" spans="1:7" x14ac:dyDescent="0.25">
      <c r="A126" s="1" t="s">
        <v>897</v>
      </c>
      <c r="B126" t="str">
        <f>_xlfn.XLOOKUP(Logs__3[[#This Row],[Cell_ID]],Registre_Maintenance[ID_Antenne],Registre_Maintenance[Province_RDC],"Pas de correspondance")</f>
        <v>Pas de correspondance</v>
      </c>
      <c r="C126" s="2">
        <v>45209</v>
      </c>
      <c r="D126" s="3">
        <v>0.26874999999999999</v>
      </c>
      <c r="E126" s="1" t="s">
        <v>923</v>
      </c>
      <c r="F126">
        <v>94</v>
      </c>
      <c r="G126" s="1" t="s">
        <v>809</v>
      </c>
    </row>
    <row r="127" spans="1:7" x14ac:dyDescent="0.25">
      <c r="A127" s="1" t="s">
        <v>897</v>
      </c>
      <c r="B127" t="str">
        <f>_xlfn.XLOOKUP(Logs__3[[#This Row],[Cell_ID]],Registre_Maintenance[ID_Antenne],Registre_Maintenance[Province_RDC],"Pas de correspondance")</f>
        <v>Nord-Kivu</v>
      </c>
      <c r="C127" s="2">
        <v>45225</v>
      </c>
      <c r="D127" s="3">
        <v>0.77638888888888891</v>
      </c>
      <c r="E127" s="1" t="s">
        <v>871</v>
      </c>
      <c r="F127">
        <v>71</v>
      </c>
      <c r="G127" s="1" t="s">
        <v>806</v>
      </c>
    </row>
    <row r="128" spans="1:7" x14ac:dyDescent="0.25">
      <c r="A128" s="1" t="s">
        <v>897</v>
      </c>
      <c r="B128" t="str">
        <f>_xlfn.XLOOKUP(Logs__3[[#This Row],[Cell_ID]],Registre_Maintenance[ID_Antenne],Registre_Maintenance[Province_RDC],"Pas de correspondance")</f>
        <v>Pas de correspondance</v>
      </c>
      <c r="C128" s="2">
        <v>45220</v>
      </c>
      <c r="D128" s="3">
        <v>0.43680555555555556</v>
      </c>
      <c r="E128" s="1" t="s">
        <v>866</v>
      </c>
      <c r="F128">
        <v>64</v>
      </c>
      <c r="G128" s="1" t="s">
        <v>809</v>
      </c>
    </row>
    <row r="129" spans="1:7" x14ac:dyDescent="0.25">
      <c r="A129" s="1" t="s">
        <v>897</v>
      </c>
      <c r="B129" t="str">
        <f>_xlfn.XLOOKUP(Logs__3[[#This Row],[Cell_ID]],Registre_Maintenance[ID_Antenne],Registre_Maintenance[Province_RDC],"Pas de correspondance")</f>
        <v>Pas de correspondance</v>
      </c>
      <c r="C129" s="2">
        <v>45214</v>
      </c>
      <c r="D129" s="3">
        <v>0.61319444444444449</v>
      </c>
      <c r="E129" s="1" t="s">
        <v>924</v>
      </c>
      <c r="F129">
        <v>11</v>
      </c>
      <c r="G129" s="1" t="s">
        <v>811</v>
      </c>
    </row>
    <row r="130" spans="1:7" x14ac:dyDescent="0.25">
      <c r="A130" s="1" t="s">
        <v>897</v>
      </c>
      <c r="B130" t="str">
        <f>_xlfn.XLOOKUP(Logs__3[[#This Row],[Cell_ID]],Registre_Maintenance[ID_Antenne],Registre_Maintenance[Province_RDC],"Pas de correspondance")</f>
        <v>Haut-Uele</v>
      </c>
      <c r="C130" s="2">
        <v>45206</v>
      </c>
      <c r="D130" s="3">
        <v>0.6875</v>
      </c>
      <c r="E130" s="1" t="s">
        <v>925</v>
      </c>
      <c r="F130">
        <v>76</v>
      </c>
      <c r="G130" s="1" t="s">
        <v>811</v>
      </c>
    </row>
    <row r="131" spans="1:7" x14ac:dyDescent="0.25">
      <c r="A131" s="1" t="s">
        <v>897</v>
      </c>
      <c r="B131" t="str">
        <f>_xlfn.XLOOKUP(Logs__3[[#This Row],[Cell_ID]],Registre_Maintenance[ID_Antenne],Registre_Maintenance[Province_RDC],"Pas de correspondance")</f>
        <v>Tanganyika</v>
      </c>
      <c r="C131" s="2">
        <v>45225</v>
      </c>
      <c r="D131" s="3">
        <v>0.96527777777777779</v>
      </c>
      <c r="E131" s="1" t="s">
        <v>926</v>
      </c>
      <c r="F131">
        <v>36</v>
      </c>
      <c r="G131" s="1" t="s">
        <v>806</v>
      </c>
    </row>
    <row r="132" spans="1:7" x14ac:dyDescent="0.25">
      <c r="A132" s="1" t="s">
        <v>897</v>
      </c>
      <c r="B132" t="str">
        <f>_xlfn.XLOOKUP(Logs__3[[#This Row],[Cell_ID]],Registre_Maintenance[ID_Antenne],Registre_Maintenance[Province_RDC],"Pas de correspondance")</f>
        <v>Pas de correspondance</v>
      </c>
      <c r="C132" s="2">
        <v>45221</v>
      </c>
      <c r="D132" s="3">
        <v>9.583333333333334E-2</v>
      </c>
      <c r="E132" s="1" t="s">
        <v>927</v>
      </c>
      <c r="F132">
        <v>113</v>
      </c>
      <c r="G132" s="1" t="s">
        <v>811</v>
      </c>
    </row>
    <row r="133" spans="1:7" x14ac:dyDescent="0.25">
      <c r="A133" s="1" t="s">
        <v>897</v>
      </c>
      <c r="B133" t="str">
        <f>_xlfn.XLOOKUP(Logs__3[[#This Row],[Cell_ID]],Registre_Maintenance[ID_Antenne],Registre_Maintenance[Province_RDC],"Pas de correspondance")</f>
        <v>Kwilu</v>
      </c>
      <c r="C133" s="2">
        <v>45216</v>
      </c>
      <c r="D133" s="3">
        <v>0.90277777777777779</v>
      </c>
      <c r="E133" s="1" t="s">
        <v>928</v>
      </c>
      <c r="F133">
        <v>20</v>
      </c>
      <c r="G133" s="1" t="s">
        <v>811</v>
      </c>
    </row>
    <row r="134" spans="1:7" x14ac:dyDescent="0.25">
      <c r="A134" s="1" t="s">
        <v>897</v>
      </c>
      <c r="B134" t="str">
        <f>_xlfn.XLOOKUP(Logs__3[[#This Row],[Cell_ID]],Registre_Maintenance[ID_Antenne],Registre_Maintenance[Province_RDC],"Pas de correspondance")</f>
        <v>Lomami</v>
      </c>
      <c r="C134" s="2">
        <v>45219</v>
      </c>
      <c r="D134" s="3">
        <v>0.4201388888888889</v>
      </c>
      <c r="E134" s="1" t="s">
        <v>929</v>
      </c>
      <c r="F134">
        <v>63</v>
      </c>
      <c r="G134" s="1" t="s">
        <v>811</v>
      </c>
    </row>
    <row r="135" spans="1:7" x14ac:dyDescent="0.25">
      <c r="A135" s="1" t="s">
        <v>897</v>
      </c>
      <c r="B135" t="str">
        <f>_xlfn.XLOOKUP(Logs__3[[#This Row],[Cell_ID]],Registre_Maintenance[ID_Antenne],Registre_Maintenance[Province_RDC],"Pas de correspondance")</f>
        <v>Pas de correspondance</v>
      </c>
      <c r="C135" s="2">
        <v>45226</v>
      </c>
      <c r="D135" s="3">
        <v>0.3215277777777778</v>
      </c>
      <c r="E135" s="1" t="s">
        <v>930</v>
      </c>
      <c r="F135">
        <v>22</v>
      </c>
      <c r="G135" s="1" t="s">
        <v>811</v>
      </c>
    </row>
    <row r="136" spans="1:7" x14ac:dyDescent="0.25">
      <c r="A136" s="1" t="s">
        <v>897</v>
      </c>
      <c r="B136" t="str">
        <f>_xlfn.XLOOKUP(Logs__3[[#This Row],[Cell_ID]],Registre_Maintenance[ID_Antenne],Registre_Maintenance[Province_RDC],"Pas de correspondance")</f>
        <v>Equateur</v>
      </c>
      <c r="C136" s="2">
        <v>45209</v>
      </c>
      <c r="D136" s="3">
        <v>0.32708333333333334</v>
      </c>
      <c r="E136" s="1" t="s">
        <v>931</v>
      </c>
      <c r="F136">
        <v>107</v>
      </c>
      <c r="G136" s="1" t="s">
        <v>809</v>
      </c>
    </row>
    <row r="137" spans="1:7" x14ac:dyDescent="0.25">
      <c r="A137" s="1" t="s">
        <v>897</v>
      </c>
      <c r="B137" t="str">
        <f>_xlfn.XLOOKUP(Logs__3[[#This Row],[Cell_ID]],Registre_Maintenance[ID_Antenne],Registre_Maintenance[Province_RDC],"Pas de correspondance")</f>
        <v>Ituri</v>
      </c>
      <c r="C137" s="2">
        <v>45206</v>
      </c>
      <c r="D137" s="3">
        <v>0.1673611111111111</v>
      </c>
      <c r="E137" s="1" t="s">
        <v>932</v>
      </c>
      <c r="F137">
        <v>64</v>
      </c>
      <c r="G137" s="1" t="s">
        <v>809</v>
      </c>
    </row>
    <row r="138" spans="1:7" x14ac:dyDescent="0.25">
      <c r="A138" s="1" t="s">
        <v>897</v>
      </c>
      <c r="B138" t="str">
        <f>_xlfn.XLOOKUP(Logs__3[[#This Row],[Cell_ID]],Registre_Maintenance[ID_Antenne],Registre_Maintenance[Province_RDC],"Pas de correspondance")</f>
        <v>Kasaï-Oriental</v>
      </c>
      <c r="C138" s="2">
        <v>45201</v>
      </c>
      <c r="D138" s="3">
        <v>0.3125</v>
      </c>
      <c r="E138" s="1" t="s">
        <v>933</v>
      </c>
      <c r="F138">
        <v>90</v>
      </c>
      <c r="G138" s="1" t="s">
        <v>809</v>
      </c>
    </row>
    <row r="139" spans="1:7" x14ac:dyDescent="0.25">
      <c r="A139" s="1" t="s">
        <v>897</v>
      </c>
      <c r="B139" t="str">
        <f>_xlfn.XLOOKUP(Logs__3[[#This Row],[Cell_ID]],Registre_Maintenance[ID_Antenne],Registre_Maintenance[Province_RDC],"Pas de correspondance")</f>
        <v>Lomami</v>
      </c>
      <c r="C139" s="2">
        <v>45219</v>
      </c>
      <c r="D139" s="3">
        <v>0.10347222222222222</v>
      </c>
      <c r="E139" s="1" t="s">
        <v>934</v>
      </c>
      <c r="F139">
        <v>72</v>
      </c>
      <c r="G139" s="1" t="s">
        <v>809</v>
      </c>
    </row>
    <row r="140" spans="1:7" x14ac:dyDescent="0.25">
      <c r="A140" s="1" t="s">
        <v>935</v>
      </c>
      <c r="B140" t="str">
        <f>_xlfn.XLOOKUP(Logs__3[[#This Row],[Cell_ID]],Registre_Maintenance[ID_Antenne],Registre_Maintenance[Province_RDC],"Pas de correspondance")</f>
        <v>Pas de correspondance</v>
      </c>
      <c r="C140" s="2">
        <v>45200</v>
      </c>
      <c r="D140" s="3">
        <v>0.51458333333333328</v>
      </c>
      <c r="E140" s="1" t="s">
        <v>936</v>
      </c>
      <c r="F140">
        <v>24</v>
      </c>
      <c r="G140" s="1" t="s">
        <v>811</v>
      </c>
    </row>
    <row r="141" spans="1:7" x14ac:dyDescent="0.25">
      <c r="A141" s="1" t="s">
        <v>935</v>
      </c>
      <c r="B141" t="str">
        <f>_xlfn.XLOOKUP(Logs__3[[#This Row],[Cell_ID]],Registre_Maintenance[ID_Antenne],Registre_Maintenance[Province_RDC],"Pas de correspondance")</f>
        <v>Pas de correspondance</v>
      </c>
      <c r="C141" s="2">
        <v>45221</v>
      </c>
      <c r="D141" s="3">
        <v>0.91041666666666665</v>
      </c>
      <c r="E141" s="1" t="s">
        <v>937</v>
      </c>
      <c r="F141">
        <v>60</v>
      </c>
      <c r="G141" s="1" t="s">
        <v>809</v>
      </c>
    </row>
    <row r="142" spans="1:7" x14ac:dyDescent="0.25">
      <c r="A142" s="1" t="s">
        <v>935</v>
      </c>
      <c r="B142" t="str">
        <f>_xlfn.XLOOKUP(Logs__3[[#This Row],[Cell_ID]],Registre_Maintenance[ID_Antenne],Registre_Maintenance[Province_RDC],"Pas de correspondance")</f>
        <v>Kongo-Central</v>
      </c>
      <c r="C142" s="2">
        <v>45212</v>
      </c>
      <c r="D142" s="3">
        <v>0.96527777777777779</v>
      </c>
      <c r="E142" s="1" t="s">
        <v>938</v>
      </c>
      <c r="F142">
        <v>27</v>
      </c>
      <c r="G142" s="1" t="s">
        <v>811</v>
      </c>
    </row>
    <row r="143" spans="1:7" x14ac:dyDescent="0.25">
      <c r="A143" s="1" t="s">
        <v>935</v>
      </c>
      <c r="B143" t="str">
        <f>_xlfn.XLOOKUP(Logs__3[[#This Row],[Cell_ID]],Registre_Maintenance[ID_Antenne],Registre_Maintenance[Province_RDC],"Pas de correspondance")</f>
        <v>Nord-Ubangi</v>
      </c>
      <c r="C143" s="2">
        <v>45226</v>
      </c>
      <c r="D143" s="3">
        <v>0.62361111111111112</v>
      </c>
      <c r="E143" s="1" t="s">
        <v>939</v>
      </c>
      <c r="F143">
        <v>98</v>
      </c>
      <c r="G143" s="1" t="s">
        <v>811</v>
      </c>
    </row>
    <row r="144" spans="1:7" x14ac:dyDescent="0.25">
      <c r="A144" s="1" t="s">
        <v>935</v>
      </c>
      <c r="B144" t="str">
        <f>_xlfn.XLOOKUP(Logs__3[[#This Row],[Cell_ID]],Registre_Maintenance[ID_Antenne],Registre_Maintenance[Province_RDC],"Pas de correspondance")</f>
        <v>Pas de correspondance</v>
      </c>
      <c r="C144" s="2">
        <v>45204</v>
      </c>
      <c r="D144" s="3">
        <v>0.81527777777777777</v>
      </c>
      <c r="E144" s="1" t="s">
        <v>937</v>
      </c>
      <c r="F144">
        <v>71</v>
      </c>
      <c r="G144" s="1" t="s">
        <v>811</v>
      </c>
    </row>
    <row r="145" spans="1:7" x14ac:dyDescent="0.25">
      <c r="A145" s="1" t="s">
        <v>935</v>
      </c>
      <c r="B145" t="str">
        <f>_xlfn.XLOOKUP(Logs__3[[#This Row],[Cell_ID]],Registre_Maintenance[ID_Antenne],Registre_Maintenance[Province_RDC],"Pas de correspondance")</f>
        <v>Kinshasa</v>
      </c>
      <c r="C145" s="2">
        <v>45200</v>
      </c>
      <c r="D145" s="3">
        <v>0.52569444444444446</v>
      </c>
      <c r="E145" s="1" t="s">
        <v>940</v>
      </c>
      <c r="F145">
        <v>88</v>
      </c>
      <c r="G145" s="1" t="s">
        <v>811</v>
      </c>
    </row>
    <row r="146" spans="1:7" x14ac:dyDescent="0.25">
      <c r="A146" s="1" t="s">
        <v>935</v>
      </c>
      <c r="B146" t="str">
        <f>_xlfn.XLOOKUP(Logs__3[[#This Row],[Cell_ID]],Registre_Maintenance[ID_Antenne],Registre_Maintenance[Province_RDC],"Pas de correspondance")</f>
        <v>Pas de correspondance</v>
      </c>
      <c r="C146" s="2">
        <v>45218</v>
      </c>
      <c r="D146" s="3">
        <v>0.87569444444444444</v>
      </c>
      <c r="E146" s="1" t="s">
        <v>941</v>
      </c>
      <c r="F146">
        <v>39</v>
      </c>
      <c r="G146" s="1" t="s">
        <v>806</v>
      </c>
    </row>
    <row r="147" spans="1:7" x14ac:dyDescent="0.25">
      <c r="A147" s="1" t="s">
        <v>935</v>
      </c>
      <c r="B147" t="str">
        <f>_xlfn.XLOOKUP(Logs__3[[#This Row],[Cell_ID]],Registre_Maintenance[ID_Antenne],Registre_Maintenance[Province_RDC],"Pas de correspondance")</f>
        <v>Mai-Ndombe</v>
      </c>
      <c r="C147" s="2">
        <v>45202</v>
      </c>
      <c r="D147" s="3">
        <v>0.8520833333333333</v>
      </c>
      <c r="E147" s="1" t="s">
        <v>942</v>
      </c>
      <c r="F147">
        <v>83</v>
      </c>
      <c r="G147" s="1" t="s">
        <v>806</v>
      </c>
    </row>
    <row r="148" spans="1:7" x14ac:dyDescent="0.25">
      <c r="A148" s="1" t="s">
        <v>935</v>
      </c>
      <c r="B148" t="str">
        <f>_xlfn.XLOOKUP(Logs__3[[#This Row],[Cell_ID]],Registre_Maintenance[ID_Antenne],Registre_Maintenance[Province_RDC],"Pas de correspondance")</f>
        <v>Kwilu</v>
      </c>
      <c r="C148" s="2">
        <v>45204</v>
      </c>
      <c r="D148" s="3">
        <v>0.59097222222222223</v>
      </c>
      <c r="E148" s="1" t="s">
        <v>943</v>
      </c>
      <c r="F148">
        <v>108</v>
      </c>
      <c r="G148" s="1" t="s">
        <v>809</v>
      </c>
    </row>
    <row r="149" spans="1:7" x14ac:dyDescent="0.25">
      <c r="A149" s="1" t="s">
        <v>935</v>
      </c>
      <c r="B149" t="str">
        <f>_xlfn.XLOOKUP(Logs__3[[#This Row],[Cell_ID]],Registre_Maintenance[ID_Antenne],Registre_Maintenance[Province_RDC],"Pas de correspondance")</f>
        <v>Pas de correspondance</v>
      </c>
      <c r="C149" s="2">
        <v>45201</v>
      </c>
      <c r="D149" s="3">
        <v>0.35</v>
      </c>
      <c r="E149" s="1" t="s">
        <v>944</v>
      </c>
      <c r="F149">
        <v>73</v>
      </c>
      <c r="G149" s="1" t="s">
        <v>806</v>
      </c>
    </row>
    <row r="150" spans="1:7" x14ac:dyDescent="0.25">
      <c r="A150" s="1" t="s">
        <v>935</v>
      </c>
      <c r="B150" t="str">
        <f>_xlfn.XLOOKUP(Logs__3[[#This Row],[Cell_ID]],Registre_Maintenance[ID_Antenne],Registre_Maintenance[Province_RDC],"Pas de correspondance")</f>
        <v>Pas de correspondance</v>
      </c>
      <c r="C150" s="2">
        <v>45210</v>
      </c>
      <c r="D150" s="3">
        <v>0.27013888888888887</v>
      </c>
      <c r="E150" s="1" t="s">
        <v>945</v>
      </c>
      <c r="F150">
        <v>104</v>
      </c>
      <c r="G150" s="1" t="s">
        <v>811</v>
      </c>
    </row>
    <row r="151" spans="1:7" x14ac:dyDescent="0.25">
      <c r="A151" s="1" t="s">
        <v>935</v>
      </c>
      <c r="B151" t="str">
        <f>_xlfn.XLOOKUP(Logs__3[[#This Row],[Cell_ID]],Registre_Maintenance[ID_Antenne],Registre_Maintenance[Province_RDC],"Pas de correspondance")</f>
        <v>Lualaba</v>
      </c>
      <c r="C151" s="2">
        <v>45210</v>
      </c>
      <c r="D151" s="3">
        <v>0.45</v>
      </c>
      <c r="E151" s="1" t="s">
        <v>946</v>
      </c>
      <c r="F151">
        <v>66</v>
      </c>
      <c r="G151" s="1" t="s">
        <v>806</v>
      </c>
    </row>
    <row r="152" spans="1:7" x14ac:dyDescent="0.25">
      <c r="A152" s="1" t="s">
        <v>935</v>
      </c>
      <c r="B152" t="str">
        <f>_xlfn.XLOOKUP(Logs__3[[#This Row],[Cell_ID]],Registre_Maintenance[ID_Antenne],Registre_Maintenance[Province_RDC],"Pas de correspondance")</f>
        <v>Pas de correspondance</v>
      </c>
      <c r="C152" s="2">
        <v>45228</v>
      </c>
      <c r="D152" s="3">
        <v>0.51180555555555551</v>
      </c>
      <c r="E152" s="1" t="s">
        <v>947</v>
      </c>
      <c r="F152">
        <v>64</v>
      </c>
      <c r="G152" s="1" t="s">
        <v>809</v>
      </c>
    </row>
    <row r="153" spans="1:7" x14ac:dyDescent="0.25">
      <c r="A153" s="1" t="s">
        <v>935</v>
      </c>
      <c r="B153" t="str">
        <f>_xlfn.XLOOKUP(Logs__3[[#This Row],[Cell_ID]],Registre_Maintenance[ID_Antenne],Registre_Maintenance[Province_RDC],"Pas de correspondance")</f>
        <v>Tanganyika</v>
      </c>
      <c r="C153" s="2">
        <v>45224</v>
      </c>
      <c r="D153" s="3">
        <v>0.55277777777777781</v>
      </c>
      <c r="E153" s="1" t="s">
        <v>948</v>
      </c>
      <c r="F153">
        <v>60</v>
      </c>
      <c r="G153" s="1" t="s">
        <v>809</v>
      </c>
    </row>
    <row r="154" spans="1:7" x14ac:dyDescent="0.25">
      <c r="A154" s="1" t="s">
        <v>935</v>
      </c>
      <c r="B154" t="str">
        <f>_xlfn.XLOOKUP(Logs__3[[#This Row],[Cell_ID]],Registre_Maintenance[ID_Antenne],Registre_Maintenance[Province_RDC],"Pas de correspondance")</f>
        <v>Pas de correspondance</v>
      </c>
      <c r="C154" s="2">
        <v>45226</v>
      </c>
      <c r="D154" s="3">
        <v>0.10416666666666667</v>
      </c>
      <c r="E154" s="1" t="s">
        <v>949</v>
      </c>
      <c r="F154">
        <v>110</v>
      </c>
      <c r="G154" s="1" t="s">
        <v>809</v>
      </c>
    </row>
    <row r="155" spans="1:7" x14ac:dyDescent="0.25">
      <c r="A155" s="1" t="s">
        <v>935</v>
      </c>
      <c r="B155" t="str">
        <f>_xlfn.XLOOKUP(Logs__3[[#This Row],[Cell_ID]],Registre_Maintenance[ID_Antenne],Registre_Maintenance[Province_RDC],"Pas de correspondance")</f>
        <v>Pas de correspondance</v>
      </c>
      <c r="C155" s="2">
        <v>45200</v>
      </c>
      <c r="D155" s="3">
        <v>0.9819444444444444</v>
      </c>
      <c r="E155" s="1" t="s">
        <v>840</v>
      </c>
      <c r="F155">
        <v>98</v>
      </c>
      <c r="G155" s="1" t="s">
        <v>806</v>
      </c>
    </row>
    <row r="156" spans="1:7" x14ac:dyDescent="0.25">
      <c r="A156" s="1" t="s">
        <v>935</v>
      </c>
      <c r="B156" t="str">
        <f>_xlfn.XLOOKUP(Logs__3[[#This Row],[Cell_ID]],Registre_Maintenance[ID_Antenne],Registre_Maintenance[Province_RDC],"Pas de correspondance")</f>
        <v>Haut-Katanga</v>
      </c>
      <c r="C156" s="2">
        <v>45201</v>
      </c>
      <c r="D156" s="3">
        <v>0.46805555555555556</v>
      </c>
      <c r="E156" s="1" t="s">
        <v>950</v>
      </c>
      <c r="F156">
        <v>80</v>
      </c>
      <c r="G156" s="1" t="s">
        <v>806</v>
      </c>
    </row>
    <row r="157" spans="1:7" x14ac:dyDescent="0.25">
      <c r="A157" s="1" t="s">
        <v>935</v>
      </c>
      <c r="B157" t="str">
        <f>_xlfn.XLOOKUP(Logs__3[[#This Row],[Cell_ID]],Registre_Maintenance[ID_Antenne],Registre_Maintenance[Province_RDC],"Pas de correspondance")</f>
        <v>Pas de correspondance</v>
      </c>
      <c r="C157" s="2">
        <v>45220</v>
      </c>
      <c r="D157" s="3">
        <v>0.11736111111111111</v>
      </c>
      <c r="E157" s="1" t="s">
        <v>951</v>
      </c>
      <c r="F157">
        <v>39</v>
      </c>
      <c r="G157" s="1" t="s">
        <v>806</v>
      </c>
    </row>
    <row r="158" spans="1:7" x14ac:dyDescent="0.25">
      <c r="A158" s="1" t="s">
        <v>935</v>
      </c>
      <c r="B158" t="str">
        <f>_xlfn.XLOOKUP(Logs__3[[#This Row],[Cell_ID]],Registre_Maintenance[ID_Antenne],Registre_Maintenance[Province_RDC],"Pas de correspondance")</f>
        <v>Pas de correspondance</v>
      </c>
      <c r="C158" s="2">
        <v>45230</v>
      </c>
      <c r="D158" s="3">
        <v>0.83472222222222225</v>
      </c>
      <c r="E158" s="1" t="s">
        <v>850</v>
      </c>
      <c r="F158">
        <v>46</v>
      </c>
      <c r="G158" s="1" t="s">
        <v>809</v>
      </c>
    </row>
    <row r="159" spans="1:7" x14ac:dyDescent="0.25">
      <c r="A159" s="1" t="s">
        <v>935</v>
      </c>
      <c r="B159" t="str">
        <f>_xlfn.XLOOKUP(Logs__3[[#This Row],[Cell_ID]],Registre_Maintenance[ID_Antenne],Registre_Maintenance[Province_RDC],"Pas de correspondance")</f>
        <v>Pas de correspondance</v>
      </c>
      <c r="C159" s="2">
        <v>45224</v>
      </c>
      <c r="D159" s="3">
        <v>1.0416666666666666E-2</v>
      </c>
      <c r="E159" s="1" t="s">
        <v>883</v>
      </c>
      <c r="F159">
        <v>114</v>
      </c>
      <c r="G159" s="1" t="s">
        <v>811</v>
      </c>
    </row>
    <row r="160" spans="1:7" x14ac:dyDescent="0.25">
      <c r="A160" s="1" t="s">
        <v>935</v>
      </c>
      <c r="B160" t="str">
        <f>_xlfn.XLOOKUP(Logs__3[[#This Row],[Cell_ID]],Registre_Maintenance[ID_Antenne],Registre_Maintenance[Province_RDC],"Pas de correspondance")</f>
        <v>Kasaï-Central</v>
      </c>
      <c r="C160" s="2">
        <v>45206</v>
      </c>
      <c r="D160" s="3">
        <v>2.7083333333333334E-2</v>
      </c>
      <c r="E160" s="1" t="s">
        <v>952</v>
      </c>
      <c r="F160">
        <v>36</v>
      </c>
      <c r="G160" s="1" t="s">
        <v>811</v>
      </c>
    </row>
    <row r="161" spans="1:7" x14ac:dyDescent="0.25">
      <c r="A161" s="1" t="s">
        <v>935</v>
      </c>
      <c r="B161" t="str">
        <f>_xlfn.XLOOKUP(Logs__3[[#This Row],[Cell_ID]],Registre_Maintenance[ID_Antenne],Registre_Maintenance[Province_RDC],"Pas de correspondance")</f>
        <v>Nord-Ubangi</v>
      </c>
      <c r="C161" s="2">
        <v>45204</v>
      </c>
      <c r="D161" s="3">
        <v>0.29722222222222222</v>
      </c>
      <c r="E161" s="1" t="s">
        <v>953</v>
      </c>
      <c r="F161">
        <v>111</v>
      </c>
      <c r="G161" s="1" t="s">
        <v>809</v>
      </c>
    </row>
    <row r="162" spans="1:7" x14ac:dyDescent="0.25">
      <c r="A162" s="1" t="s">
        <v>935</v>
      </c>
      <c r="B162" t="str">
        <f>_xlfn.XLOOKUP(Logs__3[[#This Row],[Cell_ID]],Registre_Maintenance[ID_Antenne],Registre_Maintenance[Province_RDC],"Pas de correspondance")</f>
        <v>Pas de correspondance</v>
      </c>
      <c r="C162" s="2">
        <v>45215</v>
      </c>
      <c r="D162" s="3">
        <v>0.87986111111111109</v>
      </c>
      <c r="E162" s="1" t="s">
        <v>954</v>
      </c>
      <c r="F162">
        <v>16</v>
      </c>
      <c r="G162" s="1" t="s">
        <v>809</v>
      </c>
    </row>
    <row r="163" spans="1:7" x14ac:dyDescent="0.25">
      <c r="A163" s="1" t="s">
        <v>935</v>
      </c>
      <c r="B163" t="str">
        <f>_xlfn.XLOOKUP(Logs__3[[#This Row],[Cell_ID]],Registre_Maintenance[ID_Antenne],Registre_Maintenance[Province_RDC],"Pas de correspondance")</f>
        <v>Pas de correspondance</v>
      </c>
      <c r="C163" s="2">
        <v>45218</v>
      </c>
      <c r="D163" s="3">
        <v>0.27013888888888887</v>
      </c>
      <c r="E163" s="1" t="s">
        <v>955</v>
      </c>
      <c r="F163">
        <v>40</v>
      </c>
      <c r="G163" s="1" t="s">
        <v>809</v>
      </c>
    </row>
    <row r="164" spans="1:7" x14ac:dyDescent="0.25">
      <c r="A164" s="1" t="s">
        <v>935</v>
      </c>
      <c r="B164" t="str">
        <f>_xlfn.XLOOKUP(Logs__3[[#This Row],[Cell_ID]],Registre_Maintenance[ID_Antenne],Registre_Maintenance[Province_RDC],"Pas de correspondance")</f>
        <v>Pas de correspondance</v>
      </c>
      <c r="C164" s="2">
        <v>45222</v>
      </c>
      <c r="D164" s="3">
        <v>0.36736111111111114</v>
      </c>
      <c r="E164" s="1" t="s">
        <v>956</v>
      </c>
      <c r="F164">
        <v>117</v>
      </c>
      <c r="G164" s="1" t="s">
        <v>809</v>
      </c>
    </row>
    <row r="165" spans="1:7" x14ac:dyDescent="0.25">
      <c r="A165" s="1" t="s">
        <v>935</v>
      </c>
      <c r="B165" t="str">
        <f>_xlfn.XLOOKUP(Logs__3[[#This Row],[Cell_ID]],Registre_Maintenance[ID_Antenne],Registre_Maintenance[Province_RDC],"Pas de correspondance")</f>
        <v>Nord-Kivu</v>
      </c>
      <c r="C165" s="2">
        <v>45211</v>
      </c>
      <c r="D165" s="3">
        <v>0.23472222222222222</v>
      </c>
      <c r="E165" s="1" t="s">
        <v>957</v>
      </c>
      <c r="F165">
        <v>62</v>
      </c>
      <c r="G165" s="1" t="s">
        <v>811</v>
      </c>
    </row>
    <row r="166" spans="1:7" x14ac:dyDescent="0.25">
      <c r="A166" s="1" t="s">
        <v>935</v>
      </c>
      <c r="B166" t="str">
        <f>_xlfn.XLOOKUP(Logs__3[[#This Row],[Cell_ID]],Registre_Maintenance[ID_Antenne],Registre_Maintenance[Province_RDC],"Pas de correspondance")</f>
        <v>Pas de correspondance</v>
      </c>
      <c r="C166" s="2">
        <v>45219</v>
      </c>
      <c r="D166" s="3">
        <v>0.98958333333333337</v>
      </c>
      <c r="E166" s="1" t="s">
        <v>958</v>
      </c>
      <c r="F166">
        <v>36</v>
      </c>
      <c r="G166" s="1" t="s">
        <v>806</v>
      </c>
    </row>
    <row r="167" spans="1:7" x14ac:dyDescent="0.25">
      <c r="A167" s="1" t="s">
        <v>935</v>
      </c>
      <c r="B167" t="str">
        <f>_xlfn.XLOOKUP(Logs__3[[#This Row],[Cell_ID]],Registre_Maintenance[ID_Antenne],Registre_Maintenance[Province_RDC],"Pas de correspondance")</f>
        <v>Tshopo</v>
      </c>
      <c r="C167" s="2">
        <v>45203</v>
      </c>
      <c r="D167" s="3">
        <v>0.22152777777777777</v>
      </c>
      <c r="E167" s="1" t="s">
        <v>959</v>
      </c>
      <c r="F167">
        <v>101</v>
      </c>
      <c r="G167" s="1" t="s">
        <v>806</v>
      </c>
    </row>
    <row r="168" spans="1:7" x14ac:dyDescent="0.25">
      <c r="A168" s="1" t="s">
        <v>935</v>
      </c>
      <c r="B168" t="str">
        <f>_xlfn.XLOOKUP(Logs__3[[#This Row],[Cell_ID]],Registre_Maintenance[ID_Antenne],Registre_Maintenance[Province_RDC],"Pas de correspondance")</f>
        <v>Pas de correspondance</v>
      </c>
      <c r="C168" s="2">
        <v>45203</v>
      </c>
      <c r="D168" s="3">
        <v>0.75069444444444444</v>
      </c>
      <c r="E168" s="1" t="s">
        <v>960</v>
      </c>
      <c r="F168">
        <v>64</v>
      </c>
      <c r="G168" s="1" t="s">
        <v>811</v>
      </c>
    </row>
    <row r="169" spans="1:7" x14ac:dyDescent="0.25">
      <c r="A169" s="1" t="s">
        <v>935</v>
      </c>
      <c r="B169" t="str">
        <f>_xlfn.XLOOKUP(Logs__3[[#This Row],[Cell_ID]],Registre_Maintenance[ID_Antenne],Registre_Maintenance[Province_RDC],"Pas de correspondance")</f>
        <v>Pas de correspondance</v>
      </c>
      <c r="C169" s="2">
        <v>45229</v>
      </c>
      <c r="D169" s="3">
        <v>0.4</v>
      </c>
      <c r="E169" s="1" t="s">
        <v>961</v>
      </c>
      <c r="F169">
        <v>77</v>
      </c>
      <c r="G169" s="1" t="s">
        <v>806</v>
      </c>
    </row>
    <row r="170" spans="1:7" x14ac:dyDescent="0.25">
      <c r="A170" s="1" t="s">
        <v>935</v>
      </c>
      <c r="B170" t="str">
        <f>_xlfn.XLOOKUP(Logs__3[[#This Row],[Cell_ID]],Registre_Maintenance[ID_Antenne],Registre_Maintenance[Province_RDC],"Pas de correspondance")</f>
        <v>Sud-Kivu</v>
      </c>
      <c r="C170" s="2">
        <v>45221</v>
      </c>
      <c r="D170" s="3">
        <v>0.51736111111111116</v>
      </c>
      <c r="E170" s="1" t="s">
        <v>962</v>
      </c>
      <c r="F170">
        <v>83</v>
      </c>
      <c r="G170" s="1" t="s">
        <v>811</v>
      </c>
    </row>
    <row r="171" spans="1:7" x14ac:dyDescent="0.25">
      <c r="A171" s="1" t="s">
        <v>935</v>
      </c>
      <c r="B171" t="str">
        <f>_xlfn.XLOOKUP(Logs__3[[#This Row],[Cell_ID]],Registre_Maintenance[ID_Antenne],Registre_Maintenance[Province_RDC],"Pas de correspondance")</f>
        <v>Pas de correspondance</v>
      </c>
      <c r="C171" s="2">
        <v>45230</v>
      </c>
      <c r="D171" s="3">
        <v>0.92500000000000004</v>
      </c>
      <c r="E171" s="1" t="s">
        <v>963</v>
      </c>
      <c r="F171">
        <v>90</v>
      </c>
      <c r="G171" s="1" t="s">
        <v>806</v>
      </c>
    </row>
    <row r="172" spans="1:7" x14ac:dyDescent="0.25">
      <c r="A172" s="1" t="s">
        <v>935</v>
      </c>
      <c r="B172" t="str">
        <f>_xlfn.XLOOKUP(Logs__3[[#This Row],[Cell_ID]],Registre_Maintenance[ID_Antenne],Registre_Maintenance[Province_RDC],"Pas de correspondance")</f>
        <v>Maniema</v>
      </c>
      <c r="C172" s="2">
        <v>45202</v>
      </c>
      <c r="D172" s="3">
        <v>0.78055555555555556</v>
      </c>
      <c r="E172" s="1" t="s">
        <v>964</v>
      </c>
      <c r="F172">
        <v>53</v>
      </c>
      <c r="G172" s="1" t="s">
        <v>811</v>
      </c>
    </row>
    <row r="173" spans="1:7" x14ac:dyDescent="0.25">
      <c r="A173" s="1" t="s">
        <v>935</v>
      </c>
      <c r="B173" t="str">
        <f>_xlfn.XLOOKUP(Logs__3[[#This Row],[Cell_ID]],Registre_Maintenance[ID_Antenne],Registre_Maintenance[Province_RDC],"Pas de correspondance")</f>
        <v>Pas de correspondance</v>
      </c>
      <c r="C173" s="2">
        <v>45226</v>
      </c>
      <c r="D173" s="3">
        <v>0.84375</v>
      </c>
      <c r="E173" s="1" t="s">
        <v>965</v>
      </c>
      <c r="F173">
        <v>48</v>
      </c>
      <c r="G173" s="1" t="s">
        <v>806</v>
      </c>
    </row>
    <row r="174" spans="1:7" x14ac:dyDescent="0.25">
      <c r="A174" s="1" t="s">
        <v>935</v>
      </c>
      <c r="B174" t="str">
        <f>_xlfn.XLOOKUP(Logs__3[[#This Row],[Cell_ID]],Registre_Maintenance[ID_Antenne],Registre_Maintenance[Province_RDC],"Pas de correspondance")</f>
        <v>Pas de correspondance</v>
      </c>
      <c r="C174" s="2">
        <v>45203</v>
      </c>
      <c r="D174" s="3">
        <v>0.9506944444444444</v>
      </c>
      <c r="E174" s="1" t="s">
        <v>966</v>
      </c>
      <c r="F174">
        <v>8</v>
      </c>
      <c r="G174" s="1" t="s">
        <v>809</v>
      </c>
    </row>
    <row r="175" spans="1:7" x14ac:dyDescent="0.25">
      <c r="A175" s="1" t="s">
        <v>935</v>
      </c>
      <c r="B175" t="str">
        <f>_xlfn.XLOOKUP(Logs__3[[#This Row],[Cell_ID]],Registre_Maintenance[ID_Antenne],Registre_Maintenance[Province_RDC],"Pas de correspondance")</f>
        <v>Sud-Ubangi</v>
      </c>
      <c r="C175" s="2">
        <v>45209</v>
      </c>
      <c r="D175" s="3">
        <v>0.90138888888888891</v>
      </c>
      <c r="E175" s="1" t="s">
        <v>967</v>
      </c>
      <c r="F175">
        <v>68</v>
      </c>
      <c r="G175" s="1" t="s">
        <v>809</v>
      </c>
    </row>
    <row r="176" spans="1:7" x14ac:dyDescent="0.25">
      <c r="A176" s="1" t="s">
        <v>935</v>
      </c>
      <c r="B176" t="str">
        <f>_xlfn.XLOOKUP(Logs__3[[#This Row],[Cell_ID]],Registre_Maintenance[ID_Antenne],Registre_Maintenance[Province_RDC],"Pas de correspondance")</f>
        <v>Pas de correspondance</v>
      </c>
      <c r="C176" s="2">
        <v>45225</v>
      </c>
      <c r="D176" s="3">
        <v>0.15972222222222221</v>
      </c>
      <c r="E176" s="1" t="s">
        <v>968</v>
      </c>
      <c r="F176">
        <v>113</v>
      </c>
      <c r="G176" s="1" t="s">
        <v>806</v>
      </c>
    </row>
    <row r="177" spans="1:7" x14ac:dyDescent="0.25">
      <c r="A177" s="1" t="s">
        <v>935</v>
      </c>
      <c r="B177" t="str">
        <f>_xlfn.XLOOKUP(Logs__3[[#This Row],[Cell_ID]],Registre_Maintenance[ID_Antenne],Registre_Maintenance[Province_RDC],"Pas de correspondance")</f>
        <v>Pas de correspondance</v>
      </c>
      <c r="C177" s="2">
        <v>45218</v>
      </c>
      <c r="D177" s="3">
        <v>5.6944444444444443E-2</v>
      </c>
      <c r="E177" s="1" t="s">
        <v>969</v>
      </c>
      <c r="F177">
        <v>46</v>
      </c>
      <c r="G177" s="1" t="s">
        <v>811</v>
      </c>
    </row>
    <row r="178" spans="1:7" x14ac:dyDescent="0.25">
      <c r="A178" s="1" t="s">
        <v>935</v>
      </c>
      <c r="B178" t="str">
        <f>_xlfn.XLOOKUP(Logs__3[[#This Row],[Cell_ID]],Registre_Maintenance[ID_Antenne],Registre_Maintenance[Province_RDC],"Pas de correspondance")</f>
        <v>Pas de correspondance</v>
      </c>
      <c r="C178" s="2">
        <v>45217</v>
      </c>
      <c r="D178" s="3">
        <v>0.5708333333333333</v>
      </c>
      <c r="E178" s="1" t="s">
        <v>970</v>
      </c>
      <c r="F178">
        <v>28</v>
      </c>
      <c r="G178" s="1" t="s">
        <v>806</v>
      </c>
    </row>
    <row r="179" spans="1:7" x14ac:dyDescent="0.25">
      <c r="A179" s="1" t="s">
        <v>935</v>
      </c>
      <c r="B179" t="str">
        <f>_xlfn.XLOOKUP(Logs__3[[#This Row],[Cell_ID]],Registre_Maintenance[ID_Antenne],Registre_Maintenance[Province_RDC],"Pas de correspondance")</f>
        <v>Pas de correspondance</v>
      </c>
      <c r="C179" s="2">
        <v>45211</v>
      </c>
      <c r="D179" s="3">
        <v>0.10555555555555556</v>
      </c>
      <c r="E179" s="1" t="s">
        <v>835</v>
      </c>
      <c r="F179">
        <v>67</v>
      </c>
      <c r="G179" s="1" t="s">
        <v>806</v>
      </c>
    </row>
    <row r="180" spans="1:7" x14ac:dyDescent="0.25">
      <c r="A180" s="1" t="s">
        <v>935</v>
      </c>
      <c r="B180" t="str">
        <f>_xlfn.XLOOKUP(Logs__3[[#This Row],[Cell_ID]],Registre_Maintenance[ID_Antenne],Registre_Maintenance[Province_RDC],"Pas de correspondance")</f>
        <v>Kinshasa</v>
      </c>
      <c r="C180" s="2">
        <v>45220</v>
      </c>
      <c r="D180" s="3">
        <v>0.41666666666666669</v>
      </c>
      <c r="E180" s="1" t="s">
        <v>971</v>
      </c>
      <c r="F180">
        <v>32</v>
      </c>
      <c r="G180" s="1" t="s">
        <v>809</v>
      </c>
    </row>
    <row r="181" spans="1:7" x14ac:dyDescent="0.25">
      <c r="A181" s="1" t="s">
        <v>935</v>
      </c>
      <c r="B181" t="str">
        <f>_xlfn.XLOOKUP(Logs__3[[#This Row],[Cell_ID]],Registre_Maintenance[ID_Antenne],Registre_Maintenance[Province_RDC],"Pas de correspondance")</f>
        <v>Tshopo</v>
      </c>
      <c r="C181" s="2">
        <v>45227</v>
      </c>
      <c r="D181" s="3">
        <v>0.57777777777777772</v>
      </c>
      <c r="E181" s="1" t="s">
        <v>972</v>
      </c>
      <c r="F181">
        <v>50</v>
      </c>
      <c r="G181" s="1" t="s">
        <v>811</v>
      </c>
    </row>
    <row r="182" spans="1:7" x14ac:dyDescent="0.25">
      <c r="A182" s="1" t="s">
        <v>935</v>
      </c>
      <c r="B182" t="str">
        <f>_xlfn.XLOOKUP(Logs__3[[#This Row],[Cell_ID]],Registre_Maintenance[ID_Antenne],Registre_Maintenance[Province_RDC],"Pas de correspondance")</f>
        <v>Pas de correspondance</v>
      </c>
      <c r="C182" s="2">
        <v>45215</v>
      </c>
      <c r="D182" s="3">
        <v>0.14374999999999999</v>
      </c>
      <c r="E182" s="1" t="s">
        <v>973</v>
      </c>
      <c r="F182">
        <v>107</v>
      </c>
      <c r="G182" s="1" t="s">
        <v>809</v>
      </c>
    </row>
    <row r="183" spans="1:7" x14ac:dyDescent="0.25">
      <c r="A183" s="1" t="s">
        <v>935</v>
      </c>
      <c r="B183" t="str">
        <f>_xlfn.XLOOKUP(Logs__3[[#This Row],[Cell_ID]],Registre_Maintenance[ID_Antenne],Registre_Maintenance[Province_RDC],"Pas de correspondance")</f>
        <v>Nord-Kivu</v>
      </c>
      <c r="C183" s="2">
        <v>45230</v>
      </c>
      <c r="D183" s="3">
        <v>0.4861111111111111</v>
      </c>
      <c r="E183" s="1" t="s">
        <v>974</v>
      </c>
      <c r="F183">
        <v>38</v>
      </c>
      <c r="G183" s="1" t="s">
        <v>806</v>
      </c>
    </row>
    <row r="184" spans="1:7" x14ac:dyDescent="0.25">
      <c r="A184" s="1" t="s">
        <v>935</v>
      </c>
      <c r="B184" t="str">
        <f>_xlfn.XLOOKUP(Logs__3[[#This Row],[Cell_ID]],Registre_Maintenance[ID_Antenne],Registre_Maintenance[Province_RDC],"Pas de correspondance")</f>
        <v>Bas-Uele</v>
      </c>
      <c r="C184" s="2">
        <v>45228</v>
      </c>
      <c r="D184" s="3">
        <v>0.61458333333333337</v>
      </c>
      <c r="E184" s="1" t="s">
        <v>975</v>
      </c>
      <c r="F184">
        <v>48</v>
      </c>
      <c r="G184" s="1" t="s">
        <v>809</v>
      </c>
    </row>
    <row r="185" spans="1:7" x14ac:dyDescent="0.25">
      <c r="A185" s="1" t="s">
        <v>976</v>
      </c>
      <c r="B185" t="str">
        <f>_xlfn.XLOOKUP(Logs__3[[#This Row],[Cell_ID]],Registre_Maintenance[ID_Antenne],Registre_Maintenance[Province_RDC],"Pas de correspondance")</f>
        <v>Pas de correspondance</v>
      </c>
      <c r="C185" s="2">
        <v>45215</v>
      </c>
      <c r="D185" s="3">
        <v>0.59791666666666665</v>
      </c>
      <c r="E185" s="1" t="s">
        <v>977</v>
      </c>
      <c r="F185">
        <v>7</v>
      </c>
      <c r="G185" s="1" t="s">
        <v>811</v>
      </c>
    </row>
    <row r="186" spans="1:7" x14ac:dyDescent="0.25">
      <c r="A186" s="1" t="s">
        <v>976</v>
      </c>
      <c r="B186" t="str">
        <f>_xlfn.XLOOKUP(Logs__3[[#This Row],[Cell_ID]],Registre_Maintenance[ID_Antenne],Registre_Maintenance[Province_RDC],"Pas de correspondance")</f>
        <v>Kasaï</v>
      </c>
      <c r="C186" s="2">
        <v>45205</v>
      </c>
      <c r="D186" s="3">
        <v>5.2777777777777778E-2</v>
      </c>
      <c r="E186" s="1" t="s">
        <v>839</v>
      </c>
      <c r="F186">
        <v>102</v>
      </c>
      <c r="G186" s="1" t="s">
        <v>809</v>
      </c>
    </row>
    <row r="187" spans="1:7" x14ac:dyDescent="0.25">
      <c r="A187" s="1" t="s">
        <v>976</v>
      </c>
      <c r="B187" t="str">
        <f>_xlfn.XLOOKUP(Logs__3[[#This Row],[Cell_ID]],Registre_Maintenance[ID_Antenne],Registre_Maintenance[Province_RDC],"Pas de correspondance")</f>
        <v>Pas de correspondance</v>
      </c>
      <c r="C187" s="2">
        <v>45230</v>
      </c>
      <c r="D187" s="3">
        <v>0.62986111111111109</v>
      </c>
      <c r="E187" s="1" t="s">
        <v>978</v>
      </c>
      <c r="F187">
        <v>91</v>
      </c>
      <c r="G187" s="1" t="s">
        <v>806</v>
      </c>
    </row>
    <row r="188" spans="1:7" x14ac:dyDescent="0.25">
      <c r="A188" s="1" t="s">
        <v>976</v>
      </c>
      <c r="B188" t="str">
        <f>_xlfn.XLOOKUP(Logs__3[[#This Row],[Cell_ID]],Registre_Maintenance[ID_Antenne],Registre_Maintenance[Province_RDC],"Pas de correspondance")</f>
        <v>Lomami</v>
      </c>
      <c r="C188" s="2">
        <v>45226</v>
      </c>
      <c r="D188" s="3">
        <v>0.10069444444444445</v>
      </c>
      <c r="E188" s="1" t="s">
        <v>979</v>
      </c>
      <c r="F188">
        <v>110</v>
      </c>
      <c r="G188" s="1" t="s">
        <v>809</v>
      </c>
    </row>
    <row r="189" spans="1:7" x14ac:dyDescent="0.25">
      <c r="A189" s="1" t="s">
        <v>976</v>
      </c>
      <c r="B189" t="str">
        <f>_xlfn.XLOOKUP(Logs__3[[#This Row],[Cell_ID]],Registre_Maintenance[ID_Antenne],Registre_Maintenance[Province_RDC],"Pas de correspondance")</f>
        <v>Pas de correspondance</v>
      </c>
      <c r="C189" s="2">
        <v>45215</v>
      </c>
      <c r="D189" s="3">
        <v>0.10833333333333334</v>
      </c>
      <c r="E189" s="1" t="s">
        <v>980</v>
      </c>
      <c r="F189">
        <v>39</v>
      </c>
      <c r="G189" s="1" t="s">
        <v>811</v>
      </c>
    </row>
    <row r="190" spans="1:7" x14ac:dyDescent="0.25">
      <c r="A190" s="1" t="s">
        <v>976</v>
      </c>
      <c r="B190" t="str">
        <f>_xlfn.XLOOKUP(Logs__3[[#This Row],[Cell_ID]],Registre_Maintenance[ID_Antenne],Registre_Maintenance[Province_RDC],"Pas de correspondance")</f>
        <v>Pas de correspondance</v>
      </c>
      <c r="C190" s="2">
        <v>45220</v>
      </c>
      <c r="D190" s="3">
        <v>0.87708333333333333</v>
      </c>
      <c r="E190" s="1" t="s">
        <v>981</v>
      </c>
      <c r="F190">
        <v>78</v>
      </c>
      <c r="G190" s="1" t="s">
        <v>806</v>
      </c>
    </row>
    <row r="191" spans="1:7" x14ac:dyDescent="0.25">
      <c r="A191" s="1" t="s">
        <v>976</v>
      </c>
      <c r="B191" t="str">
        <f>_xlfn.XLOOKUP(Logs__3[[#This Row],[Cell_ID]],Registre_Maintenance[ID_Antenne],Registre_Maintenance[Province_RDC],"Pas de correspondance")</f>
        <v>Pas de correspondance</v>
      </c>
      <c r="C191" s="2">
        <v>45204</v>
      </c>
      <c r="D191" s="3">
        <v>0.20208333333333334</v>
      </c>
      <c r="E191" s="1" t="s">
        <v>982</v>
      </c>
      <c r="F191">
        <v>10</v>
      </c>
      <c r="G191" s="1" t="s">
        <v>806</v>
      </c>
    </row>
    <row r="192" spans="1:7" x14ac:dyDescent="0.25">
      <c r="A192" s="1" t="s">
        <v>976</v>
      </c>
      <c r="B192" t="str">
        <f>_xlfn.XLOOKUP(Logs__3[[#This Row],[Cell_ID]],Registre_Maintenance[ID_Antenne],Registre_Maintenance[Province_RDC],"Pas de correspondance")</f>
        <v>Kasaï-Central</v>
      </c>
      <c r="C192" s="2">
        <v>45218</v>
      </c>
      <c r="D192" s="3">
        <v>0.37847222222222221</v>
      </c>
      <c r="E192" s="1" t="s">
        <v>983</v>
      </c>
      <c r="F192">
        <v>102</v>
      </c>
      <c r="G192" s="1" t="s">
        <v>806</v>
      </c>
    </row>
    <row r="193" spans="1:7" x14ac:dyDescent="0.25">
      <c r="A193" s="1" t="s">
        <v>976</v>
      </c>
      <c r="B193" t="str">
        <f>_xlfn.XLOOKUP(Logs__3[[#This Row],[Cell_ID]],Registre_Maintenance[ID_Antenne],Registre_Maintenance[Province_RDC],"Pas de correspondance")</f>
        <v>Lualaba</v>
      </c>
      <c r="C193" s="2">
        <v>45207</v>
      </c>
      <c r="D193" s="3">
        <v>0.14930555555555555</v>
      </c>
      <c r="E193" s="1" t="s">
        <v>984</v>
      </c>
      <c r="F193">
        <v>101</v>
      </c>
      <c r="G193" s="1" t="s">
        <v>811</v>
      </c>
    </row>
    <row r="194" spans="1:7" x14ac:dyDescent="0.25">
      <c r="A194" s="1" t="s">
        <v>976</v>
      </c>
      <c r="B194" t="str">
        <f>_xlfn.XLOOKUP(Logs__3[[#This Row],[Cell_ID]],Registre_Maintenance[ID_Antenne],Registre_Maintenance[Province_RDC],"Pas de correspondance")</f>
        <v>Mai-Ndombe</v>
      </c>
      <c r="C194" s="2">
        <v>45224</v>
      </c>
      <c r="D194" s="3">
        <v>0.56805555555555554</v>
      </c>
      <c r="E194" s="1" t="s">
        <v>985</v>
      </c>
      <c r="F194">
        <v>27</v>
      </c>
      <c r="G194" s="1" t="s">
        <v>806</v>
      </c>
    </row>
    <row r="195" spans="1:7" x14ac:dyDescent="0.25">
      <c r="A195" s="1" t="s">
        <v>976</v>
      </c>
      <c r="B195" t="str">
        <f>_xlfn.XLOOKUP(Logs__3[[#This Row],[Cell_ID]],Registre_Maintenance[ID_Antenne],Registre_Maintenance[Province_RDC],"Pas de correspondance")</f>
        <v>Pas de correspondance</v>
      </c>
      <c r="C195" s="2">
        <v>45219</v>
      </c>
      <c r="D195" s="3">
        <v>0.80138888888888893</v>
      </c>
      <c r="E195" s="1" t="s">
        <v>986</v>
      </c>
      <c r="F195">
        <v>65</v>
      </c>
      <c r="G195" s="1" t="s">
        <v>809</v>
      </c>
    </row>
    <row r="196" spans="1:7" x14ac:dyDescent="0.25">
      <c r="A196" s="1" t="s">
        <v>976</v>
      </c>
      <c r="B196" t="str">
        <f>_xlfn.XLOOKUP(Logs__3[[#This Row],[Cell_ID]],Registre_Maintenance[ID_Antenne],Registre_Maintenance[Province_RDC],"Pas de correspondance")</f>
        <v>Pas de correspondance</v>
      </c>
      <c r="C196" s="2">
        <v>45224</v>
      </c>
      <c r="D196" s="3">
        <v>0.68333333333333335</v>
      </c>
      <c r="E196" s="1" t="s">
        <v>987</v>
      </c>
      <c r="F196">
        <v>71</v>
      </c>
      <c r="G196" s="1" t="s">
        <v>806</v>
      </c>
    </row>
    <row r="197" spans="1:7" x14ac:dyDescent="0.25">
      <c r="A197" s="1" t="s">
        <v>976</v>
      </c>
      <c r="B197" t="str">
        <f>_xlfn.XLOOKUP(Logs__3[[#This Row],[Cell_ID]],Registre_Maintenance[ID_Antenne],Registre_Maintenance[Province_RDC],"Pas de correspondance")</f>
        <v>Pas de correspondance</v>
      </c>
      <c r="C197" s="2">
        <v>45214</v>
      </c>
      <c r="D197" s="3">
        <v>0.59652777777777777</v>
      </c>
      <c r="E197" s="1" t="s">
        <v>988</v>
      </c>
      <c r="F197">
        <v>88</v>
      </c>
      <c r="G197" s="1" t="s">
        <v>811</v>
      </c>
    </row>
    <row r="198" spans="1:7" x14ac:dyDescent="0.25">
      <c r="A198" s="1" t="s">
        <v>976</v>
      </c>
      <c r="B198" t="str">
        <f>_xlfn.XLOOKUP(Logs__3[[#This Row],[Cell_ID]],Registre_Maintenance[ID_Antenne],Registre_Maintenance[Province_RDC],"Pas de correspondance")</f>
        <v>Pas de correspondance</v>
      </c>
      <c r="C198" s="2">
        <v>45227</v>
      </c>
      <c r="D198" s="3">
        <v>0.76875000000000004</v>
      </c>
      <c r="E198" s="1" t="s">
        <v>989</v>
      </c>
      <c r="F198">
        <v>61</v>
      </c>
      <c r="G198" s="1" t="s">
        <v>809</v>
      </c>
    </row>
    <row r="199" spans="1:7" x14ac:dyDescent="0.25">
      <c r="A199" s="1" t="s">
        <v>976</v>
      </c>
      <c r="B199" t="str">
        <f>_xlfn.XLOOKUP(Logs__3[[#This Row],[Cell_ID]],Registre_Maintenance[ID_Antenne],Registre_Maintenance[Province_RDC],"Pas de correspondance")</f>
        <v>Lualaba</v>
      </c>
      <c r="C199" s="2">
        <v>45209</v>
      </c>
      <c r="D199" s="3">
        <v>0.77708333333333335</v>
      </c>
      <c r="E199" s="1" t="s">
        <v>990</v>
      </c>
      <c r="F199">
        <v>40</v>
      </c>
      <c r="G199" s="1" t="s">
        <v>811</v>
      </c>
    </row>
    <row r="200" spans="1:7" x14ac:dyDescent="0.25">
      <c r="A200" s="1" t="s">
        <v>976</v>
      </c>
      <c r="B200" t="str">
        <f>_xlfn.XLOOKUP(Logs__3[[#This Row],[Cell_ID]],Registre_Maintenance[ID_Antenne],Registre_Maintenance[Province_RDC],"Pas de correspondance")</f>
        <v>Pas de correspondance</v>
      </c>
      <c r="C200" s="2">
        <v>45201</v>
      </c>
      <c r="D200" s="3">
        <v>0.82430555555555551</v>
      </c>
      <c r="E200" s="1" t="s">
        <v>991</v>
      </c>
      <c r="F200">
        <v>28</v>
      </c>
      <c r="G200" s="1" t="s">
        <v>809</v>
      </c>
    </row>
    <row r="201" spans="1:7" x14ac:dyDescent="0.25">
      <c r="A201" s="1" t="s">
        <v>976</v>
      </c>
      <c r="B201" t="str">
        <f>_xlfn.XLOOKUP(Logs__3[[#This Row],[Cell_ID]],Registre_Maintenance[ID_Antenne],Registre_Maintenance[Province_RDC],"Pas de correspondance")</f>
        <v>Pas de correspondance</v>
      </c>
      <c r="C201" s="2">
        <v>45203</v>
      </c>
      <c r="D201" s="3">
        <v>0.27777777777777779</v>
      </c>
      <c r="E201" s="1" t="s">
        <v>992</v>
      </c>
      <c r="F201">
        <v>79</v>
      </c>
      <c r="G201" s="1" t="s">
        <v>809</v>
      </c>
    </row>
    <row r="202" spans="1:7" x14ac:dyDescent="0.25">
      <c r="A202" s="1" t="s">
        <v>976</v>
      </c>
      <c r="B202" t="str">
        <f>_xlfn.XLOOKUP(Logs__3[[#This Row],[Cell_ID]],Registre_Maintenance[ID_Antenne],Registre_Maintenance[Province_RDC],"Pas de correspondance")</f>
        <v>Maniema</v>
      </c>
      <c r="C202" s="2">
        <v>45206</v>
      </c>
      <c r="D202" s="3">
        <v>0.36249999999999999</v>
      </c>
      <c r="E202" s="1" t="s">
        <v>993</v>
      </c>
      <c r="F202">
        <v>60</v>
      </c>
      <c r="G202" s="1" t="s">
        <v>811</v>
      </c>
    </row>
    <row r="203" spans="1:7" x14ac:dyDescent="0.25">
      <c r="A203" s="1" t="s">
        <v>976</v>
      </c>
      <c r="B203" t="str">
        <f>_xlfn.XLOOKUP(Logs__3[[#This Row],[Cell_ID]],Registre_Maintenance[ID_Antenne],Registre_Maintenance[Province_RDC],"Pas de correspondance")</f>
        <v>Haut-Lomami</v>
      </c>
      <c r="C203" s="2">
        <v>45202</v>
      </c>
      <c r="D203" s="3">
        <v>0.21875</v>
      </c>
      <c r="E203" s="1" t="s">
        <v>994</v>
      </c>
      <c r="F203">
        <v>86</v>
      </c>
      <c r="G203" s="1" t="s">
        <v>811</v>
      </c>
    </row>
    <row r="204" spans="1:7" x14ac:dyDescent="0.25">
      <c r="A204" s="1" t="s">
        <v>976</v>
      </c>
      <c r="B204" t="str">
        <f>_xlfn.XLOOKUP(Logs__3[[#This Row],[Cell_ID]],Registre_Maintenance[ID_Antenne],Registre_Maintenance[Province_RDC],"Pas de correspondance")</f>
        <v>Pas de correspondance</v>
      </c>
      <c r="C204" s="2">
        <v>45205</v>
      </c>
      <c r="D204" s="3">
        <v>0.71111111111111114</v>
      </c>
      <c r="E204" s="1" t="s">
        <v>995</v>
      </c>
      <c r="F204">
        <v>109</v>
      </c>
      <c r="G204" s="1" t="s">
        <v>811</v>
      </c>
    </row>
    <row r="205" spans="1:7" x14ac:dyDescent="0.25">
      <c r="A205" s="1" t="s">
        <v>976</v>
      </c>
      <c r="B205" t="str">
        <f>_xlfn.XLOOKUP(Logs__3[[#This Row],[Cell_ID]],Registre_Maintenance[ID_Antenne],Registre_Maintenance[Province_RDC],"Pas de correspondance")</f>
        <v>Bas-Uele</v>
      </c>
      <c r="C205" s="2">
        <v>45205</v>
      </c>
      <c r="D205" s="3">
        <v>1.8055555555555554E-2</v>
      </c>
      <c r="E205" s="1" t="s">
        <v>996</v>
      </c>
      <c r="F205">
        <v>67</v>
      </c>
      <c r="G205" s="1" t="s">
        <v>811</v>
      </c>
    </row>
    <row r="206" spans="1:7" x14ac:dyDescent="0.25">
      <c r="A206" s="1" t="s">
        <v>976</v>
      </c>
      <c r="B206" t="str">
        <f>_xlfn.XLOOKUP(Logs__3[[#This Row],[Cell_ID]],Registre_Maintenance[ID_Antenne],Registre_Maintenance[Province_RDC],"Pas de correspondance")</f>
        <v>Pas de correspondance</v>
      </c>
      <c r="C206" s="2">
        <v>45214</v>
      </c>
      <c r="D206" s="3">
        <v>0.94305555555555554</v>
      </c>
      <c r="E206" s="1" t="s">
        <v>997</v>
      </c>
      <c r="F206">
        <v>16</v>
      </c>
      <c r="G206" s="1" t="s">
        <v>806</v>
      </c>
    </row>
    <row r="207" spans="1:7" x14ac:dyDescent="0.25">
      <c r="A207" s="1" t="s">
        <v>976</v>
      </c>
      <c r="B207" t="str">
        <f>_xlfn.XLOOKUP(Logs__3[[#This Row],[Cell_ID]],Registre_Maintenance[ID_Antenne],Registre_Maintenance[Province_RDC],"Pas de correspondance")</f>
        <v>Pas de correspondance</v>
      </c>
      <c r="C207" s="2">
        <v>45215</v>
      </c>
      <c r="D207" s="3">
        <v>0.37638888888888888</v>
      </c>
      <c r="E207" s="1" t="s">
        <v>823</v>
      </c>
      <c r="F207">
        <v>65</v>
      </c>
      <c r="G207" s="1" t="s">
        <v>811</v>
      </c>
    </row>
    <row r="208" spans="1:7" x14ac:dyDescent="0.25">
      <c r="A208" s="1" t="s">
        <v>976</v>
      </c>
      <c r="B208" t="str">
        <f>_xlfn.XLOOKUP(Logs__3[[#This Row],[Cell_ID]],Registre_Maintenance[ID_Antenne],Registre_Maintenance[Province_RDC],"Pas de correspondance")</f>
        <v>Pas de correspondance</v>
      </c>
      <c r="C208" s="2">
        <v>45207</v>
      </c>
      <c r="D208" s="3">
        <v>0.40625</v>
      </c>
      <c r="E208" s="1" t="s">
        <v>874</v>
      </c>
      <c r="F208">
        <v>49</v>
      </c>
      <c r="G208" s="1" t="s">
        <v>809</v>
      </c>
    </row>
    <row r="209" spans="1:7" x14ac:dyDescent="0.25">
      <c r="A209" s="1" t="s">
        <v>976</v>
      </c>
      <c r="B209" t="str">
        <f>_xlfn.XLOOKUP(Logs__3[[#This Row],[Cell_ID]],Registre_Maintenance[ID_Antenne],Registre_Maintenance[Province_RDC],"Pas de correspondance")</f>
        <v>Pas de correspondance</v>
      </c>
      <c r="C209" s="2">
        <v>45209</v>
      </c>
      <c r="D209" s="3">
        <v>0.95486111111111116</v>
      </c>
      <c r="E209" s="1" t="s">
        <v>998</v>
      </c>
      <c r="F209">
        <v>57</v>
      </c>
      <c r="G209" s="1" t="s">
        <v>806</v>
      </c>
    </row>
    <row r="210" spans="1:7" x14ac:dyDescent="0.25">
      <c r="A210" s="1" t="s">
        <v>976</v>
      </c>
      <c r="B210" t="str">
        <f>_xlfn.XLOOKUP(Logs__3[[#This Row],[Cell_ID]],Registre_Maintenance[ID_Antenne],Registre_Maintenance[Province_RDC],"Pas de correspondance")</f>
        <v>Pas de correspondance</v>
      </c>
      <c r="C210" s="2">
        <v>45214</v>
      </c>
      <c r="D210" s="3">
        <v>0.11319444444444444</v>
      </c>
      <c r="E210" s="1" t="s">
        <v>862</v>
      </c>
      <c r="F210">
        <v>47</v>
      </c>
      <c r="G210" s="1" t="s">
        <v>811</v>
      </c>
    </row>
    <row r="211" spans="1:7" x14ac:dyDescent="0.25">
      <c r="A211" s="1" t="s">
        <v>976</v>
      </c>
      <c r="B211" t="str">
        <f>_xlfn.XLOOKUP(Logs__3[[#This Row],[Cell_ID]],Registre_Maintenance[ID_Antenne],Registre_Maintenance[Province_RDC],"Pas de correspondance")</f>
        <v>Tanganyika</v>
      </c>
      <c r="C211" s="2">
        <v>45207</v>
      </c>
      <c r="D211" s="3">
        <v>0.36805555555555558</v>
      </c>
      <c r="E211" s="1" t="s">
        <v>999</v>
      </c>
      <c r="F211">
        <v>46</v>
      </c>
      <c r="G211" s="1" t="s">
        <v>806</v>
      </c>
    </row>
    <row r="212" spans="1:7" x14ac:dyDescent="0.25">
      <c r="A212" s="1" t="s">
        <v>976</v>
      </c>
      <c r="B212" t="str">
        <f>_xlfn.XLOOKUP(Logs__3[[#This Row],[Cell_ID]],Registre_Maintenance[ID_Antenne],Registre_Maintenance[Province_RDC],"Pas de correspondance")</f>
        <v>Pas de correspondance</v>
      </c>
      <c r="C212" s="2">
        <v>45225</v>
      </c>
      <c r="D212" s="3">
        <v>0.85902777777777772</v>
      </c>
      <c r="E212" s="1" t="s">
        <v>1000</v>
      </c>
      <c r="F212">
        <v>90</v>
      </c>
      <c r="G212" s="1" t="s">
        <v>809</v>
      </c>
    </row>
    <row r="213" spans="1:7" x14ac:dyDescent="0.25">
      <c r="A213" s="1" t="s">
        <v>976</v>
      </c>
      <c r="B213" t="str">
        <f>_xlfn.XLOOKUP(Logs__3[[#This Row],[Cell_ID]],Registre_Maintenance[ID_Antenne],Registre_Maintenance[Province_RDC],"Pas de correspondance")</f>
        <v>Nord-Kivu</v>
      </c>
      <c r="C213" s="2">
        <v>45221</v>
      </c>
      <c r="D213" s="3">
        <v>0.26874999999999999</v>
      </c>
      <c r="E213" s="1" t="s">
        <v>1001</v>
      </c>
      <c r="F213">
        <v>18</v>
      </c>
      <c r="G213" s="1" t="s">
        <v>809</v>
      </c>
    </row>
    <row r="214" spans="1:7" x14ac:dyDescent="0.25">
      <c r="A214" s="1" t="s">
        <v>976</v>
      </c>
      <c r="B214" t="str">
        <f>_xlfn.XLOOKUP(Logs__3[[#This Row],[Cell_ID]],Registre_Maintenance[ID_Antenne],Registre_Maintenance[Province_RDC],"Pas de correspondance")</f>
        <v>Pas de correspondance</v>
      </c>
      <c r="C214" s="2">
        <v>45203</v>
      </c>
      <c r="D214" s="3">
        <v>0.71805555555555556</v>
      </c>
      <c r="E214" s="1" t="s">
        <v>1002</v>
      </c>
      <c r="F214">
        <v>114</v>
      </c>
      <c r="G214" s="1" t="s">
        <v>809</v>
      </c>
    </row>
    <row r="215" spans="1:7" x14ac:dyDescent="0.25">
      <c r="A215" s="1" t="s">
        <v>976</v>
      </c>
      <c r="B215" t="str">
        <f>_xlfn.XLOOKUP(Logs__3[[#This Row],[Cell_ID]],Registre_Maintenance[ID_Antenne],Registre_Maintenance[Province_RDC],"Pas de correspondance")</f>
        <v>Equateur</v>
      </c>
      <c r="C215" s="2">
        <v>45220</v>
      </c>
      <c r="D215" s="3">
        <v>0.20694444444444443</v>
      </c>
      <c r="E215" s="1" t="s">
        <v>1003</v>
      </c>
      <c r="F215">
        <v>25</v>
      </c>
      <c r="G215" s="1" t="s">
        <v>806</v>
      </c>
    </row>
    <row r="216" spans="1:7" x14ac:dyDescent="0.25">
      <c r="A216" s="1" t="s">
        <v>976</v>
      </c>
      <c r="B216" t="str">
        <f>_xlfn.XLOOKUP(Logs__3[[#This Row],[Cell_ID]],Registre_Maintenance[ID_Antenne],Registre_Maintenance[Province_RDC],"Pas de correspondance")</f>
        <v>Pas de correspondance</v>
      </c>
      <c r="C216" s="2">
        <v>45208</v>
      </c>
      <c r="D216" s="3">
        <v>0.16944444444444445</v>
      </c>
      <c r="E216" s="1" t="s">
        <v>1004</v>
      </c>
      <c r="F216">
        <v>47</v>
      </c>
      <c r="G216" s="1" t="s">
        <v>806</v>
      </c>
    </row>
    <row r="217" spans="1:7" x14ac:dyDescent="0.25">
      <c r="A217" s="1" t="s">
        <v>976</v>
      </c>
      <c r="B217" t="str">
        <f>_xlfn.XLOOKUP(Logs__3[[#This Row],[Cell_ID]],Registre_Maintenance[ID_Antenne],Registre_Maintenance[Province_RDC],"Pas de correspondance")</f>
        <v>Pas de correspondance</v>
      </c>
      <c r="C217" s="2">
        <v>45201</v>
      </c>
      <c r="D217" s="3">
        <v>0.24305555555555555</v>
      </c>
      <c r="E217" s="1" t="s">
        <v>1005</v>
      </c>
      <c r="F217">
        <v>57</v>
      </c>
      <c r="G217" s="1" t="s">
        <v>811</v>
      </c>
    </row>
    <row r="218" spans="1:7" x14ac:dyDescent="0.25">
      <c r="A218" s="1" t="s">
        <v>976</v>
      </c>
      <c r="B218" t="str">
        <f>_xlfn.XLOOKUP(Logs__3[[#This Row],[Cell_ID]],Registre_Maintenance[ID_Antenne],Registre_Maintenance[Province_RDC],"Pas de correspondance")</f>
        <v>Pas de correspondance</v>
      </c>
      <c r="C218" s="2">
        <v>45209</v>
      </c>
      <c r="D218" s="3">
        <v>0.82430555555555551</v>
      </c>
      <c r="E218" s="1" t="s">
        <v>937</v>
      </c>
      <c r="F218">
        <v>93</v>
      </c>
      <c r="G218" s="1" t="s">
        <v>811</v>
      </c>
    </row>
    <row r="219" spans="1:7" x14ac:dyDescent="0.25">
      <c r="A219" s="1" t="s">
        <v>976</v>
      </c>
      <c r="B219" t="str">
        <f>_xlfn.XLOOKUP(Logs__3[[#This Row],[Cell_ID]],Registre_Maintenance[ID_Antenne],Registre_Maintenance[Province_RDC],"Pas de correspondance")</f>
        <v>Equateur</v>
      </c>
      <c r="C219" s="2">
        <v>45226</v>
      </c>
      <c r="D219" s="3">
        <v>0.79027777777777775</v>
      </c>
      <c r="E219" s="1" t="s">
        <v>1006</v>
      </c>
      <c r="F219">
        <v>68</v>
      </c>
      <c r="G219" s="1" t="s">
        <v>811</v>
      </c>
    </row>
    <row r="220" spans="1:7" x14ac:dyDescent="0.25">
      <c r="A220" s="1" t="s">
        <v>976</v>
      </c>
      <c r="B220" t="str">
        <f>_xlfn.XLOOKUP(Logs__3[[#This Row],[Cell_ID]],Registre_Maintenance[ID_Antenne],Registre_Maintenance[Province_RDC],"Pas de correspondance")</f>
        <v>Pas de correspondance</v>
      </c>
      <c r="C220" s="2">
        <v>45209</v>
      </c>
      <c r="D220" s="3">
        <v>0.58819444444444446</v>
      </c>
      <c r="E220" s="1" t="s">
        <v>927</v>
      </c>
      <c r="F220">
        <v>41</v>
      </c>
      <c r="G220" s="1" t="s">
        <v>809</v>
      </c>
    </row>
    <row r="221" spans="1:7" x14ac:dyDescent="0.25">
      <c r="A221" s="1" t="s">
        <v>976</v>
      </c>
      <c r="B221" t="str">
        <f>_xlfn.XLOOKUP(Logs__3[[#This Row],[Cell_ID]],Registre_Maintenance[ID_Antenne],Registre_Maintenance[Province_RDC],"Pas de correspondance")</f>
        <v>Pas de correspondance</v>
      </c>
      <c r="C221" s="2">
        <v>45214</v>
      </c>
      <c r="D221" s="3">
        <v>0.92986111111111114</v>
      </c>
      <c r="E221" s="1" t="s">
        <v>1007</v>
      </c>
      <c r="F221">
        <v>89</v>
      </c>
      <c r="G221" s="1" t="s">
        <v>811</v>
      </c>
    </row>
    <row r="222" spans="1:7" x14ac:dyDescent="0.25">
      <c r="A222" s="1" t="s">
        <v>976</v>
      </c>
      <c r="B222" t="str">
        <f>_xlfn.XLOOKUP(Logs__3[[#This Row],[Cell_ID]],Registre_Maintenance[ID_Antenne],Registre_Maintenance[Province_RDC],"Pas de correspondance")</f>
        <v>Pas de correspondance</v>
      </c>
      <c r="C222" s="2">
        <v>45222</v>
      </c>
      <c r="D222" s="3">
        <v>0.51180555555555551</v>
      </c>
      <c r="E222" s="1" t="s">
        <v>1008</v>
      </c>
      <c r="F222">
        <v>56</v>
      </c>
      <c r="G222" s="1" t="s">
        <v>806</v>
      </c>
    </row>
    <row r="223" spans="1:7" x14ac:dyDescent="0.25">
      <c r="A223" s="1" t="s">
        <v>976</v>
      </c>
      <c r="B223" t="str">
        <f>_xlfn.XLOOKUP(Logs__3[[#This Row],[Cell_ID]],Registre_Maintenance[ID_Antenne],Registre_Maintenance[Province_RDC],"Pas de correspondance")</f>
        <v>Kasaï-Oriental</v>
      </c>
      <c r="C223" s="2">
        <v>45216</v>
      </c>
      <c r="D223" s="3">
        <v>0.72986111111111107</v>
      </c>
      <c r="E223" s="1" t="s">
        <v>1009</v>
      </c>
      <c r="F223">
        <v>109</v>
      </c>
      <c r="G223" s="1" t="s">
        <v>811</v>
      </c>
    </row>
    <row r="224" spans="1:7" x14ac:dyDescent="0.25">
      <c r="A224" s="1" t="s">
        <v>976</v>
      </c>
      <c r="B224" t="str">
        <f>_xlfn.XLOOKUP(Logs__3[[#This Row],[Cell_ID]],Registre_Maintenance[ID_Antenne],Registre_Maintenance[Province_RDC],"Pas de correspondance")</f>
        <v>Pas de correspondance</v>
      </c>
      <c r="C224" s="2">
        <v>45214</v>
      </c>
      <c r="D224" s="3">
        <v>0.10972222222222222</v>
      </c>
      <c r="E224" s="1" t="s">
        <v>1010</v>
      </c>
      <c r="F224">
        <v>102</v>
      </c>
      <c r="G224" s="1" t="s">
        <v>809</v>
      </c>
    </row>
    <row r="225" spans="1:7" x14ac:dyDescent="0.25">
      <c r="A225" s="1" t="s">
        <v>976</v>
      </c>
      <c r="B225" t="str">
        <f>_xlfn.XLOOKUP(Logs__3[[#This Row],[Cell_ID]],Registre_Maintenance[ID_Antenne],Registre_Maintenance[Province_RDC],"Pas de correspondance")</f>
        <v>Haut-Katanga</v>
      </c>
      <c r="C225" s="2">
        <v>45201</v>
      </c>
      <c r="D225" s="3">
        <v>0.57430555555555551</v>
      </c>
      <c r="E225" s="1" t="s">
        <v>827</v>
      </c>
      <c r="F225">
        <v>75</v>
      </c>
      <c r="G225" s="1" t="s">
        <v>811</v>
      </c>
    </row>
    <row r="226" spans="1:7" x14ac:dyDescent="0.25">
      <c r="A226" s="1" t="s">
        <v>976</v>
      </c>
      <c r="B226" t="str">
        <f>_xlfn.XLOOKUP(Logs__3[[#This Row],[Cell_ID]],Registre_Maintenance[ID_Antenne],Registre_Maintenance[Province_RDC],"Pas de correspondance")</f>
        <v>Pas de correspondance</v>
      </c>
      <c r="C226" s="2">
        <v>45210</v>
      </c>
      <c r="D226" s="3">
        <v>0.80277777777777781</v>
      </c>
      <c r="E226" s="1" t="s">
        <v>1011</v>
      </c>
      <c r="F226">
        <v>9</v>
      </c>
      <c r="G226" s="1" t="s">
        <v>809</v>
      </c>
    </row>
    <row r="227" spans="1:7" x14ac:dyDescent="0.25">
      <c r="A227" s="1" t="s">
        <v>976</v>
      </c>
      <c r="B227" t="str">
        <f>_xlfn.XLOOKUP(Logs__3[[#This Row],[Cell_ID]],Registre_Maintenance[ID_Antenne],Registre_Maintenance[Province_RDC],"Pas de correspondance")</f>
        <v>Pas de correspondance</v>
      </c>
      <c r="C227" s="2">
        <v>45200</v>
      </c>
      <c r="D227" s="3">
        <v>9.3055555555555558E-2</v>
      </c>
      <c r="E227" s="1" t="s">
        <v>848</v>
      </c>
      <c r="F227">
        <v>63</v>
      </c>
      <c r="G227" s="1" t="s">
        <v>809</v>
      </c>
    </row>
    <row r="228" spans="1:7" x14ac:dyDescent="0.25">
      <c r="A228" s="1" t="s">
        <v>976</v>
      </c>
      <c r="B228" t="str">
        <f>_xlfn.XLOOKUP(Logs__3[[#This Row],[Cell_ID]],Registre_Maintenance[ID_Antenne],Registre_Maintenance[Province_RDC],"Pas de correspondance")</f>
        <v>Pas de correspondance</v>
      </c>
      <c r="C228" s="2">
        <v>45230</v>
      </c>
      <c r="D228" s="3">
        <v>0.91180555555555554</v>
      </c>
      <c r="E228" s="1" t="s">
        <v>1012</v>
      </c>
      <c r="F228">
        <v>16</v>
      </c>
      <c r="G228" s="1" t="s">
        <v>809</v>
      </c>
    </row>
    <row r="229" spans="1:7" x14ac:dyDescent="0.25">
      <c r="A229" s="1" t="s">
        <v>976</v>
      </c>
      <c r="B229" t="str">
        <f>_xlfn.XLOOKUP(Logs__3[[#This Row],[Cell_ID]],Registre_Maintenance[ID_Antenne],Registre_Maintenance[Province_RDC],"Pas de correspondance")</f>
        <v>Pas de correspondance</v>
      </c>
      <c r="C229" s="2">
        <v>45227</v>
      </c>
      <c r="D229" s="3">
        <v>0.77569444444444446</v>
      </c>
      <c r="E229" s="1" t="s">
        <v>915</v>
      </c>
      <c r="F229">
        <v>45</v>
      </c>
      <c r="G229" s="1" t="s">
        <v>811</v>
      </c>
    </row>
    <row r="230" spans="1:7" x14ac:dyDescent="0.25">
      <c r="A230" s="1" t="s">
        <v>1013</v>
      </c>
      <c r="B230" t="str">
        <f>_xlfn.XLOOKUP(Logs__3[[#This Row],[Cell_ID]],Registre_Maintenance[ID_Antenne],Registre_Maintenance[Province_RDC],"Pas de correspondance")</f>
        <v>Pas de correspondance</v>
      </c>
      <c r="C230" s="2">
        <v>45212</v>
      </c>
      <c r="D230" s="3">
        <v>0.62430555555555556</v>
      </c>
      <c r="E230" s="1" t="s">
        <v>1014</v>
      </c>
      <c r="F230">
        <v>113</v>
      </c>
      <c r="G230" s="1" t="s">
        <v>811</v>
      </c>
    </row>
    <row r="231" spans="1:7" x14ac:dyDescent="0.25">
      <c r="A231" s="1" t="s">
        <v>1013</v>
      </c>
      <c r="B231" t="str">
        <f>_xlfn.XLOOKUP(Logs__3[[#This Row],[Cell_ID]],Registre_Maintenance[ID_Antenne],Registre_Maintenance[Province_RDC],"Pas de correspondance")</f>
        <v>Sud-Ubangi</v>
      </c>
      <c r="C231" s="2">
        <v>45210</v>
      </c>
      <c r="D231" s="3">
        <v>0.28055555555555556</v>
      </c>
      <c r="E231" s="1" t="s">
        <v>1015</v>
      </c>
      <c r="F231">
        <v>43</v>
      </c>
      <c r="G231" s="1" t="s">
        <v>809</v>
      </c>
    </row>
    <row r="232" spans="1:7" x14ac:dyDescent="0.25">
      <c r="A232" s="1" t="s">
        <v>1013</v>
      </c>
      <c r="B232" t="str">
        <f>_xlfn.XLOOKUP(Logs__3[[#This Row],[Cell_ID]],Registre_Maintenance[ID_Antenne],Registre_Maintenance[Province_RDC],"Pas de correspondance")</f>
        <v>Pas de correspondance</v>
      </c>
      <c r="C232" s="2">
        <v>45207</v>
      </c>
      <c r="D232" s="3">
        <v>0.54305555555555551</v>
      </c>
      <c r="E232" s="1" t="s">
        <v>1016</v>
      </c>
      <c r="F232">
        <v>54</v>
      </c>
      <c r="G232" s="1" t="s">
        <v>806</v>
      </c>
    </row>
    <row r="233" spans="1:7" x14ac:dyDescent="0.25">
      <c r="A233" s="1" t="s">
        <v>1013</v>
      </c>
      <c r="B233" t="str">
        <f>_xlfn.XLOOKUP(Logs__3[[#This Row],[Cell_ID]],Registre_Maintenance[ID_Antenne],Registre_Maintenance[Province_RDC],"Pas de correspondance")</f>
        <v>Pas de correspondance</v>
      </c>
      <c r="C233" s="2">
        <v>45210</v>
      </c>
      <c r="D233" s="3">
        <v>0.97916666666666663</v>
      </c>
      <c r="E233" s="1" t="s">
        <v>1017</v>
      </c>
      <c r="F233">
        <v>114</v>
      </c>
      <c r="G233" s="1" t="s">
        <v>811</v>
      </c>
    </row>
    <row r="234" spans="1:7" x14ac:dyDescent="0.25">
      <c r="A234" s="1" t="s">
        <v>1013</v>
      </c>
      <c r="B234" t="str">
        <f>_xlfn.XLOOKUP(Logs__3[[#This Row],[Cell_ID]],Registre_Maintenance[ID_Antenne],Registre_Maintenance[Province_RDC],"Pas de correspondance")</f>
        <v>Pas de correspondance</v>
      </c>
      <c r="C234" s="2">
        <v>45222</v>
      </c>
      <c r="D234" s="3">
        <v>0.51666666666666672</v>
      </c>
      <c r="E234" s="1" t="s">
        <v>1018</v>
      </c>
      <c r="F234">
        <v>66</v>
      </c>
      <c r="G234" s="1" t="s">
        <v>806</v>
      </c>
    </row>
    <row r="235" spans="1:7" x14ac:dyDescent="0.25">
      <c r="A235" s="1" t="s">
        <v>1013</v>
      </c>
      <c r="B235" t="str">
        <f>_xlfn.XLOOKUP(Logs__3[[#This Row],[Cell_ID]],Registre_Maintenance[ID_Antenne],Registre_Maintenance[Province_RDC],"Pas de correspondance")</f>
        <v>Pas de correspondance</v>
      </c>
      <c r="C235" s="2">
        <v>45221</v>
      </c>
      <c r="D235" s="3">
        <v>0.83958333333333335</v>
      </c>
      <c r="E235" s="1" t="s">
        <v>1019</v>
      </c>
      <c r="F235">
        <v>18</v>
      </c>
      <c r="G235" s="1" t="s">
        <v>806</v>
      </c>
    </row>
    <row r="236" spans="1:7" x14ac:dyDescent="0.25">
      <c r="A236" s="1" t="s">
        <v>1013</v>
      </c>
      <c r="B236" t="str">
        <f>_xlfn.XLOOKUP(Logs__3[[#This Row],[Cell_ID]],Registre_Maintenance[ID_Antenne],Registre_Maintenance[Province_RDC],"Pas de correspondance")</f>
        <v>Pas de correspondance</v>
      </c>
      <c r="C236" s="2">
        <v>45215</v>
      </c>
      <c r="D236" s="3">
        <v>4.7222222222222221E-2</v>
      </c>
      <c r="E236" s="1" t="s">
        <v>1020</v>
      </c>
      <c r="F236">
        <v>35</v>
      </c>
      <c r="G236" s="1" t="s">
        <v>806</v>
      </c>
    </row>
    <row r="237" spans="1:7" x14ac:dyDescent="0.25">
      <c r="A237" s="1" t="s">
        <v>1013</v>
      </c>
      <c r="B237" t="str">
        <f>_xlfn.XLOOKUP(Logs__3[[#This Row],[Cell_ID]],Registre_Maintenance[ID_Antenne],Registre_Maintenance[Province_RDC],"Pas de correspondance")</f>
        <v>Sud-Ubangi</v>
      </c>
      <c r="C237" s="2">
        <v>45216</v>
      </c>
      <c r="D237" s="3">
        <v>0.76458333333333328</v>
      </c>
      <c r="E237" s="1" t="s">
        <v>884</v>
      </c>
      <c r="F237">
        <v>53</v>
      </c>
      <c r="G237" s="1" t="s">
        <v>809</v>
      </c>
    </row>
    <row r="238" spans="1:7" x14ac:dyDescent="0.25">
      <c r="A238" s="1" t="s">
        <v>1013</v>
      </c>
      <c r="B238" t="str">
        <f>_xlfn.XLOOKUP(Logs__3[[#This Row],[Cell_ID]],Registre_Maintenance[ID_Antenne],Registre_Maintenance[Province_RDC],"Pas de correspondance")</f>
        <v>Pas de correspondance</v>
      </c>
      <c r="C238" s="2">
        <v>45227</v>
      </c>
      <c r="D238" s="3">
        <v>0.16319444444444445</v>
      </c>
      <c r="E238" s="1" t="s">
        <v>1021</v>
      </c>
      <c r="F238">
        <v>78</v>
      </c>
      <c r="G238" s="1" t="s">
        <v>809</v>
      </c>
    </row>
    <row r="239" spans="1:7" x14ac:dyDescent="0.25">
      <c r="A239" s="1" t="s">
        <v>1013</v>
      </c>
      <c r="B239" t="str">
        <f>_xlfn.XLOOKUP(Logs__3[[#This Row],[Cell_ID]],Registre_Maintenance[ID_Antenne],Registre_Maintenance[Province_RDC],"Pas de correspondance")</f>
        <v>Nord-Ubangi</v>
      </c>
      <c r="C239" s="2">
        <v>45227</v>
      </c>
      <c r="D239" s="3">
        <v>0.58750000000000002</v>
      </c>
      <c r="E239" s="1" t="s">
        <v>953</v>
      </c>
      <c r="F239">
        <v>50</v>
      </c>
      <c r="G239" s="1" t="s">
        <v>809</v>
      </c>
    </row>
    <row r="240" spans="1:7" x14ac:dyDescent="0.25">
      <c r="A240" s="1" t="s">
        <v>1013</v>
      </c>
      <c r="B240" t="str">
        <f>_xlfn.XLOOKUP(Logs__3[[#This Row],[Cell_ID]],Registre_Maintenance[ID_Antenne],Registre_Maintenance[Province_RDC],"Pas de correspondance")</f>
        <v>Haut-Katanga</v>
      </c>
      <c r="C240" s="2">
        <v>45216</v>
      </c>
      <c r="D240" s="3">
        <v>0.58333333333333337</v>
      </c>
      <c r="E240" s="1" t="s">
        <v>1022</v>
      </c>
      <c r="F240">
        <v>78</v>
      </c>
      <c r="G240" s="1" t="s">
        <v>811</v>
      </c>
    </row>
    <row r="241" spans="1:7" x14ac:dyDescent="0.25">
      <c r="A241" s="1" t="s">
        <v>1013</v>
      </c>
      <c r="B241" t="str">
        <f>_xlfn.XLOOKUP(Logs__3[[#This Row],[Cell_ID]],Registre_Maintenance[ID_Antenne],Registre_Maintenance[Province_RDC],"Pas de correspondance")</f>
        <v>Pas de correspondance</v>
      </c>
      <c r="C241" s="2">
        <v>45223</v>
      </c>
      <c r="D241" s="3">
        <v>0.18472222222222223</v>
      </c>
      <c r="E241" s="1" t="s">
        <v>1023</v>
      </c>
      <c r="F241">
        <v>42</v>
      </c>
      <c r="G241" s="1" t="s">
        <v>809</v>
      </c>
    </row>
    <row r="242" spans="1:7" x14ac:dyDescent="0.25">
      <c r="A242" s="1" t="s">
        <v>1013</v>
      </c>
      <c r="B242" t="str">
        <f>_xlfn.XLOOKUP(Logs__3[[#This Row],[Cell_ID]],Registre_Maintenance[ID_Antenne],Registre_Maintenance[Province_RDC],"Pas de correspondance")</f>
        <v>Pas de correspondance</v>
      </c>
      <c r="C242" s="2">
        <v>45227</v>
      </c>
      <c r="D242" s="3">
        <v>0.83958333333333335</v>
      </c>
      <c r="E242" s="1" t="s">
        <v>1024</v>
      </c>
      <c r="F242">
        <v>94</v>
      </c>
      <c r="G242" s="1" t="s">
        <v>811</v>
      </c>
    </row>
    <row r="243" spans="1:7" x14ac:dyDescent="0.25">
      <c r="A243" s="1" t="s">
        <v>1013</v>
      </c>
      <c r="B243" t="str">
        <f>_xlfn.XLOOKUP(Logs__3[[#This Row],[Cell_ID]],Registre_Maintenance[ID_Antenne],Registre_Maintenance[Province_RDC],"Pas de correspondance")</f>
        <v>Pas de correspondance</v>
      </c>
      <c r="C243" s="2">
        <v>45202</v>
      </c>
      <c r="D243" s="3">
        <v>0.65972222222222221</v>
      </c>
      <c r="E243" s="1" t="s">
        <v>1025</v>
      </c>
      <c r="F243">
        <v>42</v>
      </c>
      <c r="G243" s="1" t="s">
        <v>806</v>
      </c>
    </row>
    <row r="244" spans="1:7" x14ac:dyDescent="0.25">
      <c r="A244" s="1" t="s">
        <v>1013</v>
      </c>
      <c r="B244" t="str">
        <f>_xlfn.XLOOKUP(Logs__3[[#This Row],[Cell_ID]],Registre_Maintenance[ID_Antenne],Registre_Maintenance[Province_RDC],"Pas de correspondance")</f>
        <v>Haut-Lomami</v>
      </c>
      <c r="C244" s="2">
        <v>45208</v>
      </c>
      <c r="D244" s="3">
        <v>0.44374999999999998</v>
      </c>
      <c r="E244" s="1" t="s">
        <v>1026</v>
      </c>
      <c r="F244">
        <v>7</v>
      </c>
      <c r="G244" s="1" t="s">
        <v>811</v>
      </c>
    </row>
    <row r="245" spans="1:7" x14ac:dyDescent="0.25">
      <c r="A245" s="1" t="s">
        <v>1013</v>
      </c>
      <c r="B245" t="str">
        <f>_xlfn.XLOOKUP(Logs__3[[#This Row],[Cell_ID]],Registre_Maintenance[ID_Antenne],Registre_Maintenance[Province_RDC],"Pas de correspondance")</f>
        <v>Pas de correspondance</v>
      </c>
      <c r="C245" s="2">
        <v>45222</v>
      </c>
      <c r="D245" s="3">
        <v>0.52847222222222223</v>
      </c>
      <c r="E245" s="1" t="s">
        <v>1027</v>
      </c>
      <c r="F245">
        <v>111</v>
      </c>
      <c r="G245" s="1" t="s">
        <v>806</v>
      </c>
    </row>
    <row r="246" spans="1:7" x14ac:dyDescent="0.25">
      <c r="A246" s="1" t="s">
        <v>1013</v>
      </c>
      <c r="B246" t="str">
        <f>_xlfn.XLOOKUP(Logs__3[[#This Row],[Cell_ID]],Registre_Maintenance[ID_Antenne],Registre_Maintenance[Province_RDC],"Pas de correspondance")</f>
        <v>Pas de correspondance</v>
      </c>
      <c r="C246" s="2">
        <v>45202</v>
      </c>
      <c r="D246" s="3">
        <v>0.45416666666666666</v>
      </c>
      <c r="E246" s="1" t="s">
        <v>1028</v>
      </c>
      <c r="F246">
        <v>89</v>
      </c>
      <c r="G246" s="1" t="s">
        <v>811</v>
      </c>
    </row>
    <row r="247" spans="1:7" x14ac:dyDescent="0.25">
      <c r="A247" s="1" t="s">
        <v>1013</v>
      </c>
      <c r="B247" t="str">
        <f>_xlfn.XLOOKUP(Logs__3[[#This Row],[Cell_ID]],Registre_Maintenance[ID_Antenne],Registre_Maintenance[Province_RDC],"Pas de correspondance")</f>
        <v>Kasaï-Oriental</v>
      </c>
      <c r="C247" s="2">
        <v>45221</v>
      </c>
      <c r="D247" s="3">
        <v>0.72499999999999998</v>
      </c>
      <c r="E247" s="1" t="s">
        <v>1029</v>
      </c>
      <c r="F247">
        <v>55</v>
      </c>
      <c r="G247" s="1" t="s">
        <v>809</v>
      </c>
    </row>
    <row r="248" spans="1:7" x14ac:dyDescent="0.25">
      <c r="A248" s="1" t="s">
        <v>1013</v>
      </c>
      <c r="B248" t="str">
        <f>_xlfn.XLOOKUP(Logs__3[[#This Row],[Cell_ID]],Registre_Maintenance[ID_Antenne],Registre_Maintenance[Province_RDC],"Pas de correspondance")</f>
        <v>Pas de correspondance</v>
      </c>
      <c r="C248" s="2">
        <v>45230</v>
      </c>
      <c r="D248" s="3">
        <v>0.44444444444444442</v>
      </c>
      <c r="E248" s="1" t="s">
        <v>1002</v>
      </c>
      <c r="F248">
        <v>40</v>
      </c>
      <c r="G248" s="1" t="s">
        <v>806</v>
      </c>
    </row>
    <row r="249" spans="1:7" x14ac:dyDescent="0.25">
      <c r="A249" s="1" t="s">
        <v>1013</v>
      </c>
      <c r="B249" t="str">
        <f>_xlfn.XLOOKUP(Logs__3[[#This Row],[Cell_ID]],Registre_Maintenance[ID_Antenne],Registre_Maintenance[Province_RDC],"Pas de correspondance")</f>
        <v>Kongo-Central</v>
      </c>
      <c r="C249" s="2">
        <v>45222</v>
      </c>
      <c r="D249" s="3">
        <v>0.66319444444444442</v>
      </c>
      <c r="E249" s="1" t="s">
        <v>1030</v>
      </c>
      <c r="F249">
        <v>6</v>
      </c>
      <c r="G249" s="1" t="s">
        <v>811</v>
      </c>
    </row>
    <row r="250" spans="1:7" x14ac:dyDescent="0.25">
      <c r="A250" s="1" t="s">
        <v>1013</v>
      </c>
      <c r="B250" t="str">
        <f>_xlfn.XLOOKUP(Logs__3[[#This Row],[Cell_ID]],Registre_Maintenance[ID_Antenne],Registre_Maintenance[Province_RDC],"Pas de correspondance")</f>
        <v>Pas de correspondance</v>
      </c>
      <c r="C250" s="2">
        <v>45217</v>
      </c>
      <c r="D250" s="3">
        <v>6.8750000000000006E-2</v>
      </c>
      <c r="E250" s="1" t="s">
        <v>1031</v>
      </c>
      <c r="F250">
        <v>77</v>
      </c>
      <c r="G250" s="1" t="s">
        <v>811</v>
      </c>
    </row>
    <row r="251" spans="1:7" x14ac:dyDescent="0.25">
      <c r="A251" s="1" t="s">
        <v>1013</v>
      </c>
      <c r="B251" t="str">
        <f>_xlfn.XLOOKUP(Logs__3[[#This Row],[Cell_ID]],Registre_Maintenance[ID_Antenne],Registre_Maintenance[Province_RDC],"Pas de correspondance")</f>
        <v>Pas de correspondance</v>
      </c>
      <c r="C251" s="2">
        <v>45202</v>
      </c>
      <c r="D251" s="3">
        <v>0.31944444444444442</v>
      </c>
      <c r="E251" s="1" t="s">
        <v>1032</v>
      </c>
      <c r="F251">
        <v>115</v>
      </c>
      <c r="G251" s="1" t="s">
        <v>809</v>
      </c>
    </row>
    <row r="252" spans="1:7" x14ac:dyDescent="0.25">
      <c r="A252" s="1" t="s">
        <v>1013</v>
      </c>
      <c r="B252" t="str">
        <f>_xlfn.XLOOKUP(Logs__3[[#This Row],[Cell_ID]],Registre_Maintenance[ID_Antenne],Registre_Maintenance[Province_RDC],"Pas de correspondance")</f>
        <v>Pas de correspondance</v>
      </c>
      <c r="C252" s="2">
        <v>45221</v>
      </c>
      <c r="D252" s="3">
        <v>0.38472222222222224</v>
      </c>
      <c r="E252" s="1" t="s">
        <v>1033</v>
      </c>
      <c r="F252">
        <v>92</v>
      </c>
      <c r="G252" s="1" t="s">
        <v>809</v>
      </c>
    </row>
    <row r="253" spans="1:7" x14ac:dyDescent="0.25">
      <c r="A253" s="1" t="s">
        <v>1013</v>
      </c>
      <c r="B253" t="str">
        <f>_xlfn.XLOOKUP(Logs__3[[#This Row],[Cell_ID]],Registre_Maintenance[ID_Antenne],Registre_Maintenance[Province_RDC],"Pas de correspondance")</f>
        <v>Pas de correspondance</v>
      </c>
      <c r="C253" s="2">
        <v>45223</v>
      </c>
      <c r="D253" s="3">
        <v>0.10208333333333333</v>
      </c>
      <c r="E253" s="1" t="s">
        <v>1034</v>
      </c>
      <c r="F253">
        <v>104</v>
      </c>
      <c r="G253" s="1" t="s">
        <v>809</v>
      </c>
    </row>
    <row r="254" spans="1:7" x14ac:dyDescent="0.25">
      <c r="A254" s="1" t="s">
        <v>1013</v>
      </c>
      <c r="B254" t="str">
        <f>_xlfn.XLOOKUP(Logs__3[[#This Row],[Cell_ID]],Registre_Maintenance[ID_Antenne],Registre_Maintenance[Province_RDC],"Pas de correspondance")</f>
        <v>Pas de correspondance</v>
      </c>
      <c r="C254" s="2">
        <v>45203</v>
      </c>
      <c r="D254" s="3">
        <v>0.86458333333333337</v>
      </c>
      <c r="E254" s="1" t="s">
        <v>1035</v>
      </c>
      <c r="F254">
        <v>100</v>
      </c>
      <c r="G254" s="1" t="s">
        <v>811</v>
      </c>
    </row>
    <row r="255" spans="1:7" x14ac:dyDescent="0.25">
      <c r="A255" s="1" t="s">
        <v>1013</v>
      </c>
      <c r="B255" t="str">
        <f>_xlfn.XLOOKUP(Logs__3[[#This Row],[Cell_ID]],Registre_Maintenance[ID_Antenne],Registre_Maintenance[Province_RDC],"Pas de correspondance")</f>
        <v>Tshopo</v>
      </c>
      <c r="C255" s="2">
        <v>45227</v>
      </c>
      <c r="D255" s="3">
        <v>0.14444444444444443</v>
      </c>
      <c r="E255" s="1" t="s">
        <v>1036</v>
      </c>
      <c r="F255">
        <v>11</v>
      </c>
      <c r="G255" s="1" t="s">
        <v>809</v>
      </c>
    </row>
    <row r="256" spans="1:7" x14ac:dyDescent="0.25">
      <c r="A256" s="1" t="s">
        <v>1013</v>
      </c>
      <c r="B256" t="str">
        <f>_xlfn.XLOOKUP(Logs__3[[#This Row],[Cell_ID]],Registre_Maintenance[ID_Antenne],Registre_Maintenance[Province_RDC],"Pas de correspondance")</f>
        <v>Lualaba</v>
      </c>
      <c r="C256" s="2">
        <v>45205</v>
      </c>
      <c r="D256" s="3">
        <v>0.92986111111111114</v>
      </c>
      <c r="E256" s="1" t="s">
        <v>1037</v>
      </c>
      <c r="F256">
        <v>82</v>
      </c>
      <c r="G256" s="1" t="s">
        <v>811</v>
      </c>
    </row>
    <row r="257" spans="1:7" x14ac:dyDescent="0.25">
      <c r="A257" s="1" t="s">
        <v>1013</v>
      </c>
      <c r="B257" t="str">
        <f>_xlfn.XLOOKUP(Logs__3[[#This Row],[Cell_ID]],Registre_Maintenance[ID_Antenne],Registre_Maintenance[Province_RDC],"Pas de correspondance")</f>
        <v>Sud-Kivu</v>
      </c>
      <c r="C257" s="2">
        <v>45228</v>
      </c>
      <c r="D257" s="3">
        <v>1.3888888888888889E-3</v>
      </c>
      <c r="E257" s="1" t="s">
        <v>1038</v>
      </c>
      <c r="F257">
        <v>100</v>
      </c>
      <c r="G257" s="1" t="s">
        <v>809</v>
      </c>
    </row>
    <row r="258" spans="1:7" x14ac:dyDescent="0.25">
      <c r="A258" s="1" t="s">
        <v>1013</v>
      </c>
      <c r="B258" t="str">
        <f>_xlfn.XLOOKUP(Logs__3[[#This Row],[Cell_ID]],Registre_Maintenance[ID_Antenne],Registre_Maintenance[Province_RDC],"Pas de correspondance")</f>
        <v>Pas de correspondance</v>
      </c>
      <c r="C258" s="2">
        <v>45210</v>
      </c>
      <c r="D258" s="3">
        <v>5.4166666666666669E-2</v>
      </c>
      <c r="E258" s="1" t="s">
        <v>1039</v>
      </c>
      <c r="F258">
        <v>68</v>
      </c>
      <c r="G258" s="1" t="s">
        <v>811</v>
      </c>
    </row>
    <row r="259" spans="1:7" x14ac:dyDescent="0.25">
      <c r="A259" s="1" t="s">
        <v>1013</v>
      </c>
      <c r="B259" t="str">
        <f>_xlfn.XLOOKUP(Logs__3[[#This Row],[Cell_ID]],Registre_Maintenance[ID_Antenne],Registre_Maintenance[Province_RDC],"Pas de correspondance")</f>
        <v>Nord-Kivu</v>
      </c>
      <c r="C259" s="2">
        <v>45211</v>
      </c>
      <c r="D259" s="3">
        <v>0.47708333333333336</v>
      </c>
      <c r="E259" s="1" t="s">
        <v>832</v>
      </c>
      <c r="F259">
        <v>111</v>
      </c>
      <c r="G259" s="1" t="s">
        <v>806</v>
      </c>
    </row>
    <row r="260" spans="1:7" x14ac:dyDescent="0.25">
      <c r="A260" s="1" t="s">
        <v>1013</v>
      </c>
      <c r="B260" t="str">
        <f>_xlfn.XLOOKUP(Logs__3[[#This Row],[Cell_ID]],Registre_Maintenance[ID_Antenne],Registre_Maintenance[Province_RDC],"Pas de correspondance")</f>
        <v>Pas de correspondance</v>
      </c>
      <c r="C260" s="2">
        <v>45204</v>
      </c>
      <c r="D260" s="3">
        <v>0.31458333333333333</v>
      </c>
      <c r="E260" s="1" t="s">
        <v>1040</v>
      </c>
      <c r="F260">
        <v>120</v>
      </c>
      <c r="G260" s="1" t="s">
        <v>809</v>
      </c>
    </row>
    <row r="261" spans="1:7" x14ac:dyDescent="0.25">
      <c r="A261" s="1" t="s">
        <v>1013</v>
      </c>
      <c r="B261" t="str">
        <f>_xlfn.XLOOKUP(Logs__3[[#This Row],[Cell_ID]],Registre_Maintenance[ID_Antenne],Registre_Maintenance[Province_RDC],"Pas de correspondance")</f>
        <v>Pas de correspondance</v>
      </c>
      <c r="C261" s="2">
        <v>45213</v>
      </c>
      <c r="D261" s="3">
        <v>0.77986111111111112</v>
      </c>
      <c r="E261" s="1" t="s">
        <v>1041</v>
      </c>
      <c r="F261">
        <v>120</v>
      </c>
      <c r="G261" s="1" t="s">
        <v>806</v>
      </c>
    </row>
    <row r="262" spans="1:7" x14ac:dyDescent="0.25">
      <c r="A262" s="1" t="s">
        <v>1013</v>
      </c>
      <c r="B262" t="str">
        <f>_xlfn.XLOOKUP(Logs__3[[#This Row],[Cell_ID]],Registre_Maintenance[ID_Antenne],Registre_Maintenance[Province_RDC],"Pas de correspondance")</f>
        <v>Mai-Ndombe</v>
      </c>
      <c r="C262" s="2">
        <v>45225</v>
      </c>
      <c r="D262" s="3">
        <v>0.21527777777777779</v>
      </c>
      <c r="E262" s="1" t="s">
        <v>1042</v>
      </c>
      <c r="F262">
        <v>41</v>
      </c>
      <c r="G262" s="1" t="s">
        <v>811</v>
      </c>
    </row>
    <row r="263" spans="1:7" x14ac:dyDescent="0.25">
      <c r="A263" s="1" t="s">
        <v>1013</v>
      </c>
      <c r="B263" t="str">
        <f>_xlfn.XLOOKUP(Logs__3[[#This Row],[Cell_ID]],Registre_Maintenance[ID_Antenne],Registre_Maintenance[Province_RDC],"Pas de correspondance")</f>
        <v>Pas de correspondance</v>
      </c>
      <c r="C263" s="2">
        <v>45205</v>
      </c>
      <c r="D263" s="3">
        <v>0.11041666666666666</v>
      </c>
      <c r="E263" s="1" t="s">
        <v>835</v>
      </c>
      <c r="F263">
        <v>104</v>
      </c>
      <c r="G263" s="1" t="s">
        <v>806</v>
      </c>
    </row>
    <row r="264" spans="1:7" x14ac:dyDescent="0.25">
      <c r="A264" s="1" t="s">
        <v>1013</v>
      </c>
      <c r="B264" t="str">
        <f>_xlfn.XLOOKUP(Logs__3[[#This Row],[Cell_ID]],Registre_Maintenance[ID_Antenne],Registre_Maintenance[Province_RDC],"Pas de correspondance")</f>
        <v>Tanganyika</v>
      </c>
      <c r="C264" s="2">
        <v>45227</v>
      </c>
      <c r="D264" s="3">
        <v>0.52708333333333335</v>
      </c>
      <c r="E264" s="1" t="s">
        <v>1043</v>
      </c>
      <c r="F264">
        <v>107</v>
      </c>
      <c r="G264" s="1" t="s">
        <v>809</v>
      </c>
    </row>
    <row r="265" spans="1:7" x14ac:dyDescent="0.25">
      <c r="A265" s="1" t="s">
        <v>1013</v>
      </c>
      <c r="B265" t="str">
        <f>_xlfn.XLOOKUP(Logs__3[[#This Row],[Cell_ID]],Registre_Maintenance[ID_Antenne],Registre_Maintenance[Province_RDC],"Pas de correspondance")</f>
        <v>Kasaï</v>
      </c>
      <c r="C265" s="2">
        <v>45221</v>
      </c>
      <c r="D265" s="3">
        <v>0.31319444444444444</v>
      </c>
      <c r="E265" s="1" t="s">
        <v>1044</v>
      </c>
      <c r="F265">
        <v>34</v>
      </c>
      <c r="G265" s="1" t="s">
        <v>809</v>
      </c>
    </row>
    <row r="266" spans="1:7" x14ac:dyDescent="0.25">
      <c r="A266" s="1" t="s">
        <v>1013</v>
      </c>
      <c r="B266" t="str">
        <f>_xlfn.XLOOKUP(Logs__3[[#This Row],[Cell_ID]],Registre_Maintenance[ID_Antenne],Registre_Maintenance[Province_RDC],"Pas de correspondance")</f>
        <v>Pas de correspondance</v>
      </c>
      <c r="C266" s="2">
        <v>45229</v>
      </c>
      <c r="D266" s="3">
        <v>0.75624999999999998</v>
      </c>
      <c r="E266" s="1" t="s">
        <v>1045</v>
      </c>
      <c r="F266">
        <v>82</v>
      </c>
      <c r="G266" s="1" t="s">
        <v>811</v>
      </c>
    </row>
    <row r="267" spans="1:7" x14ac:dyDescent="0.25">
      <c r="A267" s="1" t="s">
        <v>1013</v>
      </c>
      <c r="B267" t="str">
        <f>_xlfn.XLOOKUP(Logs__3[[#This Row],[Cell_ID]],Registre_Maintenance[ID_Antenne],Registre_Maintenance[Province_RDC],"Pas de correspondance")</f>
        <v>Pas de correspondance</v>
      </c>
      <c r="C267" s="2">
        <v>45207</v>
      </c>
      <c r="D267" s="3">
        <v>0.61111111111111116</v>
      </c>
      <c r="E267" s="1" t="s">
        <v>910</v>
      </c>
      <c r="F267">
        <v>107</v>
      </c>
      <c r="G267" s="1" t="s">
        <v>809</v>
      </c>
    </row>
    <row r="268" spans="1:7" x14ac:dyDescent="0.25">
      <c r="A268" s="1" t="s">
        <v>1013</v>
      </c>
      <c r="B268" t="str">
        <f>_xlfn.XLOOKUP(Logs__3[[#This Row],[Cell_ID]],Registre_Maintenance[ID_Antenne],Registre_Maintenance[Province_RDC],"Pas de correspondance")</f>
        <v>Pas de correspondance</v>
      </c>
      <c r="C268" s="2">
        <v>45208</v>
      </c>
      <c r="D268" s="3">
        <v>0.59444444444444444</v>
      </c>
      <c r="E268" s="1" t="s">
        <v>1046</v>
      </c>
      <c r="F268">
        <v>50</v>
      </c>
      <c r="G268" s="1" t="s">
        <v>806</v>
      </c>
    </row>
    <row r="269" spans="1:7" x14ac:dyDescent="0.25">
      <c r="A269" s="1" t="s">
        <v>1013</v>
      </c>
      <c r="B269" t="str">
        <f>_xlfn.XLOOKUP(Logs__3[[#This Row],[Cell_ID]],Registre_Maintenance[ID_Antenne],Registre_Maintenance[Province_RDC],"Pas de correspondance")</f>
        <v>Kinshasa</v>
      </c>
      <c r="C269" s="2">
        <v>45221</v>
      </c>
      <c r="D269" s="3">
        <v>3.9583333333333331E-2</v>
      </c>
      <c r="E269" s="1" t="s">
        <v>1047</v>
      </c>
      <c r="F269">
        <v>33</v>
      </c>
      <c r="G269" s="1" t="s">
        <v>809</v>
      </c>
    </row>
    <row r="270" spans="1:7" x14ac:dyDescent="0.25">
      <c r="A270" s="1" t="s">
        <v>1013</v>
      </c>
      <c r="B270" t="str">
        <f>_xlfn.XLOOKUP(Logs__3[[#This Row],[Cell_ID]],Registre_Maintenance[ID_Antenne],Registre_Maintenance[Province_RDC],"Pas de correspondance")</f>
        <v>Kasaï</v>
      </c>
      <c r="C270" s="2">
        <v>45225</v>
      </c>
      <c r="D270" s="3">
        <v>0.62291666666666667</v>
      </c>
      <c r="E270" s="1" t="s">
        <v>1044</v>
      </c>
      <c r="F270">
        <v>86</v>
      </c>
      <c r="G270" s="1" t="s">
        <v>806</v>
      </c>
    </row>
    <row r="271" spans="1:7" x14ac:dyDescent="0.25">
      <c r="A271" s="1" t="s">
        <v>1013</v>
      </c>
      <c r="B271" t="str">
        <f>_xlfn.XLOOKUP(Logs__3[[#This Row],[Cell_ID]],Registre_Maintenance[ID_Antenne],Registre_Maintenance[Province_RDC],"Pas de correspondance")</f>
        <v>Lualaba</v>
      </c>
      <c r="C271" s="2">
        <v>45209</v>
      </c>
      <c r="D271" s="3">
        <v>0.89861111111111114</v>
      </c>
      <c r="E271" s="1" t="s">
        <v>984</v>
      </c>
      <c r="F271">
        <v>29</v>
      </c>
      <c r="G271" s="1" t="s">
        <v>809</v>
      </c>
    </row>
    <row r="272" spans="1:7" x14ac:dyDescent="0.25">
      <c r="A272" s="1" t="s">
        <v>1013</v>
      </c>
      <c r="B272" t="str">
        <f>_xlfn.XLOOKUP(Logs__3[[#This Row],[Cell_ID]],Registre_Maintenance[ID_Antenne],Registre_Maintenance[Province_RDC],"Pas de correspondance")</f>
        <v>Pas de correspondance</v>
      </c>
      <c r="C272" s="2">
        <v>45205</v>
      </c>
      <c r="D272" s="3">
        <v>0.10277777777777777</v>
      </c>
      <c r="E272" s="1" t="s">
        <v>1048</v>
      </c>
      <c r="F272">
        <v>84</v>
      </c>
      <c r="G272" s="1" t="s">
        <v>811</v>
      </c>
    </row>
    <row r="273" spans="1:7" x14ac:dyDescent="0.25">
      <c r="A273" s="1" t="s">
        <v>1013</v>
      </c>
      <c r="B273" t="str">
        <f>_xlfn.XLOOKUP(Logs__3[[#This Row],[Cell_ID]],Registre_Maintenance[ID_Antenne],Registre_Maintenance[Province_RDC],"Pas de correspondance")</f>
        <v>Kongo-Central</v>
      </c>
      <c r="C273" s="2">
        <v>45230</v>
      </c>
      <c r="D273" s="3">
        <v>0.48402777777777778</v>
      </c>
      <c r="E273" s="1" t="s">
        <v>1049</v>
      </c>
      <c r="F273">
        <v>37</v>
      </c>
      <c r="G273" s="1" t="s">
        <v>809</v>
      </c>
    </row>
    <row r="274" spans="1:7" x14ac:dyDescent="0.25">
      <c r="A274" s="1" t="s">
        <v>1013</v>
      </c>
      <c r="B274" t="str">
        <f>_xlfn.XLOOKUP(Logs__3[[#This Row],[Cell_ID]],Registre_Maintenance[ID_Antenne],Registre_Maintenance[Province_RDC],"Pas de correspondance")</f>
        <v>Pas de correspondance</v>
      </c>
      <c r="C274" s="2">
        <v>45209</v>
      </c>
      <c r="D274" s="3">
        <v>0.8520833333333333</v>
      </c>
      <c r="E274" s="1" t="s">
        <v>1050</v>
      </c>
      <c r="F274">
        <v>91</v>
      </c>
      <c r="G274" s="1" t="s">
        <v>811</v>
      </c>
    </row>
    <row r="275" spans="1:7" x14ac:dyDescent="0.25">
      <c r="A275" s="1" t="s">
        <v>1013</v>
      </c>
      <c r="B275" t="str">
        <f>_xlfn.XLOOKUP(Logs__3[[#This Row],[Cell_ID]],Registre_Maintenance[ID_Antenne],Registre_Maintenance[Province_RDC],"Pas de correspondance")</f>
        <v>Nord-Kivu</v>
      </c>
      <c r="C275" s="2">
        <v>45222</v>
      </c>
      <c r="D275" s="3">
        <v>0.35347222222222224</v>
      </c>
      <c r="E275" s="1" t="s">
        <v>1051</v>
      </c>
      <c r="F275">
        <v>101</v>
      </c>
      <c r="G275" s="1" t="s">
        <v>809</v>
      </c>
    </row>
    <row r="276" spans="1:7" x14ac:dyDescent="0.25">
      <c r="A276" s="1" t="s">
        <v>1052</v>
      </c>
      <c r="B276" t="str">
        <f>_xlfn.XLOOKUP(Logs__3[[#This Row],[Cell_ID]],Registre_Maintenance[ID_Antenne],Registre_Maintenance[Province_RDC],"Pas de correspondance")</f>
        <v>Pas de correspondance</v>
      </c>
      <c r="C276" s="2">
        <v>45207</v>
      </c>
      <c r="D276" s="3">
        <v>0.71388888888888891</v>
      </c>
      <c r="E276" s="1" t="s">
        <v>1053</v>
      </c>
      <c r="F276">
        <v>99</v>
      </c>
      <c r="G276" s="1" t="s">
        <v>809</v>
      </c>
    </row>
    <row r="277" spans="1:7" x14ac:dyDescent="0.25">
      <c r="A277" s="1" t="s">
        <v>1052</v>
      </c>
      <c r="B277" t="str">
        <f>_xlfn.XLOOKUP(Logs__3[[#This Row],[Cell_ID]],Registre_Maintenance[ID_Antenne],Registre_Maintenance[Province_RDC],"Pas de correspondance")</f>
        <v>Pas de correspondance</v>
      </c>
      <c r="C277" s="2">
        <v>45212</v>
      </c>
      <c r="D277" s="3">
        <v>0.59930555555555554</v>
      </c>
      <c r="E277" s="1" t="s">
        <v>955</v>
      </c>
      <c r="F277">
        <v>58</v>
      </c>
      <c r="G277" s="1" t="s">
        <v>809</v>
      </c>
    </row>
    <row r="278" spans="1:7" x14ac:dyDescent="0.25">
      <c r="A278" s="1" t="s">
        <v>1052</v>
      </c>
      <c r="B278" t="str">
        <f>_xlfn.XLOOKUP(Logs__3[[#This Row],[Cell_ID]],Registre_Maintenance[ID_Antenne],Registre_Maintenance[Province_RDC],"Pas de correspondance")</f>
        <v>Pas de correspondance</v>
      </c>
      <c r="C278" s="2">
        <v>45221</v>
      </c>
      <c r="D278" s="3">
        <v>0.98888888888888893</v>
      </c>
      <c r="E278" s="1" t="s">
        <v>1054</v>
      </c>
      <c r="F278">
        <v>72</v>
      </c>
      <c r="G278" s="1" t="s">
        <v>809</v>
      </c>
    </row>
    <row r="279" spans="1:7" x14ac:dyDescent="0.25">
      <c r="A279" s="1" t="s">
        <v>1052</v>
      </c>
      <c r="B279" t="str">
        <f>_xlfn.XLOOKUP(Logs__3[[#This Row],[Cell_ID]],Registre_Maintenance[ID_Antenne],Registre_Maintenance[Province_RDC],"Pas de correspondance")</f>
        <v>Pas de correspondance</v>
      </c>
      <c r="C279" s="2">
        <v>45230</v>
      </c>
      <c r="D279" s="3">
        <v>0.72638888888888886</v>
      </c>
      <c r="E279" s="1" t="s">
        <v>1031</v>
      </c>
      <c r="F279">
        <v>19</v>
      </c>
      <c r="G279" s="1" t="s">
        <v>809</v>
      </c>
    </row>
    <row r="280" spans="1:7" x14ac:dyDescent="0.25">
      <c r="A280" s="1" t="s">
        <v>1052</v>
      </c>
      <c r="B280" t="str">
        <f>_xlfn.XLOOKUP(Logs__3[[#This Row],[Cell_ID]],Registre_Maintenance[ID_Antenne],Registre_Maintenance[Province_RDC],"Pas de correspondance")</f>
        <v>Pas de correspondance</v>
      </c>
      <c r="C280" s="2">
        <v>45218</v>
      </c>
      <c r="D280" s="3">
        <v>0.99027777777777781</v>
      </c>
      <c r="E280" s="1" t="s">
        <v>1055</v>
      </c>
      <c r="F280">
        <v>100</v>
      </c>
      <c r="G280" s="1" t="s">
        <v>806</v>
      </c>
    </row>
    <row r="281" spans="1:7" x14ac:dyDescent="0.25">
      <c r="A281" s="1" t="s">
        <v>1052</v>
      </c>
      <c r="B281" t="str">
        <f>_xlfn.XLOOKUP(Logs__3[[#This Row],[Cell_ID]],Registre_Maintenance[ID_Antenne],Registre_Maintenance[Province_RDC],"Pas de correspondance")</f>
        <v>Pas de correspondance</v>
      </c>
      <c r="C281" s="2">
        <v>45204</v>
      </c>
      <c r="D281" s="3">
        <v>0.57013888888888886</v>
      </c>
      <c r="E281" s="1" t="s">
        <v>1056</v>
      </c>
      <c r="F281">
        <v>13</v>
      </c>
      <c r="G281" s="1" t="s">
        <v>811</v>
      </c>
    </row>
    <row r="282" spans="1:7" x14ac:dyDescent="0.25">
      <c r="A282" s="1" t="s">
        <v>1052</v>
      </c>
      <c r="B282" t="str">
        <f>_xlfn.XLOOKUP(Logs__3[[#This Row],[Cell_ID]],Registre_Maintenance[ID_Antenne],Registre_Maintenance[Province_RDC],"Pas de correspondance")</f>
        <v>Haut-Katanga</v>
      </c>
      <c r="C282" s="2">
        <v>45203</v>
      </c>
      <c r="D282" s="3">
        <v>0.65208333333333335</v>
      </c>
      <c r="E282" s="1" t="s">
        <v>1057</v>
      </c>
      <c r="F282">
        <v>65</v>
      </c>
      <c r="G282" s="1" t="s">
        <v>811</v>
      </c>
    </row>
    <row r="283" spans="1:7" x14ac:dyDescent="0.25">
      <c r="A283" s="1" t="s">
        <v>1052</v>
      </c>
      <c r="B283" t="str">
        <f>_xlfn.XLOOKUP(Logs__3[[#This Row],[Cell_ID]],Registre_Maintenance[ID_Antenne],Registre_Maintenance[Province_RDC],"Pas de correspondance")</f>
        <v>Pas de correspondance</v>
      </c>
      <c r="C283" s="2">
        <v>45213</v>
      </c>
      <c r="D283" s="3">
        <v>0.3347222222222222</v>
      </c>
      <c r="E283" s="1" t="s">
        <v>1058</v>
      </c>
      <c r="F283">
        <v>62</v>
      </c>
      <c r="G283" s="1" t="s">
        <v>806</v>
      </c>
    </row>
    <row r="284" spans="1:7" x14ac:dyDescent="0.25">
      <c r="A284" s="1" t="s">
        <v>1052</v>
      </c>
      <c r="B284" t="str">
        <f>_xlfn.XLOOKUP(Logs__3[[#This Row],[Cell_ID]],Registre_Maintenance[ID_Antenne],Registre_Maintenance[Province_RDC],"Pas de correspondance")</f>
        <v>Pas de correspondance</v>
      </c>
      <c r="C284" s="2">
        <v>45222</v>
      </c>
      <c r="D284" s="3">
        <v>0.46736111111111112</v>
      </c>
      <c r="E284" s="1" t="s">
        <v>1059</v>
      </c>
      <c r="F284">
        <v>104</v>
      </c>
      <c r="G284" s="1" t="s">
        <v>811</v>
      </c>
    </row>
    <row r="285" spans="1:7" x14ac:dyDescent="0.25">
      <c r="A285" s="1" t="s">
        <v>1052</v>
      </c>
      <c r="B285" t="str">
        <f>_xlfn.XLOOKUP(Logs__3[[#This Row],[Cell_ID]],Registre_Maintenance[ID_Antenne],Registre_Maintenance[Province_RDC],"Pas de correspondance")</f>
        <v>Pas de correspondance</v>
      </c>
      <c r="C285" s="2">
        <v>45214</v>
      </c>
      <c r="D285" s="3">
        <v>0.59375</v>
      </c>
      <c r="E285" s="1" t="s">
        <v>1060</v>
      </c>
      <c r="F285">
        <v>51</v>
      </c>
      <c r="G285" s="1" t="s">
        <v>811</v>
      </c>
    </row>
    <row r="286" spans="1:7" x14ac:dyDescent="0.25">
      <c r="A286" s="1" t="s">
        <v>1052</v>
      </c>
      <c r="B286" t="str">
        <f>_xlfn.XLOOKUP(Logs__3[[#This Row],[Cell_ID]],Registre_Maintenance[ID_Antenne],Registre_Maintenance[Province_RDC],"Pas de correspondance")</f>
        <v>Pas de correspondance</v>
      </c>
      <c r="C286" s="2">
        <v>45227</v>
      </c>
      <c r="D286" s="3">
        <v>0.46250000000000002</v>
      </c>
      <c r="E286" s="1" t="s">
        <v>892</v>
      </c>
      <c r="F286">
        <v>70</v>
      </c>
      <c r="G286" s="1" t="s">
        <v>811</v>
      </c>
    </row>
    <row r="287" spans="1:7" x14ac:dyDescent="0.25">
      <c r="A287" s="1" t="s">
        <v>1052</v>
      </c>
      <c r="B287" t="str">
        <f>_xlfn.XLOOKUP(Logs__3[[#This Row],[Cell_ID]],Registre_Maintenance[ID_Antenne],Registre_Maintenance[Province_RDC],"Pas de correspondance")</f>
        <v>Pas de correspondance</v>
      </c>
      <c r="C287" s="2">
        <v>45221</v>
      </c>
      <c r="D287" s="3">
        <v>0.48194444444444445</v>
      </c>
      <c r="E287" s="1" t="s">
        <v>1061</v>
      </c>
      <c r="F287">
        <v>80</v>
      </c>
      <c r="G287" s="1" t="s">
        <v>811</v>
      </c>
    </row>
    <row r="288" spans="1:7" x14ac:dyDescent="0.25">
      <c r="A288" s="1" t="s">
        <v>1052</v>
      </c>
      <c r="B288" t="str">
        <f>_xlfn.XLOOKUP(Logs__3[[#This Row],[Cell_ID]],Registre_Maintenance[ID_Antenne],Registre_Maintenance[Province_RDC],"Pas de correspondance")</f>
        <v>Pas de correspondance</v>
      </c>
      <c r="C288" s="2">
        <v>45228</v>
      </c>
      <c r="D288" s="3">
        <v>0.84861111111111109</v>
      </c>
      <c r="E288" s="1" t="s">
        <v>1062</v>
      </c>
      <c r="F288">
        <v>18</v>
      </c>
      <c r="G288" s="1" t="s">
        <v>811</v>
      </c>
    </row>
    <row r="289" spans="1:7" x14ac:dyDescent="0.25">
      <c r="A289" s="1" t="s">
        <v>1052</v>
      </c>
      <c r="B289" t="str">
        <f>_xlfn.XLOOKUP(Logs__3[[#This Row],[Cell_ID]],Registre_Maintenance[ID_Antenne],Registre_Maintenance[Province_RDC],"Pas de correspondance")</f>
        <v>Pas de correspondance</v>
      </c>
      <c r="C289" s="2">
        <v>45201</v>
      </c>
      <c r="D289" s="3">
        <v>0.51180555555555551</v>
      </c>
      <c r="E289" s="1" t="s">
        <v>930</v>
      </c>
      <c r="F289">
        <v>62</v>
      </c>
      <c r="G289" s="1" t="s">
        <v>809</v>
      </c>
    </row>
    <row r="290" spans="1:7" x14ac:dyDescent="0.25">
      <c r="A290" s="1" t="s">
        <v>1052</v>
      </c>
      <c r="B290" t="str">
        <f>_xlfn.XLOOKUP(Logs__3[[#This Row],[Cell_ID]],Registre_Maintenance[ID_Antenne],Registre_Maintenance[Province_RDC],"Pas de correspondance")</f>
        <v>Pas de correspondance</v>
      </c>
      <c r="C290" s="2">
        <v>45206</v>
      </c>
      <c r="D290" s="3">
        <v>0.16250000000000001</v>
      </c>
      <c r="E290" s="1" t="s">
        <v>1063</v>
      </c>
      <c r="F290">
        <v>69</v>
      </c>
      <c r="G290" s="1" t="s">
        <v>806</v>
      </c>
    </row>
    <row r="291" spans="1:7" x14ac:dyDescent="0.25">
      <c r="A291" s="1" t="s">
        <v>1052</v>
      </c>
      <c r="B291" t="str">
        <f>_xlfn.XLOOKUP(Logs__3[[#This Row],[Cell_ID]],Registre_Maintenance[ID_Antenne],Registre_Maintenance[Province_RDC],"Pas de correspondance")</f>
        <v>Nord-Ubangi</v>
      </c>
      <c r="C291" s="2">
        <v>45226</v>
      </c>
      <c r="D291" s="3">
        <v>0.58680555555555558</v>
      </c>
      <c r="E291" s="1" t="s">
        <v>1064</v>
      </c>
      <c r="F291">
        <v>33</v>
      </c>
      <c r="G291" s="1" t="s">
        <v>811</v>
      </c>
    </row>
    <row r="292" spans="1:7" x14ac:dyDescent="0.25">
      <c r="A292" s="1" t="s">
        <v>1052</v>
      </c>
      <c r="B292" t="str">
        <f>_xlfn.XLOOKUP(Logs__3[[#This Row],[Cell_ID]],Registre_Maintenance[ID_Antenne],Registre_Maintenance[Province_RDC],"Pas de correspondance")</f>
        <v>Tshuapa</v>
      </c>
      <c r="C292" s="2">
        <v>45221</v>
      </c>
      <c r="D292" s="3">
        <v>0.27847222222222223</v>
      </c>
      <c r="E292" s="1" t="s">
        <v>1065</v>
      </c>
      <c r="F292">
        <v>83</v>
      </c>
      <c r="G292" s="1" t="s">
        <v>811</v>
      </c>
    </row>
    <row r="293" spans="1:7" x14ac:dyDescent="0.25">
      <c r="A293" s="1" t="s">
        <v>1052</v>
      </c>
      <c r="B293" t="str">
        <f>_xlfn.XLOOKUP(Logs__3[[#This Row],[Cell_ID]],Registre_Maintenance[ID_Antenne],Registre_Maintenance[Province_RDC],"Pas de correspondance")</f>
        <v>Pas de correspondance</v>
      </c>
      <c r="C293" s="2">
        <v>45220</v>
      </c>
      <c r="D293" s="3">
        <v>0.79236111111111107</v>
      </c>
      <c r="E293" s="1" t="s">
        <v>912</v>
      </c>
      <c r="F293">
        <v>10</v>
      </c>
      <c r="G293" s="1" t="s">
        <v>811</v>
      </c>
    </row>
    <row r="294" spans="1:7" x14ac:dyDescent="0.25">
      <c r="A294" s="1" t="s">
        <v>1052</v>
      </c>
      <c r="B294" t="str">
        <f>_xlfn.XLOOKUP(Logs__3[[#This Row],[Cell_ID]],Registre_Maintenance[ID_Antenne],Registre_Maintenance[Province_RDC],"Pas de correspondance")</f>
        <v>Pas de correspondance</v>
      </c>
      <c r="C294" s="2">
        <v>45201</v>
      </c>
      <c r="D294" s="3">
        <v>0.42708333333333331</v>
      </c>
      <c r="E294" s="1" t="s">
        <v>1054</v>
      </c>
      <c r="F294">
        <v>98</v>
      </c>
      <c r="G294" s="1" t="s">
        <v>809</v>
      </c>
    </row>
    <row r="295" spans="1:7" x14ac:dyDescent="0.25">
      <c r="A295" s="1" t="s">
        <v>1052</v>
      </c>
      <c r="B295" t="str">
        <f>_xlfn.XLOOKUP(Logs__3[[#This Row],[Cell_ID]],Registre_Maintenance[ID_Antenne],Registre_Maintenance[Province_RDC],"Pas de correspondance")</f>
        <v>Pas de correspondance</v>
      </c>
      <c r="C295" s="2">
        <v>45204</v>
      </c>
      <c r="D295" s="3">
        <v>0.75902777777777775</v>
      </c>
      <c r="E295" s="1" t="s">
        <v>1066</v>
      </c>
      <c r="F295">
        <v>105</v>
      </c>
      <c r="G295" s="1" t="s">
        <v>811</v>
      </c>
    </row>
    <row r="296" spans="1:7" x14ac:dyDescent="0.25">
      <c r="A296" s="1" t="s">
        <v>1052</v>
      </c>
      <c r="B296" t="str">
        <f>_xlfn.XLOOKUP(Logs__3[[#This Row],[Cell_ID]],Registre_Maintenance[ID_Antenne],Registre_Maintenance[Province_RDC],"Pas de correspondance")</f>
        <v>Tanganyika</v>
      </c>
      <c r="C296" s="2">
        <v>45202</v>
      </c>
      <c r="D296" s="3">
        <v>0.71736111111111112</v>
      </c>
      <c r="E296" s="1" t="s">
        <v>1067</v>
      </c>
      <c r="F296">
        <v>115</v>
      </c>
      <c r="G296" s="1" t="s">
        <v>811</v>
      </c>
    </row>
    <row r="297" spans="1:7" x14ac:dyDescent="0.25">
      <c r="A297" s="1" t="s">
        <v>1052</v>
      </c>
      <c r="B297" t="str">
        <f>_xlfn.XLOOKUP(Logs__3[[#This Row],[Cell_ID]],Registre_Maintenance[ID_Antenne],Registre_Maintenance[Province_RDC],"Pas de correspondance")</f>
        <v>Kwango</v>
      </c>
      <c r="C297" s="2">
        <v>45218</v>
      </c>
      <c r="D297" s="3">
        <v>0.28611111111111109</v>
      </c>
      <c r="E297" s="1" t="s">
        <v>1068</v>
      </c>
      <c r="F297">
        <v>89</v>
      </c>
      <c r="G297" s="1" t="s">
        <v>806</v>
      </c>
    </row>
    <row r="298" spans="1:7" x14ac:dyDescent="0.25">
      <c r="A298" s="1" t="s">
        <v>1052</v>
      </c>
      <c r="B298" t="str">
        <f>_xlfn.XLOOKUP(Logs__3[[#This Row],[Cell_ID]],Registre_Maintenance[ID_Antenne],Registre_Maintenance[Province_RDC],"Pas de correspondance")</f>
        <v>Pas de correspondance</v>
      </c>
      <c r="C298" s="2">
        <v>45227</v>
      </c>
      <c r="D298" s="3">
        <v>0.30625000000000002</v>
      </c>
      <c r="E298" s="1" t="s">
        <v>835</v>
      </c>
      <c r="F298">
        <v>71</v>
      </c>
      <c r="G298" s="1" t="s">
        <v>809</v>
      </c>
    </row>
    <row r="299" spans="1:7" x14ac:dyDescent="0.25">
      <c r="A299" s="1" t="s">
        <v>1052</v>
      </c>
      <c r="B299" t="str">
        <f>_xlfn.XLOOKUP(Logs__3[[#This Row],[Cell_ID]],Registre_Maintenance[ID_Antenne],Registre_Maintenance[Province_RDC],"Pas de correspondance")</f>
        <v>Pas de correspondance</v>
      </c>
      <c r="C299" s="2">
        <v>45224</v>
      </c>
      <c r="D299" s="3">
        <v>0.2013888888888889</v>
      </c>
      <c r="E299" s="1" t="s">
        <v>960</v>
      </c>
      <c r="F299">
        <v>43</v>
      </c>
      <c r="G299" s="1" t="s">
        <v>811</v>
      </c>
    </row>
    <row r="300" spans="1:7" x14ac:dyDescent="0.25">
      <c r="A300" s="1" t="s">
        <v>1052</v>
      </c>
      <c r="B300" t="str">
        <f>_xlfn.XLOOKUP(Logs__3[[#This Row],[Cell_ID]],Registre_Maintenance[ID_Antenne],Registre_Maintenance[Province_RDC],"Pas de correspondance")</f>
        <v>Tanganyika</v>
      </c>
      <c r="C300" s="2">
        <v>45228</v>
      </c>
      <c r="D300" s="3">
        <v>0.79166666666666663</v>
      </c>
      <c r="E300" s="1" t="s">
        <v>805</v>
      </c>
      <c r="F300">
        <v>63</v>
      </c>
      <c r="G300" s="1" t="s">
        <v>806</v>
      </c>
    </row>
    <row r="301" spans="1:7" x14ac:dyDescent="0.25">
      <c r="A301" s="1" t="s">
        <v>1052</v>
      </c>
      <c r="B301" t="str">
        <f>_xlfn.XLOOKUP(Logs__3[[#This Row],[Cell_ID]],Registre_Maintenance[ID_Antenne],Registre_Maintenance[Province_RDC],"Pas de correspondance")</f>
        <v>Pas de correspondance</v>
      </c>
      <c r="C301" s="2">
        <v>45208</v>
      </c>
      <c r="D301" s="3">
        <v>0.17222222222222222</v>
      </c>
      <c r="E301" s="1" t="s">
        <v>857</v>
      </c>
      <c r="F301">
        <v>87</v>
      </c>
      <c r="G301" s="1" t="s">
        <v>806</v>
      </c>
    </row>
    <row r="302" spans="1:7" x14ac:dyDescent="0.25">
      <c r="A302" s="1" t="s">
        <v>1052</v>
      </c>
      <c r="B302" t="str">
        <f>_xlfn.XLOOKUP(Logs__3[[#This Row],[Cell_ID]],Registre_Maintenance[ID_Antenne],Registre_Maintenance[Province_RDC],"Pas de correspondance")</f>
        <v>Pas de correspondance</v>
      </c>
      <c r="C302" s="2">
        <v>45217</v>
      </c>
      <c r="D302" s="3">
        <v>0.36875000000000002</v>
      </c>
      <c r="E302" s="1" t="s">
        <v>1069</v>
      </c>
      <c r="F302">
        <v>8</v>
      </c>
      <c r="G302" s="1" t="s">
        <v>806</v>
      </c>
    </row>
    <row r="303" spans="1:7" x14ac:dyDescent="0.25">
      <c r="A303" s="1" t="s">
        <v>1052</v>
      </c>
      <c r="B303" t="str">
        <f>_xlfn.XLOOKUP(Logs__3[[#This Row],[Cell_ID]],Registre_Maintenance[ID_Antenne],Registre_Maintenance[Province_RDC],"Pas de correspondance")</f>
        <v>Pas de correspondance</v>
      </c>
      <c r="C303" s="2">
        <v>45205</v>
      </c>
      <c r="D303" s="3">
        <v>0.15416666666666667</v>
      </c>
      <c r="E303" s="1" t="s">
        <v>893</v>
      </c>
      <c r="F303">
        <v>12</v>
      </c>
      <c r="G303" s="1" t="s">
        <v>806</v>
      </c>
    </row>
    <row r="304" spans="1:7" x14ac:dyDescent="0.25">
      <c r="A304" s="1" t="s">
        <v>1052</v>
      </c>
      <c r="B304" t="str">
        <f>_xlfn.XLOOKUP(Logs__3[[#This Row],[Cell_ID]],Registre_Maintenance[ID_Antenne],Registre_Maintenance[Province_RDC],"Pas de correspondance")</f>
        <v>Pas de correspondance</v>
      </c>
      <c r="C304" s="2">
        <v>45227</v>
      </c>
      <c r="D304" s="3">
        <v>5.5555555555555558E-3</v>
      </c>
      <c r="E304" s="1" t="s">
        <v>1070</v>
      </c>
      <c r="F304">
        <v>66</v>
      </c>
      <c r="G304" s="1" t="s">
        <v>811</v>
      </c>
    </row>
    <row r="305" spans="1:7" x14ac:dyDescent="0.25">
      <c r="A305" s="1" t="s">
        <v>1052</v>
      </c>
      <c r="B305" t="str">
        <f>_xlfn.XLOOKUP(Logs__3[[#This Row],[Cell_ID]],Registre_Maintenance[ID_Antenne],Registre_Maintenance[Province_RDC],"Pas de correspondance")</f>
        <v>Pas de correspondance</v>
      </c>
      <c r="C305" s="2">
        <v>45200</v>
      </c>
      <c r="D305" s="3">
        <v>0.49305555555555558</v>
      </c>
      <c r="E305" s="1" t="s">
        <v>1071</v>
      </c>
      <c r="F305">
        <v>113</v>
      </c>
      <c r="G305" s="1" t="s">
        <v>806</v>
      </c>
    </row>
    <row r="306" spans="1:7" x14ac:dyDescent="0.25">
      <c r="A306" s="1" t="s">
        <v>1052</v>
      </c>
      <c r="B306" t="str">
        <f>_xlfn.XLOOKUP(Logs__3[[#This Row],[Cell_ID]],Registre_Maintenance[ID_Antenne],Registre_Maintenance[Province_RDC],"Pas de correspondance")</f>
        <v>Nord-Ubangi</v>
      </c>
      <c r="C306" s="2">
        <v>45225</v>
      </c>
      <c r="D306" s="3">
        <v>0.31736111111111109</v>
      </c>
      <c r="E306" s="1" t="s">
        <v>939</v>
      </c>
      <c r="F306">
        <v>56</v>
      </c>
      <c r="G306" s="1" t="s">
        <v>809</v>
      </c>
    </row>
    <row r="307" spans="1:7" x14ac:dyDescent="0.25">
      <c r="A307" s="1" t="s">
        <v>1052</v>
      </c>
      <c r="B307" t="str">
        <f>_xlfn.XLOOKUP(Logs__3[[#This Row],[Cell_ID]],Registre_Maintenance[ID_Antenne],Registre_Maintenance[Province_RDC],"Pas de correspondance")</f>
        <v>Pas de correspondance</v>
      </c>
      <c r="C307" s="2">
        <v>45210</v>
      </c>
      <c r="D307" s="3">
        <v>7.6388888888888886E-3</v>
      </c>
      <c r="E307" s="1" t="s">
        <v>1072</v>
      </c>
      <c r="F307">
        <v>59</v>
      </c>
      <c r="G307" s="1" t="s">
        <v>809</v>
      </c>
    </row>
    <row r="308" spans="1:7" x14ac:dyDescent="0.25">
      <c r="A308" s="1" t="s">
        <v>1052</v>
      </c>
      <c r="B308" t="str">
        <f>_xlfn.XLOOKUP(Logs__3[[#This Row],[Cell_ID]],Registre_Maintenance[ID_Antenne],Registre_Maintenance[Province_RDC],"Pas de correspondance")</f>
        <v>Pas de correspondance</v>
      </c>
      <c r="C308" s="2">
        <v>45208</v>
      </c>
      <c r="D308" s="3">
        <v>4.7222222222222221E-2</v>
      </c>
      <c r="E308" s="1" t="s">
        <v>855</v>
      </c>
      <c r="F308">
        <v>92</v>
      </c>
      <c r="G308" s="1" t="s">
        <v>811</v>
      </c>
    </row>
    <row r="309" spans="1:7" x14ac:dyDescent="0.25">
      <c r="A309" s="1" t="s">
        <v>1073</v>
      </c>
      <c r="B309" t="str">
        <f>_xlfn.XLOOKUP(Logs__3[[#This Row],[Cell_ID]],Registre_Maintenance[ID_Antenne],Registre_Maintenance[Province_RDC],"Pas de correspondance")</f>
        <v>Pas de correspondance</v>
      </c>
      <c r="C309" s="2">
        <v>45221</v>
      </c>
      <c r="D309" s="3">
        <v>0.14305555555555555</v>
      </c>
      <c r="E309" s="1" t="s">
        <v>1012</v>
      </c>
      <c r="F309">
        <v>43</v>
      </c>
      <c r="G309" s="1" t="s">
        <v>806</v>
      </c>
    </row>
    <row r="310" spans="1:7" x14ac:dyDescent="0.25">
      <c r="A310" s="1" t="s">
        <v>1073</v>
      </c>
      <c r="B310" t="str">
        <f>_xlfn.XLOOKUP(Logs__3[[#This Row],[Cell_ID]],Registre_Maintenance[ID_Antenne],Registre_Maintenance[Province_RDC],"Pas de correspondance")</f>
        <v>Pas de correspondance</v>
      </c>
      <c r="C310" s="2">
        <v>45211</v>
      </c>
      <c r="D310" s="3">
        <v>0.90833333333333333</v>
      </c>
      <c r="E310" s="1" t="s">
        <v>1074</v>
      </c>
      <c r="F310">
        <v>32</v>
      </c>
      <c r="G310" s="1" t="s">
        <v>809</v>
      </c>
    </row>
    <row r="311" spans="1:7" x14ac:dyDescent="0.25">
      <c r="A311" s="1" t="s">
        <v>1073</v>
      </c>
      <c r="B311" t="str">
        <f>_xlfn.XLOOKUP(Logs__3[[#This Row],[Cell_ID]],Registre_Maintenance[ID_Antenne],Registre_Maintenance[Province_RDC],"Pas de correspondance")</f>
        <v>Pas de correspondance</v>
      </c>
      <c r="C311" s="2">
        <v>45213</v>
      </c>
      <c r="D311" s="3">
        <v>0.9604166666666667</v>
      </c>
      <c r="E311" s="1" t="s">
        <v>1075</v>
      </c>
      <c r="F311">
        <v>103</v>
      </c>
      <c r="G311" s="1" t="s">
        <v>809</v>
      </c>
    </row>
    <row r="312" spans="1:7" x14ac:dyDescent="0.25">
      <c r="A312" s="1" t="s">
        <v>1073</v>
      </c>
      <c r="B312" t="str">
        <f>_xlfn.XLOOKUP(Logs__3[[#This Row],[Cell_ID]],Registre_Maintenance[ID_Antenne],Registre_Maintenance[Province_RDC],"Pas de correspondance")</f>
        <v>Pas de correspondance</v>
      </c>
      <c r="C312" s="2">
        <v>45209</v>
      </c>
      <c r="D312" s="3">
        <v>0.46250000000000002</v>
      </c>
      <c r="E312" s="1" t="s">
        <v>1072</v>
      </c>
      <c r="F312">
        <v>102</v>
      </c>
      <c r="G312" s="1" t="s">
        <v>811</v>
      </c>
    </row>
    <row r="313" spans="1:7" x14ac:dyDescent="0.25">
      <c r="A313" s="1" t="s">
        <v>1073</v>
      </c>
      <c r="B313" t="str">
        <f>_xlfn.XLOOKUP(Logs__3[[#This Row],[Cell_ID]],Registre_Maintenance[ID_Antenne],Registre_Maintenance[Province_RDC],"Pas de correspondance")</f>
        <v>Sud-Kivu</v>
      </c>
      <c r="C313" s="2">
        <v>45218</v>
      </c>
      <c r="D313" s="3">
        <v>0.67569444444444449</v>
      </c>
      <c r="E313" s="1" t="s">
        <v>962</v>
      </c>
      <c r="F313">
        <v>37</v>
      </c>
      <c r="G313" s="1" t="s">
        <v>811</v>
      </c>
    </row>
    <row r="314" spans="1:7" x14ac:dyDescent="0.25">
      <c r="A314" s="1" t="s">
        <v>1073</v>
      </c>
      <c r="B314" t="str">
        <f>_xlfn.XLOOKUP(Logs__3[[#This Row],[Cell_ID]],Registre_Maintenance[ID_Antenne],Registre_Maintenance[Province_RDC],"Pas de correspondance")</f>
        <v>Pas de correspondance</v>
      </c>
      <c r="C314" s="2">
        <v>45204</v>
      </c>
      <c r="D314" s="3">
        <v>0.89583333333333337</v>
      </c>
      <c r="E314" s="1" t="s">
        <v>1076</v>
      </c>
      <c r="F314">
        <v>42</v>
      </c>
      <c r="G314" s="1" t="s">
        <v>809</v>
      </c>
    </row>
    <row r="315" spans="1:7" x14ac:dyDescent="0.25">
      <c r="A315" s="1" t="s">
        <v>1073</v>
      </c>
      <c r="B315" t="str">
        <f>_xlfn.XLOOKUP(Logs__3[[#This Row],[Cell_ID]],Registre_Maintenance[ID_Antenne],Registre_Maintenance[Province_RDC],"Pas de correspondance")</f>
        <v>Kongo-Central</v>
      </c>
      <c r="C315" s="2">
        <v>45207</v>
      </c>
      <c r="D315" s="3">
        <v>0.14027777777777778</v>
      </c>
      <c r="E315" s="1" t="s">
        <v>1077</v>
      </c>
      <c r="F315">
        <v>46</v>
      </c>
      <c r="G315" s="1" t="s">
        <v>809</v>
      </c>
    </row>
    <row r="316" spans="1:7" x14ac:dyDescent="0.25">
      <c r="A316" s="1" t="s">
        <v>1073</v>
      </c>
      <c r="B316" t="str">
        <f>_xlfn.XLOOKUP(Logs__3[[#This Row],[Cell_ID]],Registre_Maintenance[ID_Antenne],Registre_Maintenance[Province_RDC],"Pas de correspondance")</f>
        <v>Pas de correspondance</v>
      </c>
      <c r="C316" s="2">
        <v>45227</v>
      </c>
      <c r="D316" s="3">
        <v>0.72430555555555554</v>
      </c>
      <c r="E316" s="1" t="s">
        <v>1066</v>
      </c>
      <c r="F316">
        <v>20</v>
      </c>
      <c r="G316" s="1" t="s">
        <v>806</v>
      </c>
    </row>
    <row r="317" spans="1:7" x14ac:dyDescent="0.25">
      <c r="A317" s="1" t="s">
        <v>1073</v>
      </c>
      <c r="B317" t="str">
        <f>_xlfn.XLOOKUP(Logs__3[[#This Row],[Cell_ID]],Registre_Maintenance[ID_Antenne],Registre_Maintenance[Province_RDC],"Pas de correspondance")</f>
        <v>Pas de correspondance</v>
      </c>
      <c r="C317" s="2">
        <v>45203</v>
      </c>
      <c r="D317" s="3">
        <v>0.35833333333333334</v>
      </c>
      <c r="E317" s="1" t="s">
        <v>1078</v>
      </c>
      <c r="F317">
        <v>5</v>
      </c>
      <c r="G317" s="1" t="s">
        <v>806</v>
      </c>
    </row>
    <row r="318" spans="1:7" x14ac:dyDescent="0.25">
      <c r="A318" s="1" t="s">
        <v>1073</v>
      </c>
      <c r="B318" t="str">
        <f>_xlfn.XLOOKUP(Logs__3[[#This Row],[Cell_ID]],Registre_Maintenance[ID_Antenne],Registre_Maintenance[Province_RDC],"Pas de correspondance")</f>
        <v>Ituri</v>
      </c>
      <c r="C318" s="2">
        <v>45207</v>
      </c>
      <c r="D318" s="3">
        <v>0.57916666666666672</v>
      </c>
      <c r="E318" s="1" t="s">
        <v>1079</v>
      </c>
      <c r="F318">
        <v>68</v>
      </c>
      <c r="G318" s="1" t="s">
        <v>806</v>
      </c>
    </row>
    <row r="319" spans="1:7" x14ac:dyDescent="0.25">
      <c r="A319" s="1" t="s">
        <v>1073</v>
      </c>
      <c r="B319" t="str">
        <f>_xlfn.XLOOKUP(Logs__3[[#This Row],[Cell_ID]],Registre_Maintenance[ID_Antenne],Registre_Maintenance[Province_RDC],"Pas de correspondance")</f>
        <v>Pas de correspondance</v>
      </c>
      <c r="C319" s="2">
        <v>45217</v>
      </c>
      <c r="D319" s="3">
        <v>0.81874999999999998</v>
      </c>
      <c r="E319" s="1" t="s">
        <v>944</v>
      </c>
      <c r="F319">
        <v>100</v>
      </c>
      <c r="G319" s="1" t="s">
        <v>806</v>
      </c>
    </row>
    <row r="320" spans="1:7" x14ac:dyDescent="0.25">
      <c r="A320" s="1" t="s">
        <v>1073</v>
      </c>
      <c r="B320" t="str">
        <f>_xlfn.XLOOKUP(Logs__3[[#This Row],[Cell_ID]],Registre_Maintenance[ID_Antenne],Registre_Maintenance[Province_RDC],"Pas de correspondance")</f>
        <v>Pas de correspondance</v>
      </c>
      <c r="C320" s="2">
        <v>45221</v>
      </c>
      <c r="D320" s="3">
        <v>0.85763888888888884</v>
      </c>
      <c r="E320" s="1" t="s">
        <v>1080</v>
      </c>
      <c r="F320">
        <v>60</v>
      </c>
      <c r="G320" s="1" t="s">
        <v>811</v>
      </c>
    </row>
    <row r="321" spans="1:7" x14ac:dyDescent="0.25">
      <c r="A321" s="1" t="s">
        <v>1073</v>
      </c>
      <c r="B321" t="str">
        <f>_xlfn.XLOOKUP(Logs__3[[#This Row],[Cell_ID]],Registre_Maintenance[ID_Antenne],Registre_Maintenance[Province_RDC],"Pas de correspondance")</f>
        <v>Pas de correspondance</v>
      </c>
      <c r="C321" s="2">
        <v>45200</v>
      </c>
      <c r="D321" s="3">
        <v>0.83263888888888893</v>
      </c>
      <c r="E321" s="1" t="s">
        <v>1081</v>
      </c>
      <c r="F321">
        <v>27</v>
      </c>
      <c r="G321" s="1" t="s">
        <v>806</v>
      </c>
    </row>
    <row r="322" spans="1:7" x14ac:dyDescent="0.25">
      <c r="A322" s="1" t="s">
        <v>1073</v>
      </c>
      <c r="B322" t="str">
        <f>_xlfn.XLOOKUP(Logs__3[[#This Row],[Cell_ID]],Registre_Maintenance[ID_Antenne],Registre_Maintenance[Province_RDC],"Pas de correspondance")</f>
        <v>Sud-Kivu</v>
      </c>
      <c r="C322" s="2">
        <v>45221</v>
      </c>
      <c r="D322" s="3">
        <v>0.92847222222222225</v>
      </c>
      <c r="E322" s="1" t="s">
        <v>846</v>
      </c>
      <c r="F322">
        <v>21</v>
      </c>
      <c r="G322" s="1" t="s">
        <v>806</v>
      </c>
    </row>
    <row r="323" spans="1:7" x14ac:dyDescent="0.25">
      <c r="A323" s="1" t="s">
        <v>1073</v>
      </c>
      <c r="B323" t="str">
        <f>_xlfn.XLOOKUP(Logs__3[[#This Row],[Cell_ID]],Registre_Maintenance[ID_Antenne],Registre_Maintenance[Province_RDC],"Pas de correspondance")</f>
        <v>Pas de correspondance</v>
      </c>
      <c r="C323" s="2">
        <v>45200</v>
      </c>
      <c r="D323" s="3">
        <v>0.22013888888888888</v>
      </c>
      <c r="E323" s="1" t="s">
        <v>1082</v>
      </c>
      <c r="F323">
        <v>53</v>
      </c>
      <c r="G323" s="1" t="s">
        <v>809</v>
      </c>
    </row>
    <row r="324" spans="1:7" x14ac:dyDescent="0.25">
      <c r="A324" s="1" t="s">
        <v>1073</v>
      </c>
      <c r="B324" t="str">
        <f>_xlfn.XLOOKUP(Logs__3[[#This Row],[Cell_ID]],Registre_Maintenance[ID_Antenne],Registre_Maintenance[Province_RDC],"Pas de correspondance")</f>
        <v>Nord-Ubangi</v>
      </c>
      <c r="C324" s="2">
        <v>45222</v>
      </c>
      <c r="D324" s="3">
        <v>0.4152777777777778</v>
      </c>
      <c r="E324" s="1" t="s">
        <v>1083</v>
      </c>
      <c r="F324">
        <v>73</v>
      </c>
      <c r="G324" s="1" t="s">
        <v>806</v>
      </c>
    </row>
    <row r="325" spans="1:7" x14ac:dyDescent="0.25">
      <c r="A325" s="1" t="s">
        <v>1073</v>
      </c>
      <c r="B325" t="str">
        <f>_xlfn.XLOOKUP(Logs__3[[#This Row],[Cell_ID]],Registre_Maintenance[ID_Antenne],Registre_Maintenance[Province_RDC],"Pas de correspondance")</f>
        <v>Haut-Lomami</v>
      </c>
      <c r="C325" s="2">
        <v>45210</v>
      </c>
      <c r="D325" s="3">
        <v>0.45833333333333331</v>
      </c>
      <c r="E325" s="1" t="s">
        <v>994</v>
      </c>
      <c r="F325">
        <v>95</v>
      </c>
      <c r="G325" s="1" t="s">
        <v>809</v>
      </c>
    </row>
    <row r="326" spans="1:7" x14ac:dyDescent="0.25">
      <c r="A326" s="1" t="s">
        <v>1073</v>
      </c>
      <c r="B326" t="str">
        <f>_xlfn.XLOOKUP(Logs__3[[#This Row],[Cell_ID]],Registre_Maintenance[ID_Antenne],Registre_Maintenance[Province_RDC],"Pas de correspondance")</f>
        <v>Sankuru</v>
      </c>
      <c r="C326" s="2">
        <v>45205</v>
      </c>
      <c r="D326" s="3">
        <v>0.19166666666666668</v>
      </c>
      <c r="E326" s="1" t="s">
        <v>1084</v>
      </c>
      <c r="F326">
        <v>34</v>
      </c>
      <c r="G326" s="1" t="s">
        <v>806</v>
      </c>
    </row>
    <row r="327" spans="1:7" x14ac:dyDescent="0.25">
      <c r="A327" s="1" t="s">
        <v>1073</v>
      </c>
      <c r="B327" t="str">
        <f>_xlfn.XLOOKUP(Logs__3[[#This Row],[Cell_ID]],Registre_Maintenance[ID_Antenne],Registre_Maintenance[Province_RDC],"Pas de correspondance")</f>
        <v>Pas de correspondance</v>
      </c>
      <c r="C327" s="2">
        <v>45221</v>
      </c>
      <c r="D327" s="3">
        <v>0.50277777777777777</v>
      </c>
      <c r="E327" s="1" t="s">
        <v>1085</v>
      </c>
      <c r="F327">
        <v>69</v>
      </c>
      <c r="G327" s="1" t="s">
        <v>806</v>
      </c>
    </row>
    <row r="328" spans="1:7" x14ac:dyDescent="0.25">
      <c r="A328" s="1" t="s">
        <v>1073</v>
      </c>
      <c r="B328" t="str">
        <f>_xlfn.XLOOKUP(Logs__3[[#This Row],[Cell_ID]],Registre_Maintenance[ID_Antenne],Registre_Maintenance[Province_RDC],"Pas de correspondance")</f>
        <v>Haut-Uele</v>
      </c>
      <c r="C328" s="2">
        <v>45204</v>
      </c>
      <c r="D328" s="3">
        <v>0.98611111111111116</v>
      </c>
      <c r="E328" s="1" t="s">
        <v>1086</v>
      </c>
      <c r="F328">
        <v>76</v>
      </c>
      <c r="G328" s="1" t="s">
        <v>809</v>
      </c>
    </row>
    <row r="329" spans="1:7" x14ac:dyDescent="0.25">
      <c r="A329" s="1" t="s">
        <v>1073</v>
      </c>
      <c r="B329" t="str">
        <f>_xlfn.XLOOKUP(Logs__3[[#This Row],[Cell_ID]],Registre_Maintenance[ID_Antenne],Registre_Maintenance[Province_RDC],"Pas de correspondance")</f>
        <v>Pas de correspondance</v>
      </c>
      <c r="C329" s="2">
        <v>45200</v>
      </c>
      <c r="D329" s="3">
        <v>0.11597222222222223</v>
      </c>
      <c r="E329" s="1" t="s">
        <v>821</v>
      </c>
      <c r="F329">
        <v>111</v>
      </c>
      <c r="G329" s="1" t="s">
        <v>811</v>
      </c>
    </row>
    <row r="330" spans="1:7" x14ac:dyDescent="0.25">
      <c r="A330" s="1" t="s">
        <v>1073</v>
      </c>
      <c r="B330" t="str">
        <f>_xlfn.XLOOKUP(Logs__3[[#This Row],[Cell_ID]],Registre_Maintenance[ID_Antenne],Registre_Maintenance[Province_RDC],"Pas de correspondance")</f>
        <v>Maniema</v>
      </c>
      <c r="C330" s="2">
        <v>45216</v>
      </c>
      <c r="D330" s="3">
        <v>0.26666666666666666</v>
      </c>
      <c r="E330" s="1" t="s">
        <v>964</v>
      </c>
      <c r="F330">
        <v>90</v>
      </c>
      <c r="G330" s="1" t="s">
        <v>811</v>
      </c>
    </row>
    <row r="331" spans="1:7" x14ac:dyDescent="0.25">
      <c r="A331" s="1" t="s">
        <v>1073</v>
      </c>
      <c r="B331" t="str">
        <f>_xlfn.XLOOKUP(Logs__3[[#This Row],[Cell_ID]],Registre_Maintenance[ID_Antenne],Registre_Maintenance[Province_RDC],"Pas de correspondance")</f>
        <v>Pas de correspondance</v>
      </c>
      <c r="C331" s="2">
        <v>45213</v>
      </c>
      <c r="D331" s="3">
        <v>0.59791666666666665</v>
      </c>
      <c r="E331" s="1" t="s">
        <v>1087</v>
      </c>
      <c r="F331">
        <v>108</v>
      </c>
      <c r="G331" s="1" t="s">
        <v>809</v>
      </c>
    </row>
    <row r="332" spans="1:7" x14ac:dyDescent="0.25">
      <c r="A332" s="1" t="s">
        <v>1073</v>
      </c>
      <c r="B332" t="str">
        <f>_xlfn.XLOOKUP(Logs__3[[#This Row],[Cell_ID]],Registre_Maintenance[ID_Antenne],Registre_Maintenance[Province_RDC],"Pas de correspondance")</f>
        <v>Haut-Lomami</v>
      </c>
      <c r="C332" s="2">
        <v>45205</v>
      </c>
      <c r="D332" s="3">
        <v>0.47152777777777777</v>
      </c>
      <c r="E332" s="1" t="s">
        <v>1088</v>
      </c>
      <c r="F332">
        <v>50</v>
      </c>
      <c r="G332" s="1" t="s">
        <v>809</v>
      </c>
    </row>
    <row r="333" spans="1:7" x14ac:dyDescent="0.25">
      <c r="A333" s="1" t="s">
        <v>1073</v>
      </c>
      <c r="B333" t="str">
        <f>_xlfn.XLOOKUP(Logs__3[[#This Row],[Cell_ID]],Registre_Maintenance[ID_Antenne],Registre_Maintenance[Province_RDC],"Pas de correspondance")</f>
        <v>Tshuapa</v>
      </c>
      <c r="C333" s="2">
        <v>45223</v>
      </c>
      <c r="D333" s="3">
        <v>0.45069444444444445</v>
      </c>
      <c r="E333" s="1" t="s">
        <v>1089</v>
      </c>
      <c r="F333">
        <v>14</v>
      </c>
      <c r="G333" s="1" t="s">
        <v>811</v>
      </c>
    </row>
    <row r="334" spans="1:7" x14ac:dyDescent="0.25">
      <c r="A334" s="1" t="s">
        <v>1073</v>
      </c>
      <c r="B334" t="str">
        <f>_xlfn.XLOOKUP(Logs__3[[#This Row],[Cell_ID]],Registre_Maintenance[ID_Antenne],Registre_Maintenance[Province_RDC],"Pas de correspondance")</f>
        <v>Pas de correspondance</v>
      </c>
      <c r="C334" s="2">
        <v>45230</v>
      </c>
      <c r="D334" s="3">
        <v>0.77638888888888891</v>
      </c>
      <c r="E334" s="1" t="s">
        <v>1090</v>
      </c>
      <c r="F334">
        <v>55</v>
      </c>
      <c r="G334" s="1" t="s">
        <v>809</v>
      </c>
    </row>
    <row r="335" spans="1:7" x14ac:dyDescent="0.25">
      <c r="A335" s="1" t="s">
        <v>1073</v>
      </c>
      <c r="B335" t="str">
        <f>_xlfn.XLOOKUP(Logs__3[[#This Row],[Cell_ID]],Registre_Maintenance[ID_Antenne],Registre_Maintenance[Province_RDC],"Pas de correspondance")</f>
        <v>Pas de correspondance</v>
      </c>
      <c r="C335" s="2">
        <v>45202</v>
      </c>
      <c r="D335" s="3">
        <v>4.791666666666667E-2</v>
      </c>
      <c r="E335" s="1" t="s">
        <v>1091</v>
      </c>
      <c r="F335">
        <v>115</v>
      </c>
      <c r="G335" s="1" t="s">
        <v>809</v>
      </c>
    </row>
    <row r="336" spans="1:7" x14ac:dyDescent="0.25">
      <c r="A336" s="1" t="s">
        <v>1073</v>
      </c>
      <c r="B336" t="str">
        <f>_xlfn.XLOOKUP(Logs__3[[#This Row],[Cell_ID]],Registre_Maintenance[ID_Antenne],Registre_Maintenance[Province_RDC],"Pas de correspondance")</f>
        <v>Pas de correspondance</v>
      </c>
      <c r="C336" s="2">
        <v>45205</v>
      </c>
      <c r="D336" s="3">
        <v>0.79374999999999996</v>
      </c>
      <c r="E336" s="1" t="s">
        <v>1092</v>
      </c>
      <c r="F336">
        <v>99</v>
      </c>
      <c r="G336" s="1" t="s">
        <v>809</v>
      </c>
    </row>
    <row r="337" spans="1:7" x14ac:dyDescent="0.25">
      <c r="A337" s="1" t="s">
        <v>1073</v>
      </c>
      <c r="B337" t="str">
        <f>_xlfn.XLOOKUP(Logs__3[[#This Row],[Cell_ID]],Registre_Maintenance[ID_Antenne],Registre_Maintenance[Province_RDC],"Pas de correspondance")</f>
        <v>Pas de correspondance</v>
      </c>
      <c r="C337" s="2"/>
      <c r="D337" s="3"/>
      <c r="E337" s="1" t="s">
        <v>822</v>
      </c>
      <c r="F337">
        <v>10</v>
      </c>
      <c r="G337" s="1" t="s">
        <v>809</v>
      </c>
    </row>
    <row r="338" spans="1:7" x14ac:dyDescent="0.25">
      <c r="A338" s="1" t="s">
        <v>1073</v>
      </c>
      <c r="B338" t="str">
        <f>_xlfn.XLOOKUP(Logs__3[[#This Row],[Cell_ID]],Registre_Maintenance[ID_Antenne],Registre_Maintenance[Province_RDC],"Pas de correspondance")</f>
        <v>Pas de correspondance</v>
      </c>
      <c r="C338" s="2">
        <v>45214</v>
      </c>
      <c r="D338" s="3">
        <v>0.89375000000000004</v>
      </c>
      <c r="E338" s="1" t="s">
        <v>1093</v>
      </c>
      <c r="F338">
        <v>60</v>
      </c>
      <c r="G338" s="1" t="s">
        <v>809</v>
      </c>
    </row>
    <row r="339" spans="1:7" x14ac:dyDescent="0.25">
      <c r="A339" s="1" t="s">
        <v>1073</v>
      </c>
      <c r="B339" t="str">
        <f>_xlfn.XLOOKUP(Logs__3[[#This Row],[Cell_ID]],Registre_Maintenance[ID_Antenne],Registre_Maintenance[Province_RDC],"Pas de correspondance")</f>
        <v>Pas de correspondance</v>
      </c>
      <c r="C339" s="2">
        <v>45215</v>
      </c>
      <c r="D339" s="3">
        <v>0.81111111111111112</v>
      </c>
      <c r="E339" s="1" t="s">
        <v>973</v>
      </c>
      <c r="F339">
        <v>7</v>
      </c>
      <c r="G339" s="1" t="s">
        <v>811</v>
      </c>
    </row>
    <row r="340" spans="1:7" x14ac:dyDescent="0.25">
      <c r="A340" s="1" t="s">
        <v>1073</v>
      </c>
      <c r="B340" t="str">
        <f>_xlfn.XLOOKUP(Logs__3[[#This Row],[Cell_ID]],Registre_Maintenance[ID_Antenne],Registre_Maintenance[Province_RDC],"Pas de correspondance")</f>
        <v>Pas de correspondance</v>
      </c>
      <c r="C340" s="2">
        <v>45213</v>
      </c>
      <c r="D340" s="3">
        <v>0.34236111111111112</v>
      </c>
      <c r="E340" s="1" t="s">
        <v>1094</v>
      </c>
      <c r="F340">
        <v>63</v>
      </c>
      <c r="G340" s="1" t="s">
        <v>809</v>
      </c>
    </row>
    <row r="341" spans="1:7" x14ac:dyDescent="0.25">
      <c r="A341" s="1" t="s">
        <v>1073</v>
      </c>
      <c r="B341" t="str">
        <f>_xlfn.XLOOKUP(Logs__3[[#This Row],[Cell_ID]],Registre_Maintenance[ID_Antenne],Registre_Maintenance[Province_RDC],"Pas de correspondance")</f>
        <v>Pas de correspondance</v>
      </c>
      <c r="C341" s="2">
        <v>45224</v>
      </c>
      <c r="D341" s="3">
        <v>0.67152777777777772</v>
      </c>
      <c r="E341" s="1" t="s">
        <v>961</v>
      </c>
      <c r="F341">
        <v>14</v>
      </c>
      <c r="G341" s="1" t="s">
        <v>811</v>
      </c>
    </row>
    <row r="342" spans="1:7" x14ac:dyDescent="0.25">
      <c r="A342" s="1" t="s">
        <v>1073</v>
      </c>
      <c r="B342" t="str">
        <f>_xlfn.XLOOKUP(Logs__3[[#This Row],[Cell_ID]],Registre_Maintenance[ID_Antenne],Registre_Maintenance[Province_RDC],"Pas de correspondance")</f>
        <v>Pas de correspondance</v>
      </c>
      <c r="C342" s="2">
        <v>45211</v>
      </c>
      <c r="D342" s="3">
        <v>0.54652777777777772</v>
      </c>
      <c r="E342" s="1" t="s">
        <v>868</v>
      </c>
      <c r="F342">
        <v>115</v>
      </c>
      <c r="G342" s="1" t="s">
        <v>806</v>
      </c>
    </row>
    <row r="343" spans="1:7" x14ac:dyDescent="0.25">
      <c r="A343" s="1" t="s">
        <v>1073</v>
      </c>
      <c r="B343" t="str">
        <f>_xlfn.XLOOKUP(Logs__3[[#This Row],[Cell_ID]],Registre_Maintenance[ID_Antenne],Registre_Maintenance[Province_RDC],"Pas de correspondance")</f>
        <v>Pas de correspondance</v>
      </c>
      <c r="C343" s="2">
        <v>45209</v>
      </c>
      <c r="D343" s="3">
        <v>0.90486111111111112</v>
      </c>
      <c r="E343" s="1" t="s">
        <v>833</v>
      </c>
      <c r="F343">
        <v>45</v>
      </c>
      <c r="G343" s="1" t="s">
        <v>811</v>
      </c>
    </row>
    <row r="344" spans="1:7" x14ac:dyDescent="0.25">
      <c r="A344" s="1" t="s">
        <v>1073</v>
      </c>
      <c r="B344" t="str">
        <f>_xlfn.XLOOKUP(Logs__3[[#This Row],[Cell_ID]],Registre_Maintenance[ID_Antenne],Registre_Maintenance[Province_RDC],"Pas de correspondance")</f>
        <v>Pas de correspondance</v>
      </c>
      <c r="C344" s="2">
        <v>45218</v>
      </c>
      <c r="D344" s="3">
        <v>0.6479166666666667</v>
      </c>
      <c r="E344" s="1" t="s">
        <v>1095</v>
      </c>
      <c r="F344">
        <v>78</v>
      </c>
      <c r="G344" s="1" t="s">
        <v>806</v>
      </c>
    </row>
    <row r="345" spans="1:7" x14ac:dyDescent="0.25">
      <c r="A345" s="1" t="s">
        <v>1073</v>
      </c>
      <c r="B345" t="str">
        <f>_xlfn.XLOOKUP(Logs__3[[#This Row],[Cell_ID]],Registre_Maintenance[ID_Antenne],Registre_Maintenance[Province_RDC],"Pas de correspondance")</f>
        <v>Maniema</v>
      </c>
      <c r="C345" s="2">
        <v>45221</v>
      </c>
      <c r="D345" s="3">
        <v>0.37638888888888888</v>
      </c>
      <c r="E345" s="1" t="s">
        <v>1096</v>
      </c>
      <c r="F345">
        <v>59</v>
      </c>
      <c r="G345" s="1" t="s">
        <v>811</v>
      </c>
    </row>
    <row r="346" spans="1:7" x14ac:dyDescent="0.25">
      <c r="A346" s="1" t="s">
        <v>1073</v>
      </c>
      <c r="B346" t="str">
        <f>_xlfn.XLOOKUP(Logs__3[[#This Row],[Cell_ID]],Registre_Maintenance[ID_Antenne],Registre_Maintenance[Province_RDC],"Pas de correspondance")</f>
        <v>Haut-Katanga</v>
      </c>
      <c r="C346" s="2">
        <v>45207</v>
      </c>
      <c r="D346" s="3">
        <v>0.52638888888888891</v>
      </c>
      <c r="E346" s="1" t="s">
        <v>1097</v>
      </c>
      <c r="F346">
        <v>78</v>
      </c>
      <c r="G346" s="1" t="s">
        <v>811</v>
      </c>
    </row>
    <row r="347" spans="1:7" x14ac:dyDescent="0.25">
      <c r="A347" s="1" t="s">
        <v>1073</v>
      </c>
      <c r="B347" t="str">
        <f>_xlfn.XLOOKUP(Logs__3[[#This Row],[Cell_ID]],Registre_Maintenance[ID_Antenne],Registre_Maintenance[Province_RDC],"Pas de correspondance")</f>
        <v>Nord-Ubangi</v>
      </c>
      <c r="C347" s="2">
        <v>45201</v>
      </c>
      <c r="D347" s="3">
        <v>9.0277777777777769E-3</v>
      </c>
      <c r="E347" s="1" t="s">
        <v>1064</v>
      </c>
      <c r="F347">
        <v>56</v>
      </c>
      <c r="G347" s="1" t="s">
        <v>809</v>
      </c>
    </row>
    <row r="348" spans="1:7" x14ac:dyDescent="0.25">
      <c r="A348" s="1" t="s">
        <v>1098</v>
      </c>
      <c r="B348" t="str">
        <f>_xlfn.XLOOKUP(Logs__3[[#This Row],[Cell_ID]],Registre_Maintenance[ID_Antenne],Registre_Maintenance[Province_RDC],"Pas de correspondance")</f>
        <v>Haut-Katanga</v>
      </c>
      <c r="C348" s="2">
        <v>45201</v>
      </c>
      <c r="D348" s="3">
        <v>5.7638888888888892E-2</v>
      </c>
      <c r="E348" s="1" t="s">
        <v>1099</v>
      </c>
      <c r="F348">
        <v>103</v>
      </c>
      <c r="G348" s="1" t="s">
        <v>806</v>
      </c>
    </row>
    <row r="349" spans="1:7" x14ac:dyDescent="0.25">
      <c r="A349" s="1" t="s">
        <v>1098</v>
      </c>
      <c r="B349" t="str">
        <f>_xlfn.XLOOKUP(Logs__3[[#This Row],[Cell_ID]],Registre_Maintenance[ID_Antenne],Registre_Maintenance[Province_RDC],"Pas de correspondance")</f>
        <v>Mongala</v>
      </c>
      <c r="C349" s="2">
        <v>45226</v>
      </c>
      <c r="D349" s="3">
        <v>0.37777777777777777</v>
      </c>
      <c r="E349" s="1" t="s">
        <v>1100</v>
      </c>
      <c r="F349">
        <v>74</v>
      </c>
      <c r="G349" s="1" t="s">
        <v>811</v>
      </c>
    </row>
    <row r="350" spans="1:7" x14ac:dyDescent="0.25">
      <c r="A350" s="1" t="s">
        <v>1098</v>
      </c>
      <c r="B350" t="str">
        <f>_xlfn.XLOOKUP(Logs__3[[#This Row],[Cell_ID]],Registre_Maintenance[ID_Antenne],Registre_Maintenance[Province_RDC],"Pas de correspondance")</f>
        <v>Pas de correspondance</v>
      </c>
      <c r="C350" s="2">
        <v>45220</v>
      </c>
      <c r="D350" s="3">
        <v>0.11041666666666666</v>
      </c>
      <c r="E350" s="1" t="s">
        <v>1101</v>
      </c>
      <c r="F350">
        <v>111</v>
      </c>
      <c r="G350" s="1" t="s">
        <v>811</v>
      </c>
    </row>
    <row r="351" spans="1:7" x14ac:dyDescent="0.25">
      <c r="A351" s="1" t="s">
        <v>1098</v>
      </c>
      <c r="B351" t="str">
        <f>_xlfn.XLOOKUP(Logs__3[[#This Row],[Cell_ID]],Registre_Maintenance[ID_Antenne],Registre_Maintenance[Province_RDC],"Pas de correspondance")</f>
        <v>Kongo-Central</v>
      </c>
      <c r="C351" s="2">
        <v>45219</v>
      </c>
      <c r="D351" s="3">
        <v>0.68333333333333335</v>
      </c>
      <c r="E351" s="1" t="s">
        <v>1102</v>
      </c>
      <c r="F351">
        <v>99</v>
      </c>
      <c r="G351" s="1" t="s">
        <v>809</v>
      </c>
    </row>
    <row r="352" spans="1:7" x14ac:dyDescent="0.25">
      <c r="A352" s="1" t="s">
        <v>1098</v>
      </c>
      <c r="B352" t="str">
        <f>_xlfn.XLOOKUP(Logs__3[[#This Row],[Cell_ID]],Registre_Maintenance[ID_Antenne],Registre_Maintenance[Province_RDC],"Pas de correspondance")</f>
        <v>Sud-Ubangi</v>
      </c>
      <c r="C352" s="2">
        <v>45214</v>
      </c>
      <c r="D352" s="3">
        <v>0.77430555555555558</v>
      </c>
      <c r="E352" s="1" t="s">
        <v>884</v>
      </c>
      <c r="F352">
        <v>118</v>
      </c>
      <c r="G352" s="1" t="s">
        <v>806</v>
      </c>
    </row>
    <row r="353" spans="1:7" x14ac:dyDescent="0.25">
      <c r="A353" s="1" t="s">
        <v>1098</v>
      </c>
      <c r="B353" t="str">
        <f>_xlfn.XLOOKUP(Logs__3[[#This Row],[Cell_ID]],Registre_Maintenance[ID_Antenne],Registre_Maintenance[Province_RDC],"Pas de correspondance")</f>
        <v>Ituri</v>
      </c>
      <c r="C353" s="2">
        <v>45230</v>
      </c>
      <c r="D353" s="3">
        <v>0.99791666666666667</v>
      </c>
      <c r="E353" s="1" t="s">
        <v>1103</v>
      </c>
      <c r="F353">
        <v>72</v>
      </c>
      <c r="G353" s="1" t="s">
        <v>811</v>
      </c>
    </row>
    <row r="354" spans="1:7" x14ac:dyDescent="0.25">
      <c r="A354" s="1" t="s">
        <v>1098</v>
      </c>
      <c r="B354" t="str">
        <f>_xlfn.XLOOKUP(Logs__3[[#This Row],[Cell_ID]],Registre_Maintenance[ID_Antenne],Registre_Maintenance[Province_RDC],"Pas de correspondance")</f>
        <v>Pas de correspondance</v>
      </c>
      <c r="C354" s="2">
        <v>45201</v>
      </c>
      <c r="D354" s="3">
        <v>0.62361111111111112</v>
      </c>
      <c r="E354" s="1" t="s">
        <v>1104</v>
      </c>
      <c r="F354">
        <v>9</v>
      </c>
      <c r="G354" s="1" t="s">
        <v>806</v>
      </c>
    </row>
    <row r="355" spans="1:7" x14ac:dyDescent="0.25">
      <c r="A355" s="1" t="s">
        <v>1098</v>
      </c>
      <c r="B355" t="str">
        <f>_xlfn.XLOOKUP(Logs__3[[#This Row],[Cell_ID]],Registre_Maintenance[ID_Antenne],Registre_Maintenance[Province_RDC],"Pas de correspondance")</f>
        <v>Pas de correspondance</v>
      </c>
      <c r="C355" s="2">
        <v>45225</v>
      </c>
      <c r="D355" s="3">
        <v>0.77847222222222223</v>
      </c>
      <c r="E355" s="1" t="s">
        <v>1105</v>
      </c>
      <c r="F355">
        <v>89</v>
      </c>
      <c r="G355" s="1" t="s">
        <v>806</v>
      </c>
    </row>
    <row r="356" spans="1:7" x14ac:dyDescent="0.25">
      <c r="A356" s="1" t="s">
        <v>1098</v>
      </c>
      <c r="B356" t="str">
        <f>_xlfn.XLOOKUP(Logs__3[[#This Row],[Cell_ID]],Registre_Maintenance[ID_Antenne],Registre_Maintenance[Province_RDC],"Pas de correspondance")</f>
        <v>Haut-Lomami</v>
      </c>
      <c r="C356" s="2">
        <v>45206</v>
      </c>
      <c r="D356" s="3">
        <v>0.44305555555555554</v>
      </c>
      <c r="E356" s="1" t="s">
        <v>1106</v>
      </c>
      <c r="F356">
        <v>48</v>
      </c>
      <c r="G356" s="1" t="s">
        <v>811</v>
      </c>
    </row>
    <row r="357" spans="1:7" x14ac:dyDescent="0.25">
      <c r="A357" s="1" t="s">
        <v>1098</v>
      </c>
      <c r="B357" t="str">
        <f>_xlfn.XLOOKUP(Logs__3[[#This Row],[Cell_ID]],Registre_Maintenance[ID_Antenne],Registre_Maintenance[Province_RDC],"Pas de correspondance")</f>
        <v>Nord-Kivu</v>
      </c>
      <c r="C357" s="2">
        <v>45215</v>
      </c>
      <c r="D357" s="3">
        <v>0.67291666666666672</v>
      </c>
      <c r="E357" s="1" t="s">
        <v>852</v>
      </c>
      <c r="F357">
        <v>117</v>
      </c>
      <c r="G357" s="1" t="s">
        <v>811</v>
      </c>
    </row>
    <row r="358" spans="1:7" x14ac:dyDescent="0.25">
      <c r="A358" s="1" t="s">
        <v>1098</v>
      </c>
      <c r="B358" t="str">
        <f>_xlfn.XLOOKUP(Logs__3[[#This Row],[Cell_ID]],Registre_Maintenance[ID_Antenne],Registre_Maintenance[Province_RDC],"Pas de correspondance")</f>
        <v>Pas de correspondance</v>
      </c>
      <c r="C358" s="2">
        <v>45230</v>
      </c>
      <c r="D358" s="3">
        <v>6.1111111111111109E-2</v>
      </c>
      <c r="E358" s="1" t="s">
        <v>1107</v>
      </c>
      <c r="F358">
        <v>103</v>
      </c>
      <c r="G358" s="1" t="s">
        <v>806</v>
      </c>
    </row>
    <row r="359" spans="1:7" x14ac:dyDescent="0.25">
      <c r="A359" s="1" t="s">
        <v>1098</v>
      </c>
      <c r="B359" t="str">
        <f>_xlfn.XLOOKUP(Logs__3[[#This Row],[Cell_ID]],Registre_Maintenance[ID_Antenne],Registre_Maintenance[Province_RDC],"Pas de correspondance")</f>
        <v>Pas de correspondance</v>
      </c>
      <c r="C359" s="2">
        <v>45203</v>
      </c>
      <c r="D359" s="3">
        <v>0.44791666666666669</v>
      </c>
      <c r="E359" s="1" t="s">
        <v>1025</v>
      </c>
      <c r="F359">
        <v>84</v>
      </c>
      <c r="G359" s="1" t="s">
        <v>811</v>
      </c>
    </row>
    <row r="360" spans="1:7" x14ac:dyDescent="0.25">
      <c r="A360" s="1" t="s">
        <v>1098</v>
      </c>
      <c r="B360" t="str">
        <f>_xlfn.XLOOKUP(Logs__3[[#This Row],[Cell_ID]],Registre_Maintenance[ID_Antenne],Registre_Maintenance[Province_RDC],"Pas de correspondance")</f>
        <v>Pas de correspondance</v>
      </c>
      <c r="C360" s="2">
        <v>45202</v>
      </c>
      <c r="D360" s="3">
        <v>0.69513888888888886</v>
      </c>
      <c r="E360" s="1" t="s">
        <v>1108</v>
      </c>
      <c r="F360">
        <v>21</v>
      </c>
      <c r="G360" s="1" t="s">
        <v>806</v>
      </c>
    </row>
    <row r="361" spans="1:7" x14ac:dyDescent="0.25">
      <c r="A361" s="1" t="s">
        <v>1098</v>
      </c>
      <c r="B361" t="str">
        <f>_xlfn.XLOOKUP(Logs__3[[#This Row],[Cell_ID]],Registre_Maintenance[ID_Antenne],Registre_Maintenance[Province_RDC],"Pas de correspondance")</f>
        <v>Kasaï</v>
      </c>
      <c r="C361" s="2">
        <v>45205</v>
      </c>
      <c r="D361" s="3">
        <v>5.2083333333333336E-2</v>
      </c>
      <c r="E361" s="1" t="s">
        <v>1109</v>
      </c>
      <c r="F361">
        <v>81</v>
      </c>
      <c r="G361" s="1" t="s">
        <v>811</v>
      </c>
    </row>
    <row r="362" spans="1:7" x14ac:dyDescent="0.25">
      <c r="A362" s="1" t="s">
        <v>1098</v>
      </c>
      <c r="B362" t="str">
        <f>_xlfn.XLOOKUP(Logs__3[[#This Row],[Cell_ID]],Registre_Maintenance[ID_Antenne],Registre_Maintenance[Province_RDC],"Pas de correspondance")</f>
        <v>Pas de correspondance</v>
      </c>
      <c r="C362" s="2">
        <v>45222</v>
      </c>
      <c r="D362" s="3">
        <v>0.60277777777777775</v>
      </c>
      <c r="E362" s="1" t="s">
        <v>1110</v>
      </c>
      <c r="F362">
        <v>53</v>
      </c>
      <c r="G362" s="1" t="s">
        <v>809</v>
      </c>
    </row>
    <row r="363" spans="1:7" x14ac:dyDescent="0.25">
      <c r="A363" s="1" t="s">
        <v>1098</v>
      </c>
      <c r="B363" t="str">
        <f>_xlfn.XLOOKUP(Logs__3[[#This Row],[Cell_ID]],Registre_Maintenance[ID_Antenne],Registre_Maintenance[Province_RDC],"Pas de correspondance")</f>
        <v>Haut-Uele</v>
      </c>
      <c r="C363" s="2">
        <v>45216</v>
      </c>
      <c r="D363" s="3">
        <v>0.69374999999999998</v>
      </c>
      <c r="E363" s="1" t="s">
        <v>925</v>
      </c>
      <c r="F363">
        <v>24</v>
      </c>
      <c r="G363" s="1" t="s">
        <v>811</v>
      </c>
    </row>
    <row r="364" spans="1:7" x14ac:dyDescent="0.25">
      <c r="A364" s="1" t="s">
        <v>1098</v>
      </c>
      <c r="B364" t="str">
        <f>_xlfn.XLOOKUP(Logs__3[[#This Row],[Cell_ID]],Registre_Maintenance[ID_Antenne],Registre_Maintenance[Province_RDC],"Pas de correspondance")</f>
        <v>Pas de correspondance</v>
      </c>
      <c r="C364" s="2">
        <v>45205</v>
      </c>
      <c r="D364" s="3">
        <v>0.47430555555555554</v>
      </c>
      <c r="E364" s="1" t="s">
        <v>1111</v>
      </c>
      <c r="F364">
        <v>25</v>
      </c>
      <c r="G364" s="1" t="s">
        <v>806</v>
      </c>
    </row>
    <row r="365" spans="1:7" x14ac:dyDescent="0.25">
      <c r="A365" s="1" t="s">
        <v>1098</v>
      </c>
      <c r="B365" t="str">
        <f>_xlfn.XLOOKUP(Logs__3[[#This Row],[Cell_ID]],Registre_Maintenance[ID_Antenne],Registre_Maintenance[Province_RDC],"Pas de correspondance")</f>
        <v>Lualaba</v>
      </c>
      <c r="C365" s="2">
        <v>45229</v>
      </c>
      <c r="D365" s="3">
        <v>0.39166666666666666</v>
      </c>
      <c r="E365" s="1" t="s">
        <v>1112</v>
      </c>
      <c r="F365">
        <v>28</v>
      </c>
      <c r="G365" s="1" t="s">
        <v>811</v>
      </c>
    </row>
    <row r="366" spans="1:7" x14ac:dyDescent="0.25">
      <c r="A366" s="1" t="s">
        <v>1098</v>
      </c>
      <c r="B366" t="str">
        <f>_xlfn.XLOOKUP(Logs__3[[#This Row],[Cell_ID]],Registre_Maintenance[ID_Antenne],Registre_Maintenance[Province_RDC],"Pas de correspondance")</f>
        <v>Pas de correspondance</v>
      </c>
      <c r="C366" s="2">
        <v>45213</v>
      </c>
      <c r="D366" s="3">
        <v>0.4465277777777778</v>
      </c>
      <c r="E366" s="1" t="s">
        <v>1113</v>
      </c>
      <c r="F366">
        <v>111</v>
      </c>
      <c r="G366" s="1" t="s">
        <v>806</v>
      </c>
    </row>
    <row r="367" spans="1:7" x14ac:dyDescent="0.25">
      <c r="A367" s="1" t="s">
        <v>1098</v>
      </c>
      <c r="B367" t="str">
        <f>_xlfn.XLOOKUP(Logs__3[[#This Row],[Cell_ID]],Registre_Maintenance[ID_Antenne],Registre_Maintenance[Province_RDC],"Pas de correspondance")</f>
        <v>Pas de correspondance</v>
      </c>
      <c r="C367" s="2">
        <v>45219</v>
      </c>
      <c r="D367" s="3">
        <v>7.6388888888888895E-2</v>
      </c>
      <c r="E367" s="1" t="s">
        <v>1114</v>
      </c>
      <c r="F367">
        <v>93</v>
      </c>
      <c r="G367" s="1" t="s">
        <v>811</v>
      </c>
    </row>
    <row r="368" spans="1:7" x14ac:dyDescent="0.25">
      <c r="A368" s="1" t="s">
        <v>1098</v>
      </c>
      <c r="B368" t="str">
        <f>_xlfn.XLOOKUP(Logs__3[[#This Row],[Cell_ID]],Registre_Maintenance[ID_Antenne],Registre_Maintenance[Province_RDC],"Pas de correspondance")</f>
        <v>Kongo-Central</v>
      </c>
      <c r="C368" s="2">
        <v>45220</v>
      </c>
      <c r="D368" s="3">
        <v>0.84791666666666665</v>
      </c>
      <c r="E368" s="1" t="s">
        <v>1077</v>
      </c>
      <c r="F368">
        <v>103</v>
      </c>
      <c r="G368" s="1" t="s">
        <v>806</v>
      </c>
    </row>
    <row r="369" spans="1:7" x14ac:dyDescent="0.25">
      <c r="A369" s="1" t="s">
        <v>1098</v>
      </c>
      <c r="B369" t="str">
        <f>_xlfn.XLOOKUP(Logs__3[[#This Row],[Cell_ID]],Registre_Maintenance[ID_Antenne],Registre_Maintenance[Province_RDC],"Pas de correspondance")</f>
        <v>Sud-Ubangi</v>
      </c>
      <c r="C369" s="2">
        <v>45202</v>
      </c>
      <c r="D369" s="3">
        <v>0.42083333333333334</v>
      </c>
      <c r="E369" s="1" t="s">
        <v>831</v>
      </c>
      <c r="F369">
        <v>84</v>
      </c>
      <c r="G369" s="1" t="s">
        <v>806</v>
      </c>
    </row>
    <row r="370" spans="1:7" x14ac:dyDescent="0.25">
      <c r="A370" s="1" t="s">
        <v>1098</v>
      </c>
      <c r="B370" t="str">
        <f>_xlfn.XLOOKUP(Logs__3[[#This Row],[Cell_ID]],Registre_Maintenance[ID_Antenne],Registre_Maintenance[Province_RDC],"Pas de correspondance")</f>
        <v>Mongala</v>
      </c>
      <c r="C370" s="2">
        <v>45217</v>
      </c>
      <c r="D370" s="3">
        <v>0.89166666666666672</v>
      </c>
      <c r="E370" s="1" t="s">
        <v>1115</v>
      </c>
      <c r="F370">
        <v>108</v>
      </c>
      <c r="G370" s="1" t="s">
        <v>811</v>
      </c>
    </row>
    <row r="371" spans="1:7" x14ac:dyDescent="0.25">
      <c r="A371" s="1" t="s">
        <v>1098</v>
      </c>
      <c r="B371" t="str">
        <f>_xlfn.XLOOKUP(Logs__3[[#This Row],[Cell_ID]],Registre_Maintenance[ID_Antenne],Registre_Maintenance[Province_RDC],"Pas de correspondance")</f>
        <v>Pas de correspondance</v>
      </c>
      <c r="C371" s="2">
        <v>45209</v>
      </c>
      <c r="D371" s="3">
        <v>0.36527777777777776</v>
      </c>
      <c r="E371" s="1" t="s">
        <v>1116</v>
      </c>
      <c r="F371">
        <v>120</v>
      </c>
      <c r="G371" s="1" t="s">
        <v>806</v>
      </c>
    </row>
    <row r="372" spans="1:7" x14ac:dyDescent="0.25">
      <c r="A372" s="1" t="s">
        <v>1098</v>
      </c>
      <c r="B372" t="str">
        <f>_xlfn.XLOOKUP(Logs__3[[#This Row],[Cell_ID]],Registre_Maintenance[ID_Antenne],Registre_Maintenance[Province_RDC],"Pas de correspondance")</f>
        <v>Ituri</v>
      </c>
      <c r="C372" s="2">
        <v>45227</v>
      </c>
      <c r="D372" s="3">
        <v>0.91527777777777775</v>
      </c>
      <c r="E372" s="1" t="s">
        <v>1079</v>
      </c>
      <c r="F372">
        <v>26</v>
      </c>
      <c r="G372" s="1" t="s">
        <v>809</v>
      </c>
    </row>
    <row r="373" spans="1:7" x14ac:dyDescent="0.25">
      <c r="A373" s="1" t="s">
        <v>1098</v>
      </c>
      <c r="B373" t="str">
        <f>_xlfn.XLOOKUP(Logs__3[[#This Row],[Cell_ID]],Registre_Maintenance[ID_Antenne],Registre_Maintenance[Province_RDC],"Pas de correspondance")</f>
        <v>Pas de correspondance</v>
      </c>
      <c r="C373" s="2">
        <v>45219</v>
      </c>
      <c r="D373" s="3">
        <v>0.18124999999999999</v>
      </c>
      <c r="E373" s="1" t="s">
        <v>1069</v>
      </c>
      <c r="F373">
        <v>97</v>
      </c>
      <c r="G373" s="1" t="s">
        <v>809</v>
      </c>
    </row>
    <row r="374" spans="1:7" x14ac:dyDescent="0.25">
      <c r="A374" s="1" t="s">
        <v>1098</v>
      </c>
      <c r="B374" t="str">
        <f>_xlfn.XLOOKUP(Logs__3[[#This Row],[Cell_ID]],Registre_Maintenance[ID_Antenne],Registre_Maintenance[Province_RDC],"Pas de correspondance")</f>
        <v>Tanganyika</v>
      </c>
      <c r="C374" s="2">
        <v>45202</v>
      </c>
      <c r="D374" s="3">
        <v>0.77916666666666667</v>
      </c>
      <c r="E374" s="1" t="s">
        <v>1117</v>
      </c>
      <c r="F374">
        <v>61</v>
      </c>
      <c r="G374" s="1" t="s">
        <v>811</v>
      </c>
    </row>
    <row r="375" spans="1:7" x14ac:dyDescent="0.25">
      <c r="A375" s="1" t="s">
        <v>1098</v>
      </c>
      <c r="B375" t="str">
        <f>_xlfn.XLOOKUP(Logs__3[[#This Row],[Cell_ID]],Registre_Maintenance[ID_Antenne],Registre_Maintenance[Province_RDC],"Pas de correspondance")</f>
        <v>Nord-Kivu</v>
      </c>
      <c r="C375" s="2">
        <v>45204</v>
      </c>
      <c r="D375" s="3">
        <v>0.47152777777777777</v>
      </c>
      <c r="E375" s="1" t="s">
        <v>1118</v>
      </c>
      <c r="F375">
        <v>10</v>
      </c>
      <c r="G375" s="1" t="s">
        <v>806</v>
      </c>
    </row>
    <row r="376" spans="1:7" x14ac:dyDescent="0.25">
      <c r="A376" s="1" t="s">
        <v>1098</v>
      </c>
      <c r="B376" t="str">
        <f>_xlfn.XLOOKUP(Logs__3[[#This Row],[Cell_ID]],Registre_Maintenance[ID_Antenne],Registre_Maintenance[Province_RDC],"Pas de correspondance")</f>
        <v>Pas de correspondance</v>
      </c>
      <c r="C376" s="2">
        <v>45230</v>
      </c>
      <c r="D376" s="3">
        <v>0.86388888888888893</v>
      </c>
      <c r="E376" s="1" t="s">
        <v>1119</v>
      </c>
      <c r="F376">
        <v>57</v>
      </c>
      <c r="G376" s="1" t="s">
        <v>806</v>
      </c>
    </row>
    <row r="377" spans="1:7" x14ac:dyDescent="0.25">
      <c r="A377" s="1" t="s">
        <v>1098</v>
      </c>
      <c r="B377" t="str">
        <f>_xlfn.XLOOKUP(Logs__3[[#This Row],[Cell_ID]],Registre_Maintenance[ID_Antenne],Registre_Maintenance[Province_RDC],"Pas de correspondance")</f>
        <v>Mongala</v>
      </c>
      <c r="C377" s="2">
        <v>45221</v>
      </c>
      <c r="D377" s="3">
        <v>0.50555555555555554</v>
      </c>
      <c r="E377" s="1" t="s">
        <v>1120</v>
      </c>
      <c r="F377">
        <v>51</v>
      </c>
      <c r="G377" s="1" t="s">
        <v>806</v>
      </c>
    </row>
    <row r="378" spans="1:7" x14ac:dyDescent="0.25">
      <c r="A378" s="1" t="s">
        <v>1098</v>
      </c>
      <c r="B378" t="str">
        <f>_xlfn.XLOOKUP(Logs__3[[#This Row],[Cell_ID]],Registre_Maintenance[ID_Antenne],Registre_Maintenance[Province_RDC],"Pas de correspondance")</f>
        <v>Pas de correspondance</v>
      </c>
      <c r="C378" s="2">
        <v>45219</v>
      </c>
      <c r="D378" s="3">
        <v>0.92013888888888884</v>
      </c>
      <c r="E378" s="1" t="s">
        <v>1121</v>
      </c>
      <c r="F378">
        <v>91</v>
      </c>
      <c r="G378" s="1" t="s">
        <v>811</v>
      </c>
    </row>
    <row r="379" spans="1:7" x14ac:dyDescent="0.25">
      <c r="A379" s="1" t="s">
        <v>1098</v>
      </c>
      <c r="B379" t="str">
        <f>_xlfn.XLOOKUP(Logs__3[[#This Row],[Cell_ID]],Registre_Maintenance[ID_Antenne],Registre_Maintenance[Province_RDC],"Pas de correspondance")</f>
        <v>Pas de correspondance</v>
      </c>
      <c r="C379" s="2">
        <v>45209</v>
      </c>
      <c r="D379" s="3">
        <v>0.72499999999999998</v>
      </c>
      <c r="E379" s="1" t="s">
        <v>1122</v>
      </c>
      <c r="F379">
        <v>97</v>
      </c>
      <c r="G379" s="1" t="s">
        <v>811</v>
      </c>
    </row>
    <row r="380" spans="1:7" x14ac:dyDescent="0.25">
      <c r="A380" s="1" t="s">
        <v>1098</v>
      </c>
      <c r="B380" t="str">
        <f>_xlfn.XLOOKUP(Logs__3[[#This Row],[Cell_ID]],Registre_Maintenance[ID_Antenne],Registre_Maintenance[Province_RDC],"Pas de correspondance")</f>
        <v>Pas de correspondance</v>
      </c>
      <c r="C380" s="2">
        <v>45220</v>
      </c>
      <c r="D380" s="3">
        <v>0.45277777777777778</v>
      </c>
      <c r="E380" s="1" t="s">
        <v>1123</v>
      </c>
      <c r="F380">
        <v>35</v>
      </c>
      <c r="G380" s="1" t="s">
        <v>809</v>
      </c>
    </row>
    <row r="381" spans="1:7" x14ac:dyDescent="0.25">
      <c r="A381" s="1" t="s">
        <v>1098</v>
      </c>
      <c r="B381" t="str">
        <f>_xlfn.XLOOKUP(Logs__3[[#This Row],[Cell_ID]],Registre_Maintenance[ID_Antenne],Registre_Maintenance[Province_RDC],"Pas de correspondance")</f>
        <v>Pas de correspondance</v>
      </c>
      <c r="C381" s="2">
        <v>45204</v>
      </c>
      <c r="D381" s="3">
        <v>0.90555555555555556</v>
      </c>
      <c r="E381" s="1" t="s">
        <v>1124</v>
      </c>
      <c r="F381">
        <v>61</v>
      </c>
      <c r="G381" s="1" t="s">
        <v>806</v>
      </c>
    </row>
    <row r="382" spans="1:7" x14ac:dyDescent="0.25">
      <c r="A382" s="1" t="s">
        <v>1098</v>
      </c>
      <c r="B382" t="str">
        <f>_xlfn.XLOOKUP(Logs__3[[#This Row],[Cell_ID]],Registre_Maintenance[ID_Antenne],Registre_Maintenance[Province_RDC],"Pas de correspondance")</f>
        <v>Pas de correspondance</v>
      </c>
      <c r="C382" s="2">
        <v>45226</v>
      </c>
      <c r="D382" s="3">
        <v>0.98819444444444449</v>
      </c>
      <c r="E382" s="1" t="s">
        <v>1125</v>
      </c>
      <c r="F382">
        <v>83</v>
      </c>
      <c r="G382" s="1" t="s">
        <v>809</v>
      </c>
    </row>
    <row r="383" spans="1:7" x14ac:dyDescent="0.25">
      <c r="A383" s="1" t="s">
        <v>1098</v>
      </c>
      <c r="B383" t="str">
        <f>_xlfn.XLOOKUP(Logs__3[[#This Row],[Cell_ID]],Registre_Maintenance[ID_Antenne],Registre_Maintenance[Province_RDC],"Pas de correspondance")</f>
        <v>Haut-Lomami</v>
      </c>
      <c r="C383" s="2">
        <v>45229</v>
      </c>
      <c r="D383" s="3">
        <v>0.67013888888888884</v>
      </c>
      <c r="E383" s="1" t="s">
        <v>1126</v>
      </c>
      <c r="F383">
        <v>41</v>
      </c>
      <c r="G383" s="1" t="s">
        <v>811</v>
      </c>
    </row>
    <row r="384" spans="1:7" x14ac:dyDescent="0.25">
      <c r="A384" s="1" t="s">
        <v>1098</v>
      </c>
      <c r="B384" t="str">
        <f>_xlfn.XLOOKUP(Logs__3[[#This Row],[Cell_ID]],Registre_Maintenance[ID_Antenne],Registre_Maintenance[Province_RDC],"Pas de correspondance")</f>
        <v>Bas-Uele</v>
      </c>
      <c r="C384" s="2">
        <v>45220</v>
      </c>
      <c r="D384" s="3">
        <v>0.89375000000000004</v>
      </c>
      <c r="E384" s="1" t="s">
        <v>1127</v>
      </c>
      <c r="F384">
        <v>101</v>
      </c>
      <c r="G384" s="1" t="s">
        <v>811</v>
      </c>
    </row>
    <row r="385" spans="1:7" x14ac:dyDescent="0.25">
      <c r="A385" s="1" t="s">
        <v>1098</v>
      </c>
      <c r="B385" t="str">
        <f>_xlfn.XLOOKUP(Logs__3[[#This Row],[Cell_ID]],Registre_Maintenance[ID_Antenne],Registre_Maintenance[Province_RDC],"Pas de correspondance")</f>
        <v>Pas de correspondance</v>
      </c>
      <c r="C385" s="2">
        <v>45216</v>
      </c>
      <c r="D385" s="3">
        <v>0.45902777777777776</v>
      </c>
      <c r="E385" s="1" t="s">
        <v>954</v>
      </c>
      <c r="F385">
        <v>100</v>
      </c>
      <c r="G385" s="1" t="s">
        <v>809</v>
      </c>
    </row>
    <row r="386" spans="1:7" x14ac:dyDescent="0.25">
      <c r="A386" s="1" t="s">
        <v>1098</v>
      </c>
      <c r="B386" t="str">
        <f>_xlfn.XLOOKUP(Logs__3[[#This Row],[Cell_ID]],Registre_Maintenance[ID_Antenne],Registre_Maintenance[Province_RDC],"Pas de correspondance")</f>
        <v>Pas de correspondance</v>
      </c>
      <c r="C386" s="2">
        <v>45211</v>
      </c>
      <c r="D386" s="3">
        <v>0.38263888888888886</v>
      </c>
      <c r="E386" s="1" t="s">
        <v>861</v>
      </c>
      <c r="F386">
        <v>105</v>
      </c>
      <c r="G386" s="1" t="s">
        <v>806</v>
      </c>
    </row>
    <row r="387" spans="1:7" x14ac:dyDescent="0.25">
      <c r="A387" s="1" t="s">
        <v>1098</v>
      </c>
      <c r="B387" t="str">
        <f>_xlfn.XLOOKUP(Logs__3[[#This Row],[Cell_ID]],Registre_Maintenance[ID_Antenne],Registre_Maintenance[Province_RDC],"Pas de correspondance")</f>
        <v>Mongala</v>
      </c>
      <c r="C387" s="2">
        <v>45230</v>
      </c>
      <c r="D387" s="3">
        <v>0.26458333333333334</v>
      </c>
      <c r="E387" s="1" t="s">
        <v>1128</v>
      </c>
      <c r="F387">
        <v>62</v>
      </c>
      <c r="G387" s="1" t="s">
        <v>806</v>
      </c>
    </row>
    <row r="388" spans="1:7" x14ac:dyDescent="0.25">
      <c r="A388" s="1" t="s">
        <v>1098</v>
      </c>
      <c r="B388" t="str">
        <f>_xlfn.XLOOKUP(Logs__3[[#This Row],[Cell_ID]],Registre_Maintenance[ID_Antenne],Registre_Maintenance[Province_RDC],"Pas de correspondance")</f>
        <v>Kasaï-Oriental</v>
      </c>
      <c r="C388" s="2">
        <v>45230</v>
      </c>
      <c r="D388" s="3">
        <v>0.6333333333333333</v>
      </c>
      <c r="E388" s="1" t="s">
        <v>1129</v>
      </c>
      <c r="F388">
        <v>34</v>
      </c>
      <c r="G388" s="1" t="s">
        <v>806</v>
      </c>
    </row>
    <row r="389" spans="1:7" x14ac:dyDescent="0.25">
      <c r="A389" s="1" t="s">
        <v>1098</v>
      </c>
      <c r="B389" t="str">
        <f>_xlfn.XLOOKUP(Logs__3[[#This Row],[Cell_ID]],Registre_Maintenance[ID_Antenne],Registre_Maintenance[Province_RDC],"Pas de correspondance")</f>
        <v>Pas de correspondance</v>
      </c>
      <c r="C389" s="2">
        <v>45207</v>
      </c>
      <c r="D389" s="3">
        <v>0.17291666666666666</v>
      </c>
      <c r="E389" s="1" t="s">
        <v>1130</v>
      </c>
      <c r="F389">
        <v>73</v>
      </c>
      <c r="G389" s="1" t="s">
        <v>811</v>
      </c>
    </row>
    <row r="390" spans="1:7" x14ac:dyDescent="0.25">
      <c r="A390" s="1" t="s">
        <v>1098</v>
      </c>
      <c r="B390" t="str">
        <f>_xlfn.XLOOKUP(Logs__3[[#This Row],[Cell_ID]],Registre_Maintenance[ID_Antenne],Registre_Maintenance[Province_RDC],"Pas de correspondance")</f>
        <v>Bas-Uele</v>
      </c>
      <c r="C390" s="2">
        <v>45202</v>
      </c>
      <c r="D390" s="3">
        <v>0.41249999999999998</v>
      </c>
      <c r="E390" s="1" t="s">
        <v>1131</v>
      </c>
      <c r="F390">
        <v>35</v>
      </c>
      <c r="G390" s="1" t="s">
        <v>806</v>
      </c>
    </row>
    <row r="391" spans="1:7" x14ac:dyDescent="0.25">
      <c r="A391" s="1" t="s">
        <v>1098</v>
      </c>
      <c r="B391" t="str">
        <f>_xlfn.XLOOKUP(Logs__3[[#This Row],[Cell_ID]],Registre_Maintenance[ID_Antenne],Registre_Maintenance[Province_RDC],"Pas de correspondance")</f>
        <v>Sud-Kivu</v>
      </c>
      <c r="C391" s="2">
        <v>45225</v>
      </c>
      <c r="D391" s="3">
        <v>0.14722222222222223</v>
      </c>
      <c r="E391" s="1" t="s">
        <v>1132</v>
      </c>
      <c r="F391">
        <v>44</v>
      </c>
      <c r="G391" s="1" t="s">
        <v>806</v>
      </c>
    </row>
    <row r="392" spans="1:7" x14ac:dyDescent="0.25">
      <c r="A392" s="1" t="s">
        <v>1133</v>
      </c>
      <c r="B392" t="str">
        <f>_xlfn.XLOOKUP(Logs__3[[#This Row],[Cell_ID]],Registre_Maintenance[ID_Antenne],Registre_Maintenance[Province_RDC],"Pas de correspondance")</f>
        <v>Pas de correspondance</v>
      </c>
      <c r="C392" s="2">
        <v>45207</v>
      </c>
      <c r="D392" s="3">
        <v>0.37986111111111109</v>
      </c>
      <c r="E392" s="1" t="s">
        <v>1055</v>
      </c>
      <c r="F392">
        <v>118</v>
      </c>
      <c r="G392" s="1" t="s">
        <v>811</v>
      </c>
    </row>
    <row r="393" spans="1:7" x14ac:dyDescent="0.25">
      <c r="A393" s="1" t="s">
        <v>1133</v>
      </c>
      <c r="B393" t="str">
        <f>_xlfn.XLOOKUP(Logs__3[[#This Row],[Cell_ID]],Registre_Maintenance[ID_Antenne],Registre_Maintenance[Province_RDC],"Pas de correspondance")</f>
        <v>Pas de correspondance</v>
      </c>
      <c r="C393" s="2">
        <v>45201</v>
      </c>
      <c r="D393" s="3">
        <v>0.30972222222222223</v>
      </c>
      <c r="E393" s="1" t="s">
        <v>1134</v>
      </c>
      <c r="F393">
        <v>56</v>
      </c>
      <c r="G393" s="1" t="s">
        <v>811</v>
      </c>
    </row>
    <row r="394" spans="1:7" x14ac:dyDescent="0.25">
      <c r="A394" s="1" t="s">
        <v>1133</v>
      </c>
      <c r="B394" t="str">
        <f>_xlfn.XLOOKUP(Logs__3[[#This Row],[Cell_ID]],Registre_Maintenance[ID_Antenne],Registre_Maintenance[Province_RDC],"Pas de correspondance")</f>
        <v>Kwilu</v>
      </c>
      <c r="C394" s="2">
        <v>45220</v>
      </c>
      <c r="D394" s="3">
        <v>0.81180555555555556</v>
      </c>
      <c r="E394" s="1" t="s">
        <v>1135</v>
      </c>
      <c r="F394">
        <v>100</v>
      </c>
      <c r="G394" s="1" t="s">
        <v>811</v>
      </c>
    </row>
    <row r="395" spans="1:7" x14ac:dyDescent="0.25">
      <c r="A395" s="1" t="s">
        <v>1133</v>
      </c>
      <c r="B395" t="str">
        <f>_xlfn.XLOOKUP(Logs__3[[#This Row],[Cell_ID]],Registre_Maintenance[ID_Antenne],Registre_Maintenance[Province_RDC],"Pas de correspondance")</f>
        <v>Nord-Kivu</v>
      </c>
      <c r="C395" s="2">
        <v>45202</v>
      </c>
      <c r="D395" s="3">
        <v>0.16180555555555556</v>
      </c>
      <c r="E395" s="1" t="s">
        <v>1136</v>
      </c>
      <c r="F395">
        <v>61</v>
      </c>
      <c r="G395" s="1" t="s">
        <v>809</v>
      </c>
    </row>
    <row r="396" spans="1:7" x14ac:dyDescent="0.25">
      <c r="A396" s="1" t="s">
        <v>1133</v>
      </c>
      <c r="B396" t="str">
        <f>_xlfn.XLOOKUP(Logs__3[[#This Row],[Cell_ID]],Registre_Maintenance[ID_Antenne],Registre_Maintenance[Province_RDC],"Pas de correspondance")</f>
        <v>Sud-Kivu</v>
      </c>
      <c r="C396" s="2">
        <v>45228</v>
      </c>
      <c r="D396" s="3">
        <v>0.65138888888888891</v>
      </c>
      <c r="E396" s="1" t="s">
        <v>1137</v>
      </c>
      <c r="F396">
        <v>119</v>
      </c>
      <c r="G396" s="1" t="s">
        <v>806</v>
      </c>
    </row>
    <row r="397" spans="1:7" x14ac:dyDescent="0.25">
      <c r="A397" s="1" t="s">
        <v>1133</v>
      </c>
      <c r="B397" t="str">
        <f>_xlfn.XLOOKUP(Logs__3[[#This Row],[Cell_ID]],Registre_Maintenance[ID_Antenne],Registre_Maintenance[Province_RDC],"Pas de correspondance")</f>
        <v>Pas de correspondance</v>
      </c>
      <c r="C397" s="2">
        <v>45217</v>
      </c>
      <c r="D397" s="3">
        <v>2.7777777777777776E-2</v>
      </c>
      <c r="E397" s="1" t="s">
        <v>987</v>
      </c>
      <c r="F397">
        <v>54</v>
      </c>
      <c r="G397" s="1" t="s">
        <v>809</v>
      </c>
    </row>
    <row r="398" spans="1:7" x14ac:dyDescent="0.25">
      <c r="A398" s="1" t="s">
        <v>1133</v>
      </c>
      <c r="B398" t="str">
        <f>_xlfn.XLOOKUP(Logs__3[[#This Row],[Cell_ID]],Registre_Maintenance[ID_Antenne],Registre_Maintenance[Province_RDC],"Pas de correspondance")</f>
        <v>Ituri</v>
      </c>
      <c r="C398" s="2">
        <v>45216</v>
      </c>
      <c r="D398" s="3">
        <v>0.76041666666666663</v>
      </c>
      <c r="E398" s="1" t="s">
        <v>1138</v>
      </c>
      <c r="F398">
        <v>48</v>
      </c>
      <c r="G398" s="1" t="s">
        <v>806</v>
      </c>
    </row>
    <row r="399" spans="1:7" x14ac:dyDescent="0.25">
      <c r="A399" s="1" t="s">
        <v>1133</v>
      </c>
      <c r="B399" t="str">
        <f>_xlfn.XLOOKUP(Logs__3[[#This Row],[Cell_ID]],Registre_Maintenance[ID_Antenne],Registre_Maintenance[Province_RDC],"Pas de correspondance")</f>
        <v>Kinshasa</v>
      </c>
      <c r="C399" s="2">
        <v>45222</v>
      </c>
      <c r="D399" s="3">
        <v>0.17916666666666667</v>
      </c>
      <c r="E399" s="1" t="s">
        <v>1139</v>
      </c>
      <c r="F399">
        <v>28</v>
      </c>
      <c r="G399" s="1" t="s">
        <v>809</v>
      </c>
    </row>
    <row r="400" spans="1:7" x14ac:dyDescent="0.25">
      <c r="A400" s="1" t="s">
        <v>1133</v>
      </c>
      <c r="B400" t="str">
        <f>_xlfn.XLOOKUP(Logs__3[[#This Row],[Cell_ID]],Registre_Maintenance[ID_Antenne],Registre_Maintenance[Province_RDC],"Pas de correspondance")</f>
        <v>Kwango</v>
      </c>
      <c r="C400" s="2">
        <v>45213</v>
      </c>
      <c r="D400" s="3">
        <v>2.7083333333333334E-2</v>
      </c>
      <c r="E400" s="1" t="s">
        <v>1140</v>
      </c>
      <c r="F400">
        <v>68</v>
      </c>
      <c r="G400" s="1" t="s">
        <v>811</v>
      </c>
    </row>
    <row r="401" spans="1:7" x14ac:dyDescent="0.25">
      <c r="A401" s="1" t="s">
        <v>1133</v>
      </c>
      <c r="B401" t="str">
        <f>_xlfn.XLOOKUP(Logs__3[[#This Row],[Cell_ID]],Registre_Maintenance[ID_Antenne],Registre_Maintenance[Province_RDC],"Pas de correspondance")</f>
        <v>Lualaba</v>
      </c>
      <c r="C401" s="2">
        <v>45211</v>
      </c>
      <c r="D401" s="3">
        <v>0.31666666666666665</v>
      </c>
      <c r="E401" s="1" t="s">
        <v>1141</v>
      </c>
      <c r="F401">
        <v>93</v>
      </c>
      <c r="G401" s="1" t="s">
        <v>811</v>
      </c>
    </row>
    <row r="402" spans="1:7" x14ac:dyDescent="0.25">
      <c r="A402" s="1" t="s">
        <v>1133</v>
      </c>
      <c r="B402" t="str">
        <f>_xlfn.XLOOKUP(Logs__3[[#This Row],[Cell_ID]],Registre_Maintenance[ID_Antenne],Registre_Maintenance[Province_RDC],"Pas de correspondance")</f>
        <v>Pas de correspondance</v>
      </c>
      <c r="C402" s="2">
        <v>45213</v>
      </c>
      <c r="D402" s="3">
        <v>0.23749999999999999</v>
      </c>
      <c r="E402" s="1" t="s">
        <v>930</v>
      </c>
      <c r="F402">
        <v>68</v>
      </c>
      <c r="G402" s="1" t="s">
        <v>811</v>
      </c>
    </row>
    <row r="403" spans="1:7" x14ac:dyDescent="0.25">
      <c r="A403" s="1" t="s">
        <v>1133</v>
      </c>
      <c r="B403" t="str">
        <f>_xlfn.XLOOKUP(Logs__3[[#This Row],[Cell_ID]],Registre_Maintenance[ID_Antenne],Registre_Maintenance[Province_RDC],"Pas de correspondance")</f>
        <v>Pas de correspondance</v>
      </c>
      <c r="C403" s="2">
        <v>45221</v>
      </c>
      <c r="D403" s="3">
        <v>0.10625</v>
      </c>
      <c r="E403" s="1" t="s">
        <v>826</v>
      </c>
      <c r="F403">
        <v>52</v>
      </c>
      <c r="G403" s="1" t="s">
        <v>811</v>
      </c>
    </row>
    <row r="404" spans="1:7" x14ac:dyDescent="0.25">
      <c r="A404" s="1" t="s">
        <v>1133</v>
      </c>
      <c r="B404" t="str">
        <f>_xlfn.XLOOKUP(Logs__3[[#This Row],[Cell_ID]],Registre_Maintenance[ID_Antenne],Registre_Maintenance[Province_RDC],"Pas de correspondance")</f>
        <v>Kasaï</v>
      </c>
      <c r="C404" s="2">
        <v>45211</v>
      </c>
      <c r="D404" s="3">
        <v>0.10625</v>
      </c>
      <c r="E404" s="1" t="s">
        <v>1142</v>
      </c>
      <c r="F404">
        <v>107</v>
      </c>
      <c r="G404" s="1" t="s">
        <v>806</v>
      </c>
    </row>
    <row r="405" spans="1:7" x14ac:dyDescent="0.25">
      <c r="A405" s="1" t="s">
        <v>1133</v>
      </c>
      <c r="B405" t="str">
        <f>_xlfn.XLOOKUP(Logs__3[[#This Row],[Cell_ID]],Registre_Maintenance[ID_Antenne],Registre_Maintenance[Province_RDC],"Pas de correspondance")</f>
        <v>Pas de correspondance</v>
      </c>
      <c r="C405" s="2">
        <v>45217</v>
      </c>
      <c r="D405" s="3">
        <v>0.70138888888888884</v>
      </c>
      <c r="E405" s="1" t="s">
        <v>944</v>
      </c>
      <c r="F405">
        <v>71</v>
      </c>
      <c r="G405" s="1" t="s">
        <v>809</v>
      </c>
    </row>
    <row r="406" spans="1:7" x14ac:dyDescent="0.25">
      <c r="A406" s="1" t="s">
        <v>1133</v>
      </c>
      <c r="B406" t="str">
        <f>_xlfn.XLOOKUP(Logs__3[[#This Row],[Cell_ID]],Registre_Maintenance[ID_Antenne],Registre_Maintenance[Province_RDC],"Pas de correspondance")</f>
        <v>Ituri</v>
      </c>
      <c r="C406" s="2">
        <v>45216</v>
      </c>
      <c r="D406" s="3">
        <v>0.70902777777777781</v>
      </c>
      <c r="E406" s="1" t="s">
        <v>1143</v>
      </c>
      <c r="F406">
        <v>39</v>
      </c>
      <c r="G406" s="1" t="s">
        <v>806</v>
      </c>
    </row>
    <row r="407" spans="1:7" x14ac:dyDescent="0.25">
      <c r="A407" s="1" t="s">
        <v>1133</v>
      </c>
      <c r="B407" t="str">
        <f>_xlfn.XLOOKUP(Logs__3[[#This Row],[Cell_ID]],Registre_Maintenance[ID_Antenne],Registre_Maintenance[Province_RDC],"Pas de correspondance")</f>
        <v>Pas de correspondance</v>
      </c>
      <c r="C407" s="2">
        <v>45212</v>
      </c>
      <c r="D407" s="3">
        <v>0.62638888888888888</v>
      </c>
      <c r="E407" s="1" t="s">
        <v>1144</v>
      </c>
      <c r="F407">
        <v>107</v>
      </c>
      <c r="G407" s="1" t="s">
        <v>809</v>
      </c>
    </row>
    <row r="408" spans="1:7" x14ac:dyDescent="0.25">
      <c r="A408" s="1" t="s">
        <v>1133</v>
      </c>
      <c r="B408" t="str">
        <f>_xlfn.XLOOKUP(Logs__3[[#This Row],[Cell_ID]],Registre_Maintenance[ID_Antenne],Registre_Maintenance[Province_RDC],"Pas de correspondance")</f>
        <v>Pas de correspondance</v>
      </c>
      <c r="C408" s="2">
        <v>45220</v>
      </c>
      <c r="D408" s="3">
        <v>0.51597222222222228</v>
      </c>
      <c r="E408" s="1" t="s">
        <v>1145</v>
      </c>
      <c r="F408">
        <v>15</v>
      </c>
      <c r="G408" s="1" t="s">
        <v>811</v>
      </c>
    </row>
    <row r="409" spans="1:7" x14ac:dyDescent="0.25">
      <c r="A409" s="1" t="s">
        <v>1133</v>
      </c>
      <c r="B409" t="str">
        <f>_xlfn.XLOOKUP(Logs__3[[#This Row],[Cell_ID]],Registre_Maintenance[ID_Antenne],Registre_Maintenance[Province_RDC],"Pas de correspondance")</f>
        <v>Nord-Kivu</v>
      </c>
      <c r="C409" s="2">
        <v>45208</v>
      </c>
      <c r="D409" s="3">
        <v>0.95902777777777781</v>
      </c>
      <c r="E409" s="1" t="s">
        <v>871</v>
      </c>
      <c r="F409">
        <v>98</v>
      </c>
      <c r="G409" s="1" t="s">
        <v>811</v>
      </c>
    </row>
    <row r="410" spans="1:7" x14ac:dyDescent="0.25">
      <c r="A410" s="1" t="s">
        <v>1133</v>
      </c>
      <c r="B410" t="str">
        <f>_xlfn.XLOOKUP(Logs__3[[#This Row],[Cell_ID]],Registre_Maintenance[ID_Antenne],Registre_Maintenance[Province_RDC],"Pas de correspondance")</f>
        <v>Sud-Ubangi</v>
      </c>
      <c r="C410" s="2">
        <v>45211</v>
      </c>
      <c r="D410" s="3">
        <v>9.8611111111111108E-2</v>
      </c>
      <c r="E410" s="1" t="s">
        <v>1146</v>
      </c>
      <c r="F410">
        <v>59</v>
      </c>
      <c r="G410" s="1" t="s">
        <v>811</v>
      </c>
    </row>
    <row r="411" spans="1:7" x14ac:dyDescent="0.25">
      <c r="A411" s="1" t="s">
        <v>1133</v>
      </c>
      <c r="B411" t="str">
        <f>_xlfn.XLOOKUP(Logs__3[[#This Row],[Cell_ID]],Registre_Maintenance[ID_Antenne],Registre_Maintenance[Province_RDC],"Pas de correspondance")</f>
        <v>Kwango</v>
      </c>
      <c r="C411" s="2">
        <v>45207</v>
      </c>
      <c r="D411" s="3">
        <v>0.98750000000000004</v>
      </c>
      <c r="E411" s="1" t="s">
        <v>1147</v>
      </c>
      <c r="F411">
        <v>15</v>
      </c>
      <c r="G411" s="1" t="s">
        <v>809</v>
      </c>
    </row>
    <row r="412" spans="1:7" x14ac:dyDescent="0.25">
      <c r="A412" s="1" t="s">
        <v>1133</v>
      </c>
      <c r="B412" t="str">
        <f>_xlfn.XLOOKUP(Logs__3[[#This Row],[Cell_ID]],Registre_Maintenance[ID_Antenne],Registre_Maintenance[Province_RDC],"Pas de correspondance")</f>
        <v>Pas de correspondance</v>
      </c>
      <c r="C412" s="2">
        <v>45220</v>
      </c>
      <c r="D412" s="3">
        <v>0.15902777777777777</v>
      </c>
      <c r="E412" s="1" t="s">
        <v>1148</v>
      </c>
      <c r="F412">
        <v>60</v>
      </c>
      <c r="G412" s="1" t="s">
        <v>811</v>
      </c>
    </row>
    <row r="413" spans="1:7" x14ac:dyDescent="0.25">
      <c r="A413" s="1" t="s">
        <v>1133</v>
      </c>
      <c r="B413" t="str">
        <f>_xlfn.XLOOKUP(Logs__3[[#This Row],[Cell_ID]],Registre_Maintenance[ID_Antenne],Registre_Maintenance[Province_RDC],"Pas de correspondance")</f>
        <v>Ituri</v>
      </c>
      <c r="C413" s="2">
        <v>45218</v>
      </c>
      <c r="D413" s="3">
        <v>0.9916666666666667</v>
      </c>
      <c r="E413" s="1" t="s">
        <v>1079</v>
      </c>
      <c r="F413">
        <v>82</v>
      </c>
      <c r="G413" s="1" t="s">
        <v>806</v>
      </c>
    </row>
    <row r="414" spans="1:7" x14ac:dyDescent="0.25">
      <c r="A414" s="1" t="s">
        <v>1133</v>
      </c>
      <c r="B414" t="str">
        <f>_xlfn.XLOOKUP(Logs__3[[#This Row],[Cell_ID]],Registre_Maintenance[ID_Antenne],Registre_Maintenance[Province_RDC],"Pas de correspondance")</f>
        <v>Tanganyika</v>
      </c>
      <c r="C414" s="2">
        <v>45210</v>
      </c>
      <c r="D414" s="3">
        <v>0.16805555555555557</v>
      </c>
      <c r="E414" s="1" t="s">
        <v>1149</v>
      </c>
      <c r="F414">
        <v>110</v>
      </c>
      <c r="G414" s="1" t="s">
        <v>806</v>
      </c>
    </row>
    <row r="415" spans="1:7" x14ac:dyDescent="0.25">
      <c r="A415" s="1" t="s">
        <v>1133</v>
      </c>
      <c r="B415" t="str">
        <f>_xlfn.XLOOKUP(Logs__3[[#This Row],[Cell_ID]],Registre_Maintenance[ID_Antenne],Registre_Maintenance[Province_RDC],"Pas de correspondance")</f>
        <v>Pas de correspondance</v>
      </c>
      <c r="C415" s="2">
        <v>45211</v>
      </c>
      <c r="D415" s="3">
        <v>0.72291666666666665</v>
      </c>
      <c r="E415" s="1" t="s">
        <v>1150</v>
      </c>
      <c r="F415">
        <v>28</v>
      </c>
      <c r="G415" s="1" t="s">
        <v>806</v>
      </c>
    </row>
    <row r="416" spans="1:7" x14ac:dyDescent="0.25">
      <c r="A416" s="1" t="s">
        <v>1133</v>
      </c>
      <c r="B416" t="str">
        <f>_xlfn.XLOOKUP(Logs__3[[#This Row],[Cell_ID]],Registre_Maintenance[ID_Antenne],Registre_Maintenance[Province_RDC],"Pas de correspondance")</f>
        <v>Kinshasa</v>
      </c>
      <c r="C416" s="2">
        <v>45226</v>
      </c>
      <c r="D416" s="3">
        <v>0.84097222222222223</v>
      </c>
      <c r="E416" s="1" t="s">
        <v>1151</v>
      </c>
      <c r="F416">
        <v>74</v>
      </c>
      <c r="G416" s="1" t="s">
        <v>809</v>
      </c>
    </row>
    <row r="417" spans="1:7" x14ac:dyDescent="0.25">
      <c r="A417" s="1" t="s">
        <v>1133</v>
      </c>
      <c r="B417" t="str">
        <f>_xlfn.XLOOKUP(Logs__3[[#This Row],[Cell_ID]],Registre_Maintenance[ID_Antenne],Registre_Maintenance[Province_RDC],"Pas de correspondance")</f>
        <v>Pas de correspondance</v>
      </c>
      <c r="C417" s="2">
        <v>45226</v>
      </c>
      <c r="D417" s="3">
        <v>0.89513888888888893</v>
      </c>
      <c r="E417" s="1" t="s">
        <v>1152</v>
      </c>
      <c r="F417">
        <v>42</v>
      </c>
      <c r="G417" s="1" t="s">
        <v>806</v>
      </c>
    </row>
    <row r="418" spans="1:7" x14ac:dyDescent="0.25">
      <c r="A418" s="1" t="s">
        <v>1133</v>
      </c>
      <c r="B418" t="str">
        <f>_xlfn.XLOOKUP(Logs__3[[#This Row],[Cell_ID]],Registre_Maintenance[ID_Antenne],Registre_Maintenance[Province_RDC],"Pas de correspondance")</f>
        <v>Lomami</v>
      </c>
      <c r="C418" s="2">
        <v>45222</v>
      </c>
      <c r="D418" s="3">
        <v>0.65277777777777779</v>
      </c>
      <c r="E418" s="1" t="s">
        <v>1153</v>
      </c>
      <c r="F418">
        <v>46</v>
      </c>
      <c r="G418" s="1" t="s">
        <v>811</v>
      </c>
    </row>
    <row r="419" spans="1:7" x14ac:dyDescent="0.25">
      <c r="A419" s="1" t="s">
        <v>1133</v>
      </c>
      <c r="B419" t="str">
        <f>_xlfn.XLOOKUP(Logs__3[[#This Row],[Cell_ID]],Registre_Maintenance[ID_Antenne],Registre_Maintenance[Province_RDC],"Pas de correspondance")</f>
        <v>Kasaï</v>
      </c>
      <c r="C419" s="2">
        <v>45205</v>
      </c>
      <c r="D419" s="3">
        <v>0.16944444444444445</v>
      </c>
      <c r="E419" s="1" t="s">
        <v>1154</v>
      </c>
      <c r="F419">
        <v>18</v>
      </c>
      <c r="G419" s="1" t="s">
        <v>809</v>
      </c>
    </row>
    <row r="420" spans="1:7" x14ac:dyDescent="0.25">
      <c r="A420" s="1" t="s">
        <v>1133</v>
      </c>
      <c r="B420" t="str">
        <f>_xlfn.XLOOKUP(Logs__3[[#This Row],[Cell_ID]],Registre_Maintenance[ID_Antenne],Registre_Maintenance[Province_RDC],"Pas de correspondance")</f>
        <v>Equateur</v>
      </c>
      <c r="C420" s="2">
        <v>45222</v>
      </c>
      <c r="D420" s="3">
        <v>0.58472222222222225</v>
      </c>
      <c r="E420" s="1" t="s">
        <v>1155</v>
      </c>
      <c r="F420">
        <v>15</v>
      </c>
      <c r="G420" s="1" t="s">
        <v>811</v>
      </c>
    </row>
    <row r="421" spans="1:7" x14ac:dyDescent="0.25">
      <c r="A421" s="1" t="s">
        <v>1133</v>
      </c>
      <c r="B421" t="str">
        <f>_xlfn.XLOOKUP(Logs__3[[#This Row],[Cell_ID]],Registre_Maintenance[ID_Antenne],Registre_Maintenance[Province_RDC],"Pas de correspondance")</f>
        <v>Pas de correspondance</v>
      </c>
      <c r="C421" s="2">
        <v>45209</v>
      </c>
      <c r="D421" s="3">
        <v>0.25138888888888888</v>
      </c>
      <c r="E421" s="1" t="s">
        <v>1060</v>
      </c>
      <c r="F421">
        <v>46</v>
      </c>
      <c r="G421" s="1" t="s">
        <v>809</v>
      </c>
    </row>
    <row r="422" spans="1:7" x14ac:dyDescent="0.25">
      <c r="A422" s="1" t="s">
        <v>1133</v>
      </c>
      <c r="B422" t="str">
        <f>_xlfn.XLOOKUP(Logs__3[[#This Row],[Cell_ID]],Registre_Maintenance[ID_Antenne],Registre_Maintenance[Province_RDC],"Pas de correspondance")</f>
        <v>Haut-Lomami</v>
      </c>
      <c r="C422" s="2">
        <v>45225</v>
      </c>
      <c r="D422" s="3">
        <v>0.28888888888888886</v>
      </c>
      <c r="E422" s="1" t="s">
        <v>1106</v>
      </c>
      <c r="F422">
        <v>89</v>
      </c>
      <c r="G422" s="1" t="s">
        <v>806</v>
      </c>
    </row>
    <row r="423" spans="1:7" x14ac:dyDescent="0.25">
      <c r="A423" s="1" t="s">
        <v>1133</v>
      </c>
      <c r="B423" t="str">
        <f>_xlfn.XLOOKUP(Logs__3[[#This Row],[Cell_ID]],Registre_Maintenance[ID_Antenne],Registre_Maintenance[Province_RDC],"Pas de correspondance")</f>
        <v>Pas de correspondance</v>
      </c>
      <c r="C423" s="2">
        <v>45201</v>
      </c>
      <c r="D423" s="3">
        <v>0.45763888888888887</v>
      </c>
      <c r="E423" s="1" t="s">
        <v>1156</v>
      </c>
      <c r="F423">
        <v>42</v>
      </c>
      <c r="G423" s="1" t="s">
        <v>811</v>
      </c>
    </row>
    <row r="424" spans="1:7" x14ac:dyDescent="0.25">
      <c r="A424" s="1" t="s">
        <v>1133</v>
      </c>
      <c r="B424" t="str">
        <f>_xlfn.XLOOKUP(Logs__3[[#This Row],[Cell_ID]],Registre_Maintenance[ID_Antenne],Registre_Maintenance[Province_RDC],"Pas de correspondance")</f>
        <v>Pas de correspondance</v>
      </c>
      <c r="C424" s="2">
        <v>45209</v>
      </c>
      <c r="D424" s="3">
        <v>0.68402777777777779</v>
      </c>
      <c r="E424" s="1" t="s">
        <v>1005</v>
      </c>
      <c r="F424">
        <v>44</v>
      </c>
      <c r="G424" s="1" t="s">
        <v>811</v>
      </c>
    </row>
    <row r="425" spans="1:7" x14ac:dyDescent="0.25">
      <c r="A425" s="1" t="s">
        <v>1133</v>
      </c>
      <c r="B425" t="str">
        <f>_xlfn.XLOOKUP(Logs__3[[#This Row],[Cell_ID]],Registre_Maintenance[ID_Antenne],Registre_Maintenance[Province_RDC],"Pas de correspondance")</f>
        <v>Pas de correspondance</v>
      </c>
      <c r="C425" s="2">
        <v>45226</v>
      </c>
      <c r="D425" s="3">
        <v>0.72916666666666663</v>
      </c>
      <c r="E425" s="1" t="s">
        <v>1157</v>
      </c>
      <c r="F425">
        <v>62</v>
      </c>
      <c r="G425" s="1" t="s">
        <v>809</v>
      </c>
    </row>
    <row r="426" spans="1:7" x14ac:dyDescent="0.25">
      <c r="A426" s="1" t="s">
        <v>1133</v>
      </c>
      <c r="B426" t="str">
        <f>_xlfn.XLOOKUP(Logs__3[[#This Row],[Cell_ID]],Registre_Maintenance[ID_Antenne],Registre_Maintenance[Province_RDC],"Pas de correspondance")</f>
        <v>Pas de correspondance</v>
      </c>
      <c r="C426" s="2">
        <v>45208</v>
      </c>
      <c r="D426" s="3">
        <v>7.4999999999999997E-2</v>
      </c>
      <c r="E426" s="1" t="s">
        <v>1062</v>
      </c>
      <c r="F426">
        <v>82</v>
      </c>
      <c r="G426" s="1" t="s">
        <v>811</v>
      </c>
    </row>
    <row r="427" spans="1:7" x14ac:dyDescent="0.25">
      <c r="A427" s="1" t="s">
        <v>1133</v>
      </c>
      <c r="B427" t="str">
        <f>_xlfn.XLOOKUP(Logs__3[[#This Row],[Cell_ID]],Registre_Maintenance[ID_Antenne],Registre_Maintenance[Province_RDC],"Pas de correspondance")</f>
        <v>Pas de correspondance</v>
      </c>
      <c r="C427" s="2">
        <v>45220</v>
      </c>
      <c r="D427" s="3">
        <v>0.26250000000000001</v>
      </c>
      <c r="E427" s="1" t="s">
        <v>1158</v>
      </c>
      <c r="F427">
        <v>96</v>
      </c>
      <c r="G427" s="1" t="s">
        <v>806</v>
      </c>
    </row>
    <row r="428" spans="1:7" x14ac:dyDescent="0.25">
      <c r="A428" s="1" t="s">
        <v>1133</v>
      </c>
      <c r="B428" t="str">
        <f>_xlfn.XLOOKUP(Logs__3[[#This Row],[Cell_ID]],Registre_Maintenance[ID_Antenne],Registre_Maintenance[Province_RDC],"Pas de correspondance")</f>
        <v>Pas de correspondance</v>
      </c>
      <c r="C428" s="2">
        <v>45211</v>
      </c>
      <c r="D428" s="3">
        <v>7.9861111111111105E-2</v>
      </c>
      <c r="E428" s="1" t="s">
        <v>1159</v>
      </c>
      <c r="F428">
        <v>59</v>
      </c>
      <c r="G428" s="1" t="s">
        <v>809</v>
      </c>
    </row>
    <row r="429" spans="1:7" x14ac:dyDescent="0.25">
      <c r="A429" s="1" t="s">
        <v>1133</v>
      </c>
      <c r="B429" t="str">
        <f>_xlfn.XLOOKUP(Logs__3[[#This Row],[Cell_ID]],Registre_Maintenance[ID_Antenne],Registre_Maintenance[Province_RDC],"Pas de correspondance")</f>
        <v>Pas de correspondance</v>
      </c>
      <c r="C429" s="2">
        <v>45220</v>
      </c>
      <c r="D429" s="3">
        <v>0.4284722222222222</v>
      </c>
      <c r="E429" s="1" t="s">
        <v>833</v>
      </c>
      <c r="F429">
        <v>26</v>
      </c>
      <c r="G429" s="1" t="s">
        <v>811</v>
      </c>
    </row>
    <row r="430" spans="1:7" x14ac:dyDescent="0.25">
      <c r="A430" s="1" t="s">
        <v>1133</v>
      </c>
      <c r="B430" t="str">
        <f>_xlfn.XLOOKUP(Logs__3[[#This Row],[Cell_ID]],Registre_Maintenance[ID_Antenne],Registre_Maintenance[Province_RDC],"Pas de correspondance")</f>
        <v>Pas de correspondance</v>
      </c>
      <c r="C430" s="2">
        <v>45203</v>
      </c>
      <c r="D430" s="3">
        <v>0.47708333333333336</v>
      </c>
      <c r="E430" s="1" t="s">
        <v>1160</v>
      </c>
      <c r="F430">
        <v>93</v>
      </c>
      <c r="G430" s="1" t="s">
        <v>809</v>
      </c>
    </row>
    <row r="431" spans="1:7" x14ac:dyDescent="0.25">
      <c r="A431" s="1" t="s">
        <v>1161</v>
      </c>
      <c r="B431" t="str">
        <f>_xlfn.XLOOKUP(Logs__3[[#This Row],[Cell_ID]],Registre_Maintenance[ID_Antenne],Registre_Maintenance[Province_RDC],"Pas de correspondance")</f>
        <v>Pas de correspondance</v>
      </c>
      <c r="C431" s="2">
        <v>45202</v>
      </c>
      <c r="D431" s="3">
        <v>0.91249999999999998</v>
      </c>
      <c r="E431" s="1" t="s">
        <v>1162</v>
      </c>
      <c r="F431">
        <v>68</v>
      </c>
      <c r="G431" s="1" t="s">
        <v>811</v>
      </c>
    </row>
    <row r="432" spans="1:7" x14ac:dyDescent="0.25">
      <c r="A432" s="1" t="s">
        <v>1161</v>
      </c>
      <c r="B432" t="str">
        <f>_xlfn.XLOOKUP(Logs__3[[#This Row],[Cell_ID]],Registre_Maintenance[ID_Antenne],Registre_Maintenance[Province_RDC],"Pas de correspondance")</f>
        <v>Pas de correspondance</v>
      </c>
      <c r="C432" s="2">
        <v>45210</v>
      </c>
      <c r="D432" s="3">
        <v>0.89027777777777772</v>
      </c>
      <c r="E432" s="1" t="s">
        <v>1000</v>
      </c>
      <c r="F432">
        <v>118</v>
      </c>
      <c r="G432" s="1" t="s">
        <v>806</v>
      </c>
    </row>
    <row r="433" spans="1:7" x14ac:dyDescent="0.25">
      <c r="A433" s="1" t="s">
        <v>1161</v>
      </c>
      <c r="B433" t="str">
        <f>_xlfn.XLOOKUP(Logs__3[[#This Row],[Cell_ID]],Registre_Maintenance[ID_Antenne],Registre_Maintenance[Province_RDC],"Pas de correspondance")</f>
        <v>Pas de correspondance</v>
      </c>
      <c r="C433" s="2">
        <v>45222</v>
      </c>
      <c r="D433" s="3">
        <v>0.1076388888888889</v>
      </c>
      <c r="E433" s="1" t="s">
        <v>919</v>
      </c>
      <c r="F433">
        <v>85</v>
      </c>
      <c r="G433" s="1" t="s">
        <v>806</v>
      </c>
    </row>
    <row r="434" spans="1:7" x14ac:dyDescent="0.25">
      <c r="A434" s="1" t="s">
        <v>1161</v>
      </c>
      <c r="B434" t="str">
        <f>_xlfn.XLOOKUP(Logs__3[[#This Row],[Cell_ID]],Registre_Maintenance[ID_Antenne],Registre_Maintenance[Province_RDC],"Pas de correspondance")</f>
        <v>Pas de correspondance</v>
      </c>
      <c r="C434" s="2">
        <v>45217</v>
      </c>
      <c r="D434" s="3">
        <v>0.41458333333333336</v>
      </c>
      <c r="E434" s="1" t="s">
        <v>922</v>
      </c>
      <c r="F434">
        <v>74</v>
      </c>
      <c r="G434" s="1" t="s">
        <v>811</v>
      </c>
    </row>
    <row r="435" spans="1:7" x14ac:dyDescent="0.25">
      <c r="A435" s="1" t="s">
        <v>1161</v>
      </c>
      <c r="B435" t="str">
        <f>_xlfn.XLOOKUP(Logs__3[[#This Row],[Cell_ID]],Registre_Maintenance[ID_Antenne],Registre_Maintenance[Province_RDC],"Pas de correspondance")</f>
        <v>Pas de correspondance</v>
      </c>
      <c r="C435" s="2">
        <v>45209</v>
      </c>
      <c r="D435" s="3">
        <v>0.23958333333333334</v>
      </c>
      <c r="E435" s="1" t="s">
        <v>1163</v>
      </c>
      <c r="F435">
        <v>42</v>
      </c>
      <c r="G435" s="1" t="s">
        <v>811</v>
      </c>
    </row>
    <row r="436" spans="1:7" x14ac:dyDescent="0.25">
      <c r="A436" s="1" t="s">
        <v>1161</v>
      </c>
      <c r="B436" t="str">
        <f>_xlfn.XLOOKUP(Logs__3[[#This Row],[Cell_ID]],Registre_Maintenance[ID_Antenne],Registre_Maintenance[Province_RDC],"Pas de correspondance")</f>
        <v>Pas de correspondance</v>
      </c>
      <c r="C436" s="2">
        <v>45222</v>
      </c>
      <c r="D436" s="3">
        <v>0.94444444444444442</v>
      </c>
      <c r="E436" s="1" t="s">
        <v>1020</v>
      </c>
      <c r="F436">
        <v>87</v>
      </c>
      <c r="G436" s="1" t="s">
        <v>809</v>
      </c>
    </row>
    <row r="437" spans="1:7" x14ac:dyDescent="0.25">
      <c r="A437" s="1" t="s">
        <v>1161</v>
      </c>
      <c r="B437" t="str">
        <f>_xlfn.XLOOKUP(Logs__3[[#This Row],[Cell_ID]],Registre_Maintenance[ID_Antenne],Registre_Maintenance[Province_RDC],"Pas de correspondance")</f>
        <v>Pas de correspondance</v>
      </c>
      <c r="C437" s="2">
        <v>45205</v>
      </c>
      <c r="D437" s="3">
        <v>0.48055555555555557</v>
      </c>
      <c r="E437" s="1" t="s">
        <v>1164</v>
      </c>
      <c r="F437">
        <v>43</v>
      </c>
      <c r="G437" s="1" t="s">
        <v>809</v>
      </c>
    </row>
    <row r="438" spans="1:7" x14ac:dyDescent="0.25">
      <c r="A438" s="1" t="s">
        <v>1161</v>
      </c>
      <c r="B438" t="str">
        <f>_xlfn.XLOOKUP(Logs__3[[#This Row],[Cell_ID]],Registre_Maintenance[ID_Antenne],Registre_Maintenance[Province_RDC],"Pas de correspondance")</f>
        <v>Kasaï-Oriental</v>
      </c>
      <c r="C438" s="2">
        <v>45207</v>
      </c>
      <c r="D438" s="3">
        <v>0.13333333333333333</v>
      </c>
      <c r="E438" s="1" t="s">
        <v>1165</v>
      </c>
      <c r="F438">
        <v>66</v>
      </c>
      <c r="G438" s="1" t="s">
        <v>809</v>
      </c>
    </row>
    <row r="439" spans="1:7" x14ac:dyDescent="0.25">
      <c r="A439" s="1" t="s">
        <v>1161</v>
      </c>
      <c r="B439" t="str">
        <f>_xlfn.XLOOKUP(Logs__3[[#This Row],[Cell_ID]],Registre_Maintenance[ID_Antenne],Registre_Maintenance[Province_RDC],"Pas de correspondance")</f>
        <v>Pas de correspondance</v>
      </c>
      <c r="C439" s="2">
        <v>45225</v>
      </c>
      <c r="D439" s="3">
        <v>0.17708333333333334</v>
      </c>
      <c r="E439" s="1" t="s">
        <v>1166</v>
      </c>
      <c r="F439">
        <v>36</v>
      </c>
      <c r="G439" s="1" t="s">
        <v>811</v>
      </c>
    </row>
    <row r="440" spans="1:7" x14ac:dyDescent="0.25">
      <c r="A440" s="1" t="s">
        <v>1161</v>
      </c>
      <c r="B440" t="str">
        <f>_xlfn.XLOOKUP(Logs__3[[#This Row],[Cell_ID]],Registre_Maintenance[ID_Antenne],Registre_Maintenance[Province_RDC],"Pas de correspondance")</f>
        <v>Sud-Ubangi</v>
      </c>
      <c r="C440" s="2">
        <v>45225</v>
      </c>
      <c r="D440" s="3">
        <v>0.62569444444444444</v>
      </c>
      <c r="E440" s="1" t="s">
        <v>1167</v>
      </c>
      <c r="F440">
        <v>108</v>
      </c>
      <c r="G440" s="1" t="s">
        <v>811</v>
      </c>
    </row>
    <row r="441" spans="1:7" x14ac:dyDescent="0.25">
      <c r="A441" s="1" t="s">
        <v>1161</v>
      </c>
      <c r="B441" t="str">
        <f>_xlfn.XLOOKUP(Logs__3[[#This Row],[Cell_ID]],Registre_Maintenance[ID_Antenne],Registre_Maintenance[Province_RDC],"Pas de correspondance")</f>
        <v>Pas de correspondance</v>
      </c>
      <c r="C441" s="2">
        <v>45211</v>
      </c>
      <c r="D441" s="3">
        <v>0.73333333333333328</v>
      </c>
      <c r="E441" s="1" t="s">
        <v>1168</v>
      </c>
      <c r="F441">
        <v>108</v>
      </c>
      <c r="G441" s="1" t="s">
        <v>809</v>
      </c>
    </row>
    <row r="442" spans="1:7" x14ac:dyDescent="0.25">
      <c r="A442" s="1" t="s">
        <v>1161</v>
      </c>
      <c r="B442" t="str">
        <f>_xlfn.XLOOKUP(Logs__3[[#This Row],[Cell_ID]],Registre_Maintenance[ID_Antenne],Registre_Maintenance[Province_RDC],"Pas de correspondance")</f>
        <v>Tshopo</v>
      </c>
      <c r="C442" s="2">
        <v>45211</v>
      </c>
      <c r="D442" s="3">
        <v>0.61875000000000002</v>
      </c>
      <c r="E442" s="1" t="s">
        <v>1169</v>
      </c>
      <c r="F442">
        <v>92</v>
      </c>
      <c r="G442" s="1" t="s">
        <v>806</v>
      </c>
    </row>
    <row r="443" spans="1:7" x14ac:dyDescent="0.25">
      <c r="A443" s="1" t="s">
        <v>1161</v>
      </c>
      <c r="B443" t="str">
        <f>_xlfn.XLOOKUP(Logs__3[[#This Row],[Cell_ID]],Registre_Maintenance[ID_Antenne],Registre_Maintenance[Province_RDC],"Pas de correspondance")</f>
        <v>Pas de correspondance</v>
      </c>
      <c r="C443" s="2">
        <v>45217</v>
      </c>
      <c r="D443" s="3">
        <v>0.19375000000000001</v>
      </c>
      <c r="E443" s="1" t="s">
        <v>1114</v>
      </c>
      <c r="F443">
        <v>56</v>
      </c>
      <c r="G443" s="1" t="s">
        <v>806</v>
      </c>
    </row>
    <row r="444" spans="1:7" x14ac:dyDescent="0.25">
      <c r="A444" s="1" t="s">
        <v>1161</v>
      </c>
      <c r="B444" t="str">
        <f>_xlfn.XLOOKUP(Logs__3[[#This Row],[Cell_ID]],Registre_Maintenance[ID_Antenne],Registre_Maintenance[Province_RDC],"Pas de correspondance")</f>
        <v>Pas de correspondance</v>
      </c>
      <c r="C444" s="2">
        <v>45228</v>
      </c>
      <c r="D444" s="3">
        <v>8.611111111111111E-2</v>
      </c>
      <c r="E444" s="1" t="s">
        <v>1170</v>
      </c>
      <c r="F444">
        <v>43</v>
      </c>
      <c r="G444" s="1" t="s">
        <v>811</v>
      </c>
    </row>
    <row r="445" spans="1:7" x14ac:dyDescent="0.25">
      <c r="A445" s="1" t="s">
        <v>1161</v>
      </c>
      <c r="B445" t="str">
        <f>_xlfn.XLOOKUP(Logs__3[[#This Row],[Cell_ID]],Registre_Maintenance[ID_Antenne],Registre_Maintenance[Province_RDC],"Pas de correspondance")</f>
        <v>Maniema</v>
      </c>
      <c r="C445" s="2">
        <v>45209</v>
      </c>
      <c r="D445" s="3">
        <v>0.53125</v>
      </c>
      <c r="E445" s="1" t="s">
        <v>1171</v>
      </c>
      <c r="F445">
        <v>63</v>
      </c>
      <c r="G445" s="1" t="s">
        <v>806</v>
      </c>
    </row>
    <row r="446" spans="1:7" x14ac:dyDescent="0.25">
      <c r="A446" s="1" t="s">
        <v>1161</v>
      </c>
      <c r="B446" t="str">
        <f>_xlfn.XLOOKUP(Logs__3[[#This Row],[Cell_ID]],Registre_Maintenance[ID_Antenne],Registre_Maintenance[Province_RDC],"Pas de correspondance")</f>
        <v>Pas de correspondance</v>
      </c>
      <c r="C446" s="2">
        <v>45223</v>
      </c>
      <c r="D446" s="3">
        <v>0.6479166666666667</v>
      </c>
      <c r="E446" s="1" t="s">
        <v>1172</v>
      </c>
      <c r="F446">
        <v>14</v>
      </c>
      <c r="G446" s="1" t="s">
        <v>811</v>
      </c>
    </row>
    <row r="447" spans="1:7" x14ac:dyDescent="0.25">
      <c r="A447" s="1" t="s">
        <v>1161</v>
      </c>
      <c r="B447" t="str">
        <f>_xlfn.XLOOKUP(Logs__3[[#This Row],[Cell_ID]],Registre_Maintenance[ID_Antenne],Registre_Maintenance[Province_RDC],"Pas de correspondance")</f>
        <v>Pas de correspondance</v>
      </c>
      <c r="C447" s="2">
        <v>45213</v>
      </c>
      <c r="D447" s="3">
        <v>0.57777777777777772</v>
      </c>
      <c r="E447" s="1" t="s">
        <v>1173</v>
      </c>
      <c r="F447">
        <v>93</v>
      </c>
      <c r="G447" s="1" t="s">
        <v>809</v>
      </c>
    </row>
    <row r="448" spans="1:7" x14ac:dyDescent="0.25">
      <c r="A448" s="1" t="s">
        <v>1161</v>
      </c>
      <c r="B448" t="str">
        <f>_xlfn.XLOOKUP(Logs__3[[#This Row],[Cell_ID]],Registre_Maintenance[ID_Antenne],Registre_Maintenance[Province_RDC],"Pas de correspondance")</f>
        <v>Kinshasa</v>
      </c>
      <c r="C448" s="2">
        <v>45218</v>
      </c>
      <c r="D448" s="3">
        <v>8.8888888888888892E-2</v>
      </c>
      <c r="E448" s="1" t="s">
        <v>1151</v>
      </c>
      <c r="F448">
        <v>12</v>
      </c>
      <c r="G448" s="1" t="s">
        <v>811</v>
      </c>
    </row>
    <row r="449" spans="1:7" x14ac:dyDescent="0.25">
      <c r="A449" s="1" t="s">
        <v>1161</v>
      </c>
      <c r="B449" t="str">
        <f>_xlfn.XLOOKUP(Logs__3[[#This Row],[Cell_ID]],Registre_Maintenance[ID_Antenne],Registre_Maintenance[Province_RDC],"Pas de correspondance")</f>
        <v>Pas de correspondance</v>
      </c>
      <c r="C449" s="2">
        <v>45210</v>
      </c>
      <c r="D449" s="3">
        <v>0.83611111111111114</v>
      </c>
      <c r="E449" s="1" t="s">
        <v>1174</v>
      </c>
      <c r="F449">
        <v>25</v>
      </c>
      <c r="G449" s="1" t="s">
        <v>811</v>
      </c>
    </row>
    <row r="450" spans="1:7" x14ac:dyDescent="0.25">
      <c r="A450" s="1" t="s">
        <v>1161</v>
      </c>
      <c r="B450" t="str">
        <f>_xlfn.XLOOKUP(Logs__3[[#This Row],[Cell_ID]],Registre_Maintenance[ID_Antenne],Registre_Maintenance[Province_RDC],"Pas de correspondance")</f>
        <v>Pas de correspondance</v>
      </c>
      <c r="C450" s="2">
        <v>45214</v>
      </c>
      <c r="D450" s="3">
        <v>0.61319444444444449</v>
      </c>
      <c r="E450" s="1" t="s">
        <v>1175</v>
      </c>
      <c r="F450">
        <v>61</v>
      </c>
      <c r="G450" s="1" t="s">
        <v>811</v>
      </c>
    </row>
    <row r="451" spans="1:7" x14ac:dyDescent="0.25">
      <c r="A451" s="1" t="s">
        <v>1161</v>
      </c>
      <c r="B451" t="str">
        <f>_xlfn.XLOOKUP(Logs__3[[#This Row],[Cell_ID]],Registre_Maintenance[ID_Antenne],Registre_Maintenance[Province_RDC],"Pas de correspondance")</f>
        <v>Haut-Lomami</v>
      </c>
      <c r="C451" s="2">
        <v>45216</v>
      </c>
      <c r="D451" s="3">
        <v>0.46388888888888891</v>
      </c>
      <c r="E451" s="1" t="s">
        <v>1126</v>
      </c>
      <c r="F451">
        <v>58</v>
      </c>
      <c r="G451" s="1" t="s">
        <v>806</v>
      </c>
    </row>
    <row r="452" spans="1:7" x14ac:dyDescent="0.25">
      <c r="A452" s="1" t="s">
        <v>1161</v>
      </c>
      <c r="B452" t="str">
        <f>_xlfn.XLOOKUP(Logs__3[[#This Row],[Cell_ID]],Registre_Maintenance[ID_Antenne],Registre_Maintenance[Province_RDC],"Pas de correspondance")</f>
        <v>Kasaï-Oriental</v>
      </c>
      <c r="C452" s="2">
        <v>45228</v>
      </c>
      <c r="D452" s="3">
        <v>0.73611111111111116</v>
      </c>
      <c r="E452" s="1" t="s">
        <v>1176</v>
      </c>
      <c r="F452">
        <v>66</v>
      </c>
      <c r="G452" s="1" t="s">
        <v>811</v>
      </c>
    </row>
    <row r="453" spans="1:7" x14ac:dyDescent="0.25">
      <c r="A453" s="1" t="s">
        <v>1161</v>
      </c>
      <c r="B453" t="str">
        <f>_xlfn.XLOOKUP(Logs__3[[#This Row],[Cell_ID]],Registre_Maintenance[ID_Antenne],Registre_Maintenance[Province_RDC],"Pas de correspondance")</f>
        <v>Pas de correspondance</v>
      </c>
      <c r="C453" s="2">
        <v>45218</v>
      </c>
      <c r="D453" s="3">
        <v>0.24236111111111111</v>
      </c>
      <c r="E453" s="1" t="s">
        <v>1014</v>
      </c>
      <c r="F453">
        <v>64</v>
      </c>
      <c r="G453" s="1" t="s">
        <v>806</v>
      </c>
    </row>
    <row r="454" spans="1:7" x14ac:dyDescent="0.25">
      <c r="A454" s="1" t="s">
        <v>1161</v>
      </c>
      <c r="B454" t="str">
        <f>_xlfn.XLOOKUP(Logs__3[[#This Row],[Cell_ID]],Registre_Maintenance[ID_Antenne],Registre_Maintenance[Province_RDC],"Pas de correspondance")</f>
        <v>Pas de correspondance</v>
      </c>
      <c r="C454" s="2">
        <v>45230</v>
      </c>
      <c r="D454" s="3">
        <v>0.18541666666666667</v>
      </c>
      <c r="E454" s="1" t="s">
        <v>1177</v>
      </c>
      <c r="F454">
        <v>31</v>
      </c>
      <c r="G454" s="1" t="s">
        <v>809</v>
      </c>
    </row>
    <row r="455" spans="1:7" x14ac:dyDescent="0.25">
      <c r="A455" s="1" t="s">
        <v>1161</v>
      </c>
      <c r="B455" t="str">
        <f>_xlfn.XLOOKUP(Logs__3[[#This Row],[Cell_ID]],Registre_Maintenance[ID_Antenne],Registre_Maintenance[Province_RDC],"Pas de correspondance")</f>
        <v>Pas de correspondance</v>
      </c>
      <c r="C455" s="2">
        <v>45216</v>
      </c>
      <c r="D455" s="3">
        <v>7.8472222222222221E-2</v>
      </c>
      <c r="E455" s="1" t="s">
        <v>1178</v>
      </c>
      <c r="F455">
        <v>48</v>
      </c>
      <c r="G455" s="1" t="s">
        <v>809</v>
      </c>
    </row>
    <row r="456" spans="1:7" x14ac:dyDescent="0.25">
      <c r="A456" s="1" t="s">
        <v>1161</v>
      </c>
      <c r="B456" t="str">
        <f>_xlfn.XLOOKUP(Logs__3[[#This Row],[Cell_ID]],Registre_Maintenance[ID_Antenne],Registre_Maintenance[Province_RDC],"Pas de correspondance")</f>
        <v>Pas de correspondance</v>
      </c>
      <c r="C456" s="2">
        <v>45203</v>
      </c>
      <c r="D456" s="3">
        <v>0.67291666666666672</v>
      </c>
      <c r="E456" s="1" t="s">
        <v>1179</v>
      </c>
      <c r="F456">
        <v>82</v>
      </c>
      <c r="G456" s="1" t="s">
        <v>806</v>
      </c>
    </row>
    <row r="457" spans="1:7" x14ac:dyDescent="0.25">
      <c r="A457" s="1" t="s">
        <v>1161</v>
      </c>
      <c r="B457" t="str">
        <f>_xlfn.XLOOKUP(Logs__3[[#This Row],[Cell_ID]],Registre_Maintenance[ID_Antenne],Registre_Maintenance[Province_RDC],"Pas de correspondance")</f>
        <v>Kinshasa</v>
      </c>
      <c r="C457" s="2">
        <v>45209</v>
      </c>
      <c r="D457" s="3">
        <v>0.21527777777777779</v>
      </c>
      <c r="E457" s="1" t="s">
        <v>1151</v>
      </c>
      <c r="F457">
        <v>23</v>
      </c>
      <c r="G457" s="1" t="s">
        <v>811</v>
      </c>
    </row>
    <row r="458" spans="1:7" x14ac:dyDescent="0.25">
      <c r="A458" s="1" t="s">
        <v>1161</v>
      </c>
      <c r="B458" t="str">
        <f>_xlfn.XLOOKUP(Logs__3[[#This Row],[Cell_ID]],Registre_Maintenance[ID_Antenne],Registre_Maintenance[Province_RDC],"Pas de correspondance")</f>
        <v>Pas de correspondance</v>
      </c>
      <c r="C458" s="2">
        <v>45210</v>
      </c>
      <c r="D458" s="3">
        <v>0.92638888888888893</v>
      </c>
      <c r="E458" s="1" t="s">
        <v>997</v>
      </c>
      <c r="F458">
        <v>45</v>
      </c>
      <c r="G458" s="1" t="s">
        <v>809</v>
      </c>
    </row>
    <row r="459" spans="1:7" x14ac:dyDescent="0.25">
      <c r="A459" s="1" t="s">
        <v>1161</v>
      </c>
      <c r="B459" t="str">
        <f>_xlfn.XLOOKUP(Logs__3[[#This Row],[Cell_ID]],Registre_Maintenance[ID_Antenne],Registre_Maintenance[Province_RDC],"Pas de correspondance")</f>
        <v>Pas de correspondance</v>
      </c>
      <c r="C459" s="2">
        <v>45211</v>
      </c>
      <c r="D459" s="3">
        <v>0.70625000000000004</v>
      </c>
      <c r="E459" s="1" t="s">
        <v>1180</v>
      </c>
      <c r="F459">
        <v>115</v>
      </c>
      <c r="G459" s="1" t="s">
        <v>811</v>
      </c>
    </row>
    <row r="460" spans="1:7" x14ac:dyDescent="0.25">
      <c r="A460" s="1" t="s">
        <v>1161</v>
      </c>
      <c r="B460" t="str">
        <f>_xlfn.XLOOKUP(Logs__3[[#This Row],[Cell_ID]],Registre_Maintenance[ID_Antenne],Registre_Maintenance[Province_RDC],"Pas de correspondance")</f>
        <v>Pas de correspondance</v>
      </c>
      <c r="C460" s="2">
        <v>45209</v>
      </c>
      <c r="D460" s="3">
        <v>9.4444444444444442E-2</v>
      </c>
      <c r="E460" s="1" t="s">
        <v>1181</v>
      </c>
      <c r="F460">
        <v>96</v>
      </c>
      <c r="G460" s="1" t="s">
        <v>806</v>
      </c>
    </row>
    <row r="461" spans="1:7" x14ac:dyDescent="0.25">
      <c r="A461" s="1" t="s">
        <v>1161</v>
      </c>
      <c r="B461" t="str">
        <f>_xlfn.XLOOKUP(Logs__3[[#This Row],[Cell_ID]],Registre_Maintenance[ID_Antenne],Registre_Maintenance[Province_RDC],"Pas de correspondance")</f>
        <v>Pas de correspondance</v>
      </c>
      <c r="C461" s="2">
        <v>45206</v>
      </c>
      <c r="D461" s="3">
        <v>0.85763888888888884</v>
      </c>
      <c r="E461" s="1" t="s">
        <v>997</v>
      </c>
      <c r="F461">
        <v>45</v>
      </c>
      <c r="G461" s="1" t="s">
        <v>811</v>
      </c>
    </row>
    <row r="462" spans="1:7" x14ac:dyDescent="0.25">
      <c r="A462" s="1" t="s">
        <v>1161</v>
      </c>
      <c r="B462" t="str">
        <f>_xlfn.XLOOKUP(Logs__3[[#This Row],[Cell_ID]],Registre_Maintenance[ID_Antenne],Registre_Maintenance[Province_RDC],"Pas de correspondance")</f>
        <v>Pas de correspondance</v>
      </c>
      <c r="C462" s="2">
        <v>45208</v>
      </c>
      <c r="D462" s="3">
        <v>0.19444444444444445</v>
      </c>
      <c r="E462" s="1" t="s">
        <v>1182</v>
      </c>
      <c r="F462">
        <v>98</v>
      </c>
      <c r="G462" s="1" t="s">
        <v>809</v>
      </c>
    </row>
    <row r="463" spans="1:7" x14ac:dyDescent="0.25">
      <c r="A463" s="1" t="s">
        <v>1161</v>
      </c>
      <c r="B463" t="str">
        <f>_xlfn.XLOOKUP(Logs__3[[#This Row],[Cell_ID]],Registre_Maintenance[ID_Antenne],Registre_Maintenance[Province_RDC],"Pas de correspondance")</f>
        <v>Pas de correspondance</v>
      </c>
      <c r="C463" s="2">
        <v>45209</v>
      </c>
      <c r="D463" s="3">
        <v>0.81527777777777777</v>
      </c>
      <c r="E463" s="1" t="s">
        <v>896</v>
      </c>
      <c r="F463">
        <v>115</v>
      </c>
      <c r="G463" s="1" t="s">
        <v>811</v>
      </c>
    </row>
    <row r="464" spans="1:7" x14ac:dyDescent="0.25">
      <c r="A464" s="1" t="s">
        <v>1161</v>
      </c>
      <c r="B464" t="str">
        <f>_xlfn.XLOOKUP(Logs__3[[#This Row],[Cell_ID]],Registre_Maintenance[ID_Antenne],Registre_Maintenance[Province_RDC],"Pas de correspondance")</f>
        <v>Pas de correspondance</v>
      </c>
      <c r="C464" s="2">
        <v>45202</v>
      </c>
      <c r="D464" s="3">
        <v>0.69513888888888886</v>
      </c>
      <c r="E464" s="1" t="s">
        <v>1183</v>
      </c>
      <c r="F464">
        <v>49</v>
      </c>
      <c r="G464" s="1" t="s">
        <v>809</v>
      </c>
    </row>
    <row r="465" spans="1:7" x14ac:dyDescent="0.25">
      <c r="A465" s="1" t="s">
        <v>1161</v>
      </c>
      <c r="B465" t="str">
        <f>_xlfn.XLOOKUP(Logs__3[[#This Row],[Cell_ID]],Registre_Maintenance[ID_Antenne],Registre_Maintenance[Province_RDC],"Pas de correspondance")</f>
        <v>Pas de correspondance</v>
      </c>
      <c r="C465" s="2">
        <v>45205</v>
      </c>
      <c r="D465" s="3">
        <v>0.77569444444444446</v>
      </c>
      <c r="E465" s="1" t="s">
        <v>1184</v>
      </c>
      <c r="F465">
        <v>56</v>
      </c>
      <c r="G465" s="1" t="s">
        <v>811</v>
      </c>
    </row>
    <row r="466" spans="1:7" x14ac:dyDescent="0.25">
      <c r="A466" s="1" t="s">
        <v>1161</v>
      </c>
      <c r="B466" t="str">
        <f>_xlfn.XLOOKUP(Logs__3[[#This Row],[Cell_ID]],Registre_Maintenance[ID_Antenne],Registre_Maintenance[Province_RDC],"Pas de correspondance")</f>
        <v>Kongo-Central</v>
      </c>
      <c r="C466" s="2">
        <v>45204</v>
      </c>
      <c r="D466" s="3">
        <v>0.23749999999999999</v>
      </c>
      <c r="E466" s="1" t="s">
        <v>1030</v>
      </c>
      <c r="F466">
        <v>21</v>
      </c>
      <c r="G466" s="1" t="s">
        <v>809</v>
      </c>
    </row>
    <row r="467" spans="1:7" x14ac:dyDescent="0.25">
      <c r="A467" s="1" t="s">
        <v>1161</v>
      </c>
      <c r="B467" t="str">
        <f>_xlfn.XLOOKUP(Logs__3[[#This Row],[Cell_ID]],Registre_Maintenance[ID_Antenne],Registre_Maintenance[Province_RDC],"Pas de correspondance")</f>
        <v>Pas de correspondance</v>
      </c>
      <c r="C467" s="2">
        <v>45219</v>
      </c>
      <c r="D467" s="3">
        <v>0.99791666666666667</v>
      </c>
      <c r="E467" s="1" t="s">
        <v>881</v>
      </c>
      <c r="F467">
        <v>102</v>
      </c>
      <c r="G467" s="1" t="s">
        <v>809</v>
      </c>
    </row>
    <row r="468" spans="1:7" x14ac:dyDescent="0.25">
      <c r="A468" s="1" t="s">
        <v>1161</v>
      </c>
      <c r="B468" t="str">
        <f>_xlfn.XLOOKUP(Logs__3[[#This Row],[Cell_ID]],Registre_Maintenance[ID_Antenne],Registre_Maintenance[Province_RDC],"Pas de correspondance")</f>
        <v>Pas de correspondance</v>
      </c>
      <c r="C468" s="2">
        <v>45219</v>
      </c>
      <c r="D468" s="3">
        <v>0.45347222222222222</v>
      </c>
      <c r="E468" s="1" t="s">
        <v>1185</v>
      </c>
      <c r="F468">
        <v>52</v>
      </c>
      <c r="G468" s="1" t="s">
        <v>809</v>
      </c>
    </row>
    <row r="469" spans="1:7" x14ac:dyDescent="0.25">
      <c r="A469" s="1" t="s">
        <v>1161</v>
      </c>
      <c r="B469" t="str">
        <f>_xlfn.XLOOKUP(Logs__3[[#This Row],[Cell_ID]],Registre_Maintenance[ID_Antenne],Registre_Maintenance[Province_RDC],"Pas de correspondance")</f>
        <v>Pas de correspondance</v>
      </c>
      <c r="C469" s="2">
        <v>45229</v>
      </c>
      <c r="D469" s="3">
        <v>0.75138888888888888</v>
      </c>
      <c r="E469" s="1" t="s">
        <v>1186</v>
      </c>
      <c r="F469">
        <v>70</v>
      </c>
      <c r="G469" s="1" t="s">
        <v>806</v>
      </c>
    </row>
    <row r="470" spans="1:7" x14ac:dyDescent="0.25">
      <c r="A470" s="1" t="s">
        <v>1161</v>
      </c>
      <c r="B470" t="str">
        <f>_xlfn.XLOOKUP(Logs__3[[#This Row],[Cell_ID]],Registre_Maintenance[ID_Antenne],Registre_Maintenance[Province_RDC],"Pas de correspondance")</f>
        <v>Pas de correspondance</v>
      </c>
      <c r="C470" s="2">
        <v>45226</v>
      </c>
      <c r="D470" s="3">
        <v>3.472222222222222E-3</v>
      </c>
      <c r="E470" s="1" t="s">
        <v>1187</v>
      </c>
      <c r="F470">
        <v>76</v>
      </c>
      <c r="G470" s="1" t="s">
        <v>806</v>
      </c>
    </row>
    <row r="471" spans="1:7" x14ac:dyDescent="0.25">
      <c r="A471" s="1" t="s">
        <v>1161</v>
      </c>
      <c r="B471" t="str">
        <f>_xlfn.XLOOKUP(Logs__3[[#This Row],[Cell_ID]],Registre_Maintenance[ID_Antenne],Registre_Maintenance[Province_RDC],"Pas de correspondance")</f>
        <v>Kongo-Central</v>
      </c>
      <c r="C471" s="2">
        <v>45201</v>
      </c>
      <c r="D471" s="3">
        <v>0.86736111111111114</v>
      </c>
      <c r="E471" s="1" t="s">
        <v>1077</v>
      </c>
      <c r="F471">
        <v>18</v>
      </c>
      <c r="G471" s="1" t="s">
        <v>806</v>
      </c>
    </row>
    <row r="472" spans="1:7" x14ac:dyDescent="0.25">
      <c r="A472" s="1" t="s">
        <v>1161</v>
      </c>
      <c r="B472" t="str">
        <f>_xlfn.XLOOKUP(Logs__3[[#This Row],[Cell_ID]],Registre_Maintenance[ID_Antenne],Registre_Maintenance[Province_RDC],"Pas de correspondance")</f>
        <v>Pas de correspondance</v>
      </c>
      <c r="C472" s="2">
        <v>45218</v>
      </c>
      <c r="D472" s="3">
        <v>0.36180555555555555</v>
      </c>
      <c r="E472" s="1" t="s">
        <v>850</v>
      </c>
      <c r="F472">
        <v>45</v>
      </c>
      <c r="G472" s="1" t="s">
        <v>811</v>
      </c>
    </row>
    <row r="473" spans="1:7" x14ac:dyDescent="0.25">
      <c r="A473" s="1" t="s">
        <v>1161</v>
      </c>
      <c r="B473" t="str">
        <f>_xlfn.XLOOKUP(Logs__3[[#This Row],[Cell_ID]],Registre_Maintenance[ID_Antenne],Registre_Maintenance[Province_RDC],"Pas de correspondance")</f>
        <v>Pas de correspondance</v>
      </c>
      <c r="C473" s="2">
        <v>45206</v>
      </c>
      <c r="D473" s="3">
        <v>0.7680555555555556</v>
      </c>
      <c r="E473" s="1" t="s">
        <v>1188</v>
      </c>
      <c r="F473">
        <v>35</v>
      </c>
      <c r="G473" s="1" t="s">
        <v>811</v>
      </c>
    </row>
    <row r="474" spans="1:7" x14ac:dyDescent="0.25">
      <c r="A474" s="1" t="s">
        <v>1161</v>
      </c>
      <c r="B474" t="str">
        <f>_xlfn.XLOOKUP(Logs__3[[#This Row],[Cell_ID]],Registre_Maintenance[ID_Antenne],Registre_Maintenance[Province_RDC],"Pas de correspondance")</f>
        <v>Pas de correspondance</v>
      </c>
      <c r="C474" s="2">
        <v>45219</v>
      </c>
      <c r="D474" s="3">
        <v>0.83402777777777781</v>
      </c>
      <c r="E474" s="1" t="s">
        <v>1189</v>
      </c>
      <c r="F474">
        <v>64</v>
      </c>
      <c r="G474" s="1" t="s">
        <v>811</v>
      </c>
    </row>
    <row r="475" spans="1:7" x14ac:dyDescent="0.25">
      <c r="A475" s="1" t="s">
        <v>1190</v>
      </c>
      <c r="B475" t="str">
        <f>_xlfn.XLOOKUP(Logs__3[[#This Row],[Cell_ID]],Registre_Maintenance[ID_Antenne],Registre_Maintenance[Province_RDC],"Pas de correspondance")</f>
        <v>Pas de correspondance</v>
      </c>
      <c r="C475" s="2">
        <v>45201</v>
      </c>
      <c r="D475" s="3">
        <v>4.3055555555555555E-2</v>
      </c>
      <c r="E475" s="1" t="s">
        <v>1164</v>
      </c>
      <c r="F475">
        <v>45</v>
      </c>
      <c r="G475" s="1" t="s">
        <v>809</v>
      </c>
    </row>
    <row r="476" spans="1:7" x14ac:dyDescent="0.25">
      <c r="A476" s="1" t="s">
        <v>1190</v>
      </c>
      <c r="B476" t="str">
        <f>_xlfn.XLOOKUP(Logs__3[[#This Row],[Cell_ID]],Registre_Maintenance[ID_Antenne],Registre_Maintenance[Province_RDC],"Pas de correspondance")</f>
        <v>Pas de correspondance</v>
      </c>
      <c r="C476" s="2">
        <v>45204</v>
      </c>
      <c r="D476" s="3">
        <v>0.93125000000000002</v>
      </c>
      <c r="E476" s="1" t="s">
        <v>1191</v>
      </c>
      <c r="F476">
        <v>66</v>
      </c>
      <c r="G476" s="1" t="s">
        <v>806</v>
      </c>
    </row>
    <row r="477" spans="1:7" x14ac:dyDescent="0.25">
      <c r="A477" s="1" t="s">
        <v>1190</v>
      </c>
      <c r="B477" t="str">
        <f>_xlfn.XLOOKUP(Logs__3[[#This Row],[Cell_ID]],Registre_Maintenance[ID_Antenne],Registre_Maintenance[Province_RDC],"Pas de correspondance")</f>
        <v>Pas de correspondance</v>
      </c>
      <c r="C477" s="2">
        <v>45225</v>
      </c>
      <c r="D477" s="3">
        <v>0.6479166666666667</v>
      </c>
      <c r="E477" s="1" t="s">
        <v>1192</v>
      </c>
      <c r="F477">
        <v>49</v>
      </c>
      <c r="G477" s="1" t="s">
        <v>806</v>
      </c>
    </row>
    <row r="478" spans="1:7" x14ac:dyDescent="0.25">
      <c r="A478" s="1" t="s">
        <v>1190</v>
      </c>
      <c r="B478" t="str">
        <f>_xlfn.XLOOKUP(Logs__3[[#This Row],[Cell_ID]],Registre_Maintenance[ID_Antenne],Registre_Maintenance[Province_RDC],"Pas de correspondance")</f>
        <v>Pas de correspondance</v>
      </c>
      <c r="C478" s="2">
        <v>45214</v>
      </c>
      <c r="D478" s="3">
        <v>0.19305555555555556</v>
      </c>
      <c r="E478" s="1" t="s">
        <v>835</v>
      </c>
      <c r="F478">
        <v>76</v>
      </c>
      <c r="G478" s="1" t="s">
        <v>811</v>
      </c>
    </row>
    <row r="479" spans="1:7" x14ac:dyDescent="0.25">
      <c r="A479" s="1" t="s">
        <v>1190</v>
      </c>
      <c r="B479" t="str">
        <f>_xlfn.XLOOKUP(Logs__3[[#This Row],[Cell_ID]],Registre_Maintenance[ID_Antenne],Registre_Maintenance[Province_RDC],"Pas de correspondance")</f>
        <v>Pas de correspondance</v>
      </c>
      <c r="C479" s="2">
        <v>45228</v>
      </c>
      <c r="D479" s="3">
        <v>0.67222222222222228</v>
      </c>
      <c r="E479" s="1" t="s">
        <v>1193</v>
      </c>
      <c r="F479">
        <v>106</v>
      </c>
      <c r="G479" s="1" t="s">
        <v>806</v>
      </c>
    </row>
    <row r="480" spans="1:7" x14ac:dyDescent="0.25">
      <c r="A480" s="1" t="s">
        <v>1190</v>
      </c>
      <c r="B480" t="str">
        <f>_xlfn.XLOOKUP(Logs__3[[#This Row],[Cell_ID]],Registre_Maintenance[ID_Antenne],Registre_Maintenance[Province_RDC],"Pas de correspondance")</f>
        <v>Pas de correspondance</v>
      </c>
      <c r="C480" s="2">
        <v>45210</v>
      </c>
      <c r="D480" s="3">
        <v>0.80555555555555558</v>
      </c>
      <c r="E480" s="1" t="s">
        <v>1194</v>
      </c>
      <c r="F480">
        <v>97</v>
      </c>
      <c r="G480" s="1" t="s">
        <v>806</v>
      </c>
    </row>
    <row r="481" spans="1:7" x14ac:dyDescent="0.25">
      <c r="A481" s="1" t="s">
        <v>1190</v>
      </c>
      <c r="B481" t="str">
        <f>_xlfn.XLOOKUP(Logs__3[[#This Row],[Cell_ID]],Registre_Maintenance[ID_Antenne],Registre_Maintenance[Province_RDC],"Pas de correspondance")</f>
        <v>Nord-Kivu</v>
      </c>
      <c r="C481" s="2">
        <v>45205</v>
      </c>
      <c r="D481" s="3">
        <v>0.52708333333333335</v>
      </c>
      <c r="E481" s="1" t="s">
        <v>1195</v>
      </c>
      <c r="F481">
        <v>40</v>
      </c>
      <c r="G481" s="1" t="s">
        <v>811</v>
      </c>
    </row>
    <row r="482" spans="1:7" x14ac:dyDescent="0.25">
      <c r="A482" s="1" t="s">
        <v>1190</v>
      </c>
      <c r="B482" t="str">
        <f>_xlfn.XLOOKUP(Logs__3[[#This Row],[Cell_ID]],Registre_Maintenance[ID_Antenne],Registre_Maintenance[Province_RDC],"Pas de correspondance")</f>
        <v>Mongala</v>
      </c>
      <c r="C482" s="2">
        <v>45223</v>
      </c>
      <c r="D482" s="3">
        <v>0.40069444444444446</v>
      </c>
      <c r="E482" s="1" t="s">
        <v>1120</v>
      </c>
      <c r="F482">
        <v>41</v>
      </c>
      <c r="G482" s="1" t="s">
        <v>811</v>
      </c>
    </row>
    <row r="483" spans="1:7" x14ac:dyDescent="0.25">
      <c r="A483" s="1" t="s">
        <v>1190</v>
      </c>
      <c r="B483" t="str">
        <f>_xlfn.XLOOKUP(Logs__3[[#This Row],[Cell_ID]],Registre_Maintenance[ID_Antenne],Registre_Maintenance[Province_RDC],"Pas de correspondance")</f>
        <v>Equateur</v>
      </c>
      <c r="C483" s="2">
        <v>45210</v>
      </c>
      <c r="D483" s="3">
        <v>0.70347222222222228</v>
      </c>
      <c r="E483" s="1" t="s">
        <v>1196</v>
      </c>
      <c r="F483">
        <v>20</v>
      </c>
      <c r="G483" s="1" t="s">
        <v>806</v>
      </c>
    </row>
    <row r="484" spans="1:7" x14ac:dyDescent="0.25">
      <c r="A484" s="1" t="s">
        <v>1190</v>
      </c>
      <c r="B484" t="str">
        <f>_xlfn.XLOOKUP(Logs__3[[#This Row],[Cell_ID]],Registre_Maintenance[ID_Antenne],Registre_Maintenance[Province_RDC],"Pas de correspondance")</f>
        <v>Lualaba</v>
      </c>
      <c r="C484" s="2">
        <v>45216</v>
      </c>
      <c r="D484" s="3">
        <v>0.72986111111111107</v>
      </c>
      <c r="E484" s="1" t="s">
        <v>990</v>
      </c>
      <c r="F484">
        <v>78</v>
      </c>
      <c r="G484" s="1" t="s">
        <v>809</v>
      </c>
    </row>
    <row r="485" spans="1:7" x14ac:dyDescent="0.25">
      <c r="A485" s="1" t="s">
        <v>1190</v>
      </c>
      <c r="B485" t="str">
        <f>_xlfn.XLOOKUP(Logs__3[[#This Row],[Cell_ID]],Registre_Maintenance[ID_Antenne],Registre_Maintenance[Province_RDC],"Pas de correspondance")</f>
        <v>Bas-Uele</v>
      </c>
      <c r="C485" s="2">
        <v>45222</v>
      </c>
      <c r="D485" s="3">
        <v>0.7631944444444444</v>
      </c>
      <c r="E485" s="1" t="s">
        <v>975</v>
      </c>
      <c r="F485">
        <v>91</v>
      </c>
      <c r="G485" s="1" t="s">
        <v>811</v>
      </c>
    </row>
    <row r="486" spans="1:7" x14ac:dyDescent="0.25">
      <c r="A486" s="1" t="s">
        <v>1190</v>
      </c>
      <c r="B486" t="str">
        <f>_xlfn.XLOOKUP(Logs__3[[#This Row],[Cell_ID]],Registre_Maintenance[ID_Antenne],Registre_Maintenance[Province_RDC],"Pas de correspondance")</f>
        <v>Kasaï-Central</v>
      </c>
      <c r="C486" s="2">
        <v>45215</v>
      </c>
      <c r="D486" s="3">
        <v>1.5972222222222221E-2</v>
      </c>
      <c r="E486" s="1" t="s">
        <v>1197</v>
      </c>
      <c r="F486">
        <v>74</v>
      </c>
      <c r="G486" s="1" t="s">
        <v>806</v>
      </c>
    </row>
    <row r="487" spans="1:7" x14ac:dyDescent="0.25">
      <c r="A487" s="1" t="s">
        <v>1190</v>
      </c>
      <c r="B487" t="str">
        <f>_xlfn.XLOOKUP(Logs__3[[#This Row],[Cell_ID]],Registre_Maintenance[ID_Antenne],Registre_Maintenance[Province_RDC],"Pas de correspondance")</f>
        <v>Lomami</v>
      </c>
      <c r="C487" s="2">
        <v>45210</v>
      </c>
      <c r="D487" s="3">
        <v>0.87986111111111109</v>
      </c>
      <c r="E487" s="1" t="s">
        <v>1198</v>
      </c>
      <c r="F487">
        <v>53</v>
      </c>
      <c r="G487" s="1" t="s">
        <v>806</v>
      </c>
    </row>
    <row r="488" spans="1:7" x14ac:dyDescent="0.25">
      <c r="A488" s="1" t="s">
        <v>1190</v>
      </c>
      <c r="B488" t="str">
        <f>_xlfn.XLOOKUP(Logs__3[[#This Row],[Cell_ID]],Registre_Maintenance[ID_Antenne],Registre_Maintenance[Province_RDC],"Pas de correspondance")</f>
        <v>Equateur</v>
      </c>
      <c r="C488" s="2">
        <v>45213</v>
      </c>
      <c r="D488" s="3">
        <v>0.7631944444444444</v>
      </c>
      <c r="E488" s="1" t="s">
        <v>1196</v>
      </c>
      <c r="F488">
        <v>119</v>
      </c>
      <c r="G488" s="1" t="s">
        <v>811</v>
      </c>
    </row>
    <row r="489" spans="1:7" x14ac:dyDescent="0.25">
      <c r="A489" s="1" t="s">
        <v>1190</v>
      </c>
      <c r="B489" t="str">
        <f>_xlfn.XLOOKUP(Logs__3[[#This Row],[Cell_ID]],Registre_Maintenance[ID_Antenne],Registre_Maintenance[Province_RDC],"Pas de correspondance")</f>
        <v>Pas de correspondance</v>
      </c>
      <c r="C489" s="2">
        <v>45225</v>
      </c>
      <c r="D489" s="3">
        <v>0.99652777777777779</v>
      </c>
      <c r="E489" s="1" t="s">
        <v>1016</v>
      </c>
      <c r="F489">
        <v>55</v>
      </c>
      <c r="G489" s="1" t="s">
        <v>809</v>
      </c>
    </row>
    <row r="490" spans="1:7" x14ac:dyDescent="0.25">
      <c r="A490" s="1" t="s">
        <v>1190</v>
      </c>
      <c r="B490" t="str">
        <f>_xlfn.XLOOKUP(Logs__3[[#This Row],[Cell_ID]],Registre_Maintenance[ID_Antenne],Registre_Maintenance[Province_RDC],"Pas de correspondance")</f>
        <v>Haut-Katanga</v>
      </c>
      <c r="C490" s="2">
        <v>45222</v>
      </c>
      <c r="D490" s="3">
        <v>0.83402777777777781</v>
      </c>
      <c r="E490" s="1" t="s">
        <v>869</v>
      </c>
      <c r="F490">
        <v>109</v>
      </c>
      <c r="G490" s="1" t="s">
        <v>809</v>
      </c>
    </row>
    <row r="491" spans="1:7" x14ac:dyDescent="0.25">
      <c r="A491" s="1" t="s">
        <v>1190</v>
      </c>
      <c r="B491" t="str">
        <f>_xlfn.XLOOKUP(Logs__3[[#This Row],[Cell_ID]],Registre_Maintenance[ID_Antenne],Registre_Maintenance[Province_RDC],"Pas de correspondance")</f>
        <v>Pas de correspondance</v>
      </c>
      <c r="C491" s="2">
        <v>45219</v>
      </c>
      <c r="D491" s="3">
        <v>0.63611111111111107</v>
      </c>
      <c r="E491" s="1" t="s">
        <v>1018</v>
      </c>
      <c r="F491">
        <v>49</v>
      </c>
      <c r="G491" s="1" t="s">
        <v>806</v>
      </c>
    </row>
    <row r="492" spans="1:7" x14ac:dyDescent="0.25">
      <c r="A492" s="1" t="s">
        <v>1190</v>
      </c>
      <c r="B492" t="str">
        <f>_xlfn.XLOOKUP(Logs__3[[#This Row],[Cell_ID]],Registre_Maintenance[ID_Antenne],Registre_Maintenance[Province_RDC],"Pas de correspondance")</f>
        <v>Bas-Uele</v>
      </c>
      <c r="C492" s="2">
        <v>45230</v>
      </c>
      <c r="D492" s="3">
        <v>0.86805555555555558</v>
      </c>
      <c r="E492" s="1" t="s">
        <v>1199</v>
      </c>
      <c r="F492">
        <v>103</v>
      </c>
      <c r="G492" s="1" t="s">
        <v>811</v>
      </c>
    </row>
    <row r="493" spans="1:7" x14ac:dyDescent="0.25">
      <c r="A493" s="1" t="s">
        <v>1190</v>
      </c>
      <c r="B493" t="str">
        <f>_xlfn.XLOOKUP(Logs__3[[#This Row],[Cell_ID]],Registre_Maintenance[ID_Antenne],Registre_Maintenance[Province_RDC],"Pas de correspondance")</f>
        <v>Pas de correspondance</v>
      </c>
      <c r="C493" s="2">
        <v>45224</v>
      </c>
      <c r="D493" s="3">
        <v>0.77500000000000002</v>
      </c>
      <c r="E493" s="1" t="s">
        <v>1200</v>
      </c>
      <c r="F493">
        <v>107</v>
      </c>
      <c r="G493" s="1" t="s">
        <v>811</v>
      </c>
    </row>
    <row r="494" spans="1:7" x14ac:dyDescent="0.25">
      <c r="A494" s="1" t="s">
        <v>1190</v>
      </c>
      <c r="B494" t="str">
        <f>_xlfn.XLOOKUP(Logs__3[[#This Row],[Cell_ID]],Registre_Maintenance[ID_Antenne],Registre_Maintenance[Province_RDC],"Pas de correspondance")</f>
        <v>Nord-Kivu</v>
      </c>
      <c r="C494" s="2">
        <v>45207</v>
      </c>
      <c r="D494" s="3">
        <v>0.9604166666666667</v>
      </c>
      <c r="E494" s="1" t="s">
        <v>974</v>
      </c>
      <c r="F494">
        <v>23</v>
      </c>
      <c r="G494" s="1" t="s">
        <v>811</v>
      </c>
    </row>
    <row r="495" spans="1:7" x14ac:dyDescent="0.25">
      <c r="A495" s="1" t="s">
        <v>1190</v>
      </c>
      <c r="B495" t="str">
        <f>_xlfn.XLOOKUP(Logs__3[[#This Row],[Cell_ID]],Registre_Maintenance[ID_Antenne],Registre_Maintenance[Province_RDC],"Pas de correspondance")</f>
        <v>Pas de correspondance</v>
      </c>
      <c r="C495" s="2">
        <v>45218</v>
      </c>
      <c r="D495" s="3">
        <v>0.63194444444444442</v>
      </c>
      <c r="E495" s="1" t="s">
        <v>843</v>
      </c>
      <c r="F495">
        <v>42</v>
      </c>
      <c r="G495" s="1" t="s">
        <v>809</v>
      </c>
    </row>
    <row r="496" spans="1:7" x14ac:dyDescent="0.25">
      <c r="A496" s="1" t="s">
        <v>1190</v>
      </c>
      <c r="B496" t="str">
        <f>_xlfn.XLOOKUP(Logs__3[[#This Row],[Cell_ID]],Registre_Maintenance[ID_Antenne],Registre_Maintenance[Province_RDC],"Pas de correspondance")</f>
        <v>Kasaï-Oriental</v>
      </c>
      <c r="C496" s="2">
        <v>45216</v>
      </c>
      <c r="D496" s="3">
        <v>0.86527777777777781</v>
      </c>
      <c r="E496" s="1" t="s">
        <v>1201</v>
      </c>
      <c r="F496">
        <v>10</v>
      </c>
      <c r="G496" s="1" t="s">
        <v>809</v>
      </c>
    </row>
    <row r="497" spans="1:7" x14ac:dyDescent="0.25">
      <c r="A497" s="1" t="s">
        <v>1190</v>
      </c>
      <c r="B497" t="str">
        <f>_xlfn.XLOOKUP(Logs__3[[#This Row],[Cell_ID]],Registre_Maintenance[ID_Antenne],Registre_Maintenance[Province_RDC],"Pas de correspondance")</f>
        <v>Pas de correspondance</v>
      </c>
      <c r="C497" s="2">
        <v>45219</v>
      </c>
      <c r="D497" s="3">
        <v>0.50624999999999998</v>
      </c>
      <c r="E497" s="1" t="s">
        <v>949</v>
      </c>
      <c r="F497">
        <v>41</v>
      </c>
      <c r="G497" s="1" t="s">
        <v>809</v>
      </c>
    </row>
    <row r="498" spans="1:7" x14ac:dyDescent="0.25">
      <c r="A498" s="1" t="s">
        <v>1190</v>
      </c>
      <c r="B498" t="str">
        <f>_xlfn.XLOOKUP(Logs__3[[#This Row],[Cell_ID]],Registre_Maintenance[ID_Antenne],Registre_Maintenance[Province_RDC],"Pas de correspondance")</f>
        <v>Pas de correspondance</v>
      </c>
      <c r="C498" s="2">
        <v>45226</v>
      </c>
      <c r="D498" s="3">
        <v>0.88541666666666663</v>
      </c>
      <c r="E498" s="1" t="s">
        <v>1202</v>
      </c>
      <c r="F498">
        <v>96</v>
      </c>
      <c r="G498" s="1" t="s">
        <v>811</v>
      </c>
    </row>
    <row r="499" spans="1:7" x14ac:dyDescent="0.25">
      <c r="A499" s="1" t="s">
        <v>1190</v>
      </c>
      <c r="B499" t="str">
        <f>_xlfn.XLOOKUP(Logs__3[[#This Row],[Cell_ID]],Registre_Maintenance[ID_Antenne],Registre_Maintenance[Province_RDC],"Pas de correspondance")</f>
        <v>Pas de correspondance</v>
      </c>
      <c r="C499" s="2">
        <v>45201</v>
      </c>
      <c r="D499" s="3">
        <v>0.78055555555555556</v>
      </c>
      <c r="E499" s="1" t="s">
        <v>1203</v>
      </c>
      <c r="F499">
        <v>15</v>
      </c>
      <c r="G499" s="1" t="s">
        <v>806</v>
      </c>
    </row>
    <row r="500" spans="1:7" x14ac:dyDescent="0.25">
      <c r="A500" s="1" t="s">
        <v>1190</v>
      </c>
      <c r="B500" t="str">
        <f>_xlfn.XLOOKUP(Logs__3[[#This Row],[Cell_ID]],Registre_Maintenance[ID_Antenne],Registre_Maintenance[Province_RDC],"Pas de correspondance")</f>
        <v>Pas de correspondance</v>
      </c>
      <c r="C500" s="2">
        <v>45203</v>
      </c>
      <c r="D500" s="3">
        <v>0.25069444444444444</v>
      </c>
      <c r="E500" s="1" t="s">
        <v>937</v>
      </c>
      <c r="F500">
        <v>49</v>
      </c>
      <c r="G500" s="1" t="s">
        <v>809</v>
      </c>
    </row>
    <row r="501" spans="1:7" x14ac:dyDescent="0.25">
      <c r="A501" s="1" t="s">
        <v>1190</v>
      </c>
      <c r="B501" t="str">
        <f>_xlfn.XLOOKUP(Logs__3[[#This Row],[Cell_ID]],Registre_Maintenance[ID_Antenne],Registre_Maintenance[Province_RDC],"Pas de correspondance")</f>
        <v>Tanganyika</v>
      </c>
      <c r="C501" s="2">
        <v>45214</v>
      </c>
      <c r="D501" s="3">
        <v>0.43472222222222223</v>
      </c>
      <c r="E501" s="1" t="s">
        <v>845</v>
      </c>
      <c r="F501">
        <v>61</v>
      </c>
      <c r="G501" s="1" t="s">
        <v>811</v>
      </c>
    </row>
    <row r="502" spans="1:7" x14ac:dyDescent="0.25">
      <c r="A502" s="1" t="s">
        <v>1190</v>
      </c>
      <c r="B502" t="str">
        <f>_xlfn.XLOOKUP(Logs__3[[#This Row],[Cell_ID]],Registre_Maintenance[ID_Antenne],Registre_Maintenance[Province_RDC],"Pas de correspondance")</f>
        <v>Kasaï-Central</v>
      </c>
      <c r="C502" s="2">
        <v>45204</v>
      </c>
      <c r="D502" s="3">
        <v>0.57222222222222219</v>
      </c>
      <c r="E502" s="1" t="s">
        <v>952</v>
      </c>
      <c r="F502">
        <v>88</v>
      </c>
      <c r="G502" s="1" t="s">
        <v>811</v>
      </c>
    </row>
    <row r="503" spans="1:7" x14ac:dyDescent="0.25">
      <c r="A503" s="1" t="s">
        <v>1190</v>
      </c>
      <c r="B503" t="str">
        <f>_xlfn.XLOOKUP(Logs__3[[#This Row],[Cell_ID]],Registre_Maintenance[ID_Antenne],Registre_Maintenance[Province_RDC],"Pas de correspondance")</f>
        <v>Haut-Uele</v>
      </c>
      <c r="C503" s="2">
        <v>45206</v>
      </c>
      <c r="D503" s="3">
        <v>0.56388888888888888</v>
      </c>
      <c r="E503" s="1" t="s">
        <v>1204</v>
      </c>
      <c r="F503">
        <v>37</v>
      </c>
      <c r="G503" s="1" t="s">
        <v>806</v>
      </c>
    </row>
    <row r="504" spans="1:7" x14ac:dyDescent="0.25">
      <c r="A504" s="1" t="s">
        <v>1190</v>
      </c>
      <c r="B504" t="str">
        <f>_xlfn.XLOOKUP(Logs__3[[#This Row],[Cell_ID]],Registre_Maintenance[ID_Antenne],Registre_Maintenance[Province_RDC],"Pas de correspondance")</f>
        <v>Pas de correspondance</v>
      </c>
      <c r="C504" s="2">
        <v>45224</v>
      </c>
      <c r="D504" s="3">
        <v>0.83194444444444449</v>
      </c>
      <c r="E504" s="1" t="s">
        <v>1205</v>
      </c>
      <c r="F504">
        <v>100</v>
      </c>
      <c r="G504" s="1" t="s">
        <v>806</v>
      </c>
    </row>
    <row r="505" spans="1:7" x14ac:dyDescent="0.25">
      <c r="A505" s="1" t="s">
        <v>1190</v>
      </c>
      <c r="B505" t="str">
        <f>_xlfn.XLOOKUP(Logs__3[[#This Row],[Cell_ID]],Registre_Maintenance[ID_Antenne],Registre_Maintenance[Province_RDC],"Pas de correspondance")</f>
        <v>Pas de correspondance</v>
      </c>
      <c r="C505" s="2">
        <v>45215</v>
      </c>
      <c r="D505" s="3">
        <v>0.99027777777777781</v>
      </c>
      <c r="E505" s="1" t="s">
        <v>1116</v>
      </c>
      <c r="F505">
        <v>66</v>
      </c>
      <c r="G505" s="1" t="s">
        <v>811</v>
      </c>
    </row>
    <row r="506" spans="1:7" x14ac:dyDescent="0.25">
      <c r="A506" s="1" t="s">
        <v>1190</v>
      </c>
      <c r="B506" t="str">
        <f>_xlfn.XLOOKUP(Logs__3[[#This Row],[Cell_ID]],Registre_Maintenance[ID_Antenne],Registre_Maintenance[Province_RDC],"Pas de correspondance")</f>
        <v>Bas-Uele</v>
      </c>
      <c r="C506" s="2">
        <v>45201</v>
      </c>
      <c r="D506" s="3">
        <v>0.92222222222222228</v>
      </c>
      <c r="E506" s="1" t="s">
        <v>996</v>
      </c>
      <c r="F506">
        <v>32</v>
      </c>
      <c r="G506" s="1" t="s">
        <v>806</v>
      </c>
    </row>
    <row r="507" spans="1:7" x14ac:dyDescent="0.25">
      <c r="A507" s="1" t="s">
        <v>1190</v>
      </c>
      <c r="B507" t="str">
        <f>_xlfn.XLOOKUP(Logs__3[[#This Row],[Cell_ID]],Registre_Maintenance[ID_Antenne],Registre_Maintenance[Province_RDC],"Pas de correspondance")</f>
        <v>Pas de correspondance</v>
      </c>
      <c r="C507" s="2">
        <v>45216</v>
      </c>
      <c r="D507" s="3">
        <v>0.27430555555555558</v>
      </c>
      <c r="E507" s="1" t="s">
        <v>1200</v>
      </c>
      <c r="F507">
        <v>30</v>
      </c>
      <c r="G507" s="1" t="s">
        <v>809</v>
      </c>
    </row>
    <row r="508" spans="1:7" x14ac:dyDescent="0.25">
      <c r="A508" s="1" t="s">
        <v>1190</v>
      </c>
      <c r="B508" t="str">
        <f>_xlfn.XLOOKUP(Logs__3[[#This Row],[Cell_ID]],Registre_Maintenance[ID_Antenne],Registre_Maintenance[Province_RDC],"Pas de correspondance")</f>
        <v>Pas de correspondance</v>
      </c>
      <c r="C508" s="2">
        <v>45210</v>
      </c>
      <c r="D508" s="3">
        <v>0.89583333333333337</v>
      </c>
      <c r="E508" s="1" t="s">
        <v>1004</v>
      </c>
      <c r="F508">
        <v>110</v>
      </c>
      <c r="G508" s="1" t="s">
        <v>811</v>
      </c>
    </row>
    <row r="509" spans="1:7" x14ac:dyDescent="0.25">
      <c r="A509" s="1" t="s">
        <v>1190</v>
      </c>
      <c r="B509" t="str">
        <f>_xlfn.XLOOKUP(Logs__3[[#This Row],[Cell_ID]],Registre_Maintenance[ID_Antenne],Registre_Maintenance[Province_RDC],"Pas de correspondance")</f>
        <v>Pas de correspondance</v>
      </c>
      <c r="C509" s="2">
        <v>45216</v>
      </c>
      <c r="D509" s="3">
        <v>0.51388888888888884</v>
      </c>
      <c r="E509" s="1" t="s">
        <v>1206</v>
      </c>
      <c r="F509">
        <v>73</v>
      </c>
      <c r="G509" s="1" t="s">
        <v>809</v>
      </c>
    </row>
    <row r="510" spans="1:7" x14ac:dyDescent="0.25">
      <c r="A510" s="1" t="s">
        <v>1190</v>
      </c>
      <c r="B510" t="str">
        <f>_xlfn.XLOOKUP(Logs__3[[#This Row],[Cell_ID]],Registre_Maintenance[ID_Antenne],Registre_Maintenance[Province_RDC],"Pas de correspondance")</f>
        <v>Lomami</v>
      </c>
      <c r="C510" s="2">
        <v>45230</v>
      </c>
      <c r="D510" s="3">
        <v>0.22847222222222222</v>
      </c>
      <c r="E510" s="1" t="s">
        <v>934</v>
      </c>
      <c r="F510">
        <v>39</v>
      </c>
      <c r="G510" s="1" t="s">
        <v>811</v>
      </c>
    </row>
    <row r="511" spans="1:7" x14ac:dyDescent="0.25">
      <c r="A511" s="1" t="s">
        <v>1190</v>
      </c>
      <c r="B511" t="str">
        <f>_xlfn.XLOOKUP(Logs__3[[#This Row],[Cell_ID]],Registre_Maintenance[ID_Antenne],Registre_Maintenance[Province_RDC],"Pas de correspondance")</f>
        <v>Nord-Ubangi</v>
      </c>
      <c r="C511" s="2">
        <v>45229</v>
      </c>
      <c r="D511" s="3">
        <v>0.72291666666666665</v>
      </c>
      <c r="E511" s="1" t="s">
        <v>953</v>
      </c>
      <c r="F511">
        <v>76</v>
      </c>
      <c r="G511" s="1" t="s">
        <v>809</v>
      </c>
    </row>
    <row r="512" spans="1:7" x14ac:dyDescent="0.25">
      <c r="A512" s="1" t="s">
        <v>1190</v>
      </c>
      <c r="B512" t="str">
        <f>_xlfn.XLOOKUP(Logs__3[[#This Row],[Cell_ID]],Registre_Maintenance[ID_Antenne],Registre_Maintenance[Province_RDC],"Pas de correspondance")</f>
        <v>Pas de correspondance</v>
      </c>
      <c r="C512" s="2">
        <v>45217</v>
      </c>
      <c r="D512" s="3">
        <v>0.48819444444444443</v>
      </c>
      <c r="E512" s="1" t="s">
        <v>1207</v>
      </c>
      <c r="F512">
        <v>94</v>
      </c>
      <c r="G512" s="1" t="s">
        <v>806</v>
      </c>
    </row>
    <row r="513" spans="1:7" x14ac:dyDescent="0.25">
      <c r="A513" s="1" t="s">
        <v>1190</v>
      </c>
      <c r="B513" t="str">
        <f>_xlfn.XLOOKUP(Logs__3[[#This Row],[Cell_ID]],Registre_Maintenance[ID_Antenne],Registre_Maintenance[Province_RDC],"Pas de correspondance")</f>
        <v>Pas de correspondance</v>
      </c>
      <c r="C513" s="2">
        <v>45224</v>
      </c>
      <c r="D513" s="3">
        <v>0.98819444444444449</v>
      </c>
      <c r="E513" s="1" t="s">
        <v>860</v>
      </c>
      <c r="F513">
        <v>39</v>
      </c>
      <c r="G513" s="1" t="s">
        <v>806</v>
      </c>
    </row>
    <row r="514" spans="1:7" x14ac:dyDescent="0.25">
      <c r="A514" s="1" t="s">
        <v>1190</v>
      </c>
      <c r="B514" t="str">
        <f>_xlfn.XLOOKUP(Logs__3[[#This Row],[Cell_ID]],Registre_Maintenance[ID_Antenne],Registre_Maintenance[Province_RDC],"Pas de correspondance")</f>
        <v>Kasaï</v>
      </c>
      <c r="C514" s="2">
        <v>45220</v>
      </c>
      <c r="D514" s="3">
        <v>0.92777777777777781</v>
      </c>
      <c r="E514" s="1" t="s">
        <v>1109</v>
      </c>
      <c r="F514">
        <v>22</v>
      </c>
      <c r="G514" s="1" t="s">
        <v>809</v>
      </c>
    </row>
    <row r="515" spans="1:7" x14ac:dyDescent="0.25">
      <c r="A515" s="1" t="s">
        <v>1190</v>
      </c>
      <c r="B515" t="str">
        <f>_xlfn.XLOOKUP(Logs__3[[#This Row],[Cell_ID]],Registre_Maintenance[ID_Antenne],Registre_Maintenance[Province_RDC],"Pas de correspondance")</f>
        <v>Pas de correspondance</v>
      </c>
      <c r="C515" s="2">
        <v>45219</v>
      </c>
      <c r="D515" s="3">
        <v>0.6333333333333333</v>
      </c>
      <c r="E515" s="1" t="s">
        <v>1208</v>
      </c>
      <c r="F515">
        <v>18</v>
      </c>
      <c r="G515" s="1" t="s">
        <v>811</v>
      </c>
    </row>
    <row r="516" spans="1:7" x14ac:dyDescent="0.25">
      <c r="A516" s="1" t="s">
        <v>1190</v>
      </c>
      <c r="B516" t="str">
        <f>_xlfn.XLOOKUP(Logs__3[[#This Row],[Cell_ID]],Registre_Maintenance[ID_Antenne],Registre_Maintenance[Province_RDC],"Pas de correspondance")</f>
        <v>Kongo-Central</v>
      </c>
      <c r="C516" s="2">
        <v>45230</v>
      </c>
      <c r="D516" s="3">
        <v>0.3034722222222222</v>
      </c>
      <c r="E516" s="1" t="s">
        <v>1209</v>
      </c>
      <c r="F516">
        <v>83</v>
      </c>
      <c r="G516" s="1" t="s">
        <v>811</v>
      </c>
    </row>
    <row r="517" spans="1:7" x14ac:dyDescent="0.25">
      <c r="A517" s="1" t="s">
        <v>1190</v>
      </c>
      <c r="B517" t="str">
        <f>_xlfn.XLOOKUP(Logs__3[[#This Row],[Cell_ID]],Registre_Maintenance[ID_Antenne],Registre_Maintenance[Province_RDC],"Pas de correspondance")</f>
        <v>Haut-Lomami</v>
      </c>
      <c r="C517" s="2">
        <v>45217</v>
      </c>
      <c r="D517" s="3">
        <v>0.38472222222222224</v>
      </c>
      <c r="E517" s="1" t="s">
        <v>1210</v>
      </c>
      <c r="F517">
        <v>99</v>
      </c>
      <c r="G517" s="1" t="s">
        <v>809</v>
      </c>
    </row>
    <row r="518" spans="1:7" x14ac:dyDescent="0.25">
      <c r="A518" s="1" t="s">
        <v>1190</v>
      </c>
      <c r="B518" t="str">
        <f>_xlfn.XLOOKUP(Logs__3[[#This Row],[Cell_ID]],Registre_Maintenance[ID_Antenne],Registre_Maintenance[Province_RDC],"Pas de correspondance")</f>
        <v>Kwilu</v>
      </c>
      <c r="C518" s="2">
        <v>45230</v>
      </c>
      <c r="D518" s="3">
        <v>0.40902777777777777</v>
      </c>
      <c r="E518" s="1" t="s">
        <v>1211</v>
      </c>
      <c r="F518">
        <v>80</v>
      </c>
      <c r="G518" s="1" t="s">
        <v>809</v>
      </c>
    </row>
    <row r="519" spans="1:7" x14ac:dyDescent="0.25">
      <c r="A519" s="1" t="s">
        <v>1190</v>
      </c>
      <c r="B519" t="str">
        <f>_xlfn.XLOOKUP(Logs__3[[#This Row],[Cell_ID]],Registre_Maintenance[ID_Antenne],Registre_Maintenance[Province_RDC],"Pas de correspondance")</f>
        <v>Pas de correspondance</v>
      </c>
      <c r="C519" s="2">
        <v>45209</v>
      </c>
      <c r="D519" s="3">
        <v>0.92569444444444449</v>
      </c>
      <c r="E519" s="1" t="s">
        <v>1212</v>
      </c>
      <c r="F519">
        <v>35</v>
      </c>
      <c r="G519" s="1" t="s">
        <v>806</v>
      </c>
    </row>
    <row r="520" spans="1:7" x14ac:dyDescent="0.25">
      <c r="A520" s="1" t="s">
        <v>1190</v>
      </c>
      <c r="B520" t="str">
        <f>_xlfn.XLOOKUP(Logs__3[[#This Row],[Cell_ID]],Registre_Maintenance[ID_Antenne],Registre_Maintenance[Province_RDC],"Pas de correspondance")</f>
        <v>Pas de correspondance</v>
      </c>
      <c r="C520" s="2">
        <v>45222</v>
      </c>
      <c r="D520" s="3">
        <v>0.93819444444444444</v>
      </c>
      <c r="E520" s="1" t="s">
        <v>1213</v>
      </c>
      <c r="F520">
        <v>36</v>
      </c>
      <c r="G520" s="1" t="s">
        <v>806</v>
      </c>
    </row>
    <row r="521" spans="1:7" x14ac:dyDescent="0.25">
      <c r="A521" s="1" t="s">
        <v>1214</v>
      </c>
      <c r="B521" t="str">
        <f>_xlfn.XLOOKUP(Logs__3[[#This Row],[Cell_ID]],Registre_Maintenance[ID_Antenne],Registre_Maintenance[Province_RDC],"Pas de correspondance")</f>
        <v>Haut-Uele</v>
      </c>
      <c r="C521" s="2">
        <v>45202</v>
      </c>
      <c r="D521" s="3">
        <v>0.52916666666666667</v>
      </c>
      <c r="E521" s="1" t="s">
        <v>1215</v>
      </c>
      <c r="F521">
        <v>109</v>
      </c>
      <c r="G521" s="1" t="s">
        <v>809</v>
      </c>
    </row>
    <row r="522" spans="1:7" x14ac:dyDescent="0.25">
      <c r="A522" s="1" t="s">
        <v>1214</v>
      </c>
      <c r="B522" t="str">
        <f>_xlfn.XLOOKUP(Logs__3[[#This Row],[Cell_ID]],Registre_Maintenance[ID_Antenne],Registre_Maintenance[Province_RDC],"Pas de correspondance")</f>
        <v>Nord-Kivu</v>
      </c>
      <c r="C522" s="2">
        <v>45203</v>
      </c>
      <c r="D522" s="3">
        <v>0.21388888888888888</v>
      </c>
      <c r="E522" s="1" t="s">
        <v>1216</v>
      </c>
      <c r="F522">
        <v>5</v>
      </c>
      <c r="G522" s="1" t="s">
        <v>806</v>
      </c>
    </row>
    <row r="523" spans="1:7" x14ac:dyDescent="0.25">
      <c r="A523" s="1" t="s">
        <v>1214</v>
      </c>
      <c r="B523" t="str">
        <f>_xlfn.XLOOKUP(Logs__3[[#This Row],[Cell_ID]],Registre_Maintenance[ID_Antenne],Registre_Maintenance[Province_RDC],"Pas de correspondance")</f>
        <v>Tanganyika</v>
      </c>
      <c r="C523" s="2">
        <v>45215</v>
      </c>
      <c r="D523" s="3">
        <v>0.45763888888888887</v>
      </c>
      <c r="E523" s="1" t="s">
        <v>1217</v>
      </c>
      <c r="F523">
        <v>100</v>
      </c>
      <c r="G523" s="1" t="s">
        <v>806</v>
      </c>
    </row>
    <row r="524" spans="1:7" x14ac:dyDescent="0.25">
      <c r="A524" s="1" t="s">
        <v>1214</v>
      </c>
      <c r="B524" t="str">
        <f>_xlfn.XLOOKUP(Logs__3[[#This Row],[Cell_ID]],Registre_Maintenance[ID_Antenne],Registre_Maintenance[Province_RDC],"Pas de correspondance")</f>
        <v>Kasaï-Central</v>
      </c>
      <c r="C524" s="2">
        <v>45207</v>
      </c>
      <c r="D524" s="3">
        <v>1.1111111111111112E-2</v>
      </c>
      <c r="E524" s="1" t="s">
        <v>1218</v>
      </c>
      <c r="F524">
        <v>32</v>
      </c>
      <c r="G524" s="1" t="s">
        <v>806</v>
      </c>
    </row>
    <row r="525" spans="1:7" x14ac:dyDescent="0.25">
      <c r="A525" s="1" t="s">
        <v>1214</v>
      </c>
      <c r="B525" t="str">
        <f>_xlfn.XLOOKUP(Logs__3[[#This Row],[Cell_ID]],Registre_Maintenance[ID_Antenne],Registre_Maintenance[Province_RDC],"Pas de correspondance")</f>
        <v>Pas de correspondance</v>
      </c>
      <c r="C525" s="2">
        <v>45212</v>
      </c>
      <c r="D525" s="3">
        <v>0.31111111111111112</v>
      </c>
      <c r="E525" s="1" t="s">
        <v>818</v>
      </c>
      <c r="F525">
        <v>79</v>
      </c>
      <c r="G525" s="1" t="s">
        <v>806</v>
      </c>
    </row>
    <row r="526" spans="1:7" x14ac:dyDescent="0.25">
      <c r="A526" s="1" t="s">
        <v>1214</v>
      </c>
      <c r="B526" t="str">
        <f>_xlfn.XLOOKUP(Logs__3[[#This Row],[Cell_ID]],Registre_Maintenance[ID_Antenne],Registre_Maintenance[Province_RDC],"Pas de correspondance")</f>
        <v>Pas de correspondance</v>
      </c>
      <c r="C526" s="2">
        <v>45224</v>
      </c>
      <c r="D526" s="3">
        <v>0.34791666666666665</v>
      </c>
      <c r="E526" s="1" t="s">
        <v>1219</v>
      </c>
      <c r="F526">
        <v>14</v>
      </c>
      <c r="G526" s="1" t="s">
        <v>806</v>
      </c>
    </row>
    <row r="527" spans="1:7" x14ac:dyDescent="0.25">
      <c r="A527" s="1" t="s">
        <v>1214</v>
      </c>
      <c r="B527" t="str">
        <f>_xlfn.XLOOKUP(Logs__3[[#This Row],[Cell_ID]],Registre_Maintenance[ID_Antenne],Registre_Maintenance[Province_RDC],"Pas de correspondance")</f>
        <v>Pas de correspondance</v>
      </c>
      <c r="C527" s="2">
        <v>45209</v>
      </c>
      <c r="D527" s="3">
        <v>0.78194444444444444</v>
      </c>
      <c r="E527" s="1" t="s">
        <v>1185</v>
      </c>
      <c r="F527">
        <v>10</v>
      </c>
      <c r="G527" s="1" t="s">
        <v>809</v>
      </c>
    </row>
    <row r="528" spans="1:7" x14ac:dyDescent="0.25">
      <c r="A528" s="1" t="s">
        <v>1214</v>
      </c>
      <c r="B528" t="str">
        <f>_xlfn.XLOOKUP(Logs__3[[#This Row],[Cell_ID]],Registre_Maintenance[ID_Antenne],Registre_Maintenance[Province_RDC],"Pas de correspondance")</f>
        <v>Pas de correspondance</v>
      </c>
      <c r="C528" s="2">
        <v>45218</v>
      </c>
      <c r="D528" s="3">
        <v>1.1111111111111112E-2</v>
      </c>
      <c r="E528" s="1" t="s">
        <v>1220</v>
      </c>
      <c r="F528">
        <v>59</v>
      </c>
      <c r="G528" s="1" t="s">
        <v>806</v>
      </c>
    </row>
    <row r="529" spans="1:7" x14ac:dyDescent="0.25">
      <c r="A529" s="1" t="s">
        <v>1214</v>
      </c>
      <c r="B529" t="str">
        <f>_xlfn.XLOOKUP(Logs__3[[#This Row],[Cell_ID]],Registre_Maintenance[ID_Antenne],Registre_Maintenance[Province_RDC],"Pas de correspondance")</f>
        <v>Sud-Ubangi</v>
      </c>
      <c r="C529" s="2">
        <v>45220</v>
      </c>
      <c r="D529" s="3">
        <v>0.48888888888888887</v>
      </c>
      <c r="E529" s="1" t="s">
        <v>894</v>
      </c>
      <c r="F529">
        <v>49</v>
      </c>
      <c r="G529" s="1" t="s">
        <v>811</v>
      </c>
    </row>
    <row r="530" spans="1:7" x14ac:dyDescent="0.25">
      <c r="A530" s="1" t="s">
        <v>1214</v>
      </c>
      <c r="B530" t="str">
        <f>_xlfn.XLOOKUP(Logs__3[[#This Row],[Cell_ID]],Registre_Maintenance[ID_Antenne],Registre_Maintenance[Province_RDC],"Pas de correspondance")</f>
        <v>Equateur</v>
      </c>
      <c r="C530" s="2">
        <v>45207</v>
      </c>
      <c r="D530" s="3">
        <v>7.0833333333333331E-2</v>
      </c>
      <c r="E530" s="1" t="s">
        <v>1221</v>
      </c>
      <c r="F530">
        <v>94</v>
      </c>
      <c r="G530" s="1" t="s">
        <v>809</v>
      </c>
    </row>
    <row r="531" spans="1:7" x14ac:dyDescent="0.25">
      <c r="A531" s="1" t="s">
        <v>1214</v>
      </c>
      <c r="B531" t="str">
        <f>_xlfn.XLOOKUP(Logs__3[[#This Row],[Cell_ID]],Registre_Maintenance[ID_Antenne],Registre_Maintenance[Province_RDC],"Pas de correspondance")</f>
        <v>Tshuapa</v>
      </c>
      <c r="C531" s="2">
        <v>45203</v>
      </c>
      <c r="D531" s="3">
        <v>0.59652777777777777</v>
      </c>
      <c r="E531" s="1" t="s">
        <v>1222</v>
      </c>
      <c r="F531">
        <v>13</v>
      </c>
      <c r="G531" s="1" t="s">
        <v>809</v>
      </c>
    </row>
    <row r="532" spans="1:7" x14ac:dyDescent="0.25">
      <c r="A532" s="1" t="s">
        <v>1214</v>
      </c>
      <c r="B532" t="str">
        <f>_xlfn.XLOOKUP(Logs__3[[#This Row],[Cell_ID]],Registre_Maintenance[ID_Antenne],Registre_Maintenance[Province_RDC],"Pas de correspondance")</f>
        <v>Mongala</v>
      </c>
      <c r="C532" s="2">
        <v>45205</v>
      </c>
      <c r="D532" s="3">
        <v>0.52986111111111112</v>
      </c>
      <c r="E532" s="1" t="s">
        <v>888</v>
      </c>
      <c r="F532">
        <v>74</v>
      </c>
      <c r="G532" s="1" t="s">
        <v>809</v>
      </c>
    </row>
    <row r="533" spans="1:7" x14ac:dyDescent="0.25">
      <c r="A533" s="1" t="s">
        <v>1214</v>
      </c>
      <c r="B533" t="str">
        <f>_xlfn.XLOOKUP(Logs__3[[#This Row],[Cell_ID]],Registre_Maintenance[ID_Antenne],Registre_Maintenance[Province_RDC],"Pas de correspondance")</f>
        <v>Pas de correspondance</v>
      </c>
      <c r="C533" s="2">
        <v>45216</v>
      </c>
      <c r="D533" s="3">
        <v>0.9506944444444444</v>
      </c>
      <c r="E533" s="1" t="s">
        <v>807</v>
      </c>
      <c r="F533">
        <v>12</v>
      </c>
      <c r="G533" s="1" t="s">
        <v>806</v>
      </c>
    </row>
    <row r="534" spans="1:7" x14ac:dyDescent="0.25">
      <c r="A534" s="1" t="s">
        <v>1214</v>
      </c>
      <c r="B534" t="str">
        <f>_xlfn.XLOOKUP(Logs__3[[#This Row],[Cell_ID]],Registre_Maintenance[ID_Antenne],Registre_Maintenance[Province_RDC],"Pas de correspondance")</f>
        <v>Bas-Uele</v>
      </c>
      <c r="C534" s="2">
        <v>45209</v>
      </c>
      <c r="D534" s="3">
        <v>0.92152777777777772</v>
      </c>
      <c r="E534" s="1" t="s">
        <v>996</v>
      </c>
      <c r="F534">
        <v>119</v>
      </c>
      <c r="G534" s="1" t="s">
        <v>806</v>
      </c>
    </row>
    <row r="535" spans="1:7" x14ac:dyDescent="0.25">
      <c r="A535" s="1" t="s">
        <v>1214</v>
      </c>
      <c r="B535" t="str">
        <f>_xlfn.XLOOKUP(Logs__3[[#This Row],[Cell_ID]],Registre_Maintenance[ID_Antenne],Registre_Maintenance[Province_RDC],"Pas de correspondance")</f>
        <v>Pas de correspondance</v>
      </c>
      <c r="C535" s="2">
        <v>45220</v>
      </c>
      <c r="D535" s="3">
        <v>0.39097222222222222</v>
      </c>
      <c r="E535" s="1" t="s">
        <v>1184</v>
      </c>
      <c r="F535">
        <v>13</v>
      </c>
      <c r="G535" s="1" t="s">
        <v>809</v>
      </c>
    </row>
    <row r="536" spans="1:7" x14ac:dyDescent="0.25">
      <c r="A536" s="1" t="s">
        <v>1214</v>
      </c>
      <c r="B536" t="str">
        <f>_xlfn.XLOOKUP(Logs__3[[#This Row],[Cell_ID]],Registre_Maintenance[ID_Antenne],Registre_Maintenance[Province_RDC],"Pas de correspondance")</f>
        <v>Pas de correspondance</v>
      </c>
      <c r="C536" s="2">
        <v>45219</v>
      </c>
      <c r="D536" s="3">
        <v>0.30138888888888887</v>
      </c>
      <c r="E536" s="1" t="s">
        <v>824</v>
      </c>
      <c r="F536">
        <v>65</v>
      </c>
      <c r="G536" s="1" t="s">
        <v>806</v>
      </c>
    </row>
    <row r="537" spans="1:7" x14ac:dyDescent="0.25">
      <c r="A537" s="1" t="s">
        <v>1214</v>
      </c>
      <c r="B537" t="str">
        <f>_xlfn.XLOOKUP(Logs__3[[#This Row],[Cell_ID]],Registre_Maintenance[ID_Antenne],Registre_Maintenance[Province_RDC],"Pas de correspondance")</f>
        <v>Pas de correspondance</v>
      </c>
      <c r="C537" s="2">
        <v>45230</v>
      </c>
      <c r="D537" s="3">
        <v>0.1875</v>
      </c>
      <c r="E537" s="1" t="s">
        <v>1223</v>
      </c>
      <c r="F537">
        <v>9</v>
      </c>
      <c r="G537" s="1" t="s">
        <v>811</v>
      </c>
    </row>
    <row r="538" spans="1:7" x14ac:dyDescent="0.25">
      <c r="A538" s="1" t="s">
        <v>1214</v>
      </c>
      <c r="B538" t="str">
        <f>_xlfn.XLOOKUP(Logs__3[[#This Row],[Cell_ID]],Registre_Maintenance[ID_Antenne],Registre_Maintenance[Province_RDC],"Pas de correspondance")</f>
        <v>Kinshasa</v>
      </c>
      <c r="C538" s="2">
        <v>45204</v>
      </c>
      <c r="D538" s="3">
        <v>0.61597222222222225</v>
      </c>
      <c r="E538" s="1" t="s">
        <v>1224</v>
      </c>
      <c r="F538">
        <v>41</v>
      </c>
      <c r="G538" s="1" t="s">
        <v>811</v>
      </c>
    </row>
    <row r="539" spans="1:7" x14ac:dyDescent="0.25">
      <c r="A539" s="1" t="s">
        <v>1214</v>
      </c>
      <c r="B539" t="str">
        <f>_xlfn.XLOOKUP(Logs__3[[#This Row],[Cell_ID]],Registre_Maintenance[ID_Antenne],Registre_Maintenance[Province_RDC],"Pas de correspondance")</f>
        <v>Kongo-Central</v>
      </c>
      <c r="C539" s="2">
        <v>45219</v>
      </c>
      <c r="D539" s="3">
        <v>0.47638888888888886</v>
      </c>
      <c r="E539" s="1" t="s">
        <v>813</v>
      </c>
      <c r="F539">
        <v>57</v>
      </c>
      <c r="G539" s="1" t="s">
        <v>806</v>
      </c>
    </row>
    <row r="540" spans="1:7" x14ac:dyDescent="0.25">
      <c r="A540" s="1" t="s">
        <v>1214</v>
      </c>
      <c r="B540" t="str">
        <f>_xlfn.XLOOKUP(Logs__3[[#This Row],[Cell_ID]],Registre_Maintenance[ID_Antenne],Registre_Maintenance[Province_RDC],"Pas de correspondance")</f>
        <v>Haut-Katanga</v>
      </c>
      <c r="C540" s="2">
        <v>45222</v>
      </c>
      <c r="D540" s="3">
        <v>0.74861111111111112</v>
      </c>
      <c r="E540" s="1" t="s">
        <v>1225</v>
      </c>
      <c r="F540">
        <v>28</v>
      </c>
      <c r="G540" s="1" t="s">
        <v>809</v>
      </c>
    </row>
    <row r="541" spans="1:7" x14ac:dyDescent="0.25">
      <c r="A541" s="1" t="s">
        <v>1214</v>
      </c>
      <c r="B541" t="str">
        <f>_xlfn.XLOOKUP(Logs__3[[#This Row],[Cell_ID]],Registre_Maintenance[ID_Antenne],Registre_Maintenance[Province_RDC],"Pas de correspondance")</f>
        <v>Pas de correspondance</v>
      </c>
      <c r="C541" s="2">
        <v>45215</v>
      </c>
      <c r="D541" s="3">
        <v>0.74375000000000002</v>
      </c>
      <c r="E541" s="1" t="s">
        <v>1226</v>
      </c>
      <c r="F541">
        <v>103</v>
      </c>
      <c r="G541" s="1" t="s">
        <v>806</v>
      </c>
    </row>
    <row r="542" spans="1:7" x14ac:dyDescent="0.25">
      <c r="A542" s="1" t="s">
        <v>1214</v>
      </c>
      <c r="B542" t="str">
        <f>_xlfn.XLOOKUP(Logs__3[[#This Row],[Cell_ID]],Registre_Maintenance[ID_Antenne],Registre_Maintenance[Province_RDC],"Pas de correspondance")</f>
        <v>Kinshasa</v>
      </c>
      <c r="C542" s="2">
        <v>45221</v>
      </c>
      <c r="D542" s="3">
        <v>0.28333333333333333</v>
      </c>
      <c r="E542" s="1" t="s">
        <v>1227</v>
      </c>
      <c r="F542">
        <v>22</v>
      </c>
      <c r="G542" s="1" t="s">
        <v>806</v>
      </c>
    </row>
    <row r="543" spans="1:7" x14ac:dyDescent="0.25">
      <c r="A543" s="1" t="s">
        <v>1214</v>
      </c>
      <c r="B543" t="str">
        <f>_xlfn.XLOOKUP(Logs__3[[#This Row],[Cell_ID]],Registre_Maintenance[ID_Antenne],Registre_Maintenance[Province_RDC],"Pas de correspondance")</f>
        <v>Pas de correspondance</v>
      </c>
      <c r="C543" s="2">
        <v>45207</v>
      </c>
      <c r="D543" s="3">
        <v>0.90833333333333333</v>
      </c>
      <c r="E543" s="1" t="s">
        <v>1228</v>
      </c>
      <c r="F543">
        <v>103</v>
      </c>
      <c r="G543" s="1" t="s">
        <v>806</v>
      </c>
    </row>
    <row r="544" spans="1:7" x14ac:dyDescent="0.25">
      <c r="A544" s="1" t="s">
        <v>1214</v>
      </c>
      <c r="B544" t="str">
        <f>_xlfn.XLOOKUP(Logs__3[[#This Row],[Cell_ID]],Registre_Maintenance[ID_Antenne],Registre_Maintenance[Province_RDC],"Pas de correspondance")</f>
        <v>Pas de correspondance</v>
      </c>
      <c r="C544" s="2">
        <v>45219</v>
      </c>
      <c r="D544" s="3">
        <v>0.10625</v>
      </c>
      <c r="E544" s="1" t="s">
        <v>1229</v>
      </c>
      <c r="F544">
        <v>87</v>
      </c>
      <c r="G544" s="1" t="s">
        <v>809</v>
      </c>
    </row>
    <row r="545" spans="1:7" x14ac:dyDescent="0.25">
      <c r="A545" s="1" t="s">
        <v>1214</v>
      </c>
      <c r="B545" t="str">
        <f>_xlfn.XLOOKUP(Logs__3[[#This Row],[Cell_ID]],Registre_Maintenance[ID_Antenne],Registre_Maintenance[Province_RDC],"Pas de correspondance")</f>
        <v>Mai-Ndombe</v>
      </c>
      <c r="C545" s="2">
        <v>45214</v>
      </c>
      <c r="D545" s="3">
        <v>0.69791666666666663</v>
      </c>
      <c r="E545" s="1" t="s">
        <v>1230</v>
      </c>
      <c r="F545">
        <v>98</v>
      </c>
      <c r="G545" s="1" t="s">
        <v>811</v>
      </c>
    </row>
    <row r="546" spans="1:7" x14ac:dyDescent="0.25">
      <c r="A546" s="1" t="s">
        <v>1214</v>
      </c>
      <c r="B546" t="str">
        <f>_xlfn.XLOOKUP(Logs__3[[#This Row],[Cell_ID]],Registre_Maintenance[ID_Antenne],Registre_Maintenance[Province_RDC],"Pas de correspondance")</f>
        <v>Pas de correspondance</v>
      </c>
      <c r="C546" s="2">
        <v>45211</v>
      </c>
      <c r="D546" s="3">
        <v>0.12361111111111112</v>
      </c>
      <c r="E546" s="1" t="s">
        <v>922</v>
      </c>
      <c r="F546">
        <v>87</v>
      </c>
      <c r="G546" s="1" t="s">
        <v>806</v>
      </c>
    </row>
    <row r="547" spans="1:7" x14ac:dyDescent="0.25">
      <c r="A547" s="1" t="s">
        <v>1214</v>
      </c>
      <c r="B547" t="str">
        <f>_xlfn.XLOOKUP(Logs__3[[#This Row],[Cell_ID]],Registre_Maintenance[ID_Antenne],Registre_Maintenance[Province_RDC],"Pas de correspondance")</f>
        <v>Pas de correspondance</v>
      </c>
      <c r="C547" s="2">
        <v>45218</v>
      </c>
      <c r="D547" s="3">
        <v>0.12708333333333333</v>
      </c>
      <c r="E547" s="1" t="s">
        <v>1081</v>
      </c>
      <c r="F547">
        <v>58</v>
      </c>
      <c r="G547" s="1" t="s">
        <v>809</v>
      </c>
    </row>
    <row r="548" spans="1:7" x14ac:dyDescent="0.25">
      <c r="A548" s="1" t="s">
        <v>1214</v>
      </c>
      <c r="B548" t="str">
        <f>_xlfn.XLOOKUP(Logs__3[[#This Row],[Cell_ID]],Registre_Maintenance[ID_Antenne],Registre_Maintenance[Province_RDC],"Pas de correspondance")</f>
        <v>Pas de correspondance</v>
      </c>
      <c r="C548" s="2">
        <v>45226</v>
      </c>
      <c r="D548" s="3">
        <v>0.74791666666666667</v>
      </c>
      <c r="E548" s="1" t="s">
        <v>1231</v>
      </c>
      <c r="F548">
        <v>52</v>
      </c>
      <c r="G548" s="1" t="s">
        <v>809</v>
      </c>
    </row>
    <row r="549" spans="1:7" x14ac:dyDescent="0.25">
      <c r="A549" s="1" t="s">
        <v>1214</v>
      </c>
      <c r="B549" t="str">
        <f>_xlfn.XLOOKUP(Logs__3[[#This Row],[Cell_ID]],Registre_Maintenance[ID_Antenne],Registre_Maintenance[Province_RDC],"Pas de correspondance")</f>
        <v>Sud-Kivu</v>
      </c>
      <c r="C549" s="2">
        <v>45216</v>
      </c>
      <c r="D549" s="3">
        <v>0.27500000000000002</v>
      </c>
      <c r="E549" s="1" t="s">
        <v>1232</v>
      </c>
      <c r="F549">
        <v>119</v>
      </c>
      <c r="G549" s="1" t="s">
        <v>811</v>
      </c>
    </row>
    <row r="550" spans="1:7" x14ac:dyDescent="0.25">
      <c r="A550" s="1" t="s">
        <v>1214</v>
      </c>
      <c r="B550" t="str">
        <f>_xlfn.XLOOKUP(Logs__3[[#This Row],[Cell_ID]],Registre_Maintenance[ID_Antenne],Registre_Maintenance[Province_RDC],"Pas de correspondance")</f>
        <v>Kinshasa</v>
      </c>
      <c r="C550" s="2">
        <v>45217</v>
      </c>
      <c r="D550" s="3">
        <v>0.1736111111111111</v>
      </c>
      <c r="E550" s="1" t="s">
        <v>940</v>
      </c>
      <c r="F550">
        <v>53</v>
      </c>
      <c r="G550" s="1" t="s">
        <v>809</v>
      </c>
    </row>
    <row r="551" spans="1:7" x14ac:dyDescent="0.25">
      <c r="A551" s="1" t="s">
        <v>1214</v>
      </c>
      <c r="B551" t="str">
        <f>_xlfn.XLOOKUP(Logs__3[[#This Row],[Cell_ID]],Registre_Maintenance[ID_Antenne],Registre_Maintenance[Province_RDC],"Pas de correspondance")</f>
        <v>Nord-Ubangi</v>
      </c>
      <c r="C551" s="2">
        <v>45210</v>
      </c>
      <c r="D551" s="3">
        <v>0.68611111111111112</v>
      </c>
      <c r="E551" s="1" t="s">
        <v>1233</v>
      </c>
      <c r="F551">
        <v>62</v>
      </c>
      <c r="G551" s="1" t="s">
        <v>809</v>
      </c>
    </row>
    <row r="552" spans="1:7" x14ac:dyDescent="0.25">
      <c r="A552" s="1" t="s">
        <v>1214</v>
      </c>
      <c r="B552" t="str">
        <f>_xlfn.XLOOKUP(Logs__3[[#This Row],[Cell_ID]],Registre_Maintenance[ID_Antenne],Registre_Maintenance[Province_RDC],"Pas de correspondance")</f>
        <v>Pas de correspondance</v>
      </c>
      <c r="C552" s="2">
        <v>45203</v>
      </c>
      <c r="D552" s="3">
        <v>0.88402777777777775</v>
      </c>
      <c r="E552" s="1" t="s">
        <v>1234</v>
      </c>
      <c r="F552">
        <v>116</v>
      </c>
      <c r="G552" s="1" t="s">
        <v>809</v>
      </c>
    </row>
    <row r="553" spans="1:7" x14ac:dyDescent="0.25">
      <c r="A553" s="1" t="s">
        <v>1214</v>
      </c>
      <c r="B553" t="str">
        <f>_xlfn.XLOOKUP(Logs__3[[#This Row],[Cell_ID]],Registre_Maintenance[ID_Antenne],Registre_Maintenance[Province_RDC],"Pas de correspondance")</f>
        <v>Pas de correspondance</v>
      </c>
      <c r="C553" s="2">
        <v>45222</v>
      </c>
      <c r="D553" s="3">
        <v>0.77152777777777781</v>
      </c>
      <c r="E553" s="1" t="s">
        <v>812</v>
      </c>
      <c r="F553">
        <v>53</v>
      </c>
      <c r="G553" s="1" t="s">
        <v>811</v>
      </c>
    </row>
    <row r="554" spans="1:7" x14ac:dyDescent="0.25">
      <c r="A554" s="1" t="s">
        <v>1214</v>
      </c>
      <c r="B554" t="str">
        <f>_xlfn.XLOOKUP(Logs__3[[#This Row],[Cell_ID]],Registre_Maintenance[ID_Antenne],Registre_Maintenance[Province_RDC],"Pas de correspondance")</f>
        <v>Pas de correspondance</v>
      </c>
      <c r="C554" s="2">
        <v>45202</v>
      </c>
      <c r="D554" s="3">
        <v>0.68611111111111112</v>
      </c>
      <c r="E554" s="1" t="s">
        <v>1235</v>
      </c>
      <c r="F554">
        <v>53</v>
      </c>
      <c r="G554" s="1" t="s">
        <v>806</v>
      </c>
    </row>
    <row r="555" spans="1:7" x14ac:dyDescent="0.25">
      <c r="A555" s="1" t="s">
        <v>1214</v>
      </c>
      <c r="B555" t="str">
        <f>_xlfn.XLOOKUP(Logs__3[[#This Row],[Cell_ID]],Registre_Maintenance[ID_Antenne],Registre_Maintenance[Province_RDC],"Pas de correspondance")</f>
        <v>Pas de correspondance</v>
      </c>
      <c r="C555" s="2">
        <v>45225</v>
      </c>
      <c r="D555" s="3">
        <v>6.1805555555555558E-2</v>
      </c>
      <c r="E555" s="1" t="s">
        <v>1236</v>
      </c>
      <c r="F555">
        <v>15</v>
      </c>
      <c r="G555" s="1" t="s">
        <v>811</v>
      </c>
    </row>
    <row r="556" spans="1:7" x14ac:dyDescent="0.25">
      <c r="A556" s="1" t="s">
        <v>1214</v>
      </c>
      <c r="B556" t="str">
        <f>_xlfn.XLOOKUP(Logs__3[[#This Row],[Cell_ID]],Registre_Maintenance[ID_Antenne],Registre_Maintenance[Province_RDC],"Pas de correspondance")</f>
        <v>Pas de correspondance</v>
      </c>
      <c r="C556" s="2">
        <v>45204</v>
      </c>
      <c r="D556" s="3">
        <v>0.68472222222222223</v>
      </c>
      <c r="E556" s="1" t="s">
        <v>1237</v>
      </c>
      <c r="F556">
        <v>92</v>
      </c>
      <c r="G556" s="1" t="s">
        <v>806</v>
      </c>
    </row>
    <row r="557" spans="1:7" x14ac:dyDescent="0.25">
      <c r="A557" s="1" t="s">
        <v>1214</v>
      </c>
      <c r="B557" t="str">
        <f>_xlfn.XLOOKUP(Logs__3[[#This Row],[Cell_ID]],Registre_Maintenance[ID_Antenne],Registre_Maintenance[Province_RDC],"Pas de correspondance")</f>
        <v>Pas de correspondance</v>
      </c>
      <c r="C557" s="2">
        <v>45214</v>
      </c>
      <c r="D557" s="3">
        <v>0.75208333333333333</v>
      </c>
      <c r="E557" s="1" t="s">
        <v>1238</v>
      </c>
      <c r="F557">
        <v>89</v>
      </c>
      <c r="G557" s="1" t="s">
        <v>809</v>
      </c>
    </row>
    <row r="558" spans="1:7" x14ac:dyDescent="0.25">
      <c r="A558" s="1" t="s">
        <v>1214</v>
      </c>
      <c r="B558" t="str">
        <f>_xlfn.XLOOKUP(Logs__3[[#This Row],[Cell_ID]],Registre_Maintenance[ID_Antenne],Registre_Maintenance[Province_RDC],"Pas de correspondance")</f>
        <v>Kwango</v>
      </c>
      <c r="C558" s="2">
        <v>45225</v>
      </c>
      <c r="D558" s="3">
        <v>0.40694444444444444</v>
      </c>
      <c r="E558" s="1" t="s">
        <v>1239</v>
      </c>
      <c r="F558">
        <v>74</v>
      </c>
      <c r="G558" s="1" t="s">
        <v>806</v>
      </c>
    </row>
    <row r="559" spans="1:7" x14ac:dyDescent="0.25">
      <c r="A559" s="1" t="s">
        <v>1214</v>
      </c>
      <c r="B559" t="str">
        <f>_xlfn.XLOOKUP(Logs__3[[#This Row],[Cell_ID]],Registre_Maintenance[ID_Antenne],Registre_Maintenance[Province_RDC],"Pas de correspondance")</f>
        <v>Kwilu</v>
      </c>
      <c r="C559" s="2">
        <v>45200</v>
      </c>
      <c r="D559" s="3">
        <v>0.51111111111111107</v>
      </c>
      <c r="E559" s="1" t="s">
        <v>1240</v>
      </c>
      <c r="F559">
        <v>22</v>
      </c>
      <c r="G559" s="1" t="s">
        <v>811</v>
      </c>
    </row>
    <row r="560" spans="1:7" x14ac:dyDescent="0.25">
      <c r="A560" s="1" t="s">
        <v>1241</v>
      </c>
      <c r="B560" t="str">
        <f>_xlfn.XLOOKUP(Logs__3[[#This Row],[Cell_ID]],Registre_Maintenance[ID_Antenne],Registre_Maintenance[Province_RDC],"Pas de correspondance")</f>
        <v>Tshopo</v>
      </c>
      <c r="C560" s="2">
        <v>45221</v>
      </c>
      <c r="D560" s="3">
        <v>0.56597222222222221</v>
      </c>
      <c r="E560" s="1" t="s">
        <v>1242</v>
      </c>
      <c r="F560">
        <v>87</v>
      </c>
      <c r="G560" s="1" t="s">
        <v>809</v>
      </c>
    </row>
    <row r="561" spans="1:7" x14ac:dyDescent="0.25">
      <c r="A561" s="1" t="s">
        <v>1241</v>
      </c>
      <c r="B561" t="str">
        <f>_xlfn.XLOOKUP(Logs__3[[#This Row],[Cell_ID]],Registre_Maintenance[ID_Antenne],Registre_Maintenance[Province_RDC],"Pas de correspondance")</f>
        <v>Kinshasa</v>
      </c>
      <c r="C561" s="2">
        <v>45215</v>
      </c>
      <c r="D561" s="3">
        <v>5.6944444444444443E-2</v>
      </c>
      <c r="E561" s="1" t="s">
        <v>1227</v>
      </c>
      <c r="F561">
        <v>99</v>
      </c>
      <c r="G561" s="1" t="s">
        <v>809</v>
      </c>
    </row>
    <row r="562" spans="1:7" x14ac:dyDescent="0.25">
      <c r="A562" s="1" t="s">
        <v>1241</v>
      </c>
      <c r="B562" t="str">
        <f>_xlfn.XLOOKUP(Logs__3[[#This Row],[Cell_ID]],Registre_Maintenance[ID_Antenne],Registre_Maintenance[Province_RDC],"Pas de correspondance")</f>
        <v>Tanganyika</v>
      </c>
      <c r="C562" s="2">
        <v>45230</v>
      </c>
      <c r="D562" s="3">
        <v>0.86250000000000004</v>
      </c>
      <c r="E562" s="1" t="s">
        <v>875</v>
      </c>
      <c r="F562">
        <v>67</v>
      </c>
      <c r="G562" s="1" t="s">
        <v>806</v>
      </c>
    </row>
    <row r="563" spans="1:7" x14ac:dyDescent="0.25">
      <c r="A563" s="1" t="s">
        <v>1241</v>
      </c>
      <c r="B563" t="str">
        <f>_xlfn.XLOOKUP(Logs__3[[#This Row],[Cell_ID]],Registre_Maintenance[ID_Antenne],Registre_Maintenance[Province_RDC],"Pas de correspondance")</f>
        <v>Pas de correspondance</v>
      </c>
      <c r="C563" s="2">
        <v>45212</v>
      </c>
      <c r="D563" s="3">
        <v>0.68055555555555558</v>
      </c>
      <c r="E563" s="1" t="s">
        <v>1243</v>
      </c>
      <c r="F563">
        <v>63</v>
      </c>
      <c r="G563" s="1" t="s">
        <v>806</v>
      </c>
    </row>
    <row r="564" spans="1:7" x14ac:dyDescent="0.25">
      <c r="A564" s="1" t="s">
        <v>1241</v>
      </c>
      <c r="B564" t="str">
        <f>_xlfn.XLOOKUP(Logs__3[[#This Row],[Cell_ID]],Registre_Maintenance[ID_Antenne],Registre_Maintenance[Province_RDC],"Pas de correspondance")</f>
        <v>Pas de correspondance</v>
      </c>
      <c r="C564" s="2">
        <v>45222</v>
      </c>
      <c r="D564" s="3">
        <v>0.55972222222222223</v>
      </c>
      <c r="E564" s="1" t="s">
        <v>1244</v>
      </c>
      <c r="F564">
        <v>26</v>
      </c>
      <c r="G564" s="1" t="s">
        <v>811</v>
      </c>
    </row>
    <row r="565" spans="1:7" x14ac:dyDescent="0.25">
      <c r="A565" s="1" t="s">
        <v>1241</v>
      </c>
      <c r="B565" t="str">
        <f>_xlfn.XLOOKUP(Logs__3[[#This Row],[Cell_ID]],Registre_Maintenance[ID_Antenne],Registre_Maintenance[Province_RDC],"Pas de correspondance")</f>
        <v>Pas de correspondance</v>
      </c>
      <c r="C565" s="2">
        <v>45204</v>
      </c>
      <c r="D565" s="3">
        <v>0.39166666666666666</v>
      </c>
      <c r="E565" s="1" t="s">
        <v>958</v>
      </c>
      <c r="F565">
        <v>98</v>
      </c>
      <c r="G565" s="1" t="s">
        <v>811</v>
      </c>
    </row>
    <row r="566" spans="1:7" x14ac:dyDescent="0.25">
      <c r="A566" s="1" t="s">
        <v>1241</v>
      </c>
      <c r="B566" t="str">
        <f>_xlfn.XLOOKUP(Logs__3[[#This Row],[Cell_ID]],Registre_Maintenance[ID_Antenne],Registre_Maintenance[Province_RDC],"Pas de correspondance")</f>
        <v>Haut-Katanga</v>
      </c>
      <c r="C566" s="2">
        <v>45205</v>
      </c>
      <c r="D566" s="3">
        <v>0.72916666666666663</v>
      </c>
      <c r="E566" s="1" t="s">
        <v>1245</v>
      </c>
      <c r="F566">
        <v>106</v>
      </c>
      <c r="G566" s="1" t="s">
        <v>811</v>
      </c>
    </row>
    <row r="567" spans="1:7" x14ac:dyDescent="0.25">
      <c r="A567" s="1" t="s">
        <v>1241</v>
      </c>
      <c r="B567" t="str">
        <f>_xlfn.XLOOKUP(Logs__3[[#This Row],[Cell_ID]],Registre_Maintenance[ID_Antenne],Registre_Maintenance[Province_RDC],"Pas de correspondance")</f>
        <v>Pas de correspondance</v>
      </c>
      <c r="C567" s="2">
        <v>45207</v>
      </c>
      <c r="D567" s="3">
        <v>0.30486111111111114</v>
      </c>
      <c r="E567" s="1" t="s">
        <v>810</v>
      </c>
      <c r="F567">
        <v>50</v>
      </c>
      <c r="G567" s="1" t="s">
        <v>809</v>
      </c>
    </row>
    <row r="568" spans="1:7" x14ac:dyDescent="0.25">
      <c r="A568" s="1" t="s">
        <v>1241</v>
      </c>
      <c r="B568" t="str">
        <f>_xlfn.XLOOKUP(Logs__3[[#This Row],[Cell_ID]],Registre_Maintenance[ID_Antenne],Registre_Maintenance[Province_RDC],"Pas de correspondance")</f>
        <v>Pas de correspondance</v>
      </c>
      <c r="C568" s="2">
        <v>45227</v>
      </c>
      <c r="D568" s="3">
        <v>0.92291666666666672</v>
      </c>
      <c r="E568" s="1" t="s">
        <v>930</v>
      </c>
      <c r="F568">
        <v>26</v>
      </c>
      <c r="G568" s="1" t="s">
        <v>811</v>
      </c>
    </row>
    <row r="569" spans="1:7" x14ac:dyDescent="0.25">
      <c r="A569" s="1" t="s">
        <v>1241</v>
      </c>
      <c r="B569" t="str">
        <f>_xlfn.XLOOKUP(Logs__3[[#This Row],[Cell_ID]],Registre_Maintenance[ID_Antenne],Registre_Maintenance[Province_RDC],"Pas de correspondance")</f>
        <v>Mai-Ndombe</v>
      </c>
      <c r="C569" s="2">
        <v>45225</v>
      </c>
      <c r="D569" s="3">
        <v>0.62361111111111112</v>
      </c>
      <c r="E569" s="1" t="s">
        <v>1246</v>
      </c>
      <c r="F569">
        <v>22</v>
      </c>
      <c r="G569" s="1" t="s">
        <v>806</v>
      </c>
    </row>
    <row r="570" spans="1:7" x14ac:dyDescent="0.25">
      <c r="A570" s="1" t="s">
        <v>1241</v>
      </c>
      <c r="B570" t="str">
        <f>_xlfn.XLOOKUP(Logs__3[[#This Row],[Cell_ID]],Registre_Maintenance[ID_Antenne],Registre_Maintenance[Province_RDC],"Pas de correspondance")</f>
        <v>Kasaï-Oriental</v>
      </c>
      <c r="C570" s="2">
        <v>45201</v>
      </c>
      <c r="D570" s="3">
        <v>0.72638888888888886</v>
      </c>
      <c r="E570" s="1" t="s">
        <v>1247</v>
      </c>
      <c r="F570">
        <v>97</v>
      </c>
      <c r="G570" s="1" t="s">
        <v>809</v>
      </c>
    </row>
    <row r="571" spans="1:7" x14ac:dyDescent="0.25">
      <c r="A571" s="1" t="s">
        <v>1241</v>
      </c>
      <c r="B571" t="str">
        <f>_xlfn.XLOOKUP(Logs__3[[#This Row],[Cell_ID]],Registre_Maintenance[ID_Antenne],Registre_Maintenance[Province_RDC],"Pas de correspondance")</f>
        <v>Pas de correspondance</v>
      </c>
      <c r="C571" s="2">
        <v>45230</v>
      </c>
      <c r="D571" s="3">
        <v>0.56597222222222221</v>
      </c>
      <c r="E571" s="1" t="s">
        <v>958</v>
      </c>
      <c r="F571">
        <v>74</v>
      </c>
      <c r="G571" s="1" t="s">
        <v>806</v>
      </c>
    </row>
    <row r="572" spans="1:7" x14ac:dyDescent="0.25">
      <c r="A572" s="1" t="s">
        <v>1241</v>
      </c>
      <c r="B572" t="str">
        <f>_xlfn.XLOOKUP(Logs__3[[#This Row],[Cell_ID]],Registre_Maintenance[ID_Antenne],Registre_Maintenance[Province_RDC],"Pas de correspondance")</f>
        <v>Lualaba</v>
      </c>
      <c r="C572" s="2">
        <v>45216</v>
      </c>
      <c r="D572" s="3">
        <v>0.18333333333333332</v>
      </c>
      <c r="E572" s="1" t="s">
        <v>1112</v>
      </c>
      <c r="F572">
        <v>67</v>
      </c>
      <c r="G572" s="1" t="s">
        <v>809</v>
      </c>
    </row>
    <row r="573" spans="1:7" x14ac:dyDescent="0.25">
      <c r="A573" s="1" t="s">
        <v>1241</v>
      </c>
      <c r="B573" t="str">
        <f>_xlfn.XLOOKUP(Logs__3[[#This Row],[Cell_ID]],Registre_Maintenance[ID_Antenne],Registre_Maintenance[Province_RDC],"Pas de correspondance")</f>
        <v>Bas-Uele</v>
      </c>
      <c r="C573" s="2">
        <v>45207</v>
      </c>
      <c r="D573" s="3">
        <v>0.34236111111111112</v>
      </c>
      <c r="E573" s="1" t="s">
        <v>1248</v>
      </c>
      <c r="F573">
        <v>28</v>
      </c>
      <c r="G573" s="1" t="s">
        <v>806</v>
      </c>
    </row>
    <row r="574" spans="1:7" x14ac:dyDescent="0.25">
      <c r="A574" s="1" t="s">
        <v>1241</v>
      </c>
      <c r="B574" t="str">
        <f>_xlfn.XLOOKUP(Logs__3[[#This Row],[Cell_ID]],Registre_Maintenance[ID_Antenne],Registre_Maintenance[Province_RDC],"Pas de correspondance")</f>
        <v>Mongala</v>
      </c>
      <c r="C574" s="2">
        <v>45210</v>
      </c>
      <c r="D574" s="3">
        <v>0.83680555555555558</v>
      </c>
      <c r="E574" s="1" t="s">
        <v>1249</v>
      </c>
      <c r="F574">
        <v>118</v>
      </c>
      <c r="G574" s="1" t="s">
        <v>806</v>
      </c>
    </row>
    <row r="575" spans="1:7" x14ac:dyDescent="0.25">
      <c r="A575" s="1" t="s">
        <v>1241</v>
      </c>
      <c r="B575" t="str">
        <f>_xlfn.XLOOKUP(Logs__3[[#This Row],[Cell_ID]],Registre_Maintenance[ID_Antenne],Registre_Maintenance[Province_RDC],"Pas de correspondance")</f>
        <v>Pas de correspondance</v>
      </c>
      <c r="C575" s="2">
        <v>45229</v>
      </c>
      <c r="D575" s="3">
        <v>0.62083333333333335</v>
      </c>
      <c r="E575" s="1" t="s">
        <v>1250</v>
      </c>
      <c r="F575">
        <v>74</v>
      </c>
      <c r="G575" s="1" t="s">
        <v>811</v>
      </c>
    </row>
    <row r="576" spans="1:7" x14ac:dyDescent="0.25">
      <c r="A576" s="1" t="s">
        <v>1241</v>
      </c>
      <c r="B576" t="str">
        <f>_xlfn.XLOOKUP(Logs__3[[#This Row],[Cell_ID]],Registre_Maintenance[ID_Antenne],Registre_Maintenance[Province_RDC],"Pas de correspondance")</f>
        <v>Pas de correspondance</v>
      </c>
      <c r="C576" s="2">
        <v>45211</v>
      </c>
      <c r="D576" s="3">
        <v>0.10694444444444444</v>
      </c>
      <c r="E576" s="1" t="s">
        <v>893</v>
      </c>
      <c r="F576">
        <v>87</v>
      </c>
      <c r="G576" s="1" t="s">
        <v>811</v>
      </c>
    </row>
    <row r="577" spans="1:7" x14ac:dyDescent="0.25">
      <c r="A577" s="1" t="s">
        <v>1241</v>
      </c>
      <c r="B577" t="str">
        <f>_xlfn.XLOOKUP(Logs__3[[#This Row],[Cell_ID]],Registre_Maintenance[ID_Antenne],Registre_Maintenance[Province_RDC],"Pas de correspondance")</f>
        <v>Nord-Kivu</v>
      </c>
      <c r="C577" s="2">
        <v>45223</v>
      </c>
      <c r="D577" s="3">
        <v>0.25208333333333333</v>
      </c>
      <c r="E577" s="1" t="s">
        <v>1051</v>
      </c>
      <c r="F577">
        <v>12</v>
      </c>
      <c r="G577" s="1" t="s">
        <v>809</v>
      </c>
    </row>
    <row r="578" spans="1:7" x14ac:dyDescent="0.25">
      <c r="A578" s="1" t="s">
        <v>1241</v>
      </c>
      <c r="B578" t="str">
        <f>_xlfn.XLOOKUP(Logs__3[[#This Row],[Cell_ID]],Registre_Maintenance[ID_Antenne],Registre_Maintenance[Province_RDC],"Pas de correspondance")</f>
        <v>Pas de correspondance</v>
      </c>
      <c r="C578" s="2">
        <v>45208</v>
      </c>
      <c r="D578" s="3">
        <v>0.52986111111111112</v>
      </c>
      <c r="E578" s="1" t="s">
        <v>1251</v>
      </c>
      <c r="F578">
        <v>72</v>
      </c>
      <c r="G578" s="1" t="s">
        <v>811</v>
      </c>
    </row>
    <row r="579" spans="1:7" x14ac:dyDescent="0.25">
      <c r="A579" s="1" t="s">
        <v>1241</v>
      </c>
      <c r="B579" t="str">
        <f>_xlfn.XLOOKUP(Logs__3[[#This Row],[Cell_ID]],Registre_Maintenance[ID_Antenne],Registre_Maintenance[Province_RDC],"Pas de correspondance")</f>
        <v>Pas de correspondance</v>
      </c>
      <c r="C579" s="2">
        <v>45219</v>
      </c>
      <c r="D579" s="3">
        <v>0.79305555555555551</v>
      </c>
      <c r="E579" s="1" t="s">
        <v>1031</v>
      </c>
      <c r="F579">
        <v>9</v>
      </c>
      <c r="G579" s="1" t="s">
        <v>809</v>
      </c>
    </row>
    <row r="580" spans="1:7" x14ac:dyDescent="0.25">
      <c r="A580" s="1" t="s">
        <v>1241</v>
      </c>
      <c r="B580" t="str">
        <f>_xlfn.XLOOKUP(Logs__3[[#This Row],[Cell_ID]],Registre_Maintenance[ID_Antenne],Registre_Maintenance[Province_RDC],"Pas de correspondance")</f>
        <v>Kwilu</v>
      </c>
      <c r="C580" s="2">
        <v>45227</v>
      </c>
      <c r="D580" s="3">
        <v>9.166666666666666E-2</v>
      </c>
      <c r="E580" s="1" t="s">
        <v>1252</v>
      </c>
      <c r="F580">
        <v>112</v>
      </c>
      <c r="G580" s="1" t="s">
        <v>806</v>
      </c>
    </row>
    <row r="581" spans="1:7" x14ac:dyDescent="0.25">
      <c r="A581" s="1" t="s">
        <v>1241</v>
      </c>
      <c r="B581" t="str">
        <f>_xlfn.XLOOKUP(Logs__3[[#This Row],[Cell_ID]],Registre_Maintenance[ID_Antenne],Registre_Maintenance[Province_RDC],"Pas de correspondance")</f>
        <v>Tanganyika</v>
      </c>
      <c r="C581" s="2">
        <v>45225</v>
      </c>
      <c r="D581" s="3">
        <v>0.78194444444444444</v>
      </c>
      <c r="E581" s="1" t="s">
        <v>1253</v>
      </c>
      <c r="F581">
        <v>113</v>
      </c>
      <c r="G581" s="1" t="s">
        <v>809</v>
      </c>
    </row>
    <row r="582" spans="1:7" x14ac:dyDescent="0.25">
      <c r="A582" s="1" t="s">
        <v>1241</v>
      </c>
      <c r="B582" t="str">
        <f>_xlfn.XLOOKUP(Logs__3[[#This Row],[Cell_ID]],Registre_Maintenance[ID_Antenne],Registre_Maintenance[Province_RDC],"Pas de correspondance")</f>
        <v>Pas de correspondance</v>
      </c>
      <c r="C582" s="2">
        <v>45221</v>
      </c>
      <c r="D582" s="3">
        <v>0.71736111111111112</v>
      </c>
      <c r="E582" s="1" t="s">
        <v>836</v>
      </c>
      <c r="F582">
        <v>14</v>
      </c>
      <c r="G582" s="1" t="s">
        <v>806</v>
      </c>
    </row>
    <row r="583" spans="1:7" x14ac:dyDescent="0.25">
      <c r="A583" s="1" t="s">
        <v>1241</v>
      </c>
      <c r="B583" t="str">
        <f>_xlfn.XLOOKUP(Logs__3[[#This Row],[Cell_ID]],Registre_Maintenance[ID_Antenne],Registre_Maintenance[Province_RDC],"Pas de correspondance")</f>
        <v>Kongo-Central</v>
      </c>
      <c r="C583" s="2">
        <v>45215</v>
      </c>
      <c r="D583" s="3">
        <v>0.28819444444444442</v>
      </c>
      <c r="E583" s="1" t="s">
        <v>1254</v>
      </c>
      <c r="F583">
        <v>109</v>
      </c>
      <c r="G583" s="1" t="s">
        <v>806</v>
      </c>
    </row>
    <row r="584" spans="1:7" x14ac:dyDescent="0.25">
      <c r="A584" s="1" t="s">
        <v>1241</v>
      </c>
      <c r="B584" t="str">
        <f>_xlfn.XLOOKUP(Logs__3[[#This Row],[Cell_ID]],Registre_Maintenance[ID_Antenne],Registre_Maintenance[Province_RDC],"Pas de correspondance")</f>
        <v>Pas de correspondance</v>
      </c>
      <c r="C584" s="2">
        <v>45229</v>
      </c>
      <c r="D584" s="3">
        <v>0.42986111111111114</v>
      </c>
      <c r="E584" s="1" t="s">
        <v>1090</v>
      </c>
      <c r="F584">
        <v>90</v>
      </c>
      <c r="G584" s="1" t="s">
        <v>806</v>
      </c>
    </row>
    <row r="585" spans="1:7" x14ac:dyDescent="0.25">
      <c r="A585" s="1" t="s">
        <v>1241</v>
      </c>
      <c r="B585" t="str">
        <f>_xlfn.XLOOKUP(Logs__3[[#This Row],[Cell_ID]],Registre_Maintenance[ID_Antenne],Registre_Maintenance[Province_RDC],"Pas de correspondance")</f>
        <v>Nord-Ubangi</v>
      </c>
      <c r="C585" s="2">
        <v>45230</v>
      </c>
      <c r="D585" s="3">
        <v>9.0277777777777769E-3</v>
      </c>
      <c r="E585" s="1" t="s">
        <v>885</v>
      </c>
      <c r="F585">
        <v>11</v>
      </c>
      <c r="G585" s="1" t="s">
        <v>809</v>
      </c>
    </row>
    <row r="586" spans="1:7" x14ac:dyDescent="0.25">
      <c r="A586" s="1" t="s">
        <v>1241</v>
      </c>
      <c r="B586" t="str">
        <f>_xlfn.XLOOKUP(Logs__3[[#This Row],[Cell_ID]],Registre_Maintenance[ID_Antenne],Registre_Maintenance[Province_RDC],"Pas de correspondance")</f>
        <v>Pas de correspondance</v>
      </c>
      <c r="C586" s="2">
        <v>45229</v>
      </c>
      <c r="D586" s="3">
        <v>0.28263888888888888</v>
      </c>
      <c r="E586" s="1" t="s">
        <v>850</v>
      </c>
      <c r="F586">
        <v>102</v>
      </c>
      <c r="G586" s="1" t="s">
        <v>809</v>
      </c>
    </row>
    <row r="587" spans="1:7" x14ac:dyDescent="0.25">
      <c r="A587" s="1" t="s">
        <v>1241</v>
      </c>
      <c r="B587" t="str">
        <f>_xlfn.XLOOKUP(Logs__3[[#This Row],[Cell_ID]],Registre_Maintenance[ID_Antenne],Registre_Maintenance[Province_RDC],"Pas de correspondance")</f>
        <v>Pas de correspondance</v>
      </c>
      <c r="C587" s="2">
        <v>45203</v>
      </c>
      <c r="D587" s="3">
        <v>0.9916666666666667</v>
      </c>
      <c r="E587" s="1" t="s">
        <v>1255</v>
      </c>
      <c r="F587">
        <v>5</v>
      </c>
      <c r="G587" s="1" t="s">
        <v>811</v>
      </c>
    </row>
    <row r="588" spans="1:7" x14ac:dyDescent="0.25">
      <c r="A588" s="1" t="s">
        <v>1241</v>
      </c>
      <c r="B588" t="str">
        <f>_xlfn.XLOOKUP(Logs__3[[#This Row],[Cell_ID]],Registre_Maintenance[ID_Antenne],Registre_Maintenance[Province_RDC],"Pas de correspondance")</f>
        <v>Pas de correspondance</v>
      </c>
      <c r="C588" s="2">
        <v>45215</v>
      </c>
      <c r="D588" s="3">
        <v>0.32222222222222224</v>
      </c>
      <c r="E588" s="1" t="s">
        <v>1256</v>
      </c>
      <c r="F588">
        <v>57</v>
      </c>
      <c r="G588" s="1" t="s">
        <v>811</v>
      </c>
    </row>
    <row r="589" spans="1:7" x14ac:dyDescent="0.25">
      <c r="A589" s="1" t="s">
        <v>1241</v>
      </c>
      <c r="B589" t="str">
        <f>_xlfn.XLOOKUP(Logs__3[[#This Row],[Cell_ID]],Registre_Maintenance[ID_Antenne],Registre_Maintenance[Province_RDC],"Pas de correspondance")</f>
        <v>Pas de correspondance</v>
      </c>
      <c r="C589" s="2">
        <v>45219</v>
      </c>
      <c r="D589" s="3">
        <v>0.92569444444444449</v>
      </c>
      <c r="E589" s="1" t="s">
        <v>1257</v>
      </c>
      <c r="F589">
        <v>22</v>
      </c>
      <c r="G589" s="1" t="s">
        <v>806</v>
      </c>
    </row>
    <row r="590" spans="1:7" x14ac:dyDescent="0.25">
      <c r="A590" s="1" t="s">
        <v>1241</v>
      </c>
      <c r="B590" t="str">
        <f>_xlfn.XLOOKUP(Logs__3[[#This Row],[Cell_ID]],Registre_Maintenance[ID_Antenne],Registre_Maintenance[Province_RDC],"Pas de correspondance")</f>
        <v>Pas de correspondance</v>
      </c>
      <c r="C590" s="2">
        <v>45212</v>
      </c>
      <c r="D590" s="3">
        <v>0.31597222222222221</v>
      </c>
      <c r="E590" s="1" t="s">
        <v>977</v>
      </c>
      <c r="F590">
        <v>112</v>
      </c>
      <c r="G590" s="1" t="s">
        <v>806</v>
      </c>
    </row>
    <row r="591" spans="1:7" x14ac:dyDescent="0.25">
      <c r="A591" s="1" t="s">
        <v>1241</v>
      </c>
      <c r="B591" t="str">
        <f>_xlfn.XLOOKUP(Logs__3[[#This Row],[Cell_ID]],Registre_Maintenance[ID_Antenne],Registre_Maintenance[Province_RDC],"Pas de correspondance")</f>
        <v>Nord-Kivu</v>
      </c>
      <c r="C591" s="2">
        <v>45210</v>
      </c>
      <c r="D591" s="3">
        <v>0.39166666666666666</v>
      </c>
      <c r="E591" s="1" t="s">
        <v>906</v>
      </c>
      <c r="F591">
        <v>85</v>
      </c>
      <c r="G591" s="1" t="s">
        <v>809</v>
      </c>
    </row>
    <row r="592" spans="1:7" x14ac:dyDescent="0.25">
      <c r="A592" s="1" t="s">
        <v>1241</v>
      </c>
      <c r="B592" t="str">
        <f>_xlfn.XLOOKUP(Logs__3[[#This Row],[Cell_ID]],Registre_Maintenance[ID_Antenne],Registre_Maintenance[Province_RDC],"Pas de correspondance")</f>
        <v>Pas de correspondance</v>
      </c>
      <c r="C592" s="2">
        <v>45214</v>
      </c>
      <c r="D592" s="3">
        <v>0.7368055555555556</v>
      </c>
      <c r="E592" s="1" t="s">
        <v>1258</v>
      </c>
      <c r="F592">
        <v>34</v>
      </c>
      <c r="G592" s="1" t="s">
        <v>811</v>
      </c>
    </row>
    <row r="593" spans="1:7" x14ac:dyDescent="0.25">
      <c r="A593" s="1" t="s">
        <v>1241</v>
      </c>
      <c r="B593" t="str">
        <f>_xlfn.XLOOKUP(Logs__3[[#This Row],[Cell_ID]],Registre_Maintenance[ID_Antenne],Registre_Maintenance[Province_RDC],"Pas de correspondance")</f>
        <v>Pas de correspondance</v>
      </c>
      <c r="C593" s="2">
        <v>45211</v>
      </c>
      <c r="D593" s="3">
        <v>0.38611111111111113</v>
      </c>
      <c r="E593" s="1" t="s">
        <v>1000</v>
      </c>
      <c r="F593">
        <v>13</v>
      </c>
      <c r="G593" s="1" t="s">
        <v>809</v>
      </c>
    </row>
    <row r="594" spans="1:7" x14ac:dyDescent="0.25">
      <c r="A594" s="1" t="s">
        <v>1241</v>
      </c>
      <c r="B594" t="str">
        <f>_xlfn.XLOOKUP(Logs__3[[#This Row],[Cell_ID]],Registre_Maintenance[ID_Antenne],Registre_Maintenance[Province_RDC],"Pas de correspondance")</f>
        <v>Pas de correspondance</v>
      </c>
      <c r="C594" s="2">
        <v>45211</v>
      </c>
      <c r="D594" s="3">
        <v>0.7055555555555556</v>
      </c>
      <c r="E594" s="1" t="s">
        <v>1259</v>
      </c>
      <c r="F594">
        <v>95</v>
      </c>
      <c r="G594" s="1" t="s">
        <v>809</v>
      </c>
    </row>
    <row r="595" spans="1:7" x14ac:dyDescent="0.25">
      <c r="A595" s="1" t="s">
        <v>1241</v>
      </c>
      <c r="B595" t="str">
        <f>_xlfn.XLOOKUP(Logs__3[[#This Row],[Cell_ID]],Registre_Maintenance[ID_Antenne],Registre_Maintenance[Province_RDC],"Pas de correspondance")</f>
        <v>Maniema</v>
      </c>
      <c r="C595" s="2">
        <v>45215</v>
      </c>
      <c r="D595" s="3">
        <v>0.58750000000000002</v>
      </c>
      <c r="E595" s="1" t="s">
        <v>1260</v>
      </c>
      <c r="F595">
        <v>24</v>
      </c>
      <c r="G595" s="1" t="s">
        <v>809</v>
      </c>
    </row>
    <row r="596" spans="1:7" x14ac:dyDescent="0.25">
      <c r="A596" s="1" t="s">
        <v>1241</v>
      </c>
      <c r="B596" t="str">
        <f>_xlfn.XLOOKUP(Logs__3[[#This Row],[Cell_ID]],Registre_Maintenance[ID_Antenne],Registre_Maintenance[Province_RDC],"Pas de correspondance")</f>
        <v>Pas de correspondance</v>
      </c>
      <c r="C596" s="2">
        <v>45225</v>
      </c>
      <c r="D596" s="3">
        <v>0.97916666666666663</v>
      </c>
      <c r="E596" s="1" t="s">
        <v>1091</v>
      </c>
      <c r="F596">
        <v>6</v>
      </c>
      <c r="G596" s="1" t="s">
        <v>806</v>
      </c>
    </row>
    <row r="597" spans="1:7" x14ac:dyDescent="0.25">
      <c r="A597" s="1" t="s">
        <v>1241</v>
      </c>
      <c r="B597" t="str">
        <f>_xlfn.XLOOKUP(Logs__3[[#This Row],[Cell_ID]],Registre_Maintenance[ID_Antenne],Registre_Maintenance[Province_RDC],"Pas de correspondance")</f>
        <v>Pas de correspondance</v>
      </c>
      <c r="C597" s="2">
        <v>45224</v>
      </c>
      <c r="D597" s="3">
        <v>0.45694444444444443</v>
      </c>
      <c r="E597" s="1" t="s">
        <v>830</v>
      </c>
      <c r="F597">
        <v>32</v>
      </c>
      <c r="G597" s="1" t="s">
        <v>806</v>
      </c>
    </row>
    <row r="598" spans="1:7" x14ac:dyDescent="0.25">
      <c r="A598" s="1" t="s">
        <v>1241</v>
      </c>
      <c r="B598" t="str">
        <f>_xlfn.XLOOKUP(Logs__3[[#This Row],[Cell_ID]],Registre_Maintenance[ID_Antenne],Registre_Maintenance[Province_RDC],"Pas de correspondance")</f>
        <v>Pas de correspondance</v>
      </c>
      <c r="C598" s="2">
        <v>45206</v>
      </c>
      <c r="D598" s="3">
        <v>0.47222222222222221</v>
      </c>
      <c r="E598" s="1" t="s">
        <v>1261</v>
      </c>
      <c r="F598">
        <v>69</v>
      </c>
      <c r="G598" s="1" t="s">
        <v>811</v>
      </c>
    </row>
    <row r="599" spans="1:7" x14ac:dyDescent="0.25">
      <c r="A599" s="1" t="s">
        <v>1241</v>
      </c>
      <c r="B599" t="str">
        <f>_xlfn.XLOOKUP(Logs__3[[#This Row],[Cell_ID]],Registre_Maintenance[ID_Antenne],Registre_Maintenance[Province_RDC],"Pas de correspondance")</f>
        <v>Sud-Ubangi</v>
      </c>
      <c r="C599" s="2">
        <v>45213</v>
      </c>
      <c r="D599" s="3">
        <v>6.6666666666666666E-2</v>
      </c>
      <c r="E599" s="1" t="s">
        <v>1146</v>
      </c>
      <c r="F599">
        <v>63</v>
      </c>
      <c r="G599" s="1" t="s">
        <v>806</v>
      </c>
    </row>
    <row r="600" spans="1:7" x14ac:dyDescent="0.25">
      <c r="A600" s="1" t="s">
        <v>1241</v>
      </c>
      <c r="B600" t="str">
        <f>_xlfn.XLOOKUP(Logs__3[[#This Row],[Cell_ID]],Registre_Maintenance[ID_Antenne],Registre_Maintenance[Province_RDC],"Pas de correspondance")</f>
        <v>Pas de correspondance</v>
      </c>
      <c r="C600" s="2">
        <v>45227</v>
      </c>
      <c r="D600" s="3">
        <v>0.32430555555555557</v>
      </c>
      <c r="E600" s="1" t="s">
        <v>1262</v>
      </c>
      <c r="F600">
        <v>52</v>
      </c>
      <c r="G600" s="1" t="s">
        <v>806</v>
      </c>
    </row>
    <row r="601" spans="1:7" x14ac:dyDescent="0.25">
      <c r="A601" s="1" t="s">
        <v>1241</v>
      </c>
      <c r="B601" t="str">
        <f>_xlfn.XLOOKUP(Logs__3[[#This Row],[Cell_ID]],Registre_Maintenance[ID_Antenne],Registre_Maintenance[Province_RDC],"Pas de correspondance")</f>
        <v>Maniema</v>
      </c>
      <c r="C601" s="2">
        <v>45204</v>
      </c>
      <c r="D601" s="3">
        <v>1.1111111111111112E-2</v>
      </c>
      <c r="E601" s="1" t="s">
        <v>1263</v>
      </c>
      <c r="F601">
        <v>12</v>
      </c>
      <c r="G601" s="1" t="s">
        <v>809</v>
      </c>
    </row>
    <row r="602" spans="1:7" x14ac:dyDescent="0.25">
      <c r="A602" s="1" t="s">
        <v>1241</v>
      </c>
      <c r="B602" t="str">
        <f>_xlfn.XLOOKUP(Logs__3[[#This Row],[Cell_ID]],Registre_Maintenance[ID_Antenne],Registre_Maintenance[Province_RDC],"Pas de correspondance")</f>
        <v>Maniema</v>
      </c>
      <c r="C602" s="2">
        <v>45217</v>
      </c>
      <c r="D602" s="3">
        <v>0.77569444444444446</v>
      </c>
      <c r="E602" s="1" t="s">
        <v>964</v>
      </c>
      <c r="F602">
        <v>84</v>
      </c>
      <c r="G602" s="1" t="s">
        <v>806</v>
      </c>
    </row>
    <row r="603" spans="1:7" x14ac:dyDescent="0.25">
      <c r="A603" s="1" t="s">
        <v>1241</v>
      </c>
      <c r="B603" t="str">
        <f>_xlfn.XLOOKUP(Logs__3[[#This Row],[Cell_ID]],Registre_Maintenance[ID_Antenne],Registre_Maintenance[Province_RDC],"Pas de correspondance")</f>
        <v>Sud-Ubangi</v>
      </c>
      <c r="C603" s="2">
        <v>45223</v>
      </c>
      <c r="D603" s="3">
        <v>0.5541666666666667</v>
      </c>
      <c r="E603" s="1" t="s">
        <v>1264</v>
      </c>
      <c r="F603">
        <v>86</v>
      </c>
      <c r="G603" s="1" t="s">
        <v>809</v>
      </c>
    </row>
    <row r="604" spans="1:7" x14ac:dyDescent="0.25">
      <c r="A604" s="1" t="s">
        <v>1241</v>
      </c>
      <c r="B604" t="str">
        <f>_xlfn.XLOOKUP(Logs__3[[#This Row],[Cell_ID]],Registre_Maintenance[ID_Antenne],Registre_Maintenance[Province_RDC],"Pas de correspondance")</f>
        <v>Pas de correspondance</v>
      </c>
      <c r="C604" s="2">
        <v>45204</v>
      </c>
      <c r="D604" s="3">
        <v>0.26458333333333334</v>
      </c>
      <c r="E604" s="1" t="s">
        <v>1193</v>
      </c>
      <c r="F604">
        <v>90</v>
      </c>
      <c r="G604" s="1" t="s">
        <v>811</v>
      </c>
    </row>
    <row r="605" spans="1:7" x14ac:dyDescent="0.25">
      <c r="A605" s="1" t="s">
        <v>1241</v>
      </c>
      <c r="B605" t="str">
        <f>_xlfn.XLOOKUP(Logs__3[[#This Row],[Cell_ID]],Registre_Maintenance[ID_Antenne],Registre_Maintenance[Province_RDC],"Pas de correspondance")</f>
        <v>Pas de correspondance</v>
      </c>
      <c r="C605" s="2">
        <v>45207</v>
      </c>
      <c r="D605" s="3">
        <v>0.52500000000000002</v>
      </c>
      <c r="E605" s="1" t="s">
        <v>1265</v>
      </c>
      <c r="F605">
        <v>83</v>
      </c>
      <c r="G605" s="1" t="s">
        <v>806</v>
      </c>
    </row>
    <row r="606" spans="1:7" x14ac:dyDescent="0.25">
      <c r="A606" s="1" t="s">
        <v>1241</v>
      </c>
      <c r="B606" t="str">
        <f>_xlfn.XLOOKUP(Logs__3[[#This Row],[Cell_ID]],Registre_Maintenance[ID_Antenne],Registre_Maintenance[Province_RDC],"Pas de correspondance")</f>
        <v>Equateur</v>
      </c>
      <c r="C606" s="2">
        <v>45226</v>
      </c>
      <c r="D606" s="3">
        <v>0.31319444444444444</v>
      </c>
      <c r="E606" s="1" t="s">
        <v>1266</v>
      </c>
      <c r="F606">
        <v>66</v>
      </c>
      <c r="G606" s="1" t="s">
        <v>811</v>
      </c>
    </row>
    <row r="607" spans="1:7" x14ac:dyDescent="0.25">
      <c r="A607" s="1" t="s">
        <v>1241</v>
      </c>
      <c r="B607" t="str">
        <f>_xlfn.XLOOKUP(Logs__3[[#This Row],[Cell_ID]],Registre_Maintenance[ID_Antenne],Registre_Maintenance[Province_RDC],"Pas de correspondance")</f>
        <v>Pas de correspondance</v>
      </c>
      <c r="C607" s="2">
        <v>45217</v>
      </c>
      <c r="D607" s="3">
        <v>0.86319444444444449</v>
      </c>
      <c r="E607" s="1" t="s">
        <v>1267</v>
      </c>
      <c r="F607">
        <v>89</v>
      </c>
      <c r="G607" s="1" t="s">
        <v>806</v>
      </c>
    </row>
    <row r="608" spans="1:7" x14ac:dyDescent="0.25">
      <c r="A608" s="1" t="s">
        <v>1241</v>
      </c>
      <c r="B608" t="str">
        <f>_xlfn.XLOOKUP(Logs__3[[#This Row],[Cell_ID]],Registre_Maintenance[ID_Antenne],Registre_Maintenance[Province_RDC],"Pas de correspondance")</f>
        <v>Lualaba</v>
      </c>
      <c r="C608" s="2">
        <v>45210</v>
      </c>
      <c r="D608" s="3">
        <v>0.36666666666666664</v>
      </c>
      <c r="E608" s="1" t="s">
        <v>1268</v>
      </c>
      <c r="F608">
        <v>67</v>
      </c>
      <c r="G608" s="1" t="s">
        <v>809</v>
      </c>
    </row>
    <row r="609" spans="1:7" x14ac:dyDescent="0.25">
      <c r="A609" s="1" t="s">
        <v>1241</v>
      </c>
      <c r="B609" t="str">
        <f>_xlfn.XLOOKUP(Logs__3[[#This Row],[Cell_ID]],Registre_Maintenance[ID_Antenne],Registre_Maintenance[Province_RDC],"Pas de correspondance")</f>
        <v>Pas de correspondance</v>
      </c>
      <c r="C609" s="2">
        <v>45226</v>
      </c>
      <c r="D609" s="3">
        <v>0.65694444444444444</v>
      </c>
      <c r="E609" s="1" t="s">
        <v>1058</v>
      </c>
      <c r="F609">
        <v>7</v>
      </c>
      <c r="G609" s="1" t="s">
        <v>806</v>
      </c>
    </row>
    <row r="610" spans="1:7" x14ac:dyDescent="0.25">
      <c r="A610" s="1" t="s">
        <v>1269</v>
      </c>
      <c r="B610" t="str">
        <f>_xlfn.XLOOKUP(Logs__3[[#This Row],[Cell_ID]],Registre_Maintenance[ID_Antenne],Registre_Maintenance[Province_RDC],"Pas de correspondance")</f>
        <v>Pas de correspondance</v>
      </c>
      <c r="C610" s="2">
        <v>45224</v>
      </c>
      <c r="D610" s="3">
        <v>0.96388888888888891</v>
      </c>
      <c r="E610" s="1" t="s">
        <v>1270</v>
      </c>
      <c r="F610">
        <v>83</v>
      </c>
      <c r="G610" s="1" t="s">
        <v>809</v>
      </c>
    </row>
    <row r="611" spans="1:7" x14ac:dyDescent="0.25">
      <c r="A611" s="1" t="s">
        <v>1269</v>
      </c>
      <c r="B611" t="str">
        <f>_xlfn.XLOOKUP(Logs__3[[#This Row],[Cell_ID]],Registre_Maintenance[ID_Antenne],Registre_Maintenance[Province_RDC],"Pas de correspondance")</f>
        <v>Kwango</v>
      </c>
      <c r="C611" s="2">
        <v>45225</v>
      </c>
      <c r="D611" s="3">
        <v>0.94861111111111107</v>
      </c>
      <c r="E611" s="1" t="s">
        <v>1271</v>
      </c>
      <c r="F611">
        <v>30</v>
      </c>
      <c r="G611" s="1" t="s">
        <v>806</v>
      </c>
    </row>
    <row r="612" spans="1:7" x14ac:dyDescent="0.25">
      <c r="A612" s="1" t="s">
        <v>1269</v>
      </c>
      <c r="B612" t="str">
        <f>_xlfn.XLOOKUP(Logs__3[[#This Row],[Cell_ID]],Registre_Maintenance[ID_Antenne],Registre_Maintenance[Province_RDC],"Pas de correspondance")</f>
        <v>Tshopo</v>
      </c>
      <c r="C612" s="2">
        <v>45202</v>
      </c>
      <c r="D612" s="3">
        <v>0.69930555555555551</v>
      </c>
      <c r="E612" s="1" t="s">
        <v>1272</v>
      </c>
      <c r="F612">
        <v>63</v>
      </c>
      <c r="G612" s="1" t="s">
        <v>809</v>
      </c>
    </row>
    <row r="613" spans="1:7" x14ac:dyDescent="0.25">
      <c r="A613" s="1" t="s">
        <v>1269</v>
      </c>
      <c r="B613" t="str">
        <f>_xlfn.XLOOKUP(Logs__3[[#This Row],[Cell_ID]],Registre_Maintenance[ID_Antenne],Registre_Maintenance[Province_RDC],"Pas de correspondance")</f>
        <v>Mongala</v>
      </c>
      <c r="C613" s="2">
        <v>45211</v>
      </c>
      <c r="D613" s="3">
        <v>4.583333333333333E-2</v>
      </c>
      <c r="E613" s="1" t="s">
        <v>1115</v>
      </c>
      <c r="F613">
        <v>18</v>
      </c>
      <c r="G613" s="1" t="s">
        <v>811</v>
      </c>
    </row>
    <row r="614" spans="1:7" x14ac:dyDescent="0.25">
      <c r="A614" s="1" t="s">
        <v>1269</v>
      </c>
      <c r="B614" t="str">
        <f>_xlfn.XLOOKUP(Logs__3[[#This Row],[Cell_ID]],Registre_Maintenance[ID_Antenne],Registre_Maintenance[Province_RDC],"Pas de correspondance")</f>
        <v>Pas de correspondance</v>
      </c>
      <c r="C614" s="2">
        <v>45213</v>
      </c>
      <c r="D614" s="3">
        <v>0.32847222222222222</v>
      </c>
      <c r="E614" s="1" t="s">
        <v>1273</v>
      </c>
      <c r="F614">
        <v>22</v>
      </c>
      <c r="G614" s="1" t="s">
        <v>811</v>
      </c>
    </row>
    <row r="615" spans="1:7" x14ac:dyDescent="0.25">
      <c r="A615" s="1" t="s">
        <v>1269</v>
      </c>
      <c r="B615" t="str">
        <f>_xlfn.XLOOKUP(Logs__3[[#This Row],[Cell_ID]],Registre_Maintenance[ID_Antenne],Registre_Maintenance[Province_RDC],"Pas de correspondance")</f>
        <v>Pas de correspondance</v>
      </c>
      <c r="C615" s="2">
        <v>45202</v>
      </c>
      <c r="D615" s="3">
        <v>0.44305555555555554</v>
      </c>
      <c r="E615" s="1" t="s">
        <v>1185</v>
      </c>
      <c r="F615">
        <v>43</v>
      </c>
      <c r="G615" s="1" t="s">
        <v>806</v>
      </c>
    </row>
    <row r="616" spans="1:7" x14ac:dyDescent="0.25">
      <c r="A616" s="1" t="s">
        <v>1269</v>
      </c>
      <c r="B616" t="str">
        <f>_xlfn.XLOOKUP(Logs__3[[#This Row],[Cell_ID]],Registre_Maintenance[ID_Antenne],Registre_Maintenance[Province_RDC],"Pas de correspondance")</f>
        <v>Pas de correspondance</v>
      </c>
      <c r="C616" s="2">
        <v>45224</v>
      </c>
      <c r="D616" s="3">
        <v>0.81805555555555554</v>
      </c>
      <c r="E616" s="1" t="s">
        <v>1028</v>
      </c>
      <c r="F616">
        <v>5</v>
      </c>
      <c r="G616" s="1" t="s">
        <v>811</v>
      </c>
    </row>
    <row r="617" spans="1:7" x14ac:dyDescent="0.25">
      <c r="A617" s="1" t="s">
        <v>1269</v>
      </c>
      <c r="B617" t="str">
        <f>_xlfn.XLOOKUP(Logs__3[[#This Row],[Cell_ID]],Registre_Maintenance[ID_Antenne],Registre_Maintenance[Province_RDC],"Pas de correspondance")</f>
        <v>Maniema</v>
      </c>
      <c r="C617" s="2">
        <v>45212</v>
      </c>
      <c r="D617" s="3">
        <v>0.41736111111111113</v>
      </c>
      <c r="E617" s="1" t="s">
        <v>1274</v>
      </c>
      <c r="F617">
        <v>55</v>
      </c>
      <c r="G617" s="1" t="s">
        <v>809</v>
      </c>
    </row>
    <row r="618" spans="1:7" x14ac:dyDescent="0.25">
      <c r="A618" s="1" t="s">
        <v>1269</v>
      </c>
      <c r="B618" t="str">
        <f>_xlfn.XLOOKUP(Logs__3[[#This Row],[Cell_ID]],Registre_Maintenance[ID_Antenne],Registre_Maintenance[Province_RDC],"Pas de correspondance")</f>
        <v>Pas de correspondance</v>
      </c>
      <c r="C618" s="2">
        <v>45220</v>
      </c>
      <c r="D618" s="3">
        <v>0.36805555555555558</v>
      </c>
      <c r="E618" s="1" t="s">
        <v>1275</v>
      </c>
      <c r="F618">
        <v>47</v>
      </c>
      <c r="G618" s="1" t="s">
        <v>811</v>
      </c>
    </row>
    <row r="619" spans="1:7" x14ac:dyDescent="0.25">
      <c r="A619" s="1" t="s">
        <v>1269</v>
      </c>
      <c r="B619" t="str">
        <f>_xlfn.XLOOKUP(Logs__3[[#This Row],[Cell_ID]],Registre_Maintenance[ID_Antenne],Registre_Maintenance[Province_RDC],"Pas de correspondance")</f>
        <v>Equateur</v>
      </c>
      <c r="C619" s="2">
        <v>45214</v>
      </c>
      <c r="D619" s="3">
        <v>0.63472222222222219</v>
      </c>
      <c r="E619" s="1" t="s">
        <v>1276</v>
      </c>
      <c r="F619">
        <v>112</v>
      </c>
      <c r="G619" s="1" t="s">
        <v>809</v>
      </c>
    </row>
    <row r="620" spans="1:7" x14ac:dyDescent="0.25">
      <c r="A620" s="1" t="s">
        <v>1269</v>
      </c>
      <c r="B620" t="str">
        <f>_xlfn.XLOOKUP(Logs__3[[#This Row],[Cell_ID]],Registre_Maintenance[ID_Antenne],Registre_Maintenance[Province_RDC],"Pas de correspondance")</f>
        <v>Pas de correspondance</v>
      </c>
      <c r="C620" s="2">
        <v>45211</v>
      </c>
      <c r="D620" s="3">
        <v>0.72499999999999998</v>
      </c>
      <c r="E620" s="1" t="s">
        <v>1116</v>
      </c>
      <c r="F620">
        <v>84</v>
      </c>
      <c r="G620" s="1" t="s">
        <v>811</v>
      </c>
    </row>
    <row r="621" spans="1:7" x14ac:dyDescent="0.25">
      <c r="A621" s="1" t="s">
        <v>1269</v>
      </c>
      <c r="B621" t="str">
        <f>_xlfn.XLOOKUP(Logs__3[[#This Row],[Cell_ID]],Registre_Maintenance[ID_Antenne],Registre_Maintenance[Province_RDC],"Pas de correspondance")</f>
        <v>Nord-Ubangi</v>
      </c>
      <c r="C621" s="2">
        <v>45213</v>
      </c>
      <c r="D621" s="3">
        <v>0.23819444444444443</v>
      </c>
      <c r="E621" s="1" t="s">
        <v>1277</v>
      </c>
      <c r="F621">
        <v>53</v>
      </c>
      <c r="G621" s="1" t="s">
        <v>809</v>
      </c>
    </row>
    <row r="622" spans="1:7" x14ac:dyDescent="0.25">
      <c r="A622" s="1" t="s">
        <v>1269</v>
      </c>
      <c r="B622" t="str">
        <f>_xlfn.XLOOKUP(Logs__3[[#This Row],[Cell_ID]],Registre_Maintenance[ID_Antenne],Registre_Maintenance[Province_RDC],"Pas de correspondance")</f>
        <v>Pas de correspondance</v>
      </c>
      <c r="C622" s="2">
        <v>45218</v>
      </c>
      <c r="D622" s="3">
        <v>0.89166666666666672</v>
      </c>
      <c r="E622" s="1" t="s">
        <v>886</v>
      </c>
      <c r="F622">
        <v>107</v>
      </c>
      <c r="G622" s="1" t="s">
        <v>809</v>
      </c>
    </row>
    <row r="623" spans="1:7" x14ac:dyDescent="0.25">
      <c r="A623" s="1" t="s">
        <v>1269</v>
      </c>
      <c r="B623" t="str">
        <f>_xlfn.XLOOKUP(Logs__3[[#This Row],[Cell_ID]],Registre_Maintenance[ID_Antenne],Registre_Maintenance[Province_RDC],"Pas de correspondance")</f>
        <v>Haut-Uele</v>
      </c>
      <c r="C623" s="2">
        <v>45202</v>
      </c>
      <c r="D623" s="3">
        <v>0.8041666666666667</v>
      </c>
      <c r="E623" s="1" t="s">
        <v>1278</v>
      </c>
      <c r="F623">
        <v>115</v>
      </c>
      <c r="G623" s="1" t="s">
        <v>809</v>
      </c>
    </row>
    <row r="624" spans="1:7" x14ac:dyDescent="0.25">
      <c r="A624" s="1" t="s">
        <v>1269</v>
      </c>
      <c r="B624" t="str">
        <f>_xlfn.XLOOKUP(Logs__3[[#This Row],[Cell_ID]],Registre_Maintenance[ID_Antenne],Registre_Maintenance[Province_RDC],"Pas de correspondance")</f>
        <v>Pas de correspondance</v>
      </c>
      <c r="C624" s="2">
        <v>45225</v>
      </c>
      <c r="D624" s="3">
        <v>0.32291666666666669</v>
      </c>
      <c r="E624" s="1" t="s">
        <v>1279</v>
      </c>
      <c r="F624">
        <v>47</v>
      </c>
      <c r="G624" s="1" t="s">
        <v>811</v>
      </c>
    </row>
    <row r="625" spans="1:7" x14ac:dyDescent="0.25">
      <c r="A625" s="1" t="s">
        <v>1269</v>
      </c>
      <c r="B625" t="str">
        <f>_xlfn.XLOOKUP(Logs__3[[#This Row],[Cell_ID]],Registre_Maintenance[ID_Antenne],Registre_Maintenance[Province_RDC],"Pas de correspondance")</f>
        <v>Pas de correspondance</v>
      </c>
      <c r="C625" s="2">
        <v>45202</v>
      </c>
      <c r="D625" s="3">
        <v>9.5138888888888884E-2</v>
      </c>
      <c r="E625" s="1" t="s">
        <v>1280</v>
      </c>
      <c r="F625">
        <v>61</v>
      </c>
      <c r="G625" s="1" t="s">
        <v>809</v>
      </c>
    </row>
    <row r="626" spans="1:7" x14ac:dyDescent="0.25">
      <c r="A626" s="1" t="s">
        <v>1269</v>
      </c>
      <c r="B626" t="str">
        <f>_xlfn.XLOOKUP(Logs__3[[#This Row],[Cell_ID]],Registre_Maintenance[ID_Antenne],Registre_Maintenance[Province_RDC],"Pas de correspondance")</f>
        <v>Nord-Kivu</v>
      </c>
      <c r="C626" s="2">
        <v>45204</v>
      </c>
      <c r="D626" s="3">
        <v>0.53125</v>
      </c>
      <c r="E626" s="1" t="s">
        <v>974</v>
      </c>
      <c r="F626">
        <v>47</v>
      </c>
      <c r="G626" s="1" t="s">
        <v>806</v>
      </c>
    </row>
    <row r="627" spans="1:7" x14ac:dyDescent="0.25">
      <c r="A627" s="1" t="s">
        <v>1269</v>
      </c>
      <c r="B627" t="str">
        <f>_xlfn.XLOOKUP(Logs__3[[#This Row],[Cell_ID]],Registre_Maintenance[ID_Antenne],Registre_Maintenance[Province_RDC],"Pas de correspondance")</f>
        <v>Pas de correspondance</v>
      </c>
      <c r="C627" s="2">
        <v>45225</v>
      </c>
      <c r="D627" s="3">
        <v>0.83958333333333335</v>
      </c>
      <c r="E627" s="1" t="s">
        <v>1281</v>
      </c>
      <c r="F627">
        <v>60</v>
      </c>
      <c r="G627" s="1" t="s">
        <v>811</v>
      </c>
    </row>
    <row r="628" spans="1:7" x14ac:dyDescent="0.25">
      <c r="A628" s="1" t="s">
        <v>1269</v>
      </c>
      <c r="B628" t="str">
        <f>_xlfn.XLOOKUP(Logs__3[[#This Row],[Cell_ID]],Registre_Maintenance[ID_Antenne],Registre_Maintenance[Province_RDC],"Pas de correspondance")</f>
        <v>Pas de correspondance</v>
      </c>
      <c r="C628" s="2">
        <v>45223</v>
      </c>
      <c r="D628" s="3">
        <v>0.51388888888888884</v>
      </c>
      <c r="E628" s="1" t="s">
        <v>1152</v>
      </c>
      <c r="F628">
        <v>109</v>
      </c>
      <c r="G628" s="1" t="s">
        <v>809</v>
      </c>
    </row>
    <row r="629" spans="1:7" x14ac:dyDescent="0.25">
      <c r="A629" s="1" t="s">
        <v>1269</v>
      </c>
      <c r="B629" t="str">
        <f>_xlfn.XLOOKUP(Logs__3[[#This Row],[Cell_ID]],Registre_Maintenance[ID_Antenne],Registre_Maintenance[Province_RDC],"Pas de correspondance")</f>
        <v>Sud-Kivu</v>
      </c>
      <c r="C629" s="2">
        <v>45211</v>
      </c>
      <c r="D629" s="3">
        <v>0.12847222222222221</v>
      </c>
      <c r="E629" s="1" t="s">
        <v>1282</v>
      </c>
      <c r="F629">
        <v>110</v>
      </c>
      <c r="G629" s="1" t="s">
        <v>809</v>
      </c>
    </row>
    <row r="630" spans="1:7" x14ac:dyDescent="0.25">
      <c r="A630" s="1" t="s">
        <v>1269</v>
      </c>
      <c r="B630" t="str">
        <f>_xlfn.XLOOKUP(Logs__3[[#This Row],[Cell_ID]],Registre_Maintenance[ID_Antenne],Registre_Maintenance[Province_RDC],"Pas de correspondance")</f>
        <v>Pas de correspondance</v>
      </c>
      <c r="C630" s="2">
        <v>45200</v>
      </c>
      <c r="D630" s="3">
        <v>0.39444444444444443</v>
      </c>
      <c r="E630" s="1" t="s">
        <v>1108</v>
      </c>
      <c r="F630">
        <v>115</v>
      </c>
      <c r="G630" s="1" t="s">
        <v>809</v>
      </c>
    </row>
    <row r="631" spans="1:7" x14ac:dyDescent="0.25">
      <c r="A631" s="1" t="s">
        <v>1269</v>
      </c>
      <c r="B631" t="str">
        <f>_xlfn.XLOOKUP(Logs__3[[#This Row],[Cell_ID]],Registre_Maintenance[ID_Antenne],Registre_Maintenance[Province_RDC],"Pas de correspondance")</f>
        <v>Ituri</v>
      </c>
      <c r="C631" s="2">
        <v>45211</v>
      </c>
      <c r="D631" s="3">
        <v>0.33750000000000002</v>
      </c>
      <c r="E631" s="1" t="s">
        <v>1283</v>
      </c>
      <c r="F631">
        <v>88</v>
      </c>
      <c r="G631" s="1" t="s">
        <v>809</v>
      </c>
    </row>
    <row r="632" spans="1:7" x14ac:dyDescent="0.25">
      <c r="A632" s="1" t="s">
        <v>1269</v>
      </c>
      <c r="B632" t="str">
        <f>_xlfn.XLOOKUP(Logs__3[[#This Row],[Cell_ID]],Registre_Maintenance[ID_Antenne],Registre_Maintenance[Province_RDC],"Pas de correspondance")</f>
        <v>Pas de correspondance</v>
      </c>
      <c r="C632" s="2">
        <v>45204</v>
      </c>
      <c r="D632" s="3">
        <v>9.0972222222222218E-2</v>
      </c>
      <c r="E632" s="1" t="s">
        <v>1284</v>
      </c>
      <c r="F632">
        <v>81</v>
      </c>
      <c r="G632" s="1" t="s">
        <v>806</v>
      </c>
    </row>
    <row r="633" spans="1:7" x14ac:dyDescent="0.25">
      <c r="A633" s="1" t="s">
        <v>1269</v>
      </c>
      <c r="B633" t="str">
        <f>_xlfn.XLOOKUP(Logs__3[[#This Row],[Cell_ID]],Registre_Maintenance[ID_Antenne],Registre_Maintenance[Province_RDC],"Pas de correspondance")</f>
        <v>Pas de correspondance</v>
      </c>
      <c r="C633" s="2">
        <v>45213</v>
      </c>
      <c r="D633" s="3">
        <v>0.60763888888888884</v>
      </c>
      <c r="E633" s="1" t="s">
        <v>1285</v>
      </c>
      <c r="F633">
        <v>22</v>
      </c>
      <c r="G633" s="1" t="s">
        <v>806</v>
      </c>
    </row>
    <row r="634" spans="1:7" x14ac:dyDescent="0.25">
      <c r="A634" s="1" t="s">
        <v>1269</v>
      </c>
      <c r="B634" t="str">
        <f>_xlfn.XLOOKUP(Logs__3[[#This Row],[Cell_ID]],Registre_Maintenance[ID_Antenne],Registre_Maintenance[Province_RDC],"Pas de correspondance")</f>
        <v>Pas de correspondance</v>
      </c>
      <c r="C634" s="2">
        <v>45217</v>
      </c>
      <c r="D634" s="3">
        <v>0.68472222222222223</v>
      </c>
      <c r="E634" s="1" t="s">
        <v>1005</v>
      </c>
      <c r="F634">
        <v>43</v>
      </c>
      <c r="G634" s="1" t="s">
        <v>806</v>
      </c>
    </row>
    <row r="635" spans="1:7" x14ac:dyDescent="0.25">
      <c r="A635" s="1" t="s">
        <v>1269</v>
      </c>
      <c r="B635" t="str">
        <f>_xlfn.XLOOKUP(Logs__3[[#This Row],[Cell_ID]],Registre_Maintenance[ID_Antenne],Registre_Maintenance[Province_RDC],"Pas de correspondance")</f>
        <v>Pas de correspondance</v>
      </c>
      <c r="C635" s="2">
        <v>45203</v>
      </c>
      <c r="D635" s="3">
        <v>3.472222222222222E-3</v>
      </c>
      <c r="E635" s="1" t="s">
        <v>1286</v>
      </c>
      <c r="F635">
        <v>46</v>
      </c>
      <c r="G635" s="1" t="s">
        <v>809</v>
      </c>
    </row>
    <row r="636" spans="1:7" x14ac:dyDescent="0.25">
      <c r="A636" s="1" t="s">
        <v>1269</v>
      </c>
      <c r="B636" t="str">
        <f>_xlfn.XLOOKUP(Logs__3[[#This Row],[Cell_ID]],Registre_Maintenance[ID_Antenne],Registre_Maintenance[Province_RDC],"Pas de correspondance")</f>
        <v>Pas de correspondance</v>
      </c>
      <c r="C636" s="2">
        <v>45211</v>
      </c>
      <c r="D636" s="3">
        <v>0.71180555555555558</v>
      </c>
      <c r="E636" s="1" t="s">
        <v>1287</v>
      </c>
      <c r="F636">
        <v>82</v>
      </c>
      <c r="G636" s="1" t="s">
        <v>809</v>
      </c>
    </row>
    <row r="637" spans="1:7" x14ac:dyDescent="0.25">
      <c r="A637" s="1" t="s">
        <v>1269</v>
      </c>
      <c r="B637" t="str">
        <f>_xlfn.XLOOKUP(Logs__3[[#This Row],[Cell_ID]],Registre_Maintenance[ID_Antenne],Registre_Maintenance[Province_RDC],"Pas de correspondance")</f>
        <v>Sud-Kivu</v>
      </c>
      <c r="C637" s="2">
        <v>45219</v>
      </c>
      <c r="D637" s="3">
        <v>0.82638888888888884</v>
      </c>
      <c r="E637" s="1" t="s">
        <v>846</v>
      </c>
      <c r="F637">
        <v>93</v>
      </c>
      <c r="G637" s="1" t="s">
        <v>811</v>
      </c>
    </row>
    <row r="638" spans="1:7" x14ac:dyDescent="0.25">
      <c r="A638" s="1" t="s">
        <v>1269</v>
      </c>
      <c r="B638" t="str">
        <f>_xlfn.XLOOKUP(Logs__3[[#This Row],[Cell_ID]],Registre_Maintenance[ID_Antenne],Registre_Maintenance[Province_RDC],"Pas de correspondance")</f>
        <v>Pas de correspondance</v>
      </c>
      <c r="C638" s="2">
        <v>45210</v>
      </c>
      <c r="D638" s="3">
        <v>0.5</v>
      </c>
      <c r="E638" s="1" t="s">
        <v>1288</v>
      </c>
      <c r="F638">
        <v>30</v>
      </c>
      <c r="G638" s="1" t="s">
        <v>806</v>
      </c>
    </row>
    <row r="639" spans="1:7" x14ac:dyDescent="0.25">
      <c r="A639" s="1" t="s">
        <v>1269</v>
      </c>
      <c r="B639" t="str">
        <f>_xlfn.XLOOKUP(Logs__3[[#This Row],[Cell_ID]],Registre_Maintenance[ID_Antenne],Registre_Maintenance[Province_RDC],"Pas de correspondance")</f>
        <v>Ituri</v>
      </c>
      <c r="C639" s="2">
        <v>45209</v>
      </c>
      <c r="D639" s="3">
        <v>0.55833333333333335</v>
      </c>
      <c r="E639" s="1" t="s">
        <v>1289</v>
      </c>
      <c r="F639">
        <v>66</v>
      </c>
      <c r="G639" s="1" t="s">
        <v>809</v>
      </c>
    </row>
    <row r="640" spans="1:7" x14ac:dyDescent="0.25">
      <c r="A640" s="1" t="s">
        <v>1269</v>
      </c>
      <c r="B640" t="str">
        <f>_xlfn.XLOOKUP(Logs__3[[#This Row],[Cell_ID]],Registre_Maintenance[ID_Antenne],Registre_Maintenance[Province_RDC],"Pas de correspondance")</f>
        <v>Pas de correspondance</v>
      </c>
      <c r="C640" s="2">
        <v>45224</v>
      </c>
      <c r="D640" s="3">
        <v>0.11527777777777778</v>
      </c>
      <c r="E640" s="1" t="s">
        <v>1290</v>
      </c>
      <c r="F640">
        <v>45</v>
      </c>
      <c r="G640" s="1" t="s">
        <v>809</v>
      </c>
    </row>
    <row r="641" spans="1:7" x14ac:dyDescent="0.25">
      <c r="A641" s="1" t="s">
        <v>1269</v>
      </c>
      <c r="B641" t="str">
        <f>_xlfn.XLOOKUP(Logs__3[[#This Row],[Cell_ID]],Registre_Maintenance[ID_Antenne],Registre_Maintenance[Province_RDC],"Pas de correspondance")</f>
        <v>Lualaba</v>
      </c>
      <c r="C641" s="2">
        <v>45228</v>
      </c>
      <c r="D641" s="3">
        <v>0.74791666666666667</v>
      </c>
      <c r="E641" s="1" t="s">
        <v>1268</v>
      </c>
      <c r="F641">
        <v>27</v>
      </c>
      <c r="G641" s="1" t="s">
        <v>806</v>
      </c>
    </row>
    <row r="642" spans="1:7" x14ac:dyDescent="0.25">
      <c r="A642" s="1" t="s">
        <v>1269</v>
      </c>
      <c r="B642" t="str">
        <f>_xlfn.XLOOKUP(Logs__3[[#This Row],[Cell_ID]],Registre_Maintenance[ID_Antenne],Registre_Maintenance[Province_RDC],"Pas de correspondance")</f>
        <v>Pas de correspondance</v>
      </c>
      <c r="C642" s="2">
        <v>45207</v>
      </c>
      <c r="D642" s="3">
        <v>0.7729166666666667</v>
      </c>
      <c r="E642" s="1" t="s">
        <v>1259</v>
      </c>
      <c r="F642">
        <v>55</v>
      </c>
      <c r="G642" s="1" t="s">
        <v>809</v>
      </c>
    </row>
    <row r="643" spans="1:7" x14ac:dyDescent="0.25">
      <c r="A643" s="1" t="s">
        <v>1269</v>
      </c>
      <c r="B643" t="str">
        <f>_xlfn.XLOOKUP(Logs__3[[#This Row],[Cell_ID]],Registre_Maintenance[ID_Antenne],Registre_Maintenance[Province_RDC],"Pas de correspondance")</f>
        <v>Pas de correspondance</v>
      </c>
      <c r="C643" s="2">
        <v>45205</v>
      </c>
      <c r="D643" s="3">
        <v>0.89166666666666672</v>
      </c>
      <c r="E643" s="1" t="s">
        <v>1259</v>
      </c>
      <c r="F643">
        <v>45</v>
      </c>
      <c r="G643" s="1" t="s">
        <v>809</v>
      </c>
    </row>
    <row r="644" spans="1:7" x14ac:dyDescent="0.25">
      <c r="A644" s="1" t="s">
        <v>1269</v>
      </c>
      <c r="B644" t="str">
        <f>_xlfn.XLOOKUP(Logs__3[[#This Row],[Cell_ID]],Registre_Maintenance[ID_Antenne],Registre_Maintenance[Province_RDC],"Pas de correspondance")</f>
        <v>Sud-Ubangi</v>
      </c>
      <c r="C644" s="2">
        <v>45205</v>
      </c>
      <c r="D644" s="3">
        <v>0.17847222222222223</v>
      </c>
      <c r="E644" s="1" t="s">
        <v>1291</v>
      </c>
      <c r="F644">
        <v>42</v>
      </c>
      <c r="G644" s="1" t="s">
        <v>809</v>
      </c>
    </row>
    <row r="645" spans="1:7" x14ac:dyDescent="0.25">
      <c r="A645" s="1" t="s">
        <v>1269</v>
      </c>
      <c r="B645" t="str">
        <f>_xlfn.XLOOKUP(Logs__3[[#This Row],[Cell_ID]],Registre_Maintenance[ID_Antenne],Registre_Maintenance[Province_RDC],"Pas de correspondance")</f>
        <v>Kinshasa</v>
      </c>
      <c r="C645" s="2">
        <v>45209</v>
      </c>
      <c r="D645" s="3">
        <v>0.35486111111111113</v>
      </c>
      <c r="E645" s="1" t="s">
        <v>1224</v>
      </c>
      <c r="F645">
        <v>99</v>
      </c>
      <c r="G645" s="1" t="s">
        <v>809</v>
      </c>
    </row>
    <row r="646" spans="1:7" x14ac:dyDescent="0.25">
      <c r="A646" s="1" t="s">
        <v>1269</v>
      </c>
      <c r="B646" t="str">
        <f>_xlfn.XLOOKUP(Logs__3[[#This Row],[Cell_ID]],Registre_Maintenance[ID_Antenne],Registre_Maintenance[Province_RDC],"Pas de correspondance")</f>
        <v>Pas de correspondance</v>
      </c>
      <c r="C646" s="2">
        <v>45204</v>
      </c>
      <c r="D646" s="3">
        <v>9.0277777777777776E-2</v>
      </c>
      <c r="E646" s="1" t="s">
        <v>1292</v>
      </c>
      <c r="F646">
        <v>93</v>
      </c>
      <c r="G646" s="1" t="s">
        <v>811</v>
      </c>
    </row>
    <row r="647" spans="1:7" x14ac:dyDescent="0.25">
      <c r="A647" s="1" t="s">
        <v>1269</v>
      </c>
      <c r="B647" t="str">
        <f>_xlfn.XLOOKUP(Logs__3[[#This Row],[Cell_ID]],Registre_Maintenance[ID_Antenne],Registre_Maintenance[Province_RDC],"Pas de correspondance")</f>
        <v>Maniema</v>
      </c>
      <c r="C647" s="2">
        <v>45213</v>
      </c>
      <c r="D647" s="3">
        <v>0.35138888888888886</v>
      </c>
      <c r="E647" s="1" t="s">
        <v>1293</v>
      </c>
      <c r="F647">
        <v>86</v>
      </c>
      <c r="G647" s="1" t="s">
        <v>811</v>
      </c>
    </row>
    <row r="648" spans="1:7" x14ac:dyDescent="0.25">
      <c r="A648" s="1" t="s">
        <v>1269</v>
      </c>
      <c r="B648" t="str">
        <f>_xlfn.XLOOKUP(Logs__3[[#This Row],[Cell_ID]],Registre_Maintenance[ID_Antenne],Registre_Maintenance[Province_RDC],"Pas de correspondance")</f>
        <v>Nord-Ubangi</v>
      </c>
      <c r="C648" s="2">
        <v>45209</v>
      </c>
      <c r="D648" s="3">
        <v>0.65972222222222221</v>
      </c>
      <c r="E648" s="1" t="s">
        <v>1064</v>
      </c>
      <c r="F648">
        <v>67</v>
      </c>
      <c r="G648" s="1" t="s">
        <v>811</v>
      </c>
    </row>
    <row r="649" spans="1:7" x14ac:dyDescent="0.25">
      <c r="A649" s="1" t="s">
        <v>1269</v>
      </c>
      <c r="B649" t="str">
        <f>_xlfn.XLOOKUP(Logs__3[[#This Row],[Cell_ID]],Registre_Maintenance[ID_Antenne],Registre_Maintenance[Province_RDC],"Pas de correspondance")</f>
        <v>Pas de correspondance</v>
      </c>
      <c r="C649" s="2">
        <v>45202</v>
      </c>
      <c r="D649" s="3">
        <v>0.46944444444444444</v>
      </c>
      <c r="E649" s="1" t="s">
        <v>1294</v>
      </c>
      <c r="F649">
        <v>78</v>
      </c>
      <c r="G649" s="1" t="s">
        <v>806</v>
      </c>
    </row>
    <row r="650" spans="1:7" x14ac:dyDescent="0.25">
      <c r="A650" s="1" t="s">
        <v>1269</v>
      </c>
      <c r="B650" t="str">
        <f>_xlfn.XLOOKUP(Logs__3[[#This Row],[Cell_ID]],Registre_Maintenance[ID_Antenne],Registre_Maintenance[Province_RDC],"Pas de correspondance")</f>
        <v>Pas de correspondance</v>
      </c>
      <c r="C650" s="2">
        <v>45230</v>
      </c>
      <c r="D650" s="3">
        <v>0.32361111111111113</v>
      </c>
      <c r="E650" s="1" t="s">
        <v>947</v>
      </c>
      <c r="F650">
        <v>105</v>
      </c>
      <c r="G650" s="1" t="s">
        <v>806</v>
      </c>
    </row>
    <row r="651" spans="1:7" x14ac:dyDescent="0.25">
      <c r="A651" s="1" t="s">
        <v>1269</v>
      </c>
      <c r="B651" t="str">
        <f>_xlfn.XLOOKUP(Logs__3[[#This Row],[Cell_ID]],Registre_Maintenance[ID_Antenne],Registre_Maintenance[Province_RDC],"Pas de correspondance")</f>
        <v>Pas de correspondance</v>
      </c>
      <c r="C651" s="2">
        <v>45220</v>
      </c>
      <c r="D651" s="3">
        <v>0.65138888888888891</v>
      </c>
      <c r="E651" s="1" t="s">
        <v>977</v>
      </c>
      <c r="F651">
        <v>36</v>
      </c>
      <c r="G651" s="1" t="s">
        <v>806</v>
      </c>
    </row>
    <row r="652" spans="1:7" x14ac:dyDescent="0.25">
      <c r="A652" s="1" t="s">
        <v>1269</v>
      </c>
      <c r="B652" t="str">
        <f>_xlfn.XLOOKUP(Logs__3[[#This Row],[Cell_ID]],Registre_Maintenance[ID_Antenne],Registre_Maintenance[Province_RDC],"Pas de correspondance")</f>
        <v>Tshopo</v>
      </c>
      <c r="C652" s="2">
        <v>45202</v>
      </c>
      <c r="D652" s="3">
        <v>0.69930555555555551</v>
      </c>
      <c r="E652" s="1" t="s">
        <v>1272</v>
      </c>
      <c r="F652">
        <v>63</v>
      </c>
      <c r="G652" s="1" t="s">
        <v>809</v>
      </c>
    </row>
    <row r="653" spans="1:7" x14ac:dyDescent="0.25">
      <c r="A653" s="1" t="s">
        <v>1295</v>
      </c>
      <c r="B653" t="str">
        <f>_xlfn.XLOOKUP(Logs__3[[#This Row],[Cell_ID]],Registre_Maintenance[ID_Antenne],Registre_Maintenance[Province_RDC],"Pas de correspondance")</f>
        <v>Pas de correspondance</v>
      </c>
      <c r="C653" s="2">
        <v>45207</v>
      </c>
      <c r="D653" s="3">
        <v>0.59930555555555554</v>
      </c>
      <c r="E653" s="1" t="s">
        <v>930</v>
      </c>
      <c r="F653">
        <v>59</v>
      </c>
      <c r="G653" s="1" t="s">
        <v>806</v>
      </c>
    </row>
    <row r="654" spans="1:7" x14ac:dyDescent="0.25">
      <c r="A654" s="1" t="s">
        <v>1295</v>
      </c>
      <c r="B654" t="str">
        <f>_xlfn.XLOOKUP(Logs__3[[#This Row],[Cell_ID]],Registre_Maintenance[ID_Antenne],Registre_Maintenance[Province_RDC],"Pas de correspondance")</f>
        <v>Pas de correspondance</v>
      </c>
      <c r="C654" s="2">
        <v>45212</v>
      </c>
      <c r="D654" s="3">
        <v>0.61736111111111114</v>
      </c>
      <c r="E654" s="1" t="s">
        <v>1296</v>
      </c>
      <c r="F654">
        <v>28</v>
      </c>
      <c r="G654" s="1" t="s">
        <v>806</v>
      </c>
    </row>
    <row r="655" spans="1:7" x14ac:dyDescent="0.25">
      <c r="A655" s="1" t="s">
        <v>1295</v>
      </c>
      <c r="B655" t="str">
        <f>_xlfn.XLOOKUP(Logs__3[[#This Row],[Cell_ID]],Registre_Maintenance[ID_Antenne],Registre_Maintenance[Province_RDC],"Pas de correspondance")</f>
        <v>Pas de correspondance</v>
      </c>
      <c r="C655" s="2">
        <v>45221</v>
      </c>
      <c r="D655" s="3">
        <v>0.78055555555555556</v>
      </c>
      <c r="E655" s="1" t="s">
        <v>1219</v>
      </c>
      <c r="F655">
        <v>67</v>
      </c>
      <c r="G655" s="1" t="s">
        <v>806</v>
      </c>
    </row>
    <row r="656" spans="1:7" x14ac:dyDescent="0.25">
      <c r="A656" s="1" t="s">
        <v>1295</v>
      </c>
      <c r="B656" t="str">
        <f>_xlfn.XLOOKUP(Logs__3[[#This Row],[Cell_ID]],Registre_Maintenance[ID_Antenne],Registre_Maintenance[Province_RDC],"Pas de correspondance")</f>
        <v>Pas de correspondance</v>
      </c>
      <c r="C656" s="2">
        <v>45216</v>
      </c>
      <c r="D656" s="3">
        <v>0.18194444444444444</v>
      </c>
      <c r="E656" s="1" t="s">
        <v>1297</v>
      </c>
      <c r="F656">
        <v>86</v>
      </c>
      <c r="G656" s="1" t="s">
        <v>809</v>
      </c>
    </row>
    <row r="657" spans="1:7" x14ac:dyDescent="0.25">
      <c r="A657" s="1" t="s">
        <v>1295</v>
      </c>
      <c r="B657" t="str">
        <f>_xlfn.XLOOKUP(Logs__3[[#This Row],[Cell_ID]],Registre_Maintenance[ID_Antenne],Registre_Maintenance[Province_RDC],"Pas de correspondance")</f>
        <v>Pas de correspondance</v>
      </c>
      <c r="C657" s="2">
        <v>45200</v>
      </c>
      <c r="D657" s="3">
        <v>0.62916666666666665</v>
      </c>
      <c r="E657" s="1" t="s">
        <v>1095</v>
      </c>
      <c r="F657">
        <v>73</v>
      </c>
      <c r="G657" s="1" t="s">
        <v>809</v>
      </c>
    </row>
    <row r="658" spans="1:7" x14ac:dyDescent="0.25">
      <c r="A658" s="1" t="s">
        <v>1295</v>
      </c>
      <c r="B658" t="str">
        <f>_xlfn.XLOOKUP(Logs__3[[#This Row],[Cell_ID]],Registre_Maintenance[ID_Antenne],Registre_Maintenance[Province_RDC],"Pas de correspondance")</f>
        <v>Pas de correspondance</v>
      </c>
      <c r="C658" s="2">
        <v>45209</v>
      </c>
      <c r="D658" s="3">
        <v>0.58194444444444449</v>
      </c>
      <c r="E658" s="1" t="s">
        <v>1298</v>
      </c>
      <c r="F658">
        <v>93</v>
      </c>
      <c r="G658" s="1" t="s">
        <v>809</v>
      </c>
    </row>
    <row r="659" spans="1:7" x14ac:dyDescent="0.25">
      <c r="A659" s="1" t="s">
        <v>1295</v>
      </c>
      <c r="B659" t="str">
        <f>_xlfn.XLOOKUP(Logs__3[[#This Row],[Cell_ID]],Registre_Maintenance[ID_Antenne],Registre_Maintenance[Province_RDC],"Pas de correspondance")</f>
        <v>Pas de correspondance</v>
      </c>
      <c r="C659" s="2">
        <v>45230</v>
      </c>
      <c r="D659" s="3">
        <v>8.819444444444445E-2</v>
      </c>
      <c r="E659" s="1" t="s">
        <v>1187</v>
      </c>
      <c r="F659">
        <v>87</v>
      </c>
      <c r="G659" s="1" t="s">
        <v>811</v>
      </c>
    </row>
    <row r="660" spans="1:7" x14ac:dyDescent="0.25">
      <c r="A660" s="1" t="s">
        <v>1295</v>
      </c>
      <c r="B660" t="str">
        <f>_xlfn.XLOOKUP(Logs__3[[#This Row],[Cell_ID]],Registre_Maintenance[ID_Antenne],Registre_Maintenance[Province_RDC],"Pas de correspondance")</f>
        <v>Lualaba</v>
      </c>
      <c r="C660" s="2">
        <v>45226</v>
      </c>
      <c r="D660" s="3">
        <v>0.96458333333333335</v>
      </c>
      <c r="E660" s="1" t="s">
        <v>1299</v>
      </c>
      <c r="F660">
        <v>27</v>
      </c>
      <c r="G660" s="1" t="s">
        <v>809</v>
      </c>
    </row>
    <row r="661" spans="1:7" x14ac:dyDescent="0.25">
      <c r="A661" s="1" t="s">
        <v>1295</v>
      </c>
      <c r="B661" t="str">
        <f>_xlfn.XLOOKUP(Logs__3[[#This Row],[Cell_ID]],Registre_Maintenance[ID_Antenne],Registre_Maintenance[Province_RDC],"Pas de correspondance")</f>
        <v>Pas de correspondance</v>
      </c>
      <c r="C661" s="2">
        <v>45211</v>
      </c>
      <c r="D661" s="3">
        <v>0.38958333333333334</v>
      </c>
      <c r="E661" s="1" t="s">
        <v>1300</v>
      </c>
      <c r="F661">
        <v>76</v>
      </c>
      <c r="G661" s="1" t="s">
        <v>809</v>
      </c>
    </row>
    <row r="662" spans="1:7" x14ac:dyDescent="0.25">
      <c r="A662" s="1" t="s">
        <v>1295</v>
      </c>
      <c r="B662" t="str">
        <f>_xlfn.XLOOKUP(Logs__3[[#This Row],[Cell_ID]],Registre_Maintenance[ID_Antenne],Registre_Maintenance[Province_RDC],"Pas de correspondance")</f>
        <v>Pas de correspondance</v>
      </c>
      <c r="C662" s="2">
        <v>45214</v>
      </c>
      <c r="D662" s="3">
        <v>0.27291666666666664</v>
      </c>
      <c r="E662" s="1" t="s">
        <v>980</v>
      </c>
      <c r="F662">
        <v>26</v>
      </c>
      <c r="G662" s="1" t="s">
        <v>809</v>
      </c>
    </row>
    <row r="663" spans="1:7" x14ac:dyDescent="0.25">
      <c r="A663" s="1" t="s">
        <v>1295</v>
      </c>
      <c r="B663" t="str">
        <f>_xlfn.XLOOKUP(Logs__3[[#This Row],[Cell_ID]],Registre_Maintenance[ID_Antenne],Registre_Maintenance[Province_RDC],"Pas de correspondance")</f>
        <v>Pas de correspondance</v>
      </c>
      <c r="C663" s="2">
        <v>45215</v>
      </c>
      <c r="D663" s="3">
        <v>0.47916666666666669</v>
      </c>
      <c r="E663" s="1" t="s">
        <v>924</v>
      </c>
      <c r="F663">
        <v>67</v>
      </c>
      <c r="G663" s="1" t="s">
        <v>811</v>
      </c>
    </row>
    <row r="664" spans="1:7" x14ac:dyDescent="0.25">
      <c r="A664" s="1" t="s">
        <v>1295</v>
      </c>
      <c r="B664" t="str">
        <f>_xlfn.XLOOKUP(Logs__3[[#This Row],[Cell_ID]],Registre_Maintenance[ID_Antenne],Registre_Maintenance[Province_RDC],"Pas de correspondance")</f>
        <v>Pas de correspondance</v>
      </c>
      <c r="C664" s="2">
        <v>45203</v>
      </c>
      <c r="D664" s="3">
        <v>0.61527777777777781</v>
      </c>
      <c r="E664" s="1" t="s">
        <v>1301</v>
      </c>
      <c r="F664">
        <v>41</v>
      </c>
      <c r="G664" s="1" t="s">
        <v>806</v>
      </c>
    </row>
    <row r="665" spans="1:7" x14ac:dyDescent="0.25">
      <c r="A665" s="1" t="s">
        <v>1295</v>
      </c>
      <c r="B665" t="str">
        <f>_xlfn.XLOOKUP(Logs__3[[#This Row],[Cell_ID]],Registre_Maintenance[ID_Antenne],Registre_Maintenance[Province_RDC],"Pas de correspondance")</f>
        <v>Nord-Kivu</v>
      </c>
      <c r="C665" s="2">
        <v>45222</v>
      </c>
      <c r="D665" s="3">
        <v>0.59722222222222221</v>
      </c>
      <c r="E665" s="1" t="s">
        <v>1001</v>
      </c>
      <c r="F665">
        <v>22</v>
      </c>
      <c r="G665" s="1" t="s">
        <v>809</v>
      </c>
    </row>
    <row r="666" spans="1:7" x14ac:dyDescent="0.25">
      <c r="A666" s="1" t="s">
        <v>1295</v>
      </c>
      <c r="B666" t="str">
        <f>_xlfn.XLOOKUP(Logs__3[[#This Row],[Cell_ID]],Registre_Maintenance[ID_Antenne],Registre_Maintenance[Province_RDC],"Pas de correspondance")</f>
        <v>Kwilu</v>
      </c>
      <c r="C666" s="2">
        <v>45202</v>
      </c>
      <c r="D666" s="3">
        <v>0.37638888888888888</v>
      </c>
      <c r="E666" s="1" t="s">
        <v>1302</v>
      </c>
      <c r="F666">
        <v>28</v>
      </c>
      <c r="G666" s="1" t="s">
        <v>806</v>
      </c>
    </row>
    <row r="667" spans="1:7" x14ac:dyDescent="0.25">
      <c r="A667" s="1" t="s">
        <v>1295</v>
      </c>
      <c r="B667" t="str">
        <f>_xlfn.XLOOKUP(Logs__3[[#This Row],[Cell_ID]],Registre_Maintenance[ID_Antenne],Registre_Maintenance[Province_RDC],"Pas de correspondance")</f>
        <v>Pas de correspondance</v>
      </c>
      <c r="C667" s="2">
        <v>45225</v>
      </c>
      <c r="D667" s="3">
        <v>0.92152777777777772</v>
      </c>
      <c r="E667" s="1" t="s">
        <v>1237</v>
      </c>
      <c r="F667">
        <v>45</v>
      </c>
      <c r="G667" s="1" t="s">
        <v>806</v>
      </c>
    </row>
    <row r="668" spans="1:7" x14ac:dyDescent="0.25">
      <c r="A668" s="1" t="s">
        <v>1295</v>
      </c>
      <c r="B668" t="str">
        <f>_xlfn.XLOOKUP(Logs__3[[#This Row],[Cell_ID]],Registre_Maintenance[ID_Antenne],Registre_Maintenance[Province_RDC],"Pas de correspondance")</f>
        <v>Haut-Katanga</v>
      </c>
      <c r="C668" s="2">
        <v>45200</v>
      </c>
      <c r="D668" s="3">
        <v>0.44513888888888886</v>
      </c>
      <c r="E668" s="1" t="s">
        <v>1303</v>
      </c>
      <c r="F668">
        <v>112</v>
      </c>
      <c r="G668" s="1" t="s">
        <v>806</v>
      </c>
    </row>
    <row r="669" spans="1:7" x14ac:dyDescent="0.25">
      <c r="A669" s="1" t="s">
        <v>1295</v>
      </c>
      <c r="B669" t="str">
        <f>_xlfn.XLOOKUP(Logs__3[[#This Row],[Cell_ID]],Registre_Maintenance[ID_Antenne],Registre_Maintenance[Province_RDC],"Pas de correspondance")</f>
        <v>Maniema</v>
      </c>
      <c r="C669" s="2">
        <v>45203</v>
      </c>
      <c r="D669" s="3">
        <v>0.91041666666666665</v>
      </c>
      <c r="E669" s="1" t="s">
        <v>1274</v>
      </c>
      <c r="F669">
        <v>62</v>
      </c>
      <c r="G669" s="1" t="s">
        <v>806</v>
      </c>
    </row>
    <row r="670" spans="1:7" x14ac:dyDescent="0.25">
      <c r="A670" s="1" t="s">
        <v>1295</v>
      </c>
      <c r="B670" t="str">
        <f>_xlfn.XLOOKUP(Logs__3[[#This Row],[Cell_ID]],Registre_Maintenance[ID_Antenne],Registre_Maintenance[Province_RDC],"Pas de correspondance")</f>
        <v>Pas de correspondance</v>
      </c>
      <c r="C670" s="2">
        <v>45205</v>
      </c>
      <c r="D670" s="3">
        <v>0.96875</v>
      </c>
      <c r="E670" s="1" t="s">
        <v>1304</v>
      </c>
      <c r="F670">
        <v>84</v>
      </c>
      <c r="G670" s="1" t="s">
        <v>809</v>
      </c>
    </row>
    <row r="671" spans="1:7" x14ac:dyDescent="0.25">
      <c r="A671" s="1" t="s">
        <v>1295</v>
      </c>
      <c r="B671" t="str">
        <f>_xlfn.XLOOKUP(Logs__3[[#This Row],[Cell_ID]],Registre_Maintenance[ID_Antenne],Registre_Maintenance[Province_RDC],"Pas de correspondance")</f>
        <v>Kasaï</v>
      </c>
      <c r="C671" s="2">
        <v>45216</v>
      </c>
      <c r="D671" s="3">
        <v>0.2326388888888889</v>
      </c>
      <c r="E671" s="1" t="s">
        <v>1305</v>
      </c>
      <c r="F671">
        <v>11</v>
      </c>
      <c r="G671" s="1" t="s">
        <v>811</v>
      </c>
    </row>
    <row r="672" spans="1:7" x14ac:dyDescent="0.25">
      <c r="A672" s="1" t="s">
        <v>1295</v>
      </c>
      <c r="B672" t="str">
        <f>_xlfn.XLOOKUP(Logs__3[[#This Row],[Cell_ID]],Registre_Maintenance[ID_Antenne],Registre_Maintenance[Province_RDC],"Pas de correspondance")</f>
        <v>Sud-Kivu</v>
      </c>
      <c r="C672" s="2">
        <v>45205</v>
      </c>
      <c r="D672" s="3">
        <v>0.44097222222222221</v>
      </c>
      <c r="E672" s="1" t="s">
        <v>1306</v>
      </c>
      <c r="F672">
        <v>115</v>
      </c>
      <c r="G672" s="1" t="s">
        <v>809</v>
      </c>
    </row>
    <row r="673" spans="1:7" x14ac:dyDescent="0.25">
      <c r="A673" s="1" t="s">
        <v>1295</v>
      </c>
      <c r="B673" t="str">
        <f>_xlfn.XLOOKUP(Logs__3[[#This Row],[Cell_ID]],Registre_Maintenance[ID_Antenne],Registre_Maintenance[Province_RDC],"Pas de correspondance")</f>
        <v>Pas de correspondance</v>
      </c>
      <c r="C673" s="2">
        <v>45213</v>
      </c>
      <c r="D673" s="3">
        <v>0.59305555555555556</v>
      </c>
      <c r="E673" s="1" t="s">
        <v>1229</v>
      </c>
      <c r="F673">
        <v>50</v>
      </c>
      <c r="G673" s="1" t="s">
        <v>811</v>
      </c>
    </row>
    <row r="674" spans="1:7" x14ac:dyDescent="0.25">
      <c r="A674" s="1" t="s">
        <v>1295</v>
      </c>
      <c r="B674" t="str">
        <f>_xlfn.XLOOKUP(Logs__3[[#This Row],[Cell_ID]],Registre_Maintenance[ID_Antenne],Registre_Maintenance[Province_RDC],"Pas de correspondance")</f>
        <v>Pas de correspondance</v>
      </c>
      <c r="C674" s="2">
        <v>45225</v>
      </c>
      <c r="D674" s="3">
        <v>0.52777777777777779</v>
      </c>
      <c r="E674" s="1" t="s">
        <v>1307</v>
      </c>
      <c r="F674">
        <v>6</v>
      </c>
      <c r="G674" s="1" t="s">
        <v>809</v>
      </c>
    </row>
    <row r="675" spans="1:7" x14ac:dyDescent="0.25">
      <c r="A675" s="1" t="s">
        <v>1295</v>
      </c>
      <c r="B675" t="str">
        <f>_xlfn.XLOOKUP(Logs__3[[#This Row],[Cell_ID]],Registre_Maintenance[ID_Antenne],Registre_Maintenance[Province_RDC],"Pas de correspondance")</f>
        <v>Pas de correspondance</v>
      </c>
      <c r="C675" s="2">
        <v>45205</v>
      </c>
      <c r="D675" s="3">
        <v>0.2361111111111111</v>
      </c>
      <c r="E675" s="1" t="s">
        <v>988</v>
      </c>
      <c r="F675">
        <v>67</v>
      </c>
      <c r="G675" s="1" t="s">
        <v>809</v>
      </c>
    </row>
    <row r="676" spans="1:7" x14ac:dyDescent="0.25">
      <c r="A676" s="1" t="s">
        <v>1295</v>
      </c>
      <c r="B676" t="str">
        <f>_xlfn.XLOOKUP(Logs__3[[#This Row],[Cell_ID]],Registre_Maintenance[ID_Antenne],Registre_Maintenance[Province_RDC],"Pas de correspondance")</f>
        <v>Kwango</v>
      </c>
      <c r="C676" s="2">
        <v>45221</v>
      </c>
      <c r="D676" s="3">
        <v>0.55902777777777779</v>
      </c>
      <c r="E676" s="1" t="s">
        <v>1308</v>
      </c>
      <c r="F676">
        <v>22</v>
      </c>
      <c r="G676" s="1" t="s">
        <v>806</v>
      </c>
    </row>
    <row r="677" spans="1:7" x14ac:dyDescent="0.25">
      <c r="A677" s="1" t="s">
        <v>1295</v>
      </c>
      <c r="B677" t="str">
        <f>_xlfn.XLOOKUP(Logs__3[[#This Row],[Cell_ID]],Registre_Maintenance[ID_Antenne],Registre_Maintenance[Province_RDC],"Pas de correspondance")</f>
        <v>Bas-Uele</v>
      </c>
      <c r="C677" s="2">
        <v>45200</v>
      </c>
      <c r="D677" s="3">
        <v>0.98541666666666672</v>
      </c>
      <c r="E677" s="1" t="s">
        <v>996</v>
      </c>
      <c r="F677">
        <v>29</v>
      </c>
      <c r="G677" s="1" t="s">
        <v>811</v>
      </c>
    </row>
    <row r="678" spans="1:7" x14ac:dyDescent="0.25">
      <c r="A678" s="1" t="s">
        <v>1295</v>
      </c>
      <c r="B678" t="str">
        <f>_xlfn.XLOOKUP(Logs__3[[#This Row],[Cell_ID]],Registre_Maintenance[ID_Antenne],Registre_Maintenance[Province_RDC],"Pas de correspondance")</f>
        <v>Pas de correspondance</v>
      </c>
      <c r="C678" s="2">
        <v>45228</v>
      </c>
      <c r="D678" s="3">
        <v>0.26944444444444443</v>
      </c>
      <c r="E678" s="1" t="s">
        <v>895</v>
      </c>
      <c r="F678">
        <v>109</v>
      </c>
      <c r="G678" s="1" t="s">
        <v>809</v>
      </c>
    </row>
    <row r="679" spans="1:7" x14ac:dyDescent="0.25">
      <c r="A679" s="1" t="s">
        <v>1295</v>
      </c>
      <c r="B679" t="str">
        <f>_xlfn.XLOOKUP(Logs__3[[#This Row],[Cell_ID]],Registre_Maintenance[ID_Antenne],Registre_Maintenance[Province_RDC],"Pas de correspondance")</f>
        <v>Pas de correspondance</v>
      </c>
      <c r="C679" s="2">
        <v>45218</v>
      </c>
      <c r="D679" s="3">
        <v>0.55833333333333335</v>
      </c>
      <c r="E679" s="1" t="s">
        <v>998</v>
      </c>
      <c r="F679">
        <v>54</v>
      </c>
      <c r="G679" s="1" t="s">
        <v>811</v>
      </c>
    </row>
    <row r="680" spans="1:7" x14ac:dyDescent="0.25">
      <c r="A680" s="1" t="s">
        <v>1295</v>
      </c>
      <c r="B680" t="str">
        <f>_xlfn.XLOOKUP(Logs__3[[#This Row],[Cell_ID]],Registre_Maintenance[ID_Antenne],Registre_Maintenance[Province_RDC],"Pas de correspondance")</f>
        <v>Kongo-Central</v>
      </c>
      <c r="C680" s="2">
        <v>45200</v>
      </c>
      <c r="D680" s="3">
        <v>0.92569444444444449</v>
      </c>
      <c r="E680" s="1" t="s">
        <v>813</v>
      </c>
      <c r="F680">
        <v>76</v>
      </c>
      <c r="G680" s="1" t="s">
        <v>811</v>
      </c>
    </row>
    <row r="681" spans="1:7" x14ac:dyDescent="0.25">
      <c r="A681" s="1" t="s">
        <v>1295</v>
      </c>
      <c r="B681" t="str">
        <f>_xlfn.XLOOKUP(Logs__3[[#This Row],[Cell_ID]],Registre_Maintenance[ID_Antenne],Registre_Maintenance[Province_RDC],"Pas de correspondance")</f>
        <v>Pas de correspondance</v>
      </c>
      <c r="C681" s="2">
        <v>45206</v>
      </c>
      <c r="D681" s="3">
        <v>0.36666666666666664</v>
      </c>
      <c r="E681" s="1" t="s">
        <v>1025</v>
      </c>
      <c r="F681">
        <v>69</v>
      </c>
      <c r="G681" s="1" t="s">
        <v>809</v>
      </c>
    </row>
    <row r="682" spans="1:7" x14ac:dyDescent="0.25">
      <c r="A682" s="1" t="s">
        <v>1295</v>
      </c>
      <c r="B682" t="str">
        <f>_xlfn.XLOOKUP(Logs__3[[#This Row],[Cell_ID]],Registre_Maintenance[ID_Antenne],Registre_Maintenance[Province_RDC],"Pas de correspondance")</f>
        <v>Pas de correspondance</v>
      </c>
      <c r="C682" s="2">
        <v>45222</v>
      </c>
      <c r="D682" s="3">
        <v>0.10833333333333334</v>
      </c>
      <c r="E682" s="1" t="s">
        <v>1309</v>
      </c>
      <c r="F682">
        <v>88</v>
      </c>
      <c r="G682" s="1" t="s">
        <v>811</v>
      </c>
    </row>
    <row r="683" spans="1:7" x14ac:dyDescent="0.25">
      <c r="A683" s="1" t="s">
        <v>1295</v>
      </c>
      <c r="B683" t="str">
        <f>_xlfn.XLOOKUP(Logs__3[[#This Row],[Cell_ID]],Registre_Maintenance[ID_Antenne],Registre_Maintenance[Province_RDC],"Pas de correspondance")</f>
        <v>Pas de correspondance</v>
      </c>
      <c r="C683" s="2">
        <v>45203</v>
      </c>
      <c r="D683" s="3">
        <v>0.71597222222222223</v>
      </c>
      <c r="E683" s="1" t="s">
        <v>1310</v>
      </c>
      <c r="F683">
        <v>68</v>
      </c>
      <c r="G683" s="1" t="s">
        <v>809</v>
      </c>
    </row>
    <row r="684" spans="1:7" x14ac:dyDescent="0.25">
      <c r="A684" s="1" t="s">
        <v>1295</v>
      </c>
      <c r="B684" t="str">
        <f>_xlfn.XLOOKUP(Logs__3[[#This Row],[Cell_ID]],Registre_Maintenance[ID_Antenne],Registre_Maintenance[Province_RDC],"Pas de correspondance")</f>
        <v>Tshopo</v>
      </c>
      <c r="C684" s="2">
        <v>45211</v>
      </c>
      <c r="D684" s="3">
        <v>0.42499999999999999</v>
      </c>
      <c r="E684" s="1" t="s">
        <v>972</v>
      </c>
      <c r="F684">
        <v>57</v>
      </c>
      <c r="G684" s="1" t="s">
        <v>809</v>
      </c>
    </row>
    <row r="685" spans="1:7" x14ac:dyDescent="0.25">
      <c r="A685" s="1" t="s">
        <v>1295</v>
      </c>
      <c r="B685" t="str">
        <f>_xlfn.XLOOKUP(Logs__3[[#This Row],[Cell_ID]],Registre_Maintenance[ID_Antenne],Registre_Maintenance[Province_RDC],"Pas de correspondance")</f>
        <v>Pas de correspondance</v>
      </c>
      <c r="C685" s="2">
        <v>45214</v>
      </c>
      <c r="D685" s="3">
        <v>0.1361111111111111</v>
      </c>
      <c r="E685" s="1" t="s">
        <v>1311</v>
      </c>
      <c r="F685">
        <v>92</v>
      </c>
      <c r="G685" s="1" t="s">
        <v>806</v>
      </c>
    </row>
    <row r="686" spans="1:7" x14ac:dyDescent="0.25">
      <c r="A686" s="1" t="s">
        <v>1295</v>
      </c>
      <c r="B686" t="str">
        <f>_xlfn.XLOOKUP(Logs__3[[#This Row],[Cell_ID]],Registre_Maintenance[ID_Antenne],Registre_Maintenance[Province_RDC],"Pas de correspondance")</f>
        <v>Haut-Uele</v>
      </c>
      <c r="C686" s="2">
        <v>45221</v>
      </c>
      <c r="D686" s="3">
        <v>0.6479166666666667</v>
      </c>
      <c r="E686" s="1" t="s">
        <v>1312</v>
      </c>
      <c r="F686">
        <v>67</v>
      </c>
      <c r="G686" s="1" t="s">
        <v>806</v>
      </c>
    </row>
    <row r="687" spans="1:7" x14ac:dyDescent="0.25">
      <c r="A687" s="1" t="s">
        <v>1295</v>
      </c>
      <c r="B687" t="str">
        <f>_xlfn.XLOOKUP(Logs__3[[#This Row],[Cell_ID]],Registre_Maintenance[ID_Antenne],Registre_Maintenance[Province_RDC],"Pas de correspondance")</f>
        <v>Kwilu</v>
      </c>
      <c r="C687" s="2">
        <v>45230</v>
      </c>
      <c r="D687" s="3">
        <v>0.84722222222222221</v>
      </c>
      <c r="E687" s="1" t="s">
        <v>865</v>
      </c>
      <c r="F687">
        <v>58</v>
      </c>
      <c r="G687" s="1" t="s">
        <v>811</v>
      </c>
    </row>
    <row r="688" spans="1:7" x14ac:dyDescent="0.25">
      <c r="A688" s="1" t="s">
        <v>1295</v>
      </c>
      <c r="B688" t="str">
        <f>_xlfn.XLOOKUP(Logs__3[[#This Row],[Cell_ID]],Registre_Maintenance[ID_Antenne],Registre_Maintenance[Province_RDC],"Pas de correspondance")</f>
        <v>Haut-Uele</v>
      </c>
      <c r="C688" s="2">
        <v>45219</v>
      </c>
      <c r="D688" s="3">
        <v>0.52708333333333335</v>
      </c>
      <c r="E688" s="1" t="s">
        <v>1215</v>
      </c>
      <c r="F688">
        <v>95</v>
      </c>
      <c r="G688" s="1" t="s">
        <v>806</v>
      </c>
    </row>
    <row r="689" spans="1:7" x14ac:dyDescent="0.25">
      <c r="A689" s="1" t="s">
        <v>1295</v>
      </c>
      <c r="B689" t="str">
        <f>_xlfn.XLOOKUP(Logs__3[[#This Row],[Cell_ID]],Registre_Maintenance[ID_Antenne],Registre_Maintenance[Province_RDC],"Pas de correspondance")</f>
        <v>Pas de correspondance</v>
      </c>
      <c r="C689" s="2">
        <v>45212</v>
      </c>
      <c r="D689" s="3">
        <v>0.75486111111111109</v>
      </c>
      <c r="E689" s="1" t="s">
        <v>921</v>
      </c>
      <c r="F689">
        <v>112</v>
      </c>
      <c r="G689" s="1" t="s">
        <v>811</v>
      </c>
    </row>
    <row r="690" spans="1:7" x14ac:dyDescent="0.25">
      <c r="A690" s="1" t="s">
        <v>1295</v>
      </c>
      <c r="B690" t="str">
        <f>_xlfn.XLOOKUP(Logs__3[[#This Row],[Cell_ID]],Registre_Maintenance[ID_Antenne],Registre_Maintenance[Province_RDC],"Pas de correspondance")</f>
        <v>Pas de correspondance</v>
      </c>
      <c r="C690" s="2">
        <v>45211</v>
      </c>
      <c r="D690" s="3">
        <v>0.49583333333333335</v>
      </c>
      <c r="E690" s="1" t="s">
        <v>922</v>
      </c>
      <c r="F690">
        <v>61</v>
      </c>
      <c r="G690" s="1" t="s">
        <v>809</v>
      </c>
    </row>
    <row r="691" spans="1:7" x14ac:dyDescent="0.25">
      <c r="A691" s="1" t="s">
        <v>1295</v>
      </c>
      <c r="B691" t="str">
        <f>_xlfn.XLOOKUP(Logs__3[[#This Row],[Cell_ID]],Registre_Maintenance[ID_Antenne],Registre_Maintenance[Province_RDC],"Pas de correspondance")</f>
        <v>Pas de correspondance</v>
      </c>
      <c r="C691" s="2">
        <v>45214</v>
      </c>
      <c r="D691" s="3">
        <v>0.7993055555555556</v>
      </c>
      <c r="E691" s="1" t="s">
        <v>1313</v>
      </c>
      <c r="F691">
        <v>67</v>
      </c>
      <c r="G691" s="1" t="s">
        <v>806</v>
      </c>
    </row>
    <row r="692" spans="1:7" x14ac:dyDescent="0.25">
      <c r="A692" s="1" t="s">
        <v>1295</v>
      </c>
      <c r="B692" t="str">
        <f>_xlfn.XLOOKUP(Logs__3[[#This Row],[Cell_ID]],Registre_Maintenance[ID_Antenne],Registre_Maintenance[Province_RDC],"Pas de correspondance")</f>
        <v>Pas de correspondance</v>
      </c>
      <c r="C692" s="2">
        <v>45226</v>
      </c>
      <c r="D692" s="3">
        <v>0.90625</v>
      </c>
      <c r="E692" s="1" t="s">
        <v>1123</v>
      </c>
      <c r="F692">
        <v>26</v>
      </c>
      <c r="G692" s="1" t="s">
        <v>809</v>
      </c>
    </row>
    <row r="693" spans="1:7" x14ac:dyDescent="0.25">
      <c r="A693" s="1" t="s">
        <v>1295</v>
      </c>
      <c r="B693" t="str">
        <f>_xlfn.XLOOKUP(Logs__3[[#This Row],[Cell_ID]],Registre_Maintenance[ID_Antenne],Registre_Maintenance[Province_RDC],"Pas de correspondance")</f>
        <v>Pas de correspondance</v>
      </c>
      <c r="C693" s="2">
        <v>45225</v>
      </c>
      <c r="D693" s="3">
        <v>0.4152777777777778</v>
      </c>
      <c r="E693" s="1" t="s">
        <v>1314</v>
      </c>
      <c r="F693">
        <v>15</v>
      </c>
      <c r="G693" s="1" t="s">
        <v>806</v>
      </c>
    </row>
    <row r="694" spans="1:7" x14ac:dyDescent="0.25">
      <c r="A694" s="1" t="s">
        <v>1295</v>
      </c>
      <c r="B694" t="str">
        <f>_xlfn.XLOOKUP(Logs__3[[#This Row],[Cell_ID]],Registre_Maintenance[ID_Antenne],Registre_Maintenance[Province_RDC],"Pas de correspondance")</f>
        <v>Pas de correspondance</v>
      </c>
      <c r="C694" s="2">
        <v>45219</v>
      </c>
      <c r="D694" s="3">
        <v>0.75347222222222221</v>
      </c>
      <c r="E694" s="1" t="s">
        <v>919</v>
      </c>
      <c r="F694">
        <v>77</v>
      </c>
      <c r="G694" s="1" t="s">
        <v>806</v>
      </c>
    </row>
    <row r="695" spans="1:7" x14ac:dyDescent="0.25">
      <c r="A695" s="1" t="s">
        <v>1295</v>
      </c>
      <c r="B695" t="str">
        <f>_xlfn.XLOOKUP(Logs__3[[#This Row],[Cell_ID]],Registre_Maintenance[ID_Antenne],Registre_Maintenance[Province_RDC],"Pas de correspondance")</f>
        <v>Kasaï-Central</v>
      </c>
      <c r="C695" s="2">
        <v>45221</v>
      </c>
      <c r="D695" s="3">
        <v>0.18055555555555555</v>
      </c>
      <c r="E695" s="1" t="s">
        <v>814</v>
      </c>
      <c r="F695">
        <v>8</v>
      </c>
      <c r="G695" s="1" t="s">
        <v>806</v>
      </c>
    </row>
    <row r="696" spans="1:7" x14ac:dyDescent="0.25">
      <c r="A696" s="1" t="s">
        <v>1295</v>
      </c>
      <c r="B696" t="str">
        <f>_xlfn.XLOOKUP(Logs__3[[#This Row],[Cell_ID]],Registre_Maintenance[ID_Antenne],Registre_Maintenance[Province_RDC],"Pas de correspondance")</f>
        <v>Tanganyika</v>
      </c>
      <c r="C696" s="2">
        <v>45203</v>
      </c>
      <c r="D696" s="3">
        <v>0.30486111111111114</v>
      </c>
      <c r="E696" s="1" t="s">
        <v>1217</v>
      </c>
      <c r="F696">
        <v>106</v>
      </c>
      <c r="G696" s="1" t="s">
        <v>809</v>
      </c>
    </row>
    <row r="697" spans="1:7" x14ac:dyDescent="0.25">
      <c r="A697" s="1" t="s">
        <v>1295</v>
      </c>
      <c r="B697" t="str">
        <f>_xlfn.XLOOKUP(Logs__3[[#This Row],[Cell_ID]],Registre_Maintenance[ID_Antenne],Registre_Maintenance[Province_RDC],"Pas de correspondance")</f>
        <v>Sud-Kivu</v>
      </c>
      <c r="C697" s="2">
        <v>45203</v>
      </c>
      <c r="D697" s="3">
        <v>0.22430555555555556</v>
      </c>
      <c r="E697" s="1" t="s">
        <v>917</v>
      </c>
      <c r="F697">
        <v>102</v>
      </c>
      <c r="G697" s="1" t="s">
        <v>811</v>
      </c>
    </row>
    <row r="698" spans="1:7" x14ac:dyDescent="0.25">
      <c r="A698" s="1" t="s">
        <v>1295</v>
      </c>
      <c r="B698" t="str">
        <f>_xlfn.XLOOKUP(Logs__3[[#This Row],[Cell_ID]],Registre_Maintenance[ID_Antenne],Registre_Maintenance[Province_RDC],"Pas de correspondance")</f>
        <v>Mongala</v>
      </c>
      <c r="C698" s="2">
        <v>45222</v>
      </c>
      <c r="D698" s="3">
        <v>0.18888888888888888</v>
      </c>
      <c r="E698" s="1" t="s">
        <v>1115</v>
      </c>
      <c r="F698">
        <v>33</v>
      </c>
      <c r="G698" s="1" t="s">
        <v>806</v>
      </c>
    </row>
    <row r="699" spans="1:7" x14ac:dyDescent="0.25">
      <c r="A699" s="1" t="s">
        <v>1295</v>
      </c>
      <c r="B699" t="str">
        <f>_xlfn.XLOOKUP(Logs__3[[#This Row],[Cell_ID]],Registre_Maintenance[ID_Antenne],Registre_Maintenance[Province_RDC],"Pas de correspondance")</f>
        <v>Pas de correspondance</v>
      </c>
      <c r="C699" s="2">
        <v>45212</v>
      </c>
      <c r="D699" s="3">
        <v>0.56805555555555554</v>
      </c>
      <c r="E699" s="1" t="s">
        <v>1315</v>
      </c>
      <c r="F699">
        <v>42</v>
      </c>
      <c r="G699" s="1" t="s">
        <v>809</v>
      </c>
    </row>
    <row r="700" spans="1:7" x14ac:dyDescent="0.25">
      <c r="A700" s="1" t="s">
        <v>1295</v>
      </c>
      <c r="B700" t="str">
        <f>_xlfn.XLOOKUP(Logs__3[[#This Row],[Cell_ID]],Registre_Maintenance[ID_Antenne],Registre_Maintenance[Province_RDC],"Pas de correspondance")</f>
        <v>Kasaï-Central</v>
      </c>
      <c r="C700" s="2">
        <v>45204</v>
      </c>
      <c r="D700" s="3">
        <v>0.76666666666666672</v>
      </c>
      <c r="E700" s="1" t="s">
        <v>1316</v>
      </c>
      <c r="F700">
        <v>9</v>
      </c>
      <c r="G700" s="1" t="s">
        <v>811</v>
      </c>
    </row>
    <row r="701" spans="1:7" x14ac:dyDescent="0.25">
      <c r="A701" s="1" t="s">
        <v>1317</v>
      </c>
      <c r="B701" t="str">
        <f>_xlfn.XLOOKUP(Logs__3[[#This Row],[Cell_ID]],Registre_Maintenance[ID_Antenne],Registre_Maintenance[Province_RDC],"Pas de correspondance")</f>
        <v>Pas de correspondance</v>
      </c>
      <c r="C701" s="2">
        <v>45202</v>
      </c>
      <c r="D701" s="3">
        <v>0.86805555555555558</v>
      </c>
      <c r="E701" s="1" t="s">
        <v>1014</v>
      </c>
      <c r="F701">
        <v>91</v>
      </c>
      <c r="G701" s="1" t="s">
        <v>809</v>
      </c>
    </row>
    <row r="702" spans="1:7" x14ac:dyDescent="0.25">
      <c r="A702" s="1" t="s">
        <v>1317</v>
      </c>
      <c r="B702" t="str">
        <f>_xlfn.XLOOKUP(Logs__3[[#This Row],[Cell_ID]],Registre_Maintenance[ID_Antenne],Registre_Maintenance[Province_RDC],"Pas de correspondance")</f>
        <v>Pas de correspondance</v>
      </c>
      <c r="C702" s="2">
        <v>45228</v>
      </c>
      <c r="D702" s="3">
        <v>0.10069444444444445</v>
      </c>
      <c r="E702" s="1" t="s">
        <v>1060</v>
      </c>
      <c r="F702">
        <v>23</v>
      </c>
      <c r="G702" s="1" t="s">
        <v>811</v>
      </c>
    </row>
    <row r="703" spans="1:7" x14ac:dyDescent="0.25">
      <c r="A703" s="1" t="s">
        <v>1317</v>
      </c>
      <c r="B703" t="str">
        <f>_xlfn.XLOOKUP(Logs__3[[#This Row],[Cell_ID]],Registre_Maintenance[ID_Antenne],Registre_Maintenance[Province_RDC],"Pas de correspondance")</f>
        <v>Bas-Uele</v>
      </c>
      <c r="C703" s="2">
        <v>45216</v>
      </c>
      <c r="D703" s="3">
        <v>0.97013888888888888</v>
      </c>
      <c r="E703" s="1" t="s">
        <v>1131</v>
      </c>
      <c r="F703">
        <v>13</v>
      </c>
      <c r="G703" s="1" t="s">
        <v>811</v>
      </c>
    </row>
    <row r="704" spans="1:7" x14ac:dyDescent="0.25">
      <c r="A704" s="1" t="s">
        <v>1317</v>
      </c>
      <c r="B704" t="str">
        <f>_xlfn.XLOOKUP(Logs__3[[#This Row],[Cell_ID]],Registre_Maintenance[ID_Antenne],Registre_Maintenance[Province_RDC],"Pas de correspondance")</f>
        <v>Pas de correspondance</v>
      </c>
      <c r="C704" s="2">
        <v>45222</v>
      </c>
      <c r="D704" s="3">
        <v>0.47847222222222224</v>
      </c>
      <c r="E704" s="1" t="s">
        <v>833</v>
      </c>
      <c r="F704">
        <v>72</v>
      </c>
      <c r="G704" s="1" t="s">
        <v>809</v>
      </c>
    </row>
    <row r="705" spans="1:7" x14ac:dyDescent="0.25">
      <c r="A705" s="1" t="s">
        <v>1317</v>
      </c>
      <c r="B705" t="str">
        <f>_xlfn.XLOOKUP(Logs__3[[#This Row],[Cell_ID]],Registre_Maintenance[ID_Antenne],Registre_Maintenance[Province_RDC],"Pas de correspondance")</f>
        <v>Kinshasa</v>
      </c>
      <c r="C705" s="2">
        <v>45230</v>
      </c>
      <c r="D705" s="3">
        <v>0.63888888888888884</v>
      </c>
      <c r="E705" s="1" t="s">
        <v>1318</v>
      </c>
      <c r="F705">
        <v>77</v>
      </c>
      <c r="G705" s="1" t="s">
        <v>809</v>
      </c>
    </row>
    <row r="706" spans="1:7" x14ac:dyDescent="0.25">
      <c r="A706" s="1" t="s">
        <v>1317</v>
      </c>
      <c r="B706" t="str">
        <f>_xlfn.XLOOKUP(Logs__3[[#This Row],[Cell_ID]],Registre_Maintenance[ID_Antenne],Registre_Maintenance[Province_RDC],"Pas de correspondance")</f>
        <v>Pas de correspondance</v>
      </c>
      <c r="C706" s="2">
        <v>45218</v>
      </c>
      <c r="D706" s="3">
        <v>3.8194444444444448E-2</v>
      </c>
      <c r="E706" s="1" t="s">
        <v>883</v>
      </c>
      <c r="F706">
        <v>6</v>
      </c>
      <c r="G706" s="1" t="s">
        <v>806</v>
      </c>
    </row>
    <row r="707" spans="1:7" x14ac:dyDescent="0.25">
      <c r="A707" s="1" t="s">
        <v>1317</v>
      </c>
      <c r="B707" t="str">
        <f>_xlfn.XLOOKUP(Logs__3[[#This Row],[Cell_ID]],Registre_Maintenance[ID_Antenne],Registre_Maintenance[Province_RDC],"Pas de correspondance")</f>
        <v>Pas de correspondance</v>
      </c>
      <c r="C707" s="2">
        <v>45224</v>
      </c>
      <c r="D707" s="3">
        <v>0.96180555555555558</v>
      </c>
      <c r="E707" s="1" t="s">
        <v>1281</v>
      </c>
      <c r="F707">
        <v>83</v>
      </c>
      <c r="G707" s="1" t="s">
        <v>811</v>
      </c>
    </row>
    <row r="708" spans="1:7" x14ac:dyDescent="0.25">
      <c r="A708" s="1" t="s">
        <v>1317</v>
      </c>
      <c r="B708" t="str">
        <f>_xlfn.XLOOKUP(Logs__3[[#This Row],[Cell_ID]],Registre_Maintenance[ID_Antenne],Registre_Maintenance[Province_RDC],"Pas de correspondance")</f>
        <v>Lualaba</v>
      </c>
      <c r="C708" s="2">
        <v>45223</v>
      </c>
      <c r="D708" s="3">
        <v>0.61111111111111116</v>
      </c>
      <c r="E708" s="1" t="s">
        <v>1268</v>
      </c>
      <c r="F708">
        <v>88</v>
      </c>
      <c r="G708" s="1" t="s">
        <v>806</v>
      </c>
    </row>
    <row r="709" spans="1:7" x14ac:dyDescent="0.25">
      <c r="A709" s="1" t="s">
        <v>1317</v>
      </c>
      <c r="B709" t="str">
        <f>_xlfn.XLOOKUP(Logs__3[[#This Row],[Cell_ID]],Registre_Maintenance[ID_Antenne],Registre_Maintenance[Province_RDC],"Pas de correspondance")</f>
        <v>Pas de correspondance</v>
      </c>
      <c r="C709" s="2">
        <v>45221</v>
      </c>
      <c r="D709" s="3">
        <v>0.93194444444444446</v>
      </c>
      <c r="E709" s="1" t="s">
        <v>1319</v>
      </c>
      <c r="F709">
        <v>26</v>
      </c>
      <c r="G709" s="1" t="s">
        <v>806</v>
      </c>
    </row>
    <row r="710" spans="1:7" x14ac:dyDescent="0.25">
      <c r="A710" s="1" t="s">
        <v>1317</v>
      </c>
      <c r="B710" t="str">
        <f>_xlfn.XLOOKUP(Logs__3[[#This Row],[Cell_ID]],Registre_Maintenance[ID_Antenne],Registre_Maintenance[Province_RDC],"Pas de correspondance")</f>
        <v>Pas de correspondance</v>
      </c>
      <c r="C710" s="2">
        <v>45227</v>
      </c>
      <c r="D710" s="3">
        <v>0.11805555555555555</v>
      </c>
      <c r="E710" s="1" t="s">
        <v>1320</v>
      </c>
      <c r="F710">
        <v>61</v>
      </c>
      <c r="G710" s="1" t="s">
        <v>809</v>
      </c>
    </row>
    <row r="711" spans="1:7" x14ac:dyDescent="0.25">
      <c r="A711" s="1" t="s">
        <v>1317</v>
      </c>
      <c r="B711" t="str">
        <f>_xlfn.XLOOKUP(Logs__3[[#This Row],[Cell_ID]],Registre_Maintenance[ID_Antenne],Registre_Maintenance[Province_RDC],"Pas de correspondance")</f>
        <v>Pas de correspondance</v>
      </c>
      <c r="C711" s="2">
        <v>45217</v>
      </c>
      <c r="D711" s="3">
        <v>0.50902777777777775</v>
      </c>
      <c r="E711" s="1" t="s">
        <v>812</v>
      </c>
      <c r="F711">
        <v>49</v>
      </c>
      <c r="G711" s="1" t="s">
        <v>806</v>
      </c>
    </row>
    <row r="712" spans="1:7" x14ac:dyDescent="0.25">
      <c r="A712" s="1" t="s">
        <v>1317</v>
      </c>
      <c r="B712" t="str">
        <f>_xlfn.XLOOKUP(Logs__3[[#This Row],[Cell_ID]],Registre_Maintenance[ID_Antenne],Registre_Maintenance[Province_RDC],"Pas de correspondance")</f>
        <v>Pas de correspondance</v>
      </c>
      <c r="C712" s="2">
        <v>45230</v>
      </c>
      <c r="D712" s="3">
        <v>0.57777777777777772</v>
      </c>
      <c r="E712" s="1" t="s">
        <v>1321</v>
      </c>
      <c r="F712">
        <v>97</v>
      </c>
      <c r="G712" s="1" t="s">
        <v>806</v>
      </c>
    </row>
    <row r="713" spans="1:7" x14ac:dyDescent="0.25">
      <c r="A713" s="1" t="s">
        <v>1317</v>
      </c>
      <c r="B713" t="str">
        <f>_xlfn.XLOOKUP(Logs__3[[#This Row],[Cell_ID]],Registre_Maintenance[ID_Antenne],Registre_Maintenance[Province_RDC],"Pas de correspondance")</f>
        <v>Sud-Kivu</v>
      </c>
      <c r="C713" s="2">
        <v>45206</v>
      </c>
      <c r="D713" s="3">
        <v>0.63680555555555551</v>
      </c>
      <c r="E713" s="1" t="s">
        <v>1322</v>
      </c>
      <c r="F713">
        <v>32</v>
      </c>
      <c r="G713" s="1" t="s">
        <v>811</v>
      </c>
    </row>
    <row r="714" spans="1:7" x14ac:dyDescent="0.25">
      <c r="A714" s="1" t="s">
        <v>1317</v>
      </c>
      <c r="B714" t="str">
        <f>_xlfn.XLOOKUP(Logs__3[[#This Row],[Cell_ID]],Registre_Maintenance[ID_Antenne],Registre_Maintenance[Province_RDC],"Pas de correspondance")</f>
        <v>Maniema</v>
      </c>
      <c r="C714" s="2">
        <v>45210</v>
      </c>
      <c r="D714" s="3">
        <v>0.38958333333333334</v>
      </c>
      <c r="E714" s="1" t="s">
        <v>993</v>
      </c>
      <c r="F714">
        <v>85</v>
      </c>
      <c r="G714" s="1" t="s">
        <v>806</v>
      </c>
    </row>
    <row r="715" spans="1:7" x14ac:dyDescent="0.25">
      <c r="A715" s="1" t="s">
        <v>1317</v>
      </c>
      <c r="B715" t="str">
        <f>_xlfn.XLOOKUP(Logs__3[[#This Row],[Cell_ID]],Registre_Maintenance[ID_Antenne],Registre_Maintenance[Province_RDC],"Pas de correspondance")</f>
        <v>Haut-Uele</v>
      </c>
      <c r="C715" s="2">
        <v>45217</v>
      </c>
      <c r="D715" s="3">
        <v>0.75555555555555554</v>
      </c>
      <c r="E715" s="1" t="s">
        <v>1323</v>
      </c>
      <c r="F715">
        <v>100</v>
      </c>
      <c r="G715" s="1" t="s">
        <v>806</v>
      </c>
    </row>
    <row r="716" spans="1:7" x14ac:dyDescent="0.25">
      <c r="A716" s="1" t="s">
        <v>1317</v>
      </c>
      <c r="B716" t="str">
        <f>_xlfn.XLOOKUP(Logs__3[[#This Row],[Cell_ID]],Registre_Maintenance[ID_Antenne],Registre_Maintenance[Province_RDC],"Pas de correspondance")</f>
        <v>Pas de correspondance</v>
      </c>
      <c r="C716" s="2">
        <v>45218</v>
      </c>
      <c r="D716" s="3">
        <v>0.65972222222222221</v>
      </c>
      <c r="E716" s="1" t="s">
        <v>1324</v>
      </c>
      <c r="F716">
        <v>24</v>
      </c>
      <c r="G716" s="1" t="s">
        <v>806</v>
      </c>
    </row>
    <row r="717" spans="1:7" x14ac:dyDescent="0.25">
      <c r="A717" s="1" t="s">
        <v>1317</v>
      </c>
      <c r="B717" t="str">
        <f>_xlfn.XLOOKUP(Logs__3[[#This Row],[Cell_ID]],Registre_Maintenance[ID_Antenne],Registre_Maintenance[Province_RDC],"Pas de correspondance")</f>
        <v>Nord-Ubangi</v>
      </c>
      <c r="C717" s="2">
        <v>45210</v>
      </c>
      <c r="D717" s="3">
        <v>0.90833333333333333</v>
      </c>
      <c r="E717" s="1" t="s">
        <v>1233</v>
      </c>
      <c r="F717">
        <v>57</v>
      </c>
      <c r="G717" s="1" t="s">
        <v>811</v>
      </c>
    </row>
    <row r="718" spans="1:7" x14ac:dyDescent="0.25">
      <c r="A718" s="1" t="s">
        <v>1317</v>
      </c>
      <c r="B718" t="str">
        <f>_xlfn.XLOOKUP(Logs__3[[#This Row],[Cell_ID]],Registre_Maintenance[ID_Antenne],Registre_Maintenance[Province_RDC],"Pas de correspondance")</f>
        <v>Pas de correspondance</v>
      </c>
      <c r="C718" s="2">
        <v>45201</v>
      </c>
      <c r="D718" s="3">
        <v>4.583333333333333E-2</v>
      </c>
      <c r="E718" s="1" t="s">
        <v>1034</v>
      </c>
      <c r="F718">
        <v>83</v>
      </c>
      <c r="G718" s="1" t="s">
        <v>809</v>
      </c>
    </row>
    <row r="719" spans="1:7" x14ac:dyDescent="0.25">
      <c r="A719" s="1" t="s">
        <v>1317</v>
      </c>
      <c r="B719" t="str">
        <f>_xlfn.XLOOKUP(Logs__3[[#This Row],[Cell_ID]],Registre_Maintenance[ID_Antenne],Registre_Maintenance[Province_RDC],"Pas de correspondance")</f>
        <v>Nord-Ubangi</v>
      </c>
      <c r="C719" s="2">
        <v>45220</v>
      </c>
      <c r="D719" s="3">
        <v>0.58402777777777781</v>
      </c>
      <c r="E719" s="1" t="s">
        <v>1325</v>
      </c>
      <c r="F719">
        <v>92</v>
      </c>
      <c r="G719" s="1" t="s">
        <v>811</v>
      </c>
    </row>
    <row r="720" spans="1:7" x14ac:dyDescent="0.25">
      <c r="A720" s="1" t="s">
        <v>1317</v>
      </c>
      <c r="B720" t="str">
        <f>_xlfn.XLOOKUP(Logs__3[[#This Row],[Cell_ID]],Registre_Maintenance[ID_Antenne],Registre_Maintenance[Province_RDC],"Pas de correspondance")</f>
        <v>Pas de correspondance</v>
      </c>
      <c r="C720" s="2">
        <v>45203</v>
      </c>
      <c r="D720" s="3">
        <v>0.22777777777777777</v>
      </c>
      <c r="E720" s="1" t="s">
        <v>1032</v>
      </c>
      <c r="F720">
        <v>61</v>
      </c>
      <c r="G720" s="1" t="s">
        <v>809</v>
      </c>
    </row>
    <row r="721" spans="1:7" x14ac:dyDescent="0.25">
      <c r="A721" s="1" t="s">
        <v>1317</v>
      </c>
      <c r="B721" t="str">
        <f>_xlfn.XLOOKUP(Logs__3[[#This Row],[Cell_ID]],Registre_Maintenance[ID_Antenne],Registre_Maintenance[Province_RDC],"Pas de correspondance")</f>
        <v>Nord-Ubangi</v>
      </c>
      <c r="C721" s="2">
        <v>45214</v>
      </c>
      <c r="D721" s="3">
        <v>1.8749999999999999E-2</v>
      </c>
      <c r="E721" s="1" t="s">
        <v>953</v>
      </c>
      <c r="F721">
        <v>115</v>
      </c>
      <c r="G721" s="1" t="s">
        <v>809</v>
      </c>
    </row>
    <row r="722" spans="1:7" x14ac:dyDescent="0.25">
      <c r="A722" s="1" t="s">
        <v>1317</v>
      </c>
      <c r="B722" t="str">
        <f>_xlfn.XLOOKUP(Logs__3[[#This Row],[Cell_ID]],Registre_Maintenance[ID_Antenne],Registre_Maintenance[Province_RDC],"Pas de correspondance")</f>
        <v>Pas de correspondance</v>
      </c>
      <c r="C722" s="2">
        <v>45206</v>
      </c>
      <c r="D722" s="3">
        <v>0.95694444444444449</v>
      </c>
      <c r="E722" s="1" t="s">
        <v>991</v>
      </c>
      <c r="F722">
        <v>32</v>
      </c>
      <c r="G722" s="1" t="s">
        <v>809</v>
      </c>
    </row>
    <row r="723" spans="1:7" x14ac:dyDescent="0.25">
      <c r="A723" s="1" t="s">
        <v>1317</v>
      </c>
      <c r="B723" t="str">
        <f>_xlfn.XLOOKUP(Logs__3[[#This Row],[Cell_ID]],Registre_Maintenance[ID_Antenne],Registre_Maintenance[Province_RDC],"Pas de correspondance")</f>
        <v>Pas de correspondance</v>
      </c>
      <c r="C723" s="2">
        <v>45204</v>
      </c>
      <c r="D723" s="3">
        <v>0.84652777777777777</v>
      </c>
      <c r="E723" s="1" t="s">
        <v>1326</v>
      </c>
      <c r="F723">
        <v>16</v>
      </c>
      <c r="G723" s="1" t="s">
        <v>811</v>
      </c>
    </row>
    <row r="724" spans="1:7" x14ac:dyDescent="0.25">
      <c r="A724" s="1" t="s">
        <v>1317</v>
      </c>
      <c r="B724" t="str">
        <f>_xlfn.XLOOKUP(Logs__3[[#This Row],[Cell_ID]],Registre_Maintenance[ID_Antenne],Registre_Maintenance[Province_RDC],"Pas de correspondance")</f>
        <v>Pas de correspondance</v>
      </c>
      <c r="C724" s="2">
        <v>45205</v>
      </c>
      <c r="D724" s="3">
        <v>0.33680555555555558</v>
      </c>
      <c r="E724" s="1" t="s">
        <v>1327</v>
      </c>
      <c r="F724">
        <v>119</v>
      </c>
      <c r="G724" s="1" t="s">
        <v>811</v>
      </c>
    </row>
    <row r="725" spans="1:7" x14ac:dyDescent="0.25">
      <c r="A725" s="1" t="s">
        <v>1317</v>
      </c>
      <c r="B725" t="str">
        <f>_xlfn.XLOOKUP(Logs__3[[#This Row],[Cell_ID]],Registre_Maintenance[ID_Antenne],Registre_Maintenance[Province_RDC],"Pas de correspondance")</f>
        <v>Pas de correspondance</v>
      </c>
      <c r="C725" s="2">
        <v>45220</v>
      </c>
      <c r="D725" s="3">
        <v>0.46944444444444444</v>
      </c>
      <c r="E725" s="1" t="s">
        <v>1071</v>
      </c>
      <c r="F725">
        <v>17</v>
      </c>
      <c r="G725" s="1" t="s">
        <v>809</v>
      </c>
    </row>
    <row r="726" spans="1:7" x14ac:dyDescent="0.25">
      <c r="A726" s="1" t="s">
        <v>1317</v>
      </c>
      <c r="B726" t="str">
        <f>_xlfn.XLOOKUP(Logs__3[[#This Row],[Cell_ID]],Registre_Maintenance[ID_Antenne],Registre_Maintenance[Province_RDC],"Pas de correspondance")</f>
        <v>Pas de correspondance</v>
      </c>
      <c r="C726" s="2">
        <v>45202</v>
      </c>
      <c r="D726" s="3">
        <v>0.48749999999999999</v>
      </c>
      <c r="E726" s="1" t="s">
        <v>1328</v>
      </c>
      <c r="F726">
        <v>22</v>
      </c>
      <c r="G726" s="1" t="s">
        <v>811</v>
      </c>
    </row>
    <row r="727" spans="1:7" x14ac:dyDescent="0.25">
      <c r="A727" s="1" t="s">
        <v>1317</v>
      </c>
      <c r="B727" t="str">
        <f>_xlfn.XLOOKUP(Logs__3[[#This Row],[Cell_ID]],Registre_Maintenance[ID_Antenne],Registre_Maintenance[Province_RDC],"Pas de correspondance")</f>
        <v>Pas de correspondance</v>
      </c>
      <c r="C727" s="2">
        <v>45228</v>
      </c>
      <c r="D727" s="3">
        <v>0.84027777777777779</v>
      </c>
      <c r="E727" s="1" t="s">
        <v>848</v>
      </c>
      <c r="F727">
        <v>101</v>
      </c>
      <c r="G727" s="1" t="s">
        <v>806</v>
      </c>
    </row>
    <row r="728" spans="1:7" x14ac:dyDescent="0.25">
      <c r="A728" s="1" t="s">
        <v>1317</v>
      </c>
      <c r="B728" t="str">
        <f>_xlfn.XLOOKUP(Logs__3[[#This Row],[Cell_ID]],Registre_Maintenance[ID_Antenne],Registre_Maintenance[Province_RDC],"Pas de correspondance")</f>
        <v>Bas-Uele</v>
      </c>
      <c r="C728" s="2">
        <v>45201</v>
      </c>
      <c r="D728" s="3">
        <v>0.52777777777777779</v>
      </c>
      <c r="E728" s="1" t="s">
        <v>1329</v>
      </c>
      <c r="F728">
        <v>20</v>
      </c>
      <c r="G728" s="1" t="s">
        <v>809</v>
      </c>
    </row>
    <row r="729" spans="1:7" x14ac:dyDescent="0.25">
      <c r="A729" s="1" t="s">
        <v>1317</v>
      </c>
      <c r="B729" t="str">
        <f>_xlfn.XLOOKUP(Logs__3[[#This Row],[Cell_ID]],Registre_Maintenance[ID_Antenne],Registre_Maintenance[Province_RDC],"Pas de correspondance")</f>
        <v>Pas de correspondance</v>
      </c>
      <c r="C729" s="2">
        <v>45209</v>
      </c>
      <c r="D729" s="3">
        <v>0.98888888888888893</v>
      </c>
      <c r="E729" s="1" t="s">
        <v>1330</v>
      </c>
      <c r="F729">
        <v>80</v>
      </c>
      <c r="G729" s="1" t="s">
        <v>809</v>
      </c>
    </row>
    <row r="730" spans="1:7" x14ac:dyDescent="0.25">
      <c r="A730" s="1" t="s">
        <v>1317</v>
      </c>
      <c r="B730" t="str">
        <f>_xlfn.XLOOKUP(Logs__3[[#This Row],[Cell_ID]],Registre_Maintenance[ID_Antenne],Registre_Maintenance[Province_RDC],"Pas de correspondance")</f>
        <v>Pas de correspondance</v>
      </c>
      <c r="C730" s="2">
        <v>45224</v>
      </c>
      <c r="D730" s="3">
        <v>0.31041666666666667</v>
      </c>
      <c r="E730" s="1" t="s">
        <v>1237</v>
      </c>
      <c r="F730">
        <v>98</v>
      </c>
      <c r="G730" s="1" t="s">
        <v>809</v>
      </c>
    </row>
    <row r="731" spans="1:7" x14ac:dyDescent="0.25">
      <c r="A731" s="1" t="s">
        <v>1317</v>
      </c>
      <c r="B731" t="str">
        <f>_xlfn.XLOOKUP(Logs__3[[#This Row],[Cell_ID]],Registre_Maintenance[ID_Antenne],Registre_Maintenance[Province_RDC],"Pas de correspondance")</f>
        <v>Pas de correspondance</v>
      </c>
      <c r="C731" s="2">
        <v>45220</v>
      </c>
      <c r="D731" s="3">
        <v>0.11458333333333333</v>
      </c>
      <c r="E731" s="1" t="s">
        <v>850</v>
      </c>
      <c r="F731">
        <v>54</v>
      </c>
      <c r="G731" s="1" t="s">
        <v>809</v>
      </c>
    </row>
    <row r="732" spans="1:7" x14ac:dyDescent="0.25">
      <c r="A732" s="1" t="s">
        <v>1317</v>
      </c>
      <c r="B732" t="str">
        <f>_xlfn.XLOOKUP(Logs__3[[#This Row],[Cell_ID]],Registre_Maintenance[ID_Antenne],Registre_Maintenance[Province_RDC],"Pas de correspondance")</f>
        <v>Pas de correspondance</v>
      </c>
      <c r="C732" s="2">
        <v>45203</v>
      </c>
      <c r="D732" s="3">
        <v>9.0277777777777769E-3</v>
      </c>
      <c r="E732" s="1" t="s">
        <v>1292</v>
      </c>
      <c r="F732">
        <v>49</v>
      </c>
      <c r="G732" s="1" t="s">
        <v>806</v>
      </c>
    </row>
    <row r="733" spans="1:7" x14ac:dyDescent="0.25">
      <c r="A733" s="1" t="s">
        <v>1317</v>
      </c>
      <c r="B733" t="str">
        <f>_xlfn.XLOOKUP(Logs__3[[#This Row],[Cell_ID]],Registre_Maintenance[ID_Antenne],Registre_Maintenance[Province_RDC],"Pas de correspondance")</f>
        <v>Pas de correspondance</v>
      </c>
      <c r="C733" s="2">
        <v>45215</v>
      </c>
      <c r="D733" s="3">
        <v>8.8888888888888892E-2</v>
      </c>
      <c r="E733" s="1" t="s">
        <v>1194</v>
      </c>
      <c r="F733">
        <v>59</v>
      </c>
      <c r="G733" s="1" t="s">
        <v>811</v>
      </c>
    </row>
    <row r="734" spans="1:7" x14ac:dyDescent="0.25">
      <c r="A734" s="1" t="s">
        <v>1317</v>
      </c>
      <c r="B734" t="str">
        <f>_xlfn.XLOOKUP(Logs__3[[#This Row],[Cell_ID]],Registre_Maintenance[ID_Antenne],Registre_Maintenance[Province_RDC],"Pas de correspondance")</f>
        <v>Pas de correspondance</v>
      </c>
      <c r="C734" s="2">
        <v>45218</v>
      </c>
      <c r="D734" s="3">
        <v>0.31458333333333333</v>
      </c>
      <c r="E734" s="1" t="s">
        <v>1331</v>
      </c>
      <c r="F734">
        <v>45</v>
      </c>
      <c r="G734" s="1" t="s">
        <v>806</v>
      </c>
    </row>
    <row r="735" spans="1:7" x14ac:dyDescent="0.25">
      <c r="A735" s="1" t="s">
        <v>1317</v>
      </c>
      <c r="B735" t="str">
        <f>_xlfn.XLOOKUP(Logs__3[[#This Row],[Cell_ID]],Registre_Maintenance[ID_Antenne],Registre_Maintenance[Province_RDC],"Pas de correspondance")</f>
        <v>Pas de correspondance</v>
      </c>
      <c r="C735" s="2">
        <v>45221</v>
      </c>
      <c r="D735" s="3">
        <v>0.58333333333333337</v>
      </c>
      <c r="E735" s="1" t="s">
        <v>1332</v>
      </c>
      <c r="F735">
        <v>106</v>
      </c>
      <c r="G735" s="1" t="s">
        <v>811</v>
      </c>
    </row>
    <row r="736" spans="1:7" x14ac:dyDescent="0.25">
      <c r="A736" s="1" t="s">
        <v>1317</v>
      </c>
      <c r="B736" t="str">
        <f>_xlfn.XLOOKUP(Logs__3[[#This Row],[Cell_ID]],Registre_Maintenance[ID_Antenne],Registre_Maintenance[Province_RDC],"Pas de correspondance")</f>
        <v>Pas de correspondance</v>
      </c>
      <c r="C736" s="2">
        <v>45200</v>
      </c>
      <c r="D736" s="3">
        <v>0.93125000000000002</v>
      </c>
      <c r="E736" s="1" t="s">
        <v>1113</v>
      </c>
      <c r="F736">
        <v>22</v>
      </c>
      <c r="G736" s="1" t="s">
        <v>806</v>
      </c>
    </row>
    <row r="737" spans="1:7" x14ac:dyDescent="0.25">
      <c r="A737" s="1" t="s">
        <v>1317</v>
      </c>
      <c r="B737" t="str">
        <f>_xlfn.XLOOKUP(Logs__3[[#This Row],[Cell_ID]],Registre_Maintenance[ID_Antenne],Registre_Maintenance[Province_RDC],"Pas de correspondance")</f>
        <v>Pas de correspondance</v>
      </c>
      <c r="C737" s="2">
        <v>45226</v>
      </c>
      <c r="D737" s="3">
        <v>0.16319444444444445</v>
      </c>
      <c r="E737" s="1" t="s">
        <v>1333</v>
      </c>
      <c r="F737">
        <v>36</v>
      </c>
      <c r="G737" s="1" t="s">
        <v>809</v>
      </c>
    </row>
    <row r="738" spans="1:7" x14ac:dyDescent="0.25">
      <c r="A738" s="1" t="s">
        <v>1317</v>
      </c>
      <c r="B738" t="str">
        <f>_xlfn.XLOOKUP(Logs__3[[#This Row],[Cell_ID]],Registre_Maintenance[ID_Antenne],Registre_Maintenance[Province_RDC],"Pas de correspondance")</f>
        <v>Pas de correspondance</v>
      </c>
      <c r="C738" s="2">
        <v>45213</v>
      </c>
      <c r="D738" s="3">
        <v>0.92222222222222228</v>
      </c>
      <c r="E738" s="1" t="s">
        <v>1244</v>
      </c>
      <c r="F738">
        <v>40</v>
      </c>
      <c r="G738" s="1" t="s">
        <v>806</v>
      </c>
    </row>
    <row r="739" spans="1:7" x14ac:dyDescent="0.25">
      <c r="A739" s="1" t="s">
        <v>1317</v>
      </c>
      <c r="B739" t="str">
        <f>_xlfn.XLOOKUP(Logs__3[[#This Row],[Cell_ID]],Registre_Maintenance[ID_Antenne],Registre_Maintenance[Province_RDC],"Pas de correspondance")</f>
        <v>Mongala</v>
      </c>
      <c r="C739" s="2">
        <v>45215</v>
      </c>
      <c r="D739" s="3">
        <v>9.3055555555555558E-2</v>
      </c>
      <c r="E739" s="1" t="s">
        <v>1334</v>
      </c>
      <c r="F739">
        <v>87</v>
      </c>
      <c r="G739" s="1" t="s">
        <v>806</v>
      </c>
    </row>
    <row r="740" spans="1:7" x14ac:dyDescent="0.25">
      <c r="A740" s="1" t="s">
        <v>1317</v>
      </c>
      <c r="B740" t="str">
        <f>_xlfn.XLOOKUP(Logs__3[[#This Row],[Cell_ID]],Registre_Maintenance[ID_Antenne],Registre_Maintenance[Province_RDC],"Pas de correspondance")</f>
        <v>Haut-Lomami</v>
      </c>
      <c r="C740" s="2">
        <v>45212</v>
      </c>
      <c r="D740" s="3">
        <v>0.11527777777777778</v>
      </c>
      <c r="E740" s="1" t="s">
        <v>1126</v>
      </c>
      <c r="F740">
        <v>15</v>
      </c>
      <c r="G740" s="1" t="s">
        <v>809</v>
      </c>
    </row>
    <row r="741" spans="1:7" x14ac:dyDescent="0.25">
      <c r="A741" s="1" t="s">
        <v>1317</v>
      </c>
      <c r="B741" t="str">
        <f>_xlfn.XLOOKUP(Logs__3[[#This Row],[Cell_ID]],Registre_Maintenance[ID_Antenne],Registre_Maintenance[Province_RDC],"Pas de correspondance")</f>
        <v>Pas de correspondance</v>
      </c>
      <c r="C741" s="2">
        <v>45225</v>
      </c>
      <c r="D741" s="3">
        <v>0.12916666666666668</v>
      </c>
      <c r="E741" s="1" t="s">
        <v>900</v>
      </c>
      <c r="F741">
        <v>36</v>
      </c>
      <c r="G741" s="1" t="s">
        <v>811</v>
      </c>
    </row>
    <row r="742" spans="1:7" x14ac:dyDescent="0.25">
      <c r="A742" s="1" t="s">
        <v>1317</v>
      </c>
      <c r="B742" t="str">
        <f>_xlfn.XLOOKUP(Logs__3[[#This Row],[Cell_ID]],Registre_Maintenance[ID_Antenne],Registre_Maintenance[Province_RDC],"Pas de correspondance")</f>
        <v>Sud-Kivu</v>
      </c>
      <c r="C742" s="2">
        <v>45210</v>
      </c>
      <c r="D742" s="3">
        <v>0.49722222222222223</v>
      </c>
      <c r="E742" s="1" t="s">
        <v>1038</v>
      </c>
      <c r="F742">
        <v>75</v>
      </c>
      <c r="G742" s="1" t="s">
        <v>811</v>
      </c>
    </row>
    <row r="743" spans="1:7" x14ac:dyDescent="0.25">
      <c r="A743" s="1" t="s">
        <v>1317</v>
      </c>
      <c r="B743" t="str">
        <f>_xlfn.XLOOKUP(Logs__3[[#This Row],[Cell_ID]],Registre_Maintenance[ID_Antenne],Registre_Maintenance[Province_RDC],"Pas de correspondance")</f>
        <v>Pas de correspondance</v>
      </c>
      <c r="C743" s="2">
        <v>45209</v>
      </c>
      <c r="D743" s="3">
        <v>0.18333333333333332</v>
      </c>
      <c r="E743" s="1" t="s">
        <v>1335</v>
      </c>
      <c r="F743">
        <v>81</v>
      </c>
      <c r="G743" s="1" t="s">
        <v>809</v>
      </c>
    </row>
    <row r="744" spans="1:7" x14ac:dyDescent="0.25">
      <c r="A744" s="1" t="s">
        <v>1317</v>
      </c>
      <c r="B744" t="str">
        <f>_xlfn.XLOOKUP(Logs__3[[#This Row],[Cell_ID]],Registre_Maintenance[ID_Antenne],Registre_Maintenance[Province_RDC],"Pas de correspondance")</f>
        <v>Bas-Uele</v>
      </c>
      <c r="C744" s="2">
        <v>45224</v>
      </c>
      <c r="D744" s="3">
        <v>0.19513888888888889</v>
      </c>
      <c r="E744" s="1" t="s">
        <v>1336</v>
      </c>
      <c r="F744">
        <v>81</v>
      </c>
      <c r="G744" s="1" t="s">
        <v>809</v>
      </c>
    </row>
    <row r="745" spans="1:7" x14ac:dyDescent="0.25">
      <c r="A745" s="1" t="s">
        <v>1337</v>
      </c>
      <c r="B745" t="str">
        <f>_xlfn.XLOOKUP(Logs__3[[#This Row],[Cell_ID]],Registre_Maintenance[ID_Antenne],Registre_Maintenance[Province_RDC],"Pas de correspondance")</f>
        <v>Haut-Katanga</v>
      </c>
      <c r="C745" s="2">
        <v>45223</v>
      </c>
      <c r="D745" s="3">
        <v>0.29375000000000001</v>
      </c>
      <c r="E745" s="1" t="s">
        <v>1245</v>
      </c>
      <c r="F745">
        <v>42</v>
      </c>
      <c r="G745" s="1" t="s">
        <v>811</v>
      </c>
    </row>
    <row r="746" spans="1:7" x14ac:dyDescent="0.25">
      <c r="A746" s="1" t="s">
        <v>1337</v>
      </c>
      <c r="B746" t="str">
        <f>_xlfn.XLOOKUP(Logs__3[[#This Row],[Cell_ID]],Registre_Maintenance[ID_Antenne],Registre_Maintenance[Province_RDC],"Pas de correspondance")</f>
        <v>Pas de correspondance</v>
      </c>
      <c r="C746" s="2">
        <v>45207</v>
      </c>
      <c r="D746" s="3">
        <v>0.12430555555555556</v>
      </c>
      <c r="E746" s="1" t="s">
        <v>1338</v>
      </c>
      <c r="F746">
        <v>77</v>
      </c>
      <c r="G746" s="1" t="s">
        <v>811</v>
      </c>
    </row>
    <row r="747" spans="1:7" x14ac:dyDescent="0.25">
      <c r="A747" s="1" t="s">
        <v>1337</v>
      </c>
      <c r="B747" t="str">
        <f>_xlfn.XLOOKUP(Logs__3[[#This Row],[Cell_ID]],Registre_Maintenance[ID_Antenne],Registre_Maintenance[Province_RDC],"Pas de correspondance")</f>
        <v>Kwilu</v>
      </c>
      <c r="C747" s="2">
        <v>45213</v>
      </c>
      <c r="D747" s="3">
        <v>0.1451388888888889</v>
      </c>
      <c r="E747" s="1" t="s">
        <v>1240</v>
      </c>
      <c r="F747">
        <v>105</v>
      </c>
      <c r="G747" s="1" t="s">
        <v>809</v>
      </c>
    </row>
    <row r="748" spans="1:7" x14ac:dyDescent="0.25">
      <c r="A748" s="1" t="s">
        <v>1337</v>
      </c>
      <c r="B748" t="str">
        <f>_xlfn.XLOOKUP(Logs__3[[#This Row],[Cell_ID]],Registre_Maintenance[ID_Antenne],Registre_Maintenance[Province_RDC],"Pas de correspondance")</f>
        <v>Pas de correspondance</v>
      </c>
      <c r="C748" s="2">
        <v>45219</v>
      </c>
      <c r="D748" s="3">
        <v>0.79374999999999996</v>
      </c>
      <c r="E748" s="1" t="s">
        <v>1339</v>
      </c>
      <c r="F748">
        <v>43</v>
      </c>
      <c r="G748" s="1" t="s">
        <v>809</v>
      </c>
    </row>
    <row r="749" spans="1:7" x14ac:dyDescent="0.25">
      <c r="A749" s="1" t="s">
        <v>1337</v>
      </c>
      <c r="B749" t="str">
        <f>_xlfn.XLOOKUP(Logs__3[[#This Row],[Cell_ID]],Registre_Maintenance[ID_Antenne],Registre_Maintenance[Province_RDC],"Pas de correspondance")</f>
        <v>Kasaï</v>
      </c>
      <c r="C749" s="2">
        <v>45209</v>
      </c>
      <c r="D749" s="3">
        <v>0.90763888888888888</v>
      </c>
      <c r="E749" s="1" t="s">
        <v>1340</v>
      </c>
      <c r="F749">
        <v>99</v>
      </c>
      <c r="G749" s="1" t="s">
        <v>811</v>
      </c>
    </row>
    <row r="750" spans="1:7" x14ac:dyDescent="0.25">
      <c r="A750" s="1" t="s">
        <v>1337</v>
      </c>
      <c r="B750" t="str">
        <f>_xlfn.XLOOKUP(Logs__3[[#This Row],[Cell_ID]],Registre_Maintenance[ID_Antenne],Registre_Maintenance[Province_RDC],"Pas de correspondance")</f>
        <v>Pas de correspondance</v>
      </c>
      <c r="C750" s="2">
        <v>45221</v>
      </c>
      <c r="D750" s="3">
        <v>0.96597222222222223</v>
      </c>
      <c r="E750" s="1" t="s">
        <v>1341</v>
      </c>
      <c r="F750">
        <v>84</v>
      </c>
      <c r="G750" s="1" t="s">
        <v>811</v>
      </c>
    </row>
    <row r="751" spans="1:7" x14ac:dyDescent="0.25">
      <c r="A751" s="1" t="s">
        <v>1337</v>
      </c>
      <c r="B751" t="str">
        <f>_xlfn.XLOOKUP(Logs__3[[#This Row],[Cell_ID]],Registre_Maintenance[ID_Antenne],Registre_Maintenance[Province_RDC],"Pas de correspondance")</f>
        <v>Pas de correspondance</v>
      </c>
      <c r="C751" s="2">
        <v>45203</v>
      </c>
      <c r="D751" s="3">
        <v>3.125E-2</v>
      </c>
      <c r="E751" s="1" t="s">
        <v>815</v>
      </c>
      <c r="F751">
        <v>36</v>
      </c>
      <c r="G751" s="1" t="s">
        <v>811</v>
      </c>
    </row>
    <row r="752" spans="1:7" x14ac:dyDescent="0.25">
      <c r="A752" s="1" t="s">
        <v>1337</v>
      </c>
      <c r="B752" t="str">
        <f>_xlfn.XLOOKUP(Logs__3[[#This Row],[Cell_ID]],Registre_Maintenance[ID_Antenne],Registre_Maintenance[Province_RDC],"Pas de correspondance")</f>
        <v>Pas de correspondance</v>
      </c>
      <c r="C752" s="2">
        <v>45204</v>
      </c>
      <c r="D752" s="3">
        <v>0.91666666666666663</v>
      </c>
      <c r="E752" s="1" t="s">
        <v>1342</v>
      </c>
      <c r="F752">
        <v>64</v>
      </c>
      <c r="G752" s="1" t="s">
        <v>811</v>
      </c>
    </row>
    <row r="753" spans="1:7" x14ac:dyDescent="0.25">
      <c r="A753" s="1" t="s">
        <v>1337</v>
      </c>
      <c r="B753" t="str">
        <f>_xlfn.XLOOKUP(Logs__3[[#This Row],[Cell_ID]],Registre_Maintenance[ID_Antenne],Registre_Maintenance[Province_RDC],"Pas de correspondance")</f>
        <v>Pas de correspondance</v>
      </c>
      <c r="C753" s="2">
        <v>45205</v>
      </c>
      <c r="D753" s="3">
        <v>0.64027777777777772</v>
      </c>
      <c r="E753" s="1" t="s">
        <v>954</v>
      </c>
      <c r="F753">
        <v>52</v>
      </c>
      <c r="G753" s="1" t="s">
        <v>806</v>
      </c>
    </row>
    <row r="754" spans="1:7" x14ac:dyDescent="0.25">
      <c r="A754" s="1" t="s">
        <v>1337</v>
      </c>
      <c r="B754" t="str">
        <f>_xlfn.XLOOKUP(Logs__3[[#This Row],[Cell_ID]],Registre_Maintenance[ID_Antenne],Registre_Maintenance[Province_RDC],"Pas de correspondance")</f>
        <v>Pas de correspondance</v>
      </c>
      <c r="C754" s="2">
        <v>45216</v>
      </c>
      <c r="D754" s="3">
        <v>0.70138888888888884</v>
      </c>
      <c r="E754" s="1" t="s">
        <v>936</v>
      </c>
      <c r="F754">
        <v>80</v>
      </c>
      <c r="G754" s="1" t="s">
        <v>806</v>
      </c>
    </row>
    <row r="755" spans="1:7" x14ac:dyDescent="0.25">
      <c r="A755" s="1" t="s">
        <v>1337</v>
      </c>
      <c r="B755" t="str">
        <f>_xlfn.XLOOKUP(Logs__3[[#This Row],[Cell_ID]],Registre_Maintenance[ID_Antenne],Registre_Maintenance[Province_RDC],"Pas de correspondance")</f>
        <v>Tshopo</v>
      </c>
      <c r="C755" s="2">
        <v>45226</v>
      </c>
      <c r="D755" s="3">
        <v>0.96944444444444444</v>
      </c>
      <c r="E755" s="1" t="s">
        <v>959</v>
      </c>
      <c r="F755">
        <v>68</v>
      </c>
      <c r="G755" s="1" t="s">
        <v>806</v>
      </c>
    </row>
    <row r="756" spans="1:7" x14ac:dyDescent="0.25">
      <c r="A756" s="1" t="s">
        <v>1337</v>
      </c>
      <c r="B756" t="str">
        <f>_xlfn.XLOOKUP(Logs__3[[#This Row],[Cell_ID]],Registre_Maintenance[ID_Antenne],Registre_Maintenance[Province_RDC],"Pas de correspondance")</f>
        <v>Nord-Kivu</v>
      </c>
      <c r="C756" s="2">
        <v>45205</v>
      </c>
      <c r="D756" s="3">
        <v>0.46388888888888891</v>
      </c>
      <c r="E756" s="1" t="s">
        <v>1343</v>
      </c>
      <c r="F756">
        <v>103</v>
      </c>
      <c r="G756" s="1" t="s">
        <v>806</v>
      </c>
    </row>
    <row r="757" spans="1:7" x14ac:dyDescent="0.25">
      <c r="A757" s="1" t="s">
        <v>1337</v>
      </c>
      <c r="B757" t="str">
        <f>_xlfn.XLOOKUP(Logs__3[[#This Row],[Cell_ID]],Registre_Maintenance[ID_Antenne],Registre_Maintenance[Province_RDC],"Pas de correspondance")</f>
        <v>Pas de correspondance</v>
      </c>
      <c r="C757" s="2">
        <v>45223</v>
      </c>
      <c r="D757" s="3">
        <v>0.36527777777777776</v>
      </c>
      <c r="E757" s="1" t="s">
        <v>1344</v>
      </c>
      <c r="F757">
        <v>104</v>
      </c>
      <c r="G757" s="1" t="s">
        <v>809</v>
      </c>
    </row>
    <row r="758" spans="1:7" x14ac:dyDescent="0.25">
      <c r="A758" s="1" t="s">
        <v>1337</v>
      </c>
      <c r="B758" t="str">
        <f>_xlfn.XLOOKUP(Logs__3[[#This Row],[Cell_ID]],Registre_Maintenance[ID_Antenne],Registre_Maintenance[Province_RDC],"Pas de correspondance")</f>
        <v>Kwilu</v>
      </c>
      <c r="C758" s="2">
        <v>45228</v>
      </c>
      <c r="D758" s="3">
        <v>0.15902777777777777</v>
      </c>
      <c r="E758" s="1" t="s">
        <v>1211</v>
      </c>
      <c r="F758">
        <v>30</v>
      </c>
      <c r="G758" s="1" t="s">
        <v>806</v>
      </c>
    </row>
    <row r="759" spans="1:7" x14ac:dyDescent="0.25">
      <c r="A759" s="1" t="s">
        <v>1337</v>
      </c>
      <c r="B759" t="str">
        <f>_xlfn.XLOOKUP(Logs__3[[#This Row],[Cell_ID]],Registre_Maintenance[ID_Antenne],Registre_Maintenance[Province_RDC],"Pas de correspondance")</f>
        <v>Pas de correspondance</v>
      </c>
      <c r="C759" s="2">
        <v>45228</v>
      </c>
      <c r="D759" s="3">
        <v>1.4583333333333334E-2</v>
      </c>
      <c r="E759" s="1" t="s">
        <v>914</v>
      </c>
      <c r="F759">
        <v>98</v>
      </c>
      <c r="G759" s="1" t="s">
        <v>806</v>
      </c>
    </row>
    <row r="760" spans="1:7" x14ac:dyDescent="0.25">
      <c r="A760" s="1" t="s">
        <v>1337</v>
      </c>
      <c r="B760" t="str">
        <f>_xlfn.XLOOKUP(Logs__3[[#This Row],[Cell_ID]],Registre_Maintenance[ID_Antenne],Registre_Maintenance[Province_RDC],"Pas de correspondance")</f>
        <v>Pas de correspondance</v>
      </c>
      <c r="C760" s="2">
        <v>45225</v>
      </c>
      <c r="D760" s="3">
        <v>0.55347222222222225</v>
      </c>
      <c r="E760" s="1" t="s">
        <v>1345</v>
      </c>
      <c r="F760">
        <v>120</v>
      </c>
      <c r="G760" s="1" t="s">
        <v>806</v>
      </c>
    </row>
    <row r="761" spans="1:7" x14ac:dyDescent="0.25">
      <c r="A761" s="1" t="s">
        <v>1337</v>
      </c>
      <c r="B761" t="str">
        <f>_xlfn.XLOOKUP(Logs__3[[#This Row],[Cell_ID]],Registre_Maintenance[ID_Antenne],Registre_Maintenance[Province_RDC],"Pas de correspondance")</f>
        <v>Lomami</v>
      </c>
      <c r="C761" s="2">
        <v>45216</v>
      </c>
      <c r="D761" s="3">
        <v>9.4444444444444442E-2</v>
      </c>
      <c r="E761" s="1" t="s">
        <v>1346</v>
      </c>
      <c r="F761">
        <v>74</v>
      </c>
      <c r="G761" s="1" t="s">
        <v>806</v>
      </c>
    </row>
    <row r="762" spans="1:7" x14ac:dyDescent="0.25">
      <c r="A762" s="1" t="s">
        <v>1337</v>
      </c>
      <c r="B762" t="str">
        <f>_xlfn.XLOOKUP(Logs__3[[#This Row],[Cell_ID]],Registre_Maintenance[ID_Antenne],Registre_Maintenance[Province_RDC],"Pas de correspondance")</f>
        <v>Pas de correspondance</v>
      </c>
      <c r="C762" s="2">
        <v>45222</v>
      </c>
      <c r="D762" s="3">
        <v>0.77777777777777779</v>
      </c>
      <c r="E762" s="1" t="s">
        <v>1347</v>
      </c>
      <c r="F762">
        <v>102</v>
      </c>
      <c r="G762" s="1" t="s">
        <v>811</v>
      </c>
    </row>
    <row r="763" spans="1:7" x14ac:dyDescent="0.25">
      <c r="A763" s="1" t="s">
        <v>1337</v>
      </c>
      <c r="B763" t="str">
        <f>_xlfn.XLOOKUP(Logs__3[[#This Row],[Cell_ID]],Registre_Maintenance[ID_Antenne],Registre_Maintenance[Province_RDC],"Pas de correspondance")</f>
        <v>Pas de correspondance</v>
      </c>
      <c r="C763" s="2">
        <v>45202</v>
      </c>
      <c r="D763" s="3">
        <v>0.64513888888888893</v>
      </c>
      <c r="E763" s="1" t="s">
        <v>1348</v>
      </c>
      <c r="F763">
        <v>106</v>
      </c>
      <c r="G763" s="1" t="s">
        <v>811</v>
      </c>
    </row>
    <row r="764" spans="1:7" x14ac:dyDescent="0.25">
      <c r="A764" s="1" t="s">
        <v>1337</v>
      </c>
      <c r="B764" t="str">
        <f>_xlfn.XLOOKUP(Logs__3[[#This Row],[Cell_ID]],Registre_Maintenance[ID_Antenne],Registre_Maintenance[Province_RDC],"Pas de correspondance")</f>
        <v>Nord-Kivu</v>
      </c>
      <c r="C764" s="2">
        <v>45216</v>
      </c>
      <c r="D764" s="3">
        <v>0.46041666666666664</v>
      </c>
      <c r="E764" s="1" t="s">
        <v>1349</v>
      </c>
      <c r="F764">
        <v>36</v>
      </c>
      <c r="G764" s="1" t="s">
        <v>811</v>
      </c>
    </row>
    <row r="765" spans="1:7" x14ac:dyDescent="0.25">
      <c r="A765" s="1" t="s">
        <v>1337</v>
      </c>
      <c r="B765" t="str">
        <f>_xlfn.XLOOKUP(Logs__3[[#This Row],[Cell_ID]],Registre_Maintenance[ID_Antenne],Registre_Maintenance[Province_RDC],"Pas de correspondance")</f>
        <v>Pas de correspondance</v>
      </c>
      <c r="C765" s="2">
        <v>45215</v>
      </c>
      <c r="D765" s="3">
        <v>0.75694444444444442</v>
      </c>
      <c r="E765" s="1" t="s">
        <v>1350</v>
      </c>
      <c r="F765">
        <v>24</v>
      </c>
      <c r="G765" s="1" t="s">
        <v>811</v>
      </c>
    </row>
    <row r="766" spans="1:7" x14ac:dyDescent="0.25">
      <c r="A766" s="1" t="s">
        <v>1337</v>
      </c>
      <c r="B766" t="str">
        <f>_xlfn.XLOOKUP(Logs__3[[#This Row],[Cell_ID]],Registre_Maintenance[ID_Antenne],Registre_Maintenance[Province_RDC],"Pas de correspondance")</f>
        <v>Pas de correspondance</v>
      </c>
      <c r="C766" s="2">
        <v>45211</v>
      </c>
      <c r="D766" s="3">
        <v>0.21944444444444444</v>
      </c>
      <c r="E766" s="1" t="s">
        <v>1351</v>
      </c>
      <c r="F766">
        <v>5</v>
      </c>
      <c r="G766" s="1" t="s">
        <v>806</v>
      </c>
    </row>
    <row r="767" spans="1:7" x14ac:dyDescent="0.25">
      <c r="A767" s="1" t="s">
        <v>1337</v>
      </c>
      <c r="B767" t="str">
        <f>_xlfn.XLOOKUP(Logs__3[[#This Row],[Cell_ID]],Registre_Maintenance[ID_Antenne],Registre_Maintenance[Province_RDC],"Pas de correspondance")</f>
        <v>Pas de correspondance</v>
      </c>
      <c r="C767" s="2">
        <v>45224</v>
      </c>
      <c r="D767" s="3">
        <v>0.16458333333333333</v>
      </c>
      <c r="E767" s="1" t="s">
        <v>1352</v>
      </c>
      <c r="F767">
        <v>57</v>
      </c>
      <c r="G767" s="1" t="s">
        <v>809</v>
      </c>
    </row>
    <row r="768" spans="1:7" x14ac:dyDescent="0.25">
      <c r="A768" s="1" t="s">
        <v>1337</v>
      </c>
      <c r="B768" t="str">
        <f>_xlfn.XLOOKUP(Logs__3[[#This Row],[Cell_ID]],Registre_Maintenance[ID_Antenne],Registre_Maintenance[Province_RDC],"Pas de correspondance")</f>
        <v>Pas de correspondance</v>
      </c>
      <c r="C768" s="2">
        <v>45218</v>
      </c>
      <c r="D768" s="3">
        <v>0.90694444444444444</v>
      </c>
      <c r="E768" s="1" t="s">
        <v>1034</v>
      </c>
      <c r="F768">
        <v>8</v>
      </c>
      <c r="G768" s="1" t="s">
        <v>811</v>
      </c>
    </row>
    <row r="769" spans="1:7" x14ac:dyDescent="0.25">
      <c r="A769" s="1" t="s">
        <v>1337</v>
      </c>
      <c r="B769" t="str">
        <f>_xlfn.XLOOKUP(Logs__3[[#This Row],[Cell_ID]],Registre_Maintenance[ID_Antenne],Registre_Maintenance[Province_RDC],"Pas de correspondance")</f>
        <v>Pas de correspondance</v>
      </c>
      <c r="C769" s="2">
        <v>45203</v>
      </c>
      <c r="D769" s="3">
        <v>0.32430555555555557</v>
      </c>
      <c r="E769" s="1" t="s">
        <v>1353</v>
      </c>
      <c r="F769">
        <v>34</v>
      </c>
      <c r="G769" s="1" t="s">
        <v>806</v>
      </c>
    </row>
    <row r="770" spans="1:7" x14ac:dyDescent="0.25">
      <c r="A770" s="1" t="s">
        <v>1337</v>
      </c>
      <c r="B770" t="str">
        <f>_xlfn.XLOOKUP(Logs__3[[#This Row],[Cell_ID]],Registre_Maintenance[ID_Antenne],Registre_Maintenance[Province_RDC],"Pas de correspondance")</f>
        <v>Pas de correspondance</v>
      </c>
      <c r="C770" s="2">
        <v>45216</v>
      </c>
      <c r="D770" s="3">
        <v>1.3888888888888889E-3</v>
      </c>
      <c r="E770" s="1" t="s">
        <v>1354</v>
      </c>
      <c r="F770">
        <v>74</v>
      </c>
      <c r="G770" s="1" t="s">
        <v>811</v>
      </c>
    </row>
    <row r="771" spans="1:7" x14ac:dyDescent="0.25">
      <c r="A771" s="1" t="s">
        <v>1337</v>
      </c>
      <c r="B771" t="str">
        <f>_xlfn.XLOOKUP(Logs__3[[#This Row],[Cell_ID]],Registre_Maintenance[ID_Antenne],Registre_Maintenance[Province_RDC],"Pas de correspondance")</f>
        <v>Pas de correspondance</v>
      </c>
      <c r="C771" s="2">
        <v>45227</v>
      </c>
      <c r="D771" s="3">
        <v>1.0416666666666666E-2</v>
      </c>
      <c r="E771" s="1" t="s">
        <v>1355</v>
      </c>
      <c r="F771">
        <v>49</v>
      </c>
      <c r="G771" s="1" t="s">
        <v>811</v>
      </c>
    </row>
    <row r="772" spans="1:7" x14ac:dyDescent="0.25">
      <c r="A772" s="1" t="s">
        <v>1337</v>
      </c>
      <c r="B772" t="str">
        <f>_xlfn.XLOOKUP(Logs__3[[#This Row],[Cell_ID]],Registre_Maintenance[ID_Antenne],Registre_Maintenance[Province_RDC],"Pas de correspondance")</f>
        <v>Pas de correspondance</v>
      </c>
      <c r="C772" s="2">
        <v>45201</v>
      </c>
      <c r="D772" s="3">
        <v>0.64097222222222228</v>
      </c>
      <c r="E772" s="1" t="s">
        <v>857</v>
      </c>
      <c r="F772">
        <v>86</v>
      </c>
      <c r="G772" s="1" t="s">
        <v>811</v>
      </c>
    </row>
    <row r="773" spans="1:7" x14ac:dyDescent="0.25">
      <c r="A773" s="1" t="s">
        <v>1337</v>
      </c>
      <c r="B773" t="str">
        <f>_xlfn.XLOOKUP(Logs__3[[#This Row],[Cell_ID]],Registre_Maintenance[ID_Antenne],Registre_Maintenance[Province_RDC],"Pas de correspondance")</f>
        <v>Pas de correspondance</v>
      </c>
      <c r="C773" s="2">
        <v>45212</v>
      </c>
      <c r="D773" s="3">
        <v>0.17430555555555555</v>
      </c>
      <c r="E773" s="1" t="s">
        <v>1356</v>
      </c>
      <c r="F773">
        <v>112</v>
      </c>
      <c r="G773" s="1" t="s">
        <v>811</v>
      </c>
    </row>
    <row r="774" spans="1:7" x14ac:dyDescent="0.25">
      <c r="A774" s="1" t="s">
        <v>1337</v>
      </c>
      <c r="B774" t="str">
        <f>_xlfn.XLOOKUP(Logs__3[[#This Row],[Cell_ID]],Registre_Maintenance[ID_Antenne],Registre_Maintenance[Province_RDC],"Pas de correspondance")</f>
        <v>Nord-Kivu</v>
      </c>
      <c r="C774" s="2">
        <v>45229</v>
      </c>
      <c r="D774" s="3">
        <v>6.5972222222222224E-2</v>
      </c>
      <c r="E774" s="1" t="s">
        <v>871</v>
      </c>
      <c r="F774">
        <v>93</v>
      </c>
      <c r="G774" s="1" t="s">
        <v>806</v>
      </c>
    </row>
    <row r="775" spans="1:7" x14ac:dyDescent="0.25">
      <c r="A775" s="1" t="s">
        <v>1337</v>
      </c>
      <c r="B775" t="str">
        <f>_xlfn.XLOOKUP(Logs__3[[#This Row],[Cell_ID]],Registre_Maintenance[ID_Antenne],Registre_Maintenance[Province_RDC],"Pas de correspondance")</f>
        <v>Pas de correspondance</v>
      </c>
      <c r="C775" s="2">
        <v>45225</v>
      </c>
      <c r="D775" s="3">
        <v>0.94930555555555551</v>
      </c>
      <c r="E775" s="1" t="s">
        <v>1357</v>
      </c>
      <c r="F775">
        <v>117</v>
      </c>
      <c r="G775" s="1" t="s">
        <v>806</v>
      </c>
    </row>
    <row r="776" spans="1:7" x14ac:dyDescent="0.25">
      <c r="A776" s="1" t="s">
        <v>1337</v>
      </c>
      <c r="B776" t="str">
        <f>_xlfn.XLOOKUP(Logs__3[[#This Row],[Cell_ID]],Registre_Maintenance[ID_Antenne],Registre_Maintenance[Province_RDC],"Pas de correspondance")</f>
        <v>Pas de correspondance</v>
      </c>
      <c r="C776" s="2">
        <v>45220</v>
      </c>
      <c r="D776" s="3">
        <v>0.55138888888888893</v>
      </c>
      <c r="E776" s="1" t="s">
        <v>1358</v>
      </c>
      <c r="F776">
        <v>6</v>
      </c>
      <c r="G776" s="1" t="s">
        <v>806</v>
      </c>
    </row>
    <row r="777" spans="1:7" x14ac:dyDescent="0.25">
      <c r="A777" s="1" t="s">
        <v>1337</v>
      </c>
      <c r="B777" t="str">
        <f>_xlfn.XLOOKUP(Logs__3[[#This Row],[Cell_ID]],Registre_Maintenance[ID_Antenne],Registre_Maintenance[Province_RDC],"Pas de correspondance")</f>
        <v>Pas de correspondance</v>
      </c>
      <c r="C777" s="2">
        <v>45210</v>
      </c>
      <c r="D777" s="3">
        <v>0.30972222222222223</v>
      </c>
      <c r="E777" s="1" t="s">
        <v>1144</v>
      </c>
      <c r="F777">
        <v>47</v>
      </c>
      <c r="G777" s="1" t="s">
        <v>809</v>
      </c>
    </row>
    <row r="778" spans="1:7" x14ac:dyDescent="0.25">
      <c r="A778" s="1" t="s">
        <v>1337</v>
      </c>
      <c r="B778" t="str">
        <f>_xlfn.XLOOKUP(Logs__3[[#This Row],[Cell_ID]],Registre_Maintenance[ID_Antenne],Registre_Maintenance[Province_RDC],"Pas de correspondance")</f>
        <v>Nord-Ubangi</v>
      </c>
      <c r="C778" s="2">
        <v>45229</v>
      </c>
      <c r="D778" s="3">
        <v>0.97222222222222221</v>
      </c>
      <c r="E778" s="1" t="s">
        <v>1277</v>
      </c>
      <c r="F778">
        <v>5</v>
      </c>
      <c r="G778" s="1" t="s">
        <v>811</v>
      </c>
    </row>
    <row r="779" spans="1:7" x14ac:dyDescent="0.25">
      <c r="A779" s="1" t="s">
        <v>1337</v>
      </c>
      <c r="B779" t="str">
        <f>_xlfn.XLOOKUP(Logs__3[[#This Row],[Cell_ID]],Registre_Maintenance[ID_Antenne],Registre_Maintenance[Province_RDC],"Pas de correspondance")</f>
        <v>Pas de correspondance</v>
      </c>
      <c r="C779" s="2">
        <v>45208</v>
      </c>
      <c r="D779" s="3">
        <v>0.10833333333333334</v>
      </c>
      <c r="E779" s="1" t="s">
        <v>1359</v>
      </c>
      <c r="F779">
        <v>102</v>
      </c>
      <c r="G779" s="1" t="s">
        <v>809</v>
      </c>
    </row>
    <row r="780" spans="1:7" x14ac:dyDescent="0.25">
      <c r="A780" s="1" t="s">
        <v>1337</v>
      </c>
      <c r="B780" t="str">
        <f>_xlfn.XLOOKUP(Logs__3[[#This Row],[Cell_ID]],Registre_Maintenance[ID_Antenne],Registre_Maintenance[Province_RDC],"Pas de correspondance")</f>
        <v>Pas de correspondance</v>
      </c>
      <c r="C780" s="2">
        <v>45211</v>
      </c>
      <c r="D780" s="3">
        <v>0.14722222222222223</v>
      </c>
      <c r="E780" s="1" t="s">
        <v>1360</v>
      </c>
      <c r="F780">
        <v>89</v>
      </c>
      <c r="G780" s="1" t="s">
        <v>809</v>
      </c>
    </row>
    <row r="781" spans="1:7" x14ac:dyDescent="0.25">
      <c r="A781" s="1" t="s">
        <v>1337</v>
      </c>
      <c r="B781" t="str">
        <f>_xlfn.XLOOKUP(Logs__3[[#This Row],[Cell_ID]],Registre_Maintenance[ID_Antenne],Registre_Maintenance[Province_RDC],"Pas de correspondance")</f>
        <v>Lualaba</v>
      </c>
      <c r="C781" s="2">
        <v>45221</v>
      </c>
      <c r="D781" s="3">
        <v>4.9305555555555554E-2</v>
      </c>
      <c r="E781" s="1" t="s">
        <v>1141</v>
      </c>
      <c r="F781">
        <v>53</v>
      </c>
      <c r="G781" s="1" t="s">
        <v>809</v>
      </c>
    </row>
    <row r="782" spans="1:7" x14ac:dyDescent="0.25">
      <c r="A782" s="1" t="s">
        <v>1337</v>
      </c>
      <c r="B782" t="str">
        <f>_xlfn.XLOOKUP(Logs__3[[#This Row],[Cell_ID]],Registre_Maintenance[ID_Antenne],Registre_Maintenance[Province_RDC],"Pas de correspondance")</f>
        <v>Kongo-Central</v>
      </c>
      <c r="C782" s="2">
        <v>45207</v>
      </c>
      <c r="D782" s="3">
        <v>0.66805555555555551</v>
      </c>
      <c r="E782" s="1" t="s">
        <v>1361</v>
      </c>
      <c r="F782">
        <v>113</v>
      </c>
      <c r="G782" s="1" t="s">
        <v>806</v>
      </c>
    </row>
    <row r="783" spans="1:7" x14ac:dyDescent="0.25">
      <c r="A783" s="1" t="s">
        <v>1337</v>
      </c>
      <c r="B783" t="str">
        <f>_xlfn.XLOOKUP(Logs__3[[#This Row],[Cell_ID]],Registre_Maintenance[ID_Antenne],Registre_Maintenance[Province_RDC],"Pas de correspondance")</f>
        <v>Pas de correspondance</v>
      </c>
      <c r="C783" s="2">
        <v>45230</v>
      </c>
      <c r="D783" s="3">
        <v>0.50277777777777777</v>
      </c>
      <c r="E783" s="1" t="s">
        <v>1200</v>
      </c>
      <c r="F783">
        <v>99</v>
      </c>
      <c r="G783" s="1" t="s">
        <v>806</v>
      </c>
    </row>
    <row r="784" spans="1:7" x14ac:dyDescent="0.25">
      <c r="A784" s="1" t="s">
        <v>1337</v>
      </c>
      <c r="B784" t="str">
        <f>_xlfn.XLOOKUP(Logs__3[[#This Row],[Cell_ID]],Registre_Maintenance[ID_Antenne],Registre_Maintenance[Province_RDC],"Pas de correspondance")</f>
        <v>Kwango</v>
      </c>
      <c r="C784" s="2">
        <v>45228</v>
      </c>
      <c r="D784" s="3">
        <v>0.62152777777777779</v>
      </c>
      <c r="E784" s="1" t="s">
        <v>870</v>
      </c>
      <c r="F784">
        <v>98</v>
      </c>
      <c r="G784" s="1" t="s">
        <v>811</v>
      </c>
    </row>
    <row r="785" spans="1:7" x14ac:dyDescent="0.25">
      <c r="A785" s="1" t="s">
        <v>1337</v>
      </c>
      <c r="B785" t="str">
        <f>_xlfn.XLOOKUP(Logs__3[[#This Row],[Cell_ID]],Registre_Maintenance[ID_Antenne],Registre_Maintenance[Province_RDC],"Pas de correspondance")</f>
        <v>Pas de correspondance</v>
      </c>
      <c r="C785" s="2">
        <v>45209</v>
      </c>
      <c r="D785" s="3">
        <v>0.3888888888888889</v>
      </c>
      <c r="E785" s="1" t="s">
        <v>1362</v>
      </c>
      <c r="F785">
        <v>44</v>
      </c>
      <c r="G785" s="1" t="s">
        <v>806</v>
      </c>
    </row>
    <row r="786" spans="1:7" x14ac:dyDescent="0.25">
      <c r="A786" s="1" t="s">
        <v>1337</v>
      </c>
      <c r="B786" t="str">
        <f>_xlfn.XLOOKUP(Logs__3[[#This Row],[Cell_ID]],Registre_Maintenance[ID_Antenne],Registre_Maintenance[Province_RDC],"Pas de correspondance")</f>
        <v>Pas de correspondance</v>
      </c>
      <c r="C786" s="2">
        <v>45202</v>
      </c>
      <c r="D786" s="3">
        <v>0.72847222222222219</v>
      </c>
      <c r="E786" s="1" t="s">
        <v>1287</v>
      </c>
      <c r="F786">
        <v>18</v>
      </c>
      <c r="G786" s="1" t="s">
        <v>806</v>
      </c>
    </row>
    <row r="787" spans="1:7" x14ac:dyDescent="0.25">
      <c r="A787" s="1" t="s">
        <v>1337</v>
      </c>
      <c r="B787" t="str">
        <f>_xlfn.XLOOKUP(Logs__3[[#This Row],[Cell_ID]],Registre_Maintenance[ID_Antenne],Registre_Maintenance[Province_RDC],"Pas de correspondance")</f>
        <v>Lomami</v>
      </c>
      <c r="C787" s="2">
        <v>45200</v>
      </c>
      <c r="D787" s="3">
        <v>0.46666666666666667</v>
      </c>
      <c r="E787" s="1" t="s">
        <v>1363</v>
      </c>
      <c r="F787">
        <v>31</v>
      </c>
      <c r="G787" s="1" t="s">
        <v>809</v>
      </c>
    </row>
    <row r="788" spans="1:7" x14ac:dyDescent="0.25">
      <c r="A788" s="1" t="s">
        <v>1337</v>
      </c>
      <c r="B788" t="str">
        <f>_xlfn.XLOOKUP(Logs__3[[#This Row],[Cell_ID]],Registre_Maintenance[ID_Antenne],Registre_Maintenance[Province_RDC],"Pas de correspondance")</f>
        <v>Pas de correspondance</v>
      </c>
      <c r="C788" s="2">
        <v>45225</v>
      </c>
      <c r="D788" s="3">
        <v>0.55347222222222225</v>
      </c>
      <c r="E788" s="1" t="s">
        <v>1345</v>
      </c>
      <c r="F788">
        <v>120</v>
      </c>
      <c r="G788" s="1" t="s">
        <v>806</v>
      </c>
    </row>
    <row r="789" spans="1:7" x14ac:dyDescent="0.25">
      <c r="A789" s="1" t="s">
        <v>1364</v>
      </c>
      <c r="B789" t="str">
        <f>_xlfn.XLOOKUP(Logs__3[[#This Row],[Cell_ID]],Registre_Maintenance[ID_Antenne],Registre_Maintenance[Province_RDC],"Pas de correspondance")</f>
        <v>Nord-Ubangi</v>
      </c>
      <c r="C789" s="2">
        <v>45226</v>
      </c>
      <c r="D789" s="3">
        <v>0.20902777777777778</v>
      </c>
      <c r="E789" s="1" t="s">
        <v>1277</v>
      </c>
      <c r="F789">
        <v>81</v>
      </c>
      <c r="G789" s="1" t="s">
        <v>811</v>
      </c>
    </row>
    <row r="790" spans="1:7" x14ac:dyDescent="0.25">
      <c r="A790" s="1" t="s">
        <v>1364</v>
      </c>
      <c r="B790" t="str">
        <f>_xlfn.XLOOKUP(Logs__3[[#This Row],[Cell_ID]],Registre_Maintenance[ID_Antenne],Registre_Maintenance[Province_RDC],"Pas de correspondance")</f>
        <v>Pas de correspondance</v>
      </c>
      <c r="C790" s="2">
        <v>45230</v>
      </c>
      <c r="D790" s="3">
        <v>0.53749999999999998</v>
      </c>
      <c r="E790" s="1" t="s">
        <v>1365</v>
      </c>
      <c r="F790">
        <v>33</v>
      </c>
      <c r="G790" s="1" t="s">
        <v>809</v>
      </c>
    </row>
    <row r="791" spans="1:7" x14ac:dyDescent="0.25">
      <c r="A791" s="1" t="s">
        <v>1364</v>
      </c>
      <c r="B791" t="str">
        <f>_xlfn.XLOOKUP(Logs__3[[#This Row],[Cell_ID]],Registre_Maintenance[ID_Antenne],Registre_Maintenance[Province_RDC],"Pas de correspondance")</f>
        <v>Nord-Kivu</v>
      </c>
      <c r="C791" s="2">
        <v>45214</v>
      </c>
      <c r="D791" s="3">
        <v>0.74097222222222225</v>
      </c>
      <c r="E791" s="1" t="s">
        <v>1051</v>
      </c>
      <c r="F791">
        <v>8</v>
      </c>
      <c r="G791" s="1" t="s">
        <v>806</v>
      </c>
    </row>
    <row r="792" spans="1:7" x14ac:dyDescent="0.25">
      <c r="A792" s="1" t="s">
        <v>1364</v>
      </c>
      <c r="B792" t="str">
        <f>_xlfn.XLOOKUP(Logs__3[[#This Row],[Cell_ID]],Registre_Maintenance[ID_Antenne],Registre_Maintenance[Province_RDC],"Pas de correspondance")</f>
        <v>Pas de correspondance</v>
      </c>
      <c r="C792" s="2">
        <v>45217</v>
      </c>
      <c r="D792" s="3">
        <v>0.29583333333333334</v>
      </c>
      <c r="E792" s="1" t="s">
        <v>1366</v>
      </c>
      <c r="F792">
        <v>119</v>
      </c>
      <c r="G792" s="1" t="s">
        <v>806</v>
      </c>
    </row>
    <row r="793" spans="1:7" x14ac:dyDescent="0.25">
      <c r="A793" s="1" t="s">
        <v>1364</v>
      </c>
      <c r="B793" t="str">
        <f>_xlfn.XLOOKUP(Logs__3[[#This Row],[Cell_ID]],Registre_Maintenance[ID_Antenne],Registre_Maintenance[Province_RDC],"Pas de correspondance")</f>
        <v>Mongala</v>
      </c>
      <c r="C793" s="2">
        <v>45214</v>
      </c>
      <c r="D793" s="3">
        <v>0.16041666666666668</v>
      </c>
      <c r="E793" s="1" t="s">
        <v>1249</v>
      </c>
      <c r="F793">
        <v>108</v>
      </c>
      <c r="G793" s="1" t="s">
        <v>811</v>
      </c>
    </row>
    <row r="794" spans="1:7" x14ac:dyDescent="0.25">
      <c r="A794" s="1" t="s">
        <v>1364</v>
      </c>
      <c r="B794" t="str">
        <f>_xlfn.XLOOKUP(Logs__3[[#This Row],[Cell_ID]],Registre_Maintenance[ID_Antenne],Registre_Maintenance[Province_RDC],"Pas de correspondance")</f>
        <v>Kongo-Central</v>
      </c>
      <c r="C794" s="2">
        <v>45225</v>
      </c>
      <c r="D794" s="3">
        <v>0.17152777777777778</v>
      </c>
      <c r="E794" s="1" t="s">
        <v>1367</v>
      </c>
      <c r="F794">
        <v>104</v>
      </c>
      <c r="G794" s="1" t="s">
        <v>809</v>
      </c>
    </row>
    <row r="795" spans="1:7" x14ac:dyDescent="0.25">
      <c r="A795" s="1" t="s">
        <v>1364</v>
      </c>
      <c r="B795" t="str">
        <f>_xlfn.XLOOKUP(Logs__3[[#This Row],[Cell_ID]],Registre_Maintenance[ID_Antenne],Registre_Maintenance[Province_RDC],"Pas de correspondance")</f>
        <v>Kasaï</v>
      </c>
      <c r="C795" s="2">
        <v>45200</v>
      </c>
      <c r="D795" s="3">
        <v>7.8472222222222221E-2</v>
      </c>
      <c r="E795" s="1" t="s">
        <v>1044</v>
      </c>
      <c r="F795">
        <v>40</v>
      </c>
      <c r="G795" s="1" t="s">
        <v>806</v>
      </c>
    </row>
    <row r="796" spans="1:7" x14ac:dyDescent="0.25">
      <c r="A796" s="1" t="s">
        <v>1364</v>
      </c>
      <c r="B796" t="str">
        <f>_xlfn.XLOOKUP(Logs__3[[#This Row],[Cell_ID]],Registre_Maintenance[ID_Antenne],Registre_Maintenance[Province_RDC],"Pas de correspondance")</f>
        <v>Pas de correspondance</v>
      </c>
      <c r="C796" s="2">
        <v>45224</v>
      </c>
      <c r="D796" s="3">
        <v>0.29722222222222222</v>
      </c>
      <c r="E796" s="1" t="s">
        <v>1368</v>
      </c>
      <c r="F796">
        <v>12</v>
      </c>
      <c r="G796" s="1" t="s">
        <v>811</v>
      </c>
    </row>
    <row r="797" spans="1:7" x14ac:dyDescent="0.25">
      <c r="A797" s="1" t="s">
        <v>1364</v>
      </c>
      <c r="B797" t="str">
        <f>_xlfn.XLOOKUP(Logs__3[[#This Row],[Cell_ID]],Registre_Maintenance[ID_Antenne],Registre_Maintenance[Province_RDC],"Pas de correspondance")</f>
        <v>Pas de correspondance</v>
      </c>
      <c r="C797" s="2">
        <v>45206</v>
      </c>
      <c r="D797" s="3">
        <v>0.51597222222222228</v>
      </c>
      <c r="E797" s="1" t="s">
        <v>1369</v>
      </c>
      <c r="F797">
        <v>108</v>
      </c>
      <c r="G797" s="1" t="s">
        <v>806</v>
      </c>
    </row>
    <row r="798" spans="1:7" x14ac:dyDescent="0.25">
      <c r="A798" s="1" t="s">
        <v>1364</v>
      </c>
      <c r="B798" t="str">
        <f>_xlfn.XLOOKUP(Logs__3[[#This Row],[Cell_ID]],Registre_Maintenance[ID_Antenne],Registre_Maintenance[Province_RDC],"Pas de correspondance")</f>
        <v>Tanganyika</v>
      </c>
      <c r="C798" s="2">
        <v>45221</v>
      </c>
      <c r="D798" s="3">
        <v>0.8618055555555556</v>
      </c>
      <c r="E798" s="1" t="s">
        <v>1370</v>
      </c>
      <c r="F798">
        <v>65</v>
      </c>
      <c r="G798" s="1" t="s">
        <v>806</v>
      </c>
    </row>
    <row r="799" spans="1:7" x14ac:dyDescent="0.25">
      <c r="A799" s="1" t="s">
        <v>1364</v>
      </c>
      <c r="B799" t="str">
        <f>_xlfn.XLOOKUP(Logs__3[[#This Row],[Cell_ID]],Registre_Maintenance[ID_Antenne],Registre_Maintenance[Province_RDC],"Pas de correspondance")</f>
        <v>Pas de correspondance</v>
      </c>
      <c r="C799" s="2">
        <v>45202</v>
      </c>
      <c r="D799" s="3">
        <v>0.77569444444444446</v>
      </c>
      <c r="E799" s="1" t="s">
        <v>1348</v>
      </c>
      <c r="F799">
        <v>72</v>
      </c>
      <c r="G799" s="1" t="s">
        <v>806</v>
      </c>
    </row>
    <row r="800" spans="1:7" x14ac:dyDescent="0.25">
      <c r="A800" s="1" t="s">
        <v>1364</v>
      </c>
      <c r="B800" t="str">
        <f>_xlfn.XLOOKUP(Logs__3[[#This Row],[Cell_ID]],Registre_Maintenance[ID_Antenne],Registre_Maintenance[Province_RDC],"Pas de correspondance")</f>
        <v>Pas de correspondance</v>
      </c>
      <c r="C800" s="2">
        <v>45208</v>
      </c>
      <c r="D800" s="3">
        <v>8.4027777777777785E-2</v>
      </c>
      <c r="E800" s="1" t="s">
        <v>1371</v>
      </c>
      <c r="F800">
        <v>50</v>
      </c>
      <c r="G800" s="1" t="s">
        <v>809</v>
      </c>
    </row>
    <row r="801" spans="1:7" x14ac:dyDescent="0.25">
      <c r="A801" s="1" t="s">
        <v>1364</v>
      </c>
      <c r="B801" t="str">
        <f>_xlfn.XLOOKUP(Logs__3[[#This Row],[Cell_ID]],Registre_Maintenance[ID_Antenne],Registre_Maintenance[Province_RDC],"Pas de correspondance")</f>
        <v>Pas de correspondance</v>
      </c>
      <c r="C801" s="2">
        <v>45202</v>
      </c>
      <c r="D801" s="3">
        <v>0.28958333333333336</v>
      </c>
      <c r="E801" s="1" t="s">
        <v>944</v>
      </c>
      <c r="F801">
        <v>103</v>
      </c>
      <c r="G801" s="1" t="s">
        <v>809</v>
      </c>
    </row>
    <row r="802" spans="1:7" x14ac:dyDescent="0.25">
      <c r="A802" s="1" t="s">
        <v>1364</v>
      </c>
      <c r="B802" t="str">
        <f>_xlfn.XLOOKUP(Logs__3[[#This Row],[Cell_ID]],Registre_Maintenance[ID_Antenne],Registre_Maintenance[Province_RDC],"Pas de correspondance")</f>
        <v>Pas de correspondance</v>
      </c>
      <c r="C802" s="2">
        <v>45220</v>
      </c>
      <c r="D802" s="3">
        <v>0.61875000000000002</v>
      </c>
      <c r="E802" s="1" t="s">
        <v>1359</v>
      </c>
      <c r="F802">
        <v>79</v>
      </c>
      <c r="G802" s="1" t="s">
        <v>806</v>
      </c>
    </row>
    <row r="803" spans="1:7" x14ac:dyDescent="0.25">
      <c r="A803" s="1" t="s">
        <v>1364</v>
      </c>
      <c r="B803" t="str">
        <f>_xlfn.XLOOKUP(Logs__3[[#This Row],[Cell_ID]],Registre_Maintenance[ID_Antenne],Registre_Maintenance[Province_RDC],"Pas de correspondance")</f>
        <v>Equateur</v>
      </c>
      <c r="C803" s="2">
        <v>45204</v>
      </c>
      <c r="D803" s="3">
        <v>0.12291666666666666</v>
      </c>
      <c r="E803" s="1" t="s">
        <v>1276</v>
      </c>
      <c r="F803">
        <v>34</v>
      </c>
      <c r="G803" s="1" t="s">
        <v>806</v>
      </c>
    </row>
    <row r="804" spans="1:7" x14ac:dyDescent="0.25">
      <c r="A804" s="1" t="s">
        <v>1364</v>
      </c>
      <c r="B804" t="str">
        <f>_xlfn.XLOOKUP(Logs__3[[#This Row],[Cell_ID]],Registre_Maintenance[ID_Antenne],Registre_Maintenance[Province_RDC],"Pas de correspondance")</f>
        <v>Pas de correspondance</v>
      </c>
      <c r="C804" s="2">
        <v>45227</v>
      </c>
      <c r="D804" s="3">
        <v>0.42152777777777778</v>
      </c>
      <c r="E804" s="1" t="s">
        <v>1342</v>
      </c>
      <c r="F804">
        <v>25</v>
      </c>
      <c r="G804" s="1" t="s">
        <v>809</v>
      </c>
    </row>
    <row r="805" spans="1:7" x14ac:dyDescent="0.25">
      <c r="A805" s="1" t="s">
        <v>1364</v>
      </c>
      <c r="B805" t="str">
        <f>_xlfn.XLOOKUP(Logs__3[[#This Row],[Cell_ID]],Registre_Maintenance[ID_Antenne],Registre_Maintenance[Province_RDC],"Pas de correspondance")</f>
        <v>Pas de correspondance</v>
      </c>
      <c r="C805" s="2">
        <v>45201</v>
      </c>
      <c r="D805" s="3">
        <v>0.5854166666666667</v>
      </c>
      <c r="E805" s="1" t="s">
        <v>1372</v>
      </c>
      <c r="F805">
        <v>17</v>
      </c>
      <c r="G805" s="1" t="s">
        <v>811</v>
      </c>
    </row>
    <row r="806" spans="1:7" x14ac:dyDescent="0.25">
      <c r="A806" s="1" t="s">
        <v>1364</v>
      </c>
      <c r="B806" t="str">
        <f>_xlfn.XLOOKUP(Logs__3[[#This Row],[Cell_ID]],Registre_Maintenance[ID_Antenne],Registre_Maintenance[Province_RDC],"Pas de correspondance")</f>
        <v>Kongo-Central</v>
      </c>
      <c r="C806" s="2">
        <v>45205</v>
      </c>
      <c r="D806" s="3">
        <v>0.76875000000000004</v>
      </c>
      <c r="E806" s="1" t="s">
        <v>1373</v>
      </c>
      <c r="F806">
        <v>36</v>
      </c>
      <c r="G806" s="1" t="s">
        <v>806</v>
      </c>
    </row>
    <row r="807" spans="1:7" x14ac:dyDescent="0.25">
      <c r="A807" s="1" t="s">
        <v>1364</v>
      </c>
      <c r="B807" t="str">
        <f>_xlfn.XLOOKUP(Logs__3[[#This Row],[Cell_ID]],Registre_Maintenance[ID_Antenne],Registre_Maintenance[Province_RDC],"Pas de correspondance")</f>
        <v>Pas de correspondance</v>
      </c>
      <c r="C807" s="2">
        <v>45226</v>
      </c>
      <c r="D807" s="3">
        <v>0.97569444444444442</v>
      </c>
      <c r="E807" s="1" t="s">
        <v>992</v>
      </c>
      <c r="F807">
        <v>89</v>
      </c>
      <c r="G807" s="1" t="s">
        <v>811</v>
      </c>
    </row>
    <row r="808" spans="1:7" x14ac:dyDescent="0.25">
      <c r="A808" s="1" t="s">
        <v>1364</v>
      </c>
      <c r="B808" t="str">
        <f>_xlfn.XLOOKUP(Logs__3[[#This Row],[Cell_ID]],Registre_Maintenance[ID_Antenne],Registre_Maintenance[Province_RDC],"Pas de correspondance")</f>
        <v>Pas de correspondance</v>
      </c>
      <c r="C808" s="2">
        <v>45215</v>
      </c>
      <c r="D808" s="3">
        <v>1.6666666666666666E-2</v>
      </c>
      <c r="E808" s="1" t="s">
        <v>1374</v>
      </c>
      <c r="F808">
        <v>35</v>
      </c>
      <c r="G808" s="1" t="s">
        <v>809</v>
      </c>
    </row>
    <row r="809" spans="1:7" x14ac:dyDescent="0.25">
      <c r="A809" s="1" t="s">
        <v>1364</v>
      </c>
      <c r="B809" t="str">
        <f>_xlfn.XLOOKUP(Logs__3[[#This Row],[Cell_ID]],Registre_Maintenance[ID_Antenne],Registre_Maintenance[Province_RDC],"Pas de correspondance")</f>
        <v>Pas de correspondance</v>
      </c>
      <c r="C809" s="2">
        <v>45221</v>
      </c>
      <c r="D809" s="3">
        <v>0.5493055555555556</v>
      </c>
      <c r="E809" s="1" t="s">
        <v>1375</v>
      </c>
      <c r="F809">
        <v>39</v>
      </c>
      <c r="G809" s="1" t="s">
        <v>809</v>
      </c>
    </row>
    <row r="810" spans="1:7" x14ac:dyDescent="0.25">
      <c r="A810" s="1" t="s">
        <v>1364</v>
      </c>
      <c r="B810" t="str">
        <f>_xlfn.XLOOKUP(Logs__3[[#This Row],[Cell_ID]],Registre_Maintenance[ID_Antenne],Registre_Maintenance[Province_RDC],"Pas de correspondance")</f>
        <v>Pas de correspondance</v>
      </c>
      <c r="C810" s="2">
        <v>45211</v>
      </c>
      <c r="D810" s="3">
        <v>0.2902777777777778</v>
      </c>
      <c r="E810" s="1" t="s">
        <v>1376</v>
      </c>
      <c r="F810">
        <v>73</v>
      </c>
      <c r="G810" s="1" t="s">
        <v>811</v>
      </c>
    </row>
    <row r="811" spans="1:7" x14ac:dyDescent="0.25">
      <c r="A811" s="1" t="s">
        <v>1364</v>
      </c>
      <c r="B811" t="str">
        <f>_xlfn.XLOOKUP(Logs__3[[#This Row],[Cell_ID]],Registre_Maintenance[ID_Antenne],Registre_Maintenance[Province_RDC],"Pas de correspondance")</f>
        <v>Lomami</v>
      </c>
      <c r="C811" s="2">
        <v>45205</v>
      </c>
      <c r="D811" s="3">
        <v>0.34513888888888888</v>
      </c>
      <c r="E811" s="1" t="s">
        <v>979</v>
      </c>
      <c r="F811">
        <v>109</v>
      </c>
      <c r="G811" s="1" t="s">
        <v>809</v>
      </c>
    </row>
    <row r="812" spans="1:7" x14ac:dyDescent="0.25">
      <c r="A812" s="1" t="s">
        <v>1364</v>
      </c>
      <c r="B812" t="str">
        <f>_xlfn.XLOOKUP(Logs__3[[#This Row],[Cell_ID]],Registre_Maintenance[ID_Antenne],Registre_Maintenance[Province_RDC],"Pas de correspondance")</f>
        <v>Pas de correspondance</v>
      </c>
      <c r="C812" s="2">
        <v>45214</v>
      </c>
      <c r="D812" s="3">
        <v>0.16805555555555557</v>
      </c>
      <c r="E812" s="1" t="s">
        <v>1377</v>
      </c>
      <c r="F812">
        <v>106</v>
      </c>
      <c r="G812" s="1" t="s">
        <v>806</v>
      </c>
    </row>
    <row r="813" spans="1:7" x14ac:dyDescent="0.25">
      <c r="A813" s="1" t="s">
        <v>1364</v>
      </c>
      <c r="B813" t="str">
        <f>_xlfn.XLOOKUP(Logs__3[[#This Row],[Cell_ID]],Registre_Maintenance[ID_Antenne],Registre_Maintenance[Province_RDC],"Pas de correspondance")</f>
        <v>Pas de correspondance</v>
      </c>
      <c r="C813" s="2">
        <v>45219</v>
      </c>
      <c r="D813" s="3">
        <v>0.81874999999999998</v>
      </c>
      <c r="E813" s="1" t="s">
        <v>988</v>
      </c>
      <c r="F813">
        <v>99</v>
      </c>
      <c r="G813" s="1" t="s">
        <v>811</v>
      </c>
    </row>
    <row r="814" spans="1:7" x14ac:dyDescent="0.25">
      <c r="A814" s="1" t="s">
        <v>1364</v>
      </c>
      <c r="B814" t="str">
        <f>_xlfn.XLOOKUP(Logs__3[[#This Row],[Cell_ID]],Registre_Maintenance[ID_Antenne],Registre_Maintenance[Province_RDC],"Pas de correspondance")</f>
        <v>Pas de correspondance</v>
      </c>
      <c r="C814" s="2">
        <v>45207</v>
      </c>
      <c r="D814" s="3">
        <v>0.84583333333333333</v>
      </c>
      <c r="E814" s="1" t="s">
        <v>1023</v>
      </c>
      <c r="F814">
        <v>12</v>
      </c>
      <c r="G814" s="1" t="s">
        <v>811</v>
      </c>
    </row>
    <row r="815" spans="1:7" x14ac:dyDescent="0.25">
      <c r="A815" s="1" t="s">
        <v>1364</v>
      </c>
      <c r="B815" t="str">
        <f>_xlfn.XLOOKUP(Logs__3[[#This Row],[Cell_ID]],Registre_Maintenance[ID_Antenne],Registre_Maintenance[Province_RDC],"Pas de correspondance")</f>
        <v>Tshopo</v>
      </c>
      <c r="C815" s="2">
        <v>45215</v>
      </c>
      <c r="D815" s="3">
        <v>0.5805555555555556</v>
      </c>
      <c r="E815" s="1" t="s">
        <v>1036</v>
      </c>
      <c r="F815">
        <v>102</v>
      </c>
      <c r="G815" s="1" t="s">
        <v>811</v>
      </c>
    </row>
    <row r="816" spans="1:7" x14ac:dyDescent="0.25">
      <c r="A816" s="1" t="s">
        <v>1364</v>
      </c>
      <c r="B816" t="str">
        <f>_xlfn.XLOOKUP(Logs__3[[#This Row],[Cell_ID]],Registre_Maintenance[ID_Antenne],Registre_Maintenance[Province_RDC],"Pas de correspondance")</f>
        <v>Pas de correspondance</v>
      </c>
      <c r="C816" s="2">
        <v>45217</v>
      </c>
      <c r="D816" s="3">
        <v>0.62708333333333333</v>
      </c>
      <c r="E816" s="1" t="s">
        <v>955</v>
      </c>
      <c r="F816">
        <v>33</v>
      </c>
      <c r="G816" s="1" t="s">
        <v>806</v>
      </c>
    </row>
    <row r="817" spans="1:7" x14ac:dyDescent="0.25">
      <c r="A817" s="1" t="s">
        <v>1364</v>
      </c>
      <c r="B817" t="str">
        <f>_xlfn.XLOOKUP(Logs__3[[#This Row],[Cell_ID]],Registre_Maintenance[ID_Antenne],Registre_Maintenance[Province_RDC],"Pas de correspondance")</f>
        <v>Mongala</v>
      </c>
      <c r="C817" s="2">
        <v>45202</v>
      </c>
      <c r="D817" s="3">
        <v>0.35</v>
      </c>
      <c r="E817" s="1" t="s">
        <v>1378</v>
      </c>
      <c r="F817">
        <v>78</v>
      </c>
      <c r="G817" s="1" t="s">
        <v>806</v>
      </c>
    </row>
    <row r="818" spans="1:7" x14ac:dyDescent="0.25">
      <c r="A818" s="1" t="s">
        <v>1364</v>
      </c>
      <c r="B818" t="str">
        <f>_xlfn.XLOOKUP(Logs__3[[#This Row],[Cell_ID]],Registre_Maintenance[ID_Antenne],Registre_Maintenance[Province_RDC],"Pas de correspondance")</f>
        <v>Kongo-Central</v>
      </c>
      <c r="C818" s="2">
        <v>45204</v>
      </c>
      <c r="D818" s="3">
        <v>0.55000000000000004</v>
      </c>
      <c r="E818" s="1" t="s">
        <v>1030</v>
      </c>
      <c r="F818">
        <v>113</v>
      </c>
      <c r="G818" s="1" t="s">
        <v>809</v>
      </c>
    </row>
    <row r="819" spans="1:7" x14ac:dyDescent="0.25">
      <c r="A819" s="1" t="s">
        <v>1364</v>
      </c>
      <c r="B819" t="str">
        <f>_xlfn.XLOOKUP(Logs__3[[#This Row],[Cell_ID]],Registre_Maintenance[ID_Antenne],Registre_Maintenance[Province_RDC],"Pas de correspondance")</f>
        <v>Tshopo</v>
      </c>
      <c r="C819" s="2">
        <v>45220</v>
      </c>
      <c r="D819" s="3">
        <v>0.67708333333333337</v>
      </c>
      <c r="E819" s="1" t="s">
        <v>1379</v>
      </c>
      <c r="F819">
        <v>107</v>
      </c>
      <c r="G819" s="1" t="s">
        <v>811</v>
      </c>
    </row>
    <row r="820" spans="1:7" x14ac:dyDescent="0.25">
      <c r="A820" s="1" t="s">
        <v>1364</v>
      </c>
      <c r="B820" t="str">
        <f>_xlfn.XLOOKUP(Logs__3[[#This Row],[Cell_ID]],Registre_Maintenance[ID_Antenne],Registre_Maintenance[Province_RDC],"Pas de correspondance")</f>
        <v>Nord-Kivu</v>
      </c>
      <c r="C820" s="2">
        <v>45220</v>
      </c>
      <c r="D820" s="3">
        <v>0.74305555555555558</v>
      </c>
      <c r="E820" s="1" t="s">
        <v>1195</v>
      </c>
      <c r="F820">
        <v>54</v>
      </c>
      <c r="G820" s="1" t="s">
        <v>809</v>
      </c>
    </row>
    <row r="821" spans="1:7" x14ac:dyDescent="0.25">
      <c r="A821" s="1" t="s">
        <v>1364</v>
      </c>
      <c r="B821" t="str">
        <f>_xlfn.XLOOKUP(Logs__3[[#This Row],[Cell_ID]],Registre_Maintenance[ID_Antenne],Registre_Maintenance[Province_RDC],"Pas de correspondance")</f>
        <v>Tshuapa</v>
      </c>
      <c r="C821" s="2">
        <v>45200</v>
      </c>
      <c r="D821" s="3">
        <v>0.53472222222222221</v>
      </c>
      <c r="E821" s="1" t="s">
        <v>1380</v>
      </c>
      <c r="F821">
        <v>50</v>
      </c>
      <c r="G821" s="1" t="s">
        <v>811</v>
      </c>
    </row>
    <row r="822" spans="1:7" x14ac:dyDescent="0.25">
      <c r="A822" s="1" t="s">
        <v>1364</v>
      </c>
      <c r="B822" t="str">
        <f>_xlfn.XLOOKUP(Logs__3[[#This Row],[Cell_ID]],Registre_Maintenance[ID_Antenne],Registre_Maintenance[Province_RDC],"Pas de correspondance")</f>
        <v>Haut-Uele</v>
      </c>
      <c r="C822" s="2">
        <v>45222</v>
      </c>
      <c r="D822" s="3">
        <v>0.47916666666666669</v>
      </c>
      <c r="E822" s="1" t="s">
        <v>1381</v>
      </c>
      <c r="F822">
        <v>112</v>
      </c>
      <c r="G822" s="1" t="s">
        <v>809</v>
      </c>
    </row>
    <row r="823" spans="1:7" x14ac:dyDescent="0.25">
      <c r="A823" s="1" t="s">
        <v>1364</v>
      </c>
      <c r="B823" t="str">
        <f>_xlfn.XLOOKUP(Logs__3[[#This Row],[Cell_ID]],Registre_Maintenance[ID_Antenne],Registre_Maintenance[Province_RDC],"Pas de correspondance")</f>
        <v>Pas de correspondance</v>
      </c>
      <c r="C823" s="2">
        <v>45217</v>
      </c>
      <c r="D823" s="3">
        <v>0.64027777777777772</v>
      </c>
      <c r="E823" s="1" t="s">
        <v>1382</v>
      </c>
      <c r="F823">
        <v>113</v>
      </c>
      <c r="G823" s="1" t="s">
        <v>811</v>
      </c>
    </row>
    <row r="824" spans="1:7" x14ac:dyDescent="0.25">
      <c r="A824" s="1" t="s">
        <v>1364</v>
      </c>
      <c r="B824" t="str">
        <f>_xlfn.XLOOKUP(Logs__3[[#This Row],[Cell_ID]],Registre_Maintenance[ID_Antenne],Registre_Maintenance[Province_RDC],"Pas de correspondance")</f>
        <v>Pas de correspondance</v>
      </c>
      <c r="C824" s="2">
        <v>45229</v>
      </c>
      <c r="D824" s="3">
        <v>0.77222222222222225</v>
      </c>
      <c r="E824" s="1" t="s">
        <v>1257</v>
      </c>
      <c r="F824">
        <v>27</v>
      </c>
      <c r="G824" s="1" t="s">
        <v>806</v>
      </c>
    </row>
    <row r="825" spans="1:7" x14ac:dyDescent="0.25">
      <c r="A825" s="1" t="s">
        <v>1364</v>
      </c>
      <c r="B825" t="str">
        <f>_xlfn.XLOOKUP(Logs__3[[#This Row],[Cell_ID]],Registre_Maintenance[ID_Antenne],Registre_Maintenance[Province_RDC],"Pas de correspondance")</f>
        <v>Pas de correspondance</v>
      </c>
      <c r="C825" s="2">
        <v>45210</v>
      </c>
      <c r="D825" s="3">
        <v>0.51180555555555551</v>
      </c>
      <c r="E825" s="1" t="s">
        <v>1383</v>
      </c>
      <c r="F825">
        <v>27</v>
      </c>
      <c r="G825" s="1" t="s">
        <v>809</v>
      </c>
    </row>
    <row r="826" spans="1:7" x14ac:dyDescent="0.25">
      <c r="A826" s="1" t="s">
        <v>1364</v>
      </c>
      <c r="B826" t="str">
        <f>_xlfn.XLOOKUP(Logs__3[[#This Row],[Cell_ID]],Registre_Maintenance[ID_Antenne],Registre_Maintenance[Province_RDC],"Pas de correspondance")</f>
        <v>Nord-Ubangi</v>
      </c>
      <c r="C826" s="2">
        <v>45205</v>
      </c>
      <c r="D826" s="3">
        <v>1.3888888888888888E-2</v>
      </c>
      <c r="E826" s="1" t="s">
        <v>837</v>
      </c>
      <c r="F826">
        <v>35</v>
      </c>
      <c r="G826" s="1" t="s">
        <v>809</v>
      </c>
    </row>
    <row r="827" spans="1:7" x14ac:dyDescent="0.25">
      <c r="A827" s="1" t="s">
        <v>1384</v>
      </c>
      <c r="B827" t="str">
        <f>_xlfn.XLOOKUP(Logs__3[[#This Row],[Cell_ID]],Registre_Maintenance[ID_Antenne],Registre_Maintenance[Province_RDC],"Pas de correspondance")</f>
        <v>Pas de correspondance</v>
      </c>
      <c r="C827" s="2">
        <v>45226</v>
      </c>
      <c r="D827" s="3">
        <v>0.22500000000000001</v>
      </c>
      <c r="E827" s="1" t="s">
        <v>1385</v>
      </c>
      <c r="F827">
        <v>11</v>
      </c>
      <c r="G827" s="1" t="s">
        <v>809</v>
      </c>
    </row>
    <row r="828" spans="1:7" x14ac:dyDescent="0.25">
      <c r="A828" s="1" t="s">
        <v>1384</v>
      </c>
      <c r="B828" t="str">
        <f>_xlfn.XLOOKUP(Logs__3[[#This Row],[Cell_ID]],Registre_Maintenance[ID_Antenne],Registre_Maintenance[Province_RDC],"Pas de correspondance")</f>
        <v>Equateur</v>
      </c>
      <c r="C828" s="2">
        <v>45209</v>
      </c>
      <c r="D828" s="3">
        <v>0.98888888888888893</v>
      </c>
      <c r="E828" s="1" t="s">
        <v>1276</v>
      </c>
      <c r="F828">
        <v>51</v>
      </c>
      <c r="G828" s="1" t="s">
        <v>809</v>
      </c>
    </row>
    <row r="829" spans="1:7" x14ac:dyDescent="0.25">
      <c r="A829" s="1" t="s">
        <v>1384</v>
      </c>
      <c r="B829" t="str">
        <f>_xlfn.XLOOKUP(Logs__3[[#This Row],[Cell_ID]],Registre_Maintenance[ID_Antenne],Registre_Maintenance[Province_RDC],"Pas de correspondance")</f>
        <v>Pas de correspondance</v>
      </c>
      <c r="C829" s="2">
        <v>45209</v>
      </c>
      <c r="D829" s="3">
        <v>0.17430555555555555</v>
      </c>
      <c r="E829" s="1" t="s">
        <v>1360</v>
      </c>
      <c r="F829">
        <v>5</v>
      </c>
      <c r="G829" s="1" t="s">
        <v>806</v>
      </c>
    </row>
    <row r="830" spans="1:7" x14ac:dyDescent="0.25">
      <c r="A830" s="1" t="s">
        <v>1384</v>
      </c>
      <c r="B830" t="str">
        <f>_xlfn.XLOOKUP(Logs__3[[#This Row],[Cell_ID]],Registre_Maintenance[ID_Antenne],Registre_Maintenance[Province_RDC],"Pas de correspondance")</f>
        <v>Pas de correspondance</v>
      </c>
      <c r="C830" s="2">
        <v>45223</v>
      </c>
      <c r="D830" s="3">
        <v>3.0555555555555555E-2</v>
      </c>
      <c r="E830" s="1" t="s">
        <v>1386</v>
      </c>
      <c r="F830">
        <v>59</v>
      </c>
      <c r="G830" s="1" t="s">
        <v>806</v>
      </c>
    </row>
    <row r="831" spans="1:7" x14ac:dyDescent="0.25">
      <c r="A831" s="1" t="s">
        <v>1384</v>
      </c>
      <c r="B831" t="str">
        <f>_xlfn.XLOOKUP(Logs__3[[#This Row],[Cell_ID]],Registre_Maintenance[ID_Antenne],Registre_Maintenance[Province_RDC],"Pas de correspondance")</f>
        <v>Pas de correspondance</v>
      </c>
      <c r="C831" s="2">
        <v>45230</v>
      </c>
      <c r="D831" s="3">
        <v>0.76736111111111116</v>
      </c>
      <c r="E831" s="1" t="s">
        <v>1387</v>
      </c>
      <c r="F831">
        <v>16</v>
      </c>
      <c r="G831" s="1" t="s">
        <v>811</v>
      </c>
    </row>
    <row r="832" spans="1:7" x14ac:dyDescent="0.25">
      <c r="A832" s="1" t="s">
        <v>1384</v>
      </c>
      <c r="B832" t="str">
        <f>_xlfn.XLOOKUP(Logs__3[[#This Row],[Cell_ID]],Registre_Maintenance[ID_Antenne],Registre_Maintenance[Province_RDC],"Pas de correspondance")</f>
        <v>Sud-Ubangi</v>
      </c>
      <c r="C832" s="2">
        <v>45227</v>
      </c>
      <c r="D832" s="3">
        <v>0.75138888888888888</v>
      </c>
      <c r="E832" s="1" t="s">
        <v>1264</v>
      </c>
      <c r="F832">
        <v>42</v>
      </c>
      <c r="G832" s="1" t="s">
        <v>806</v>
      </c>
    </row>
    <row r="833" spans="1:7" x14ac:dyDescent="0.25">
      <c r="A833" s="1" t="s">
        <v>1384</v>
      </c>
      <c r="B833" t="str">
        <f>_xlfn.XLOOKUP(Logs__3[[#This Row],[Cell_ID]],Registre_Maintenance[ID_Antenne],Registre_Maintenance[Province_RDC],"Pas de correspondance")</f>
        <v>Pas de correspondance</v>
      </c>
      <c r="C833" s="2">
        <v>45205</v>
      </c>
      <c r="D833" s="3">
        <v>0.80555555555555558</v>
      </c>
      <c r="E833" s="1" t="s">
        <v>1388</v>
      </c>
      <c r="F833">
        <v>110</v>
      </c>
      <c r="G833" s="1" t="s">
        <v>806</v>
      </c>
    </row>
    <row r="834" spans="1:7" x14ac:dyDescent="0.25">
      <c r="A834" s="1" t="s">
        <v>1384</v>
      </c>
      <c r="B834" t="str">
        <f>_xlfn.XLOOKUP(Logs__3[[#This Row],[Cell_ID]],Registre_Maintenance[ID_Antenne],Registre_Maintenance[Province_RDC],"Pas de correspondance")</f>
        <v>Pas de correspondance</v>
      </c>
      <c r="C834" s="2">
        <v>45229</v>
      </c>
      <c r="D834" s="3">
        <v>0.80138888888888893</v>
      </c>
      <c r="E834" s="1" t="s">
        <v>1020</v>
      </c>
      <c r="F834">
        <v>89</v>
      </c>
      <c r="G834" s="1" t="s">
        <v>806</v>
      </c>
    </row>
    <row r="835" spans="1:7" x14ac:dyDescent="0.25">
      <c r="A835" s="1" t="s">
        <v>1384</v>
      </c>
      <c r="B835" t="str">
        <f>_xlfn.XLOOKUP(Logs__3[[#This Row],[Cell_ID]],Registre_Maintenance[ID_Antenne],Registre_Maintenance[Province_RDC],"Pas de correspondance")</f>
        <v>Lualaba</v>
      </c>
      <c r="C835" s="2">
        <v>45220</v>
      </c>
      <c r="D835" s="3">
        <v>0.75416666666666665</v>
      </c>
      <c r="E835" s="1" t="s">
        <v>946</v>
      </c>
      <c r="F835">
        <v>85</v>
      </c>
      <c r="G835" s="1" t="s">
        <v>806</v>
      </c>
    </row>
    <row r="836" spans="1:7" x14ac:dyDescent="0.25">
      <c r="A836" s="1" t="s">
        <v>1384</v>
      </c>
      <c r="B836" t="str">
        <f>_xlfn.XLOOKUP(Logs__3[[#This Row],[Cell_ID]],Registre_Maintenance[ID_Antenne],Registre_Maintenance[Province_RDC],"Pas de correspondance")</f>
        <v>Tshuapa</v>
      </c>
      <c r="C836" s="2">
        <v>45229</v>
      </c>
      <c r="D836" s="3">
        <v>0.63124999999999998</v>
      </c>
      <c r="E836" s="1" t="s">
        <v>1389</v>
      </c>
      <c r="F836">
        <v>81</v>
      </c>
      <c r="G836" s="1" t="s">
        <v>806</v>
      </c>
    </row>
    <row r="837" spans="1:7" x14ac:dyDescent="0.25">
      <c r="A837" s="1" t="s">
        <v>1384</v>
      </c>
      <c r="B837" t="str">
        <f>_xlfn.XLOOKUP(Logs__3[[#This Row],[Cell_ID]],Registre_Maintenance[ID_Antenne],Registre_Maintenance[Province_RDC],"Pas de correspondance")</f>
        <v>Kinshasa</v>
      </c>
      <c r="C837" s="2">
        <v>45210</v>
      </c>
      <c r="D837" s="3">
        <v>0.96111111111111114</v>
      </c>
      <c r="E837" s="1" t="s">
        <v>971</v>
      </c>
      <c r="F837">
        <v>66</v>
      </c>
      <c r="G837" s="1" t="s">
        <v>806</v>
      </c>
    </row>
    <row r="838" spans="1:7" x14ac:dyDescent="0.25">
      <c r="A838" s="1" t="s">
        <v>1384</v>
      </c>
      <c r="B838" t="str">
        <f>_xlfn.XLOOKUP(Logs__3[[#This Row],[Cell_ID]],Registre_Maintenance[ID_Antenne],Registre_Maintenance[Province_RDC],"Pas de correspondance")</f>
        <v>Pas de correspondance</v>
      </c>
      <c r="C838" s="2">
        <v>45207</v>
      </c>
      <c r="D838" s="3">
        <v>0.47222222222222221</v>
      </c>
      <c r="E838" s="1" t="s">
        <v>1390</v>
      </c>
      <c r="F838">
        <v>30</v>
      </c>
      <c r="G838" s="1" t="s">
        <v>811</v>
      </c>
    </row>
    <row r="839" spans="1:7" x14ac:dyDescent="0.25">
      <c r="A839" s="1" t="s">
        <v>1384</v>
      </c>
      <c r="B839" t="str">
        <f>_xlfn.XLOOKUP(Logs__3[[#This Row],[Cell_ID]],Registre_Maintenance[ID_Antenne],Registre_Maintenance[Province_RDC],"Pas de correspondance")</f>
        <v>Pas de correspondance</v>
      </c>
      <c r="C839" s="2">
        <v>45205</v>
      </c>
      <c r="D839" s="3">
        <v>0.87222222222222223</v>
      </c>
      <c r="E839" s="1" t="s">
        <v>1391</v>
      </c>
      <c r="F839">
        <v>17</v>
      </c>
      <c r="G839" s="1" t="s">
        <v>806</v>
      </c>
    </row>
    <row r="840" spans="1:7" x14ac:dyDescent="0.25">
      <c r="A840" s="1" t="s">
        <v>1384</v>
      </c>
      <c r="B840" t="str">
        <f>_xlfn.XLOOKUP(Logs__3[[#This Row],[Cell_ID]],Registre_Maintenance[ID_Antenne],Registre_Maintenance[Province_RDC],"Pas de correspondance")</f>
        <v>Lualaba</v>
      </c>
      <c r="C840" s="2">
        <v>45230</v>
      </c>
      <c r="D840" s="3">
        <v>0.11944444444444445</v>
      </c>
      <c r="E840" s="1" t="s">
        <v>990</v>
      </c>
      <c r="F840">
        <v>8</v>
      </c>
      <c r="G840" s="1" t="s">
        <v>809</v>
      </c>
    </row>
    <row r="841" spans="1:7" x14ac:dyDescent="0.25">
      <c r="A841" s="1" t="s">
        <v>1384</v>
      </c>
      <c r="B841" t="str">
        <f>_xlfn.XLOOKUP(Logs__3[[#This Row],[Cell_ID]],Registre_Maintenance[ID_Antenne],Registre_Maintenance[Province_RDC],"Pas de correspondance")</f>
        <v>Pas de correspondance</v>
      </c>
      <c r="C841" s="2">
        <v>45222</v>
      </c>
      <c r="D841" s="3">
        <v>0.90277777777777779</v>
      </c>
      <c r="E841" s="1" t="s">
        <v>1041</v>
      </c>
      <c r="F841">
        <v>31</v>
      </c>
      <c r="G841" s="1" t="s">
        <v>811</v>
      </c>
    </row>
    <row r="842" spans="1:7" x14ac:dyDescent="0.25">
      <c r="A842" s="1" t="s">
        <v>1384</v>
      </c>
      <c r="B842" t="str">
        <f>_xlfn.XLOOKUP(Logs__3[[#This Row],[Cell_ID]],Registre_Maintenance[ID_Antenne],Registre_Maintenance[Province_RDC],"Pas de correspondance")</f>
        <v>Bas-Uele</v>
      </c>
      <c r="C842" s="2">
        <v>45223</v>
      </c>
      <c r="D842" s="3">
        <v>0.43611111111111112</v>
      </c>
      <c r="E842" s="1" t="s">
        <v>996</v>
      </c>
      <c r="F842">
        <v>26</v>
      </c>
      <c r="G842" s="1" t="s">
        <v>806</v>
      </c>
    </row>
    <row r="843" spans="1:7" x14ac:dyDescent="0.25">
      <c r="A843" s="1" t="s">
        <v>1384</v>
      </c>
      <c r="B843" t="str">
        <f>_xlfn.XLOOKUP(Logs__3[[#This Row],[Cell_ID]],Registre_Maintenance[ID_Antenne],Registre_Maintenance[Province_RDC],"Pas de correspondance")</f>
        <v>Haut-Lomami</v>
      </c>
      <c r="C843" s="2">
        <v>45200</v>
      </c>
      <c r="D843" s="3">
        <v>0.34236111111111112</v>
      </c>
      <c r="E843" s="1" t="s">
        <v>1088</v>
      </c>
      <c r="F843">
        <v>86</v>
      </c>
      <c r="G843" s="1" t="s">
        <v>809</v>
      </c>
    </row>
    <row r="844" spans="1:7" x14ac:dyDescent="0.25">
      <c r="A844" s="1" t="s">
        <v>1384</v>
      </c>
      <c r="B844" t="str">
        <f>_xlfn.XLOOKUP(Logs__3[[#This Row],[Cell_ID]],Registre_Maintenance[ID_Antenne],Registre_Maintenance[Province_RDC],"Pas de correspondance")</f>
        <v>Pas de correspondance</v>
      </c>
      <c r="C844" s="2">
        <v>45207</v>
      </c>
      <c r="D844" s="3">
        <v>0.9194444444444444</v>
      </c>
      <c r="E844" s="1" t="s">
        <v>1392</v>
      </c>
      <c r="F844">
        <v>42</v>
      </c>
      <c r="G844" s="1" t="s">
        <v>806</v>
      </c>
    </row>
    <row r="845" spans="1:7" x14ac:dyDescent="0.25">
      <c r="A845" s="1" t="s">
        <v>1384</v>
      </c>
      <c r="B845" t="str">
        <f>_xlfn.XLOOKUP(Logs__3[[#This Row],[Cell_ID]],Registre_Maintenance[ID_Antenne],Registre_Maintenance[Province_RDC],"Pas de correspondance")</f>
        <v>Pas de correspondance</v>
      </c>
      <c r="C845" s="2">
        <v>45211</v>
      </c>
      <c r="D845" s="3">
        <v>0.36805555555555558</v>
      </c>
      <c r="E845" s="1" t="s">
        <v>970</v>
      </c>
      <c r="F845">
        <v>15</v>
      </c>
      <c r="G845" s="1" t="s">
        <v>809</v>
      </c>
    </row>
    <row r="846" spans="1:7" x14ac:dyDescent="0.25">
      <c r="A846" s="1" t="s">
        <v>1384</v>
      </c>
      <c r="B846" t="str">
        <f>_xlfn.XLOOKUP(Logs__3[[#This Row],[Cell_ID]],Registre_Maintenance[ID_Antenne],Registre_Maintenance[Province_RDC],"Pas de correspondance")</f>
        <v>Pas de correspondance</v>
      </c>
      <c r="C846" s="2">
        <v>45203</v>
      </c>
      <c r="D846" s="3">
        <v>0.95833333333333337</v>
      </c>
      <c r="E846" s="1" t="s">
        <v>1393</v>
      </c>
      <c r="F846">
        <v>65</v>
      </c>
      <c r="G846" s="1" t="s">
        <v>811</v>
      </c>
    </row>
    <row r="847" spans="1:7" x14ac:dyDescent="0.25">
      <c r="A847" s="1" t="s">
        <v>1384</v>
      </c>
      <c r="B847" t="str">
        <f>_xlfn.XLOOKUP(Logs__3[[#This Row],[Cell_ID]],Registre_Maintenance[ID_Antenne],Registre_Maintenance[Province_RDC],"Pas de correspondance")</f>
        <v>Pas de correspondance</v>
      </c>
      <c r="C847" s="2">
        <v>45201</v>
      </c>
      <c r="D847" s="3">
        <v>0.51944444444444449</v>
      </c>
      <c r="E847" s="1" t="s">
        <v>923</v>
      </c>
      <c r="F847">
        <v>113</v>
      </c>
      <c r="G847" s="1" t="s">
        <v>811</v>
      </c>
    </row>
    <row r="848" spans="1:7" x14ac:dyDescent="0.25">
      <c r="A848" s="1" t="s">
        <v>1384</v>
      </c>
      <c r="B848" t="str">
        <f>_xlfn.XLOOKUP(Logs__3[[#This Row],[Cell_ID]],Registre_Maintenance[ID_Antenne],Registre_Maintenance[Province_RDC],"Pas de correspondance")</f>
        <v>Pas de correspondance</v>
      </c>
      <c r="C848" s="2">
        <v>45223</v>
      </c>
      <c r="D848" s="3">
        <v>0.54861111111111116</v>
      </c>
      <c r="E848" s="1" t="s">
        <v>1335</v>
      </c>
      <c r="F848">
        <v>19</v>
      </c>
      <c r="G848" s="1" t="s">
        <v>809</v>
      </c>
    </row>
    <row r="849" spans="1:7" x14ac:dyDescent="0.25">
      <c r="A849" s="1" t="s">
        <v>1384</v>
      </c>
      <c r="B849" t="str">
        <f>_xlfn.XLOOKUP(Logs__3[[#This Row],[Cell_ID]],Registre_Maintenance[ID_Antenne],Registre_Maintenance[Province_RDC],"Pas de correspondance")</f>
        <v>Pas de correspondance</v>
      </c>
      <c r="C849" s="2">
        <v>45228</v>
      </c>
      <c r="D849" s="3">
        <v>0.56319444444444444</v>
      </c>
      <c r="E849" s="1" t="s">
        <v>1290</v>
      </c>
      <c r="F849">
        <v>44</v>
      </c>
      <c r="G849" s="1" t="s">
        <v>806</v>
      </c>
    </row>
    <row r="850" spans="1:7" x14ac:dyDescent="0.25">
      <c r="A850" s="1" t="s">
        <v>1384</v>
      </c>
      <c r="B850" t="str">
        <f>_xlfn.XLOOKUP(Logs__3[[#This Row],[Cell_ID]],Registre_Maintenance[ID_Antenne],Registre_Maintenance[Province_RDC],"Pas de correspondance")</f>
        <v>Tshopo</v>
      </c>
      <c r="C850" s="2">
        <v>45228</v>
      </c>
      <c r="D850" s="3">
        <v>0.51527777777777772</v>
      </c>
      <c r="E850" s="1" t="s">
        <v>1394</v>
      </c>
      <c r="F850">
        <v>105</v>
      </c>
      <c r="G850" s="1" t="s">
        <v>806</v>
      </c>
    </row>
    <row r="851" spans="1:7" x14ac:dyDescent="0.25">
      <c r="A851" s="1" t="s">
        <v>1384</v>
      </c>
      <c r="B851" t="str">
        <f>_xlfn.XLOOKUP(Logs__3[[#This Row],[Cell_ID]],Registre_Maintenance[ID_Antenne],Registre_Maintenance[Province_RDC],"Pas de correspondance")</f>
        <v>Pas de correspondance</v>
      </c>
      <c r="C851" s="2">
        <v>45217</v>
      </c>
      <c r="D851" s="3">
        <v>0.50416666666666665</v>
      </c>
      <c r="E851" s="1" t="s">
        <v>1114</v>
      </c>
      <c r="F851">
        <v>55</v>
      </c>
      <c r="G851" s="1" t="s">
        <v>811</v>
      </c>
    </row>
    <row r="852" spans="1:7" x14ac:dyDescent="0.25">
      <c r="A852" s="1" t="s">
        <v>1384</v>
      </c>
      <c r="B852" t="str">
        <f>_xlfn.XLOOKUP(Logs__3[[#This Row],[Cell_ID]],Registre_Maintenance[ID_Antenne],Registre_Maintenance[Province_RDC],"Pas de correspondance")</f>
        <v>Haut-Katanga</v>
      </c>
      <c r="C852" s="2">
        <v>45226</v>
      </c>
      <c r="D852" s="3">
        <v>0.65972222222222221</v>
      </c>
      <c r="E852" s="1" t="s">
        <v>1099</v>
      </c>
      <c r="F852">
        <v>65</v>
      </c>
      <c r="G852" s="1" t="s">
        <v>809</v>
      </c>
    </row>
    <row r="853" spans="1:7" x14ac:dyDescent="0.25">
      <c r="A853" s="1" t="s">
        <v>1384</v>
      </c>
      <c r="B853" t="str">
        <f>_xlfn.XLOOKUP(Logs__3[[#This Row],[Cell_ID]],Registre_Maintenance[ID_Antenne],Registre_Maintenance[Province_RDC],"Pas de correspondance")</f>
        <v>Mai-Ndombe</v>
      </c>
      <c r="C853" s="2">
        <v>45227</v>
      </c>
      <c r="D853" s="3">
        <v>0.77847222222222223</v>
      </c>
      <c r="E853" s="1" t="s">
        <v>1246</v>
      </c>
      <c r="F853">
        <v>67</v>
      </c>
      <c r="G853" s="1" t="s">
        <v>811</v>
      </c>
    </row>
    <row r="854" spans="1:7" x14ac:dyDescent="0.25">
      <c r="A854" s="1" t="s">
        <v>1384</v>
      </c>
      <c r="B854" t="str">
        <f>_xlfn.XLOOKUP(Logs__3[[#This Row],[Cell_ID]],Registre_Maintenance[ID_Antenne],Registre_Maintenance[Province_RDC],"Pas de correspondance")</f>
        <v>Pas de correspondance</v>
      </c>
      <c r="C854" s="2">
        <v>45224</v>
      </c>
      <c r="D854" s="3">
        <v>0.88472222222222219</v>
      </c>
      <c r="E854" s="1" t="s">
        <v>1395</v>
      </c>
      <c r="F854">
        <v>119</v>
      </c>
      <c r="G854" s="1" t="s">
        <v>809</v>
      </c>
    </row>
    <row r="855" spans="1:7" x14ac:dyDescent="0.25">
      <c r="A855" s="1" t="s">
        <v>1384</v>
      </c>
      <c r="B855" t="str">
        <f>_xlfn.XLOOKUP(Logs__3[[#This Row],[Cell_ID]],Registre_Maintenance[ID_Antenne],Registre_Maintenance[Province_RDC],"Pas de correspondance")</f>
        <v>Pas de correspondance</v>
      </c>
      <c r="C855" s="2">
        <v>45205</v>
      </c>
      <c r="D855" s="3">
        <v>0.58611111111111114</v>
      </c>
      <c r="E855" s="1" t="s">
        <v>1396</v>
      </c>
      <c r="F855">
        <v>89</v>
      </c>
      <c r="G855" s="1" t="s">
        <v>811</v>
      </c>
    </row>
    <row r="856" spans="1:7" x14ac:dyDescent="0.25">
      <c r="A856" s="1" t="s">
        <v>1384</v>
      </c>
      <c r="B856" t="str">
        <f>_xlfn.XLOOKUP(Logs__3[[#This Row],[Cell_ID]],Registre_Maintenance[ID_Antenne],Registre_Maintenance[Province_RDC],"Pas de correspondance")</f>
        <v>Lualaba</v>
      </c>
      <c r="C856" s="2">
        <v>45225</v>
      </c>
      <c r="D856" s="3">
        <v>5.4166666666666669E-2</v>
      </c>
      <c r="E856" s="1" t="s">
        <v>1397</v>
      </c>
      <c r="F856">
        <v>38</v>
      </c>
      <c r="G856" s="1" t="s">
        <v>811</v>
      </c>
    </row>
    <row r="857" spans="1:7" x14ac:dyDescent="0.25">
      <c r="A857" s="1" t="s">
        <v>1384</v>
      </c>
      <c r="B857" t="str">
        <f>_xlfn.XLOOKUP(Logs__3[[#This Row],[Cell_ID]],Registre_Maintenance[ID_Antenne],Registre_Maintenance[Province_RDC],"Pas de correspondance")</f>
        <v>Pas de correspondance</v>
      </c>
      <c r="C857" s="2">
        <v>45200</v>
      </c>
      <c r="D857" s="3">
        <v>0.42777777777777776</v>
      </c>
      <c r="E857" s="1" t="s">
        <v>918</v>
      </c>
      <c r="F857">
        <v>16</v>
      </c>
      <c r="G857" s="1" t="s">
        <v>809</v>
      </c>
    </row>
    <row r="858" spans="1:7" x14ac:dyDescent="0.25">
      <c r="A858" s="1" t="s">
        <v>1384</v>
      </c>
      <c r="B858" t="str">
        <f>_xlfn.XLOOKUP(Logs__3[[#This Row],[Cell_ID]],Registre_Maintenance[ID_Antenne],Registre_Maintenance[Province_RDC],"Pas de correspondance")</f>
        <v>Haut-Katanga</v>
      </c>
      <c r="C858" s="2">
        <v>45230</v>
      </c>
      <c r="D858" s="3">
        <v>0.12777777777777777</v>
      </c>
      <c r="E858" s="1" t="s">
        <v>1303</v>
      </c>
      <c r="F858">
        <v>87</v>
      </c>
      <c r="G858" s="1" t="s">
        <v>811</v>
      </c>
    </row>
    <row r="859" spans="1:7" x14ac:dyDescent="0.25">
      <c r="A859" s="1" t="s">
        <v>1384</v>
      </c>
      <c r="B859" t="str">
        <f>_xlfn.XLOOKUP(Logs__3[[#This Row],[Cell_ID]],Registre_Maintenance[ID_Antenne],Registre_Maintenance[Province_RDC],"Pas de correspondance")</f>
        <v>Pas de correspondance</v>
      </c>
      <c r="C859" s="2">
        <v>45210</v>
      </c>
      <c r="D859" s="3">
        <v>0.24722222222222223</v>
      </c>
      <c r="E859" s="1" t="s">
        <v>1376</v>
      </c>
      <c r="F859">
        <v>74</v>
      </c>
      <c r="G859" s="1" t="s">
        <v>806</v>
      </c>
    </row>
    <row r="860" spans="1:7" x14ac:dyDescent="0.25">
      <c r="A860" s="1" t="s">
        <v>1384</v>
      </c>
      <c r="B860" t="str">
        <f>_xlfn.XLOOKUP(Logs__3[[#This Row],[Cell_ID]],Registre_Maintenance[ID_Antenne],Registre_Maintenance[Province_RDC],"Pas de correspondance")</f>
        <v>Pas de correspondance</v>
      </c>
      <c r="C860" s="2">
        <v>45212</v>
      </c>
      <c r="D860" s="3">
        <v>0.24027777777777778</v>
      </c>
      <c r="E860" s="1" t="s">
        <v>1159</v>
      </c>
      <c r="F860">
        <v>54</v>
      </c>
      <c r="G860" s="1" t="s">
        <v>809</v>
      </c>
    </row>
    <row r="861" spans="1:7" x14ac:dyDescent="0.25">
      <c r="A861" s="1" t="s">
        <v>1384</v>
      </c>
      <c r="B861" t="str">
        <f>_xlfn.XLOOKUP(Logs__3[[#This Row],[Cell_ID]],Registre_Maintenance[ID_Antenne],Registre_Maintenance[Province_RDC],"Pas de correspondance")</f>
        <v>Kasaï-Central</v>
      </c>
      <c r="C861" s="2">
        <v>45202</v>
      </c>
      <c r="D861" s="3">
        <v>0.74791666666666667</v>
      </c>
      <c r="E861" s="1" t="s">
        <v>952</v>
      </c>
      <c r="F861">
        <v>28</v>
      </c>
      <c r="G861" s="1" t="s">
        <v>809</v>
      </c>
    </row>
    <row r="862" spans="1:7" x14ac:dyDescent="0.25">
      <c r="A862" s="1" t="s">
        <v>1384</v>
      </c>
      <c r="B862" t="str">
        <f>_xlfn.XLOOKUP(Logs__3[[#This Row],[Cell_ID]],Registre_Maintenance[ID_Antenne],Registre_Maintenance[Province_RDC],"Pas de correspondance")</f>
        <v>Pas de correspondance</v>
      </c>
      <c r="C862" s="2">
        <v>45202</v>
      </c>
      <c r="D862" s="3">
        <v>0.44305555555555554</v>
      </c>
      <c r="E862" s="1" t="s">
        <v>1398</v>
      </c>
      <c r="F862">
        <v>52</v>
      </c>
      <c r="G862" s="1" t="s">
        <v>809</v>
      </c>
    </row>
    <row r="863" spans="1:7" x14ac:dyDescent="0.25">
      <c r="A863" s="1" t="s">
        <v>1384</v>
      </c>
      <c r="B863" t="str">
        <f>_xlfn.XLOOKUP(Logs__3[[#This Row],[Cell_ID]],Registre_Maintenance[ID_Antenne],Registre_Maintenance[Province_RDC],"Pas de correspondance")</f>
        <v>Pas de correspondance</v>
      </c>
      <c r="C863" s="2">
        <v>45219</v>
      </c>
      <c r="D863" s="3">
        <v>0.65625</v>
      </c>
      <c r="E863" s="1" t="s">
        <v>1091</v>
      </c>
      <c r="F863">
        <v>118</v>
      </c>
      <c r="G863" s="1" t="s">
        <v>809</v>
      </c>
    </row>
    <row r="864" spans="1:7" x14ac:dyDescent="0.25">
      <c r="A864" s="1" t="s">
        <v>1384</v>
      </c>
      <c r="B864" t="str">
        <f>_xlfn.XLOOKUP(Logs__3[[#This Row],[Cell_ID]],Registre_Maintenance[ID_Antenne],Registre_Maintenance[Province_RDC],"Pas de correspondance")</f>
        <v>Kongo-Central</v>
      </c>
      <c r="C864" s="2">
        <v>45200</v>
      </c>
      <c r="D864" s="3">
        <v>0.57013888888888886</v>
      </c>
      <c r="E864" s="1" t="s">
        <v>1399</v>
      </c>
      <c r="F864">
        <v>53</v>
      </c>
      <c r="G864" s="1" t="s">
        <v>811</v>
      </c>
    </row>
    <row r="865" spans="1:7" x14ac:dyDescent="0.25">
      <c r="A865" s="1" t="s">
        <v>1384</v>
      </c>
      <c r="B865" t="str">
        <f>_xlfn.XLOOKUP(Logs__3[[#This Row],[Cell_ID]],Registre_Maintenance[ID_Antenne],Registre_Maintenance[Province_RDC],"Pas de correspondance")</f>
        <v>Pas de correspondance</v>
      </c>
      <c r="C865" s="2">
        <v>45205</v>
      </c>
      <c r="D865" s="3">
        <v>0.8305555555555556</v>
      </c>
      <c r="E865" s="1" t="s">
        <v>1400</v>
      </c>
      <c r="F865">
        <v>52</v>
      </c>
      <c r="G865" s="1" t="s">
        <v>806</v>
      </c>
    </row>
    <row r="866" spans="1:7" x14ac:dyDescent="0.25">
      <c r="A866" s="1" t="s">
        <v>1384</v>
      </c>
      <c r="B866" t="str">
        <f>_xlfn.XLOOKUP(Logs__3[[#This Row],[Cell_ID]],Registre_Maintenance[ID_Antenne],Registre_Maintenance[Province_RDC],"Pas de correspondance")</f>
        <v>Pas de correspondance</v>
      </c>
      <c r="C866" s="2">
        <v>45213</v>
      </c>
      <c r="D866" s="3">
        <v>0.21041666666666667</v>
      </c>
      <c r="E866" s="1" t="s">
        <v>1401</v>
      </c>
      <c r="F866">
        <v>28</v>
      </c>
      <c r="G866" s="1" t="s">
        <v>811</v>
      </c>
    </row>
    <row r="867" spans="1:7" x14ac:dyDescent="0.25">
      <c r="A867" s="1" t="s">
        <v>1384</v>
      </c>
      <c r="B867" t="str">
        <f>_xlfn.XLOOKUP(Logs__3[[#This Row],[Cell_ID]],Registre_Maintenance[ID_Antenne],Registre_Maintenance[Province_RDC],"Pas de correspondance")</f>
        <v>Pas de correspondance</v>
      </c>
      <c r="C867" s="2">
        <v>45203</v>
      </c>
      <c r="D867" s="3">
        <v>0.42569444444444443</v>
      </c>
      <c r="E867" s="1" t="s">
        <v>1402</v>
      </c>
      <c r="F867">
        <v>62</v>
      </c>
      <c r="G867" s="1" t="s">
        <v>806</v>
      </c>
    </row>
    <row r="868" spans="1:7" x14ac:dyDescent="0.25">
      <c r="A868" s="1" t="s">
        <v>1384</v>
      </c>
      <c r="B868" t="str">
        <f>_xlfn.XLOOKUP(Logs__3[[#This Row],[Cell_ID]],Registre_Maintenance[ID_Antenne],Registre_Maintenance[Province_RDC],"Pas de correspondance")</f>
        <v>Pas de correspondance</v>
      </c>
      <c r="C868" s="2">
        <v>45206</v>
      </c>
      <c r="D868" s="3">
        <v>0.57222222222222219</v>
      </c>
      <c r="E868" s="1" t="s">
        <v>1157</v>
      </c>
      <c r="F868">
        <v>10</v>
      </c>
      <c r="G868" s="1" t="s">
        <v>806</v>
      </c>
    </row>
    <row r="869" spans="1:7" x14ac:dyDescent="0.25">
      <c r="A869" s="1" t="s">
        <v>1384</v>
      </c>
      <c r="B869" t="str">
        <f>_xlfn.XLOOKUP(Logs__3[[#This Row],[Cell_ID]],Registre_Maintenance[ID_Antenne],Registre_Maintenance[Province_RDC],"Pas de correspondance")</f>
        <v>Lualaba</v>
      </c>
      <c r="C869" s="2">
        <v>45217</v>
      </c>
      <c r="D869" s="3">
        <v>0.99930555555555556</v>
      </c>
      <c r="E869" s="1" t="s">
        <v>1112</v>
      </c>
      <c r="F869">
        <v>38</v>
      </c>
      <c r="G869" s="1" t="s">
        <v>809</v>
      </c>
    </row>
    <row r="870" spans="1:7" x14ac:dyDescent="0.25">
      <c r="A870" s="1" t="s">
        <v>1384</v>
      </c>
      <c r="B870" t="str">
        <f>_xlfn.XLOOKUP(Logs__3[[#This Row],[Cell_ID]],Registre_Maintenance[ID_Antenne],Registre_Maintenance[Province_RDC],"Pas de correspondance")</f>
        <v>Pas de correspondance</v>
      </c>
      <c r="C870" s="2">
        <v>45223</v>
      </c>
      <c r="D870" s="3">
        <v>0.71944444444444444</v>
      </c>
      <c r="E870" s="1" t="s">
        <v>1107</v>
      </c>
      <c r="F870">
        <v>61</v>
      </c>
      <c r="G870" s="1" t="s">
        <v>809</v>
      </c>
    </row>
    <row r="871" spans="1:7" x14ac:dyDescent="0.25">
      <c r="A871" s="1" t="s">
        <v>1384</v>
      </c>
      <c r="B871" t="str">
        <f>_xlfn.XLOOKUP(Logs__3[[#This Row],[Cell_ID]],Registre_Maintenance[ID_Antenne],Registre_Maintenance[Province_RDC],"Pas de correspondance")</f>
        <v>Tshopo</v>
      </c>
      <c r="C871" s="2">
        <v>45221</v>
      </c>
      <c r="D871" s="3">
        <v>0.38819444444444445</v>
      </c>
      <c r="E871" s="1" t="s">
        <v>1403</v>
      </c>
      <c r="F871">
        <v>64</v>
      </c>
      <c r="G871" s="1" t="s">
        <v>809</v>
      </c>
    </row>
    <row r="872" spans="1:7" x14ac:dyDescent="0.25">
      <c r="A872" s="1" t="s">
        <v>1384</v>
      </c>
      <c r="B872" t="str">
        <f>_xlfn.XLOOKUP(Logs__3[[#This Row],[Cell_ID]],Registre_Maintenance[ID_Antenne],Registre_Maintenance[Province_RDC],"Pas de correspondance")</f>
        <v>Kwilu</v>
      </c>
      <c r="C872" s="2">
        <v>45207</v>
      </c>
      <c r="D872" s="3">
        <v>0.12708333333333333</v>
      </c>
      <c r="E872" s="1" t="s">
        <v>943</v>
      </c>
      <c r="F872">
        <v>38</v>
      </c>
      <c r="G872" s="1" t="s">
        <v>806</v>
      </c>
    </row>
    <row r="873" spans="1:7" x14ac:dyDescent="0.25">
      <c r="A873" s="1" t="s">
        <v>1384</v>
      </c>
      <c r="B873" t="str">
        <f>_xlfn.XLOOKUP(Logs__3[[#This Row],[Cell_ID]],Registre_Maintenance[ID_Antenne],Registre_Maintenance[Province_RDC],"Pas de correspondance")</f>
        <v>Pas de correspondance</v>
      </c>
      <c r="C873" s="2">
        <v>45212</v>
      </c>
      <c r="D873" s="3">
        <v>0.77430555555555558</v>
      </c>
      <c r="E873" s="1" t="s">
        <v>1404</v>
      </c>
      <c r="F873">
        <v>33</v>
      </c>
      <c r="G873" s="1" t="s">
        <v>806</v>
      </c>
    </row>
    <row r="874" spans="1:7" x14ac:dyDescent="0.25">
      <c r="A874" s="1" t="s">
        <v>1384</v>
      </c>
      <c r="B874" t="str">
        <f>_xlfn.XLOOKUP(Logs__3[[#This Row],[Cell_ID]],Registre_Maintenance[ID_Antenne],Registre_Maintenance[Province_RDC],"Pas de correspondance")</f>
        <v>Pas de correspondance</v>
      </c>
      <c r="C874" s="2">
        <v>45226</v>
      </c>
      <c r="D874" s="3">
        <v>0.63124999999999998</v>
      </c>
      <c r="E874" s="1" t="s">
        <v>1405</v>
      </c>
      <c r="F874">
        <v>112</v>
      </c>
      <c r="G874" s="1" t="s">
        <v>809</v>
      </c>
    </row>
    <row r="875" spans="1:7" x14ac:dyDescent="0.25">
      <c r="A875" s="1" t="s">
        <v>1406</v>
      </c>
      <c r="B875" t="str">
        <f>_xlfn.XLOOKUP(Logs__3[[#This Row],[Cell_ID]],Registre_Maintenance[ID_Antenne],Registre_Maintenance[Province_RDC],"Pas de correspondance")</f>
        <v>Lualaba</v>
      </c>
      <c r="C875" s="2">
        <v>45208</v>
      </c>
      <c r="D875" s="3">
        <v>0.52847222222222223</v>
      </c>
      <c r="E875" s="1" t="s">
        <v>984</v>
      </c>
      <c r="F875">
        <v>33</v>
      </c>
      <c r="G875" s="1" t="s">
        <v>809</v>
      </c>
    </row>
    <row r="876" spans="1:7" x14ac:dyDescent="0.25">
      <c r="A876" s="1" t="s">
        <v>1406</v>
      </c>
      <c r="B876" t="str">
        <f>_xlfn.XLOOKUP(Logs__3[[#This Row],[Cell_ID]],Registre_Maintenance[ID_Antenne],Registre_Maintenance[Province_RDC],"Pas de correspondance")</f>
        <v>Kasaï</v>
      </c>
      <c r="C876" s="2">
        <v>45215</v>
      </c>
      <c r="D876" s="3">
        <v>0.77638888888888891</v>
      </c>
      <c r="E876" s="1" t="s">
        <v>1407</v>
      </c>
      <c r="F876">
        <v>87</v>
      </c>
      <c r="G876" s="1" t="s">
        <v>811</v>
      </c>
    </row>
    <row r="877" spans="1:7" x14ac:dyDescent="0.25">
      <c r="A877" s="1" t="s">
        <v>1406</v>
      </c>
      <c r="B877" t="str">
        <f>_xlfn.XLOOKUP(Logs__3[[#This Row],[Cell_ID]],Registre_Maintenance[ID_Antenne],Registre_Maintenance[Province_RDC],"Pas de correspondance")</f>
        <v>Maniema</v>
      </c>
      <c r="C877" s="2">
        <v>45215</v>
      </c>
      <c r="D877" s="3">
        <v>4.9305555555555554E-2</v>
      </c>
      <c r="E877" s="1" t="s">
        <v>1260</v>
      </c>
      <c r="F877">
        <v>33</v>
      </c>
      <c r="G877" s="1" t="s">
        <v>809</v>
      </c>
    </row>
    <row r="878" spans="1:7" x14ac:dyDescent="0.25">
      <c r="A878" s="1" t="s">
        <v>1406</v>
      </c>
      <c r="B878" t="str">
        <f>_xlfn.XLOOKUP(Logs__3[[#This Row],[Cell_ID]],Registre_Maintenance[ID_Antenne],Registre_Maintenance[Province_RDC],"Pas de correspondance")</f>
        <v>Pas de correspondance</v>
      </c>
      <c r="C878" s="2">
        <v>45208</v>
      </c>
      <c r="D878" s="3">
        <v>0.50624999999999998</v>
      </c>
      <c r="E878" s="1" t="s">
        <v>1408</v>
      </c>
      <c r="F878">
        <v>91</v>
      </c>
      <c r="G878" s="1" t="s">
        <v>811</v>
      </c>
    </row>
    <row r="879" spans="1:7" x14ac:dyDescent="0.25">
      <c r="A879" s="1" t="s">
        <v>1406</v>
      </c>
      <c r="B879" t="str">
        <f>_xlfn.XLOOKUP(Logs__3[[#This Row],[Cell_ID]],Registre_Maintenance[ID_Antenne],Registre_Maintenance[Province_RDC],"Pas de correspondance")</f>
        <v>Pas de correspondance</v>
      </c>
      <c r="C879" s="2">
        <v>45219</v>
      </c>
      <c r="D879" s="3">
        <v>0.82152777777777775</v>
      </c>
      <c r="E879" s="1" t="s">
        <v>1311</v>
      </c>
      <c r="F879">
        <v>31</v>
      </c>
      <c r="G879" s="1" t="s">
        <v>809</v>
      </c>
    </row>
    <row r="880" spans="1:7" x14ac:dyDescent="0.25">
      <c r="A880" s="1" t="s">
        <v>1406</v>
      </c>
      <c r="B880" t="str">
        <f>_xlfn.XLOOKUP(Logs__3[[#This Row],[Cell_ID]],Registre_Maintenance[ID_Antenne],Registre_Maintenance[Province_RDC],"Pas de correspondance")</f>
        <v>Haut-Lomami</v>
      </c>
      <c r="C880" s="2">
        <v>45222</v>
      </c>
      <c r="D880" s="3">
        <v>0.50138888888888888</v>
      </c>
      <c r="E880" s="1" t="s">
        <v>1409</v>
      </c>
      <c r="F880">
        <v>39</v>
      </c>
      <c r="G880" s="1" t="s">
        <v>806</v>
      </c>
    </row>
    <row r="881" spans="1:7" x14ac:dyDescent="0.25">
      <c r="A881" s="1" t="s">
        <v>1406</v>
      </c>
      <c r="B881" t="str">
        <f>_xlfn.XLOOKUP(Logs__3[[#This Row],[Cell_ID]],Registre_Maintenance[ID_Antenne],Registre_Maintenance[Province_RDC],"Pas de correspondance")</f>
        <v>Kwilu</v>
      </c>
      <c r="C881" s="2">
        <v>45212</v>
      </c>
      <c r="D881" s="3">
        <v>0.44722222222222224</v>
      </c>
      <c r="E881" s="1" t="s">
        <v>1302</v>
      </c>
      <c r="F881">
        <v>88</v>
      </c>
      <c r="G881" s="1" t="s">
        <v>809</v>
      </c>
    </row>
    <row r="882" spans="1:7" x14ac:dyDescent="0.25">
      <c r="A882" s="1" t="s">
        <v>1406</v>
      </c>
      <c r="B882" t="str">
        <f>_xlfn.XLOOKUP(Logs__3[[#This Row],[Cell_ID]],Registre_Maintenance[ID_Antenne],Registre_Maintenance[Province_RDC],"Pas de correspondance")</f>
        <v>Kongo-Central</v>
      </c>
      <c r="C882" s="2">
        <v>45207</v>
      </c>
      <c r="D882" s="3">
        <v>7.4305555555555555E-2</v>
      </c>
      <c r="E882" s="1" t="s">
        <v>1361</v>
      </c>
      <c r="F882">
        <v>57</v>
      </c>
      <c r="G882" s="1" t="s">
        <v>806</v>
      </c>
    </row>
    <row r="883" spans="1:7" x14ac:dyDescent="0.25">
      <c r="A883" s="1" t="s">
        <v>1406</v>
      </c>
      <c r="B883" t="str">
        <f>_xlfn.XLOOKUP(Logs__3[[#This Row],[Cell_ID]],Registre_Maintenance[ID_Antenne],Registre_Maintenance[Province_RDC],"Pas de correspondance")</f>
        <v>Kongo-Central</v>
      </c>
      <c r="C883" s="2">
        <v>45215</v>
      </c>
      <c r="D883" s="3">
        <v>0.37291666666666667</v>
      </c>
      <c r="E883" s="1" t="s">
        <v>1077</v>
      </c>
      <c r="F883">
        <v>70</v>
      </c>
      <c r="G883" s="1" t="s">
        <v>809</v>
      </c>
    </row>
    <row r="884" spans="1:7" x14ac:dyDescent="0.25">
      <c r="A884" s="1" t="s">
        <v>1406</v>
      </c>
      <c r="B884" t="str">
        <f>_xlfn.XLOOKUP(Logs__3[[#This Row],[Cell_ID]],Registre_Maintenance[ID_Antenne],Registre_Maintenance[Province_RDC],"Pas de correspondance")</f>
        <v>Pas de correspondance</v>
      </c>
      <c r="C884" s="2">
        <v>45211</v>
      </c>
      <c r="D884" s="3">
        <v>1.4583333333333334E-2</v>
      </c>
      <c r="E884" s="1" t="s">
        <v>1410</v>
      </c>
      <c r="F884">
        <v>7</v>
      </c>
      <c r="G884" s="1" t="s">
        <v>811</v>
      </c>
    </row>
    <row r="885" spans="1:7" x14ac:dyDescent="0.25">
      <c r="A885" s="1" t="s">
        <v>1406</v>
      </c>
      <c r="B885" t="str">
        <f>_xlfn.XLOOKUP(Logs__3[[#This Row],[Cell_ID]],Registre_Maintenance[ID_Antenne],Registre_Maintenance[Province_RDC],"Pas de correspondance")</f>
        <v>Pas de correspondance</v>
      </c>
      <c r="C885" s="2">
        <v>45226</v>
      </c>
      <c r="D885" s="3">
        <v>0.38819444444444445</v>
      </c>
      <c r="E885" s="1" t="s">
        <v>1411</v>
      </c>
      <c r="F885">
        <v>115</v>
      </c>
      <c r="G885" s="1" t="s">
        <v>811</v>
      </c>
    </row>
    <row r="886" spans="1:7" x14ac:dyDescent="0.25">
      <c r="A886" s="1" t="s">
        <v>1406</v>
      </c>
      <c r="B886" t="str">
        <f>_xlfn.XLOOKUP(Logs__3[[#This Row],[Cell_ID]],Registre_Maintenance[ID_Antenne],Registre_Maintenance[Province_RDC],"Pas de correspondance")</f>
        <v>Pas de correspondance</v>
      </c>
      <c r="C886" s="2">
        <v>45208</v>
      </c>
      <c r="D886" s="3">
        <v>0.66249999999999998</v>
      </c>
      <c r="E886" s="1" t="s">
        <v>1412</v>
      </c>
      <c r="F886">
        <v>104</v>
      </c>
      <c r="G886" s="1" t="s">
        <v>811</v>
      </c>
    </row>
    <row r="887" spans="1:7" x14ac:dyDescent="0.25">
      <c r="A887" s="1" t="s">
        <v>1406</v>
      </c>
      <c r="B887" t="str">
        <f>_xlfn.XLOOKUP(Logs__3[[#This Row],[Cell_ID]],Registre_Maintenance[ID_Antenne],Registre_Maintenance[Province_RDC],"Pas de correspondance")</f>
        <v>Pas de correspondance</v>
      </c>
      <c r="C887" s="2">
        <v>45222</v>
      </c>
      <c r="D887" s="3">
        <v>0.87916666666666665</v>
      </c>
      <c r="E887" s="1" t="s">
        <v>878</v>
      </c>
      <c r="F887">
        <v>103</v>
      </c>
      <c r="G887" s="1" t="s">
        <v>811</v>
      </c>
    </row>
    <row r="888" spans="1:7" x14ac:dyDescent="0.25">
      <c r="A888" s="1" t="s">
        <v>1406</v>
      </c>
      <c r="B888" t="str">
        <f>_xlfn.XLOOKUP(Logs__3[[#This Row],[Cell_ID]],Registre_Maintenance[ID_Antenne],Registre_Maintenance[Province_RDC],"Pas de correspondance")</f>
        <v>Haut-Lomami</v>
      </c>
      <c r="C888" s="2">
        <v>45227</v>
      </c>
      <c r="D888" s="3">
        <v>0.29722222222222222</v>
      </c>
      <c r="E888" s="1" t="s">
        <v>1413</v>
      </c>
      <c r="F888">
        <v>92</v>
      </c>
      <c r="G888" s="1" t="s">
        <v>811</v>
      </c>
    </row>
    <row r="889" spans="1:7" x14ac:dyDescent="0.25">
      <c r="A889" s="1" t="s">
        <v>1406</v>
      </c>
      <c r="B889" t="str">
        <f>_xlfn.XLOOKUP(Logs__3[[#This Row],[Cell_ID]],Registre_Maintenance[ID_Antenne],Registre_Maintenance[Province_RDC],"Pas de correspondance")</f>
        <v>Pas de correspondance</v>
      </c>
      <c r="C889" s="2">
        <v>45209</v>
      </c>
      <c r="D889" s="3">
        <v>0.97777777777777775</v>
      </c>
      <c r="E889" s="1" t="s">
        <v>1331</v>
      </c>
      <c r="F889">
        <v>6</v>
      </c>
      <c r="G889" s="1" t="s">
        <v>811</v>
      </c>
    </row>
    <row r="890" spans="1:7" x14ac:dyDescent="0.25">
      <c r="A890" s="1" t="s">
        <v>1406</v>
      </c>
      <c r="B890" t="str">
        <f>_xlfn.XLOOKUP(Logs__3[[#This Row],[Cell_ID]],Registre_Maintenance[ID_Antenne],Registre_Maintenance[Province_RDC],"Pas de correspondance")</f>
        <v>Haut-Katanga</v>
      </c>
      <c r="C890" s="2">
        <v>45224</v>
      </c>
      <c r="D890" s="3">
        <v>0.4284722222222222</v>
      </c>
      <c r="E890" s="1" t="s">
        <v>827</v>
      </c>
      <c r="F890">
        <v>65</v>
      </c>
      <c r="G890" s="1" t="s">
        <v>809</v>
      </c>
    </row>
    <row r="891" spans="1:7" x14ac:dyDescent="0.25">
      <c r="A891" s="1" t="s">
        <v>1406</v>
      </c>
      <c r="B891" t="str">
        <f>_xlfn.XLOOKUP(Logs__3[[#This Row],[Cell_ID]],Registre_Maintenance[ID_Antenne],Registre_Maintenance[Province_RDC],"Pas de correspondance")</f>
        <v>Pas de correspondance</v>
      </c>
      <c r="C891" s="2">
        <v>45223</v>
      </c>
      <c r="D891" s="3">
        <v>0.56805555555555554</v>
      </c>
      <c r="E891" s="1" t="s">
        <v>1414</v>
      </c>
      <c r="F891">
        <v>21</v>
      </c>
      <c r="G891" s="1" t="s">
        <v>806</v>
      </c>
    </row>
    <row r="892" spans="1:7" x14ac:dyDescent="0.25">
      <c r="A892" s="1" t="s">
        <v>1406</v>
      </c>
      <c r="B892" t="str">
        <f>_xlfn.XLOOKUP(Logs__3[[#This Row],[Cell_ID]],Registre_Maintenance[ID_Antenne],Registre_Maintenance[Province_RDC],"Pas de correspondance")</f>
        <v>Pas de correspondance</v>
      </c>
      <c r="C892" s="2">
        <v>45220</v>
      </c>
      <c r="D892" s="3">
        <v>9.166666666666666E-2</v>
      </c>
      <c r="E892" s="1" t="s">
        <v>824</v>
      </c>
      <c r="F892">
        <v>87</v>
      </c>
      <c r="G892" s="1" t="s">
        <v>809</v>
      </c>
    </row>
    <row r="893" spans="1:7" x14ac:dyDescent="0.25">
      <c r="A893" s="1" t="s">
        <v>1406</v>
      </c>
      <c r="B893" t="str">
        <f>_xlfn.XLOOKUP(Logs__3[[#This Row],[Cell_ID]],Registre_Maintenance[ID_Antenne],Registre_Maintenance[Province_RDC],"Pas de correspondance")</f>
        <v>Equateur</v>
      </c>
      <c r="C893" s="2">
        <v>45214</v>
      </c>
      <c r="D893" s="3">
        <v>0.2902777777777778</v>
      </c>
      <c r="E893" s="1" t="s">
        <v>1266</v>
      </c>
      <c r="F893">
        <v>27</v>
      </c>
      <c r="G893" s="1" t="s">
        <v>809</v>
      </c>
    </row>
    <row r="894" spans="1:7" x14ac:dyDescent="0.25">
      <c r="A894" s="1" t="s">
        <v>1406</v>
      </c>
      <c r="B894" t="str">
        <f>_xlfn.XLOOKUP(Logs__3[[#This Row],[Cell_ID]],Registre_Maintenance[ID_Antenne],Registre_Maintenance[Province_RDC],"Pas de correspondance")</f>
        <v>Pas de correspondance</v>
      </c>
      <c r="C894" s="2">
        <v>45226</v>
      </c>
      <c r="D894" s="3">
        <v>0.57430555555555551</v>
      </c>
      <c r="E894" s="1" t="s">
        <v>1053</v>
      </c>
      <c r="F894">
        <v>81</v>
      </c>
      <c r="G894" s="1" t="s">
        <v>809</v>
      </c>
    </row>
    <row r="895" spans="1:7" x14ac:dyDescent="0.25">
      <c r="A895" s="1" t="s">
        <v>1406</v>
      </c>
      <c r="B895" t="str">
        <f>_xlfn.XLOOKUP(Logs__3[[#This Row],[Cell_ID]],Registre_Maintenance[ID_Antenne],Registre_Maintenance[Province_RDC],"Pas de correspondance")</f>
        <v>Kongo-Central</v>
      </c>
      <c r="C895" s="2">
        <v>45215</v>
      </c>
      <c r="D895" s="3">
        <v>0.70486111111111116</v>
      </c>
      <c r="E895" s="1" t="s">
        <v>1049</v>
      </c>
      <c r="F895">
        <v>107</v>
      </c>
      <c r="G895" s="1" t="s">
        <v>806</v>
      </c>
    </row>
    <row r="896" spans="1:7" x14ac:dyDescent="0.25">
      <c r="A896" s="1" t="s">
        <v>1406</v>
      </c>
      <c r="B896" t="str">
        <f>_xlfn.XLOOKUP(Logs__3[[#This Row],[Cell_ID]],Registre_Maintenance[ID_Antenne],Registre_Maintenance[Province_RDC],"Pas de correspondance")</f>
        <v>Kasaï-Oriental</v>
      </c>
      <c r="C896" s="2">
        <v>45211</v>
      </c>
      <c r="D896" s="3">
        <v>6.3888888888888884E-2</v>
      </c>
      <c r="E896" s="1" t="s">
        <v>1415</v>
      </c>
      <c r="F896">
        <v>6</v>
      </c>
      <c r="G896" s="1" t="s">
        <v>811</v>
      </c>
    </row>
    <row r="897" spans="1:7" x14ac:dyDescent="0.25">
      <c r="A897" s="1" t="s">
        <v>1406</v>
      </c>
      <c r="B897" t="str">
        <f>_xlfn.XLOOKUP(Logs__3[[#This Row],[Cell_ID]],Registre_Maintenance[ID_Antenne],Registre_Maintenance[Province_RDC],"Pas de correspondance")</f>
        <v>Pas de correspondance</v>
      </c>
      <c r="C897" s="2">
        <v>45225</v>
      </c>
      <c r="D897" s="3">
        <v>0.21111111111111111</v>
      </c>
      <c r="E897" s="1" t="s">
        <v>1416</v>
      </c>
      <c r="F897">
        <v>33</v>
      </c>
      <c r="G897" s="1" t="s">
        <v>809</v>
      </c>
    </row>
    <row r="898" spans="1:7" x14ac:dyDescent="0.25">
      <c r="A898" s="1" t="s">
        <v>1406</v>
      </c>
      <c r="B898" t="str">
        <f>_xlfn.XLOOKUP(Logs__3[[#This Row],[Cell_ID]],Registre_Maintenance[ID_Antenne],Registre_Maintenance[Province_RDC],"Pas de correspondance")</f>
        <v>Pas de correspondance</v>
      </c>
      <c r="C898" s="2">
        <v>45209</v>
      </c>
      <c r="D898" s="3">
        <v>0.93888888888888888</v>
      </c>
      <c r="E898" s="1" t="s">
        <v>866</v>
      </c>
      <c r="F898">
        <v>37</v>
      </c>
      <c r="G898" s="1" t="s">
        <v>809</v>
      </c>
    </row>
    <row r="899" spans="1:7" x14ac:dyDescent="0.25">
      <c r="A899" s="1" t="s">
        <v>1406</v>
      </c>
      <c r="B899" t="str">
        <f>_xlfn.XLOOKUP(Logs__3[[#This Row],[Cell_ID]],Registre_Maintenance[ID_Antenne],Registre_Maintenance[Province_RDC],"Pas de correspondance")</f>
        <v>Pas de correspondance</v>
      </c>
      <c r="C899" s="2">
        <v>45212</v>
      </c>
      <c r="D899" s="3">
        <v>0.20069444444444445</v>
      </c>
      <c r="E899" s="1" t="s">
        <v>1074</v>
      </c>
      <c r="F899">
        <v>82</v>
      </c>
      <c r="G899" s="1" t="s">
        <v>806</v>
      </c>
    </row>
    <row r="900" spans="1:7" x14ac:dyDescent="0.25">
      <c r="A900" s="1" t="s">
        <v>1406</v>
      </c>
      <c r="B900" t="str">
        <f>_xlfn.XLOOKUP(Logs__3[[#This Row],[Cell_ID]],Registre_Maintenance[ID_Antenne],Registre_Maintenance[Province_RDC],"Pas de correspondance")</f>
        <v>Pas de correspondance</v>
      </c>
      <c r="C900" s="2">
        <v>45227</v>
      </c>
      <c r="D900" s="3">
        <v>0.7055555555555556</v>
      </c>
      <c r="E900" s="1" t="s">
        <v>1066</v>
      </c>
      <c r="F900">
        <v>108</v>
      </c>
      <c r="G900" s="1" t="s">
        <v>809</v>
      </c>
    </row>
    <row r="901" spans="1:7" x14ac:dyDescent="0.25">
      <c r="A901" s="1" t="s">
        <v>1406</v>
      </c>
      <c r="B901" t="str">
        <f>_xlfn.XLOOKUP(Logs__3[[#This Row],[Cell_ID]],Registre_Maintenance[ID_Antenne],Registre_Maintenance[Province_RDC],"Pas de correspondance")</f>
        <v>Sud-Kivu</v>
      </c>
      <c r="C901" s="2">
        <v>45218</v>
      </c>
      <c r="D901" s="3">
        <v>7.6388888888888886E-3</v>
      </c>
      <c r="E901" s="1" t="s">
        <v>917</v>
      </c>
      <c r="F901">
        <v>44</v>
      </c>
      <c r="G901" s="1" t="s">
        <v>809</v>
      </c>
    </row>
    <row r="902" spans="1:7" x14ac:dyDescent="0.25">
      <c r="A902" s="1" t="s">
        <v>1406</v>
      </c>
      <c r="B902" t="str">
        <f>_xlfn.XLOOKUP(Logs__3[[#This Row],[Cell_ID]],Registre_Maintenance[ID_Antenne],Registre_Maintenance[Province_RDC],"Pas de correspondance")</f>
        <v>Pas de correspondance</v>
      </c>
      <c r="C902" s="2">
        <v>45206</v>
      </c>
      <c r="D902" s="3">
        <v>0.28680555555555554</v>
      </c>
      <c r="E902" s="1" t="s">
        <v>866</v>
      </c>
      <c r="F902">
        <v>96</v>
      </c>
      <c r="G902" s="1" t="s">
        <v>809</v>
      </c>
    </row>
    <row r="903" spans="1:7" x14ac:dyDescent="0.25">
      <c r="A903" s="1" t="s">
        <v>1406</v>
      </c>
      <c r="B903" t="str">
        <f>_xlfn.XLOOKUP(Logs__3[[#This Row],[Cell_ID]],Registre_Maintenance[ID_Antenne],Registre_Maintenance[Province_RDC],"Pas de correspondance")</f>
        <v>Lomami</v>
      </c>
      <c r="C903" s="2">
        <v>45201</v>
      </c>
      <c r="D903" s="3">
        <v>0.29305555555555557</v>
      </c>
      <c r="E903" s="1" t="s">
        <v>1363</v>
      </c>
      <c r="F903">
        <v>95</v>
      </c>
      <c r="G903" s="1" t="s">
        <v>811</v>
      </c>
    </row>
    <row r="904" spans="1:7" x14ac:dyDescent="0.25">
      <c r="A904" s="1" t="s">
        <v>1406</v>
      </c>
      <c r="B904" t="str">
        <f>_xlfn.XLOOKUP(Logs__3[[#This Row],[Cell_ID]],Registre_Maintenance[ID_Antenne],Registre_Maintenance[Province_RDC],"Pas de correspondance")</f>
        <v>Pas de correspondance</v>
      </c>
      <c r="C904" s="2">
        <v>45214</v>
      </c>
      <c r="D904" s="3">
        <v>8.1944444444444445E-2</v>
      </c>
      <c r="E904" s="1" t="s">
        <v>1417</v>
      </c>
      <c r="F904">
        <v>87</v>
      </c>
      <c r="G904" s="1" t="s">
        <v>809</v>
      </c>
    </row>
    <row r="905" spans="1:7" x14ac:dyDescent="0.25">
      <c r="A905" s="1" t="s">
        <v>1406</v>
      </c>
      <c r="B905" t="str">
        <f>_xlfn.XLOOKUP(Logs__3[[#This Row],[Cell_ID]],Registre_Maintenance[ID_Antenne],Registre_Maintenance[Province_RDC],"Pas de correspondance")</f>
        <v>Pas de correspondance</v>
      </c>
      <c r="C905" s="2">
        <v>45211</v>
      </c>
      <c r="D905" s="3">
        <v>0.92500000000000004</v>
      </c>
      <c r="E905" s="1" t="s">
        <v>954</v>
      </c>
      <c r="F905">
        <v>40</v>
      </c>
      <c r="G905" s="1" t="s">
        <v>811</v>
      </c>
    </row>
    <row r="906" spans="1:7" x14ac:dyDescent="0.25">
      <c r="A906" s="1" t="s">
        <v>1406</v>
      </c>
      <c r="B906" t="str">
        <f>_xlfn.XLOOKUP(Logs__3[[#This Row],[Cell_ID]],Registre_Maintenance[ID_Antenne],Registre_Maintenance[Province_RDC],"Pas de correspondance")</f>
        <v>Pas de correspondance</v>
      </c>
      <c r="C906" s="2">
        <v>45208</v>
      </c>
      <c r="D906" s="3">
        <v>0.49444444444444446</v>
      </c>
      <c r="E906" s="1" t="s">
        <v>1152</v>
      </c>
      <c r="F906">
        <v>59</v>
      </c>
      <c r="G906" s="1" t="s">
        <v>809</v>
      </c>
    </row>
    <row r="907" spans="1:7" x14ac:dyDescent="0.25">
      <c r="A907" s="1" t="s">
        <v>1406</v>
      </c>
      <c r="B907" t="str">
        <f>_xlfn.XLOOKUP(Logs__3[[#This Row],[Cell_ID]],Registre_Maintenance[ID_Antenne],Registre_Maintenance[Province_RDC],"Pas de correspondance")</f>
        <v>Lomami</v>
      </c>
      <c r="C907" s="2">
        <v>45214</v>
      </c>
      <c r="D907" s="3">
        <v>0.68402777777777779</v>
      </c>
      <c r="E907" s="1" t="s">
        <v>907</v>
      </c>
      <c r="F907">
        <v>119</v>
      </c>
      <c r="G907" s="1" t="s">
        <v>811</v>
      </c>
    </row>
    <row r="908" spans="1:7" x14ac:dyDescent="0.25">
      <c r="A908" s="1" t="s">
        <v>1406</v>
      </c>
      <c r="B908" t="str">
        <f>_xlfn.XLOOKUP(Logs__3[[#This Row],[Cell_ID]],Registre_Maintenance[ID_Antenne],Registre_Maintenance[Province_RDC],"Pas de correspondance")</f>
        <v>Kongo-Central</v>
      </c>
      <c r="C908" s="2">
        <v>45220</v>
      </c>
      <c r="D908" s="3">
        <v>0.15486111111111112</v>
      </c>
      <c r="E908" s="1" t="s">
        <v>1209</v>
      </c>
      <c r="F908">
        <v>53</v>
      </c>
      <c r="G908" s="1" t="s">
        <v>806</v>
      </c>
    </row>
    <row r="909" spans="1:7" x14ac:dyDescent="0.25">
      <c r="A909" s="1" t="s">
        <v>1406</v>
      </c>
      <c r="B909" t="str">
        <f>_xlfn.XLOOKUP(Logs__3[[#This Row],[Cell_ID]],Registre_Maintenance[ID_Antenne],Registre_Maintenance[Province_RDC],"Pas de correspondance")</f>
        <v>Pas de correspondance</v>
      </c>
      <c r="C909" s="2">
        <v>45200</v>
      </c>
      <c r="D909" s="3">
        <v>0.30763888888888891</v>
      </c>
      <c r="E909" s="1" t="s">
        <v>824</v>
      </c>
      <c r="F909">
        <v>114</v>
      </c>
      <c r="G909" s="1" t="s">
        <v>809</v>
      </c>
    </row>
    <row r="910" spans="1:7" x14ac:dyDescent="0.25">
      <c r="A910" s="1" t="s">
        <v>1406</v>
      </c>
      <c r="B910" t="str">
        <f>_xlfn.XLOOKUP(Logs__3[[#This Row],[Cell_ID]],Registre_Maintenance[ID_Antenne],Registre_Maintenance[Province_RDC],"Pas de correspondance")</f>
        <v>Pas de correspondance</v>
      </c>
      <c r="C910" s="2">
        <v>45215</v>
      </c>
      <c r="D910" s="3">
        <v>0.81111111111111112</v>
      </c>
      <c r="E910" s="1" t="s">
        <v>992</v>
      </c>
      <c r="F910">
        <v>49</v>
      </c>
      <c r="G910" s="1" t="s">
        <v>809</v>
      </c>
    </row>
    <row r="911" spans="1:7" x14ac:dyDescent="0.25">
      <c r="A911" s="1" t="s">
        <v>1406</v>
      </c>
      <c r="B911" t="str">
        <f>_xlfn.XLOOKUP(Logs__3[[#This Row],[Cell_ID]],Registre_Maintenance[ID_Antenne],Registre_Maintenance[Province_RDC],"Pas de correspondance")</f>
        <v>Kongo-Central</v>
      </c>
      <c r="C911" s="2">
        <v>45205</v>
      </c>
      <c r="D911" s="3">
        <v>0.65069444444444446</v>
      </c>
      <c r="E911" s="1" t="s">
        <v>1418</v>
      </c>
      <c r="F911">
        <v>63</v>
      </c>
      <c r="G911" s="1" t="s">
        <v>806</v>
      </c>
    </row>
    <row r="912" spans="1:7" x14ac:dyDescent="0.25">
      <c r="A912" s="1" t="s">
        <v>1406</v>
      </c>
      <c r="B912" t="str">
        <f>_xlfn.XLOOKUP(Logs__3[[#This Row],[Cell_ID]],Registre_Maintenance[ID_Antenne],Registre_Maintenance[Province_RDC],"Pas de correspondance")</f>
        <v>Kwilu</v>
      </c>
      <c r="C912" s="2">
        <v>45217</v>
      </c>
      <c r="D912" s="3">
        <v>0.47361111111111109</v>
      </c>
      <c r="E912" s="1" t="s">
        <v>943</v>
      </c>
      <c r="F912">
        <v>37</v>
      </c>
      <c r="G912" s="1" t="s">
        <v>811</v>
      </c>
    </row>
    <row r="913" spans="1:7" x14ac:dyDescent="0.25">
      <c r="A913" s="1" t="s">
        <v>1406</v>
      </c>
      <c r="B913" t="str">
        <f>_xlfn.XLOOKUP(Logs__3[[#This Row],[Cell_ID]],Registre_Maintenance[ID_Antenne],Registre_Maintenance[Province_RDC],"Pas de correspondance")</f>
        <v>Pas de correspondance</v>
      </c>
      <c r="C913" s="2">
        <v>45205</v>
      </c>
      <c r="D913" s="3">
        <v>0.3659722222222222</v>
      </c>
      <c r="E913" s="1" t="s">
        <v>1236</v>
      </c>
      <c r="F913">
        <v>32</v>
      </c>
      <c r="G913" s="1" t="s">
        <v>806</v>
      </c>
    </row>
    <row r="914" spans="1:7" x14ac:dyDescent="0.25">
      <c r="A914" s="1" t="s">
        <v>1406</v>
      </c>
      <c r="B914" t="str">
        <f>_xlfn.XLOOKUP(Logs__3[[#This Row],[Cell_ID]],Registre_Maintenance[ID_Antenne],Registre_Maintenance[Province_RDC],"Pas de correspondance")</f>
        <v>Pas de correspondance</v>
      </c>
      <c r="C914" s="2">
        <v>45226</v>
      </c>
      <c r="D914" s="3">
        <v>0.92013888888888884</v>
      </c>
      <c r="E914" s="1" t="s">
        <v>850</v>
      </c>
      <c r="F914">
        <v>64</v>
      </c>
      <c r="G914" s="1" t="s">
        <v>811</v>
      </c>
    </row>
    <row r="915" spans="1:7" x14ac:dyDescent="0.25">
      <c r="A915" s="1" t="s">
        <v>1406</v>
      </c>
      <c r="B915" t="str">
        <f>_xlfn.XLOOKUP(Logs__3[[#This Row],[Cell_ID]],Registre_Maintenance[ID_Antenne],Registre_Maintenance[Province_RDC],"Pas de correspondance")</f>
        <v>Pas de correspondance</v>
      </c>
      <c r="C915" s="2">
        <v>45209</v>
      </c>
      <c r="D915" s="3">
        <v>1.6666666666666666E-2</v>
      </c>
      <c r="E915" s="1" t="s">
        <v>1419</v>
      </c>
      <c r="F915">
        <v>43</v>
      </c>
      <c r="G915" s="1" t="s">
        <v>806</v>
      </c>
    </row>
    <row r="916" spans="1:7" x14ac:dyDescent="0.25">
      <c r="A916" s="1" t="s">
        <v>1406</v>
      </c>
      <c r="B916" t="str">
        <f>_xlfn.XLOOKUP(Logs__3[[#This Row],[Cell_ID]],Registre_Maintenance[ID_Antenne],Registre_Maintenance[Province_RDC],"Pas de correspondance")</f>
        <v>Ituri</v>
      </c>
      <c r="C916" s="2">
        <v>45201</v>
      </c>
      <c r="D916" s="3">
        <v>0.24583333333333332</v>
      </c>
      <c r="E916" s="1" t="s">
        <v>1143</v>
      </c>
      <c r="F916">
        <v>91</v>
      </c>
      <c r="G916" s="1" t="s">
        <v>809</v>
      </c>
    </row>
    <row r="917" spans="1:7" x14ac:dyDescent="0.25">
      <c r="A917" s="1" t="s">
        <v>1406</v>
      </c>
      <c r="B917" t="str">
        <f>_xlfn.XLOOKUP(Logs__3[[#This Row],[Cell_ID]],Registre_Maintenance[ID_Antenne],Registre_Maintenance[Province_RDC],"Pas de correspondance")</f>
        <v>Pas de correspondance</v>
      </c>
      <c r="C917" s="2">
        <v>45218</v>
      </c>
      <c r="D917" s="3">
        <v>0.28749999999999998</v>
      </c>
      <c r="E917" s="1" t="s">
        <v>1420</v>
      </c>
      <c r="F917">
        <v>71</v>
      </c>
      <c r="G917" s="1" t="s">
        <v>811</v>
      </c>
    </row>
    <row r="918" spans="1:7" x14ac:dyDescent="0.25">
      <c r="A918" s="1" t="s">
        <v>1421</v>
      </c>
      <c r="B918" t="str">
        <f>_xlfn.XLOOKUP(Logs__3[[#This Row],[Cell_ID]],Registre_Maintenance[ID_Antenne],Registre_Maintenance[Province_RDC],"Pas de correspondance")</f>
        <v>Pas de correspondance</v>
      </c>
      <c r="C918" s="2">
        <v>45220</v>
      </c>
      <c r="D918" s="3">
        <v>9.3055555555555558E-2</v>
      </c>
      <c r="E918" s="1" t="s">
        <v>1382</v>
      </c>
      <c r="F918">
        <v>48</v>
      </c>
      <c r="G918" s="1" t="s">
        <v>806</v>
      </c>
    </row>
    <row r="919" spans="1:7" x14ac:dyDescent="0.25">
      <c r="A919" s="1" t="s">
        <v>1421</v>
      </c>
      <c r="B919" t="str">
        <f>_xlfn.XLOOKUP(Logs__3[[#This Row],[Cell_ID]],Registre_Maintenance[ID_Antenne],Registre_Maintenance[Province_RDC],"Pas de correspondance")</f>
        <v>Pas de correspondance</v>
      </c>
      <c r="C919" s="2">
        <v>45211</v>
      </c>
      <c r="D919" s="3">
        <v>0.32430555555555557</v>
      </c>
      <c r="E919" s="1" t="s">
        <v>1422</v>
      </c>
      <c r="F919">
        <v>120</v>
      </c>
      <c r="G919" s="1" t="s">
        <v>811</v>
      </c>
    </row>
    <row r="920" spans="1:7" x14ac:dyDescent="0.25">
      <c r="A920" s="1" t="s">
        <v>1421</v>
      </c>
      <c r="B920" t="str">
        <f>_xlfn.XLOOKUP(Logs__3[[#This Row],[Cell_ID]],Registre_Maintenance[ID_Antenne],Registre_Maintenance[Province_RDC],"Pas de correspondance")</f>
        <v>Pas de correspondance</v>
      </c>
      <c r="C920" s="2">
        <v>45227</v>
      </c>
      <c r="D920" s="3">
        <v>0.39305555555555555</v>
      </c>
      <c r="E920" s="1" t="s">
        <v>1082</v>
      </c>
      <c r="F920">
        <v>67</v>
      </c>
      <c r="G920" s="1" t="s">
        <v>806</v>
      </c>
    </row>
    <row r="921" spans="1:7" x14ac:dyDescent="0.25">
      <c r="A921" s="1" t="s">
        <v>1421</v>
      </c>
      <c r="B921" t="str">
        <f>_xlfn.XLOOKUP(Logs__3[[#This Row],[Cell_ID]],Registre_Maintenance[ID_Antenne],Registre_Maintenance[Province_RDC],"Pas de correspondance")</f>
        <v>Pas de correspondance</v>
      </c>
      <c r="C921" s="2">
        <v>45225</v>
      </c>
      <c r="D921" s="3">
        <v>0.43263888888888891</v>
      </c>
      <c r="E921" s="1" t="s">
        <v>978</v>
      </c>
      <c r="F921">
        <v>50</v>
      </c>
      <c r="G921" s="1" t="s">
        <v>809</v>
      </c>
    </row>
    <row r="922" spans="1:7" x14ac:dyDescent="0.25">
      <c r="A922" s="1" t="s">
        <v>1421</v>
      </c>
      <c r="B922" t="str">
        <f>_xlfn.XLOOKUP(Logs__3[[#This Row],[Cell_ID]],Registre_Maintenance[ID_Antenne],Registre_Maintenance[Province_RDC],"Pas de correspondance")</f>
        <v>Pas de correspondance</v>
      </c>
      <c r="C922" s="2">
        <v>45208</v>
      </c>
      <c r="D922" s="3">
        <v>0.76249999999999996</v>
      </c>
      <c r="E922" s="1" t="s">
        <v>1423</v>
      </c>
      <c r="F922">
        <v>101</v>
      </c>
      <c r="G922" s="1" t="s">
        <v>806</v>
      </c>
    </row>
    <row r="923" spans="1:7" x14ac:dyDescent="0.25">
      <c r="A923" s="1" t="s">
        <v>1421</v>
      </c>
      <c r="B923" t="str">
        <f>_xlfn.XLOOKUP(Logs__3[[#This Row],[Cell_ID]],Registre_Maintenance[ID_Antenne],Registre_Maintenance[Province_RDC],"Pas de correspondance")</f>
        <v>Pas de correspondance</v>
      </c>
      <c r="C923" s="2">
        <v>45214</v>
      </c>
      <c r="D923" s="3">
        <v>0.14583333333333334</v>
      </c>
      <c r="E923" s="1" t="s">
        <v>1055</v>
      </c>
      <c r="F923">
        <v>29</v>
      </c>
      <c r="G923" s="1" t="s">
        <v>811</v>
      </c>
    </row>
    <row r="924" spans="1:7" x14ac:dyDescent="0.25">
      <c r="A924" s="1" t="s">
        <v>1421</v>
      </c>
      <c r="B924" t="str">
        <f>_xlfn.XLOOKUP(Logs__3[[#This Row],[Cell_ID]],Registre_Maintenance[ID_Antenne],Registre_Maintenance[Province_RDC],"Pas de correspondance")</f>
        <v>Pas de correspondance</v>
      </c>
      <c r="C924" s="2">
        <v>45201</v>
      </c>
      <c r="D924" s="3">
        <v>0.85902777777777772</v>
      </c>
      <c r="E924" s="1" t="s">
        <v>1424</v>
      </c>
      <c r="F924">
        <v>26</v>
      </c>
      <c r="G924" s="1" t="s">
        <v>809</v>
      </c>
    </row>
    <row r="925" spans="1:7" x14ac:dyDescent="0.25">
      <c r="A925" s="1" t="s">
        <v>1421</v>
      </c>
      <c r="B925" t="str">
        <f>_xlfn.XLOOKUP(Logs__3[[#This Row],[Cell_ID]],Registre_Maintenance[ID_Antenne],Registre_Maintenance[Province_RDC],"Pas de correspondance")</f>
        <v>Pas de correspondance</v>
      </c>
      <c r="C925" s="2">
        <v>45218</v>
      </c>
      <c r="D925" s="3">
        <v>0.7944444444444444</v>
      </c>
      <c r="E925" s="1" t="s">
        <v>1425</v>
      </c>
      <c r="F925">
        <v>108</v>
      </c>
      <c r="G925" s="1" t="s">
        <v>806</v>
      </c>
    </row>
    <row r="926" spans="1:7" x14ac:dyDescent="0.25">
      <c r="A926" s="1" t="s">
        <v>1421</v>
      </c>
      <c r="B926" t="str">
        <f>_xlfn.XLOOKUP(Logs__3[[#This Row],[Cell_ID]],Registre_Maintenance[ID_Antenne],Registre_Maintenance[Province_RDC],"Pas de correspondance")</f>
        <v>Pas de correspondance</v>
      </c>
      <c r="C926" s="2">
        <v>45215</v>
      </c>
      <c r="D926" s="3">
        <v>0.2722222222222222</v>
      </c>
      <c r="E926" s="1" t="s">
        <v>1426</v>
      </c>
      <c r="F926">
        <v>56</v>
      </c>
      <c r="G926" s="1" t="s">
        <v>811</v>
      </c>
    </row>
    <row r="927" spans="1:7" x14ac:dyDescent="0.25">
      <c r="A927" s="1" t="s">
        <v>1421</v>
      </c>
      <c r="B927" t="str">
        <f>_xlfn.XLOOKUP(Logs__3[[#This Row],[Cell_ID]],Registre_Maintenance[ID_Antenne],Registre_Maintenance[Province_RDC],"Pas de correspondance")</f>
        <v>Pas de correspondance</v>
      </c>
      <c r="C927" s="2">
        <v>45203</v>
      </c>
      <c r="D927" s="3">
        <v>0.89166666666666672</v>
      </c>
      <c r="E927" s="1" t="s">
        <v>977</v>
      </c>
      <c r="F927">
        <v>7</v>
      </c>
      <c r="G927" s="1" t="s">
        <v>809</v>
      </c>
    </row>
    <row r="928" spans="1:7" x14ac:dyDescent="0.25">
      <c r="A928" s="1" t="s">
        <v>1421</v>
      </c>
      <c r="B928" t="str">
        <f>_xlfn.XLOOKUP(Logs__3[[#This Row],[Cell_ID]],Registre_Maintenance[ID_Antenne],Registre_Maintenance[Province_RDC],"Pas de correspondance")</f>
        <v>Pas de correspondance</v>
      </c>
      <c r="C928" s="2">
        <v>45216</v>
      </c>
      <c r="D928" s="3">
        <v>0.39305555555555555</v>
      </c>
      <c r="E928" s="1" t="s">
        <v>1427</v>
      </c>
      <c r="F928">
        <v>34</v>
      </c>
      <c r="G928" s="1" t="s">
        <v>811</v>
      </c>
    </row>
    <row r="929" spans="1:7" x14ac:dyDescent="0.25">
      <c r="A929" s="1" t="s">
        <v>1421</v>
      </c>
      <c r="B929" t="str">
        <f>_xlfn.XLOOKUP(Logs__3[[#This Row],[Cell_ID]],Registre_Maintenance[ID_Antenne],Registre_Maintenance[Province_RDC],"Pas de correspondance")</f>
        <v>Nord-Ubangi</v>
      </c>
      <c r="C929" s="2">
        <v>45201</v>
      </c>
      <c r="D929" s="3">
        <v>0.17222222222222222</v>
      </c>
      <c r="E929" s="1" t="s">
        <v>1428</v>
      </c>
      <c r="F929">
        <v>33</v>
      </c>
      <c r="G929" s="1" t="s">
        <v>811</v>
      </c>
    </row>
    <row r="930" spans="1:7" x14ac:dyDescent="0.25">
      <c r="A930" s="1" t="s">
        <v>1421</v>
      </c>
      <c r="B930" t="str">
        <f>_xlfn.XLOOKUP(Logs__3[[#This Row],[Cell_ID]],Registre_Maintenance[ID_Antenne],Registre_Maintenance[Province_RDC],"Pas de correspondance")</f>
        <v>Pas de correspondance</v>
      </c>
      <c r="C930" s="2">
        <v>45206</v>
      </c>
      <c r="D930" s="3">
        <v>0.43472222222222223</v>
      </c>
      <c r="E930" s="1" t="s">
        <v>829</v>
      </c>
      <c r="F930">
        <v>98</v>
      </c>
      <c r="G930" s="1" t="s">
        <v>806</v>
      </c>
    </row>
    <row r="931" spans="1:7" x14ac:dyDescent="0.25">
      <c r="A931" s="1" t="s">
        <v>1421</v>
      </c>
      <c r="B931" t="str">
        <f>_xlfn.XLOOKUP(Logs__3[[#This Row],[Cell_ID]],Registre_Maintenance[ID_Antenne],Registre_Maintenance[Province_RDC],"Pas de correspondance")</f>
        <v>Sud-Kivu</v>
      </c>
      <c r="C931" s="2">
        <v>45218</v>
      </c>
      <c r="D931" s="3">
        <v>0.58958333333333335</v>
      </c>
      <c r="E931" s="1" t="s">
        <v>1322</v>
      </c>
      <c r="F931">
        <v>21</v>
      </c>
      <c r="G931" s="1" t="s">
        <v>806</v>
      </c>
    </row>
    <row r="932" spans="1:7" x14ac:dyDescent="0.25">
      <c r="A932" s="1" t="s">
        <v>1421</v>
      </c>
      <c r="B932" t="str">
        <f>_xlfn.XLOOKUP(Logs__3[[#This Row],[Cell_ID]],Registre_Maintenance[ID_Antenne],Registre_Maintenance[Province_RDC],"Pas de correspondance")</f>
        <v>Pas de correspondance</v>
      </c>
      <c r="C932" s="2">
        <v>45210</v>
      </c>
      <c r="D932" s="3">
        <v>0.9243055555555556</v>
      </c>
      <c r="E932" s="1" t="s">
        <v>1429</v>
      </c>
      <c r="F932">
        <v>32</v>
      </c>
      <c r="G932" s="1" t="s">
        <v>809</v>
      </c>
    </row>
    <row r="933" spans="1:7" x14ac:dyDescent="0.25">
      <c r="A933" s="1" t="s">
        <v>1421</v>
      </c>
      <c r="B933" t="str">
        <f>_xlfn.XLOOKUP(Logs__3[[#This Row],[Cell_ID]],Registre_Maintenance[ID_Antenne],Registre_Maintenance[Province_RDC],"Pas de correspondance")</f>
        <v>Tanganyika</v>
      </c>
      <c r="C933" s="2">
        <v>45224</v>
      </c>
      <c r="D933" s="3">
        <v>0.10486111111111111</v>
      </c>
      <c r="E933" s="1" t="s">
        <v>1430</v>
      </c>
      <c r="F933">
        <v>98</v>
      </c>
      <c r="G933" s="1" t="s">
        <v>811</v>
      </c>
    </row>
    <row r="934" spans="1:7" x14ac:dyDescent="0.25">
      <c r="A934" s="1" t="s">
        <v>1421</v>
      </c>
      <c r="B934" t="str">
        <f>_xlfn.XLOOKUP(Logs__3[[#This Row],[Cell_ID]],Registre_Maintenance[ID_Antenne],Registre_Maintenance[Province_RDC],"Pas de correspondance")</f>
        <v>Pas de correspondance</v>
      </c>
      <c r="C934" s="2">
        <v>45210</v>
      </c>
      <c r="D934" s="3">
        <v>0.84097222222222223</v>
      </c>
      <c r="E934" s="1" t="s">
        <v>1010</v>
      </c>
      <c r="F934">
        <v>7</v>
      </c>
      <c r="G934" s="1" t="s">
        <v>806</v>
      </c>
    </row>
    <row r="935" spans="1:7" x14ac:dyDescent="0.25">
      <c r="A935" s="1" t="s">
        <v>1421</v>
      </c>
      <c r="B935" t="str">
        <f>_xlfn.XLOOKUP(Logs__3[[#This Row],[Cell_ID]],Registre_Maintenance[ID_Antenne],Registre_Maintenance[Province_RDC],"Pas de correspondance")</f>
        <v>Pas de correspondance</v>
      </c>
      <c r="C935" s="2">
        <v>45210</v>
      </c>
      <c r="D935" s="3">
        <v>0.8354166666666667</v>
      </c>
      <c r="E935" s="1" t="s">
        <v>879</v>
      </c>
      <c r="F935">
        <v>80</v>
      </c>
      <c r="G935" s="1" t="s">
        <v>809</v>
      </c>
    </row>
    <row r="936" spans="1:7" x14ac:dyDescent="0.25">
      <c r="A936" s="1" t="s">
        <v>1421</v>
      </c>
      <c r="B936" t="str">
        <f>_xlfn.XLOOKUP(Logs__3[[#This Row],[Cell_ID]],Registre_Maintenance[ID_Antenne],Registre_Maintenance[Province_RDC],"Pas de correspondance")</f>
        <v>Pas de correspondance</v>
      </c>
      <c r="C936" s="2">
        <v>45200</v>
      </c>
      <c r="D936" s="3">
        <v>0.59513888888888888</v>
      </c>
      <c r="E936" s="1" t="s">
        <v>1321</v>
      </c>
      <c r="F936">
        <v>69</v>
      </c>
      <c r="G936" s="1" t="s">
        <v>811</v>
      </c>
    </row>
    <row r="937" spans="1:7" x14ac:dyDescent="0.25">
      <c r="A937" s="1" t="s">
        <v>1421</v>
      </c>
      <c r="B937" t="str">
        <f>_xlfn.XLOOKUP(Logs__3[[#This Row],[Cell_ID]],Registre_Maintenance[ID_Antenne],Registre_Maintenance[Province_RDC],"Pas de correspondance")</f>
        <v>Mai-Ndombe</v>
      </c>
      <c r="C937" s="2">
        <v>45206</v>
      </c>
      <c r="D937" s="3">
        <v>0.23333333333333334</v>
      </c>
      <c r="E937" s="1" t="s">
        <v>1431</v>
      </c>
      <c r="F937">
        <v>26</v>
      </c>
      <c r="G937" s="1" t="s">
        <v>811</v>
      </c>
    </row>
    <row r="938" spans="1:7" x14ac:dyDescent="0.25">
      <c r="A938" s="1" t="s">
        <v>1421</v>
      </c>
      <c r="B938" t="str">
        <f>_xlfn.XLOOKUP(Logs__3[[#This Row],[Cell_ID]],Registre_Maintenance[ID_Antenne],Registre_Maintenance[Province_RDC],"Pas de correspondance")</f>
        <v>Nord-Kivu</v>
      </c>
      <c r="C938" s="2">
        <v>45224</v>
      </c>
      <c r="D938" s="3">
        <v>0.2298611111111111</v>
      </c>
      <c r="E938" s="1" t="s">
        <v>1432</v>
      </c>
      <c r="F938">
        <v>20</v>
      </c>
      <c r="G938" s="1" t="s">
        <v>806</v>
      </c>
    </row>
    <row r="939" spans="1:7" x14ac:dyDescent="0.25">
      <c r="A939" s="1" t="s">
        <v>1421</v>
      </c>
      <c r="B939" t="str">
        <f>_xlfn.XLOOKUP(Logs__3[[#This Row],[Cell_ID]],Registre_Maintenance[ID_Antenne],Registre_Maintenance[Province_RDC],"Pas de correspondance")</f>
        <v>Pas de correspondance</v>
      </c>
      <c r="C939" s="2">
        <v>45225</v>
      </c>
      <c r="D939" s="3">
        <v>8.8888888888888892E-2</v>
      </c>
      <c r="E939" s="1" t="s">
        <v>1433</v>
      </c>
      <c r="F939">
        <v>51</v>
      </c>
      <c r="G939" s="1" t="s">
        <v>806</v>
      </c>
    </row>
    <row r="940" spans="1:7" x14ac:dyDescent="0.25">
      <c r="A940" s="1" t="s">
        <v>1421</v>
      </c>
      <c r="B940" t="str">
        <f>_xlfn.XLOOKUP(Logs__3[[#This Row],[Cell_ID]],Registre_Maintenance[ID_Antenne],Registre_Maintenance[Province_RDC],"Pas de correspondance")</f>
        <v>Kongo-Central</v>
      </c>
      <c r="C940" s="2">
        <v>45219</v>
      </c>
      <c r="D940" s="3">
        <v>0.56944444444444442</v>
      </c>
      <c r="E940" s="1" t="s">
        <v>1361</v>
      </c>
      <c r="F940">
        <v>96</v>
      </c>
      <c r="G940" s="1" t="s">
        <v>806</v>
      </c>
    </row>
    <row r="941" spans="1:7" x14ac:dyDescent="0.25">
      <c r="A941" s="1" t="s">
        <v>1421</v>
      </c>
      <c r="B941" t="str">
        <f>_xlfn.XLOOKUP(Logs__3[[#This Row],[Cell_ID]],Registre_Maintenance[ID_Antenne],Registre_Maintenance[Province_RDC],"Pas de correspondance")</f>
        <v>Lomami</v>
      </c>
      <c r="C941" s="2">
        <v>45213</v>
      </c>
      <c r="D941" s="3">
        <v>0.51875000000000004</v>
      </c>
      <c r="E941" s="1" t="s">
        <v>1346</v>
      </c>
      <c r="F941">
        <v>88</v>
      </c>
      <c r="G941" s="1" t="s">
        <v>809</v>
      </c>
    </row>
    <row r="942" spans="1:7" x14ac:dyDescent="0.25">
      <c r="A942" s="1" t="s">
        <v>1421</v>
      </c>
      <c r="B942" t="str">
        <f>_xlfn.XLOOKUP(Logs__3[[#This Row],[Cell_ID]],Registre_Maintenance[ID_Antenne],Registre_Maintenance[Province_RDC],"Pas de correspondance")</f>
        <v>Pas de correspondance</v>
      </c>
      <c r="C942" s="2">
        <v>45230</v>
      </c>
      <c r="D942" s="3">
        <v>0.64166666666666672</v>
      </c>
      <c r="E942" s="1" t="s">
        <v>1434</v>
      </c>
      <c r="F942">
        <v>106</v>
      </c>
      <c r="G942" s="1" t="s">
        <v>806</v>
      </c>
    </row>
    <row r="943" spans="1:7" x14ac:dyDescent="0.25">
      <c r="A943" s="1" t="s">
        <v>1421</v>
      </c>
      <c r="B943" t="str">
        <f>_xlfn.XLOOKUP(Logs__3[[#This Row],[Cell_ID]],Registre_Maintenance[ID_Antenne],Registre_Maintenance[Province_RDC],"Pas de correspondance")</f>
        <v>Pas de correspondance</v>
      </c>
      <c r="C943" s="2">
        <v>45200</v>
      </c>
      <c r="D943" s="3">
        <v>6.5277777777777782E-2</v>
      </c>
      <c r="E943" s="1" t="s">
        <v>995</v>
      </c>
      <c r="F943">
        <v>9</v>
      </c>
      <c r="G943" s="1" t="s">
        <v>806</v>
      </c>
    </row>
    <row r="944" spans="1:7" x14ac:dyDescent="0.25">
      <c r="A944" s="1" t="s">
        <v>1421</v>
      </c>
      <c r="B944" t="str">
        <f>_xlfn.XLOOKUP(Logs__3[[#This Row],[Cell_ID]],Registre_Maintenance[ID_Antenne],Registre_Maintenance[Province_RDC],"Pas de correspondance")</f>
        <v>Haut-Katanga</v>
      </c>
      <c r="C944" s="2">
        <v>45206</v>
      </c>
      <c r="D944" s="3">
        <v>0.97430555555555554</v>
      </c>
      <c r="E944" s="1" t="s">
        <v>1435</v>
      </c>
      <c r="F944">
        <v>53</v>
      </c>
      <c r="G944" s="1" t="s">
        <v>809</v>
      </c>
    </row>
    <row r="945" spans="1:7" x14ac:dyDescent="0.25">
      <c r="A945" s="1" t="s">
        <v>1421</v>
      </c>
      <c r="B945" t="str">
        <f>_xlfn.XLOOKUP(Logs__3[[#This Row],[Cell_ID]],Registre_Maintenance[ID_Antenne],Registre_Maintenance[Province_RDC],"Pas de correspondance")</f>
        <v>Pas de correspondance</v>
      </c>
      <c r="C945" s="2">
        <v>45230</v>
      </c>
      <c r="D945" s="3">
        <v>3.9583333333333331E-2</v>
      </c>
      <c r="E945" s="1" t="s">
        <v>1348</v>
      </c>
      <c r="F945">
        <v>117</v>
      </c>
      <c r="G945" s="1" t="s">
        <v>809</v>
      </c>
    </row>
    <row r="946" spans="1:7" x14ac:dyDescent="0.25">
      <c r="A946" s="1" t="s">
        <v>1421</v>
      </c>
      <c r="B946" t="str">
        <f>_xlfn.XLOOKUP(Logs__3[[#This Row],[Cell_ID]],Registre_Maintenance[ID_Antenne],Registre_Maintenance[Province_RDC],"Pas de correspondance")</f>
        <v>Pas de correspondance</v>
      </c>
      <c r="C946" s="2">
        <v>45210</v>
      </c>
      <c r="D946" s="3">
        <v>0.67500000000000004</v>
      </c>
      <c r="E946" s="1" t="s">
        <v>1018</v>
      </c>
      <c r="F946">
        <v>86</v>
      </c>
      <c r="G946" s="1" t="s">
        <v>811</v>
      </c>
    </row>
    <row r="947" spans="1:7" x14ac:dyDescent="0.25">
      <c r="A947" s="1" t="s">
        <v>1421</v>
      </c>
      <c r="B947" t="str">
        <f>_xlfn.XLOOKUP(Logs__3[[#This Row],[Cell_ID]],Registre_Maintenance[ID_Antenne],Registre_Maintenance[Province_RDC],"Pas de correspondance")</f>
        <v>Pas de correspondance</v>
      </c>
      <c r="C947" s="2">
        <v>45220</v>
      </c>
      <c r="D947" s="3">
        <v>0.96875</v>
      </c>
      <c r="E947" s="1" t="s">
        <v>910</v>
      </c>
      <c r="F947">
        <v>103</v>
      </c>
      <c r="G947" s="1" t="s">
        <v>806</v>
      </c>
    </row>
    <row r="948" spans="1:7" x14ac:dyDescent="0.25">
      <c r="A948" s="1" t="s">
        <v>1421</v>
      </c>
      <c r="B948" t="str">
        <f>_xlfn.XLOOKUP(Logs__3[[#This Row],[Cell_ID]],Registre_Maintenance[ID_Antenne],Registre_Maintenance[Province_RDC],"Pas de correspondance")</f>
        <v>Haut-Katanga</v>
      </c>
      <c r="C948" s="2">
        <v>45207</v>
      </c>
      <c r="D948" s="3">
        <v>0.9555555555555556</v>
      </c>
      <c r="E948" s="1" t="s">
        <v>1057</v>
      </c>
      <c r="F948">
        <v>73</v>
      </c>
      <c r="G948" s="1" t="s">
        <v>809</v>
      </c>
    </row>
    <row r="949" spans="1:7" x14ac:dyDescent="0.25">
      <c r="A949" s="1" t="s">
        <v>1421</v>
      </c>
      <c r="B949" t="str">
        <f>_xlfn.XLOOKUP(Logs__3[[#This Row],[Cell_ID]],Registre_Maintenance[ID_Antenne],Registre_Maintenance[Province_RDC],"Pas de correspondance")</f>
        <v>Pas de correspondance</v>
      </c>
      <c r="C949" s="2">
        <v>45211</v>
      </c>
      <c r="D949" s="3">
        <v>0.38055555555555554</v>
      </c>
      <c r="E949" s="1" t="s">
        <v>1436</v>
      </c>
      <c r="F949">
        <v>84</v>
      </c>
      <c r="G949" s="1" t="s">
        <v>806</v>
      </c>
    </row>
    <row r="950" spans="1:7" x14ac:dyDescent="0.25">
      <c r="A950" s="1" t="s">
        <v>1421</v>
      </c>
      <c r="B950" t="str">
        <f>_xlfn.XLOOKUP(Logs__3[[#This Row],[Cell_ID]],Registre_Maintenance[ID_Antenne],Registre_Maintenance[Province_RDC],"Pas de correspondance")</f>
        <v>Kwilu</v>
      </c>
      <c r="C950" s="2">
        <v>45203</v>
      </c>
      <c r="D950" s="3">
        <v>0.52222222222222225</v>
      </c>
      <c r="E950" s="1" t="s">
        <v>1302</v>
      </c>
      <c r="F950">
        <v>11</v>
      </c>
      <c r="G950" s="1" t="s">
        <v>809</v>
      </c>
    </row>
    <row r="951" spans="1:7" x14ac:dyDescent="0.25">
      <c r="A951" s="1" t="s">
        <v>1421</v>
      </c>
      <c r="B951" t="str">
        <f>_xlfn.XLOOKUP(Logs__3[[#This Row],[Cell_ID]],Registre_Maintenance[ID_Antenne],Registre_Maintenance[Province_RDC],"Pas de correspondance")</f>
        <v>Kongo-Central</v>
      </c>
      <c r="C951" s="2">
        <v>45218</v>
      </c>
      <c r="D951" s="3">
        <v>0.38194444444444442</v>
      </c>
      <c r="E951" s="1" t="s">
        <v>813</v>
      </c>
      <c r="F951">
        <v>81</v>
      </c>
      <c r="G951" s="1" t="s">
        <v>809</v>
      </c>
    </row>
    <row r="952" spans="1:7" x14ac:dyDescent="0.25">
      <c r="A952" s="1" t="s">
        <v>1421</v>
      </c>
      <c r="B952" t="str">
        <f>_xlfn.XLOOKUP(Logs__3[[#This Row],[Cell_ID]],Registre_Maintenance[ID_Antenne],Registre_Maintenance[Province_RDC],"Pas de correspondance")</f>
        <v>Pas de correspondance</v>
      </c>
      <c r="C952" s="2">
        <v>45202</v>
      </c>
      <c r="D952" s="3">
        <v>5.486111111111111E-2</v>
      </c>
      <c r="E952" s="1" t="s">
        <v>1080</v>
      </c>
      <c r="F952">
        <v>11</v>
      </c>
      <c r="G952" s="1" t="s">
        <v>806</v>
      </c>
    </row>
    <row r="953" spans="1:7" x14ac:dyDescent="0.25">
      <c r="A953" s="1" t="s">
        <v>1421</v>
      </c>
      <c r="B953" t="str">
        <f>_xlfn.XLOOKUP(Logs__3[[#This Row],[Cell_ID]],Registre_Maintenance[ID_Antenne],Registre_Maintenance[Province_RDC],"Pas de correspondance")</f>
        <v>Bas-Uele</v>
      </c>
      <c r="C953" s="2">
        <v>45230</v>
      </c>
      <c r="D953" s="3">
        <v>0.39513888888888887</v>
      </c>
      <c r="E953" s="1" t="s">
        <v>1437</v>
      </c>
      <c r="F953">
        <v>89</v>
      </c>
      <c r="G953" s="1" t="s">
        <v>811</v>
      </c>
    </row>
    <row r="954" spans="1:7" x14ac:dyDescent="0.25">
      <c r="A954" s="1" t="s">
        <v>1421</v>
      </c>
      <c r="B954" t="str">
        <f>_xlfn.XLOOKUP(Logs__3[[#This Row],[Cell_ID]],Registre_Maintenance[ID_Antenne],Registre_Maintenance[Province_RDC],"Pas de correspondance")</f>
        <v>Pas de correspondance</v>
      </c>
      <c r="C954" s="2">
        <v>45223</v>
      </c>
      <c r="D954" s="3">
        <v>0.69305555555555554</v>
      </c>
      <c r="E954" s="1" t="s">
        <v>1414</v>
      </c>
      <c r="F954">
        <v>18</v>
      </c>
      <c r="G954" s="1" t="s">
        <v>809</v>
      </c>
    </row>
    <row r="955" spans="1:7" x14ac:dyDescent="0.25">
      <c r="A955" s="1" t="s">
        <v>1421</v>
      </c>
      <c r="B955" t="str">
        <f>_xlfn.XLOOKUP(Logs__3[[#This Row],[Cell_ID]],Registre_Maintenance[ID_Antenne],Registre_Maintenance[Province_RDC],"Pas de correspondance")</f>
        <v>Maniema</v>
      </c>
      <c r="C955" s="2">
        <v>45216</v>
      </c>
      <c r="D955" s="3">
        <v>0.43541666666666667</v>
      </c>
      <c r="E955" s="1" t="s">
        <v>1274</v>
      </c>
      <c r="F955">
        <v>88</v>
      </c>
      <c r="G955" s="1" t="s">
        <v>806</v>
      </c>
    </row>
    <row r="956" spans="1:7" x14ac:dyDescent="0.25">
      <c r="A956" s="1" t="s">
        <v>1421</v>
      </c>
      <c r="B956" t="str">
        <f>_xlfn.XLOOKUP(Logs__3[[#This Row],[Cell_ID]],Registre_Maintenance[ID_Antenne],Registre_Maintenance[Province_RDC],"Pas de correspondance")</f>
        <v>Pas de correspondance</v>
      </c>
      <c r="C956" s="2">
        <v>45228</v>
      </c>
      <c r="D956" s="3">
        <v>0.88055555555555554</v>
      </c>
      <c r="E956" s="1" t="s">
        <v>1101</v>
      </c>
      <c r="F956">
        <v>112</v>
      </c>
      <c r="G956" s="1" t="s">
        <v>811</v>
      </c>
    </row>
    <row r="957" spans="1:7" x14ac:dyDescent="0.25">
      <c r="A957" s="1" t="s">
        <v>1438</v>
      </c>
      <c r="B957" t="str">
        <f>_xlfn.XLOOKUP(Logs__3[[#This Row],[Cell_ID]],Registre_Maintenance[ID_Antenne],Registre_Maintenance[Province_RDC],"Pas de correspondance")</f>
        <v>Haut-Uele</v>
      </c>
      <c r="C957" s="2">
        <v>45211</v>
      </c>
      <c r="D957" s="3">
        <v>0.88888888888888884</v>
      </c>
      <c r="E957" s="1" t="s">
        <v>1215</v>
      </c>
      <c r="F957">
        <v>87</v>
      </c>
      <c r="G957" s="1" t="s">
        <v>809</v>
      </c>
    </row>
    <row r="958" spans="1:7" x14ac:dyDescent="0.25">
      <c r="A958" s="1" t="s">
        <v>1438</v>
      </c>
      <c r="B958" t="str">
        <f>_xlfn.XLOOKUP(Logs__3[[#This Row],[Cell_ID]],Registre_Maintenance[ID_Antenne],Registre_Maintenance[Province_RDC],"Pas de correspondance")</f>
        <v>Pas de correspondance</v>
      </c>
      <c r="C958" s="2">
        <v>45213</v>
      </c>
      <c r="D958" s="3">
        <v>0.96319444444444446</v>
      </c>
      <c r="E958" s="1" t="s">
        <v>1439</v>
      </c>
      <c r="F958">
        <v>25</v>
      </c>
      <c r="G958" s="1" t="s">
        <v>809</v>
      </c>
    </row>
    <row r="959" spans="1:7" x14ac:dyDescent="0.25">
      <c r="A959" s="1" t="s">
        <v>1438</v>
      </c>
      <c r="B959" t="str">
        <f>_xlfn.XLOOKUP(Logs__3[[#This Row],[Cell_ID]],Registre_Maintenance[ID_Antenne],Registre_Maintenance[Province_RDC],"Pas de correspondance")</f>
        <v>Bas-Uele</v>
      </c>
      <c r="C959" s="2">
        <v>45203</v>
      </c>
      <c r="D959" s="3">
        <v>4.1666666666666664E-2</v>
      </c>
      <c r="E959" s="1" t="s">
        <v>1127</v>
      </c>
      <c r="F959">
        <v>69</v>
      </c>
      <c r="G959" s="1" t="s">
        <v>811</v>
      </c>
    </row>
    <row r="960" spans="1:7" x14ac:dyDescent="0.25">
      <c r="A960" s="1" t="s">
        <v>1438</v>
      </c>
      <c r="B960" t="str">
        <f>_xlfn.XLOOKUP(Logs__3[[#This Row],[Cell_ID]],Registre_Maintenance[ID_Antenne],Registre_Maintenance[Province_RDC],"Pas de correspondance")</f>
        <v>Pas de correspondance</v>
      </c>
      <c r="C960" s="2">
        <v>45227</v>
      </c>
      <c r="D960" s="3">
        <v>0.19583333333333333</v>
      </c>
      <c r="E960" s="1" t="s">
        <v>981</v>
      </c>
      <c r="F960">
        <v>113</v>
      </c>
      <c r="G960" s="1" t="s">
        <v>809</v>
      </c>
    </row>
    <row r="961" spans="1:7" x14ac:dyDescent="0.25">
      <c r="A961" s="1" t="s">
        <v>1438</v>
      </c>
      <c r="B961" t="str">
        <f>_xlfn.XLOOKUP(Logs__3[[#This Row],[Cell_ID]],Registre_Maintenance[ID_Antenne],Registre_Maintenance[Province_RDC],"Pas de correspondance")</f>
        <v>Pas de correspondance</v>
      </c>
      <c r="C961" s="2">
        <v>45220</v>
      </c>
      <c r="D961" s="3">
        <v>0.22291666666666668</v>
      </c>
      <c r="E961" s="1" t="s">
        <v>1347</v>
      </c>
      <c r="F961">
        <v>65</v>
      </c>
      <c r="G961" s="1" t="s">
        <v>811</v>
      </c>
    </row>
    <row r="962" spans="1:7" x14ac:dyDescent="0.25">
      <c r="A962" s="1" t="s">
        <v>1438</v>
      </c>
      <c r="B962" t="str">
        <f>_xlfn.XLOOKUP(Logs__3[[#This Row],[Cell_ID]],Registre_Maintenance[ID_Antenne],Registre_Maintenance[Province_RDC],"Pas de correspondance")</f>
        <v>Ituri</v>
      </c>
      <c r="C962" s="2">
        <v>45211</v>
      </c>
      <c r="D962" s="3">
        <v>0.61041666666666672</v>
      </c>
      <c r="E962" s="1" t="s">
        <v>887</v>
      </c>
      <c r="F962">
        <v>114</v>
      </c>
      <c r="G962" s="1" t="s">
        <v>806</v>
      </c>
    </row>
    <row r="963" spans="1:7" x14ac:dyDescent="0.25">
      <c r="A963" s="1" t="s">
        <v>1438</v>
      </c>
      <c r="B963" t="str">
        <f>_xlfn.XLOOKUP(Logs__3[[#This Row],[Cell_ID]],Registre_Maintenance[ID_Antenne],Registre_Maintenance[Province_RDC],"Pas de correspondance")</f>
        <v>Bas-Uele</v>
      </c>
      <c r="C963" s="2">
        <v>45208</v>
      </c>
      <c r="D963" s="3">
        <v>0.96180555555555558</v>
      </c>
      <c r="E963" s="1" t="s">
        <v>1440</v>
      </c>
      <c r="F963">
        <v>68</v>
      </c>
      <c r="G963" s="1" t="s">
        <v>806</v>
      </c>
    </row>
    <row r="964" spans="1:7" x14ac:dyDescent="0.25">
      <c r="A964" s="1" t="s">
        <v>1438</v>
      </c>
      <c r="B964" t="str">
        <f>_xlfn.XLOOKUP(Logs__3[[#This Row],[Cell_ID]],Registre_Maintenance[ID_Antenne],Registre_Maintenance[Province_RDC],"Pas de correspondance")</f>
        <v>Nord-Kivu</v>
      </c>
      <c r="C964" s="2">
        <v>45211</v>
      </c>
      <c r="D964" s="3">
        <v>0.42430555555555555</v>
      </c>
      <c r="E964" s="1" t="s">
        <v>1001</v>
      </c>
      <c r="F964">
        <v>116</v>
      </c>
      <c r="G964" s="1" t="s">
        <v>809</v>
      </c>
    </row>
    <row r="965" spans="1:7" x14ac:dyDescent="0.25">
      <c r="A965" s="1" t="s">
        <v>1438</v>
      </c>
      <c r="B965" t="str">
        <f>_xlfn.XLOOKUP(Logs__3[[#This Row],[Cell_ID]],Registre_Maintenance[ID_Antenne],Registre_Maintenance[Province_RDC],"Pas de correspondance")</f>
        <v>Nord-Ubangi</v>
      </c>
      <c r="C965" s="2">
        <v>45203</v>
      </c>
      <c r="D965" s="3">
        <v>0.51736111111111116</v>
      </c>
      <c r="E965" s="1" t="s">
        <v>837</v>
      </c>
      <c r="F965">
        <v>26</v>
      </c>
      <c r="G965" s="1" t="s">
        <v>806</v>
      </c>
    </row>
    <row r="966" spans="1:7" x14ac:dyDescent="0.25">
      <c r="A966" s="1" t="s">
        <v>1438</v>
      </c>
      <c r="B966" t="str">
        <f>_xlfn.XLOOKUP(Logs__3[[#This Row],[Cell_ID]],Registre_Maintenance[ID_Antenne],Registre_Maintenance[Province_RDC],"Pas de correspondance")</f>
        <v>Kinshasa</v>
      </c>
      <c r="C966" s="2">
        <v>45230</v>
      </c>
      <c r="D966" s="3">
        <v>0.59513888888888888</v>
      </c>
      <c r="E966" s="1" t="s">
        <v>1441</v>
      </c>
      <c r="F966">
        <v>14</v>
      </c>
      <c r="G966" s="1" t="s">
        <v>806</v>
      </c>
    </row>
    <row r="967" spans="1:7" x14ac:dyDescent="0.25">
      <c r="A967" s="1" t="s">
        <v>1438</v>
      </c>
      <c r="B967" t="str">
        <f>_xlfn.XLOOKUP(Logs__3[[#This Row],[Cell_ID]],Registre_Maintenance[ID_Antenne],Registre_Maintenance[Province_RDC],"Pas de correspondance")</f>
        <v>Maniema</v>
      </c>
      <c r="C967" s="2">
        <v>45226</v>
      </c>
      <c r="D967" s="3">
        <v>0.53055555555555556</v>
      </c>
      <c r="E967" s="1" t="s">
        <v>1442</v>
      </c>
      <c r="F967">
        <v>101</v>
      </c>
      <c r="G967" s="1" t="s">
        <v>811</v>
      </c>
    </row>
    <row r="968" spans="1:7" x14ac:dyDescent="0.25">
      <c r="A968" s="1" t="s">
        <v>1438</v>
      </c>
      <c r="B968" t="str">
        <f>_xlfn.XLOOKUP(Logs__3[[#This Row],[Cell_ID]],Registre_Maintenance[ID_Antenne],Registre_Maintenance[Province_RDC],"Pas de correspondance")</f>
        <v>Kasaï</v>
      </c>
      <c r="C968" s="2">
        <v>45227</v>
      </c>
      <c r="D968" s="3">
        <v>0.66041666666666665</v>
      </c>
      <c r="E968" s="1" t="s">
        <v>1142</v>
      </c>
      <c r="F968">
        <v>67</v>
      </c>
      <c r="G968" s="1" t="s">
        <v>811</v>
      </c>
    </row>
    <row r="969" spans="1:7" x14ac:dyDescent="0.25">
      <c r="A969" s="1" t="s">
        <v>1438</v>
      </c>
      <c r="B969" t="str">
        <f>_xlfn.XLOOKUP(Logs__3[[#This Row],[Cell_ID]],Registre_Maintenance[ID_Antenne],Registre_Maintenance[Province_RDC],"Pas de correspondance")</f>
        <v>Sankuru</v>
      </c>
      <c r="C969" s="2">
        <v>45213</v>
      </c>
      <c r="D969" s="3">
        <v>0.87222222222222223</v>
      </c>
      <c r="E969" s="1" t="s">
        <v>1443</v>
      </c>
      <c r="F969">
        <v>46</v>
      </c>
      <c r="G969" s="1" t="s">
        <v>809</v>
      </c>
    </row>
    <row r="970" spans="1:7" x14ac:dyDescent="0.25">
      <c r="A970" s="1" t="s">
        <v>1438</v>
      </c>
      <c r="B970" t="str">
        <f>_xlfn.XLOOKUP(Logs__3[[#This Row],[Cell_ID]],Registre_Maintenance[ID_Antenne],Registre_Maintenance[Province_RDC],"Pas de correspondance")</f>
        <v>Pas de correspondance</v>
      </c>
      <c r="C970" s="2">
        <v>45225</v>
      </c>
      <c r="D970" s="3">
        <v>0.21319444444444444</v>
      </c>
      <c r="E970" s="1" t="s">
        <v>1444</v>
      </c>
      <c r="F970">
        <v>35</v>
      </c>
      <c r="G970" s="1" t="s">
        <v>811</v>
      </c>
    </row>
    <row r="971" spans="1:7" x14ac:dyDescent="0.25">
      <c r="A971" s="1" t="s">
        <v>1438</v>
      </c>
      <c r="B971" t="str">
        <f>_xlfn.XLOOKUP(Logs__3[[#This Row],[Cell_ID]],Registre_Maintenance[ID_Antenne],Registre_Maintenance[Province_RDC],"Pas de correspondance")</f>
        <v>Pas de correspondance</v>
      </c>
      <c r="C971" s="2">
        <v>45204</v>
      </c>
      <c r="D971" s="3">
        <v>0.94861111111111107</v>
      </c>
      <c r="E971" s="1" t="s">
        <v>1445</v>
      </c>
      <c r="F971">
        <v>47</v>
      </c>
      <c r="G971" s="1" t="s">
        <v>809</v>
      </c>
    </row>
    <row r="972" spans="1:7" x14ac:dyDescent="0.25">
      <c r="A972" s="1" t="s">
        <v>1438</v>
      </c>
      <c r="B972" t="str">
        <f>_xlfn.XLOOKUP(Logs__3[[#This Row],[Cell_ID]],Registre_Maintenance[ID_Antenne],Registre_Maintenance[Province_RDC],"Pas de correspondance")</f>
        <v>Nord-Kivu</v>
      </c>
      <c r="C972" s="2">
        <v>45201</v>
      </c>
      <c r="D972" s="3">
        <v>0.21249999999999999</v>
      </c>
      <c r="E972" s="1" t="s">
        <v>871</v>
      </c>
      <c r="F972">
        <v>40</v>
      </c>
      <c r="G972" s="1" t="s">
        <v>809</v>
      </c>
    </row>
    <row r="973" spans="1:7" x14ac:dyDescent="0.25">
      <c r="A973" s="1" t="s">
        <v>1438</v>
      </c>
      <c r="B973" t="str">
        <f>_xlfn.XLOOKUP(Logs__3[[#This Row],[Cell_ID]],Registre_Maintenance[ID_Antenne],Registre_Maintenance[Province_RDC],"Pas de correspondance")</f>
        <v>Pas de correspondance</v>
      </c>
      <c r="C973" s="2">
        <v>45213</v>
      </c>
      <c r="D973" s="3">
        <v>0.77083333333333337</v>
      </c>
      <c r="E973" s="1" t="s">
        <v>1446</v>
      </c>
      <c r="F973">
        <v>11</v>
      </c>
      <c r="G973" s="1" t="s">
        <v>811</v>
      </c>
    </row>
    <row r="974" spans="1:7" x14ac:dyDescent="0.25">
      <c r="A974" s="1" t="s">
        <v>1438</v>
      </c>
      <c r="B974" t="str">
        <f>_xlfn.XLOOKUP(Logs__3[[#This Row],[Cell_ID]],Registre_Maintenance[ID_Antenne],Registre_Maintenance[Province_RDC],"Pas de correspondance")</f>
        <v>Pas de correspondance</v>
      </c>
      <c r="C974" s="2">
        <v>45225</v>
      </c>
      <c r="D974" s="3">
        <v>0.77986111111111112</v>
      </c>
      <c r="E974" s="1" t="s">
        <v>1447</v>
      </c>
      <c r="F974">
        <v>69</v>
      </c>
      <c r="G974" s="1" t="s">
        <v>809</v>
      </c>
    </row>
    <row r="975" spans="1:7" x14ac:dyDescent="0.25">
      <c r="A975" s="1" t="s">
        <v>1438</v>
      </c>
      <c r="B975" t="str">
        <f>_xlfn.XLOOKUP(Logs__3[[#This Row],[Cell_ID]],Registre_Maintenance[ID_Antenne],Registre_Maintenance[Province_RDC],"Pas de correspondance")</f>
        <v>Maniema</v>
      </c>
      <c r="C975" s="2">
        <v>45214</v>
      </c>
      <c r="D975" s="3">
        <v>0.23541666666666666</v>
      </c>
      <c r="E975" s="1" t="s">
        <v>1448</v>
      </c>
      <c r="F975">
        <v>33</v>
      </c>
      <c r="G975" s="1" t="s">
        <v>806</v>
      </c>
    </row>
    <row r="976" spans="1:7" x14ac:dyDescent="0.25">
      <c r="A976" s="1" t="s">
        <v>1438</v>
      </c>
      <c r="B976" t="str">
        <f>_xlfn.XLOOKUP(Logs__3[[#This Row],[Cell_ID]],Registre_Maintenance[ID_Antenne],Registre_Maintenance[Province_RDC],"Pas de correspondance")</f>
        <v>Pas de correspondance</v>
      </c>
      <c r="C976" s="2">
        <v>45212</v>
      </c>
      <c r="D976" s="3">
        <v>0.48541666666666666</v>
      </c>
      <c r="E976" s="1" t="s">
        <v>1449</v>
      </c>
      <c r="F976">
        <v>75</v>
      </c>
      <c r="G976" s="1" t="s">
        <v>806</v>
      </c>
    </row>
    <row r="977" spans="1:7" x14ac:dyDescent="0.25">
      <c r="A977" s="1" t="s">
        <v>1438</v>
      </c>
      <c r="B977" t="str">
        <f>_xlfn.XLOOKUP(Logs__3[[#This Row],[Cell_ID]],Registre_Maintenance[ID_Antenne],Registre_Maintenance[Province_RDC],"Pas de correspondance")</f>
        <v>Sankuru</v>
      </c>
      <c r="C977" s="2">
        <v>45200</v>
      </c>
      <c r="D977" s="3">
        <v>0.91388888888888886</v>
      </c>
      <c r="E977" s="1" t="s">
        <v>1450</v>
      </c>
      <c r="F977">
        <v>87</v>
      </c>
      <c r="G977" s="1" t="s">
        <v>806</v>
      </c>
    </row>
    <row r="978" spans="1:7" x14ac:dyDescent="0.25">
      <c r="A978" s="1" t="s">
        <v>1438</v>
      </c>
      <c r="B978" t="str">
        <f>_xlfn.XLOOKUP(Logs__3[[#This Row],[Cell_ID]],Registre_Maintenance[ID_Antenne],Registre_Maintenance[Province_RDC],"Pas de correspondance")</f>
        <v>Nord-Ubangi</v>
      </c>
      <c r="C978" s="2">
        <v>45226</v>
      </c>
      <c r="D978" s="3">
        <v>0.99791666666666667</v>
      </c>
      <c r="E978" s="1" t="s">
        <v>1451</v>
      </c>
      <c r="F978">
        <v>53</v>
      </c>
      <c r="G978" s="1" t="s">
        <v>811</v>
      </c>
    </row>
    <row r="979" spans="1:7" x14ac:dyDescent="0.25">
      <c r="A979" s="1" t="s">
        <v>1438</v>
      </c>
      <c r="B979" t="str">
        <f>_xlfn.XLOOKUP(Logs__3[[#This Row],[Cell_ID]],Registre_Maintenance[ID_Antenne],Registre_Maintenance[Province_RDC],"Pas de correspondance")</f>
        <v>Pas de correspondance</v>
      </c>
      <c r="C979" s="2">
        <v>45204</v>
      </c>
      <c r="D979" s="3">
        <v>0.66527777777777775</v>
      </c>
      <c r="E979" s="1" t="s">
        <v>1145</v>
      </c>
      <c r="F979">
        <v>56</v>
      </c>
      <c r="G979" s="1" t="s">
        <v>806</v>
      </c>
    </row>
    <row r="980" spans="1:7" x14ac:dyDescent="0.25">
      <c r="A980" s="1" t="s">
        <v>1438</v>
      </c>
      <c r="B980" t="str">
        <f>_xlfn.XLOOKUP(Logs__3[[#This Row],[Cell_ID]],Registre_Maintenance[ID_Antenne],Registre_Maintenance[Province_RDC],"Pas de correspondance")</f>
        <v>Pas de correspondance</v>
      </c>
      <c r="C980" s="2">
        <v>45215</v>
      </c>
      <c r="D980" s="3">
        <v>0.16388888888888889</v>
      </c>
      <c r="E980" s="1" t="s">
        <v>1452</v>
      </c>
      <c r="F980">
        <v>109</v>
      </c>
      <c r="G980" s="1" t="s">
        <v>809</v>
      </c>
    </row>
    <row r="981" spans="1:7" x14ac:dyDescent="0.25">
      <c r="A981" s="1" t="s">
        <v>1438</v>
      </c>
      <c r="B981" t="str">
        <f>_xlfn.XLOOKUP(Logs__3[[#This Row],[Cell_ID]],Registre_Maintenance[ID_Antenne],Registre_Maintenance[Province_RDC],"Pas de correspondance")</f>
        <v>Pas de correspondance</v>
      </c>
      <c r="C981" s="2">
        <v>45213</v>
      </c>
      <c r="D981" s="3">
        <v>0.58472222222222225</v>
      </c>
      <c r="E981" s="1" t="s">
        <v>1453</v>
      </c>
      <c r="F981">
        <v>35</v>
      </c>
      <c r="G981" s="1" t="s">
        <v>809</v>
      </c>
    </row>
    <row r="982" spans="1:7" x14ac:dyDescent="0.25">
      <c r="A982" s="1" t="s">
        <v>1438</v>
      </c>
      <c r="B982" t="str">
        <f>_xlfn.XLOOKUP(Logs__3[[#This Row],[Cell_ID]],Registre_Maintenance[ID_Antenne],Registre_Maintenance[Province_RDC],"Pas de correspondance")</f>
        <v>Pas de correspondance</v>
      </c>
      <c r="C982" s="2">
        <v>45202</v>
      </c>
      <c r="D982" s="3">
        <v>0.36180555555555555</v>
      </c>
      <c r="E982" s="1" t="s">
        <v>1454</v>
      </c>
      <c r="F982">
        <v>15</v>
      </c>
      <c r="G982" s="1" t="s">
        <v>809</v>
      </c>
    </row>
    <row r="983" spans="1:7" x14ac:dyDescent="0.25">
      <c r="A983" s="1" t="s">
        <v>1438</v>
      </c>
      <c r="B983" t="str">
        <f>_xlfn.XLOOKUP(Logs__3[[#This Row],[Cell_ID]],Registre_Maintenance[ID_Antenne],Registre_Maintenance[Province_RDC],"Pas de correspondance")</f>
        <v>Kwango</v>
      </c>
      <c r="C983" s="2">
        <v>45210</v>
      </c>
      <c r="D983" s="3">
        <v>3.125E-2</v>
      </c>
      <c r="E983" s="1" t="s">
        <v>1147</v>
      </c>
      <c r="F983">
        <v>63</v>
      </c>
      <c r="G983" s="1" t="s">
        <v>811</v>
      </c>
    </row>
    <row r="984" spans="1:7" x14ac:dyDescent="0.25">
      <c r="A984" s="1" t="s">
        <v>1438</v>
      </c>
      <c r="B984" t="str">
        <f>_xlfn.XLOOKUP(Logs__3[[#This Row],[Cell_ID]],Registre_Maintenance[ID_Antenne],Registre_Maintenance[Province_RDC],"Pas de correspondance")</f>
        <v>Kinshasa</v>
      </c>
      <c r="C984" s="2">
        <v>45227</v>
      </c>
      <c r="D984" s="3">
        <v>0.8979166666666667</v>
      </c>
      <c r="E984" s="1" t="s">
        <v>1441</v>
      </c>
      <c r="F984">
        <v>61</v>
      </c>
      <c r="G984" s="1" t="s">
        <v>806</v>
      </c>
    </row>
    <row r="985" spans="1:7" x14ac:dyDescent="0.25">
      <c r="A985" s="1" t="s">
        <v>1438</v>
      </c>
      <c r="B985" t="str">
        <f>_xlfn.XLOOKUP(Logs__3[[#This Row],[Cell_ID]],Registre_Maintenance[ID_Antenne],Registre_Maintenance[Province_RDC],"Pas de correspondance")</f>
        <v>Pas de correspondance</v>
      </c>
      <c r="C985" s="2">
        <v>45224</v>
      </c>
      <c r="D985" s="3">
        <v>0.98333333333333328</v>
      </c>
      <c r="E985" s="1" t="s">
        <v>991</v>
      </c>
      <c r="F985">
        <v>107</v>
      </c>
      <c r="G985" s="1" t="s">
        <v>811</v>
      </c>
    </row>
    <row r="986" spans="1:7" x14ac:dyDescent="0.25">
      <c r="A986" s="1" t="s">
        <v>1438</v>
      </c>
      <c r="B986" t="str">
        <f>_xlfn.XLOOKUP(Logs__3[[#This Row],[Cell_ID]],Registre_Maintenance[ID_Antenne],Registre_Maintenance[Province_RDC],"Pas de correspondance")</f>
        <v>Mongala</v>
      </c>
      <c r="C986" s="2">
        <v>45223</v>
      </c>
      <c r="D986" s="3">
        <v>0.75972222222222219</v>
      </c>
      <c r="E986" s="1" t="s">
        <v>1115</v>
      </c>
      <c r="F986">
        <v>78</v>
      </c>
      <c r="G986" s="1" t="s">
        <v>809</v>
      </c>
    </row>
    <row r="987" spans="1:7" x14ac:dyDescent="0.25">
      <c r="A987" s="1" t="s">
        <v>1438</v>
      </c>
      <c r="B987" t="str">
        <f>_xlfn.XLOOKUP(Logs__3[[#This Row],[Cell_ID]],Registre_Maintenance[ID_Antenne],Registre_Maintenance[Province_RDC],"Pas de correspondance")</f>
        <v>Tshuapa</v>
      </c>
      <c r="C987" s="2">
        <v>45230</v>
      </c>
      <c r="D987" s="3">
        <v>0.91319444444444442</v>
      </c>
      <c r="E987" s="1" t="s">
        <v>1222</v>
      </c>
      <c r="F987">
        <v>62</v>
      </c>
      <c r="G987" s="1" t="s">
        <v>806</v>
      </c>
    </row>
    <row r="988" spans="1:7" x14ac:dyDescent="0.25">
      <c r="A988" s="1" t="s">
        <v>1438</v>
      </c>
      <c r="B988" t="str">
        <f>_xlfn.XLOOKUP(Logs__3[[#This Row],[Cell_ID]],Registre_Maintenance[ID_Antenne],Registre_Maintenance[Province_RDC],"Pas de correspondance")</f>
        <v>Haut-Uele</v>
      </c>
      <c r="C988" s="2">
        <v>45210</v>
      </c>
      <c r="D988" s="3">
        <v>0.68958333333333333</v>
      </c>
      <c r="E988" s="1" t="s">
        <v>1086</v>
      </c>
      <c r="F988">
        <v>16</v>
      </c>
      <c r="G988" s="1" t="s">
        <v>806</v>
      </c>
    </row>
    <row r="989" spans="1:7" x14ac:dyDescent="0.25">
      <c r="A989" s="1" t="s">
        <v>1438</v>
      </c>
      <c r="B989" t="str">
        <f>_xlfn.XLOOKUP(Logs__3[[#This Row],[Cell_ID]],Registre_Maintenance[ID_Antenne],Registre_Maintenance[Province_RDC],"Pas de correspondance")</f>
        <v>Haut-Lomami</v>
      </c>
      <c r="C989" s="2">
        <v>45222</v>
      </c>
      <c r="D989" s="3">
        <v>0.94374999999999998</v>
      </c>
      <c r="E989" s="1" t="s">
        <v>1455</v>
      </c>
      <c r="F989">
        <v>114</v>
      </c>
      <c r="G989" s="1" t="s">
        <v>806</v>
      </c>
    </row>
    <row r="990" spans="1:7" x14ac:dyDescent="0.25">
      <c r="A990" s="1" t="s">
        <v>1438</v>
      </c>
      <c r="B990" t="str">
        <f>_xlfn.XLOOKUP(Logs__3[[#This Row],[Cell_ID]],Registre_Maintenance[ID_Antenne],Registre_Maintenance[Province_RDC],"Pas de correspondance")</f>
        <v>Pas de correspondance</v>
      </c>
      <c r="C990" s="2">
        <v>45203</v>
      </c>
      <c r="D990" s="3">
        <v>0.5708333333333333</v>
      </c>
      <c r="E990" s="1" t="s">
        <v>1456</v>
      </c>
      <c r="F990">
        <v>68</v>
      </c>
      <c r="G990" s="1" t="s">
        <v>811</v>
      </c>
    </row>
    <row r="991" spans="1:7" x14ac:dyDescent="0.25">
      <c r="A991" s="1" t="s">
        <v>1438</v>
      </c>
      <c r="B991" t="str">
        <f>_xlfn.XLOOKUP(Logs__3[[#This Row],[Cell_ID]],Registre_Maintenance[ID_Antenne],Registre_Maintenance[Province_RDC],"Pas de correspondance")</f>
        <v>Pas de correspondance</v>
      </c>
      <c r="C991" s="2">
        <v>45223</v>
      </c>
      <c r="D991" s="3">
        <v>0.3125</v>
      </c>
      <c r="E991" s="1" t="s">
        <v>1457</v>
      </c>
      <c r="F991">
        <v>62</v>
      </c>
      <c r="G991" s="1" t="s">
        <v>806</v>
      </c>
    </row>
    <row r="992" spans="1:7" x14ac:dyDescent="0.25">
      <c r="A992" s="1" t="s">
        <v>1438</v>
      </c>
      <c r="B992" t="str">
        <f>_xlfn.XLOOKUP(Logs__3[[#This Row],[Cell_ID]],Registre_Maintenance[ID_Antenne],Registre_Maintenance[Province_RDC],"Pas de correspondance")</f>
        <v>Sud-Ubangi</v>
      </c>
      <c r="C992" s="2">
        <v>45211</v>
      </c>
      <c r="D992" s="3">
        <v>0.90486111111111112</v>
      </c>
      <c r="E992" s="1" t="s">
        <v>1015</v>
      </c>
      <c r="F992">
        <v>45</v>
      </c>
      <c r="G992" s="1" t="s">
        <v>811</v>
      </c>
    </row>
    <row r="993" spans="1:7" x14ac:dyDescent="0.25">
      <c r="A993" s="1" t="s">
        <v>1438</v>
      </c>
      <c r="B993" t="str">
        <f>_xlfn.XLOOKUP(Logs__3[[#This Row],[Cell_ID]],Registre_Maintenance[ID_Antenne],Registre_Maintenance[Province_RDC],"Pas de correspondance")</f>
        <v>Pas de correspondance</v>
      </c>
      <c r="C993" s="2">
        <v>45220</v>
      </c>
      <c r="D993" s="3">
        <v>0.50624999999999998</v>
      </c>
      <c r="E993" s="1" t="s">
        <v>1256</v>
      </c>
      <c r="F993">
        <v>20</v>
      </c>
      <c r="G993" s="1" t="s">
        <v>806</v>
      </c>
    </row>
    <row r="994" spans="1:7" x14ac:dyDescent="0.25">
      <c r="A994" s="1" t="s">
        <v>1438</v>
      </c>
      <c r="B994" t="str">
        <f>_xlfn.XLOOKUP(Logs__3[[#This Row],[Cell_ID]],Registre_Maintenance[ID_Antenne],Registre_Maintenance[Province_RDC],"Pas de correspondance")</f>
        <v>Pas de correspondance</v>
      </c>
      <c r="C994" s="2">
        <v>45226</v>
      </c>
      <c r="D994" s="3">
        <v>0.74791666666666667</v>
      </c>
      <c r="E994" s="1" t="s">
        <v>1458</v>
      </c>
      <c r="F994">
        <v>68</v>
      </c>
      <c r="G994" s="1" t="s">
        <v>809</v>
      </c>
    </row>
    <row r="995" spans="1:7" x14ac:dyDescent="0.25">
      <c r="A995" s="1" t="s">
        <v>1438</v>
      </c>
      <c r="B995" t="str">
        <f>_xlfn.XLOOKUP(Logs__3[[#This Row],[Cell_ID]],Registre_Maintenance[ID_Antenne],Registre_Maintenance[Province_RDC],"Pas de correspondance")</f>
        <v>Pas de correspondance</v>
      </c>
      <c r="C995" s="2">
        <v>45219</v>
      </c>
      <c r="D995" s="3">
        <v>4.1666666666666664E-2</v>
      </c>
      <c r="E995" s="1" t="s">
        <v>969</v>
      </c>
      <c r="F995">
        <v>100</v>
      </c>
      <c r="G995" s="1" t="s">
        <v>811</v>
      </c>
    </row>
    <row r="996" spans="1:7" x14ac:dyDescent="0.25">
      <c r="A996" s="1" t="s">
        <v>1438</v>
      </c>
      <c r="B996" t="str">
        <f>_xlfn.XLOOKUP(Logs__3[[#This Row],[Cell_ID]],Registre_Maintenance[ID_Antenne],Registre_Maintenance[Province_RDC],"Pas de correspondance")</f>
        <v>Pas de correspondance</v>
      </c>
      <c r="C996" s="2">
        <v>45225</v>
      </c>
      <c r="D996" s="3">
        <v>0.77986111111111112</v>
      </c>
      <c r="E996" s="1" t="s">
        <v>1447</v>
      </c>
      <c r="F996">
        <v>69</v>
      </c>
      <c r="G996" s="1" t="s">
        <v>809</v>
      </c>
    </row>
    <row r="997" spans="1:7" x14ac:dyDescent="0.25">
      <c r="A997" s="1" t="s">
        <v>1459</v>
      </c>
      <c r="B997" t="str">
        <f>_xlfn.XLOOKUP(Logs__3[[#This Row],[Cell_ID]],Registre_Maintenance[ID_Antenne],Registre_Maintenance[Province_RDC],"Pas de correspondance")</f>
        <v>Pas de correspondance</v>
      </c>
      <c r="C997" s="2">
        <v>45203</v>
      </c>
      <c r="D997" s="3">
        <v>0.60347222222222219</v>
      </c>
      <c r="E997" s="1" t="s">
        <v>1460</v>
      </c>
      <c r="F997">
        <v>106</v>
      </c>
      <c r="G997" s="1" t="s">
        <v>809</v>
      </c>
    </row>
    <row r="998" spans="1:7" x14ac:dyDescent="0.25">
      <c r="A998" s="1" t="s">
        <v>1459</v>
      </c>
      <c r="B998" t="str">
        <f>_xlfn.XLOOKUP(Logs__3[[#This Row],[Cell_ID]],Registre_Maintenance[ID_Antenne],Registre_Maintenance[Province_RDC],"Pas de correspondance")</f>
        <v>Kasaï-Central</v>
      </c>
      <c r="C998" s="2">
        <v>45221</v>
      </c>
      <c r="D998" s="3">
        <v>0.77222222222222225</v>
      </c>
      <c r="E998" s="1" t="s">
        <v>983</v>
      </c>
      <c r="F998">
        <v>107</v>
      </c>
      <c r="G998" s="1" t="s">
        <v>806</v>
      </c>
    </row>
    <row r="999" spans="1:7" x14ac:dyDescent="0.25">
      <c r="A999" s="1" t="s">
        <v>1459</v>
      </c>
      <c r="B999" t="str">
        <f>_xlfn.XLOOKUP(Logs__3[[#This Row],[Cell_ID]],Registre_Maintenance[ID_Antenne],Registre_Maintenance[Province_RDC],"Pas de correspondance")</f>
        <v>Pas de correspondance</v>
      </c>
      <c r="C999" s="2">
        <v>45204</v>
      </c>
      <c r="D999" s="3">
        <v>0.625</v>
      </c>
      <c r="E999" s="1" t="s">
        <v>1461</v>
      </c>
      <c r="F999">
        <v>94</v>
      </c>
      <c r="G999" s="1" t="s">
        <v>811</v>
      </c>
    </row>
    <row r="1000" spans="1:7" x14ac:dyDescent="0.25">
      <c r="A1000" s="1" t="s">
        <v>1459</v>
      </c>
      <c r="B1000" t="str">
        <f>_xlfn.XLOOKUP(Logs__3[[#This Row],[Cell_ID]],Registre_Maintenance[ID_Antenne],Registre_Maintenance[Province_RDC],"Pas de correspondance")</f>
        <v>Pas de correspondance</v>
      </c>
      <c r="C1000" s="2">
        <v>45216</v>
      </c>
      <c r="D1000" s="3">
        <v>0.9604166666666667</v>
      </c>
      <c r="E1000" s="1" t="s">
        <v>1462</v>
      </c>
      <c r="F1000">
        <v>41</v>
      </c>
      <c r="G1000" s="1" t="s">
        <v>809</v>
      </c>
    </row>
    <row r="1001" spans="1:7" x14ac:dyDescent="0.25">
      <c r="A1001" s="1" t="s">
        <v>1459</v>
      </c>
      <c r="B1001" t="str">
        <f>_xlfn.XLOOKUP(Logs__3[[#This Row],[Cell_ID]],Registre_Maintenance[ID_Antenne],Registre_Maintenance[Province_RDC],"Pas de correspondance")</f>
        <v>Kasaï-Central</v>
      </c>
      <c r="C1001" s="2">
        <v>45217</v>
      </c>
      <c r="D1001" s="3">
        <v>0.57847222222222228</v>
      </c>
      <c r="E1001" s="1" t="s">
        <v>1463</v>
      </c>
      <c r="F1001">
        <v>93</v>
      </c>
      <c r="G1001" s="1" t="s">
        <v>809</v>
      </c>
    </row>
    <row r="1002" spans="1:7" x14ac:dyDescent="0.25">
      <c r="A1002" s="1" t="s">
        <v>1459</v>
      </c>
      <c r="B1002" t="str">
        <f>_xlfn.XLOOKUP(Logs__3[[#This Row],[Cell_ID]],Registre_Maintenance[ID_Antenne],Registre_Maintenance[Province_RDC],"Pas de correspondance")</f>
        <v>Pas de correspondance</v>
      </c>
      <c r="C1002" s="2">
        <v>45218</v>
      </c>
      <c r="D1002" s="3">
        <v>0.66597222222222219</v>
      </c>
      <c r="E1002" s="1" t="s">
        <v>1464</v>
      </c>
      <c r="F1002">
        <v>90</v>
      </c>
      <c r="G1002" s="1" t="s">
        <v>811</v>
      </c>
    </row>
    <row r="1003" spans="1:7" x14ac:dyDescent="0.25">
      <c r="A1003" s="1" t="s">
        <v>1459</v>
      </c>
      <c r="B1003" t="str">
        <f>_xlfn.XLOOKUP(Logs__3[[#This Row],[Cell_ID]],Registre_Maintenance[ID_Antenne],Registre_Maintenance[Province_RDC],"Pas de correspondance")</f>
        <v>Pas de correspondance</v>
      </c>
      <c r="C1003" s="2"/>
      <c r="D1003" s="3"/>
      <c r="E1003" s="1" t="s">
        <v>1465</v>
      </c>
      <c r="F1003">
        <v>11</v>
      </c>
      <c r="G1003" s="1" t="s">
        <v>806</v>
      </c>
    </row>
    <row r="1004" spans="1:7" x14ac:dyDescent="0.25">
      <c r="A1004" s="1" t="s">
        <v>1459</v>
      </c>
      <c r="B1004" t="str">
        <f>_xlfn.XLOOKUP(Logs__3[[#This Row],[Cell_ID]],Registre_Maintenance[ID_Antenne],Registre_Maintenance[Province_RDC],"Pas de correspondance")</f>
        <v>Pas de correspondance</v>
      </c>
      <c r="C1004" s="2">
        <v>45218</v>
      </c>
      <c r="D1004" s="3">
        <v>0.24027777777777778</v>
      </c>
      <c r="E1004" s="1" t="s">
        <v>941</v>
      </c>
      <c r="F1004">
        <v>53</v>
      </c>
      <c r="G1004" s="1" t="s">
        <v>811</v>
      </c>
    </row>
    <row r="1005" spans="1:7" x14ac:dyDescent="0.25">
      <c r="A1005" s="1" t="s">
        <v>1459</v>
      </c>
      <c r="B1005" t="str">
        <f>_xlfn.XLOOKUP(Logs__3[[#This Row],[Cell_ID]],Registre_Maintenance[ID_Antenne],Registre_Maintenance[Province_RDC],"Pas de correspondance")</f>
        <v>Tshuapa</v>
      </c>
      <c r="C1005" s="2">
        <v>45226</v>
      </c>
      <c r="D1005" s="3">
        <v>0.17083333333333334</v>
      </c>
      <c r="E1005" s="1" t="s">
        <v>856</v>
      </c>
      <c r="F1005">
        <v>54</v>
      </c>
      <c r="G1005" s="1" t="s">
        <v>806</v>
      </c>
    </row>
    <row r="1006" spans="1:7" x14ac:dyDescent="0.25">
      <c r="A1006" s="1" t="s">
        <v>1459</v>
      </c>
      <c r="B1006" t="str">
        <f>_xlfn.XLOOKUP(Logs__3[[#This Row],[Cell_ID]],Registre_Maintenance[ID_Antenne],Registre_Maintenance[Province_RDC],"Pas de correspondance")</f>
        <v>Kwango</v>
      </c>
      <c r="C1006" s="2">
        <v>45212</v>
      </c>
      <c r="D1006" s="3">
        <v>0.90138888888888891</v>
      </c>
      <c r="E1006" s="1" t="s">
        <v>870</v>
      </c>
      <c r="F1006">
        <v>58</v>
      </c>
      <c r="G1006" s="1" t="s">
        <v>806</v>
      </c>
    </row>
    <row r="1007" spans="1:7" x14ac:dyDescent="0.25">
      <c r="A1007" s="1" t="s">
        <v>1459</v>
      </c>
      <c r="B1007" t="str">
        <f>_xlfn.XLOOKUP(Logs__3[[#This Row],[Cell_ID]],Registre_Maintenance[ID_Antenne],Registre_Maintenance[Province_RDC],"Pas de correspondance")</f>
        <v>Sud-Ubangi</v>
      </c>
      <c r="C1007" s="2">
        <v>45219</v>
      </c>
      <c r="D1007" s="3">
        <v>0.43888888888888888</v>
      </c>
      <c r="E1007" s="1" t="s">
        <v>1466</v>
      </c>
      <c r="F1007">
        <v>105</v>
      </c>
      <c r="G1007" s="1" t="s">
        <v>809</v>
      </c>
    </row>
    <row r="1008" spans="1:7" x14ac:dyDescent="0.25">
      <c r="A1008" s="1" t="s">
        <v>1459</v>
      </c>
      <c r="B1008" t="str">
        <f>_xlfn.XLOOKUP(Logs__3[[#This Row],[Cell_ID]],Registre_Maintenance[ID_Antenne],Registre_Maintenance[Province_RDC],"Pas de correspondance")</f>
        <v>Pas de correspondance</v>
      </c>
      <c r="C1008" s="2">
        <v>45228</v>
      </c>
      <c r="D1008" s="3">
        <v>0.5180555555555556</v>
      </c>
      <c r="E1008" s="1" t="s">
        <v>1408</v>
      </c>
      <c r="F1008">
        <v>92</v>
      </c>
      <c r="G1008" s="1" t="s">
        <v>811</v>
      </c>
    </row>
    <row r="1009" spans="1:7" x14ac:dyDescent="0.25">
      <c r="A1009" s="1" t="s">
        <v>1459</v>
      </c>
      <c r="B1009" t="str">
        <f>_xlfn.XLOOKUP(Logs__3[[#This Row],[Cell_ID]],Registre_Maintenance[ID_Antenne],Registre_Maintenance[Province_RDC],"Pas de correspondance")</f>
        <v>Pas de correspondance</v>
      </c>
      <c r="C1009" s="2">
        <v>45219</v>
      </c>
      <c r="D1009" s="3">
        <v>0.95</v>
      </c>
      <c r="E1009" s="1" t="s">
        <v>861</v>
      </c>
      <c r="F1009">
        <v>45</v>
      </c>
      <c r="G1009" s="1" t="s">
        <v>811</v>
      </c>
    </row>
    <row r="1010" spans="1:7" x14ac:dyDescent="0.25">
      <c r="A1010" s="1" t="s">
        <v>1459</v>
      </c>
      <c r="B1010" t="str">
        <f>_xlfn.XLOOKUP(Logs__3[[#This Row],[Cell_ID]],Registre_Maintenance[ID_Antenne],Registre_Maintenance[Province_RDC],"Pas de correspondance")</f>
        <v>Pas de correspondance</v>
      </c>
      <c r="C1010" s="2">
        <v>45207</v>
      </c>
      <c r="D1010" s="3">
        <v>0.35069444444444442</v>
      </c>
      <c r="E1010" s="1" t="s">
        <v>1467</v>
      </c>
      <c r="F1010">
        <v>75</v>
      </c>
      <c r="G1010" s="1" t="s">
        <v>811</v>
      </c>
    </row>
    <row r="1011" spans="1:7" x14ac:dyDescent="0.25">
      <c r="A1011" s="1" t="s">
        <v>1459</v>
      </c>
      <c r="B1011" t="str">
        <f>_xlfn.XLOOKUP(Logs__3[[#This Row],[Cell_ID]],Registre_Maintenance[ID_Antenne],Registre_Maintenance[Province_RDC],"Pas de correspondance")</f>
        <v>Bas-Uele</v>
      </c>
      <c r="C1011" s="2">
        <v>45230</v>
      </c>
      <c r="D1011" s="3">
        <v>0.42916666666666664</v>
      </c>
      <c r="E1011" s="1" t="s">
        <v>1199</v>
      </c>
      <c r="F1011">
        <v>11</v>
      </c>
      <c r="G1011" s="1" t="s">
        <v>811</v>
      </c>
    </row>
    <row r="1012" spans="1:7" x14ac:dyDescent="0.25">
      <c r="A1012" s="1" t="s">
        <v>1459</v>
      </c>
      <c r="B1012" t="str">
        <f>_xlfn.XLOOKUP(Logs__3[[#This Row],[Cell_ID]],Registre_Maintenance[ID_Antenne],Registre_Maintenance[Province_RDC],"Pas de correspondance")</f>
        <v>Bas-Uele</v>
      </c>
      <c r="C1012" s="2">
        <v>45214</v>
      </c>
      <c r="D1012" s="3">
        <v>0.17222222222222222</v>
      </c>
      <c r="E1012" s="1" t="s">
        <v>975</v>
      </c>
      <c r="F1012">
        <v>6</v>
      </c>
      <c r="G1012" s="1" t="s">
        <v>806</v>
      </c>
    </row>
    <row r="1013" spans="1:7" x14ac:dyDescent="0.25">
      <c r="A1013" s="1" t="s">
        <v>1459</v>
      </c>
      <c r="B1013" t="str">
        <f>_xlfn.XLOOKUP(Logs__3[[#This Row],[Cell_ID]],Registre_Maintenance[ID_Antenne],Registre_Maintenance[Province_RDC],"Pas de correspondance")</f>
        <v>Pas de correspondance</v>
      </c>
      <c r="C1013" s="2">
        <v>45213</v>
      </c>
      <c r="D1013" s="3">
        <v>0.82222222222222219</v>
      </c>
      <c r="E1013" s="1" t="s">
        <v>1468</v>
      </c>
      <c r="F1013">
        <v>100</v>
      </c>
      <c r="G1013" s="1" t="s">
        <v>809</v>
      </c>
    </row>
    <row r="1014" spans="1:7" x14ac:dyDescent="0.25">
      <c r="A1014" s="1" t="s">
        <v>1459</v>
      </c>
      <c r="B1014" t="str">
        <f>_xlfn.XLOOKUP(Logs__3[[#This Row],[Cell_ID]],Registre_Maintenance[ID_Antenne],Registre_Maintenance[Province_RDC],"Pas de correspondance")</f>
        <v>Pas de correspondance</v>
      </c>
      <c r="C1014" s="2">
        <v>45228</v>
      </c>
      <c r="D1014" s="3">
        <v>0.98055555555555551</v>
      </c>
      <c r="E1014" s="1" t="s">
        <v>1012</v>
      </c>
      <c r="F1014">
        <v>37</v>
      </c>
      <c r="G1014" s="1" t="s">
        <v>809</v>
      </c>
    </row>
    <row r="1015" spans="1:7" x14ac:dyDescent="0.25">
      <c r="A1015" s="1" t="s">
        <v>1459</v>
      </c>
      <c r="B1015" t="str">
        <f>_xlfn.XLOOKUP(Logs__3[[#This Row],[Cell_ID]],Registre_Maintenance[ID_Antenne],Registre_Maintenance[Province_RDC],"Pas de correspondance")</f>
        <v>Pas de correspondance</v>
      </c>
      <c r="C1015" s="2">
        <v>45209</v>
      </c>
      <c r="D1015" s="3">
        <v>0.94097222222222221</v>
      </c>
      <c r="E1015" s="1" t="s">
        <v>1234</v>
      </c>
      <c r="F1015">
        <v>30</v>
      </c>
      <c r="G1015" s="1" t="s">
        <v>811</v>
      </c>
    </row>
    <row r="1016" spans="1:7" x14ac:dyDescent="0.25">
      <c r="A1016" s="1" t="s">
        <v>1459</v>
      </c>
      <c r="B1016" t="str">
        <f>_xlfn.XLOOKUP(Logs__3[[#This Row],[Cell_ID]],Registre_Maintenance[ID_Antenne],Registre_Maintenance[Province_RDC],"Pas de correspondance")</f>
        <v>Sud-Kivu</v>
      </c>
      <c r="C1016" s="2">
        <v>45227</v>
      </c>
      <c r="D1016" s="3">
        <v>0.44791666666666669</v>
      </c>
      <c r="E1016" s="1" t="s">
        <v>1232</v>
      </c>
      <c r="F1016">
        <v>84</v>
      </c>
      <c r="G1016" s="1" t="s">
        <v>809</v>
      </c>
    </row>
    <row r="1017" spans="1:7" x14ac:dyDescent="0.25">
      <c r="A1017" s="1" t="s">
        <v>1459</v>
      </c>
      <c r="B1017" t="str">
        <f>_xlfn.XLOOKUP(Logs__3[[#This Row],[Cell_ID]],Registre_Maintenance[ID_Antenne],Registre_Maintenance[Province_RDC],"Pas de correspondance")</f>
        <v>Haut-Katanga</v>
      </c>
      <c r="C1017" s="2">
        <v>45223</v>
      </c>
      <c r="D1017" s="3">
        <v>0.73611111111111116</v>
      </c>
      <c r="E1017" s="1" t="s">
        <v>1022</v>
      </c>
      <c r="F1017">
        <v>116</v>
      </c>
      <c r="G1017" s="1" t="s">
        <v>809</v>
      </c>
    </row>
    <row r="1018" spans="1:7" x14ac:dyDescent="0.25">
      <c r="A1018" s="1" t="s">
        <v>1459</v>
      </c>
      <c r="B1018" t="str">
        <f>_xlfn.XLOOKUP(Logs__3[[#This Row],[Cell_ID]],Registre_Maintenance[ID_Antenne],Registre_Maintenance[Province_RDC],"Pas de correspondance")</f>
        <v>Pas de correspondance</v>
      </c>
      <c r="C1018" s="2">
        <v>45206</v>
      </c>
      <c r="D1018" s="3">
        <v>0.2590277777777778</v>
      </c>
      <c r="E1018" s="1" t="s">
        <v>1469</v>
      </c>
      <c r="F1018">
        <v>104</v>
      </c>
      <c r="G1018" s="1" t="s">
        <v>806</v>
      </c>
    </row>
    <row r="1019" spans="1:7" x14ac:dyDescent="0.25">
      <c r="A1019" s="1" t="s">
        <v>1459</v>
      </c>
      <c r="B1019" t="str">
        <f>_xlfn.XLOOKUP(Logs__3[[#This Row],[Cell_ID]],Registre_Maintenance[ID_Antenne],Registre_Maintenance[Province_RDC],"Pas de correspondance")</f>
        <v>Pas de correspondance</v>
      </c>
      <c r="C1019" s="2">
        <v>45219</v>
      </c>
      <c r="D1019" s="3">
        <v>0.9291666666666667</v>
      </c>
      <c r="E1019" s="1" t="s">
        <v>1470</v>
      </c>
      <c r="F1019">
        <v>115</v>
      </c>
      <c r="G1019" s="1" t="s">
        <v>806</v>
      </c>
    </row>
    <row r="1020" spans="1:7" x14ac:dyDescent="0.25">
      <c r="A1020" s="1" t="s">
        <v>1459</v>
      </c>
      <c r="B1020" t="str">
        <f>_xlfn.XLOOKUP(Logs__3[[#This Row],[Cell_ID]],Registre_Maintenance[ID_Antenne],Registre_Maintenance[Province_RDC],"Pas de correspondance")</f>
        <v>Pas de correspondance</v>
      </c>
      <c r="C1020" s="2">
        <v>45221</v>
      </c>
      <c r="D1020" s="3">
        <v>0.49861111111111112</v>
      </c>
      <c r="E1020" s="1" t="s">
        <v>1471</v>
      </c>
      <c r="F1020">
        <v>116</v>
      </c>
      <c r="G1020" s="1" t="s">
        <v>809</v>
      </c>
    </row>
    <row r="1021" spans="1:7" x14ac:dyDescent="0.25">
      <c r="A1021" s="1" t="s">
        <v>1459</v>
      </c>
      <c r="B1021" t="str">
        <f>_xlfn.XLOOKUP(Logs__3[[#This Row],[Cell_ID]],Registre_Maintenance[ID_Antenne],Registre_Maintenance[Province_RDC],"Pas de correspondance")</f>
        <v>Kwango</v>
      </c>
      <c r="C1021" s="2">
        <v>45221</v>
      </c>
      <c r="D1021" s="3">
        <v>0.19791666666666666</v>
      </c>
      <c r="E1021" s="1" t="s">
        <v>1068</v>
      </c>
      <c r="F1021">
        <v>61</v>
      </c>
      <c r="G1021" s="1" t="s">
        <v>811</v>
      </c>
    </row>
    <row r="1022" spans="1:7" x14ac:dyDescent="0.25">
      <c r="A1022" s="1" t="s">
        <v>1459</v>
      </c>
      <c r="B1022" t="str">
        <f>_xlfn.XLOOKUP(Logs__3[[#This Row],[Cell_ID]],Registre_Maintenance[ID_Antenne],Registre_Maintenance[Province_RDC],"Pas de correspondance")</f>
        <v>Pas de correspondance</v>
      </c>
      <c r="C1022" s="2">
        <v>45220</v>
      </c>
      <c r="D1022" s="3">
        <v>0.23055555555555557</v>
      </c>
      <c r="E1022" s="1" t="s">
        <v>862</v>
      </c>
      <c r="F1022">
        <v>111</v>
      </c>
      <c r="G1022" s="1" t="s">
        <v>811</v>
      </c>
    </row>
    <row r="1023" spans="1:7" x14ac:dyDescent="0.25">
      <c r="A1023" s="1" t="s">
        <v>1459</v>
      </c>
      <c r="B1023" t="str">
        <f>_xlfn.XLOOKUP(Logs__3[[#This Row],[Cell_ID]],Registre_Maintenance[ID_Antenne],Registre_Maintenance[Province_RDC],"Pas de correspondance")</f>
        <v>Pas de correspondance</v>
      </c>
      <c r="C1023" s="2">
        <v>45217</v>
      </c>
      <c r="D1023" s="3">
        <v>0.94444444444444442</v>
      </c>
      <c r="E1023" s="1" t="s">
        <v>1472</v>
      </c>
      <c r="F1023">
        <v>33</v>
      </c>
      <c r="G1023" s="1" t="s">
        <v>806</v>
      </c>
    </row>
    <row r="1024" spans="1:7" x14ac:dyDescent="0.25">
      <c r="A1024" s="1" t="s">
        <v>1459</v>
      </c>
      <c r="B1024" t="str">
        <f>_xlfn.XLOOKUP(Logs__3[[#This Row],[Cell_ID]],Registre_Maintenance[ID_Antenne],Registre_Maintenance[Province_RDC],"Pas de correspondance")</f>
        <v>Pas de correspondance</v>
      </c>
      <c r="C1024" s="2">
        <v>45210</v>
      </c>
      <c r="D1024" s="3">
        <v>0.92152777777777772</v>
      </c>
      <c r="E1024" s="1" t="s">
        <v>1275</v>
      </c>
      <c r="F1024">
        <v>86</v>
      </c>
      <c r="G1024" s="1" t="s">
        <v>809</v>
      </c>
    </row>
    <row r="1025" spans="1:7" x14ac:dyDescent="0.25">
      <c r="A1025" s="1" t="s">
        <v>1459</v>
      </c>
      <c r="B1025" t="str">
        <f>_xlfn.XLOOKUP(Logs__3[[#This Row],[Cell_ID]],Registre_Maintenance[ID_Antenne],Registre_Maintenance[Province_RDC],"Pas de correspondance")</f>
        <v>Pas de correspondance</v>
      </c>
      <c r="C1025" s="2">
        <v>45224</v>
      </c>
      <c r="D1025" s="3">
        <v>0.4826388888888889</v>
      </c>
      <c r="E1025" s="1" t="s">
        <v>823</v>
      </c>
      <c r="F1025">
        <v>95</v>
      </c>
      <c r="G1025" s="1" t="s">
        <v>809</v>
      </c>
    </row>
    <row r="1026" spans="1:7" x14ac:dyDescent="0.25">
      <c r="A1026" s="1" t="s">
        <v>1459</v>
      </c>
      <c r="B1026" t="str">
        <f>_xlfn.XLOOKUP(Logs__3[[#This Row],[Cell_ID]],Registre_Maintenance[ID_Antenne],Registre_Maintenance[Province_RDC],"Pas de correspondance")</f>
        <v>Tshopo</v>
      </c>
      <c r="C1026" s="2">
        <v>45215</v>
      </c>
      <c r="D1026" s="3">
        <v>0.77500000000000002</v>
      </c>
      <c r="E1026" s="1" t="s">
        <v>1169</v>
      </c>
      <c r="F1026">
        <v>95</v>
      </c>
      <c r="G1026" s="1" t="s">
        <v>809</v>
      </c>
    </row>
    <row r="1027" spans="1:7" x14ac:dyDescent="0.25">
      <c r="A1027" s="1" t="s">
        <v>1459</v>
      </c>
      <c r="B1027" t="str">
        <f>_xlfn.XLOOKUP(Logs__3[[#This Row],[Cell_ID]],Registre_Maintenance[ID_Antenne],Registre_Maintenance[Province_RDC],"Pas de correspondance")</f>
        <v>Pas de correspondance</v>
      </c>
      <c r="C1027" s="2">
        <v>45230</v>
      </c>
      <c r="D1027" s="3">
        <v>0.90625</v>
      </c>
      <c r="E1027" s="1" t="s">
        <v>1410</v>
      </c>
      <c r="F1027">
        <v>87</v>
      </c>
      <c r="G1027" s="1" t="s">
        <v>806</v>
      </c>
    </row>
    <row r="1028" spans="1:7" x14ac:dyDescent="0.25">
      <c r="A1028" s="1" t="s">
        <v>1459</v>
      </c>
      <c r="B1028" t="str">
        <f>_xlfn.XLOOKUP(Logs__3[[#This Row],[Cell_ID]],Registre_Maintenance[ID_Antenne],Registre_Maintenance[Province_RDC],"Pas de correspondance")</f>
        <v>Nord-Kivu</v>
      </c>
      <c r="C1028" s="2">
        <v>45213</v>
      </c>
      <c r="D1028" s="3">
        <v>0.90763888888888888</v>
      </c>
      <c r="E1028" s="1" t="s">
        <v>1432</v>
      </c>
      <c r="F1028">
        <v>52</v>
      </c>
      <c r="G1028" s="1" t="s">
        <v>806</v>
      </c>
    </row>
    <row r="1029" spans="1:7" x14ac:dyDescent="0.25">
      <c r="A1029" s="1" t="s">
        <v>1459</v>
      </c>
      <c r="B1029" t="str">
        <f>_xlfn.XLOOKUP(Logs__3[[#This Row],[Cell_ID]],Registre_Maintenance[ID_Antenne],Registre_Maintenance[Province_RDC],"Pas de correspondance")</f>
        <v>Pas de correspondance</v>
      </c>
      <c r="C1029" s="2">
        <v>45228</v>
      </c>
      <c r="D1029" s="3">
        <v>0.72083333333333333</v>
      </c>
      <c r="E1029" s="1" t="s">
        <v>1473</v>
      </c>
      <c r="F1029">
        <v>101</v>
      </c>
      <c r="G1029" s="1" t="s">
        <v>809</v>
      </c>
    </row>
    <row r="1030" spans="1:7" x14ac:dyDescent="0.25">
      <c r="A1030" s="1" t="s">
        <v>1459</v>
      </c>
      <c r="B1030" t="str">
        <f>_xlfn.XLOOKUP(Logs__3[[#This Row],[Cell_ID]],Registre_Maintenance[ID_Antenne],Registre_Maintenance[Province_RDC],"Pas de correspondance")</f>
        <v>Pas de correspondance</v>
      </c>
      <c r="C1030" s="2">
        <v>45228</v>
      </c>
      <c r="D1030" s="3">
        <v>0.57708333333333328</v>
      </c>
      <c r="E1030" s="1" t="s">
        <v>955</v>
      </c>
      <c r="F1030">
        <v>80</v>
      </c>
      <c r="G1030" s="1" t="s">
        <v>811</v>
      </c>
    </row>
    <row r="1031" spans="1:7" x14ac:dyDescent="0.25">
      <c r="A1031" s="1" t="s">
        <v>1459</v>
      </c>
      <c r="B1031" t="str">
        <f>_xlfn.XLOOKUP(Logs__3[[#This Row],[Cell_ID]],Registre_Maintenance[ID_Antenne],Registre_Maintenance[Province_RDC],"Pas de correspondance")</f>
        <v>Ituri</v>
      </c>
      <c r="C1031" s="2">
        <v>45200</v>
      </c>
      <c r="D1031" s="3">
        <v>0.67083333333333328</v>
      </c>
      <c r="E1031" s="1" t="s">
        <v>1474</v>
      </c>
      <c r="F1031">
        <v>74</v>
      </c>
      <c r="G1031" s="1" t="s">
        <v>811</v>
      </c>
    </row>
    <row r="1032" spans="1:7" x14ac:dyDescent="0.25">
      <c r="A1032" s="1" t="s">
        <v>1459</v>
      </c>
      <c r="B1032" t="str">
        <f>_xlfn.XLOOKUP(Logs__3[[#This Row],[Cell_ID]],Registre_Maintenance[ID_Antenne],Registre_Maintenance[Province_RDC],"Pas de correspondance")</f>
        <v>Haut-Katanga</v>
      </c>
      <c r="C1032" s="2">
        <v>45200</v>
      </c>
      <c r="D1032" s="3">
        <v>0.50624999999999998</v>
      </c>
      <c r="E1032" s="1" t="s">
        <v>1303</v>
      </c>
      <c r="F1032">
        <v>99</v>
      </c>
      <c r="G1032" s="1" t="s">
        <v>806</v>
      </c>
    </row>
    <row r="1033" spans="1:7" x14ac:dyDescent="0.25">
      <c r="A1033" s="1" t="s">
        <v>1459</v>
      </c>
      <c r="B1033" t="str">
        <f>_xlfn.XLOOKUP(Logs__3[[#This Row],[Cell_ID]],Registre_Maintenance[ID_Antenne],Registre_Maintenance[Province_RDC],"Pas de correspondance")</f>
        <v>Nord-Kivu</v>
      </c>
      <c r="C1033" s="2">
        <v>45201</v>
      </c>
      <c r="D1033" s="3">
        <v>0.87708333333333333</v>
      </c>
      <c r="E1033" s="1" t="s">
        <v>974</v>
      </c>
      <c r="F1033">
        <v>82</v>
      </c>
      <c r="G1033" s="1" t="s">
        <v>811</v>
      </c>
    </row>
    <row r="1034" spans="1:7" x14ac:dyDescent="0.25">
      <c r="A1034" s="1" t="s">
        <v>1459</v>
      </c>
      <c r="B1034" t="str">
        <f>_xlfn.XLOOKUP(Logs__3[[#This Row],[Cell_ID]],Registre_Maintenance[ID_Antenne],Registre_Maintenance[Province_RDC],"Pas de correspondance")</f>
        <v>Pas de correspondance</v>
      </c>
      <c r="C1034" s="2">
        <v>45206</v>
      </c>
      <c r="D1034" s="3">
        <v>0.36666666666666664</v>
      </c>
      <c r="E1034" s="1" t="s">
        <v>1475</v>
      </c>
      <c r="F1034">
        <v>30</v>
      </c>
      <c r="G1034" s="1" t="s">
        <v>811</v>
      </c>
    </row>
    <row r="1035" spans="1:7" x14ac:dyDescent="0.25">
      <c r="A1035" s="1" t="s">
        <v>1459</v>
      </c>
      <c r="B1035" t="str">
        <f>_xlfn.XLOOKUP(Logs__3[[#This Row],[Cell_ID]],Registre_Maintenance[ID_Antenne],Registre_Maintenance[Province_RDC],"Pas de correspondance")</f>
        <v>Pas de correspondance</v>
      </c>
      <c r="C1035" s="2">
        <v>45225</v>
      </c>
      <c r="D1035" s="3">
        <v>0.22083333333333333</v>
      </c>
      <c r="E1035" s="1" t="s">
        <v>1476</v>
      </c>
      <c r="F1035">
        <v>104</v>
      </c>
      <c r="G1035" s="1" t="s">
        <v>809</v>
      </c>
    </row>
    <row r="1036" spans="1:7" x14ac:dyDescent="0.25">
      <c r="A1036" s="1" t="s">
        <v>1459</v>
      </c>
      <c r="B1036" t="str">
        <f>_xlfn.XLOOKUP(Logs__3[[#This Row],[Cell_ID]],Registre_Maintenance[ID_Antenne],Registre_Maintenance[Province_RDC],"Pas de correspondance")</f>
        <v>Pas de correspondance</v>
      </c>
      <c r="C1036" s="2">
        <v>45221</v>
      </c>
      <c r="D1036" s="3">
        <v>0.33958333333333335</v>
      </c>
      <c r="E1036" s="1" t="s">
        <v>1326</v>
      </c>
      <c r="F1036">
        <v>97</v>
      </c>
      <c r="G1036" s="1" t="s">
        <v>809</v>
      </c>
    </row>
    <row r="1037" spans="1:7" x14ac:dyDescent="0.25">
      <c r="A1037" s="1" t="s">
        <v>1459</v>
      </c>
      <c r="B1037" t="str">
        <f>_xlfn.XLOOKUP(Logs__3[[#This Row],[Cell_ID]],Registre_Maintenance[ID_Antenne],Registre_Maintenance[Province_RDC],"Pas de correspondance")</f>
        <v>Pas de correspondance</v>
      </c>
      <c r="C1037" s="2">
        <v>45226</v>
      </c>
      <c r="D1037" s="3">
        <v>7.2222222222222215E-2</v>
      </c>
      <c r="E1037" s="1" t="s">
        <v>1477</v>
      </c>
      <c r="F1037">
        <v>29</v>
      </c>
      <c r="G1037" s="1" t="s">
        <v>811</v>
      </c>
    </row>
    <row r="1038" spans="1:7" x14ac:dyDescent="0.25">
      <c r="A1038" s="1" t="s">
        <v>1459</v>
      </c>
      <c r="B1038" t="str">
        <f>_xlfn.XLOOKUP(Logs__3[[#This Row],[Cell_ID]],Registre_Maintenance[ID_Antenne],Registre_Maintenance[Province_RDC],"Pas de correspondance")</f>
        <v>Pas de correspondance</v>
      </c>
      <c r="C1038" s="2">
        <v>45225</v>
      </c>
      <c r="D1038" s="3">
        <v>0.3840277777777778</v>
      </c>
      <c r="E1038" s="1" t="s">
        <v>1365</v>
      </c>
      <c r="F1038">
        <v>42</v>
      </c>
      <c r="G1038" s="1" t="s">
        <v>806</v>
      </c>
    </row>
    <row r="1039" spans="1:7" x14ac:dyDescent="0.25">
      <c r="A1039" s="1" t="s">
        <v>1459</v>
      </c>
      <c r="B1039" t="str">
        <f>_xlfn.XLOOKUP(Logs__3[[#This Row],[Cell_ID]],Registre_Maintenance[ID_Antenne],Registre_Maintenance[Province_RDC],"Pas de correspondance")</f>
        <v>Pas de correspondance</v>
      </c>
      <c r="C1039" s="2">
        <v>45224</v>
      </c>
      <c r="D1039" s="3">
        <v>0.70972222222222225</v>
      </c>
      <c r="E1039" s="1" t="s">
        <v>1478</v>
      </c>
      <c r="F1039">
        <v>62</v>
      </c>
      <c r="G1039" s="1" t="s">
        <v>809</v>
      </c>
    </row>
    <row r="1040" spans="1:7" x14ac:dyDescent="0.25">
      <c r="A1040" s="1" t="s">
        <v>1459</v>
      </c>
      <c r="B1040" t="str">
        <f>_xlfn.XLOOKUP(Logs__3[[#This Row],[Cell_ID]],Registre_Maintenance[ID_Antenne],Registre_Maintenance[Province_RDC],"Pas de correspondance")</f>
        <v>Pas de correspondance</v>
      </c>
      <c r="C1040" s="2">
        <v>45211</v>
      </c>
      <c r="D1040" s="3">
        <v>0.58750000000000002</v>
      </c>
      <c r="E1040" s="1" t="s">
        <v>1479</v>
      </c>
      <c r="F1040">
        <v>27</v>
      </c>
      <c r="G1040" s="1" t="s">
        <v>811</v>
      </c>
    </row>
    <row r="1041" spans="1:7" x14ac:dyDescent="0.25">
      <c r="A1041" s="1" t="s">
        <v>1459</v>
      </c>
      <c r="B1041" t="str">
        <f>_xlfn.XLOOKUP(Logs__3[[#This Row],[Cell_ID]],Registre_Maintenance[ID_Antenne],Registre_Maintenance[Province_RDC],"Pas de correspondance")</f>
        <v>Pas de correspondance</v>
      </c>
      <c r="C1041" s="2">
        <v>45219</v>
      </c>
      <c r="D1041" s="3">
        <v>0.90763888888888888</v>
      </c>
      <c r="E1041" s="1" t="s">
        <v>1480</v>
      </c>
      <c r="F1041">
        <v>92</v>
      </c>
      <c r="G1041" s="1" t="s">
        <v>809</v>
      </c>
    </row>
    <row r="1042" spans="1:7" x14ac:dyDescent="0.25">
      <c r="A1042" s="1" t="s">
        <v>1459</v>
      </c>
      <c r="B1042" t="str">
        <f>_xlfn.XLOOKUP(Logs__3[[#This Row],[Cell_ID]],Registre_Maintenance[ID_Antenne],Registre_Maintenance[Province_RDC],"Pas de correspondance")</f>
        <v>Pas de correspondance</v>
      </c>
      <c r="C1042" s="2">
        <v>45217</v>
      </c>
      <c r="D1042" s="3">
        <v>0.32430555555555557</v>
      </c>
      <c r="E1042" s="1" t="s">
        <v>1481</v>
      </c>
      <c r="F1042">
        <v>14</v>
      </c>
      <c r="G1042" s="1" t="s">
        <v>809</v>
      </c>
    </row>
    <row r="1043" spans="1:7" x14ac:dyDescent="0.25">
      <c r="A1043" s="1" t="s">
        <v>1459</v>
      </c>
      <c r="B1043" t="str">
        <f>_xlfn.XLOOKUP(Logs__3[[#This Row],[Cell_ID]],Registre_Maintenance[ID_Antenne],Registre_Maintenance[Province_RDC],"Pas de correspondance")</f>
        <v>Tanganyika</v>
      </c>
      <c r="C1043" s="2">
        <v>45220</v>
      </c>
      <c r="D1043" s="3">
        <v>0.72499999999999998</v>
      </c>
      <c r="E1043" s="1" t="s">
        <v>926</v>
      </c>
      <c r="F1043">
        <v>28</v>
      </c>
      <c r="G1043" s="1" t="s">
        <v>811</v>
      </c>
    </row>
    <row r="1044" spans="1:7" x14ac:dyDescent="0.25">
      <c r="A1044" s="1" t="s">
        <v>1459</v>
      </c>
      <c r="B1044" t="str">
        <f>_xlfn.XLOOKUP(Logs__3[[#This Row],[Cell_ID]],Registre_Maintenance[ID_Antenne],Registre_Maintenance[Province_RDC],"Pas de correspondance")</f>
        <v>Pas de correspondance</v>
      </c>
      <c r="C1044" s="2">
        <v>45207</v>
      </c>
      <c r="D1044" s="3">
        <v>0.70138888888888884</v>
      </c>
      <c r="E1044" s="1" t="s">
        <v>1482</v>
      </c>
      <c r="F1044">
        <v>27</v>
      </c>
      <c r="G1044" s="1" t="s">
        <v>811</v>
      </c>
    </row>
    <row r="1045" spans="1:7" x14ac:dyDescent="0.25">
      <c r="A1045" s="1" t="s">
        <v>1459</v>
      </c>
      <c r="B1045" t="str">
        <f>_xlfn.XLOOKUP(Logs__3[[#This Row],[Cell_ID]],Registre_Maintenance[ID_Antenne],Registre_Maintenance[Province_RDC],"Pas de correspondance")</f>
        <v>Pas de correspondance</v>
      </c>
      <c r="C1045" s="2">
        <v>45219</v>
      </c>
      <c r="D1045" s="3">
        <v>0.9291666666666667</v>
      </c>
      <c r="E1045" s="1" t="s">
        <v>1470</v>
      </c>
      <c r="F1045">
        <v>115</v>
      </c>
      <c r="G1045" s="1" t="s">
        <v>806</v>
      </c>
    </row>
    <row r="1046" spans="1:7" x14ac:dyDescent="0.25">
      <c r="A1046" s="1" t="s">
        <v>1483</v>
      </c>
      <c r="B1046" t="str">
        <f>_xlfn.XLOOKUP(Logs__3[[#This Row],[Cell_ID]],Registre_Maintenance[ID_Antenne],Registre_Maintenance[Province_RDC],"Pas de correspondance")</f>
        <v>Pas de correspondance</v>
      </c>
      <c r="C1046" s="2">
        <v>45230</v>
      </c>
      <c r="D1046" s="3">
        <v>0.7319444444444444</v>
      </c>
      <c r="E1046" s="1" t="s">
        <v>1104</v>
      </c>
      <c r="F1046">
        <v>52</v>
      </c>
      <c r="G1046" s="1" t="s">
        <v>806</v>
      </c>
    </row>
    <row r="1047" spans="1:7" x14ac:dyDescent="0.25">
      <c r="A1047" s="1" t="s">
        <v>1483</v>
      </c>
      <c r="B1047" t="str">
        <f>_xlfn.XLOOKUP(Logs__3[[#This Row],[Cell_ID]],Registre_Maintenance[ID_Antenne],Registre_Maintenance[Province_RDC],"Pas de correspondance")</f>
        <v>Pas de correspondance</v>
      </c>
      <c r="C1047" s="2">
        <v>45200</v>
      </c>
      <c r="D1047" s="3">
        <v>0.83611111111111114</v>
      </c>
      <c r="E1047" s="1" t="s">
        <v>1072</v>
      </c>
      <c r="F1047">
        <v>6</v>
      </c>
      <c r="G1047" s="1" t="s">
        <v>806</v>
      </c>
    </row>
    <row r="1048" spans="1:7" x14ac:dyDescent="0.25">
      <c r="A1048" s="1" t="s">
        <v>1483</v>
      </c>
      <c r="B1048" t="str">
        <f>_xlfn.XLOOKUP(Logs__3[[#This Row],[Cell_ID]],Registre_Maintenance[ID_Antenne],Registre_Maintenance[Province_RDC],"Pas de correspondance")</f>
        <v>Pas de correspondance</v>
      </c>
      <c r="C1048" s="2">
        <v>45206</v>
      </c>
      <c r="D1048" s="3">
        <v>0.90277777777777779</v>
      </c>
      <c r="E1048" s="1" t="s">
        <v>1484</v>
      </c>
      <c r="F1048">
        <v>75</v>
      </c>
      <c r="G1048" s="1" t="s">
        <v>811</v>
      </c>
    </row>
    <row r="1049" spans="1:7" x14ac:dyDescent="0.25">
      <c r="A1049" s="1" t="s">
        <v>1483</v>
      </c>
      <c r="B1049" t="str">
        <f>_xlfn.XLOOKUP(Logs__3[[#This Row],[Cell_ID]],Registre_Maintenance[ID_Antenne],Registre_Maintenance[Province_RDC],"Pas de correspondance")</f>
        <v>Pas de correspondance</v>
      </c>
      <c r="C1049" s="2">
        <v>45224</v>
      </c>
      <c r="D1049" s="3">
        <v>0.28819444444444442</v>
      </c>
      <c r="E1049" s="1" t="s">
        <v>1145</v>
      </c>
      <c r="F1049">
        <v>116</v>
      </c>
      <c r="G1049" s="1" t="s">
        <v>811</v>
      </c>
    </row>
    <row r="1050" spans="1:7" x14ac:dyDescent="0.25">
      <c r="A1050" s="1" t="s">
        <v>1483</v>
      </c>
      <c r="B1050" t="str">
        <f>_xlfn.XLOOKUP(Logs__3[[#This Row],[Cell_ID]],Registre_Maintenance[ID_Antenne],Registre_Maintenance[Province_RDC],"Pas de correspondance")</f>
        <v>Pas de correspondance</v>
      </c>
      <c r="C1050" s="2">
        <v>45221</v>
      </c>
      <c r="D1050" s="3">
        <v>0.57847222222222228</v>
      </c>
      <c r="E1050" s="1" t="s">
        <v>1011</v>
      </c>
      <c r="F1050">
        <v>76</v>
      </c>
      <c r="G1050" s="1" t="s">
        <v>811</v>
      </c>
    </row>
    <row r="1051" spans="1:7" x14ac:dyDescent="0.25">
      <c r="A1051" s="1" t="s">
        <v>1483</v>
      </c>
      <c r="B1051" t="str">
        <f>_xlfn.XLOOKUP(Logs__3[[#This Row],[Cell_ID]],Registre_Maintenance[ID_Antenne],Registre_Maintenance[Province_RDC],"Pas de correspondance")</f>
        <v>Pas de correspondance</v>
      </c>
      <c r="C1051" s="2">
        <v>45203</v>
      </c>
      <c r="D1051" s="3">
        <v>0.27361111111111114</v>
      </c>
      <c r="E1051" s="1" t="s">
        <v>851</v>
      </c>
      <c r="F1051">
        <v>23</v>
      </c>
      <c r="G1051" s="1" t="s">
        <v>811</v>
      </c>
    </row>
    <row r="1052" spans="1:7" x14ac:dyDescent="0.25">
      <c r="A1052" s="1" t="s">
        <v>1483</v>
      </c>
      <c r="B1052" t="str">
        <f>_xlfn.XLOOKUP(Logs__3[[#This Row],[Cell_ID]],Registre_Maintenance[ID_Antenne],Registre_Maintenance[Province_RDC],"Pas de correspondance")</f>
        <v>Pas de correspondance</v>
      </c>
      <c r="C1052" s="2">
        <v>45226</v>
      </c>
      <c r="D1052" s="3">
        <v>0.9555555555555556</v>
      </c>
      <c r="E1052" s="1" t="s">
        <v>1485</v>
      </c>
      <c r="F1052">
        <v>20</v>
      </c>
      <c r="G1052" s="1" t="s">
        <v>809</v>
      </c>
    </row>
    <row r="1053" spans="1:7" x14ac:dyDescent="0.25">
      <c r="A1053" s="1" t="s">
        <v>1483</v>
      </c>
      <c r="B1053" t="str">
        <f>_xlfn.XLOOKUP(Logs__3[[#This Row],[Cell_ID]],Registre_Maintenance[ID_Antenne],Registre_Maintenance[Province_RDC],"Pas de correspondance")</f>
        <v>Pas de correspondance</v>
      </c>
      <c r="C1053" s="2">
        <v>45223</v>
      </c>
      <c r="D1053" s="3">
        <v>0.57013888888888886</v>
      </c>
      <c r="E1053" s="1" t="s">
        <v>991</v>
      </c>
      <c r="F1053">
        <v>10</v>
      </c>
      <c r="G1053" s="1" t="s">
        <v>809</v>
      </c>
    </row>
    <row r="1054" spans="1:7" x14ac:dyDescent="0.25">
      <c r="A1054" s="1" t="s">
        <v>1483</v>
      </c>
      <c r="B1054" t="str">
        <f>_xlfn.XLOOKUP(Logs__3[[#This Row],[Cell_ID]],Registre_Maintenance[ID_Antenne],Registre_Maintenance[Province_RDC],"Pas de correspondance")</f>
        <v>Kasaï-Oriental</v>
      </c>
      <c r="C1054" s="2">
        <v>45226</v>
      </c>
      <c r="D1054" s="3">
        <v>0.11597222222222223</v>
      </c>
      <c r="E1054" s="1" t="s">
        <v>1129</v>
      </c>
      <c r="F1054">
        <v>5</v>
      </c>
      <c r="G1054" s="1" t="s">
        <v>811</v>
      </c>
    </row>
    <row r="1055" spans="1:7" x14ac:dyDescent="0.25">
      <c r="A1055" s="1" t="s">
        <v>1483</v>
      </c>
      <c r="B1055" t="str">
        <f>_xlfn.XLOOKUP(Logs__3[[#This Row],[Cell_ID]],Registre_Maintenance[ID_Antenne],Registre_Maintenance[Province_RDC],"Pas de correspondance")</f>
        <v>Pas de correspondance</v>
      </c>
      <c r="C1055" s="2">
        <v>45221</v>
      </c>
      <c r="D1055" s="3">
        <v>0.1673611111111111</v>
      </c>
      <c r="E1055" s="1" t="s">
        <v>921</v>
      </c>
      <c r="F1055">
        <v>78</v>
      </c>
      <c r="G1055" s="1" t="s">
        <v>809</v>
      </c>
    </row>
    <row r="1056" spans="1:7" x14ac:dyDescent="0.25">
      <c r="A1056" s="1" t="s">
        <v>1483</v>
      </c>
      <c r="B1056" t="str">
        <f>_xlfn.XLOOKUP(Logs__3[[#This Row],[Cell_ID]],Registre_Maintenance[ID_Antenne],Registre_Maintenance[Province_RDC],"Pas de correspondance")</f>
        <v>Pas de correspondance</v>
      </c>
      <c r="C1056" s="2">
        <v>45214</v>
      </c>
      <c r="D1056" s="3">
        <v>0.93125000000000002</v>
      </c>
      <c r="E1056" s="1" t="s">
        <v>1275</v>
      </c>
      <c r="F1056">
        <v>81</v>
      </c>
      <c r="G1056" s="1" t="s">
        <v>809</v>
      </c>
    </row>
    <row r="1057" spans="1:7" x14ac:dyDescent="0.25">
      <c r="A1057" s="1" t="s">
        <v>1483</v>
      </c>
      <c r="B1057" t="str">
        <f>_xlfn.XLOOKUP(Logs__3[[#This Row],[Cell_ID]],Registre_Maintenance[ID_Antenne],Registre_Maintenance[Province_RDC],"Pas de correspondance")</f>
        <v>Nord-Kivu</v>
      </c>
      <c r="C1057" s="2">
        <v>45201</v>
      </c>
      <c r="D1057" s="3">
        <v>8.611111111111111E-2</v>
      </c>
      <c r="E1057" s="1" t="s">
        <v>1001</v>
      </c>
      <c r="F1057">
        <v>55</v>
      </c>
      <c r="G1057" s="1" t="s">
        <v>806</v>
      </c>
    </row>
    <row r="1058" spans="1:7" x14ac:dyDescent="0.25">
      <c r="A1058" s="1" t="s">
        <v>1483</v>
      </c>
      <c r="B1058" t="str">
        <f>_xlfn.XLOOKUP(Logs__3[[#This Row],[Cell_ID]],Registre_Maintenance[ID_Antenne],Registre_Maintenance[Province_RDC],"Pas de correspondance")</f>
        <v>Pas de correspondance</v>
      </c>
      <c r="C1058" s="2">
        <v>45201</v>
      </c>
      <c r="D1058" s="3">
        <v>0.24305555555555555</v>
      </c>
      <c r="E1058" s="1" t="s">
        <v>1108</v>
      </c>
      <c r="F1058">
        <v>73</v>
      </c>
      <c r="G1058" s="1" t="s">
        <v>809</v>
      </c>
    </row>
    <row r="1059" spans="1:7" x14ac:dyDescent="0.25">
      <c r="A1059" s="1" t="s">
        <v>1483</v>
      </c>
      <c r="B1059" t="str">
        <f>_xlfn.XLOOKUP(Logs__3[[#This Row],[Cell_ID]],Registre_Maintenance[ID_Antenne],Registre_Maintenance[Province_RDC],"Pas de correspondance")</f>
        <v>Pas de correspondance</v>
      </c>
      <c r="C1059" s="2">
        <v>45208</v>
      </c>
      <c r="D1059" s="3">
        <v>0.71111111111111114</v>
      </c>
      <c r="E1059" s="1" t="s">
        <v>1160</v>
      </c>
      <c r="F1059">
        <v>75</v>
      </c>
      <c r="G1059" s="1" t="s">
        <v>809</v>
      </c>
    </row>
    <row r="1060" spans="1:7" x14ac:dyDescent="0.25">
      <c r="A1060" s="1" t="s">
        <v>1483</v>
      </c>
      <c r="B1060" t="str">
        <f>_xlfn.XLOOKUP(Logs__3[[#This Row],[Cell_ID]],Registre_Maintenance[ID_Antenne],Registre_Maintenance[Province_RDC],"Pas de correspondance")</f>
        <v>Nord-Kivu</v>
      </c>
      <c r="C1060" s="2">
        <v>45218</v>
      </c>
      <c r="D1060" s="3">
        <v>0.33194444444444443</v>
      </c>
      <c r="E1060" s="1" t="s">
        <v>1001</v>
      </c>
      <c r="F1060">
        <v>15</v>
      </c>
      <c r="G1060" s="1" t="s">
        <v>811</v>
      </c>
    </row>
    <row r="1061" spans="1:7" x14ac:dyDescent="0.25">
      <c r="A1061" s="1" t="s">
        <v>1483</v>
      </c>
      <c r="B1061" t="str">
        <f>_xlfn.XLOOKUP(Logs__3[[#This Row],[Cell_ID]],Registre_Maintenance[ID_Antenne],Registre_Maintenance[Province_RDC],"Pas de correspondance")</f>
        <v>Pas de correspondance</v>
      </c>
      <c r="C1061" s="2">
        <v>45208</v>
      </c>
      <c r="D1061" s="3">
        <v>0.55833333333333335</v>
      </c>
      <c r="E1061" s="1" t="s">
        <v>1476</v>
      </c>
      <c r="F1061">
        <v>44</v>
      </c>
      <c r="G1061" s="1" t="s">
        <v>811</v>
      </c>
    </row>
    <row r="1062" spans="1:7" x14ac:dyDescent="0.25">
      <c r="A1062" s="1" t="s">
        <v>1483</v>
      </c>
      <c r="B1062" t="str">
        <f>_xlfn.XLOOKUP(Logs__3[[#This Row],[Cell_ID]],Registre_Maintenance[ID_Antenne],Registre_Maintenance[Province_RDC],"Pas de correspondance")</f>
        <v>Kasaï-Oriental</v>
      </c>
      <c r="C1062" s="2">
        <v>45214</v>
      </c>
      <c r="D1062" s="3">
        <v>0.85069444444444442</v>
      </c>
      <c r="E1062" s="1" t="s">
        <v>1165</v>
      </c>
      <c r="F1062">
        <v>31</v>
      </c>
      <c r="G1062" s="1" t="s">
        <v>811</v>
      </c>
    </row>
    <row r="1063" spans="1:7" x14ac:dyDescent="0.25">
      <c r="A1063" s="1" t="s">
        <v>1483</v>
      </c>
      <c r="B1063" t="str">
        <f>_xlfn.XLOOKUP(Logs__3[[#This Row],[Cell_ID]],Registre_Maintenance[ID_Antenne],Registre_Maintenance[Province_RDC],"Pas de correspondance")</f>
        <v>Pas de correspondance</v>
      </c>
      <c r="C1063" s="2">
        <v>45213</v>
      </c>
      <c r="D1063" s="3">
        <v>0.41736111111111113</v>
      </c>
      <c r="E1063" s="1" t="s">
        <v>1145</v>
      </c>
      <c r="F1063">
        <v>100</v>
      </c>
      <c r="G1063" s="1" t="s">
        <v>806</v>
      </c>
    </row>
    <row r="1064" spans="1:7" x14ac:dyDescent="0.25">
      <c r="A1064" s="1" t="s">
        <v>1483</v>
      </c>
      <c r="B1064" t="str">
        <f>_xlfn.XLOOKUP(Logs__3[[#This Row],[Cell_ID]],Registre_Maintenance[ID_Antenne],Registre_Maintenance[Province_RDC],"Pas de correspondance")</f>
        <v>Pas de correspondance</v>
      </c>
      <c r="C1064" s="2">
        <v>45212</v>
      </c>
      <c r="D1064" s="3">
        <v>0.87986111111111109</v>
      </c>
      <c r="E1064" s="1" t="s">
        <v>1158</v>
      </c>
      <c r="F1064">
        <v>99</v>
      </c>
      <c r="G1064" s="1" t="s">
        <v>806</v>
      </c>
    </row>
    <row r="1065" spans="1:7" x14ac:dyDescent="0.25">
      <c r="A1065" s="1" t="s">
        <v>1483</v>
      </c>
      <c r="B1065" t="str">
        <f>_xlfn.XLOOKUP(Logs__3[[#This Row],[Cell_ID]],Registre_Maintenance[ID_Antenne],Registre_Maintenance[Province_RDC],"Pas de correspondance")</f>
        <v>Pas de correspondance</v>
      </c>
      <c r="C1065" s="2">
        <v>45217</v>
      </c>
      <c r="D1065" s="3">
        <v>2.8472222222222222E-2</v>
      </c>
      <c r="E1065" s="1" t="s">
        <v>1119</v>
      </c>
      <c r="F1065">
        <v>120</v>
      </c>
      <c r="G1065" s="1" t="s">
        <v>811</v>
      </c>
    </row>
    <row r="1066" spans="1:7" x14ac:dyDescent="0.25">
      <c r="A1066" s="1" t="s">
        <v>1483</v>
      </c>
      <c r="B1066" t="str">
        <f>_xlfn.XLOOKUP(Logs__3[[#This Row],[Cell_ID]],Registre_Maintenance[ID_Antenne],Registre_Maintenance[Province_RDC],"Pas de correspondance")</f>
        <v>Haut-Uele</v>
      </c>
      <c r="C1066" s="2">
        <v>45223</v>
      </c>
      <c r="D1066" s="3">
        <v>0.7944444444444444</v>
      </c>
      <c r="E1066" s="1" t="s">
        <v>1486</v>
      </c>
      <c r="F1066">
        <v>97</v>
      </c>
      <c r="G1066" s="1" t="s">
        <v>806</v>
      </c>
    </row>
    <row r="1067" spans="1:7" x14ac:dyDescent="0.25">
      <c r="A1067" s="1" t="s">
        <v>1483</v>
      </c>
      <c r="B1067" t="str">
        <f>_xlfn.XLOOKUP(Logs__3[[#This Row],[Cell_ID]],Registre_Maintenance[ID_Antenne],Registre_Maintenance[Province_RDC],"Pas de correspondance")</f>
        <v>Pas de correspondance</v>
      </c>
      <c r="C1067" s="2">
        <v>45224</v>
      </c>
      <c r="D1067" s="3">
        <v>0.98402777777777772</v>
      </c>
      <c r="E1067" s="1" t="s">
        <v>1487</v>
      </c>
      <c r="F1067">
        <v>49</v>
      </c>
      <c r="G1067" s="1" t="s">
        <v>806</v>
      </c>
    </row>
    <row r="1068" spans="1:7" x14ac:dyDescent="0.25">
      <c r="A1068" s="1" t="s">
        <v>1483</v>
      </c>
      <c r="B1068" t="str">
        <f>_xlfn.XLOOKUP(Logs__3[[#This Row],[Cell_ID]],Registre_Maintenance[ID_Antenne],Registre_Maintenance[Province_RDC],"Pas de correspondance")</f>
        <v>Pas de correspondance</v>
      </c>
      <c r="C1068" s="2">
        <v>45201</v>
      </c>
      <c r="D1068" s="3">
        <v>0.95416666666666672</v>
      </c>
      <c r="E1068" s="1" t="s">
        <v>1488</v>
      </c>
      <c r="F1068">
        <v>32</v>
      </c>
      <c r="G1068" s="1" t="s">
        <v>809</v>
      </c>
    </row>
    <row r="1069" spans="1:7" x14ac:dyDescent="0.25">
      <c r="A1069" s="1" t="s">
        <v>1483</v>
      </c>
      <c r="B1069" t="str">
        <f>_xlfn.XLOOKUP(Logs__3[[#This Row],[Cell_ID]],Registre_Maintenance[ID_Antenne],Registre_Maintenance[Province_RDC],"Pas de correspondance")</f>
        <v>Pas de correspondance</v>
      </c>
      <c r="C1069" s="2">
        <v>45202</v>
      </c>
      <c r="D1069" s="3">
        <v>0.49930555555555556</v>
      </c>
      <c r="E1069" s="1" t="s">
        <v>1354</v>
      </c>
      <c r="F1069">
        <v>57</v>
      </c>
      <c r="G1069" s="1" t="s">
        <v>809</v>
      </c>
    </row>
    <row r="1070" spans="1:7" x14ac:dyDescent="0.25">
      <c r="A1070" s="1" t="s">
        <v>1483</v>
      </c>
      <c r="B1070" t="str">
        <f>_xlfn.XLOOKUP(Logs__3[[#This Row],[Cell_ID]],Registre_Maintenance[ID_Antenne],Registre_Maintenance[Province_RDC],"Pas de correspondance")</f>
        <v>Mongala</v>
      </c>
      <c r="C1070" s="2">
        <v>45216</v>
      </c>
      <c r="D1070" s="3">
        <v>0.13750000000000001</v>
      </c>
      <c r="E1070" s="1" t="s">
        <v>1489</v>
      </c>
      <c r="F1070">
        <v>120</v>
      </c>
      <c r="G1070" s="1" t="s">
        <v>809</v>
      </c>
    </row>
    <row r="1071" spans="1:7" x14ac:dyDescent="0.25">
      <c r="A1071" s="1" t="s">
        <v>1483</v>
      </c>
      <c r="B1071" t="str">
        <f>_xlfn.XLOOKUP(Logs__3[[#This Row],[Cell_ID]],Registre_Maintenance[ID_Antenne],Registre_Maintenance[Province_RDC],"Pas de correspondance")</f>
        <v>Haut-Lomami</v>
      </c>
      <c r="C1071" s="2">
        <v>45225</v>
      </c>
      <c r="D1071" s="3">
        <v>0.8881944444444444</v>
      </c>
      <c r="E1071" s="1" t="s">
        <v>1490</v>
      </c>
      <c r="F1071">
        <v>87</v>
      </c>
      <c r="G1071" s="1" t="s">
        <v>811</v>
      </c>
    </row>
    <row r="1072" spans="1:7" x14ac:dyDescent="0.25">
      <c r="A1072" s="1" t="s">
        <v>1483</v>
      </c>
      <c r="B1072" t="str">
        <f>_xlfn.XLOOKUP(Logs__3[[#This Row],[Cell_ID]],Registre_Maintenance[ID_Antenne],Registre_Maintenance[Province_RDC],"Pas de correspondance")</f>
        <v>Bas-Uele</v>
      </c>
      <c r="C1072" s="2">
        <v>45219</v>
      </c>
      <c r="D1072" s="3">
        <v>9.583333333333334E-2</v>
      </c>
      <c r="E1072" s="1" t="s">
        <v>975</v>
      </c>
      <c r="F1072">
        <v>113</v>
      </c>
      <c r="G1072" s="1" t="s">
        <v>811</v>
      </c>
    </row>
    <row r="1073" spans="1:7" x14ac:dyDescent="0.25">
      <c r="A1073" s="1" t="s">
        <v>1483</v>
      </c>
      <c r="B1073" t="str">
        <f>_xlfn.XLOOKUP(Logs__3[[#This Row],[Cell_ID]],Registre_Maintenance[ID_Antenne],Registre_Maintenance[Province_RDC],"Pas de correspondance")</f>
        <v>Pas de correspondance</v>
      </c>
      <c r="C1073" s="2">
        <v>45224</v>
      </c>
      <c r="D1073" s="3">
        <v>0.6</v>
      </c>
      <c r="E1073" s="1" t="s">
        <v>1491</v>
      </c>
      <c r="F1073">
        <v>70</v>
      </c>
      <c r="G1073" s="1" t="s">
        <v>811</v>
      </c>
    </row>
    <row r="1074" spans="1:7" x14ac:dyDescent="0.25">
      <c r="A1074" s="1" t="s">
        <v>1483</v>
      </c>
      <c r="B1074" t="str">
        <f>_xlfn.XLOOKUP(Logs__3[[#This Row],[Cell_ID]],Registre_Maintenance[ID_Antenne],Registre_Maintenance[Province_RDC],"Pas de correspondance")</f>
        <v>Pas de correspondance</v>
      </c>
      <c r="C1074" s="2">
        <v>45212</v>
      </c>
      <c r="D1074" s="3">
        <v>0.87569444444444444</v>
      </c>
      <c r="E1074" s="1" t="s">
        <v>1492</v>
      </c>
      <c r="F1074">
        <v>23</v>
      </c>
      <c r="G1074" s="1" t="s">
        <v>806</v>
      </c>
    </row>
    <row r="1075" spans="1:7" x14ac:dyDescent="0.25">
      <c r="A1075" s="1" t="s">
        <v>1483</v>
      </c>
      <c r="B1075" t="str">
        <f>_xlfn.XLOOKUP(Logs__3[[#This Row],[Cell_ID]],Registre_Maintenance[ID_Antenne],Registre_Maintenance[Province_RDC],"Pas de correspondance")</f>
        <v>Pas de correspondance</v>
      </c>
      <c r="C1075" s="2">
        <v>45215</v>
      </c>
      <c r="D1075" s="3">
        <v>0.23194444444444445</v>
      </c>
      <c r="E1075" s="1" t="s">
        <v>1145</v>
      </c>
      <c r="F1075">
        <v>25</v>
      </c>
      <c r="G1075" s="1" t="s">
        <v>809</v>
      </c>
    </row>
    <row r="1076" spans="1:7" x14ac:dyDescent="0.25">
      <c r="A1076" s="1" t="s">
        <v>1483</v>
      </c>
      <c r="B1076" t="str">
        <f>_xlfn.XLOOKUP(Logs__3[[#This Row],[Cell_ID]],Registre_Maintenance[ID_Antenne],Registre_Maintenance[Province_RDC],"Pas de correspondance")</f>
        <v>Pas de correspondance</v>
      </c>
      <c r="C1076" s="2">
        <v>45207</v>
      </c>
      <c r="D1076" s="3">
        <v>0.19930555555555557</v>
      </c>
      <c r="E1076" s="1" t="s">
        <v>1417</v>
      </c>
      <c r="F1076">
        <v>28</v>
      </c>
      <c r="G1076" s="1" t="s">
        <v>809</v>
      </c>
    </row>
    <row r="1077" spans="1:7" x14ac:dyDescent="0.25">
      <c r="A1077" s="1" t="s">
        <v>1483</v>
      </c>
      <c r="B1077" t="str">
        <f>_xlfn.XLOOKUP(Logs__3[[#This Row],[Cell_ID]],Registre_Maintenance[ID_Antenne],Registre_Maintenance[Province_RDC],"Pas de correspondance")</f>
        <v>Pas de correspondance</v>
      </c>
      <c r="C1077" s="2">
        <v>45212</v>
      </c>
      <c r="D1077" s="3">
        <v>0.72083333333333333</v>
      </c>
      <c r="E1077" s="1" t="s">
        <v>1493</v>
      </c>
      <c r="F1077">
        <v>33</v>
      </c>
      <c r="G1077" s="1" t="s">
        <v>811</v>
      </c>
    </row>
    <row r="1078" spans="1:7" x14ac:dyDescent="0.25">
      <c r="A1078" s="1" t="s">
        <v>1483</v>
      </c>
      <c r="B1078" t="str">
        <f>_xlfn.XLOOKUP(Logs__3[[#This Row],[Cell_ID]],Registre_Maintenance[ID_Antenne],Registre_Maintenance[Province_RDC],"Pas de correspondance")</f>
        <v>Equateur</v>
      </c>
      <c r="C1078" s="2">
        <v>45230</v>
      </c>
      <c r="D1078" s="3">
        <v>0.83958333333333335</v>
      </c>
      <c r="E1078" s="1" t="s">
        <v>1196</v>
      </c>
      <c r="F1078">
        <v>83</v>
      </c>
      <c r="G1078" s="1" t="s">
        <v>811</v>
      </c>
    </row>
    <row r="1079" spans="1:7" x14ac:dyDescent="0.25">
      <c r="A1079" s="1" t="s">
        <v>1483</v>
      </c>
      <c r="B1079" t="str">
        <f>_xlfn.XLOOKUP(Logs__3[[#This Row],[Cell_ID]],Registre_Maintenance[ID_Antenne],Registre_Maintenance[Province_RDC],"Pas de correspondance")</f>
        <v>Bas-Uele</v>
      </c>
      <c r="C1079" s="2">
        <v>45209</v>
      </c>
      <c r="D1079" s="3">
        <v>0.91388888888888886</v>
      </c>
      <c r="E1079" s="1" t="s">
        <v>1131</v>
      </c>
      <c r="F1079">
        <v>111</v>
      </c>
      <c r="G1079" s="1" t="s">
        <v>811</v>
      </c>
    </row>
    <row r="1080" spans="1:7" x14ac:dyDescent="0.25">
      <c r="A1080" s="1" t="s">
        <v>1483</v>
      </c>
      <c r="B1080" t="str">
        <f>_xlfn.XLOOKUP(Logs__3[[#This Row],[Cell_ID]],Registre_Maintenance[ID_Antenne],Registre_Maintenance[Province_RDC],"Pas de correspondance")</f>
        <v>Pas de correspondance</v>
      </c>
      <c r="C1080" s="2">
        <v>45229</v>
      </c>
      <c r="D1080" s="3">
        <v>0.9868055555555556</v>
      </c>
      <c r="E1080" s="1" t="s">
        <v>1256</v>
      </c>
      <c r="F1080">
        <v>37</v>
      </c>
      <c r="G1080" s="1" t="s">
        <v>811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DFA3-2353-4A1F-A6CE-474D8519B8A3}">
  <dimension ref="A1:G400"/>
  <sheetViews>
    <sheetView zoomScale="80" zoomScaleNormal="80" workbookViewId="0">
      <selection activeCell="D31" sqref="D31"/>
    </sheetView>
  </sheetViews>
  <sheetFormatPr baseColWidth="10" defaultRowHeight="15" x14ac:dyDescent="0.25"/>
  <cols>
    <col min="1" max="1" width="32.42578125" bestFit="1" customWidth="1"/>
    <col min="2" max="2" width="14.28515625" bestFit="1" customWidth="1"/>
    <col min="3" max="3" width="16.7109375" bestFit="1" customWidth="1"/>
    <col min="4" max="4" width="11.5703125" bestFit="1" customWidth="1"/>
    <col min="5" max="5" width="12.85546875" bestFit="1" customWidth="1"/>
    <col min="6" max="6" width="14.5703125" bestFit="1" customWidth="1"/>
    <col min="7" max="7" width="17" bestFit="1" customWidth="1"/>
  </cols>
  <sheetData>
    <row r="1" spans="1:7" x14ac:dyDescent="0.25">
      <c r="A1" t="s">
        <v>0</v>
      </c>
      <c r="B1" t="s">
        <v>1494</v>
      </c>
      <c r="C1" t="s">
        <v>1495</v>
      </c>
      <c r="D1" t="s">
        <v>1496</v>
      </c>
      <c r="E1" t="s">
        <v>1497</v>
      </c>
      <c r="F1" t="s">
        <v>1498</v>
      </c>
      <c r="G1" t="s">
        <v>1499</v>
      </c>
    </row>
    <row r="2" spans="1:7" x14ac:dyDescent="0.25">
      <c r="A2" s="1" t="s">
        <v>1500</v>
      </c>
      <c r="B2" s="1" t="s">
        <v>1323</v>
      </c>
      <c r="C2" s="1" t="s">
        <v>127</v>
      </c>
      <c r="D2">
        <v>-3.003879</v>
      </c>
      <c r="E2">
        <v>23.633893</v>
      </c>
      <c r="F2" s="1" t="s">
        <v>1501</v>
      </c>
      <c r="G2" s="1" t="s">
        <v>1502</v>
      </c>
    </row>
    <row r="3" spans="1:7" x14ac:dyDescent="0.25">
      <c r="A3" s="1" t="s">
        <v>1500</v>
      </c>
      <c r="B3" s="1" t="s">
        <v>1503</v>
      </c>
      <c r="C3" s="1" t="s">
        <v>51</v>
      </c>
      <c r="D3">
        <v>2.413557</v>
      </c>
      <c r="E3">
        <v>19.690681999999999</v>
      </c>
      <c r="F3" s="1" t="s">
        <v>1504</v>
      </c>
      <c r="G3" s="1" t="s">
        <v>1505</v>
      </c>
    </row>
    <row r="4" spans="1:7" x14ac:dyDescent="0.25">
      <c r="A4" s="1" t="s">
        <v>1500</v>
      </c>
      <c r="B4" s="1" t="s">
        <v>825</v>
      </c>
      <c r="C4" s="1" t="s">
        <v>37</v>
      </c>
      <c r="D4">
        <v>-9.4708620000000003</v>
      </c>
      <c r="E4">
        <v>29.234387999999999</v>
      </c>
      <c r="F4" s="1" t="s">
        <v>1506</v>
      </c>
      <c r="G4" s="1" t="s">
        <v>1507</v>
      </c>
    </row>
    <row r="5" spans="1:7" x14ac:dyDescent="0.25">
      <c r="A5" s="1" t="s">
        <v>1500</v>
      </c>
      <c r="B5" s="1" t="s">
        <v>1272</v>
      </c>
      <c r="C5" s="1" t="s">
        <v>73</v>
      </c>
      <c r="D5">
        <v>1.400674</v>
      </c>
      <c r="E5">
        <v>13.503126999999999</v>
      </c>
      <c r="F5" s="1" t="s">
        <v>1501</v>
      </c>
      <c r="G5" s="1" t="s">
        <v>1507</v>
      </c>
    </row>
    <row r="6" spans="1:7" x14ac:dyDescent="0.25">
      <c r="A6" s="1" t="s">
        <v>1500</v>
      </c>
      <c r="B6" s="1" t="s">
        <v>1508</v>
      </c>
      <c r="C6" s="1" t="s">
        <v>127</v>
      </c>
      <c r="D6">
        <v>0.29375600000000002</v>
      </c>
      <c r="E6">
        <v>18.528884000000001</v>
      </c>
      <c r="F6" s="1" t="s">
        <v>1501</v>
      </c>
      <c r="G6" s="1" t="s">
        <v>1507</v>
      </c>
    </row>
    <row r="7" spans="1:7" x14ac:dyDescent="0.25">
      <c r="A7" s="1" t="s">
        <v>1500</v>
      </c>
      <c r="B7" s="1" t="s">
        <v>1509</v>
      </c>
      <c r="C7" s="1" t="s">
        <v>78</v>
      </c>
      <c r="D7">
        <v>-4.4862339999999996</v>
      </c>
      <c r="E7">
        <v>17.956159</v>
      </c>
      <c r="F7" s="1" t="s">
        <v>1506</v>
      </c>
      <c r="G7" s="1" t="s">
        <v>1505</v>
      </c>
    </row>
    <row r="8" spans="1:7" x14ac:dyDescent="0.25">
      <c r="A8" s="1" t="s">
        <v>1500</v>
      </c>
      <c r="B8" s="1" t="s">
        <v>1510</v>
      </c>
      <c r="C8" s="1" t="s">
        <v>37</v>
      </c>
      <c r="D8">
        <v>-12.824638999999999</v>
      </c>
      <c r="E8">
        <v>24.407249</v>
      </c>
      <c r="F8" s="1" t="s">
        <v>1501</v>
      </c>
      <c r="G8" s="1" t="s">
        <v>1505</v>
      </c>
    </row>
    <row r="9" spans="1:7" x14ac:dyDescent="0.25">
      <c r="A9" s="1" t="s">
        <v>1500</v>
      </c>
      <c r="B9" s="1" t="s">
        <v>903</v>
      </c>
      <c r="C9" s="1" t="s">
        <v>64</v>
      </c>
      <c r="D9">
        <v>-5.4126279999999998</v>
      </c>
      <c r="E9">
        <v>25.498235999999999</v>
      </c>
      <c r="F9" s="1" t="s">
        <v>1501</v>
      </c>
      <c r="G9" s="1" t="s">
        <v>1507</v>
      </c>
    </row>
    <row r="10" spans="1:7" x14ac:dyDescent="0.25">
      <c r="A10" s="1" t="s">
        <v>1500</v>
      </c>
      <c r="B10" s="1" t="s">
        <v>1511</v>
      </c>
      <c r="C10" s="1" t="s">
        <v>64</v>
      </c>
      <c r="D10">
        <v>-10.579510000000001</v>
      </c>
      <c r="E10">
        <v>23.502313999999998</v>
      </c>
      <c r="F10" s="1" t="s">
        <v>1504</v>
      </c>
      <c r="G10" s="1" t="s">
        <v>1507</v>
      </c>
    </row>
    <row r="11" spans="1:7" x14ac:dyDescent="0.25">
      <c r="A11" s="1" t="s">
        <v>1500</v>
      </c>
      <c r="B11" s="1" t="s">
        <v>1512</v>
      </c>
      <c r="C11" s="1" t="s">
        <v>13</v>
      </c>
      <c r="D11">
        <v>3.0788669999999998</v>
      </c>
      <c r="E11">
        <v>19.513650999999999</v>
      </c>
      <c r="F11" s="1" t="s">
        <v>1501</v>
      </c>
      <c r="G11" s="1" t="s">
        <v>1505</v>
      </c>
    </row>
    <row r="12" spans="1:7" x14ac:dyDescent="0.25">
      <c r="A12" s="1" t="s">
        <v>1500</v>
      </c>
      <c r="B12" s="1" t="s">
        <v>814</v>
      </c>
      <c r="C12" s="1" t="s">
        <v>1675</v>
      </c>
      <c r="D12">
        <v>-1.648264</v>
      </c>
      <c r="E12">
        <v>28.866143999999998</v>
      </c>
      <c r="F12" s="1" t="s">
        <v>1501</v>
      </c>
      <c r="G12" s="1" t="s">
        <v>1502</v>
      </c>
    </row>
    <row r="13" spans="1:7" x14ac:dyDescent="0.25">
      <c r="A13" s="1" t="s">
        <v>1500</v>
      </c>
      <c r="B13" s="1" t="s">
        <v>1513</v>
      </c>
      <c r="C13" s="1" t="s">
        <v>131</v>
      </c>
      <c r="D13">
        <v>-3.3883130000000001</v>
      </c>
      <c r="E13">
        <v>26.838507</v>
      </c>
      <c r="F13" s="1" t="s">
        <v>1501</v>
      </c>
      <c r="G13" s="1" t="s">
        <v>1514</v>
      </c>
    </row>
    <row r="14" spans="1:7" x14ac:dyDescent="0.25">
      <c r="A14" s="1" t="s">
        <v>1500</v>
      </c>
      <c r="B14" s="1" t="s">
        <v>1515</v>
      </c>
      <c r="C14" s="1" t="s">
        <v>89</v>
      </c>
      <c r="D14">
        <v>-7.31691</v>
      </c>
      <c r="E14">
        <v>29.836627</v>
      </c>
      <c r="F14" s="1" t="s">
        <v>1501</v>
      </c>
      <c r="G14" s="1" t="s">
        <v>1507</v>
      </c>
    </row>
    <row r="15" spans="1:7" x14ac:dyDescent="0.25">
      <c r="A15" s="1" t="s">
        <v>1500</v>
      </c>
      <c r="B15" s="1" t="s">
        <v>928</v>
      </c>
      <c r="C15" s="1" t="s">
        <v>51</v>
      </c>
      <c r="D15">
        <v>-4.2408359999999998</v>
      </c>
      <c r="E15">
        <v>26.210014000000001</v>
      </c>
      <c r="F15" s="1" t="s">
        <v>1504</v>
      </c>
      <c r="G15" s="1" t="s">
        <v>1505</v>
      </c>
    </row>
    <row r="16" spans="1:7" x14ac:dyDescent="0.25">
      <c r="A16" s="1" t="s">
        <v>1500</v>
      </c>
      <c r="B16" s="1" t="s">
        <v>1096</v>
      </c>
      <c r="C16" s="1" t="s">
        <v>78</v>
      </c>
      <c r="D16">
        <v>-8.4824669999999998</v>
      </c>
      <c r="E16">
        <v>21.897777999999999</v>
      </c>
      <c r="F16" s="1" t="s">
        <v>1501</v>
      </c>
      <c r="G16" s="1" t="s">
        <v>1502</v>
      </c>
    </row>
    <row r="17" spans="1:7" x14ac:dyDescent="0.25">
      <c r="A17" s="1" t="s">
        <v>1500</v>
      </c>
      <c r="B17" s="1" t="s">
        <v>1282</v>
      </c>
      <c r="C17" s="1" t="s">
        <v>21</v>
      </c>
      <c r="D17">
        <v>2.453036</v>
      </c>
      <c r="E17">
        <v>20.555484</v>
      </c>
      <c r="F17" s="1" t="s">
        <v>1501</v>
      </c>
      <c r="G17" s="1" t="s">
        <v>1502</v>
      </c>
    </row>
    <row r="18" spans="1:7" x14ac:dyDescent="0.25">
      <c r="A18" s="1" t="s">
        <v>1500</v>
      </c>
      <c r="B18" s="1" t="s">
        <v>880</v>
      </c>
      <c r="C18" s="1" t="s">
        <v>31</v>
      </c>
      <c r="D18">
        <v>-12.141233</v>
      </c>
      <c r="E18">
        <v>15.179043999999999</v>
      </c>
      <c r="F18" s="1" t="s">
        <v>1501</v>
      </c>
      <c r="G18" s="1" t="s">
        <v>1502</v>
      </c>
    </row>
    <row r="19" spans="1:7" x14ac:dyDescent="0.25">
      <c r="A19" s="1" t="s">
        <v>1500</v>
      </c>
      <c r="B19" s="1" t="s">
        <v>907</v>
      </c>
      <c r="C19" s="1" t="s">
        <v>67</v>
      </c>
      <c r="D19">
        <v>-11.218453999999999</v>
      </c>
      <c r="E19">
        <v>28.230025000000001</v>
      </c>
      <c r="F19" s="1" t="s">
        <v>1501</v>
      </c>
      <c r="G19" s="1" t="s">
        <v>1507</v>
      </c>
    </row>
    <row r="20" spans="1:7" x14ac:dyDescent="0.25">
      <c r="A20" s="1" t="s">
        <v>1500</v>
      </c>
      <c r="B20" s="1" t="s">
        <v>841</v>
      </c>
      <c r="C20" s="1" t="s">
        <v>1674</v>
      </c>
      <c r="D20">
        <v>-10.059846</v>
      </c>
      <c r="E20">
        <v>14.375757999999999</v>
      </c>
      <c r="F20" s="1" t="s">
        <v>1504</v>
      </c>
      <c r="G20" s="1" t="s">
        <v>1505</v>
      </c>
    </row>
    <row r="21" spans="1:7" x14ac:dyDescent="0.25">
      <c r="A21" s="1" t="s">
        <v>1500</v>
      </c>
      <c r="B21" s="1" t="s">
        <v>1155</v>
      </c>
      <c r="C21" s="1" t="s">
        <v>60</v>
      </c>
      <c r="D21">
        <v>-9.1215879999999991</v>
      </c>
      <c r="E21">
        <v>16.457916999999998</v>
      </c>
      <c r="F21" s="1" t="s">
        <v>1504</v>
      </c>
      <c r="G21" s="1" t="s">
        <v>1514</v>
      </c>
    </row>
    <row r="22" spans="1:7" x14ac:dyDescent="0.25">
      <c r="A22" s="1" t="s">
        <v>1500</v>
      </c>
      <c r="B22" s="1" t="s">
        <v>819</v>
      </c>
      <c r="C22" s="1" t="s">
        <v>67</v>
      </c>
      <c r="D22">
        <v>-8.4227860000000003</v>
      </c>
      <c r="E22">
        <v>16.781293000000002</v>
      </c>
      <c r="F22" s="1" t="s">
        <v>1504</v>
      </c>
      <c r="G22" s="1" t="s">
        <v>1505</v>
      </c>
    </row>
    <row r="23" spans="1:7" x14ac:dyDescent="0.25">
      <c r="A23" s="1" t="s">
        <v>1500</v>
      </c>
      <c r="B23" s="1" t="s">
        <v>1516</v>
      </c>
      <c r="C23" s="1" t="s">
        <v>1676</v>
      </c>
      <c r="D23">
        <v>2.1014910000000002</v>
      </c>
      <c r="E23">
        <v>26.133631999999999</v>
      </c>
      <c r="F23" s="1" t="s">
        <v>1501</v>
      </c>
      <c r="G23" s="1" t="s">
        <v>1505</v>
      </c>
    </row>
    <row r="24" spans="1:7" x14ac:dyDescent="0.25">
      <c r="A24" s="1" t="s">
        <v>1500</v>
      </c>
      <c r="B24" s="1" t="s">
        <v>1153</v>
      </c>
      <c r="C24" s="1" t="s">
        <v>67</v>
      </c>
      <c r="D24">
        <v>-11.266565999999999</v>
      </c>
      <c r="E24">
        <v>26.245055000000001</v>
      </c>
      <c r="F24" s="1" t="s">
        <v>1506</v>
      </c>
      <c r="G24" s="1" t="s">
        <v>1502</v>
      </c>
    </row>
    <row r="25" spans="1:7" x14ac:dyDescent="0.25">
      <c r="A25" s="1" t="s">
        <v>1500</v>
      </c>
      <c r="B25" s="1" t="s">
        <v>1248</v>
      </c>
      <c r="C25" s="1" t="s">
        <v>26</v>
      </c>
      <c r="D25">
        <v>0.40267799999999998</v>
      </c>
      <c r="E25">
        <v>16.000858000000001</v>
      </c>
      <c r="F25" s="1" t="s">
        <v>1506</v>
      </c>
      <c r="G25" s="1" t="s">
        <v>1514</v>
      </c>
    </row>
    <row r="26" spans="1:7" x14ac:dyDescent="0.25">
      <c r="A26" s="1" t="s">
        <v>1500</v>
      </c>
      <c r="B26" s="1" t="s">
        <v>967</v>
      </c>
      <c r="C26" s="1" t="s">
        <v>31</v>
      </c>
      <c r="D26">
        <v>-8.3241560000000003</v>
      </c>
      <c r="E26">
        <v>19.543866000000001</v>
      </c>
      <c r="F26" s="1" t="s">
        <v>1504</v>
      </c>
      <c r="G26" s="1" t="s">
        <v>1507</v>
      </c>
    </row>
    <row r="27" spans="1:7" x14ac:dyDescent="0.25">
      <c r="A27" s="1" t="s">
        <v>1500</v>
      </c>
      <c r="B27" s="1" t="s">
        <v>1517</v>
      </c>
      <c r="C27" s="1" t="s">
        <v>78</v>
      </c>
      <c r="D27">
        <v>-6.5144820000000001</v>
      </c>
      <c r="E27">
        <v>13.815521</v>
      </c>
      <c r="F27" s="1" t="s">
        <v>1504</v>
      </c>
      <c r="G27" s="1" t="s">
        <v>1507</v>
      </c>
    </row>
    <row r="28" spans="1:7" x14ac:dyDescent="0.25">
      <c r="A28" s="1" t="s">
        <v>1500</v>
      </c>
      <c r="B28" s="1" t="s">
        <v>962</v>
      </c>
      <c r="C28" s="1" t="s">
        <v>21</v>
      </c>
      <c r="D28">
        <v>-2.9651529999999999</v>
      </c>
      <c r="E28">
        <v>29.79908</v>
      </c>
      <c r="F28" s="1" t="s">
        <v>1504</v>
      </c>
      <c r="G28" s="1" t="s">
        <v>1502</v>
      </c>
    </row>
    <row r="29" spans="1:7" x14ac:dyDescent="0.25">
      <c r="A29" s="1" t="s">
        <v>1500</v>
      </c>
      <c r="B29" s="1" t="s">
        <v>1109</v>
      </c>
      <c r="C29" s="1" t="s">
        <v>1674</v>
      </c>
      <c r="D29">
        <v>1.5802860000000001</v>
      </c>
      <c r="E29">
        <v>20.99053</v>
      </c>
      <c r="F29" s="1" t="s">
        <v>1504</v>
      </c>
      <c r="G29" s="1" t="s">
        <v>1507</v>
      </c>
    </row>
    <row r="30" spans="1:7" x14ac:dyDescent="0.25">
      <c r="A30" s="1" t="s">
        <v>1500</v>
      </c>
      <c r="B30" s="1" t="s">
        <v>1518</v>
      </c>
      <c r="C30" s="1" t="s">
        <v>26</v>
      </c>
      <c r="D30">
        <v>-6.8054750000000004</v>
      </c>
      <c r="E30">
        <v>13.022683000000001</v>
      </c>
      <c r="F30" s="1" t="s">
        <v>1504</v>
      </c>
      <c r="G30" s="1" t="s">
        <v>1505</v>
      </c>
    </row>
    <row r="31" spans="1:7" x14ac:dyDescent="0.25">
      <c r="A31" s="1" t="s">
        <v>1500</v>
      </c>
      <c r="B31" s="1" t="s">
        <v>1519</v>
      </c>
      <c r="C31" s="1" t="s">
        <v>10</v>
      </c>
      <c r="D31">
        <v>-5.5883039999999999</v>
      </c>
      <c r="E31">
        <v>26.647739999999999</v>
      </c>
      <c r="F31" s="1" t="s">
        <v>1506</v>
      </c>
      <c r="G31" s="1" t="s">
        <v>1502</v>
      </c>
    </row>
    <row r="32" spans="1:7" x14ac:dyDescent="0.25">
      <c r="A32" s="1" t="s">
        <v>1500</v>
      </c>
      <c r="B32" s="1" t="s">
        <v>911</v>
      </c>
      <c r="C32" s="1" t="s">
        <v>1675</v>
      </c>
      <c r="D32">
        <v>-6.6803710000000001</v>
      </c>
      <c r="E32">
        <v>21.955673000000001</v>
      </c>
      <c r="F32" s="1" t="s">
        <v>1504</v>
      </c>
      <c r="G32" s="1" t="s">
        <v>1514</v>
      </c>
    </row>
    <row r="33" spans="1:7" x14ac:dyDescent="0.25">
      <c r="A33" s="1" t="s">
        <v>1500</v>
      </c>
      <c r="B33" s="1" t="s">
        <v>1520</v>
      </c>
      <c r="C33" s="1" t="s">
        <v>10</v>
      </c>
      <c r="D33">
        <v>-0.767455</v>
      </c>
      <c r="E33">
        <v>30.924261000000001</v>
      </c>
      <c r="F33" s="1" t="s">
        <v>1506</v>
      </c>
      <c r="G33" s="1" t="s">
        <v>1505</v>
      </c>
    </row>
    <row r="34" spans="1:7" x14ac:dyDescent="0.25">
      <c r="A34" s="1" t="s">
        <v>1500</v>
      </c>
      <c r="B34" s="1" t="s">
        <v>875</v>
      </c>
      <c r="C34" s="1" t="s">
        <v>37</v>
      </c>
      <c r="D34">
        <v>-2.099631</v>
      </c>
      <c r="E34">
        <v>13.974640000000001</v>
      </c>
      <c r="F34" s="1" t="s">
        <v>1506</v>
      </c>
      <c r="G34" s="1" t="s">
        <v>1514</v>
      </c>
    </row>
    <row r="35" spans="1:7" x14ac:dyDescent="0.25">
      <c r="A35" s="1" t="s">
        <v>1500</v>
      </c>
      <c r="B35" s="1" t="s">
        <v>1521</v>
      </c>
      <c r="C35" s="1" t="s">
        <v>137</v>
      </c>
      <c r="D35">
        <v>-2.6166320000000001</v>
      </c>
      <c r="E35">
        <v>23.743941</v>
      </c>
      <c r="F35" s="1" t="s">
        <v>1501</v>
      </c>
      <c r="G35" s="1" t="s">
        <v>1514</v>
      </c>
    </row>
    <row r="36" spans="1:7" x14ac:dyDescent="0.25">
      <c r="A36" s="1" t="s">
        <v>1500</v>
      </c>
      <c r="B36" s="1" t="s">
        <v>1306</v>
      </c>
      <c r="C36" s="1" t="s">
        <v>21</v>
      </c>
      <c r="D36">
        <v>-1.3024210000000001</v>
      </c>
      <c r="E36">
        <v>13.601914000000001</v>
      </c>
      <c r="F36" s="1" t="s">
        <v>1506</v>
      </c>
      <c r="G36" s="1" t="s">
        <v>1505</v>
      </c>
    </row>
    <row r="37" spans="1:7" x14ac:dyDescent="0.25">
      <c r="A37" s="1" t="s">
        <v>1500</v>
      </c>
      <c r="B37" s="1" t="s">
        <v>1522</v>
      </c>
      <c r="C37" s="1" t="s">
        <v>21</v>
      </c>
      <c r="D37">
        <v>-3.3081109999999998</v>
      </c>
      <c r="E37">
        <v>29.700202000000001</v>
      </c>
      <c r="F37" s="1" t="s">
        <v>1504</v>
      </c>
      <c r="G37" s="1" t="s">
        <v>1514</v>
      </c>
    </row>
    <row r="38" spans="1:7" x14ac:dyDescent="0.25">
      <c r="A38" s="1" t="s">
        <v>1500</v>
      </c>
      <c r="B38" s="1" t="s">
        <v>832</v>
      </c>
      <c r="C38" s="1" t="s">
        <v>131</v>
      </c>
      <c r="D38">
        <v>4.6287159999999998</v>
      </c>
      <c r="E38">
        <v>19.407077999999998</v>
      </c>
      <c r="F38" s="1" t="s">
        <v>1504</v>
      </c>
      <c r="G38" s="1" t="s">
        <v>1502</v>
      </c>
    </row>
    <row r="39" spans="1:7" x14ac:dyDescent="0.25">
      <c r="A39" s="1" t="s">
        <v>1500</v>
      </c>
      <c r="B39" s="1" t="s">
        <v>1198</v>
      </c>
      <c r="C39" s="1" t="s">
        <v>67</v>
      </c>
      <c r="D39">
        <v>-7.8770429999999996</v>
      </c>
      <c r="E39">
        <v>16.357762999999998</v>
      </c>
      <c r="F39" s="1" t="s">
        <v>1504</v>
      </c>
      <c r="G39" s="1" t="s">
        <v>1502</v>
      </c>
    </row>
    <row r="40" spans="1:7" x14ac:dyDescent="0.25">
      <c r="A40" s="1" t="s">
        <v>1500</v>
      </c>
      <c r="B40" s="1" t="s">
        <v>1215</v>
      </c>
      <c r="C40" s="1" t="s">
        <v>127</v>
      </c>
      <c r="D40">
        <v>-7.1483749999999997</v>
      </c>
      <c r="E40">
        <v>26.014271000000001</v>
      </c>
      <c r="F40" s="1" t="s">
        <v>1501</v>
      </c>
      <c r="G40" s="1" t="s">
        <v>1505</v>
      </c>
    </row>
    <row r="41" spans="1:7" x14ac:dyDescent="0.25">
      <c r="A41" s="1" t="s">
        <v>1500</v>
      </c>
      <c r="B41" s="1" t="s">
        <v>1305</v>
      </c>
      <c r="C41" s="1" t="s">
        <v>1674</v>
      </c>
      <c r="D41">
        <v>-3.8119990000000001</v>
      </c>
      <c r="E41">
        <v>20.420048000000001</v>
      </c>
      <c r="F41" s="1" t="s">
        <v>1506</v>
      </c>
      <c r="G41" s="1" t="s">
        <v>1507</v>
      </c>
    </row>
    <row r="42" spans="1:7" x14ac:dyDescent="0.25">
      <c r="A42" s="1" t="s">
        <v>1500</v>
      </c>
      <c r="B42" s="1" t="s">
        <v>885</v>
      </c>
      <c r="C42" s="1" t="s">
        <v>89</v>
      </c>
      <c r="D42">
        <v>0.94539899999999999</v>
      </c>
      <c r="E42">
        <v>14.401821999999999</v>
      </c>
      <c r="F42" s="1" t="s">
        <v>1501</v>
      </c>
      <c r="G42" s="1" t="s">
        <v>1514</v>
      </c>
    </row>
    <row r="43" spans="1:7" x14ac:dyDescent="0.25">
      <c r="A43" s="1" t="s">
        <v>1500</v>
      </c>
      <c r="B43" s="1" t="s">
        <v>1042</v>
      </c>
      <c r="C43" s="1" t="s">
        <v>44</v>
      </c>
      <c r="D43">
        <v>-4.9552579999999997</v>
      </c>
      <c r="E43">
        <v>22.008103999999999</v>
      </c>
      <c r="F43" s="1" t="s">
        <v>1504</v>
      </c>
      <c r="G43" s="1" t="s">
        <v>1505</v>
      </c>
    </row>
    <row r="44" spans="1:7" x14ac:dyDescent="0.25">
      <c r="A44" s="1" t="s">
        <v>1500</v>
      </c>
      <c r="B44" s="1" t="s">
        <v>1325</v>
      </c>
      <c r="C44" s="1" t="s">
        <v>89</v>
      </c>
      <c r="D44">
        <v>-11.588665000000001</v>
      </c>
      <c r="E44">
        <v>15.241552</v>
      </c>
      <c r="F44" s="1" t="s">
        <v>1504</v>
      </c>
      <c r="G44" s="1" t="s">
        <v>1514</v>
      </c>
    </row>
    <row r="45" spans="1:7" x14ac:dyDescent="0.25">
      <c r="A45" s="1" t="s">
        <v>1500</v>
      </c>
      <c r="B45" s="1" t="s">
        <v>1222</v>
      </c>
      <c r="C45" s="1" t="s">
        <v>13</v>
      </c>
      <c r="D45">
        <v>-1.9540519999999999</v>
      </c>
      <c r="E45">
        <v>12.667945</v>
      </c>
      <c r="F45" s="1" t="s">
        <v>1504</v>
      </c>
      <c r="G45" s="1" t="s">
        <v>1505</v>
      </c>
    </row>
    <row r="46" spans="1:7" x14ac:dyDescent="0.25">
      <c r="A46" s="1" t="s">
        <v>1500</v>
      </c>
      <c r="B46" s="1" t="s">
        <v>1523</v>
      </c>
      <c r="C46" s="1" t="s">
        <v>1676</v>
      </c>
      <c r="D46">
        <v>-4.652463</v>
      </c>
      <c r="E46">
        <v>18.779983999999999</v>
      </c>
      <c r="F46" s="1" t="s">
        <v>1506</v>
      </c>
      <c r="G46" s="1" t="s">
        <v>1514</v>
      </c>
    </row>
    <row r="47" spans="1:7" x14ac:dyDescent="0.25">
      <c r="A47" s="1" t="s">
        <v>1500</v>
      </c>
      <c r="B47" s="1" t="s">
        <v>1524</v>
      </c>
      <c r="C47" s="1" t="s">
        <v>51</v>
      </c>
      <c r="D47">
        <v>4.2187000000000001</v>
      </c>
      <c r="E47">
        <v>29.390174999999999</v>
      </c>
      <c r="F47" s="1" t="s">
        <v>1504</v>
      </c>
      <c r="G47" s="1" t="s">
        <v>1507</v>
      </c>
    </row>
    <row r="48" spans="1:7" x14ac:dyDescent="0.25">
      <c r="A48" s="1" t="s">
        <v>1500</v>
      </c>
      <c r="B48" s="1" t="s">
        <v>1088</v>
      </c>
      <c r="C48" s="1" t="s">
        <v>18</v>
      </c>
      <c r="D48">
        <v>2.628638</v>
      </c>
      <c r="E48">
        <v>28.420582</v>
      </c>
      <c r="F48" s="1" t="s">
        <v>1504</v>
      </c>
      <c r="G48" s="1" t="s">
        <v>1505</v>
      </c>
    </row>
    <row r="49" spans="1:7" x14ac:dyDescent="0.25">
      <c r="A49" s="1" t="s">
        <v>1500</v>
      </c>
      <c r="B49" s="1" t="s">
        <v>1525</v>
      </c>
      <c r="C49" s="1" t="s">
        <v>67</v>
      </c>
      <c r="D49">
        <v>-1.4695480000000001</v>
      </c>
      <c r="E49">
        <v>20.876676</v>
      </c>
      <c r="F49" s="1" t="s">
        <v>1501</v>
      </c>
      <c r="G49" s="1" t="s">
        <v>1502</v>
      </c>
    </row>
    <row r="50" spans="1:7" x14ac:dyDescent="0.25">
      <c r="A50" s="1" t="s">
        <v>1500</v>
      </c>
      <c r="B50" s="1" t="s">
        <v>1526</v>
      </c>
      <c r="C50" s="1" t="s">
        <v>24</v>
      </c>
      <c r="D50">
        <v>3.7141999999999999</v>
      </c>
      <c r="E50">
        <v>28.547066999999998</v>
      </c>
      <c r="F50" s="1" t="s">
        <v>1506</v>
      </c>
      <c r="G50" s="1" t="s">
        <v>1507</v>
      </c>
    </row>
    <row r="51" spans="1:7" x14ac:dyDescent="0.25">
      <c r="A51" s="1" t="s">
        <v>1500</v>
      </c>
      <c r="B51" s="1" t="s">
        <v>1165</v>
      </c>
      <c r="C51" s="1" t="s">
        <v>1676</v>
      </c>
      <c r="D51">
        <v>-5.4073029999999997</v>
      </c>
      <c r="E51">
        <v>29.762294000000001</v>
      </c>
      <c r="F51" s="1" t="s">
        <v>1506</v>
      </c>
      <c r="G51" s="1" t="s">
        <v>1502</v>
      </c>
    </row>
    <row r="52" spans="1:7" x14ac:dyDescent="0.25">
      <c r="A52" s="1" t="s">
        <v>1527</v>
      </c>
      <c r="B52" s="1" t="s">
        <v>1528</v>
      </c>
      <c r="C52" s="1" t="s">
        <v>21</v>
      </c>
      <c r="D52">
        <v>-3.6233270000000002</v>
      </c>
      <c r="E52">
        <v>25.915645999999999</v>
      </c>
      <c r="F52" s="1" t="s">
        <v>1506</v>
      </c>
      <c r="G52" s="1" t="s">
        <v>1505</v>
      </c>
    </row>
    <row r="53" spans="1:7" x14ac:dyDescent="0.25">
      <c r="A53" s="1" t="s">
        <v>1527</v>
      </c>
      <c r="B53" s="1" t="s">
        <v>1529</v>
      </c>
      <c r="C53" s="1" t="s">
        <v>127</v>
      </c>
      <c r="D53">
        <v>-8.4403710000000007</v>
      </c>
      <c r="E53">
        <v>17.231165000000001</v>
      </c>
      <c r="F53" s="1" t="s">
        <v>1504</v>
      </c>
      <c r="G53" s="1" t="s">
        <v>1505</v>
      </c>
    </row>
    <row r="54" spans="1:7" x14ac:dyDescent="0.25">
      <c r="A54" s="1" t="s">
        <v>1527</v>
      </c>
      <c r="B54" s="1" t="s">
        <v>1043</v>
      </c>
      <c r="C54" s="1" t="s">
        <v>37</v>
      </c>
      <c r="D54">
        <v>-1.50664</v>
      </c>
      <c r="E54">
        <v>27.795642000000001</v>
      </c>
      <c r="F54" s="1" t="s">
        <v>1501</v>
      </c>
      <c r="G54" s="1" t="s">
        <v>1507</v>
      </c>
    </row>
    <row r="55" spans="1:7" x14ac:dyDescent="0.25">
      <c r="A55" s="1" t="s">
        <v>1527</v>
      </c>
      <c r="B55" s="1" t="s">
        <v>1097</v>
      </c>
      <c r="C55" s="1" t="s">
        <v>24</v>
      </c>
      <c r="D55">
        <v>-9.4229749999999992</v>
      </c>
      <c r="E55">
        <v>29.375005999999999</v>
      </c>
      <c r="F55" s="1" t="s">
        <v>1506</v>
      </c>
      <c r="G55" s="1" t="s">
        <v>1502</v>
      </c>
    </row>
    <row r="56" spans="1:7" x14ac:dyDescent="0.25">
      <c r="A56" s="1" t="s">
        <v>1527</v>
      </c>
      <c r="B56" s="1" t="s">
        <v>1030</v>
      </c>
      <c r="C56" s="1" t="s">
        <v>62</v>
      </c>
      <c r="D56">
        <v>2.975352</v>
      </c>
      <c r="E56">
        <v>22.535886000000001</v>
      </c>
      <c r="F56" s="1" t="s">
        <v>1504</v>
      </c>
      <c r="G56" s="1" t="s">
        <v>1505</v>
      </c>
    </row>
    <row r="57" spans="1:7" x14ac:dyDescent="0.25">
      <c r="A57" s="1" t="s">
        <v>1527</v>
      </c>
      <c r="B57" s="1" t="s">
        <v>1260</v>
      </c>
      <c r="C57" s="1" t="s">
        <v>78</v>
      </c>
      <c r="D57">
        <v>2.5458379999999998</v>
      </c>
      <c r="E57">
        <v>13.308655</v>
      </c>
      <c r="F57" s="1" t="s">
        <v>1501</v>
      </c>
      <c r="G57" s="1" t="s">
        <v>1507</v>
      </c>
    </row>
    <row r="58" spans="1:7" x14ac:dyDescent="0.25">
      <c r="A58" s="1" t="s">
        <v>1527</v>
      </c>
      <c r="B58" s="1" t="s">
        <v>1147</v>
      </c>
      <c r="C58" s="1" t="s">
        <v>40</v>
      </c>
      <c r="D58">
        <v>-9.0798120000000004</v>
      </c>
      <c r="E58">
        <v>14.945484</v>
      </c>
      <c r="F58" s="1" t="s">
        <v>1501</v>
      </c>
      <c r="G58" s="1" t="s">
        <v>1502</v>
      </c>
    </row>
    <row r="59" spans="1:7" x14ac:dyDescent="0.25">
      <c r="A59" s="1" t="s">
        <v>1527</v>
      </c>
      <c r="B59" s="1" t="s">
        <v>1112</v>
      </c>
      <c r="C59" s="1" t="s">
        <v>137</v>
      </c>
      <c r="D59">
        <v>-10.967288</v>
      </c>
      <c r="E59">
        <v>17.617781000000001</v>
      </c>
      <c r="F59" s="1" t="s">
        <v>1504</v>
      </c>
      <c r="G59" s="1" t="s">
        <v>1502</v>
      </c>
    </row>
    <row r="60" spans="1:7" x14ac:dyDescent="0.25">
      <c r="A60" s="1" t="s">
        <v>1527</v>
      </c>
      <c r="B60" s="1" t="s">
        <v>942</v>
      </c>
      <c r="C60" s="1" t="s">
        <v>44</v>
      </c>
      <c r="D60">
        <v>-1.607639</v>
      </c>
      <c r="E60">
        <v>17.003636</v>
      </c>
      <c r="F60" s="1" t="s">
        <v>1504</v>
      </c>
      <c r="G60" s="1" t="s">
        <v>1502</v>
      </c>
    </row>
    <row r="61" spans="1:7" x14ac:dyDescent="0.25">
      <c r="A61" s="1" t="s">
        <v>1527</v>
      </c>
      <c r="B61" s="1" t="s">
        <v>1361</v>
      </c>
      <c r="C61" s="1" t="s">
        <v>62</v>
      </c>
      <c r="D61">
        <v>-7.1587569999999996</v>
      </c>
      <c r="E61">
        <v>18.975141000000001</v>
      </c>
      <c r="F61" s="1" t="s">
        <v>1501</v>
      </c>
      <c r="G61" s="1" t="s">
        <v>1502</v>
      </c>
    </row>
    <row r="62" spans="1:7" x14ac:dyDescent="0.25">
      <c r="A62" s="1" t="s">
        <v>1527</v>
      </c>
      <c r="B62" s="1" t="s">
        <v>929</v>
      </c>
      <c r="C62" s="1" t="s">
        <v>67</v>
      </c>
      <c r="D62">
        <v>-9.9875139999999991</v>
      </c>
      <c r="E62">
        <v>12.013676999999999</v>
      </c>
      <c r="F62" s="1" t="s">
        <v>1506</v>
      </c>
      <c r="G62" s="1" t="s">
        <v>1507</v>
      </c>
    </row>
    <row r="63" spans="1:7" x14ac:dyDescent="0.25">
      <c r="A63" s="1" t="s">
        <v>1527</v>
      </c>
      <c r="B63" s="1" t="s">
        <v>1268</v>
      </c>
      <c r="C63" s="1" t="s">
        <v>137</v>
      </c>
      <c r="D63">
        <v>-8.0301989999999996</v>
      </c>
      <c r="E63">
        <v>24.122495000000001</v>
      </c>
      <c r="F63" s="1" t="s">
        <v>1501</v>
      </c>
      <c r="G63" s="1" t="s">
        <v>1507</v>
      </c>
    </row>
    <row r="64" spans="1:7" x14ac:dyDescent="0.25">
      <c r="A64" s="1" t="s">
        <v>1527</v>
      </c>
      <c r="B64" s="1" t="s">
        <v>1051</v>
      </c>
      <c r="C64" s="1" t="s">
        <v>131</v>
      </c>
      <c r="D64">
        <v>-10.846306999999999</v>
      </c>
      <c r="E64">
        <v>19.201827999999999</v>
      </c>
      <c r="F64" s="1" t="s">
        <v>1504</v>
      </c>
      <c r="G64" s="1" t="s">
        <v>1502</v>
      </c>
    </row>
    <row r="65" spans="1:7" x14ac:dyDescent="0.25">
      <c r="A65" s="1" t="s">
        <v>1527</v>
      </c>
      <c r="B65" s="1" t="s">
        <v>1530</v>
      </c>
      <c r="C65" s="1" t="s">
        <v>40</v>
      </c>
      <c r="D65">
        <v>1.204588</v>
      </c>
      <c r="E65">
        <v>15.525152</v>
      </c>
      <c r="F65" s="1" t="s">
        <v>1501</v>
      </c>
      <c r="G65" s="1" t="s">
        <v>1505</v>
      </c>
    </row>
    <row r="66" spans="1:7" x14ac:dyDescent="0.25">
      <c r="A66" s="1" t="s">
        <v>1527</v>
      </c>
      <c r="B66" s="1" t="s">
        <v>1266</v>
      </c>
      <c r="C66" s="1" t="s">
        <v>60</v>
      </c>
      <c r="D66">
        <v>-12.839263000000001</v>
      </c>
      <c r="E66">
        <v>12.355677</v>
      </c>
      <c r="F66" s="1" t="s">
        <v>1506</v>
      </c>
      <c r="G66" s="1" t="s">
        <v>1505</v>
      </c>
    </row>
    <row r="67" spans="1:7" x14ac:dyDescent="0.25">
      <c r="A67" s="1" t="s">
        <v>1527</v>
      </c>
      <c r="B67" s="1" t="s">
        <v>1531</v>
      </c>
      <c r="C67" s="1" t="s">
        <v>26</v>
      </c>
      <c r="D67">
        <v>-12.244119</v>
      </c>
      <c r="E67">
        <v>28.279755999999999</v>
      </c>
      <c r="F67" s="1" t="s">
        <v>1501</v>
      </c>
      <c r="G67" s="1" t="s">
        <v>1507</v>
      </c>
    </row>
    <row r="68" spans="1:7" x14ac:dyDescent="0.25">
      <c r="A68" s="1" t="s">
        <v>1527</v>
      </c>
      <c r="B68" s="1" t="s">
        <v>1532</v>
      </c>
      <c r="C68" s="1" t="s">
        <v>1674</v>
      </c>
      <c r="D68">
        <v>1.102554</v>
      </c>
      <c r="E68">
        <v>26.744315</v>
      </c>
      <c r="F68" s="1" t="s">
        <v>1506</v>
      </c>
      <c r="G68" s="1" t="s">
        <v>1502</v>
      </c>
    </row>
    <row r="69" spans="1:7" x14ac:dyDescent="0.25">
      <c r="A69" s="1" t="s">
        <v>1527</v>
      </c>
      <c r="B69" s="1" t="s">
        <v>983</v>
      </c>
      <c r="C69" s="1" t="s">
        <v>1675</v>
      </c>
      <c r="D69">
        <v>-4.4451280000000004</v>
      </c>
      <c r="E69">
        <v>16.536944999999999</v>
      </c>
      <c r="F69" s="1" t="s">
        <v>1504</v>
      </c>
      <c r="G69" s="1" t="s">
        <v>1502</v>
      </c>
    </row>
    <row r="70" spans="1:7" x14ac:dyDescent="0.25">
      <c r="A70" s="1" t="s">
        <v>1527</v>
      </c>
      <c r="B70" s="1" t="s">
        <v>979</v>
      </c>
      <c r="C70" s="1" t="s">
        <v>67</v>
      </c>
      <c r="D70">
        <v>-2.2681789999999999</v>
      </c>
      <c r="E70">
        <v>25.699068</v>
      </c>
      <c r="F70" s="1" t="s">
        <v>1506</v>
      </c>
      <c r="G70" s="1" t="s">
        <v>1507</v>
      </c>
    </row>
    <row r="71" spans="1:7" x14ac:dyDescent="0.25">
      <c r="A71" s="1" t="s">
        <v>1527</v>
      </c>
      <c r="B71" s="1" t="s">
        <v>913</v>
      </c>
      <c r="C71" s="1" t="s">
        <v>131</v>
      </c>
      <c r="D71">
        <v>-6.3148239999999998</v>
      </c>
      <c r="E71">
        <v>24.507498999999999</v>
      </c>
      <c r="F71" s="1" t="s">
        <v>1506</v>
      </c>
      <c r="G71" s="1" t="s">
        <v>1507</v>
      </c>
    </row>
    <row r="72" spans="1:7" x14ac:dyDescent="0.25">
      <c r="A72" s="1" t="s">
        <v>1527</v>
      </c>
      <c r="B72" s="1" t="s">
        <v>1151</v>
      </c>
      <c r="C72" s="1" t="s">
        <v>64</v>
      </c>
      <c r="D72">
        <v>-11.389362</v>
      </c>
      <c r="E72">
        <v>22.240174</v>
      </c>
      <c r="F72" s="1" t="s">
        <v>1501</v>
      </c>
      <c r="G72" s="1" t="s">
        <v>1507</v>
      </c>
    </row>
    <row r="73" spans="1:7" x14ac:dyDescent="0.25">
      <c r="A73" s="1" t="s">
        <v>1527</v>
      </c>
      <c r="B73" s="1" t="s">
        <v>1252</v>
      </c>
      <c r="C73" s="1" t="s">
        <v>51</v>
      </c>
      <c r="D73">
        <v>-10.161428000000001</v>
      </c>
      <c r="E73">
        <v>19.362325999999999</v>
      </c>
      <c r="F73" s="1" t="s">
        <v>1506</v>
      </c>
      <c r="G73" s="1" t="s">
        <v>1514</v>
      </c>
    </row>
    <row r="74" spans="1:7" x14ac:dyDescent="0.25">
      <c r="A74" s="1" t="s">
        <v>1527</v>
      </c>
      <c r="B74" s="1" t="s">
        <v>1299</v>
      </c>
      <c r="C74" s="1" t="s">
        <v>137</v>
      </c>
      <c r="D74">
        <v>-11.354772000000001</v>
      </c>
      <c r="E74">
        <v>21.957325999999998</v>
      </c>
      <c r="F74" s="1" t="s">
        <v>1506</v>
      </c>
      <c r="G74" s="1" t="s">
        <v>1514</v>
      </c>
    </row>
    <row r="75" spans="1:7" x14ac:dyDescent="0.25">
      <c r="A75" s="1" t="s">
        <v>1527</v>
      </c>
      <c r="B75" s="1" t="s">
        <v>859</v>
      </c>
      <c r="C75" s="1" t="s">
        <v>37</v>
      </c>
      <c r="D75">
        <v>-1.864393</v>
      </c>
      <c r="E75">
        <v>21.453434000000001</v>
      </c>
      <c r="F75" s="1" t="s">
        <v>1501</v>
      </c>
      <c r="G75" s="1" t="s">
        <v>1502</v>
      </c>
    </row>
    <row r="76" spans="1:7" x14ac:dyDescent="0.25">
      <c r="A76" s="1" t="s">
        <v>1527</v>
      </c>
      <c r="B76" s="1" t="s">
        <v>1533</v>
      </c>
      <c r="C76" s="1" t="s">
        <v>1676</v>
      </c>
      <c r="D76">
        <v>3.7552780000000001</v>
      </c>
      <c r="E76">
        <v>22.477888</v>
      </c>
      <c r="F76" s="1" t="s">
        <v>1506</v>
      </c>
      <c r="G76" s="1" t="s">
        <v>1514</v>
      </c>
    </row>
    <row r="77" spans="1:7" x14ac:dyDescent="0.25">
      <c r="A77" s="1" t="s">
        <v>1527</v>
      </c>
      <c r="B77" s="1" t="s">
        <v>1118</v>
      </c>
      <c r="C77" s="1" t="s">
        <v>131</v>
      </c>
      <c r="D77">
        <v>4.9455159999999996</v>
      </c>
      <c r="E77">
        <v>23.647746000000001</v>
      </c>
      <c r="F77" s="1" t="s">
        <v>1501</v>
      </c>
      <c r="G77" s="1" t="s">
        <v>1505</v>
      </c>
    </row>
    <row r="78" spans="1:7" x14ac:dyDescent="0.25">
      <c r="A78" s="1" t="s">
        <v>1527</v>
      </c>
      <c r="B78" s="1" t="s">
        <v>1534</v>
      </c>
      <c r="C78" s="1" t="s">
        <v>137</v>
      </c>
      <c r="D78">
        <v>-1.7476179999999999</v>
      </c>
      <c r="E78">
        <v>18.129401000000001</v>
      </c>
      <c r="F78" s="1" t="s">
        <v>1504</v>
      </c>
      <c r="G78" s="1" t="s">
        <v>1502</v>
      </c>
    </row>
    <row r="79" spans="1:7" x14ac:dyDescent="0.25">
      <c r="A79" s="1" t="s">
        <v>1527</v>
      </c>
      <c r="B79" s="1" t="s">
        <v>1312</v>
      </c>
      <c r="C79" s="1" t="s">
        <v>127</v>
      </c>
      <c r="D79">
        <v>-11.924048000000001</v>
      </c>
      <c r="E79">
        <v>24.177174999999998</v>
      </c>
      <c r="F79" s="1" t="s">
        <v>1506</v>
      </c>
      <c r="G79" s="1" t="s">
        <v>1514</v>
      </c>
    </row>
    <row r="80" spans="1:7" x14ac:dyDescent="0.25">
      <c r="A80" s="1" t="s">
        <v>1527</v>
      </c>
      <c r="B80" s="1" t="s">
        <v>1029</v>
      </c>
      <c r="C80" s="1" t="s">
        <v>1676</v>
      </c>
      <c r="D80">
        <v>-1.3976519999999999</v>
      </c>
      <c r="E80">
        <v>14.098819000000001</v>
      </c>
      <c r="F80" s="1" t="s">
        <v>1506</v>
      </c>
      <c r="G80" s="1" t="s">
        <v>1502</v>
      </c>
    </row>
    <row r="81" spans="1:7" x14ac:dyDescent="0.25">
      <c r="A81" s="1" t="s">
        <v>1527</v>
      </c>
      <c r="B81" s="1" t="s">
        <v>1535</v>
      </c>
      <c r="C81" s="1" t="s">
        <v>18</v>
      </c>
      <c r="D81">
        <v>-0.37609300000000001</v>
      </c>
      <c r="E81">
        <v>21.940809999999999</v>
      </c>
      <c r="F81" s="1" t="s">
        <v>1501</v>
      </c>
      <c r="G81" s="1" t="s">
        <v>1505</v>
      </c>
    </row>
    <row r="82" spans="1:7" x14ac:dyDescent="0.25">
      <c r="A82" s="1" t="s">
        <v>1527</v>
      </c>
      <c r="B82" s="1" t="s">
        <v>1367</v>
      </c>
      <c r="C82" s="1" t="s">
        <v>62</v>
      </c>
      <c r="D82">
        <v>1.2463919999999999</v>
      </c>
      <c r="E82">
        <v>13.266916999999999</v>
      </c>
      <c r="F82" s="1" t="s">
        <v>1501</v>
      </c>
      <c r="G82" s="1" t="s">
        <v>1505</v>
      </c>
    </row>
    <row r="83" spans="1:7" x14ac:dyDescent="0.25">
      <c r="A83" s="1" t="s">
        <v>1527</v>
      </c>
      <c r="B83" s="1" t="s">
        <v>1463</v>
      </c>
      <c r="C83" s="1" t="s">
        <v>1675</v>
      </c>
      <c r="D83">
        <v>-10.735106</v>
      </c>
      <c r="E83">
        <v>27.868673999999999</v>
      </c>
      <c r="F83" s="1" t="s">
        <v>1506</v>
      </c>
      <c r="G83" s="1" t="s">
        <v>1502</v>
      </c>
    </row>
    <row r="84" spans="1:7" x14ac:dyDescent="0.25">
      <c r="A84" s="1" t="s">
        <v>1527</v>
      </c>
      <c r="B84" s="1" t="s">
        <v>1381</v>
      </c>
      <c r="C84" s="1" t="s">
        <v>127</v>
      </c>
      <c r="D84">
        <v>-8.8118569999999998</v>
      </c>
      <c r="E84">
        <v>14.465711000000001</v>
      </c>
      <c r="F84" s="1" t="s">
        <v>1501</v>
      </c>
      <c r="G84" s="1" t="s">
        <v>1514</v>
      </c>
    </row>
    <row r="85" spans="1:7" x14ac:dyDescent="0.25">
      <c r="A85" s="1" t="s">
        <v>1527</v>
      </c>
      <c r="B85" s="1" t="s">
        <v>1536</v>
      </c>
      <c r="C85" s="1" t="s">
        <v>18</v>
      </c>
      <c r="D85">
        <v>4.6701629999999996</v>
      </c>
      <c r="E85">
        <v>28.596363</v>
      </c>
      <c r="F85" s="1" t="s">
        <v>1501</v>
      </c>
      <c r="G85" s="1" t="s">
        <v>1502</v>
      </c>
    </row>
    <row r="86" spans="1:7" x14ac:dyDescent="0.25">
      <c r="A86" s="1" t="s">
        <v>1527</v>
      </c>
      <c r="B86" s="1" t="s">
        <v>1537</v>
      </c>
      <c r="C86" s="1" t="s">
        <v>137</v>
      </c>
      <c r="D86">
        <v>1.194113</v>
      </c>
      <c r="E86">
        <v>15.839502</v>
      </c>
      <c r="F86" s="1" t="s">
        <v>1506</v>
      </c>
      <c r="G86" s="1" t="s">
        <v>1505</v>
      </c>
    </row>
    <row r="87" spans="1:7" x14ac:dyDescent="0.25">
      <c r="A87" s="1" t="s">
        <v>1527</v>
      </c>
      <c r="B87" s="1" t="s">
        <v>1211</v>
      </c>
      <c r="C87" s="1" t="s">
        <v>51</v>
      </c>
      <c r="D87">
        <v>0.62055499999999997</v>
      </c>
      <c r="E87">
        <v>21.222035000000002</v>
      </c>
      <c r="F87" s="1" t="s">
        <v>1501</v>
      </c>
      <c r="G87" s="1" t="s">
        <v>1514</v>
      </c>
    </row>
    <row r="88" spans="1:7" x14ac:dyDescent="0.25">
      <c r="A88" s="1" t="s">
        <v>1527</v>
      </c>
      <c r="B88" s="1" t="s">
        <v>1538</v>
      </c>
      <c r="C88" s="1" t="s">
        <v>73</v>
      </c>
      <c r="D88">
        <v>1.499457</v>
      </c>
      <c r="E88">
        <v>13.876317999999999</v>
      </c>
      <c r="F88" s="1" t="s">
        <v>1501</v>
      </c>
      <c r="G88" s="1" t="s">
        <v>1514</v>
      </c>
    </row>
    <row r="89" spans="1:7" x14ac:dyDescent="0.25">
      <c r="A89" s="1" t="s">
        <v>1527</v>
      </c>
      <c r="B89" s="1" t="s">
        <v>856</v>
      </c>
      <c r="C89" s="1" t="s">
        <v>13</v>
      </c>
      <c r="D89">
        <v>-5.1030600000000002</v>
      </c>
      <c r="E89">
        <v>22.849231</v>
      </c>
      <c r="F89" s="1" t="s">
        <v>1501</v>
      </c>
      <c r="G89" s="1" t="s">
        <v>1507</v>
      </c>
    </row>
    <row r="90" spans="1:7" x14ac:dyDescent="0.25">
      <c r="A90" s="1" t="s">
        <v>1527</v>
      </c>
      <c r="B90" s="1" t="s">
        <v>889</v>
      </c>
      <c r="C90" s="1" t="s">
        <v>1675</v>
      </c>
      <c r="D90">
        <v>-9.5266249999999992</v>
      </c>
      <c r="E90">
        <v>27.889690999999999</v>
      </c>
      <c r="F90" s="1" t="s">
        <v>1504</v>
      </c>
      <c r="G90" s="1" t="s">
        <v>1502</v>
      </c>
    </row>
    <row r="91" spans="1:7" x14ac:dyDescent="0.25">
      <c r="A91" s="1" t="s">
        <v>1527</v>
      </c>
      <c r="B91" s="1" t="s">
        <v>1539</v>
      </c>
      <c r="C91" s="1" t="s">
        <v>26</v>
      </c>
      <c r="D91">
        <v>-0.59350000000000003</v>
      </c>
      <c r="E91">
        <v>24.500503999999999</v>
      </c>
      <c r="F91" s="1" t="s">
        <v>1501</v>
      </c>
      <c r="G91" s="1" t="s">
        <v>1505</v>
      </c>
    </row>
    <row r="92" spans="1:7" x14ac:dyDescent="0.25">
      <c r="A92" s="1" t="s">
        <v>1527</v>
      </c>
      <c r="B92" s="1" t="s">
        <v>1136</v>
      </c>
      <c r="C92" s="1" t="s">
        <v>131</v>
      </c>
      <c r="D92">
        <v>-6.5529849999999996</v>
      </c>
      <c r="E92">
        <v>21.990606</v>
      </c>
      <c r="F92" s="1" t="s">
        <v>1506</v>
      </c>
      <c r="G92" s="1" t="s">
        <v>1505</v>
      </c>
    </row>
    <row r="93" spans="1:7" x14ac:dyDescent="0.25">
      <c r="A93" s="1" t="s">
        <v>1527</v>
      </c>
      <c r="B93" s="1" t="s">
        <v>1389</v>
      </c>
      <c r="C93" s="1" t="s">
        <v>13</v>
      </c>
      <c r="D93">
        <v>-10.574821</v>
      </c>
      <c r="E93">
        <v>25.324966</v>
      </c>
      <c r="F93" s="1" t="s">
        <v>1501</v>
      </c>
      <c r="G93" s="1" t="s">
        <v>1502</v>
      </c>
    </row>
    <row r="94" spans="1:7" x14ac:dyDescent="0.25">
      <c r="A94" s="1" t="s">
        <v>1527</v>
      </c>
      <c r="B94" s="1" t="s">
        <v>1450</v>
      </c>
      <c r="C94" s="1" t="s">
        <v>35</v>
      </c>
      <c r="D94">
        <v>3.175935</v>
      </c>
      <c r="E94">
        <v>16.862832000000001</v>
      </c>
      <c r="F94" s="1" t="s">
        <v>1501</v>
      </c>
      <c r="G94" s="1" t="s">
        <v>1502</v>
      </c>
    </row>
    <row r="95" spans="1:7" x14ac:dyDescent="0.25">
      <c r="A95" s="1" t="s">
        <v>1527</v>
      </c>
      <c r="B95" s="1" t="s">
        <v>993</v>
      </c>
      <c r="C95" s="1" t="s">
        <v>78</v>
      </c>
      <c r="D95">
        <v>-4.2645619999999997</v>
      </c>
      <c r="E95">
        <v>18.960726000000001</v>
      </c>
      <c r="F95" s="1" t="s">
        <v>1504</v>
      </c>
      <c r="G95" s="1" t="s">
        <v>1505</v>
      </c>
    </row>
    <row r="96" spans="1:7" x14ac:dyDescent="0.25">
      <c r="A96" s="1" t="s">
        <v>1527</v>
      </c>
      <c r="B96" s="1" t="s">
        <v>1142</v>
      </c>
      <c r="C96" s="1" t="s">
        <v>1674</v>
      </c>
      <c r="D96">
        <v>-5.125</v>
      </c>
      <c r="E96">
        <v>23.513119</v>
      </c>
      <c r="F96" s="1" t="s">
        <v>1501</v>
      </c>
      <c r="G96" s="1" t="s">
        <v>1505</v>
      </c>
    </row>
    <row r="97" spans="1:7" x14ac:dyDescent="0.25">
      <c r="A97" s="1" t="s">
        <v>1527</v>
      </c>
      <c r="B97" s="1" t="s">
        <v>1334</v>
      </c>
      <c r="C97" s="1" t="s">
        <v>16</v>
      </c>
      <c r="D97">
        <v>-7.6951369999999999</v>
      </c>
      <c r="E97">
        <v>13.346605</v>
      </c>
      <c r="F97" s="1" t="s">
        <v>1504</v>
      </c>
      <c r="G97" s="1" t="s">
        <v>1502</v>
      </c>
    </row>
    <row r="98" spans="1:7" x14ac:dyDescent="0.25">
      <c r="A98" s="1" t="s">
        <v>1527</v>
      </c>
      <c r="B98" s="1" t="s">
        <v>1540</v>
      </c>
      <c r="C98" s="1" t="s">
        <v>18</v>
      </c>
      <c r="D98">
        <v>-0.45332</v>
      </c>
      <c r="E98">
        <v>29.674009999999999</v>
      </c>
      <c r="F98" s="1" t="s">
        <v>1501</v>
      </c>
      <c r="G98" s="1" t="s">
        <v>1502</v>
      </c>
    </row>
    <row r="99" spans="1:7" x14ac:dyDescent="0.25">
      <c r="A99" s="1" t="s">
        <v>1527</v>
      </c>
      <c r="B99" s="1" t="s">
        <v>1102</v>
      </c>
      <c r="C99" s="1" t="s">
        <v>62</v>
      </c>
      <c r="D99">
        <v>-9.5840350000000001</v>
      </c>
      <c r="E99">
        <v>15.966024000000001</v>
      </c>
      <c r="F99" s="1" t="s">
        <v>1501</v>
      </c>
      <c r="G99" s="1" t="s">
        <v>1514</v>
      </c>
    </row>
    <row r="100" spans="1:7" x14ac:dyDescent="0.25">
      <c r="A100" s="1" t="s">
        <v>1527</v>
      </c>
      <c r="B100" s="1" t="s">
        <v>1455</v>
      </c>
      <c r="C100" s="1" t="s">
        <v>18</v>
      </c>
      <c r="D100">
        <v>-9.6407190000000007</v>
      </c>
      <c r="E100">
        <v>21.336704999999998</v>
      </c>
      <c r="F100" s="1" t="s">
        <v>1504</v>
      </c>
      <c r="G100" s="1" t="s">
        <v>1507</v>
      </c>
    </row>
    <row r="101" spans="1:7" x14ac:dyDescent="0.25">
      <c r="A101" s="1" t="s">
        <v>1527</v>
      </c>
      <c r="B101" s="1" t="s">
        <v>1541</v>
      </c>
      <c r="C101" s="1" t="s">
        <v>60</v>
      </c>
      <c r="D101">
        <v>-6.7420359999999997</v>
      </c>
      <c r="E101">
        <v>28.905578999999999</v>
      </c>
      <c r="F101" s="1" t="s">
        <v>1506</v>
      </c>
      <c r="G101" s="1" t="s">
        <v>1505</v>
      </c>
    </row>
    <row r="102" spans="1:7" x14ac:dyDescent="0.25">
      <c r="A102" s="1" t="s">
        <v>1542</v>
      </c>
      <c r="B102" s="1" t="s">
        <v>1022</v>
      </c>
      <c r="C102" s="1" t="s">
        <v>24</v>
      </c>
      <c r="D102">
        <v>0.16841400000000001</v>
      </c>
      <c r="E102">
        <v>30.029876999999999</v>
      </c>
      <c r="F102" s="1" t="s">
        <v>1501</v>
      </c>
      <c r="G102" s="1" t="s">
        <v>1505</v>
      </c>
    </row>
    <row r="103" spans="1:7" x14ac:dyDescent="0.25">
      <c r="A103" s="1" t="s">
        <v>1542</v>
      </c>
      <c r="B103" s="1" t="s">
        <v>1543</v>
      </c>
      <c r="C103" s="1" t="s">
        <v>26</v>
      </c>
      <c r="D103">
        <v>-5.9281110000000004</v>
      </c>
      <c r="E103">
        <v>29.607863999999999</v>
      </c>
      <c r="F103" s="1" t="s">
        <v>1504</v>
      </c>
      <c r="G103" s="1" t="s">
        <v>1505</v>
      </c>
    </row>
    <row r="104" spans="1:7" x14ac:dyDescent="0.25">
      <c r="A104" s="1" t="s">
        <v>1542</v>
      </c>
      <c r="B104" s="1" t="s">
        <v>839</v>
      </c>
      <c r="C104" s="1" t="s">
        <v>1674</v>
      </c>
      <c r="D104">
        <v>-4.9789079999999997</v>
      </c>
      <c r="E104">
        <v>28.506295000000001</v>
      </c>
      <c r="F104" s="1" t="s">
        <v>1504</v>
      </c>
      <c r="G104" s="1" t="s">
        <v>1505</v>
      </c>
    </row>
    <row r="105" spans="1:7" x14ac:dyDescent="0.25">
      <c r="A105" s="1" t="s">
        <v>1542</v>
      </c>
      <c r="B105" s="1" t="s">
        <v>1127</v>
      </c>
      <c r="C105" s="1" t="s">
        <v>26</v>
      </c>
      <c r="D105">
        <v>-2.2876210000000001</v>
      </c>
      <c r="E105">
        <v>27.582545</v>
      </c>
      <c r="F105" s="1" t="s">
        <v>1504</v>
      </c>
      <c r="G105" s="1" t="s">
        <v>1505</v>
      </c>
    </row>
    <row r="106" spans="1:7" x14ac:dyDescent="0.25">
      <c r="A106" s="1" t="s">
        <v>1542</v>
      </c>
      <c r="B106" s="1" t="s">
        <v>1370</v>
      </c>
      <c r="C106" s="1" t="s">
        <v>37</v>
      </c>
      <c r="D106">
        <v>-3.9148719999999999</v>
      </c>
      <c r="E106">
        <v>12.260933</v>
      </c>
      <c r="F106" s="1" t="s">
        <v>1504</v>
      </c>
      <c r="G106" s="1" t="s">
        <v>1502</v>
      </c>
    </row>
    <row r="107" spans="1:7" x14ac:dyDescent="0.25">
      <c r="A107" s="1" t="s">
        <v>1542</v>
      </c>
      <c r="B107" s="1" t="s">
        <v>926</v>
      </c>
      <c r="C107" s="1" t="s">
        <v>37</v>
      </c>
      <c r="D107">
        <v>-9.002459</v>
      </c>
      <c r="E107">
        <v>25.182109000000001</v>
      </c>
      <c r="F107" s="1" t="s">
        <v>1501</v>
      </c>
      <c r="G107" s="1" t="s">
        <v>1505</v>
      </c>
    </row>
    <row r="108" spans="1:7" x14ac:dyDescent="0.25">
      <c r="A108" s="1" t="s">
        <v>1542</v>
      </c>
      <c r="B108" s="1" t="s">
        <v>1064</v>
      </c>
      <c r="C108" s="1" t="s">
        <v>89</v>
      </c>
      <c r="D108">
        <v>-7.7839049999999999</v>
      </c>
      <c r="E108">
        <v>14.114281999999999</v>
      </c>
      <c r="F108" s="1" t="s">
        <v>1506</v>
      </c>
      <c r="G108" s="1" t="s">
        <v>1507</v>
      </c>
    </row>
    <row r="109" spans="1:7" x14ac:dyDescent="0.25">
      <c r="A109" s="1" t="s">
        <v>1542</v>
      </c>
      <c r="B109" s="1" t="s">
        <v>865</v>
      </c>
      <c r="C109" s="1" t="s">
        <v>51</v>
      </c>
      <c r="D109">
        <v>-5.9021970000000001</v>
      </c>
      <c r="E109">
        <v>20.551169999999999</v>
      </c>
      <c r="F109" s="1" t="s">
        <v>1506</v>
      </c>
      <c r="G109" s="1" t="s">
        <v>1505</v>
      </c>
    </row>
    <row r="110" spans="1:7" x14ac:dyDescent="0.25">
      <c r="A110" s="1" t="s">
        <v>1542</v>
      </c>
      <c r="B110" s="1" t="s">
        <v>1544</v>
      </c>
      <c r="C110" s="1" t="s">
        <v>31</v>
      </c>
      <c r="D110">
        <v>-10.620597</v>
      </c>
      <c r="E110">
        <v>12.432214</v>
      </c>
      <c r="F110" s="1" t="s">
        <v>1504</v>
      </c>
      <c r="G110" s="1" t="s">
        <v>1505</v>
      </c>
    </row>
    <row r="111" spans="1:7" x14ac:dyDescent="0.25">
      <c r="A111" s="1" t="s">
        <v>1542</v>
      </c>
      <c r="B111" s="1" t="s">
        <v>888</v>
      </c>
      <c r="C111" s="1" t="s">
        <v>16</v>
      </c>
      <c r="D111">
        <v>-11.514188000000001</v>
      </c>
      <c r="E111">
        <v>15.971181</v>
      </c>
      <c r="F111" s="1" t="s">
        <v>1501</v>
      </c>
      <c r="G111" s="1" t="s">
        <v>1502</v>
      </c>
    </row>
    <row r="112" spans="1:7" x14ac:dyDescent="0.25">
      <c r="A112" s="1" t="s">
        <v>1542</v>
      </c>
      <c r="B112" s="1" t="s">
        <v>873</v>
      </c>
      <c r="C112" s="1" t="s">
        <v>35</v>
      </c>
      <c r="D112">
        <v>-2.7140689999999998</v>
      </c>
      <c r="E112">
        <v>22.222104000000002</v>
      </c>
      <c r="F112" s="1" t="s">
        <v>1504</v>
      </c>
      <c r="G112" s="1" t="s">
        <v>1514</v>
      </c>
    </row>
    <row r="113" spans="1:7" x14ac:dyDescent="0.25">
      <c r="A113" s="1" t="s">
        <v>1542</v>
      </c>
      <c r="B113" s="1" t="s">
        <v>1077</v>
      </c>
      <c r="C113" s="1" t="s">
        <v>62</v>
      </c>
      <c r="D113">
        <v>-12.112399999999999</v>
      </c>
      <c r="E113">
        <v>15.872226</v>
      </c>
      <c r="F113" s="1" t="s">
        <v>1504</v>
      </c>
      <c r="G113" s="1" t="s">
        <v>1514</v>
      </c>
    </row>
    <row r="114" spans="1:7" x14ac:dyDescent="0.25">
      <c r="A114" s="1" t="s">
        <v>1542</v>
      </c>
      <c r="B114" s="1" t="s">
        <v>1490</v>
      </c>
      <c r="C114" s="1" t="s">
        <v>18</v>
      </c>
      <c r="D114">
        <v>-5.8145569999999998</v>
      </c>
      <c r="E114">
        <v>21.942052</v>
      </c>
      <c r="F114" s="1" t="s">
        <v>1501</v>
      </c>
      <c r="G114" s="1" t="s">
        <v>1505</v>
      </c>
    </row>
    <row r="115" spans="1:7" x14ac:dyDescent="0.25">
      <c r="A115" s="1" t="s">
        <v>1542</v>
      </c>
      <c r="B115" s="1" t="s">
        <v>1225</v>
      </c>
      <c r="C115" s="1" t="s">
        <v>24</v>
      </c>
      <c r="D115">
        <v>-11.468578000000001</v>
      </c>
      <c r="E115">
        <v>16.914501999999999</v>
      </c>
      <c r="F115" s="1" t="s">
        <v>1504</v>
      </c>
      <c r="G115" s="1" t="s">
        <v>1502</v>
      </c>
    </row>
    <row r="116" spans="1:7" x14ac:dyDescent="0.25">
      <c r="A116" s="1" t="s">
        <v>1542</v>
      </c>
      <c r="B116" s="1" t="s">
        <v>1545</v>
      </c>
      <c r="C116" s="1" t="s">
        <v>89</v>
      </c>
      <c r="D116">
        <v>-3.967184</v>
      </c>
      <c r="E116">
        <v>21.177499999999998</v>
      </c>
      <c r="F116" s="1" t="s">
        <v>1506</v>
      </c>
      <c r="G116" s="1" t="s">
        <v>1505</v>
      </c>
    </row>
    <row r="117" spans="1:7" x14ac:dyDescent="0.25">
      <c r="A117" s="1" t="s">
        <v>1542</v>
      </c>
      <c r="B117" s="1" t="s">
        <v>1546</v>
      </c>
      <c r="C117" s="1" t="s">
        <v>131</v>
      </c>
      <c r="D117">
        <v>0.92885200000000001</v>
      </c>
      <c r="E117">
        <v>25.868548000000001</v>
      </c>
      <c r="F117" s="1" t="s">
        <v>1501</v>
      </c>
      <c r="G117" s="1" t="s">
        <v>1514</v>
      </c>
    </row>
    <row r="118" spans="1:7" x14ac:dyDescent="0.25">
      <c r="A118" s="1" t="s">
        <v>1542</v>
      </c>
      <c r="B118" s="1" t="s">
        <v>1271</v>
      </c>
      <c r="C118" s="1" t="s">
        <v>40</v>
      </c>
      <c r="D118">
        <v>-10.653247</v>
      </c>
      <c r="E118">
        <v>14.685601</v>
      </c>
      <c r="F118" s="1" t="s">
        <v>1504</v>
      </c>
      <c r="G118" s="1" t="s">
        <v>1502</v>
      </c>
    </row>
    <row r="119" spans="1:7" x14ac:dyDescent="0.25">
      <c r="A119" s="1" t="s">
        <v>1542</v>
      </c>
      <c r="B119" s="1" t="s">
        <v>1547</v>
      </c>
      <c r="C119" s="1" t="s">
        <v>137</v>
      </c>
      <c r="D119">
        <v>-10.572326</v>
      </c>
      <c r="E119">
        <v>25.276349</v>
      </c>
      <c r="F119" s="1" t="s">
        <v>1506</v>
      </c>
      <c r="G119" s="1" t="s">
        <v>1507</v>
      </c>
    </row>
    <row r="120" spans="1:7" x14ac:dyDescent="0.25">
      <c r="A120" s="1" t="s">
        <v>1542</v>
      </c>
      <c r="B120" s="1" t="s">
        <v>1548</v>
      </c>
      <c r="C120" s="1" t="s">
        <v>62</v>
      </c>
      <c r="D120">
        <v>-2.9326690000000002</v>
      </c>
      <c r="E120">
        <v>12.349382</v>
      </c>
      <c r="F120" s="1" t="s">
        <v>1501</v>
      </c>
      <c r="G120" s="1" t="s">
        <v>1507</v>
      </c>
    </row>
    <row r="121" spans="1:7" x14ac:dyDescent="0.25">
      <c r="A121" s="1" t="s">
        <v>1542</v>
      </c>
      <c r="B121" s="1" t="s">
        <v>1397</v>
      </c>
      <c r="C121" s="1" t="s">
        <v>137</v>
      </c>
      <c r="D121">
        <v>-4.2184999999999997</v>
      </c>
      <c r="E121">
        <v>23.077093999999999</v>
      </c>
      <c r="F121" s="1" t="s">
        <v>1504</v>
      </c>
      <c r="G121" s="1" t="s">
        <v>1502</v>
      </c>
    </row>
    <row r="122" spans="1:7" x14ac:dyDescent="0.25">
      <c r="A122" s="1" t="s">
        <v>1542</v>
      </c>
      <c r="B122" s="1" t="s">
        <v>1549</v>
      </c>
      <c r="C122" s="1" t="s">
        <v>78</v>
      </c>
      <c r="D122">
        <v>-1.259528</v>
      </c>
      <c r="E122">
        <v>24.607037999999999</v>
      </c>
      <c r="F122" s="1" t="s">
        <v>1504</v>
      </c>
      <c r="G122" s="1" t="s">
        <v>1507</v>
      </c>
    </row>
    <row r="123" spans="1:7" x14ac:dyDescent="0.25">
      <c r="A123" s="1" t="s">
        <v>1542</v>
      </c>
      <c r="B123" s="1" t="s">
        <v>917</v>
      </c>
      <c r="C123" s="1" t="s">
        <v>21</v>
      </c>
      <c r="D123">
        <v>-9.4702129999999993</v>
      </c>
      <c r="E123">
        <v>12.826158</v>
      </c>
      <c r="F123" s="1" t="s">
        <v>1506</v>
      </c>
      <c r="G123" s="1" t="s">
        <v>1502</v>
      </c>
    </row>
    <row r="124" spans="1:7" x14ac:dyDescent="0.25">
      <c r="A124" s="1" t="s">
        <v>1542</v>
      </c>
      <c r="B124" s="1" t="s">
        <v>1103</v>
      </c>
      <c r="C124" s="1" t="s">
        <v>10</v>
      </c>
      <c r="D124">
        <v>-1.9120569999999999</v>
      </c>
      <c r="E124">
        <v>15.236072999999999</v>
      </c>
      <c r="F124" s="1" t="s">
        <v>1501</v>
      </c>
      <c r="G124" s="1" t="s">
        <v>1505</v>
      </c>
    </row>
    <row r="125" spans="1:7" x14ac:dyDescent="0.25">
      <c r="A125" s="1" t="s">
        <v>1542</v>
      </c>
      <c r="B125" s="1" t="s">
        <v>932</v>
      </c>
      <c r="C125" s="1" t="s">
        <v>10</v>
      </c>
      <c r="D125">
        <v>0.24202000000000001</v>
      </c>
      <c r="E125">
        <v>17.396256999999999</v>
      </c>
      <c r="F125" s="1" t="s">
        <v>1504</v>
      </c>
      <c r="G125" s="1" t="s">
        <v>1505</v>
      </c>
    </row>
    <row r="126" spans="1:7" x14ac:dyDescent="0.25">
      <c r="A126" s="1" t="s">
        <v>1542</v>
      </c>
      <c r="B126" s="1" t="s">
        <v>943</v>
      </c>
      <c r="C126" s="1" t="s">
        <v>51</v>
      </c>
      <c r="D126">
        <v>-8.5675749999999997</v>
      </c>
      <c r="E126">
        <v>26.994581</v>
      </c>
      <c r="F126" s="1" t="s">
        <v>1506</v>
      </c>
      <c r="G126" s="1" t="s">
        <v>1514</v>
      </c>
    </row>
    <row r="127" spans="1:7" x14ac:dyDescent="0.25">
      <c r="A127" s="1" t="s">
        <v>1542</v>
      </c>
      <c r="B127" s="1" t="s">
        <v>858</v>
      </c>
      <c r="C127" s="1" t="s">
        <v>137</v>
      </c>
      <c r="D127">
        <v>-11.710407999999999</v>
      </c>
      <c r="E127">
        <v>23.741330999999999</v>
      </c>
      <c r="F127" s="1" t="s">
        <v>1506</v>
      </c>
      <c r="G127" s="1" t="s">
        <v>1505</v>
      </c>
    </row>
    <row r="128" spans="1:7" x14ac:dyDescent="0.25">
      <c r="A128" s="1" t="s">
        <v>1542</v>
      </c>
      <c r="B128" s="1" t="s">
        <v>1550</v>
      </c>
      <c r="C128" s="1" t="s">
        <v>1676</v>
      </c>
      <c r="D128">
        <v>0.98189400000000004</v>
      </c>
      <c r="E128">
        <v>13.008620000000001</v>
      </c>
      <c r="F128" s="1" t="s">
        <v>1504</v>
      </c>
      <c r="G128" s="1" t="s">
        <v>1505</v>
      </c>
    </row>
    <row r="129" spans="1:7" x14ac:dyDescent="0.25">
      <c r="A129" s="1" t="s">
        <v>1542</v>
      </c>
      <c r="B129" s="1" t="s">
        <v>1126</v>
      </c>
      <c r="C129" s="1" t="s">
        <v>18</v>
      </c>
      <c r="D129">
        <v>-7.1785899999999998</v>
      </c>
      <c r="E129">
        <v>24.4404</v>
      </c>
      <c r="F129" s="1" t="s">
        <v>1504</v>
      </c>
      <c r="G129" s="1" t="s">
        <v>1514</v>
      </c>
    </row>
    <row r="130" spans="1:7" x14ac:dyDescent="0.25">
      <c r="A130" s="1" t="s">
        <v>1542</v>
      </c>
      <c r="B130" s="1" t="s">
        <v>1128</v>
      </c>
      <c r="C130" s="1" t="s">
        <v>16</v>
      </c>
      <c r="D130">
        <v>3.6344850000000002</v>
      </c>
      <c r="E130">
        <v>12.158348999999999</v>
      </c>
      <c r="F130" s="1" t="s">
        <v>1501</v>
      </c>
      <c r="G130" s="1" t="s">
        <v>1502</v>
      </c>
    </row>
    <row r="131" spans="1:7" x14ac:dyDescent="0.25">
      <c r="A131" s="1" t="s">
        <v>1542</v>
      </c>
      <c r="B131" s="1" t="s">
        <v>1146</v>
      </c>
      <c r="C131" s="1" t="s">
        <v>31</v>
      </c>
      <c r="D131">
        <v>-11.387295999999999</v>
      </c>
      <c r="E131">
        <v>19.384257999999999</v>
      </c>
      <c r="F131" s="1" t="s">
        <v>1506</v>
      </c>
      <c r="G131" s="1" t="s">
        <v>1505</v>
      </c>
    </row>
    <row r="132" spans="1:7" x14ac:dyDescent="0.25">
      <c r="A132" s="1" t="s">
        <v>1542</v>
      </c>
      <c r="B132" s="1" t="s">
        <v>1139</v>
      </c>
      <c r="C132" s="1" t="s">
        <v>64</v>
      </c>
      <c r="D132">
        <v>-0.90854400000000002</v>
      </c>
      <c r="E132">
        <v>17.154896999999998</v>
      </c>
      <c r="F132" s="1" t="s">
        <v>1506</v>
      </c>
      <c r="G132" s="1" t="s">
        <v>1505</v>
      </c>
    </row>
    <row r="133" spans="1:7" x14ac:dyDescent="0.25">
      <c r="A133" s="1" t="s">
        <v>1542</v>
      </c>
      <c r="B133" s="1" t="s">
        <v>1115</v>
      </c>
      <c r="C133" s="1" t="s">
        <v>16</v>
      </c>
      <c r="D133">
        <v>-5.3762689999999997</v>
      </c>
      <c r="E133">
        <v>28.189575999999999</v>
      </c>
      <c r="F133" s="1" t="s">
        <v>1501</v>
      </c>
      <c r="G133" s="1" t="s">
        <v>1505</v>
      </c>
    </row>
    <row r="134" spans="1:7" x14ac:dyDescent="0.25">
      <c r="A134" s="1" t="s">
        <v>1542</v>
      </c>
      <c r="B134" s="1" t="s">
        <v>1551</v>
      </c>
      <c r="C134" s="1" t="s">
        <v>137</v>
      </c>
      <c r="D134">
        <v>-6.7304589999999997</v>
      </c>
      <c r="E134">
        <v>24.541906999999998</v>
      </c>
      <c r="F134" s="1" t="s">
        <v>1504</v>
      </c>
      <c r="G134" s="1" t="s">
        <v>1514</v>
      </c>
    </row>
    <row r="135" spans="1:7" x14ac:dyDescent="0.25">
      <c r="A135" s="1" t="s">
        <v>1542</v>
      </c>
      <c r="B135" s="1" t="s">
        <v>1489</v>
      </c>
      <c r="C135" s="1" t="s">
        <v>16</v>
      </c>
      <c r="D135">
        <v>-7.2267089999999996</v>
      </c>
      <c r="E135">
        <v>28.421362999999999</v>
      </c>
      <c r="F135" s="1" t="s">
        <v>1501</v>
      </c>
      <c r="G135" s="1" t="s">
        <v>1502</v>
      </c>
    </row>
    <row r="136" spans="1:7" x14ac:dyDescent="0.25">
      <c r="A136" s="1" t="s">
        <v>1542</v>
      </c>
      <c r="B136" s="1" t="s">
        <v>957</v>
      </c>
      <c r="C136" s="1" t="s">
        <v>131</v>
      </c>
      <c r="D136">
        <v>-2.3102109999999998</v>
      </c>
      <c r="E136">
        <v>12.362488000000001</v>
      </c>
      <c r="F136" s="1" t="s">
        <v>1501</v>
      </c>
      <c r="G136" s="1" t="s">
        <v>1514</v>
      </c>
    </row>
    <row r="137" spans="1:7" x14ac:dyDescent="0.25">
      <c r="A137" s="1" t="s">
        <v>1542</v>
      </c>
      <c r="B137" s="1" t="s">
        <v>1049</v>
      </c>
      <c r="C137" s="1" t="s">
        <v>62</v>
      </c>
      <c r="D137">
        <v>-12.564277000000001</v>
      </c>
      <c r="E137">
        <v>28.480798</v>
      </c>
      <c r="F137" s="1" t="s">
        <v>1501</v>
      </c>
      <c r="G137" s="1" t="s">
        <v>1507</v>
      </c>
    </row>
    <row r="138" spans="1:7" x14ac:dyDescent="0.25">
      <c r="A138" s="1" t="s">
        <v>1542</v>
      </c>
      <c r="B138" s="1" t="s">
        <v>1443</v>
      </c>
      <c r="C138" s="1" t="s">
        <v>35</v>
      </c>
      <c r="D138">
        <v>-7.513261</v>
      </c>
      <c r="E138">
        <v>24.338812000000001</v>
      </c>
      <c r="F138" s="1" t="s">
        <v>1501</v>
      </c>
      <c r="G138" s="1" t="s">
        <v>1505</v>
      </c>
    </row>
    <row r="139" spans="1:7" x14ac:dyDescent="0.25">
      <c r="A139" s="1" t="s">
        <v>1542</v>
      </c>
      <c r="B139" s="1" t="s">
        <v>1242</v>
      </c>
      <c r="C139" s="1" t="s">
        <v>73</v>
      </c>
      <c r="D139">
        <v>4.7777349999999998</v>
      </c>
      <c r="E139">
        <v>16.392204</v>
      </c>
      <c r="F139" s="1" t="s">
        <v>1501</v>
      </c>
      <c r="G139" s="1" t="s">
        <v>1507</v>
      </c>
    </row>
    <row r="140" spans="1:7" x14ac:dyDescent="0.25">
      <c r="A140" s="1" t="s">
        <v>1542</v>
      </c>
      <c r="B140" s="1" t="s">
        <v>1552</v>
      </c>
      <c r="C140" s="1" t="s">
        <v>62</v>
      </c>
      <c r="D140">
        <v>-1.9080220000000001</v>
      </c>
      <c r="E140">
        <v>19.233322999999999</v>
      </c>
      <c r="F140" s="1" t="s">
        <v>1506</v>
      </c>
      <c r="G140" s="1" t="s">
        <v>1502</v>
      </c>
    </row>
    <row r="141" spans="1:7" x14ac:dyDescent="0.25">
      <c r="A141" s="1" t="s">
        <v>1542</v>
      </c>
      <c r="B141" s="1" t="s">
        <v>1293</v>
      </c>
      <c r="C141" s="1" t="s">
        <v>78</v>
      </c>
      <c r="D141">
        <v>4.8228650000000002</v>
      </c>
      <c r="E141">
        <v>30.555627000000001</v>
      </c>
      <c r="F141" s="1" t="s">
        <v>1504</v>
      </c>
      <c r="G141" s="1" t="s">
        <v>1505</v>
      </c>
    </row>
    <row r="142" spans="1:7" x14ac:dyDescent="0.25">
      <c r="A142" s="1" t="s">
        <v>1542</v>
      </c>
      <c r="B142" s="1" t="s">
        <v>931</v>
      </c>
      <c r="C142" s="1" t="s">
        <v>60</v>
      </c>
      <c r="D142">
        <v>-5.0402180000000003</v>
      </c>
      <c r="E142">
        <v>13.892471</v>
      </c>
      <c r="F142" s="1" t="s">
        <v>1506</v>
      </c>
      <c r="G142" s="1" t="s">
        <v>1507</v>
      </c>
    </row>
    <row r="143" spans="1:7" x14ac:dyDescent="0.25">
      <c r="A143" s="1" t="s">
        <v>1542</v>
      </c>
      <c r="B143" s="1" t="s">
        <v>820</v>
      </c>
      <c r="C143" s="1" t="s">
        <v>89</v>
      </c>
      <c r="D143">
        <v>-10.375266999999999</v>
      </c>
      <c r="E143">
        <v>17.993663000000002</v>
      </c>
      <c r="F143" s="1" t="s">
        <v>1501</v>
      </c>
      <c r="G143" s="1" t="s">
        <v>1507</v>
      </c>
    </row>
    <row r="144" spans="1:7" x14ac:dyDescent="0.25">
      <c r="A144" s="1" t="s">
        <v>1542</v>
      </c>
      <c r="B144" s="1" t="s">
        <v>1230</v>
      </c>
      <c r="C144" s="1" t="s">
        <v>44</v>
      </c>
      <c r="D144">
        <v>-12.192204</v>
      </c>
      <c r="E144">
        <v>28.468682000000001</v>
      </c>
      <c r="F144" s="1" t="s">
        <v>1506</v>
      </c>
      <c r="G144" s="1" t="s">
        <v>1507</v>
      </c>
    </row>
    <row r="145" spans="1:7" x14ac:dyDescent="0.25">
      <c r="A145" s="1" t="s">
        <v>1542</v>
      </c>
      <c r="B145" s="1" t="s">
        <v>1171</v>
      </c>
      <c r="C145" s="1" t="s">
        <v>78</v>
      </c>
      <c r="D145">
        <v>1.727095</v>
      </c>
      <c r="E145">
        <v>22.099651999999999</v>
      </c>
      <c r="F145" s="1" t="s">
        <v>1504</v>
      </c>
      <c r="G145" s="1" t="s">
        <v>1505</v>
      </c>
    </row>
    <row r="146" spans="1:7" x14ac:dyDescent="0.25">
      <c r="A146" s="1" t="s">
        <v>1542</v>
      </c>
      <c r="B146" s="1" t="s">
        <v>1553</v>
      </c>
      <c r="C146" s="1" t="s">
        <v>73</v>
      </c>
      <c r="D146">
        <v>-9.4056660000000001</v>
      </c>
      <c r="E146">
        <v>15.541930000000001</v>
      </c>
      <c r="F146" s="1" t="s">
        <v>1504</v>
      </c>
      <c r="G146" s="1" t="s">
        <v>1505</v>
      </c>
    </row>
    <row r="147" spans="1:7" x14ac:dyDescent="0.25">
      <c r="A147" s="1" t="s">
        <v>1542</v>
      </c>
      <c r="B147" s="1" t="s">
        <v>1554</v>
      </c>
      <c r="C147" s="1" t="s">
        <v>37</v>
      </c>
      <c r="D147">
        <v>-6.2712260000000004</v>
      </c>
      <c r="E147">
        <v>21.512366</v>
      </c>
      <c r="F147" s="1" t="s">
        <v>1501</v>
      </c>
      <c r="G147" s="1" t="s">
        <v>1505</v>
      </c>
    </row>
    <row r="148" spans="1:7" x14ac:dyDescent="0.25">
      <c r="A148" s="1" t="s">
        <v>1542</v>
      </c>
      <c r="B148" s="1" t="s">
        <v>1009</v>
      </c>
      <c r="C148" s="1" t="s">
        <v>1676</v>
      </c>
      <c r="D148">
        <v>0.639208</v>
      </c>
      <c r="E148">
        <v>20.701739</v>
      </c>
      <c r="F148" s="1" t="s">
        <v>1504</v>
      </c>
      <c r="G148" s="1" t="s">
        <v>1505</v>
      </c>
    </row>
    <row r="149" spans="1:7" x14ac:dyDescent="0.25">
      <c r="A149" s="1" t="s">
        <v>1542</v>
      </c>
      <c r="B149" s="1" t="s">
        <v>1555</v>
      </c>
      <c r="C149" s="1" t="s">
        <v>44</v>
      </c>
      <c r="D149">
        <v>2.349755</v>
      </c>
      <c r="E149">
        <v>29.600649000000001</v>
      </c>
      <c r="F149" s="1" t="s">
        <v>1504</v>
      </c>
      <c r="G149" s="1" t="s">
        <v>1514</v>
      </c>
    </row>
    <row r="150" spans="1:7" x14ac:dyDescent="0.25">
      <c r="A150" s="1" t="s">
        <v>1542</v>
      </c>
      <c r="B150" s="1" t="s">
        <v>1418</v>
      </c>
      <c r="C150" s="1" t="s">
        <v>62</v>
      </c>
      <c r="D150">
        <v>-10.977309</v>
      </c>
      <c r="E150">
        <v>12.408281000000001</v>
      </c>
      <c r="F150" s="1" t="s">
        <v>1501</v>
      </c>
      <c r="G150" s="1" t="s">
        <v>1507</v>
      </c>
    </row>
    <row r="151" spans="1:7" x14ac:dyDescent="0.25">
      <c r="A151" s="1" t="s">
        <v>1542</v>
      </c>
      <c r="B151" s="1" t="s">
        <v>1556</v>
      </c>
      <c r="C151" s="1" t="s">
        <v>13</v>
      </c>
      <c r="D151">
        <v>-12.018316</v>
      </c>
      <c r="E151">
        <v>16.700451000000001</v>
      </c>
      <c r="F151" s="1" t="s">
        <v>1506</v>
      </c>
      <c r="G151" s="1" t="s">
        <v>1514</v>
      </c>
    </row>
    <row r="152" spans="1:7" x14ac:dyDescent="0.25">
      <c r="A152" s="1" t="s">
        <v>1557</v>
      </c>
      <c r="B152" s="1" t="s">
        <v>1201</v>
      </c>
      <c r="C152" s="1" t="s">
        <v>1676</v>
      </c>
      <c r="D152">
        <v>-1.648326</v>
      </c>
      <c r="E152">
        <v>25.528901999999999</v>
      </c>
      <c r="F152" s="1" t="s">
        <v>1504</v>
      </c>
      <c r="G152" s="1" t="s">
        <v>1505</v>
      </c>
    </row>
    <row r="153" spans="1:7" x14ac:dyDescent="0.25">
      <c r="A153" s="1" t="s">
        <v>1557</v>
      </c>
      <c r="B153" s="1" t="s">
        <v>994</v>
      </c>
      <c r="C153" s="1" t="s">
        <v>18</v>
      </c>
      <c r="D153">
        <v>-12.112682</v>
      </c>
      <c r="E153">
        <v>19.972052000000001</v>
      </c>
      <c r="F153" s="1" t="s">
        <v>1504</v>
      </c>
      <c r="G153" s="1" t="s">
        <v>1505</v>
      </c>
    </row>
    <row r="154" spans="1:7" x14ac:dyDescent="0.25">
      <c r="A154" s="1" t="s">
        <v>1557</v>
      </c>
      <c r="B154" s="1" t="s">
        <v>1380</v>
      </c>
      <c r="C154" s="1" t="s">
        <v>13</v>
      </c>
      <c r="D154">
        <v>-7.7587710000000003</v>
      </c>
      <c r="E154">
        <v>17.880848</v>
      </c>
      <c r="F154" s="1" t="s">
        <v>1506</v>
      </c>
      <c r="G154" s="1" t="s">
        <v>1502</v>
      </c>
    </row>
    <row r="155" spans="1:7" x14ac:dyDescent="0.25">
      <c r="A155" s="1" t="s">
        <v>1557</v>
      </c>
      <c r="B155" s="1" t="s">
        <v>1197</v>
      </c>
      <c r="C155" s="1" t="s">
        <v>1675</v>
      </c>
      <c r="D155">
        <v>-5.8352820000000003</v>
      </c>
      <c r="E155">
        <v>26.603978000000001</v>
      </c>
      <c r="F155" s="1" t="s">
        <v>1504</v>
      </c>
      <c r="G155" s="1" t="s">
        <v>1505</v>
      </c>
    </row>
    <row r="156" spans="1:7" x14ac:dyDescent="0.25">
      <c r="A156" s="1" t="s">
        <v>1557</v>
      </c>
      <c r="B156" s="1" t="s">
        <v>1558</v>
      </c>
      <c r="C156" s="1" t="s">
        <v>137</v>
      </c>
      <c r="D156">
        <v>-7.5180249999999997</v>
      </c>
      <c r="E156">
        <v>20.478905999999998</v>
      </c>
      <c r="F156" s="1" t="s">
        <v>1501</v>
      </c>
      <c r="G156" s="1" t="s">
        <v>1514</v>
      </c>
    </row>
    <row r="157" spans="1:7" x14ac:dyDescent="0.25">
      <c r="A157" s="1" t="s">
        <v>1557</v>
      </c>
      <c r="B157" s="1" t="s">
        <v>1218</v>
      </c>
      <c r="C157" s="1" t="s">
        <v>1675</v>
      </c>
      <c r="D157">
        <v>1.897178</v>
      </c>
      <c r="E157">
        <v>23.902604</v>
      </c>
      <c r="F157" s="1" t="s">
        <v>1506</v>
      </c>
      <c r="G157" s="1" t="s">
        <v>1514</v>
      </c>
    </row>
    <row r="158" spans="1:7" x14ac:dyDescent="0.25">
      <c r="A158" s="1" t="s">
        <v>1557</v>
      </c>
      <c r="B158" s="1" t="s">
        <v>1239</v>
      </c>
      <c r="C158" s="1" t="s">
        <v>40</v>
      </c>
      <c r="D158">
        <v>-4.6957509999999996</v>
      </c>
      <c r="E158">
        <v>14.233525999999999</v>
      </c>
      <c r="F158" s="1" t="s">
        <v>1504</v>
      </c>
      <c r="G158" s="1" t="s">
        <v>1514</v>
      </c>
    </row>
    <row r="159" spans="1:7" x14ac:dyDescent="0.25">
      <c r="A159" s="1" t="s">
        <v>1557</v>
      </c>
      <c r="B159" s="1" t="s">
        <v>1559</v>
      </c>
      <c r="C159" s="1" t="s">
        <v>1674</v>
      </c>
      <c r="D159">
        <v>-5.3956809999999997</v>
      </c>
      <c r="E159">
        <v>14.49985</v>
      </c>
      <c r="F159" s="1" t="s">
        <v>1504</v>
      </c>
      <c r="G159" s="1" t="s">
        <v>1507</v>
      </c>
    </row>
    <row r="160" spans="1:7" x14ac:dyDescent="0.25">
      <c r="A160" s="1" t="s">
        <v>1557</v>
      </c>
      <c r="B160" s="1" t="s">
        <v>1560</v>
      </c>
      <c r="C160" s="1" t="s">
        <v>127</v>
      </c>
      <c r="D160">
        <v>-1.9635830000000001</v>
      </c>
      <c r="E160">
        <v>15.854182</v>
      </c>
      <c r="F160" s="1" t="s">
        <v>1506</v>
      </c>
      <c r="G160" s="1" t="s">
        <v>1514</v>
      </c>
    </row>
    <row r="161" spans="1:7" x14ac:dyDescent="0.25">
      <c r="A161" s="1" t="s">
        <v>1557</v>
      </c>
      <c r="B161" s="1" t="s">
        <v>1561</v>
      </c>
      <c r="C161" s="1" t="s">
        <v>31</v>
      </c>
      <c r="D161">
        <v>-12.01816</v>
      </c>
      <c r="E161">
        <v>23.828645999999999</v>
      </c>
      <c r="F161" s="1" t="s">
        <v>1506</v>
      </c>
      <c r="G161" s="1" t="s">
        <v>1505</v>
      </c>
    </row>
    <row r="162" spans="1:7" x14ac:dyDescent="0.25">
      <c r="A162" s="1" t="s">
        <v>1557</v>
      </c>
      <c r="B162" s="1" t="s">
        <v>975</v>
      </c>
      <c r="C162" s="1" t="s">
        <v>26</v>
      </c>
      <c r="D162">
        <v>-3.6945459999999999</v>
      </c>
      <c r="E162">
        <v>16.809108999999999</v>
      </c>
      <c r="F162" s="1" t="s">
        <v>1501</v>
      </c>
      <c r="G162" s="1" t="s">
        <v>1507</v>
      </c>
    </row>
    <row r="163" spans="1:7" x14ac:dyDescent="0.25">
      <c r="A163" s="1" t="s">
        <v>1557</v>
      </c>
      <c r="B163" s="1" t="s">
        <v>948</v>
      </c>
      <c r="C163" s="1" t="s">
        <v>37</v>
      </c>
      <c r="D163">
        <v>-10.439686999999999</v>
      </c>
      <c r="E163">
        <v>20.714210000000001</v>
      </c>
      <c r="F163" s="1" t="s">
        <v>1504</v>
      </c>
      <c r="G163" s="1" t="s">
        <v>1507</v>
      </c>
    </row>
    <row r="164" spans="1:7" x14ac:dyDescent="0.25">
      <c r="A164" s="1" t="s">
        <v>1557</v>
      </c>
      <c r="B164" s="1" t="s">
        <v>1274</v>
      </c>
      <c r="C164" s="1" t="s">
        <v>78</v>
      </c>
      <c r="D164">
        <v>1.938083</v>
      </c>
      <c r="E164">
        <v>28.25281</v>
      </c>
      <c r="F164" s="1" t="s">
        <v>1504</v>
      </c>
      <c r="G164" s="1" t="s">
        <v>1514</v>
      </c>
    </row>
    <row r="165" spans="1:7" x14ac:dyDescent="0.25">
      <c r="A165" s="1" t="s">
        <v>1557</v>
      </c>
      <c r="B165" s="1" t="s">
        <v>1086</v>
      </c>
      <c r="C165" s="1" t="s">
        <v>127</v>
      </c>
      <c r="D165">
        <v>-4.869434</v>
      </c>
      <c r="E165">
        <v>22.326522000000001</v>
      </c>
      <c r="F165" s="1" t="s">
        <v>1501</v>
      </c>
      <c r="G165" s="1" t="s">
        <v>1502</v>
      </c>
    </row>
    <row r="166" spans="1:7" x14ac:dyDescent="0.25">
      <c r="A166" s="1" t="s">
        <v>1557</v>
      </c>
      <c r="B166" s="1" t="s">
        <v>1562</v>
      </c>
      <c r="C166" s="1" t="s">
        <v>1676</v>
      </c>
      <c r="D166">
        <v>7.6420000000000004E-3</v>
      </c>
      <c r="E166">
        <v>12.109260000000001</v>
      </c>
      <c r="F166" s="1" t="s">
        <v>1504</v>
      </c>
      <c r="G166" s="1" t="s">
        <v>1502</v>
      </c>
    </row>
    <row r="167" spans="1:7" x14ac:dyDescent="0.25">
      <c r="A167" s="1" t="s">
        <v>1557</v>
      </c>
      <c r="B167" s="1" t="s">
        <v>1563</v>
      </c>
      <c r="C167" s="1" t="s">
        <v>10</v>
      </c>
      <c r="D167">
        <v>-10.962911</v>
      </c>
      <c r="E167">
        <v>28.771355</v>
      </c>
      <c r="F167" s="1" t="s">
        <v>1501</v>
      </c>
      <c r="G167" s="1" t="s">
        <v>1505</v>
      </c>
    </row>
    <row r="168" spans="1:7" x14ac:dyDescent="0.25">
      <c r="A168" s="1" t="s">
        <v>1557</v>
      </c>
      <c r="B168" s="1" t="s">
        <v>906</v>
      </c>
      <c r="C168" s="1" t="s">
        <v>131</v>
      </c>
      <c r="D168">
        <v>1.017161</v>
      </c>
      <c r="E168">
        <v>16.519689</v>
      </c>
      <c r="F168" s="1" t="s">
        <v>1506</v>
      </c>
      <c r="G168" s="1" t="s">
        <v>1514</v>
      </c>
    </row>
    <row r="169" spans="1:7" x14ac:dyDescent="0.25">
      <c r="A169" s="1" t="s">
        <v>1557</v>
      </c>
      <c r="B169" s="1" t="s">
        <v>1564</v>
      </c>
      <c r="C169" s="1" t="s">
        <v>137</v>
      </c>
      <c r="D169">
        <v>3.8811640000000001</v>
      </c>
      <c r="E169">
        <v>23.188383999999999</v>
      </c>
      <c r="F169" s="1" t="s">
        <v>1501</v>
      </c>
      <c r="G169" s="1" t="s">
        <v>1505</v>
      </c>
    </row>
    <row r="170" spans="1:7" x14ac:dyDescent="0.25">
      <c r="A170" s="1" t="s">
        <v>1557</v>
      </c>
      <c r="B170" s="1" t="s">
        <v>1373</v>
      </c>
      <c r="C170" s="1" t="s">
        <v>62</v>
      </c>
      <c r="D170">
        <v>-0.469945</v>
      </c>
      <c r="E170">
        <v>21.038527999999999</v>
      </c>
      <c r="F170" s="1" t="s">
        <v>1506</v>
      </c>
      <c r="G170" s="1" t="s">
        <v>1502</v>
      </c>
    </row>
    <row r="171" spans="1:7" x14ac:dyDescent="0.25">
      <c r="A171" s="1" t="s">
        <v>1557</v>
      </c>
      <c r="B171" s="1" t="s">
        <v>831</v>
      </c>
      <c r="C171" s="1" t="s">
        <v>31</v>
      </c>
      <c r="D171">
        <v>-10.56448</v>
      </c>
      <c r="E171">
        <v>19.792876</v>
      </c>
      <c r="F171" s="1" t="s">
        <v>1501</v>
      </c>
      <c r="G171" s="1" t="s">
        <v>1502</v>
      </c>
    </row>
    <row r="172" spans="1:7" x14ac:dyDescent="0.25">
      <c r="A172" s="1" t="s">
        <v>1557</v>
      </c>
      <c r="B172" s="1" t="s">
        <v>1413</v>
      </c>
      <c r="C172" s="1" t="s">
        <v>18</v>
      </c>
      <c r="D172">
        <v>-5.5559329999999996</v>
      </c>
      <c r="E172">
        <v>13.508692999999999</v>
      </c>
      <c r="F172" s="1" t="s">
        <v>1506</v>
      </c>
      <c r="G172" s="1" t="s">
        <v>1514</v>
      </c>
    </row>
    <row r="173" spans="1:7" x14ac:dyDescent="0.25">
      <c r="A173" s="1" t="s">
        <v>1557</v>
      </c>
      <c r="B173" s="1" t="s">
        <v>1565</v>
      </c>
      <c r="C173" s="1" t="s">
        <v>131</v>
      </c>
      <c r="D173">
        <v>-4.884055</v>
      </c>
      <c r="E173">
        <v>23.40194</v>
      </c>
      <c r="F173" s="1" t="s">
        <v>1506</v>
      </c>
      <c r="G173" s="1" t="s">
        <v>1502</v>
      </c>
    </row>
    <row r="174" spans="1:7" x14ac:dyDescent="0.25">
      <c r="A174" s="1" t="s">
        <v>1557</v>
      </c>
      <c r="B174" s="1" t="s">
        <v>1566</v>
      </c>
      <c r="C174" s="1" t="s">
        <v>18</v>
      </c>
      <c r="D174">
        <v>-9.7801860000000005</v>
      </c>
      <c r="E174">
        <v>16.649550000000001</v>
      </c>
      <c r="F174" s="1" t="s">
        <v>1501</v>
      </c>
      <c r="G174" s="1" t="s">
        <v>1502</v>
      </c>
    </row>
    <row r="175" spans="1:7" x14ac:dyDescent="0.25">
      <c r="A175" s="1" t="s">
        <v>1557</v>
      </c>
      <c r="B175" s="1" t="s">
        <v>964</v>
      </c>
      <c r="C175" s="1" t="s">
        <v>78</v>
      </c>
      <c r="D175">
        <v>-2.3743210000000001</v>
      </c>
      <c r="E175">
        <v>22.399491000000001</v>
      </c>
      <c r="F175" s="1" t="s">
        <v>1501</v>
      </c>
      <c r="G175" s="1" t="s">
        <v>1502</v>
      </c>
    </row>
    <row r="176" spans="1:7" x14ac:dyDescent="0.25">
      <c r="A176" s="1" t="s">
        <v>1557</v>
      </c>
      <c r="B176" s="1" t="s">
        <v>1343</v>
      </c>
      <c r="C176" s="1" t="s">
        <v>131</v>
      </c>
      <c r="D176">
        <v>-0.17258100000000001</v>
      </c>
      <c r="E176">
        <v>23.775555000000001</v>
      </c>
      <c r="F176" s="1" t="s">
        <v>1501</v>
      </c>
      <c r="G176" s="1" t="s">
        <v>1514</v>
      </c>
    </row>
    <row r="177" spans="1:7" x14ac:dyDescent="0.25">
      <c r="A177" s="1" t="s">
        <v>1557</v>
      </c>
      <c r="B177" s="1" t="s">
        <v>894</v>
      </c>
      <c r="C177" s="1" t="s">
        <v>31</v>
      </c>
      <c r="D177">
        <v>-9.3652239999999995</v>
      </c>
      <c r="E177">
        <v>22.593423999999999</v>
      </c>
      <c r="F177" s="1" t="s">
        <v>1501</v>
      </c>
      <c r="G177" s="1" t="s">
        <v>1514</v>
      </c>
    </row>
    <row r="178" spans="1:7" x14ac:dyDescent="0.25">
      <c r="A178" s="1" t="s">
        <v>1557</v>
      </c>
      <c r="B178" s="1" t="s">
        <v>1210</v>
      </c>
      <c r="C178" s="1" t="s">
        <v>18</v>
      </c>
      <c r="D178">
        <v>-4.8157019999999999</v>
      </c>
      <c r="E178">
        <v>27.679798000000002</v>
      </c>
      <c r="F178" s="1" t="s">
        <v>1506</v>
      </c>
      <c r="G178" s="1" t="s">
        <v>1502</v>
      </c>
    </row>
    <row r="179" spans="1:7" x14ac:dyDescent="0.25">
      <c r="A179" s="1" t="s">
        <v>1557</v>
      </c>
      <c r="B179" s="1" t="s">
        <v>1277</v>
      </c>
      <c r="C179" s="1" t="s">
        <v>89</v>
      </c>
      <c r="D179">
        <v>-8.4985189999999999</v>
      </c>
      <c r="E179">
        <v>12.929456999999999</v>
      </c>
      <c r="F179" s="1" t="s">
        <v>1504</v>
      </c>
      <c r="G179" s="1" t="s">
        <v>1502</v>
      </c>
    </row>
    <row r="180" spans="1:7" x14ac:dyDescent="0.25">
      <c r="A180" s="1" t="s">
        <v>1557</v>
      </c>
      <c r="B180" s="1" t="s">
        <v>1466</v>
      </c>
      <c r="C180" s="1" t="s">
        <v>31</v>
      </c>
      <c r="D180">
        <v>-0.54908599999999996</v>
      </c>
      <c r="E180">
        <v>14.816867</v>
      </c>
      <c r="F180" s="1" t="s">
        <v>1501</v>
      </c>
      <c r="G180" s="1" t="s">
        <v>1507</v>
      </c>
    </row>
    <row r="181" spans="1:7" x14ac:dyDescent="0.25">
      <c r="A181" s="1" t="s">
        <v>1557</v>
      </c>
      <c r="B181" s="1" t="s">
        <v>1003</v>
      </c>
      <c r="C181" s="1" t="s">
        <v>60</v>
      </c>
      <c r="D181">
        <v>3.3289240000000002</v>
      </c>
      <c r="E181">
        <v>24.412261000000001</v>
      </c>
      <c r="F181" s="1" t="s">
        <v>1501</v>
      </c>
      <c r="G181" s="1" t="s">
        <v>1514</v>
      </c>
    </row>
    <row r="182" spans="1:7" x14ac:dyDescent="0.25">
      <c r="A182" s="1" t="s">
        <v>1557</v>
      </c>
      <c r="B182" s="1" t="s">
        <v>1567</v>
      </c>
      <c r="C182" s="1" t="s">
        <v>73</v>
      </c>
      <c r="D182">
        <v>1.3367519999999999</v>
      </c>
      <c r="E182">
        <v>12.697699999999999</v>
      </c>
      <c r="F182" s="1" t="s">
        <v>1501</v>
      </c>
      <c r="G182" s="1" t="s">
        <v>1505</v>
      </c>
    </row>
    <row r="183" spans="1:7" x14ac:dyDescent="0.25">
      <c r="A183" s="1" t="s">
        <v>1557</v>
      </c>
      <c r="B183" s="1" t="s">
        <v>1568</v>
      </c>
      <c r="C183" s="1" t="s">
        <v>16</v>
      </c>
      <c r="D183">
        <v>-6.9254999999999997E-2</v>
      </c>
      <c r="E183">
        <v>28.222756</v>
      </c>
      <c r="F183" s="1" t="s">
        <v>1501</v>
      </c>
      <c r="G183" s="1" t="s">
        <v>1505</v>
      </c>
    </row>
    <row r="184" spans="1:7" x14ac:dyDescent="0.25">
      <c r="A184" s="1" t="s">
        <v>1557</v>
      </c>
      <c r="B184" s="1" t="s">
        <v>845</v>
      </c>
      <c r="C184" s="1" t="s">
        <v>37</v>
      </c>
      <c r="D184">
        <v>-10.776204</v>
      </c>
      <c r="E184">
        <v>24.672934000000001</v>
      </c>
      <c r="F184" s="1" t="s">
        <v>1504</v>
      </c>
      <c r="G184" s="1" t="s">
        <v>1502</v>
      </c>
    </row>
    <row r="185" spans="1:7" x14ac:dyDescent="0.25">
      <c r="A185" s="1" t="s">
        <v>1557</v>
      </c>
      <c r="B185" s="1" t="s">
        <v>1303</v>
      </c>
      <c r="C185" s="1" t="s">
        <v>24</v>
      </c>
      <c r="D185">
        <v>-10.945031</v>
      </c>
      <c r="E185">
        <v>27.922274000000002</v>
      </c>
      <c r="F185" s="1" t="s">
        <v>1504</v>
      </c>
      <c r="G185" s="1" t="s">
        <v>1502</v>
      </c>
    </row>
    <row r="186" spans="1:7" x14ac:dyDescent="0.25">
      <c r="A186" s="1" t="s">
        <v>1557</v>
      </c>
      <c r="B186" s="1" t="s">
        <v>1569</v>
      </c>
      <c r="C186" s="1" t="s">
        <v>62</v>
      </c>
      <c r="D186">
        <v>-4.9108280000000004</v>
      </c>
      <c r="E186">
        <v>17.670389</v>
      </c>
      <c r="F186" s="1" t="s">
        <v>1501</v>
      </c>
      <c r="G186" s="1" t="s">
        <v>1507</v>
      </c>
    </row>
    <row r="187" spans="1:7" x14ac:dyDescent="0.25">
      <c r="A187" s="1" t="s">
        <v>1557</v>
      </c>
      <c r="B187" s="1" t="s">
        <v>1379</v>
      </c>
      <c r="C187" s="1" t="s">
        <v>73</v>
      </c>
      <c r="D187">
        <v>-6.4670189999999996</v>
      </c>
      <c r="E187">
        <v>29.487309</v>
      </c>
      <c r="F187" s="1" t="s">
        <v>1504</v>
      </c>
      <c r="G187" s="1" t="s">
        <v>1507</v>
      </c>
    </row>
    <row r="188" spans="1:7" x14ac:dyDescent="0.25">
      <c r="A188" s="1" t="s">
        <v>1557</v>
      </c>
      <c r="B188" s="1" t="s">
        <v>1570</v>
      </c>
      <c r="C188" s="1" t="s">
        <v>51</v>
      </c>
      <c r="D188">
        <v>-3.571288</v>
      </c>
      <c r="E188">
        <v>12.931596000000001</v>
      </c>
      <c r="F188" s="1" t="s">
        <v>1504</v>
      </c>
      <c r="G188" s="1" t="s">
        <v>1514</v>
      </c>
    </row>
    <row r="189" spans="1:7" x14ac:dyDescent="0.25">
      <c r="A189" s="1" t="s">
        <v>1557</v>
      </c>
      <c r="B189" s="1" t="s">
        <v>1571</v>
      </c>
      <c r="C189" s="1" t="s">
        <v>127</v>
      </c>
      <c r="D189">
        <v>-6.0864269999999996</v>
      </c>
      <c r="E189">
        <v>19.922181999999999</v>
      </c>
      <c r="F189" s="1" t="s">
        <v>1501</v>
      </c>
      <c r="G189" s="1" t="s">
        <v>1505</v>
      </c>
    </row>
    <row r="190" spans="1:7" x14ac:dyDescent="0.25">
      <c r="A190" s="1" t="s">
        <v>1557</v>
      </c>
      <c r="B190" s="1" t="s">
        <v>1278</v>
      </c>
      <c r="C190" s="1" t="s">
        <v>127</v>
      </c>
      <c r="D190">
        <v>1.2391989999999999</v>
      </c>
      <c r="E190">
        <v>15.386718999999999</v>
      </c>
      <c r="F190" s="1" t="s">
        <v>1501</v>
      </c>
      <c r="G190" s="1" t="s">
        <v>1507</v>
      </c>
    </row>
    <row r="191" spans="1:7" x14ac:dyDescent="0.25">
      <c r="A191" s="1" t="s">
        <v>1557</v>
      </c>
      <c r="B191" s="1" t="s">
        <v>1572</v>
      </c>
      <c r="C191" s="1" t="s">
        <v>62</v>
      </c>
      <c r="D191">
        <v>-3.7900040000000002</v>
      </c>
      <c r="E191">
        <v>24.769718999999998</v>
      </c>
      <c r="F191" s="1" t="s">
        <v>1501</v>
      </c>
      <c r="G191" s="1" t="s">
        <v>1505</v>
      </c>
    </row>
    <row r="192" spans="1:7" x14ac:dyDescent="0.25">
      <c r="A192" s="1" t="s">
        <v>1557</v>
      </c>
      <c r="B192" s="1" t="s">
        <v>1573</v>
      </c>
      <c r="C192" s="1" t="s">
        <v>1676</v>
      </c>
      <c r="D192">
        <v>4.0955700000000004</v>
      </c>
      <c r="E192">
        <v>23.610704999999999</v>
      </c>
      <c r="F192" s="1" t="s">
        <v>1504</v>
      </c>
      <c r="G192" s="1" t="s">
        <v>1507</v>
      </c>
    </row>
    <row r="193" spans="1:7" x14ac:dyDescent="0.25">
      <c r="A193" s="1" t="s">
        <v>1557</v>
      </c>
      <c r="B193" s="1" t="s">
        <v>838</v>
      </c>
      <c r="C193" s="1" t="s">
        <v>73</v>
      </c>
      <c r="D193">
        <v>-6.1837850000000003</v>
      </c>
      <c r="E193">
        <v>25.138759</v>
      </c>
      <c r="F193" s="1" t="s">
        <v>1506</v>
      </c>
      <c r="G193" s="1" t="s">
        <v>1502</v>
      </c>
    </row>
    <row r="194" spans="1:7" x14ac:dyDescent="0.25">
      <c r="A194" s="1" t="s">
        <v>1557</v>
      </c>
      <c r="B194" s="1" t="s">
        <v>1276</v>
      </c>
      <c r="C194" s="1" t="s">
        <v>60</v>
      </c>
      <c r="D194">
        <v>-6.1490739999999997</v>
      </c>
      <c r="E194">
        <v>23.304411000000002</v>
      </c>
      <c r="F194" s="1" t="s">
        <v>1501</v>
      </c>
      <c r="G194" s="1" t="s">
        <v>1507</v>
      </c>
    </row>
    <row r="195" spans="1:7" x14ac:dyDescent="0.25">
      <c r="A195" s="1" t="s">
        <v>1557</v>
      </c>
      <c r="B195" s="1" t="s">
        <v>871</v>
      </c>
      <c r="C195" s="1" t="s">
        <v>131</v>
      </c>
      <c r="D195">
        <v>0.82868600000000003</v>
      </c>
      <c r="E195">
        <v>26.958843999999999</v>
      </c>
      <c r="F195" s="1" t="s">
        <v>1501</v>
      </c>
      <c r="G195" s="1" t="s">
        <v>1507</v>
      </c>
    </row>
    <row r="196" spans="1:7" x14ac:dyDescent="0.25">
      <c r="A196" s="1" t="s">
        <v>1557</v>
      </c>
      <c r="B196" s="1" t="s">
        <v>1574</v>
      </c>
      <c r="C196" s="1" t="s">
        <v>18</v>
      </c>
      <c r="D196">
        <v>3.42055</v>
      </c>
      <c r="E196">
        <v>15.370965999999999</v>
      </c>
      <c r="F196" s="1" t="s">
        <v>1504</v>
      </c>
      <c r="G196" s="1" t="s">
        <v>1514</v>
      </c>
    </row>
    <row r="197" spans="1:7" x14ac:dyDescent="0.25">
      <c r="A197" s="1" t="s">
        <v>1557</v>
      </c>
      <c r="B197" s="1" t="s">
        <v>813</v>
      </c>
      <c r="C197" s="1" t="s">
        <v>62</v>
      </c>
      <c r="D197">
        <v>-2.8211520000000001</v>
      </c>
      <c r="E197">
        <v>20.651419000000001</v>
      </c>
      <c r="F197" s="1" t="s">
        <v>1501</v>
      </c>
      <c r="G197" s="1" t="s">
        <v>1502</v>
      </c>
    </row>
    <row r="198" spans="1:7" x14ac:dyDescent="0.25">
      <c r="A198" s="1" t="s">
        <v>1557</v>
      </c>
      <c r="B198" s="1" t="s">
        <v>1221</v>
      </c>
      <c r="C198" s="1" t="s">
        <v>60</v>
      </c>
      <c r="D198">
        <v>-1.1284540000000001</v>
      </c>
      <c r="E198">
        <v>23.000360000000001</v>
      </c>
      <c r="F198" s="1" t="s">
        <v>1501</v>
      </c>
      <c r="G198" s="1" t="s">
        <v>1502</v>
      </c>
    </row>
    <row r="199" spans="1:7" x14ac:dyDescent="0.25">
      <c r="A199" s="1" t="s">
        <v>1557</v>
      </c>
      <c r="B199" s="1" t="s">
        <v>1432</v>
      </c>
      <c r="C199" s="1" t="s">
        <v>131</v>
      </c>
      <c r="D199">
        <v>-10.298385</v>
      </c>
      <c r="E199">
        <v>29.698117</v>
      </c>
      <c r="F199" s="1" t="s">
        <v>1501</v>
      </c>
      <c r="G199" s="1" t="s">
        <v>1514</v>
      </c>
    </row>
    <row r="200" spans="1:7" x14ac:dyDescent="0.25">
      <c r="A200" s="1" t="s">
        <v>1557</v>
      </c>
      <c r="B200" s="1" t="s">
        <v>1575</v>
      </c>
      <c r="C200" s="1" t="s">
        <v>73</v>
      </c>
      <c r="D200">
        <v>2.6387339999999999</v>
      </c>
      <c r="E200">
        <v>13.769399</v>
      </c>
      <c r="F200" s="1" t="s">
        <v>1504</v>
      </c>
      <c r="G200" s="1" t="s">
        <v>1505</v>
      </c>
    </row>
    <row r="201" spans="1:7" x14ac:dyDescent="0.25">
      <c r="A201" s="1" t="s">
        <v>1557</v>
      </c>
      <c r="B201" s="1" t="s">
        <v>946</v>
      </c>
      <c r="C201" s="1" t="s">
        <v>137</v>
      </c>
      <c r="D201">
        <v>-9.7803979999999999</v>
      </c>
      <c r="E201">
        <v>17.686595000000001</v>
      </c>
      <c r="F201" s="1" t="s">
        <v>1504</v>
      </c>
      <c r="G201" s="1" t="s">
        <v>1502</v>
      </c>
    </row>
    <row r="202" spans="1:7" x14ac:dyDescent="0.25">
      <c r="A202" s="1" t="s">
        <v>1576</v>
      </c>
      <c r="B202" s="1" t="s">
        <v>1577</v>
      </c>
      <c r="C202" s="1" t="s">
        <v>21</v>
      </c>
      <c r="D202">
        <v>-6.8779139999999996</v>
      </c>
      <c r="E202">
        <v>12.550860999999999</v>
      </c>
      <c r="F202" s="1" t="s">
        <v>1501</v>
      </c>
      <c r="G202" s="1" t="s">
        <v>1507</v>
      </c>
    </row>
    <row r="203" spans="1:7" x14ac:dyDescent="0.25">
      <c r="A203" s="1" t="s">
        <v>1576</v>
      </c>
      <c r="B203" s="1" t="s">
        <v>1578</v>
      </c>
      <c r="C203" s="1" t="s">
        <v>40</v>
      </c>
      <c r="D203">
        <v>-4.2975050000000001</v>
      </c>
      <c r="E203">
        <v>29.162555999999999</v>
      </c>
      <c r="F203" s="1" t="s">
        <v>1501</v>
      </c>
      <c r="G203" s="1" t="s">
        <v>1502</v>
      </c>
    </row>
    <row r="204" spans="1:7" x14ac:dyDescent="0.25">
      <c r="A204" s="1" t="s">
        <v>1576</v>
      </c>
      <c r="B204" s="1" t="s">
        <v>1579</v>
      </c>
      <c r="C204" s="1" t="s">
        <v>44</v>
      </c>
      <c r="D204">
        <v>2.7298239999999998</v>
      </c>
      <c r="E204">
        <v>12.958664000000001</v>
      </c>
      <c r="F204" s="1" t="s">
        <v>1506</v>
      </c>
      <c r="G204" s="1" t="s">
        <v>1507</v>
      </c>
    </row>
    <row r="205" spans="1:7" x14ac:dyDescent="0.25">
      <c r="A205" s="1" t="s">
        <v>1576</v>
      </c>
      <c r="B205" s="1" t="s">
        <v>1580</v>
      </c>
      <c r="C205" s="1" t="s">
        <v>67</v>
      </c>
      <c r="D205">
        <v>-7.4135429999999998</v>
      </c>
      <c r="E205">
        <v>19.288392999999999</v>
      </c>
      <c r="F205" s="1" t="s">
        <v>1504</v>
      </c>
      <c r="G205" s="1" t="s">
        <v>1514</v>
      </c>
    </row>
    <row r="206" spans="1:7" x14ac:dyDescent="0.25">
      <c r="A206" s="1" t="s">
        <v>1576</v>
      </c>
      <c r="B206" s="1" t="s">
        <v>1441</v>
      </c>
      <c r="C206" s="1" t="s">
        <v>64</v>
      </c>
      <c r="D206">
        <v>-7.1079169999999996</v>
      </c>
      <c r="E206">
        <v>13.636272</v>
      </c>
      <c r="F206" s="1" t="s">
        <v>1501</v>
      </c>
      <c r="G206" s="1" t="s">
        <v>1514</v>
      </c>
    </row>
    <row r="207" spans="1:7" x14ac:dyDescent="0.25">
      <c r="A207" s="1" t="s">
        <v>1576</v>
      </c>
      <c r="B207" s="1" t="s">
        <v>1581</v>
      </c>
      <c r="C207" s="1" t="s">
        <v>78</v>
      </c>
      <c r="D207">
        <v>0.850665</v>
      </c>
      <c r="E207">
        <v>19.446418000000001</v>
      </c>
      <c r="F207" s="1" t="s">
        <v>1504</v>
      </c>
      <c r="G207" s="1" t="s">
        <v>1505</v>
      </c>
    </row>
    <row r="208" spans="1:7" x14ac:dyDescent="0.25">
      <c r="A208" s="1" t="s">
        <v>1576</v>
      </c>
      <c r="B208" s="1" t="s">
        <v>1349</v>
      </c>
      <c r="C208" s="1" t="s">
        <v>131</v>
      </c>
      <c r="D208">
        <v>-11.231472</v>
      </c>
      <c r="E208">
        <v>25.388874000000001</v>
      </c>
      <c r="F208" s="1" t="s">
        <v>1504</v>
      </c>
      <c r="G208" s="1" t="s">
        <v>1505</v>
      </c>
    </row>
    <row r="209" spans="1:7" x14ac:dyDescent="0.25">
      <c r="A209" s="1" t="s">
        <v>1576</v>
      </c>
      <c r="B209" s="1" t="s">
        <v>1100</v>
      </c>
      <c r="C209" s="1" t="s">
        <v>16</v>
      </c>
      <c r="D209">
        <v>4.6809229999999999</v>
      </c>
      <c r="E209">
        <v>28.934242000000001</v>
      </c>
      <c r="F209" s="1" t="s">
        <v>1501</v>
      </c>
      <c r="G209" s="1" t="s">
        <v>1514</v>
      </c>
    </row>
    <row r="210" spans="1:7" x14ac:dyDescent="0.25">
      <c r="A210" s="1" t="s">
        <v>1576</v>
      </c>
      <c r="B210" s="1" t="s">
        <v>1582</v>
      </c>
      <c r="C210" s="1" t="s">
        <v>60</v>
      </c>
      <c r="D210">
        <v>-3.7093609999999999</v>
      </c>
      <c r="E210">
        <v>23.959942999999999</v>
      </c>
      <c r="F210" s="1" t="s">
        <v>1504</v>
      </c>
      <c r="G210" s="1" t="s">
        <v>1505</v>
      </c>
    </row>
    <row r="211" spans="1:7" x14ac:dyDescent="0.25">
      <c r="A211" s="1" t="s">
        <v>1576</v>
      </c>
      <c r="B211" s="1" t="s">
        <v>1154</v>
      </c>
      <c r="C211" s="1" t="s">
        <v>1674</v>
      </c>
      <c r="D211">
        <v>4.8689660000000003</v>
      </c>
      <c r="E211">
        <v>25.112373000000002</v>
      </c>
      <c r="F211" s="1" t="s">
        <v>1506</v>
      </c>
      <c r="G211" s="1" t="s">
        <v>1505</v>
      </c>
    </row>
    <row r="212" spans="1:7" x14ac:dyDescent="0.25">
      <c r="A212" s="1" t="s">
        <v>1576</v>
      </c>
      <c r="B212" s="1" t="s">
        <v>890</v>
      </c>
      <c r="C212" s="1" t="s">
        <v>89</v>
      </c>
      <c r="D212">
        <v>-9.3066320000000005</v>
      </c>
      <c r="E212">
        <v>20.470889</v>
      </c>
      <c r="F212" s="1" t="s">
        <v>1501</v>
      </c>
      <c r="G212" s="1" t="s">
        <v>1507</v>
      </c>
    </row>
    <row r="213" spans="1:7" x14ac:dyDescent="0.25">
      <c r="A213" s="1" t="s">
        <v>1576</v>
      </c>
      <c r="B213" s="1" t="s">
        <v>1015</v>
      </c>
      <c r="C213" s="1" t="s">
        <v>31</v>
      </c>
      <c r="D213">
        <v>-12.342053999999999</v>
      </c>
      <c r="E213">
        <v>18.756862000000002</v>
      </c>
      <c r="F213" s="1" t="s">
        <v>1506</v>
      </c>
      <c r="G213" s="1" t="s">
        <v>1502</v>
      </c>
    </row>
    <row r="214" spans="1:7" x14ac:dyDescent="0.25">
      <c r="A214" s="1" t="s">
        <v>1576</v>
      </c>
      <c r="B214" s="1" t="s">
        <v>1583</v>
      </c>
      <c r="C214" s="1" t="s">
        <v>131</v>
      </c>
      <c r="D214">
        <v>-6.0234120000000004</v>
      </c>
      <c r="E214">
        <v>18.314309999999999</v>
      </c>
      <c r="F214" s="1" t="s">
        <v>1501</v>
      </c>
      <c r="G214" s="1" t="s">
        <v>1507</v>
      </c>
    </row>
    <row r="215" spans="1:7" x14ac:dyDescent="0.25">
      <c r="A215" s="1" t="s">
        <v>1576</v>
      </c>
      <c r="B215" s="1" t="s">
        <v>1407</v>
      </c>
      <c r="C215" s="1" t="s">
        <v>1674</v>
      </c>
      <c r="D215">
        <v>2.5665840000000002</v>
      </c>
      <c r="E215">
        <v>15.764796</v>
      </c>
      <c r="F215" s="1" t="s">
        <v>1506</v>
      </c>
      <c r="G215" s="1" t="s">
        <v>1507</v>
      </c>
    </row>
    <row r="216" spans="1:7" x14ac:dyDescent="0.25">
      <c r="A216" s="1" t="s">
        <v>1576</v>
      </c>
      <c r="B216" s="1" t="s">
        <v>884</v>
      </c>
      <c r="C216" s="1" t="s">
        <v>31</v>
      </c>
      <c r="D216">
        <v>-10.914952</v>
      </c>
      <c r="E216">
        <v>26.409648000000001</v>
      </c>
      <c r="F216" s="1" t="s">
        <v>1504</v>
      </c>
      <c r="G216" s="1" t="s">
        <v>1505</v>
      </c>
    </row>
    <row r="217" spans="1:7" x14ac:dyDescent="0.25">
      <c r="A217" s="1" t="s">
        <v>1576</v>
      </c>
      <c r="B217" s="1" t="s">
        <v>1302</v>
      </c>
      <c r="C217" s="1" t="s">
        <v>51</v>
      </c>
      <c r="D217">
        <v>-7.402336</v>
      </c>
      <c r="E217">
        <v>27.376697</v>
      </c>
      <c r="F217" s="1" t="s">
        <v>1504</v>
      </c>
      <c r="G217" s="1" t="s">
        <v>1505</v>
      </c>
    </row>
    <row r="218" spans="1:7" x14ac:dyDescent="0.25">
      <c r="A218" s="1" t="s">
        <v>1576</v>
      </c>
      <c r="B218" s="1" t="s">
        <v>1584</v>
      </c>
      <c r="C218" s="1" t="s">
        <v>24</v>
      </c>
      <c r="D218">
        <v>-12.207461</v>
      </c>
      <c r="E218">
        <v>13.492367</v>
      </c>
      <c r="F218" s="1" t="s">
        <v>1506</v>
      </c>
      <c r="G218" s="1" t="s">
        <v>1502</v>
      </c>
    </row>
    <row r="219" spans="1:7" x14ac:dyDescent="0.25">
      <c r="A219" s="1" t="s">
        <v>1576</v>
      </c>
      <c r="B219" s="1" t="s">
        <v>1585</v>
      </c>
      <c r="C219" s="1" t="s">
        <v>137</v>
      </c>
      <c r="D219">
        <v>2.266232</v>
      </c>
      <c r="E219">
        <v>29.532896000000001</v>
      </c>
      <c r="F219" s="1" t="s">
        <v>1504</v>
      </c>
      <c r="G219" s="1" t="s">
        <v>1502</v>
      </c>
    </row>
    <row r="220" spans="1:7" x14ac:dyDescent="0.25">
      <c r="A220" s="1" t="s">
        <v>1576</v>
      </c>
      <c r="B220" s="1" t="s">
        <v>1586</v>
      </c>
      <c r="C220" s="1" t="s">
        <v>35</v>
      </c>
      <c r="D220">
        <v>2.6937519999999999</v>
      </c>
      <c r="E220">
        <v>26.524137</v>
      </c>
      <c r="F220" s="1" t="s">
        <v>1506</v>
      </c>
      <c r="G220" s="1" t="s">
        <v>1502</v>
      </c>
    </row>
    <row r="221" spans="1:7" x14ac:dyDescent="0.25">
      <c r="A221" s="1" t="s">
        <v>1576</v>
      </c>
      <c r="B221" s="1" t="s">
        <v>1430</v>
      </c>
      <c r="C221" s="1" t="s">
        <v>37</v>
      </c>
      <c r="D221">
        <v>-7.0007840000000003</v>
      </c>
      <c r="E221">
        <v>22.787997000000001</v>
      </c>
      <c r="F221" s="1" t="s">
        <v>1501</v>
      </c>
      <c r="G221" s="1" t="s">
        <v>1507</v>
      </c>
    </row>
    <row r="222" spans="1:7" x14ac:dyDescent="0.25">
      <c r="A222" s="1" t="s">
        <v>1576</v>
      </c>
      <c r="B222" s="1" t="s">
        <v>1587</v>
      </c>
      <c r="C222" s="1" t="s">
        <v>78</v>
      </c>
      <c r="D222">
        <v>3.0053459999999999</v>
      </c>
      <c r="E222">
        <v>13.765407</v>
      </c>
      <c r="F222" s="1" t="s">
        <v>1501</v>
      </c>
      <c r="G222" s="1" t="s">
        <v>1502</v>
      </c>
    </row>
    <row r="223" spans="1:7" x14ac:dyDescent="0.25">
      <c r="A223" s="1" t="s">
        <v>1576</v>
      </c>
      <c r="B223" s="1" t="s">
        <v>805</v>
      </c>
      <c r="C223" s="1" t="s">
        <v>37</v>
      </c>
      <c r="D223">
        <v>-11.144149000000001</v>
      </c>
      <c r="E223">
        <v>27.244658999999999</v>
      </c>
      <c r="F223" s="1" t="s">
        <v>1504</v>
      </c>
      <c r="G223" s="1" t="s">
        <v>1514</v>
      </c>
    </row>
    <row r="224" spans="1:7" x14ac:dyDescent="0.25">
      <c r="A224" s="1" t="s">
        <v>1576</v>
      </c>
      <c r="B224" s="1" t="s">
        <v>938</v>
      </c>
      <c r="C224" s="1" t="s">
        <v>62</v>
      </c>
      <c r="D224">
        <v>0.79124300000000003</v>
      </c>
      <c r="E224">
        <v>25.273389000000002</v>
      </c>
      <c r="F224" s="1" t="s">
        <v>1504</v>
      </c>
      <c r="G224" s="1" t="s">
        <v>1514</v>
      </c>
    </row>
    <row r="225" spans="1:7" x14ac:dyDescent="0.25">
      <c r="A225" s="1" t="s">
        <v>1576</v>
      </c>
      <c r="B225" s="1" t="s">
        <v>1588</v>
      </c>
      <c r="C225" s="1" t="s">
        <v>67</v>
      </c>
      <c r="D225">
        <v>0.419985</v>
      </c>
      <c r="E225">
        <v>13.847996999999999</v>
      </c>
      <c r="F225" s="1" t="s">
        <v>1501</v>
      </c>
      <c r="G225" s="1" t="s">
        <v>1507</v>
      </c>
    </row>
    <row r="226" spans="1:7" x14ac:dyDescent="0.25">
      <c r="A226" s="1" t="s">
        <v>1576</v>
      </c>
      <c r="B226" s="1" t="s">
        <v>1289</v>
      </c>
      <c r="C226" s="1" t="s">
        <v>10</v>
      </c>
      <c r="D226">
        <v>-12.595355</v>
      </c>
      <c r="E226">
        <v>17.897442000000002</v>
      </c>
      <c r="F226" s="1" t="s">
        <v>1504</v>
      </c>
      <c r="G226" s="1" t="s">
        <v>1505</v>
      </c>
    </row>
    <row r="227" spans="1:7" x14ac:dyDescent="0.25">
      <c r="A227" s="1" t="s">
        <v>1576</v>
      </c>
      <c r="B227" s="1" t="s">
        <v>1308</v>
      </c>
      <c r="C227" s="1" t="s">
        <v>40</v>
      </c>
      <c r="D227">
        <v>0.65288900000000005</v>
      </c>
      <c r="E227">
        <v>24.243953999999999</v>
      </c>
      <c r="F227" s="1" t="s">
        <v>1501</v>
      </c>
      <c r="G227" s="1" t="s">
        <v>1502</v>
      </c>
    </row>
    <row r="228" spans="1:7" x14ac:dyDescent="0.25">
      <c r="A228" s="1" t="s">
        <v>1576</v>
      </c>
      <c r="B228" s="1" t="s">
        <v>1336</v>
      </c>
      <c r="C228" s="1" t="s">
        <v>26</v>
      </c>
      <c r="D228">
        <v>-1.500685</v>
      </c>
      <c r="E228">
        <v>26.563376000000002</v>
      </c>
      <c r="F228" s="1" t="s">
        <v>1501</v>
      </c>
      <c r="G228" s="1" t="s">
        <v>1514</v>
      </c>
    </row>
    <row r="229" spans="1:7" x14ac:dyDescent="0.25">
      <c r="A229" s="1" t="s">
        <v>1576</v>
      </c>
      <c r="B229" s="1" t="s">
        <v>1589</v>
      </c>
      <c r="C229" s="1" t="s">
        <v>1676</v>
      </c>
      <c r="D229">
        <v>-9.2227779999999999</v>
      </c>
      <c r="E229">
        <v>20.940372</v>
      </c>
      <c r="F229" s="1" t="s">
        <v>1506</v>
      </c>
      <c r="G229" s="1" t="s">
        <v>1502</v>
      </c>
    </row>
    <row r="230" spans="1:7" x14ac:dyDescent="0.25">
      <c r="A230" s="1" t="s">
        <v>1576</v>
      </c>
      <c r="B230" s="1" t="s">
        <v>1038</v>
      </c>
      <c r="C230" s="1" t="s">
        <v>21</v>
      </c>
      <c r="D230">
        <v>-9.3900009999999998</v>
      </c>
      <c r="E230">
        <v>30.001517</v>
      </c>
      <c r="F230" s="1" t="s">
        <v>1506</v>
      </c>
      <c r="G230" s="1" t="s">
        <v>1514</v>
      </c>
    </row>
    <row r="231" spans="1:7" x14ac:dyDescent="0.25">
      <c r="A231" s="1" t="s">
        <v>1576</v>
      </c>
      <c r="B231" s="1" t="s">
        <v>1590</v>
      </c>
      <c r="C231" s="1" t="s">
        <v>127</v>
      </c>
      <c r="D231">
        <v>-7.8417870000000001</v>
      </c>
      <c r="E231">
        <v>14.730712</v>
      </c>
      <c r="F231" s="1" t="s">
        <v>1501</v>
      </c>
      <c r="G231" s="1" t="s">
        <v>1514</v>
      </c>
    </row>
    <row r="232" spans="1:7" x14ac:dyDescent="0.25">
      <c r="A232" s="1" t="s">
        <v>1576</v>
      </c>
      <c r="B232" s="1" t="s">
        <v>1591</v>
      </c>
      <c r="C232" s="1" t="s">
        <v>35</v>
      </c>
      <c r="D232">
        <v>-3.419035</v>
      </c>
      <c r="E232">
        <v>29.018315999999999</v>
      </c>
      <c r="F232" s="1" t="s">
        <v>1501</v>
      </c>
      <c r="G232" s="1" t="s">
        <v>1502</v>
      </c>
    </row>
    <row r="233" spans="1:7" x14ac:dyDescent="0.25">
      <c r="A233" s="1" t="s">
        <v>1576</v>
      </c>
      <c r="B233" s="1" t="s">
        <v>1592</v>
      </c>
      <c r="C233" s="1" t="s">
        <v>1675</v>
      </c>
      <c r="D233">
        <v>0.91016799999999998</v>
      </c>
      <c r="E233">
        <v>16.903002999999998</v>
      </c>
      <c r="F233" s="1" t="s">
        <v>1506</v>
      </c>
      <c r="G233" s="1" t="s">
        <v>1514</v>
      </c>
    </row>
    <row r="234" spans="1:7" x14ac:dyDescent="0.25">
      <c r="A234" s="1" t="s">
        <v>1576</v>
      </c>
      <c r="B234" s="1" t="s">
        <v>1394</v>
      </c>
      <c r="C234" s="1" t="s">
        <v>73</v>
      </c>
      <c r="D234">
        <v>-0.919767</v>
      </c>
      <c r="E234">
        <v>18.905538</v>
      </c>
      <c r="F234" s="1" t="s">
        <v>1501</v>
      </c>
      <c r="G234" s="1" t="s">
        <v>1502</v>
      </c>
    </row>
    <row r="235" spans="1:7" x14ac:dyDescent="0.25">
      <c r="A235" s="1" t="s">
        <v>1576</v>
      </c>
      <c r="B235" s="1" t="s">
        <v>908</v>
      </c>
      <c r="C235" s="1" t="s">
        <v>35</v>
      </c>
      <c r="D235">
        <v>-8.0922239999999999</v>
      </c>
      <c r="E235">
        <v>15.483708</v>
      </c>
      <c r="F235" s="1" t="s">
        <v>1501</v>
      </c>
      <c r="G235" s="1" t="s">
        <v>1514</v>
      </c>
    </row>
    <row r="236" spans="1:7" x14ac:dyDescent="0.25">
      <c r="A236" s="1" t="s">
        <v>1576</v>
      </c>
      <c r="B236" s="1" t="s">
        <v>1044</v>
      </c>
      <c r="C236" s="1" t="s">
        <v>1674</v>
      </c>
      <c r="D236">
        <v>-10.165072</v>
      </c>
      <c r="E236">
        <v>29.428024000000001</v>
      </c>
      <c r="F236" s="1" t="s">
        <v>1501</v>
      </c>
      <c r="G236" s="1" t="s">
        <v>1505</v>
      </c>
    </row>
    <row r="237" spans="1:7" x14ac:dyDescent="0.25">
      <c r="A237" s="1" t="s">
        <v>1576</v>
      </c>
      <c r="B237" s="1" t="s">
        <v>1240</v>
      </c>
      <c r="C237" s="1" t="s">
        <v>51</v>
      </c>
      <c r="D237">
        <v>-10.939712999999999</v>
      </c>
      <c r="E237">
        <v>18.276230999999999</v>
      </c>
      <c r="F237" s="1" t="s">
        <v>1504</v>
      </c>
      <c r="G237" s="1" t="s">
        <v>1507</v>
      </c>
    </row>
    <row r="238" spans="1:7" x14ac:dyDescent="0.25">
      <c r="A238" s="1" t="s">
        <v>1576</v>
      </c>
      <c r="B238" s="1" t="s">
        <v>846</v>
      </c>
      <c r="C238" s="1" t="s">
        <v>21</v>
      </c>
      <c r="D238">
        <v>4.2493650000000001</v>
      </c>
      <c r="E238">
        <v>28.355039999999999</v>
      </c>
      <c r="F238" s="1" t="s">
        <v>1506</v>
      </c>
      <c r="G238" s="1" t="s">
        <v>1507</v>
      </c>
    </row>
    <row r="239" spans="1:7" x14ac:dyDescent="0.25">
      <c r="A239" s="1" t="s">
        <v>1576</v>
      </c>
      <c r="B239" s="1" t="s">
        <v>1435</v>
      </c>
      <c r="C239" s="1" t="s">
        <v>24</v>
      </c>
      <c r="D239">
        <v>-2.926736</v>
      </c>
      <c r="E239">
        <v>18.170461</v>
      </c>
      <c r="F239" s="1" t="s">
        <v>1501</v>
      </c>
      <c r="G239" s="1" t="s">
        <v>1502</v>
      </c>
    </row>
    <row r="240" spans="1:7" x14ac:dyDescent="0.25">
      <c r="A240" s="1" t="s">
        <v>1576</v>
      </c>
      <c r="B240" s="1" t="s">
        <v>1254</v>
      </c>
      <c r="C240" s="1" t="s">
        <v>62</v>
      </c>
      <c r="D240">
        <v>-11.157245</v>
      </c>
      <c r="E240">
        <v>21.262627999999999</v>
      </c>
      <c r="F240" s="1" t="s">
        <v>1501</v>
      </c>
      <c r="G240" s="1" t="s">
        <v>1507</v>
      </c>
    </row>
    <row r="241" spans="1:7" x14ac:dyDescent="0.25">
      <c r="A241" s="1" t="s">
        <v>1576</v>
      </c>
      <c r="B241" s="1" t="s">
        <v>1593</v>
      </c>
      <c r="C241" s="1" t="s">
        <v>137</v>
      </c>
      <c r="D241">
        <v>-3.234483</v>
      </c>
      <c r="E241">
        <v>13.241939</v>
      </c>
      <c r="F241" s="1" t="s">
        <v>1504</v>
      </c>
      <c r="G241" s="1" t="s">
        <v>1507</v>
      </c>
    </row>
    <row r="242" spans="1:7" x14ac:dyDescent="0.25">
      <c r="A242" s="1" t="s">
        <v>1576</v>
      </c>
      <c r="B242" s="1" t="s">
        <v>952</v>
      </c>
      <c r="C242" s="1" t="s">
        <v>1675</v>
      </c>
      <c r="D242">
        <v>-3.111418</v>
      </c>
      <c r="E242">
        <v>14.144854</v>
      </c>
      <c r="F242" s="1" t="s">
        <v>1504</v>
      </c>
      <c r="G242" s="1" t="s">
        <v>1507</v>
      </c>
    </row>
    <row r="243" spans="1:7" x14ac:dyDescent="0.25">
      <c r="A243" s="1" t="s">
        <v>1576</v>
      </c>
      <c r="B243" s="1" t="s">
        <v>1140</v>
      </c>
      <c r="C243" s="1" t="s">
        <v>40</v>
      </c>
      <c r="D243">
        <v>-8.1210620000000002</v>
      </c>
      <c r="E243">
        <v>21.094390000000001</v>
      </c>
      <c r="F243" s="1" t="s">
        <v>1501</v>
      </c>
      <c r="G243" s="1" t="s">
        <v>1507</v>
      </c>
    </row>
    <row r="244" spans="1:7" x14ac:dyDescent="0.25">
      <c r="A244" s="1" t="s">
        <v>1576</v>
      </c>
      <c r="B244" s="1" t="s">
        <v>1594</v>
      </c>
      <c r="C244" s="1" t="s">
        <v>73</v>
      </c>
      <c r="D244">
        <v>1.472051</v>
      </c>
      <c r="E244">
        <v>17.36289</v>
      </c>
      <c r="F244" s="1" t="s">
        <v>1504</v>
      </c>
      <c r="G244" s="1" t="s">
        <v>1505</v>
      </c>
    </row>
    <row r="245" spans="1:7" x14ac:dyDescent="0.25">
      <c r="A245" s="1" t="s">
        <v>1576</v>
      </c>
      <c r="B245" s="1" t="s">
        <v>1227</v>
      </c>
      <c r="C245" s="1" t="s">
        <v>64</v>
      </c>
      <c r="D245">
        <v>-2.6665070000000002</v>
      </c>
      <c r="E245">
        <v>18.623692999999999</v>
      </c>
      <c r="F245" s="1" t="s">
        <v>1506</v>
      </c>
      <c r="G245" s="1" t="s">
        <v>1507</v>
      </c>
    </row>
    <row r="246" spans="1:7" x14ac:dyDescent="0.25">
      <c r="A246" s="1" t="s">
        <v>1576</v>
      </c>
      <c r="B246" s="1" t="s">
        <v>1595</v>
      </c>
      <c r="C246" s="1" t="s">
        <v>24</v>
      </c>
      <c r="D246">
        <v>-9.9170499999999997</v>
      </c>
      <c r="E246">
        <v>22.918887000000002</v>
      </c>
      <c r="F246" s="1" t="s">
        <v>1504</v>
      </c>
      <c r="G246" s="1" t="s">
        <v>1505</v>
      </c>
    </row>
    <row r="247" spans="1:7" x14ac:dyDescent="0.25">
      <c r="A247" s="1" t="s">
        <v>1576</v>
      </c>
      <c r="B247" s="1" t="s">
        <v>1437</v>
      </c>
      <c r="C247" s="1" t="s">
        <v>26</v>
      </c>
      <c r="D247">
        <v>-7.3952039999999997</v>
      </c>
      <c r="E247">
        <v>21.651043999999999</v>
      </c>
      <c r="F247" s="1" t="s">
        <v>1504</v>
      </c>
      <c r="G247" s="1" t="s">
        <v>1505</v>
      </c>
    </row>
    <row r="248" spans="1:7" x14ac:dyDescent="0.25">
      <c r="A248" s="1" t="s">
        <v>1576</v>
      </c>
      <c r="B248" s="1" t="s">
        <v>959</v>
      </c>
      <c r="C248" s="1" t="s">
        <v>73</v>
      </c>
      <c r="D248">
        <v>3.0603760000000002</v>
      </c>
      <c r="E248">
        <v>19.708034000000001</v>
      </c>
      <c r="F248" s="1" t="s">
        <v>1506</v>
      </c>
      <c r="G248" s="1" t="s">
        <v>1507</v>
      </c>
    </row>
    <row r="249" spans="1:7" x14ac:dyDescent="0.25">
      <c r="A249" s="1" t="s">
        <v>1576</v>
      </c>
      <c r="B249" s="1" t="s">
        <v>1596</v>
      </c>
      <c r="C249" s="1" t="s">
        <v>44</v>
      </c>
      <c r="D249">
        <v>-3.269612</v>
      </c>
      <c r="E249">
        <v>25.571189</v>
      </c>
      <c r="F249" s="1" t="s">
        <v>1501</v>
      </c>
      <c r="G249" s="1" t="s">
        <v>1502</v>
      </c>
    </row>
    <row r="250" spans="1:7" x14ac:dyDescent="0.25">
      <c r="A250" s="1" t="s">
        <v>1576</v>
      </c>
      <c r="B250" s="1" t="s">
        <v>1597</v>
      </c>
      <c r="C250" s="1" t="s">
        <v>1675</v>
      </c>
      <c r="D250">
        <v>-12.086929</v>
      </c>
      <c r="E250">
        <v>14.032645</v>
      </c>
      <c r="F250" s="1" t="s">
        <v>1506</v>
      </c>
      <c r="G250" s="1" t="s">
        <v>1507</v>
      </c>
    </row>
    <row r="251" spans="1:7" x14ac:dyDescent="0.25">
      <c r="A251" s="1" t="s">
        <v>1598</v>
      </c>
      <c r="B251" s="1" t="s">
        <v>870</v>
      </c>
      <c r="C251" s="1" t="s">
        <v>40</v>
      </c>
      <c r="D251">
        <v>-10.963041</v>
      </c>
      <c r="E251">
        <v>12.269857</v>
      </c>
      <c r="F251" s="1" t="s">
        <v>1504</v>
      </c>
      <c r="G251" s="1" t="s">
        <v>1505</v>
      </c>
    </row>
    <row r="252" spans="1:7" x14ac:dyDescent="0.25">
      <c r="A252" s="1" t="s">
        <v>1598</v>
      </c>
      <c r="B252" s="1" t="s">
        <v>1599</v>
      </c>
      <c r="C252" s="1" t="s">
        <v>16</v>
      </c>
      <c r="D252">
        <v>-4.332408</v>
      </c>
      <c r="E252">
        <v>14.119439</v>
      </c>
      <c r="F252" s="1" t="s">
        <v>1501</v>
      </c>
      <c r="G252" s="1" t="s">
        <v>1514</v>
      </c>
    </row>
    <row r="253" spans="1:7" x14ac:dyDescent="0.25">
      <c r="A253" s="1" t="s">
        <v>1598</v>
      </c>
      <c r="B253" s="1" t="s">
        <v>1318</v>
      </c>
      <c r="C253" s="1" t="s">
        <v>64</v>
      </c>
      <c r="D253">
        <v>-0.57104900000000003</v>
      </c>
      <c r="E253">
        <v>15.317663</v>
      </c>
      <c r="F253" s="1" t="s">
        <v>1501</v>
      </c>
      <c r="G253" s="1" t="s">
        <v>1514</v>
      </c>
    </row>
    <row r="254" spans="1:7" x14ac:dyDescent="0.25">
      <c r="A254" s="1" t="s">
        <v>1598</v>
      </c>
      <c r="B254" s="1" t="s">
        <v>985</v>
      </c>
      <c r="C254" s="1" t="s">
        <v>44</v>
      </c>
      <c r="D254">
        <v>-10.442425</v>
      </c>
      <c r="E254">
        <v>23.243632000000002</v>
      </c>
      <c r="F254" s="1" t="s">
        <v>1504</v>
      </c>
      <c r="G254" s="1" t="s">
        <v>1514</v>
      </c>
    </row>
    <row r="255" spans="1:7" x14ac:dyDescent="0.25">
      <c r="A255" s="1" t="s">
        <v>1598</v>
      </c>
      <c r="B255" s="1" t="s">
        <v>1106</v>
      </c>
      <c r="C255" s="1" t="s">
        <v>18</v>
      </c>
      <c r="D255">
        <v>0.16327700000000001</v>
      </c>
      <c r="E255">
        <v>14.871577</v>
      </c>
      <c r="F255" s="1" t="s">
        <v>1504</v>
      </c>
      <c r="G255" s="1" t="s">
        <v>1505</v>
      </c>
    </row>
    <row r="256" spans="1:7" x14ac:dyDescent="0.25">
      <c r="A256" s="1" t="s">
        <v>1598</v>
      </c>
      <c r="B256" s="1" t="s">
        <v>1600</v>
      </c>
      <c r="C256" s="1" t="s">
        <v>26</v>
      </c>
      <c r="D256">
        <v>4.7044240000000004</v>
      </c>
      <c r="E256">
        <v>20.486409999999999</v>
      </c>
      <c r="F256" s="1" t="s">
        <v>1504</v>
      </c>
      <c r="G256" s="1" t="s">
        <v>1507</v>
      </c>
    </row>
    <row r="257" spans="1:7" x14ac:dyDescent="0.25">
      <c r="A257" s="1" t="s">
        <v>1598</v>
      </c>
      <c r="B257" s="1" t="s">
        <v>1601</v>
      </c>
      <c r="C257" s="1" t="s">
        <v>13</v>
      </c>
      <c r="D257">
        <v>4.7060310000000003</v>
      </c>
      <c r="E257">
        <v>27.348973000000001</v>
      </c>
      <c r="F257" s="1" t="s">
        <v>1504</v>
      </c>
      <c r="G257" s="1" t="s">
        <v>1505</v>
      </c>
    </row>
    <row r="258" spans="1:7" x14ac:dyDescent="0.25">
      <c r="A258" s="1" t="s">
        <v>1598</v>
      </c>
      <c r="B258" s="1" t="s">
        <v>1602</v>
      </c>
      <c r="C258" s="1" t="s">
        <v>10</v>
      </c>
      <c r="D258">
        <v>1.019657</v>
      </c>
      <c r="E258">
        <v>16.963799000000002</v>
      </c>
      <c r="F258" s="1" t="s">
        <v>1506</v>
      </c>
      <c r="G258" s="1" t="s">
        <v>1514</v>
      </c>
    </row>
    <row r="259" spans="1:7" x14ac:dyDescent="0.25">
      <c r="A259" s="1" t="s">
        <v>1598</v>
      </c>
      <c r="B259" s="1" t="s">
        <v>1431</v>
      </c>
      <c r="C259" s="1" t="s">
        <v>44</v>
      </c>
      <c r="D259">
        <v>-4.6311460000000002</v>
      </c>
      <c r="E259">
        <v>25.314723000000001</v>
      </c>
      <c r="F259" s="1" t="s">
        <v>1504</v>
      </c>
      <c r="G259" s="1" t="s">
        <v>1505</v>
      </c>
    </row>
    <row r="260" spans="1:7" x14ac:dyDescent="0.25">
      <c r="A260" s="1" t="s">
        <v>1598</v>
      </c>
      <c r="B260" s="1" t="s">
        <v>1603</v>
      </c>
      <c r="C260" s="1" t="s">
        <v>40</v>
      </c>
      <c r="D260">
        <v>-11.591777</v>
      </c>
      <c r="E260">
        <v>21.213452</v>
      </c>
      <c r="F260" s="1" t="s">
        <v>1501</v>
      </c>
      <c r="G260" s="1" t="s">
        <v>1502</v>
      </c>
    </row>
    <row r="261" spans="1:7" x14ac:dyDescent="0.25">
      <c r="A261" s="1" t="s">
        <v>1598</v>
      </c>
      <c r="B261" s="1" t="s">
        <v>1604</v>
      </c>
      <c r="C261" s="1" t="s">
        <v>44</v>
      </c>
      <c r="D261">
        <v>3.0184790000000001</v>
      </c>
      <c r="E261">
        <v>27.188068000000001</v>
      </c>
      <c r="F261" s="1" t="s">
        <v>1501</v>
      </c>
      <c r="G261" s="1" t="s">
        <v>1502</v>
      </c>
    </row>
    <row r="262" spans="1:7" x14ac:dyDescent="0.25">
      <c r="A262" s="1" t="s">
        <v>1598</v>
      </c>
      <c r="B262" s="1" t="s">
        <v>1249</v>
      </c>
      <c r="C262" s="1" t="s">
        <v>16</v>
      </c>
      <c r="D262">
        <v>-11.407966</v>
      </c>
      <c r="E262">
        <v>28.378274000000001</v>
      </c>
      <c r="F262" s="1" t="s">
        <v>1504</v>
      </c>
      <c r="G262" s="1" t="s">
        <v>1507</v>
      </c>
    </row>
    <row r="263" spans="1:7" x14ac:dyDescent="0.25">
      <c r="A263" s="1" t="s">
        <v>1598</v>
      </c>
      <c r="B263" s="1" t="s">
        <v>1245</v>
      </c>
      <c r="C263" s="1" t="s">
        <v>24</v>
      </c>
      <c r="D263">
        <v>-4.4958720000000003</v>
      </c>
      <c r="E263">
        <v>18.514112000000001</v>
      </c>
      <c r="F263" s="1" t="s">
        <v>1504</v>
      </c>
      <c r="G263" s="1" t="s">
        <v>1514</v>
      </c>
    </row>
    <row r="264" spans="1:7" x14ac:dyDescent="0.25">
      <c r="A264" s="1" t="s">
        <v>1598</v>
      </c>
      <c r="B264" s="1" t="s">
        <v>1605</v>
      </c>
      <c r="C264" s="1" t="s">
        <v>10</v>
      </c>
      <c r="D264">
        <v>0.35034999999999999</v>
      </c>
      <c r="E264">
        <v>13.603628</v>
      </c>
      <c r="F264" s="1" t="s">
        <v>1501</v>
      </c>
      <c r="G264" s="1" t="s">
        <v>1507</v>
      </c>
    </row>
    <row r="265" spans="1:7" x14ac:dyDescent="0.25">
      <c r="A265" s="1" t="s">
        <v>1598</v>
      </c>
      <c r="B265" s="1" t="s">
        <v>1606</v>
      </c>
      <c r="C265" s="1" t="s">
        <v>127</v>
      </c>
      <c r="D265">
        <v>4.2873989999999997</v>
      </c>
      <c r="E265">
        <v>14.756335</v>
      </c>
      <c r="F265" s="1" t="s">
        <v>1501</v>
      </c>
      <c r="G265" s="1" t="s">
        <v>1502</v>
      </c>
    </row>
    <row r="266" spans="1:7" x14ac:dyDescent="0.25">
      <c r="A266" s="1" t="s">
        <v>1598</v>
      </c>
      <c r="B266" s="1" t="s">
        <v>1099</v>
      </c>
      <c r="C266" s="1" t="s">
        <v>24</v>
      </c>
      <c r="D266">
        <v>-11.594525000000001</v>
      </c>
      <c r="E266">
        <v>29.744895</v>
      </c>
      <c r="F266" s="1" t="s">
        <v>1506</v>
      </c>
      <c r="G266" s="1" t="s">
        <v>1507</v>
      </c>
    </row>
    <row r="267" spans="1:7" x14ac:dyDescent="0.25">
      <c r="A267" s="1" t="s">
        <v>1598</v>
      </c>
      <c r="B267" s="1" t="s">
        <v>1067</v>
      </c>
      <c r="C267" s="1" t="s">
        <v>37</v>
      </c>
      <c r="D267">
        <v>-1.5936220000000001</v>
      </c>
      <c r="E267">
        <v>14.928856</v>
      </c>
      <c r="F267" s="1" t="s">
        <v>1501</v>
      </c>
      <c r="G267" s="1" t="s">
        <v>1502</v>
      </c>
    </row>
    <row r="268" spans="1:7" x14ac:dyDescent="0.25">
      <c r="A268" s="1" t="s">
        <v>1598</v>
      </c>
      <c r="B268" s="1" t="s">
        <v>1607</v>
      </c>
      <c r="C268" s="1" t="s">
        <v>31</v>
      </c>
      <c r="D268">
        <v>1.3657680000000001</v>
      </c>
      <c r="E268">
        <v>21.423017000000002</v>
      </c>
      <c r="F268" s="1" t="s">
        <v>1501</v>
      </c>
      <c r="G268" s="1" t="s">
        <v>1502</v>
      </c>
    </row>
    <row r="269" spans="1:7" x14ac:dyDescent="0.25">
      <c r="A269" s="1" t="s">
        <v>1598</v>
      </c>
      <c r="B269" s="1" t="s">
        <v>1608</v>
      </c>
      <c r="C269" s="1" t="s">
        <v>10</v>
      </c>
      <c r="D269">
        <v>-7.3750049999999998</v>
      </c>
      <c r="E269">
        <v>30.878126000000002</v>
      </c>
      <c r="F269" s="1" t="s">
        <v>1501</v>
      </c>
      <c r="G269" s="1" t="s">
        <v>1505</v>
      </c>
    </row>
    <row r="270" spans="1:7" x14ac:dyDescent="0.25">
      <c r="A270" s="1" t="s">
        <v>1598</v>
      </c>
      <c r="B270" s="1" t="s">
        <v>1264</v>
      </c>
      <c r="C270" s="1" t="s">
        <v>31</v>
      </c>
      <c r="D270">
        <v>-12.050063</v>
      </c>
      <c r="E270">
        <v>26.636987999999999</v>
      </c>
      <c r="F270" s="1" t="s">
        <v>1506</v>
      </c>
      <c r="G270" s="1" t="s">
        <v>1514</v>
      </c>
    </row>
    <row r="271" spans="1:7" x14ac:dyDescent="0.25">
      <c r="A271" s="1" t="s">
        <v>1598</v>
      </c>
      <c r="B271" s="1" t="s">
        <v>1609</v>
      </c>
      <c r="C271" s="1" t="s">
        <v>1674</v>
      </c>
      <c r="D271">
        <v>-6.8161690000000004</v>
      </c>
      <c r="E271">
        <v>16.521000999999998</v>
      </c>
      <c r="F271" s="1" t="s">
        <v>1501</v>
      </c>
      <c r="G271" s="1" t="s">
        <v>1502</v>
      </c>
    </row>
    <row r="272" spans="1:7" x14ac:dyDescent="0.25">
      <c r="A272" s="1" t="s">
        <v>1598</v>
      </c>
      <c r="B272" s="1" t="s">
        <v>1486</v>
      </c>
      <c r="C272" s="1" t="s">
        <v>127</v>
      </c>
      <c r="D272">
        <v>1.0134879999999999</v>
      </c>
      <c r="E272">
        <v>20.363515</v>
      </c>
      <c r="F272" s="1" t="s">
        <v>1504</v>
      </c>
      <c r="G272" s="1" t="s">
        <v>1514</v>
      </c>
    </row>
    <row r="273" spans="1:7" x14ac:dyDescent="0.25">
      <c r="A273" s="1" t="s">
        <v>1598</v>
      </c>
      <c r="B273" s="1" t="s">
        <v>972</v>
      </c>
      <c r="C273" s="1" t="s">
        <v>73</v>
      </c>
      <c r="D273">
        <v>-4.5603610000000003</v>
      </c>
      <c r="E273">
        <v>24.113918999999999</v>
      </c>
      <c r="F273" s="1" t="s">
        <v>1501</v>
      </c>
      <c r="G273" s="1" t="s">
        <v>1507</v>
      </c>
    </row>
    <row r="274" spans="1:7" x14ac:dyDescent="0.25">
      <c r="A274" s="1" t="s">
        <v>1598</v>
      </c>
      <c r="B274" s="1" t="s">
        <v>1079</v>
      </c>
      <c r="C274" s="1" t="s">
        <v>10</v>
      </c>
      <c r="D274">
        <v>-3.7720639999999999</v>
      </c>
      <c r="E274">
        <v>16.006277999999998</v>
      </c>
      <c r="F274" s="1" t="s">
        <v>1501</v>
      </c>
      <c r="G274" s="1" t="s">
        <v>1507</v>
      </c>
    </row>
    <row r="275" spans="1:7" x14ac:dyDescent="0.25">
      <c r="A275" s="1" t="s">
        <v>1598</v>
      </c>
      <c r="B275" s="1" t="s">
        <v>1610</v>
      </c>
      <c r="C275" s="1" t="s">
        <v>60</v>
      </c>
      <c r="D275">
        <v>-4.5538169999999996</v>
      </c>
      <c r="E275">
        <v>25.952860999999999</v>
      </c>
      <c r="F275" s="1" t="s">
        <v>1506</v>
      </c>
      <c r="G275" s="1" t="s">
        <v>1502</v>
      </c>
    </row>
    <row r="276" spans="1:7" x14ac:dyDescent="0.25">
      <c r="A276" s="1" t="s">
        <v>1598</v>
      </c>
      <c r="B276" s="1" t="s">
        <v>1204</v>
      </c>
      <c r="C276" s="1" t="s">
        <v>127</v>
      </c>
      <c r="D276">
        <v>0.20866199999999999</v>
      </c>
      <c r="E276">
        <v>18.556439000000001</v>
      </c>
      <c r="F276" s="1" t="s">
        <v>1504</v>
      </c>
      <c r="G276" s="1" t="s">
        <v>1514</v>
      </c>
    </row>
    <row r="277" spans="1:7" x14ac:dyDescent="0.25">
      <c r="A277" s="1" t="s">
        <v>1598</v>
      </c>
      <c r="B277" s="1" t="s">
        <v>1195</v>
      </c>
      <c r="C277" s="1" t="s">
        <v>131</v>
      </c>
      <c r="D277">
        <v>-5.42171</v>
      </c>
      <c r="E277">
        <v>24.202960999999998</v>
      </c>
      <c r="F277" s="1" t="s">
        <v>1501</v>
      </c>
      <c r="G277" s="1" t="s">
        <v>1502</v>
      </c>
    </row>
    <row r="278" spans="1:7" x14ac:dyDescent="0.25">
      <c r="A278" s="1" t="s">
        <v>1598</v>
      </c>
      <c r="B278" s="1" t="s">
        <v>1132</v>
      </c>
      <c r="C278" s="1" t="s">
        <v>21</v>
      </c>
      <c r="D278">
        <v>4.2904629999999999</v>
      </c>
      <c r="E278">
        <v>26.354195000000001</v>
      </c>
      <c r="F278" s="1" t="s">
        <v>1506</v>
      </c>
      <c r="G278" s="1" t="s">
        <v>1502</v>
      </c>
    </row>
    <row r="279" spans="1:7" x14ac:dyDescent="0.25">
      <c r="A279" s="1" t="s">
        <v>1598</v>
      </c>
      <c r="B279" s="1" t="s">
        <v>1611</v>
      </c>
      <c r="C279" s="1" t="s">
        <v>1676</v>
      </c>
      <c r="D279">
        <v>1.368018</v>
      </c>
      <c r="E279">
        <v>14.203893000000001</v>
      </c>
      <c r="F279" s="1" t="s">
        <v>1501</v>
      </c>
      <c r="G279" s="1" t="s">
        <v>1505</v>
      </c>
    </row>
    <row r="280" spans="1:7" x14ac:dyDescent="0.25">
      <c r="A280" s="1" t="s">
        <v>1598</v>
      </c>
      <c r="B280" s="1" t="s">
        <v>1612</v>
      </c>
      <c r="C280" s="1" t="s">
        <v>1674</v>
      </c>
      <c r="D280">
        <v>-7.7942479999999996</v>
      </c>
      <c r="E280">
        <v>15.184407999999999</v>
      </c>
      <c r="F280" s="1" t="s">
        <v>1506</v>
      </c>
      <c r="G280" s="1" t="s">
        <v>1507</v>
      </c>
    </row>
    <row r="281" spans="1:7" x14ac:dyDescent="0.25">
      <c r="A281" s="1" t="s">
        <v>1598</v>
      </c>
      <c r="B281" s="1" t="s">
        <v>1283</v>
      </c>
      <c r="C281" s="1" t="s">
        <v>10</v>
      </c>
      <c r="D281">
        <v>-12.364127999999999</v>
      </c>
      <c r="E281">
        <v>19.576150999999999</v>
      </c>
      <c r="F281" s="1" t="s">
        <v>1506</v>
      </c>
      <c r="G281" s="1" t="s">
        <v>1514</v>
      </c>
    </row>
    <row r="282" spans="1:7" x14ac:dyDescent="0.25">
      <c r="A282" s="1" t="s">
        <v>1598</v>
      </c>
      <c r="B282" s="1" t="s">
        <v>1291</v>
      </c>
      <c r="C282" s="1" t="s">
        <v>31</v>
      </c>
      <c r="D282">
        <v>3.611561</v>
      </c>
      <c r="E282">
        <v>17.725974999999998</v>
      </c>
      <c r="F282" s="1" t="s">
        <v>1506</v>
      </c>
      <c r="G282" s="1" t="s">
        <v>1507</v>
      </c>
    </row>
    <row r="283" spans="1:7" x14ac:dyDescent="0.25">
      <c r="A283" s="1" t="s">
        <v>1598</v>
      </c>
      <c r="B283" s="1" t="s">
        <v>1047</v>
      </c>
      <c r="C283" s="1" t="s">
        <v>64</v>
      </c>
      <c r="D283">
        <v>0.48965500000000001</v>
      </c>
      <c r="E283">
        <v>26.176860000000001</v>
      </c>
      <c r="F283" s="1" t="s">
        <v>1504</v>
      </c>
      <c r="G283" s="1" t="s">
        <v>1505</v>
      </c>
    </row>
    <row r="284" spans="1:7" x14ac:dyDescent="0.25">
      <c r="A284" s="1" t="s">
        <v>1598</v>
      </c>
      <c r="B284" s="1" t="s">
        <v>1233</v>
      </c>
      <c r="C284" s="1" t="s">
        <v>89</v>
      </c>
      <c r="D284">
        <v>8.5490999999999998E-2</v>
      </c>
      <c r="E284">
        <v>26.296129000000001</v>
      </c>
      <c r="F284" s="1" t="s">
        <v>1506</v>
      </c>
      <c r="G284" s="1" t="s">
        <v>1507</v>
      </c>
    </row>
    <row r="285" spans="1:7" x14ac:dyDescent="0.25">
      <c r="A285" s="1" t="s">
        <v>1598</v>
      </c>
      <c r="B285" s="1" t="s">
        <v>1199</v>
      </c>
      <c r="C285" s="1" t="s">
        <v>26</v>
      </c>
      <c r="D285">
        <v>-2.8532869999999999</v>
      </c>
      <c r="E285">
        <v>22.117896000000002</v>
      </c>
      <c r="F285" s="1" t="s">
        <v>1501</v>
      </c>
      <c r="G285" s="1" t="s">
        <v>1505</v>
      </c>
    </row>
    <row r="286" spans="1:7" x14ac:dyDescent="0.25">
      <c r="A286" s="1" t="s">
        <v>1598</v>
      </c>
      <c r="B286" s="1" t="s">
        <v>1409</v>
      </c>
      <c r="C286" s="1" t="s">
        <v>18</v>
      </c>
      <c r="D286">
        <v>-11.89448</v>
      </c>
      <c r="E286">
        <v>19.216214999999998</v>
      </c>
      <c r="F286" s="1" t="s">
        <v>1506</v>
      </c>
      <c r="G286" s="1" t="s">
        <v>1507</v>
      </c>
    </row>
    <row r="287" spans="1:7" x14ac:dyDescent="0.25">
      <c r="A287" s="1" t="s">
        <v>1598</v>
      </c>
      <c r="B287" s="1" t="s">
        <v>1176</v>
      </c>
      <c r="C287" s="1" t="s">
        <v>1676</v>
      </c>
      <c r="D287">
        <v>-4.4831099999999999</v>
      </c>
      <c r="E287">
        <v>25.406548000000001</v>
      </c>
      <c r="F287" s="1" t="s">
        <v>1501</v>
      </c>
      <c r="G287" s="1" t="s">
        <v>1514</v>
      </c>
    </row>
    <row r="288" spans="1:7" x14ac:dyDescent="0.25">
      <c r="A288" s="1" t="s">
        <v>1598</v>
      </c>
      <c r="B288" s="1" t="s">
        <v>1149</v>
      </c>
      <c r="C288" s="1" t="s">
        <v>37</v>
      </c>
      <c r="D288">
        <v>-9.9565739999999998</v>
      </c>
      <c r="E288">
        <v>21.017202000000001</v>
      </c>
      <c r="F288" s="1" t="s">
        <v>1504</v>
      </c>
      <c r="G288" s="1" t="s">
        <v>1505</v>
      </c>
    </row>
    <row r="289" spans="1:7" x14ac:dyDescent="0.25">
      <c r="A289" s="1" t="s">
        <v>1598</v>
      </c>
      <c r="B289" s="1" t="s">
        <v>1403</v>
      </c>
      <c r="C289" s="1" t="s">
        <v>73</v>
      </c>
      <c r="D289">
        <v>-12.070842000000001</v>
      </c>
      <c r="E289">
        <v>14.757847</v>
      </c>
      <c r="F289" s="1" t="s">
        <v>1504</v>
      </c>
      <c r="G289" s="1" t="s">
        <v>1507</v>
      </c>
    </row>
    <row r="290" spans="1:7" x14ac:dyDescent="0.25">
      <c r="A290" s="1" t="s">
        <v>1598</v>
      </c>
      <c r="B290" s="1" t="s">
        <v>1346</v>
      </c>
      <c r="C290" s="1" t="s">
        <v>67</v>
      </c>
      <c r="D290">
        <v>4.8265669999999998</v>
      </c>
      <c r="E290">
        <v>28.535277000000001</v>
      </c>
      <c r="F290" s="1" t="s">
        <v>1506</v>
      </c>
      <c r="G290" s="1" t="s">
        <v>1505</v>
      </c>
    </row>
    <row r="291" spans="1:7" x14ac:dyDescent="0.25">
      <c r="A291" s="1" t="s">
        <v>1598</v>
      </c>
      <c r="B291" s="1" t="s">
        <v>1613</v>
      </c>
      <c r="C291" s="1" t="s">
        <v>10</v>
      </c>
      <c r="D291">
        <v>1.5601240000000001</v>
      </c>
      <c r="E291">
        <v>12.225398</v>
      </c>
      <c r="F291" s="1" t="s">
        <v>1501</v>
      </c>
      <c r="G291" s="1" t="s">
        <v>1514</v>
      </c>
    </row>
    <row r="292" spans="1:7" x14ac:dyDescent="0.25">
      <c r="A292" s="1" t="s">
        <v>1598</v>
      </c>
      <c r="B292" s="1" t="s">
        <v>1614</v>
      </c>
      <c r="C292" s="1" t="s">
        <v>60</v>
      </c>
      <c r="D292">
        <v>-1.762294</v>
      </c>
      <c r="E292">
        <v>29.617228000000001</v>
      </c>
      <c r="F292" s="1" t="s">
        <v>1504</v>
      </c>
      <c r="G292" s="1" t="s">
        <v>1507</v>
      </c>
    </row>
    <row r="293" spans="1:7" x14ac:dyDescent="0.25">
      <c r="A293" s="1" t="s">
        <v>1598</v>
      </c>
      <c r="B293" s="1" t="s">
        <v>1451</v>
      </c>
      <c r="C293" s="1" t="s">
        <v>89</v>
      </c>
      <c r="D293">
        <v>-7.8373179999999998</v>
      </c>
      <c r="E293">
        <v>20.527591999999999</v>
      </c>
      <c r="F293" s="1" t="s">
        <v>1504</v>
      </c>
      <c r="G293" s="1" t="s">
        <v>1502</v>
      </c>
    </row>
    <row r="294" spans="1:7" x14ac:dyDescent="0.25">
      <c r="A294" s="1" t="s">
        <v>1598</v>
      </c>
      <c r="B294" s="1" t="s">
        <v>1322</v>
      </c>
      <c r="C294" s="1" t="s">
        <v>21</v>
      </c>
      <c r="D294">
        <v>-11.514817000000001</v>
      </c>
      <c r="E294">
        <v>24.891375</v>
      </c>
      <c r="F294" s="1" t="s">
        <v>1506</v>
      </c>
      <c r="G294" s="1" t="s">
        <v>1514</v>
      </c>
    </row>
    <row r="295" spans="1:7" x14ac:dyDescent="0.25">
      <c r="A295" s="1" t="s">
        <v>1598</v>
      </c>
      <c r="B295" s="1" t="s">
        <v>1615</v>
      </c>
      <c r="C295" s="1" t="s">
        <v>62</v>
      </c>
      <c r="D295">
        <v>-3.89927</v>
      </c>
      <c r="E295">
        <v>30.273492000000001</v>
      </c>
      <c r="F295" s="1" t="s">
        <v>1506</v>
      </c>
      <c r="G295" s="1" t="s">
        <v>1514</v>
      </c>
    </row>
    <row r="296" spans="1:7" x14ac:dyDescent="0.25">
      <c r="A296" s="1" t="s">
        <v>1598</v>
      </c>
      <c r="B296" s="1" t="s">
        <v>1616</v>
      </c>
      <c r="C296" s="1" t="s">
        <v>62</v>
      </c>
      <c r="D296">
        <v>2.3260149999999999</v>
      </c>
      <c r="E296">
        <v>24.97465</v>
      </c>
      <c r="F296" s="1" t="s">
        <v>1506</v>
      </c>
      <c r="G296" s="1" t="s">
        <v>1514</v>
      </c>
    </row>
    <row r="297" spans="1:7" x14ac:dyDescent="0.25">
      <c r="A297" s="1" t="s">
        <v>1598</v>
      </c>
      <c r="B297" s="1" t="s">
        <v>939</v>
      </c>
      <c r="C297" s="1" t="s">
        <v>89</v>
      </c>
      <c r="D297">
        <v>-7.9987219999999999</v>
      </c>
      <c r="E297">
        <v>12.779335</v>
      </c>
      <c r="F297" s="1" t="s">
        <v>1501</v>
      </c>
      <c r="G297" s="1" t="s">
        <v>1514</v>
      </c>
    </row>
    <row r="298" spans="1:7" x14ac:dyDescent="0.25">
      <c r="A298" s="1" t="s">
        <v>1598</v>
      </c>
      <c r="B298" s="1" t="s">
        <v>1617</v>
      </c>
      <c r="C298" s="1" t="s">
        <v>26</v>
      </c>
      <c r="D298">
        <v>-10.614302</v>
      </c>
      <c r="E298">
        <v>29.436530999999999</v>
      </c>
      <c r="F298" s="1" t="s">
        <v>1506</v>
      </c>
      <c r="G298" s="1" t="s">
        <v>1502</v>
      </c>
    </row>
    <row r="299" spans="1:7" x14ac:dyDescent="0.25">
      <c r="A299" s="1" t="s">
        <v>1598</v>
      </c>
      <c r="B299" s="1" t="s">
        <v>1253</v>
      </c>
      <c r="C299" s="1" t="s">
        <v>37</v>
      </c>
      <c r="D299">
        <v>-7.9425049999999997</v>
      </c>
      <c r="E299">
        <v>24.111059000000001</v>
      </c>
      <c r="F299" s="1" t="s">
        <v>1506</v>
      </c>
      <c r="G299" s="1" t="s">
        <v>1507</v>
      </c>
    </row>
    <row r="300" spans="1:7" x14ac:dyDescent="0.25">
      <c r="A300" s="1" t="s">
        <v>1598</v>
      </c>
      <c r="B300" s="1" t="s">
        <v>1232</v>
      </c>
      <c r="C300" s="1" t="s">
        <v>21</v>
      </c>
      <c r="D300">
        <v>2.4414509999999998</v>
      </c>
      <c r="E300">
        <v>30.167489</v>
      </c>
      <c r="F300" s="1" t="s">
        <v>1501</v>
      </c>
      <c r="G300" s="1" t="s">
        <v>1514</v>
      </c>
    </row>
    <row r="301" spans="1:7" x14ac:dyDescent="0.25">
      <c r="A301" s="1" t="s">
        <v>1618</v>
      </c>
      <c r="B301" s="1" t="s">
        <v>909</v>
      </c>
      <c r="C301" s="1" t="s">
        <v>64</v>
      </c>
      <c r="D301">
        <v>-1.339734</v>
      </c>
      <c r="E301">
        <v>15.243098</v>
      </c>
      <c r="F301" s="1" t="s">
        <v>1506</v>
      </c>
      <c r="G301" s="1" t="s">
        <v>1514</v>
      </c>
    </row>
    <row r="302" spans="1:7" x14ac:dyDescent="0.25">
      <c r="A302" s="1" t="s">
        <v>1618</v>
      </c>
      <c r="B302" s="1" t="s">
        <v>1209</v>
      </c>
      <c r="C302" s="1" t="s">
        <v>62</v>
      </c>
      <c r="D302">
        <v>-9.8208710000000004</v>
      </c>
      <c r="E302">
        <v>23.229807000000001</v>
      </c>
      <c r="F302" s="1" t="s">
        <v>1501</v>
      </c>
      <c r="G302" s="1" t="s">
        <v>1514</v>
      </c>
    </row>
    <row r="303" spans="1:7" x14ac:dyDescent="0.25">
      <c r="A303" s="1" t="s">
        <v>1618</v>
      </c>
      <c r="B303" s="1" t="s">
        <v>1065</v>
      </c>
      <c r="C303" s="1" t="s">
        <v>13</v>
      </c>
      <c r="D303">
        <v>-12.292039000000001</v>
      </c>
      <c r="E303">
        <v>27.538202999999999</v>
      </c>
      <c r="F303" s="1" t="s">
        <v>1506</v>
      </c>
      <c r="G303" s="1" t="s">
        <v>1505</v>
      </c>
    </row>
    <row r="304" spans="1:7" x14ac:dyDescent="0.25">
      <c r="A304" s="1" t="s">
        <v>1618</v>
      </c>
      <c r="B304" s="1" t="s">
        <v>1619</v>
      </c>
      <c r="C304" s="1" t="s">
        <v>131</v>
      </c>
      <c r="D304">
        <v>-6.0850540000000004</v>
      </c>
      <c r="E304">
        <v>14.020293000000001</v>
      </c>
      <c r="F304" s="1" t="s">
        <v>1501</v>
      </c>
      <c r="G304" s="1" t="s">
        <v>1505</v>
      </c>
    </row>
    <row r="305" spans="1:7" x14ac:dyDescent="0.25">
      <c r="A305" s="1" t="s">
        <v>1618</v>
      </c>
      <c r="B305" s="1" t="s">
        <v>1363</v>
      </c>
      <c r="C305" s="1" t="s">
        <v>67</v>
      </c>
      <c r="D305">
        <v>-9.5619429999999994</v>
      </c>
      <c r="E305">
        <v>21.445726000000001</v>
      </c>
      <c r="F305" s="1" t="s">
        <v>1504</v>
      </c>
      <c r="G305" s="1" t="s">
        <v>1514</v>
      </c>
    </row>
    <row r="306" spans="1:7" x14ac:dyDescent="0.25">
      <c r="A306" s="1" t="s">
        <v>1618</v>
      </c>
      <c r="B306" s="1" t="s">
        <v>1246</v>
      </c>
      <c r="C306" s="1" t="s">
        <v>44</v>
      </c>
      <c r="D306">
        <v>-0.47411900000000001</v>
      </c>
      <c r="E306">
        <v>27.184329000000002</v>
      </c>
      <c r="F306" s="1" t="s">
        <v>1501</v>
      </c>
      <c r="G306" s="1" t="s">
        <v>1507</v>
      </c>
    </row>
    <row r="307" spans="1:7" x14ac:dyDescent="0.25">
      <c r="A307" s="1" t="s">
        <v>1618</v>
      </c>
      <c r="B307" s="1" t="s">
        <v>864</v>
      </c>
      <c r="C307" s="1" t="s">
        <v>37</v>
      </c>
      <c r="D307">
        <v>3.1362930000000002</v>
      </c>
      <c r="E307">
        <v>16.190878000000001</v>
      </c>
      <c r="F307" s="1" t="s">
        <v>1506</v>
      </c>
      <c r="G307" s="1" t="s">
        <v>1514</v>
      </c>
    </row>
    <row r="308" spans="1:7" x14ac:dyDescent="0.25">
      <c r="A308" s="1" t="s">
        <v>1618</v>
      </c>
      <c r="B308" s="1" t="s">
        <v>1263</v>
      </c>
      <c r="C308" s="1" t="s">
        <v>78</v>
      </c>
      <c r="D308">
        <v>-1.6488929999999999</v>
      </c>
      <c r="E308">
        <v>27.284617000000001</v>
      </c>
      <c r="F308" s="1" t="s">
        <v>1501</v>
      </c>
      <c r="G308" s="1" t="s">
        <v>1514</v>
      </c>
    </row>
    <row r="309" spans="1:7" x14ac:dyDescent="0.25">
      <c r="A309" s="1" t="s">
        <v>1618</v>
      </c>
      <c r="B309" s="1" t="s">
        <v>1216</v>
      </c>
      <c r="C309" s="1" t="s">
        <v>131</v>
      </c>
      <c r="D309">
        <v>-6.5332999999999997</v>
      </c>
      <c r="E309">
        <v>20.098018</v>
      </c>
      <c r="F309" s="1" t="s">
        <v>1504</v>
      </c>
      <c r="G309" s="1" t="s">
        <v>1505</v>
      </c>
    </row>
    <row r="310" spans="1:7" x14ac:dyDescent="0.25">
      <c r="A310" s="1" t="s">
        <v>1618</v>
      </c>
      <c r="B310" s="1" t="s">
        <v>1620</v>
      </c>
      <c r="C310" s="1" t="s">
        <v>89</v>
      </c>
      <c r="D310">
        <v>-11.472474999999999</v>
      </c>
      <c r="E310">
        <v>27.418900000000001</v>
      </c>
      <c r="F310" s="1" t="s">
        <v>1504</v>
      </c>
      <c r="G310" s="1" t="s">
        <v>1507</v>
      </c>
    </row>
    <row r="311" spans="1:7" x14ac:dyDescent="0.25">
      <c r="A311" s="1" t="s">
        <v>1618</v>
      </c>
      <c r="B311" s="1" t="s">
        <v>940</v>
      </c>
      <c r="C311" s="1" t="s">
        <v>64</v>
      </c>
      <c r="D311">
        <v>-1.6097570000000001</v>
      </c>
      <c r="E311">
        <v>30.661662</v>
      </c>
      <c r="F311" s="1" t="s">
        <v>1504</v>
      </c>
      <c r="G311" s="1" t="s">
        <v>1502</v>
      </c>
    </row>
    <row r="312" spans="1:7" x14ac:dyDescent="0.25">
      <c r="A312" s="1" t="s">
        <v>1618</v>
      </c>
      <c r="B312" s="1" t="s">
        <v>834</v>
      </c>
      <c r="C312" s="1" t="s">
        <v>73</v>
      </c>
      <c r="D312">
        <v>0.23583499999999999</v>
      </c>
      <c r="E312">
        <v>24.889558999999998</v>
      </c>
      <c r="F312" s="1" t="s">
        <v>1506</v>
      </c>
      <c r="G312" s="1" t="s">
        <v>1507</v>
      </c>
    </row>
    <row r="313" spans="1:7" x14ac:dyDescent="0.25">
      <c r="A313" s="1" t="s">
        <v>1618</v>
      </c>
      <c r="B313" s="1" t="s">
        <v>999</v>
      </c>
      <c r="C313" s="1" t="s">
        <v>37</v>
      </c>
      <c r="D313">
        <v>-10.481026999999999</v>
      </c>
      <c r="E313">
        <v>18.160464000000001</v>
      </c>
      <c r="F313" s="1" t="s">
        <v>1501</v>
      </c>
      <c r="G313" s="1" t="s">
        <v>1505</v>
      </c>
    </row>
    <row r="314" spans="1:7" x14ac:dyDescent="0.25">
      <c r="A314" s="1" t="s">
        <v>1618</v>
      </c>
      <c r="B314" s="1" t="s">
        <v>990</v>
      </c>
      <c r="C314" s="1" t="s">
        <v>137</v>
      </c>
      <c r="D314">
        <v>-9.5243310000000001</v>
      </c>
      <c r="E314">
        <v>30.541212000000002</v>
      </c>
      <c r="F314" s="1" t="s">
        <v>1506</v>
      </c>
      <c r="G314" s="1" t="s">
        <v>1502</v>
      </c>
    </row>
    <row r="315" spans="1:7" x14ac:dyDescent="0.25">
      <c r="A315" s="1" t="s">
        <v>1618</v>
      </c>
      <c r="B315" s="1" t="s">
        <v>891</v>
      </c>
      <c r="C315" s="1" t="s">
        <v>26</v>
      </c>
      <c r="D315">
        <v>-4.4697000000000001E-2</v>
      </c>
      <c r="E315">
        <v>22.943373000000001</v>
      </c>
      <c r="F315" s="1" t="s">
        <v>1506</v>
      </c>
      <c r="G315" s="1" t="s">
        <v>1505</v>
      </c>
    </row>
    <row r="316" spans="1:7" x14ac:dyDescent="0.25">
      <c r="A316" s="1" t="s">
        <v>1618</v>
      </c>
      <c r="B316" s="1" t="s">
        <v>1440</v>
      </c>
      <c r="C316" s="1" t="s">
        <v>26</v>
      </c>
      <c r="D316">
        <v>-2.3269820000000001</v>
      </c>
      <c r="E316">
        <v>14.609259</v>
      </c>
      <c r="F316" s="1" t="s">
        <v>1506</v>
      </c>
      <c r="G316" s="1" t="s">
        <v>1514</v>
      </c>
    </row>
    <row r="317" spans="1:7" x14ac:dyDescent="0.25">
      <c r="A317" s="1" t="s">
        <v>1618</v>
      </c>
      <c r="B317" s="1" t="s">
        <v>1621</v>
      </c>
      <c r="C317" s="1" t="s">
        <v>10</v>
      </c>
      <c r="D317">
        <v>-4.1938139999999997</v>
      </c>
      <c r="E317">
        <v>27.892115</v>
      </c>
      <c r="F317" s="1" t="s">
        <v>1501</v>
      </c>
      <c r="G317" s="1" t="s">
        <v>1502</v>
      </c>
    </row>
    <row r="318" spans="1:7" x14ac:dyDescent="0.25">
      <c r="A318" s="1" t="s">
        <v>1618</v>
      </c>
      <c r="B318" s="1" t="s">
        <v>852</v>
      </c>
      <c r="C318" s="1" t="s">
        <v>131</v>
      </c>
      <c r="D318">
        <v>-11.866133</v>
      </c>
      <c r="E318">
        <v>27.068932</v>
      </c>
      <c r="F318" s="1" t="s">
        <v>1506</v>
      </c>
      <c r="G318" s="1" t="s">
        <v>1505</v>
      </c>
    </row>
    <row r="319" spans="1:7" x14ac:dyDescent="0.25">
      <c r="A319" s="1" t="s">
        <v>1618</v>
      </c>
      <c r="B319" s="1" t="s">
        <v>1622</v>
      </c>
      <c r="C319" s="1" t="s">
        <v>18</v>
      </c>
      <c r="D319">
        <v>-3.2700629999999999</v>
      </c>
      <c r="E319">
        <v>26.520330000000001</v>
      </c>
      <c r="F319" s="1" t="s">
        <v>1501</v>
      </c>
      <c r="G319" s="1" t="s">
        <v>1514</v>
      </c>
    </row>
    <row r="320" spans="1:7" x14ac:dyDescent="0.25">
      <c r="A320" s="1" t="s">
        <v>1618</v>
      </c>
      <c r="B320" s="1" t="s">
        <v>898</v>
      </c>
      <c r="C320" s="1" t="s">
        <v>137</v>
      </c>
      <c r="D320">
        <v>-7.4608439999999998</v>
      </c>
      <c r="E320">
        <v>23.268619999999999</v>
      </c>
      <c r="F320" s="1" t="s">
        <v>1504</v>
      </c>
      <c r="G320" s="1" t="s">
        <v>1505</v>
      </c>
    </row>
    <row r="321" spans="1:7" x14ac:dyDescent="0.25">
      <c r="A321" s="1" t="s">
        <v>1618</v>
      </c>
      <c r="B321" s="1" t="s">
        <v>950</v>
      </c>
      <c r="C321" s="1" t="s">
        <v>24</v>
      </c>
      <c r="D321">
        <v>-3.3890790000000002</v>
      </c>
      <c r="E321">
        <v>18.374571</v>
      </c>
      <c r="F321" s="1" t="s">
        <v>1501</v>
      </c>
      <c r="G321" s="1" t="s">
        <v>1507</v>
      </c>
    </row>
    <row r="322" spans="1:7" x14ac:dyDescent="0.25">
      <c r="A322" s="1" t="s">
        <v>1618</v>
      </c>
      <c r="B322" s="1" t="s">
        <v>1057</v>
      </c>
      <c r="C322" s="1" t="s">
        <v>24</v>
      </c>
      <c r="D322">
        <v>2.016505</v>
      </c>
      <c r="E322">
        <v>14.294164</v>
      </c>
      <c r="F322" s="1" t="s">
        <v>1501</v>
      </c>
      <c r="G322" s="1" t="s">
        <v>1505</v>
      </c>
    </row>
    <row r="323" spans="1:7" x14ac:dyDescent="0.25">
      <c r="A323" s="1" t="s">
        <v>1618</v>
      </c>
      <c r="B323" s="1" t="s">
        <v>1623</v>
      </c>
      <c r="C323" s="1" t="s">
        <v>40</v>
      </c>
      <c r="D323">
        <v>-4.9124689999999998</v>
      </c>
      <c r="E323">
        <v>14.683498999999999</v>
      </c>
      <c r="F323" s="1" t="s">
        <v>1506</v>
      </c>
      <c r="G323" s="1" t="s">
        <v>1507</v>
      </c>
    </row>
    <row r="324" spans="1:7" x14ac:dyDescent="0.25">
      <c r="A324" s="1" t="s">
        <v>1618</v>
      </c>
      <c r="B324" s="1" t="s">
        <v>847</v>
      </c>
      <c r="C324" s="1" t="s">
        <v>60</v>
      </c>
      <c r="D324">
        <v>4.9250049999999996</v>
      </c>
      <c r="E324">
        <v>19.887931999999999</v>
      </c>
      <c r="F324" s="1" t="s">
        <v>1504</v>
      </c>
      <c r="G324" s="1" t="s">
        <v>1505</v>
      </c>
    </row>
    <row r="325" spans="1:7" x14ac:dyDescent="0.25">
      <c r="A325" s="1" t="s">
        <v>1618</v>
      </c>
      <c r="B325" s="1" t="s">
        <v>933</v>
      </c>
      <c r="C325" s="1" t="s">
        <v>1676</v>
      </c>
      <c r="D325">
        <v>-12.333232000000001</v>
      </c>
      <c r="E325">
        <v>25.229620000000001</v>
      </c>
      <c r="F325" s="1" t="s">
        <v>1501</v>
      </c>
      <c r="G325" s="1" t="s">
        <v>1514</v>
      </c>
    </row>
    <row r="326" spans="1:7" x14ac:dyDescent="0.25">
      <c r="A326" s="1" t="s">
        <v>1618</v>
      </c>
      <c r="B326" s="1" t="s">
        <v>971</v>
      </c>
      <c r="C326" s="1" t="s">
        <v>64</v>
      </c>
      <c r="D326">
        <v>-11.991020000000001</v>
      </c>
      <c r="E326">
        <v>22.514747</v>
      </c>
      <c r="F326" s="1" t="s">
        <v>1501</v>
      </c>
      <c r="G326" s="1" t="s">
        <v>1507</v>
      </c>
    </row>
    <row r="327" spans="1:7" x14ac:dyDescent="0.25">
      <c r="A327" s="1" t="s">
        <v>1618</v>
      </c>
      <c r="B327" s="1" t="s">
        <v>1624</v>
      </c>
      <c r="C327" s="1" t="s">
        <v>131</v>
      </c>
      <c r="D327">
        <v>1.1800139999999999</v>
      </c>
      <c r="E327">
        <v>20.334562999999999</v>
      </c>
      <c r="F327" s="1" t="s">
        <v>1506</v>
      </c>
      <c r="G327" s="1" t="s">
        <v>1507</v>
      </c>
    </row>
    <row r="328" spans="1:7" x14ac:dyDescent="0.25">
      <c r="A328" s="1" t="s">
        <v>1618</v>
      </c>
      <c r="B328" s="1" t="s">
        <v>1117</v>
      </c>
      <c r="C328" s="1" t="s">
        <v>37</v>
      </c>
      <c r="D328">
        <v>-12.229338</v>
      </c>
      <c r="E328">
        <v>29.587834999999998</v>
      </c>
      <c r="F328" s="1" t="s">
        <v>1504</v>
      </c>
      <c r="G328" s="1" t="s">
        <v>1514</v>
      </c>
    </row>
    <row r="329" spans="1:7" x14ac:dyDescent="0.25">
      <c r="A329" s="1" t="s">
        <v>1618</v>
      </c>
      <c r="B329" s="1" t="s">
        <v>984</v>
      </c>
      <c r="C329" s="1" t="s">
        <v>137</v>
      </c>
      <c r="D329">
        <v>-10.872631999999999</v>
      </c>
      <c r="E329">
        <v>12.773279</v>
      </c>
      <c r="F329" s="1" t="s">
        <v>1506</v>
      </c>
      <c r="G329" s="1" t="s">
        <v>1507</v>
      </c>
    </row>
    <row r="330" spans="1:7" x14ac:dyDescent="0.25">
      <c r="A330" s="1" t="s">
        <v>1618</v>
      </c>
      <c r="B330" s="1" t="s">
        <v>996</v>
      </c>
      <c r="C330" s="1" t="s">
        <v>26</v>
      </c>
      <c r="D330">
        <v>1.5278670000000001</v>
      </c>
      <c r="E330">
        <v>13.899388999999999</v>
      </c>
      <c r="F330" s="1" t="s">
        <v>1506</v>
      </c>
      <c r="G330" s="1" t="s">
        <v>1505</v>
      </c>
    </row>
    <row r="331" spans="1:7" x14ac:dyDescent="0.25">
      <c r="A331" s="1" t="s">
        <v>1618</v>
      </c>
      <c r="B331" s="1" t="s">
        <v>1135</v>
      </c>
      <c r="C331" s="1" t="s">
        <v>51</v>
      </c>
      <c r="D331">
        <v>-0.98830399999999996</v>
      </c>
      <c r="E331">
        <v>28.099966999999999</v>
      </c>
      <c r="F331" s="1" t="s">
        <v>1506</v>
      </c>
      <c r="G331" s="1" t="s">
        <v>1505</v>
      </c>
    </row>
    <row r="332" spans="1:7" x14ac:dyDescent="0.25">
      <c r="A332" s="1" t="s">
        <v>1618</v>
      </c>
      <c r="B332" s="1" t="s">
        <v>1625</v>
      </c>
      <c r="C332" s="1" t="s">
        <v>89</v>
      </c>
      <c r="D332">
        <v>-4.749333</v>
      </c>
      <c r="E332">
        <v>23.636389000000001</v>
      </c>
      <c r="F332" s="1" t="s">
        <v>1506</v>
      </c>
      <c r="G332" s="1" t="s">
        <v>1507</v>
      </c>
    </row>
    <row r="333" spans="1:7" x14ac:dyDescent="0.25">
      <c r="A333" s="1" t="s">
        <v>1618</v>
      </c>
      <c r="B333" s="1" t="s">
        <v>1196</v>
      </c>
      <c r="C333" s="1" t="s">
        <v>60</v>
      </c>
      <c r="D333">
        <v>-0.79459900000000006</v>
      </c>
      <c r="E333">
        <v>26.775570999999999</v>
      </c>
      <c r="F333" s="1" t="s">
        <v>1501</v>
      </c>
      <c r="G333" s="1" t="s">
        <v>1505</v>
      </c>
    </row>
    <row r="334" spans="1:7" x14ac:dyDescent="0.25">
      <c r="A334" s="1" t="s">
        <v>1618</v>
      </c>
      <c r="B334" s="1" t="s">
        <v>1626</v>
      </c>
      <c r="C334" s="1" t="s">
        <v>21</v>
      </c>
      <c r="D334">
        <v>2.7365970000000002</v>
      </c>
      <c r="E334">
        <v>12.296976000000001</v>
      </c>
      <c r="F334" s="1" t="s">
        <v>1504</v>
      </c>
      <c r="G334" s="1" t="s">
        <v>1507</v>
      </c>
    </row>
    <row r="335" spans="1:7" x14ac:dyDescent="0.25">
      <c r="A335" s="1" t="s">
        <v>1618</v>
      </c>
      <c r="B335" s="1" t="s">
        <v>1448</v>
      </c>
      <c r="C335" s="1" t="s">
        <v>78</v>
      </c>
      <c r="D335">
        <v>-10.318835</v>
      </c>
      <c r="E335">
        <v>21.252382000000001</v>
      </c>
      <c r="F335" s="1" t="s">
        <v>1504</v>
      </c>
      <c r="G335" s="1" t="s">
        <v>1502</v>
      </c>
    </row>
    <row r="336" spans="1:7" x14ac:dyDescent="0.25">
      <c r="A336" s="1" t="s">
        <v>1618</v>
      </c>
      <c r="B336" s="1" t="s">
        <v>1089</v>
      </c>
      <c r="C336" s="1" t="s">
        <v>13</v>
      </c>
      <c r="D336">
        <v>-2.571777</v>
      </c>
      <c r="E336">
        <v>12.120642</v>
      </c>
      <c r="F336" s="1" t="s">
        <v>1506</v>
      </c>
      <c r="G336" s="1" t="s">
        <v>1505</v>
      </c>
    </row>
    <row r="337" spans="1:7" x14ac:dyDescent="0.25">
      <c r="A337" s="1" t="s">
        <v>1618</v>
      </c>
      <c r="B337" s="1" t="s">
        <v>1627</v>
      </c>
      <c r="C337" s="1" t="s">
        <v>35</v>
      </c>
      <c r="D337">
        <v>3.6466850000000002</v>
      </c>
      <c r="E337">
        <v>15.408844</v>
      </c>
      <c r="F337" s="1" t="s">
        <v>1506</v>
      </c>
      <c r="G337" s="1" t="s">
        <v>1507</v>
      </c>
    </row>
    <row r="338" spans="1:7" x14ac:dyDescent="0.25">
      <c r="A338" s="1" t="s">
        <v>1618</v>
      </c>
      <c r="B338" s="1" t="s">
        <v>974</v>
      </c>
      <c r="C338" s="1" t="s">
        <v>131</v>
      </c>
      <c r="D338">
        <v>-12.336202</v>
      </c>
      <c r="E338">
        <v>13.693683999999999</v>
      </c>
      <c r="F338" s="1" t="s">
        <v>1501</v>
      </c>
      <c r="G338" s="1" t="s">
        <v>1505</v>
      </c>
    </row>
    <row r="339" spans="1:7" x14ac:dyDescent="0.25">
      <c r="A339" s="1" t="s">
        <v>1618</v>
      </c>
      <c r="B339" s="1" t="s">
        <v>1628</v>
      </c>
      <c r="C339" s="1" t="s">
        <v>62</v>
      </c>
      <c r="D339">
        <v>-10.451371</v>
      </c>
      <c r="E339">
        <v>24.38336</v>
      </c>
      <c r="F339" s="1" t="s">
        <v>1506</v>
      </c>
      <c r="G339" s="1" t="s">
        <v>1502</v>
      </c>
    </row>
    <row r="340" spans="1:7" x14ac:dyDescent="0.25">
      <c r="A340" s="1" t="s">
        <v>1618</v>
      </c>
      <c r="B340" s="1" t="s">
        <v>1120</v>
      </c>
      <c r="C340" s="1" t="s">
        <v>16</v>
      </c>
      <c r="D340">
        <v>-1.231033</v>
      </c>
      <c r="E340">
        <v>28.851388</v>
      </c>
      <c r="F340" s="1" t="s">
        <v>1506</v>
      </c>
      <c r="G340" s="1" t="s">
        <v>1502</v>
      </c>
    </row>
    <row r="341" spans="1:7" x14ac:dyDescent="0.25">
      <c r="A341" s="1" t="s">
        <v>1618</v>
      </c>
      <c r="B341" s="1" t="s">
        <v>1629</v>
      </c>
      <c r="C341" s="1" t="s">
        <v>16</v>
      </c>
      <c r="D341">
        <v>-4.5180470000000001</v>
      </c>
      <c r="E341">
        <v>19.908223</v>
      </c>
      <c r="F341" s="1" t="s">
        <v>1501</v>
      </c>
      <c r="G341" s="1" t="s">
        <v>1505</v>
      </c>
    </row>
    <row r="342" spans="1:7" x14ac:dyDescent="0.25">
      <c r="A342" s="1" t="s">
        <v>1618</v>
      </c>
      <c r="B342" s="1" t="s">
        <v>1630</v>
      </c>
      <c r="C342" s="1" t="s">
        <v>40</v>
      </c>
      <c r="D342">
        <v>3.524343</v>
      </c>
      <c r="E342">
        <v>27.340824000000001</v>
      </c>
      <c r="F342" s="1" t="s">
        <v>1504</v>
      </c>
      <c r="G342" s="1" t="s">
        <v>1502</v>
      </c>
    </row>
    <row r="343" spans="1:7" x14ac:dyDescent="0.25">
      <c r="A343" s="1" t="s">
        <v>1618</v>
      </c>
      <c r="B343" s="1" t="s">
        <v>1631</v>
      </c>
      <c r="C343" s="1" t="s">
        <v>21</v>
      </c>
      <c r="D343">
        <v>-12.17557</v>
      </c>
      <c r="E343">
        <v>26.678691000000001</v>
      </c>
      <c r="F343" s="1" t="s">
        <v>1504</v>
      </c>
      <c r="G343" s="1" t="s">
        <v>1505</v>
      </c>
    </row>
    <row r="344" spans="1:7" x14ac:dyDescent="0.25">
      <c r="A344" s="1" t="s">
        <v>1618</v>
      </c>
      <c r="B344" s="1" t="s">
        <v>1006</v>
      </c>
      <c r="C344" s="1" t="s">
        <v>60</v>
      </c>
      <c r="D344">
        <v>-0.37665700000000002</v>
      </c>
      <c r="E344">
        <v>25.154807999999999</v>
      </c>
      <c r="F344" s="1" t="s">
        <v>1506</v>
      </c>
      <c r="G344" s="1" t="s">
        <v>1514</v>
      </c>
    </row>
    <row r="345" spans="1:7" x14ac:dyDescent="0.25">
      <c r="A345" s="1" t="s">
        <v>1618</v>
      </c>
      <c r="B345" s="1" t="s">
        <v>1442</v>
      </c>
      <c r="C345" s="1" t="s">
        <v>78</v>
      </c>
      <c r="D345">
        <v>-10.650321</v>
      </c>
      <c r="E345">
        <v>15.917044000000001</v>
      </c>
      <c r="F345" s="1" t="s">
        <v>1504</v>
      </c>
      <c r="G345" s="1" t="s">
        <v>1514</v>
      </c>
    </row>
    <row r="346" spans="1:7" x14ac:dyDescent="0.25">
      <c r="A346" s="1" t="s">
        <v>1618</v>
      </c>
      <c r="B346" s="1" t="s">
        <v>1632</v>
      </c>
      <c r="C346" s="1" t="s">
        <v>40</v>
      </c>
      <c r="D346">
        <v>-9.8995180000000005</v>
      </c>
      <c r="E346">
        <v>24.156687999999999</v>
      </c>
      <c r="F346" s="1" t="s">
        <v>1504</v>
      </c>
      <c r="G346" s="1" t="s">
        <v>1502</v>
      </c>
    </row>
    <row r="347" spans="1:7" x14ac:dyDescent="0.25">
      <c r="A347" s="1" t="s">
        <v>1618</v>
      </c>
      <c r="B347" s="1" t="s">
        <v>925</v>
      </c>
      <c r="C347" s="1" t="s">
        <v>127</v>
      </c>
      <c r="D347">
        <v>-12.100756000000001</v>
      </c>
      <c r="E347">
        <v>21.938649999999999</v>
      </c>
      <c r="F347" s="1" t="s">
        <v>1504</v>
      </c>
      <c r="G347" s="1" t="s">
        <v>1505</v>
      </c>
    </row>
    <row r="348" spans="1:7" x14ac:dyDescent="0.25">
      <c r="A348" s="1" t="s">
        <v>1618</v>
      </c>
      <c r="B348" s="1" t="s">
        <v>1633</v>
      </c>
      <c r="C348" s="1" t="s">
        <v>137</v>
      </c>
      <c r="D348">
        <v>-7.4679279999999997</v>
      </c>
      <c r="E348">
        <v>19.828595</v>
      </c>
      <c r="F348" s="1" t="s">
        <v>1501</v>
      </c>
      <c r="G348" s="1" t="s">
        <v>1514</v>
      </c>
    </row>
    <row r="349" spans="1:7" x14ac:dyDescent="0.25">
      <c r="A349" s="1" t="s">
        <v>1618</v>
      </c>
      <c r="B349" s="1" t="s">
        <v>1141</v>
      </c>
      <c r="C349" s="1" t="s">
        <v>137</v>
      </c>
      <c r="D349">
        <v>1.286548</v>
      </c>
      <c r="E349">
        <v>29.823702999999998</v>
      </c>
      <c r="F349" s="1" t="s">
        <v>1504</v>
      </c>
      <c r="G349" s="1" t="s">
        <v>1507</v>
      </c>
    </row>
    <row r="350" spans="1:7" x14ac:dyDescent="0.25">
      <c r="A350" s="1" t="s">
        <v>1618</v>
      </c>
      <c r="B350" s="1" t="s">
        <v>1084</v>
      </c>
      <c r="C350" s="1" t="s">
        <v>35</v>
      </c>
      <c r="D350">
        <v>-4.7886769999999999</v>
      </c>
      <c r="E350">
        <v>23.600221999999999</v>
      </c>
      <c r="F350" s="1" t="s">
        <v>1506</v>
      </c>
      <c r="G350" s="1" t="s">
        <v>1507</v>
      </c>
    </row>
    <row r="351" spans="1:7" x14ac:dyDescent="0.25">
      <c r="A351" s="1" t="s">
        <v>1634</v>
      </c>
      <c r="B351" s="1" t="s">
        <v>1415</v>
      </c>
      <c r="C351" s="1" t="s">
        <v>1676</v>
      </c>
      <c r="D351">
        <v>1.7832440000000001</v>
      </c>
      <c r="E351">
        <v>25.477405999999998</v>
      </c>
      <c r="F351" s="1" t="s">
        <v>1501</v>
      </c>
      <c r="G351" s="1" t="s">
        <v>1505</v>
      </c>
    </row>
    <row r="352" spans="1:7" x14ac:dyDescent="0.25">
      <c r="A352" s="1" t="s">
        <v>1634</v>
      </c>
      <c r="B352" s="1" t="s">
        <v>1635</v>
      </c>
      <c r="C352" s="1" t="s">
        <v>35</v>
      </c>
      <c r="D352">
        <v>-4.8560549999999996</v>
      </c>
      <c r="E352">
        <v>15.889538999999999</v>
      </c>
      <c r="F352" s="1" t="s">
        <v>1506</v>
      </c>
      <c r="G352" s="1" t="s">
        <v>1505</v>
      </c>
    </row>
    <row r="353" spans="1:7" x14ac:dyDescent="0.25">
      <c r="A353" s="1" t="s">
        <v>1634</v>
      </c>
      <c r="B353" s="1" t="s">
        <v>1636</v>
      </c>
      <c r="C353" s="1" t="s">
        <v>31</v>
      </c>
      <c r="D353">
        <v>-8.6707929999999998</v>
      </c>
      <c r="E353">
        <v>30.643781000000001</v>
      </c>
      <c r="F353" s="1" t="s">
        <v>1504</v>
      </c>
      <c r="G353" s="1" t="s">
        <v>1505</v>
      </c>
    </row>
    <row r="354" spans="1:7" x14ac:dyDescent="0.25">
      <c r="A354" s="1" t="s">
        <v>1634</v>
      </c>
      <c r="B354" s="1" t="s">
        <v>1637</v>
      </c>
      <c r="C354" s="1" t="s">
        <v>1674</v>
      </c>
      <c r="D354">
        <v>-2.947235</v>
      </c>
      <c r="E354">
        <v>16.534020999999999</v>
      </c>
      <c r="F354" s="1" t="s">
        <v>1506</v>
      </c>
      <c r="G354" s="1" t="s">
        <v>1514</v>
      </c>
    </row>
    <row r="355" spans="1:7" x14ac:dyDescent="0.25">
      <c r="A355" s="1" t="s">
        <v>1634</v>
      </c>
      <c r="B355" s="1" t="s">
        <v>1638</v>
      </c>
      <c r="C355" s="1" t="s">
        <v>24</v>
      </c>
      <c r="D355">
        <v>-12.776386</v>
      </c>
      <c r="E355">
        <v>14.157596</v>
      </c>
      <c r="F355" s="1" t="s">
        <v>1506</v>
      </c>
      <c r="G355" s="1" t="s">
        <v>1514</v>
      </c>
    </row>
    <row r="356" spans="1:7" x14ac:dyDescent="0.25">
      <c r="A356" s="1" t="s">
        <v>1634</v>
      </c>
      <c r="B356" s="1" t="s">
        <v>827</v>
      </c>
      <c r="C356" s="1" t="s">
        <v>24</v>
      </c>
      <c r="D356">
        <v>0.172153</v>
      </c>
      <c r="E356">
        <v>21.091376</v>
      </c>
      <c r="F356" s="1" t="s">
        <v>1506</v>
      </c>
      <c r="G356" s="1" t="s">
        <v>1502</v>
      </c>
    </row>
    <row r="357" spans="1:7" x14ac:dyDescent="0.25">
      <c r="A357" s="1" t="s">
        <v>1634</v>
      </c>
      <c r="B357" s="1" t="s">
        <v>1378</v>
      </c>
      <c r="C357" s="1" t="s">
        <v>16</v>
      </c>
      <c r="D357">
        <v>4.0988100000000003</v>
      </c>
      <c r="E357">
        <v>29.843810999999999</v>
      </c>
      <c r="F357" s="1" t="s">
        <v>1506</v>
      </c>
      <c r="G357" s="1" t="s">
        <v>1505</v>
      </c>
    </row>
    <row r="358" spans="1:7" x14ac:dyDescent="0.25">
      <c r="A358" s="1" t="s">
        <v>1634</v>
      </c>
      <c r="B358" s="1" t="s">
        <v>1167</v>
      </c>
      <c r="C358" s="1" t="s">
        <v>31</v>
      </c>
      <c r="D358">
        <v>-10.611184</v>
      </c>
      <c r="E358">
        <v>23.022268</v>
      </c>
      <c r="F358" s="1" t="s">
        <v>1501</v>
      </c>
      <c r="G358" s="1" t="s">
        <v>1507</v>
      </c>
    </row>
    <row r="359" spans="1:7" x14ac:dyDescent="0.25">
      <c r="A359" s="1" t="s">
        <v>1634</v>
      </c>
      <c r="B359" s="1" t="s">
        <v>1340</v>
      </c>
      <c r="C359" s="1" t="s">
        <v>1674</v>
      </c>
      <c r="D359">
        <v>-7.6757720000000003</v>
      </c>
      <c r="E359">
        <v>30.222971000000001</v>
      </c>
      <c r="F359" s="1" t="s">
        <v>1501</v>
      </c>
      <c r="G359" s="1" t="s">
        <v>1502</v>
      </c>
    </row>
    <row r="360" spans="1:7" x14ac:dyDescent="0.25">
      <c r="A360" s="1" t="s">
        <v>1634</v>
      </c>
      <c r="B360" s="1" t="s">
        <v>953</v>
      </c>
      <c r="C360" s="1" t="s">
        <v>89</v>
      </c>
      <c r="D360">
        <v>-1.342476</v>
      </c>
      <c r="E360">
        <v>15.986086</v>
      </c>
      <c r="F360" s="1" t="s">
        <v>1504</v>
      </c>
      <c r="G360" s="1" t="s">
        <v>1502</v>
      </c>
    </row>
    <row r="361" spans="1:7" x14ac:dyDescent="0.25">
      <c r="A361" s="1" t="s">
        <v>1634</v>
      </c>
      <c r="B361" s="1" t="s">
        <v>1639</v>
      </c>
      <c r="C361" s="1" t="s">
        <v>60</v>
      </c>
      <c r="D361">
        <v>-11.366868999999999</v>
      </c>
      <c r="E361">
        <v>26.155318000000001</v>
      </c>
      <c r="F361" s="1" t="s">
        <v>1504</v>
      </c>
      <c r="G361" s="1" t="s">
        <v>1505</v>
      </c>
    </row>
    <row r="362" spans="1:7" x14ac:dyDescent="0.25">
      <c r="A362" s="1" t="s">
        <v>1634</v>
      </c>
      <c r="B362" s="1" t="s">
        <v>1247</v>
      </c>
      <c r="C362" s="1" t="s">
        <v>1676</v>
      </c>
      <c r="D362">
        <v>-4.3639070000000002</v>
      </c>
      <c r="E362">
        <v>16.283307000000001</v>
      </c>
      <c r="F362" s="1" t="s">
        <v>1501</v>
      </c>
      <c r="G362" s="1" t="s">
        <v>1505</v>
      </c>
    </row>
    <row r="363" spans="1:7" x14ac:dyDescent="0.25">
      <c r="A363" s="1" t="s">
        <v>1634</v>
      </c>
      <c r="B363" s="1" t="s">
        <v>1068</v>
      </c>
      <c r="C363" s="1" t="s">
        <v>40</v>
      </c>
      <c r="D363">
        <v>-7.5129409999999996</v>
      </c>
      <c r="E363">
        <v>18.701522000000001</v>
      </c>
      <c r="F363" s="1" t="s">
        <v>1504</v>
      </c>
      <c r="G363" s="1" t="s">
        <v>1514</v>
      </c>
    </row>
    <row r="364" spans="1:7" x14ac:dyDescent="0.25">
      <c r="A364" s="1" t="s">
        <v>1634</v>
      </c>
      <c r="B364" s="1" t="s">
        <v>1143</v>
      </c>
      <c r="C364" s="1" t="s">
        <v>10</v>
      </c>
      <c r="D364">
        <v>-0.34051900000000002</v>
      </c>
      <c r="E364">
        <v>17.079799000000001</v>
      </c>
      <c r="F364" s="1" t="s">
        <v>1501</v>
      </c>
      <c r="G364" s="1" t="s">
        <v>1502</v>
      </c>
    </row>
    <row r="365" spans="1:7" x14ac:dyDescent="0.25">
      <c r="A365" s="1" t="s">
        <v>1634</v>
      </c>
      <c r="B365" s="1" t="s">
        <v>1036</v>
      </c>
      <c r="C365" s="1" t="s">
        <v>73</v>
      </c>
      <c r="D365">
        <v>2.4425979999999998</v>
      </c>
      <c r="E365">
        <v>24.924308</v>
      </c>
      <c r="F365" s="1" t="s">
        <v>1501</v>
      </c>
      <c r="G365" s="1" t="s">
        <v>1502</v>
      </c>
    </row>
    <row r="366" spans="1:7" x14ac:dyDescent="0.25">
      <c r="A366" s="1" t="s">
        <v>1634</v>
      </c>
      <c r="B366" s="1" t="s">
        <v>1329</v>
      </c>
      <c r="C366" s="1" t="s">
        <v>26</v>
      </c>
      <c r="D366">
        <v>0.45116099999999998</v>
      </c>
      <c r="E366">
        <v>17.265761000000001</v>
      </c>
      <c r="F366" s="1" t="s">
        <v>1504</v>
      </c>
      <c r="G366" s="1" t="s">
        <v>1505</v>
      </c>
    </row>
    <row r="367" spans="1:7" x14ac:dyDescent="0.25">
      <c r="A367" s="1" t="s">
        <v>1634</v>
      </c>
      <c r="B367" s="1" t="s">
        <v>1316</v>
      </c>
      <c r="C367" s="1" t="s">
        <v>1675</v>
      </c>
      <c r="D367">
        <v>-12.560556999999999</v>
      </c>
      <c r="E367">
        <v>13.204014000000001</v>
      </c>
      <c r="F367" s="1" t="s">
        <v>1504</v>
      </c>
      <c r="G367" s="1" t="s">
        <v>1502</v>
      </c>
    </row>
    <row r="368" spans="1:7" x14ac:dyDescent="0.25">
      <c r="A368" s="1" t="s">
        <v>1634</v>
      </c>
      <c r="B368" s="1" t="s">
        <v>1083</v>
      </c>
      <c r="C368" s="1" t="s">
        <v>89</v>
      </c>
      <c r="D368">
        <v>-4.8128659999999996</v>
      </c>
      <c r="E368">
        <v>18.559304999999998</v>
      </c>
      <c r="F368" s="1" t="s">
        <v>1501</v>
      </c>
      <c r="G368" s="1" t="s">
        <v>1507</v>
      </c>
    </row>
    <row r="369" spans="1:7" x14ac:dyDescent="0.25">
      <c r="A369" s="1" t="s">
        <v>1634</v>
      </c>
      <c r="B369" s="1" t="s">
        <v>1640</v>
      </c>
      <c r="C369" s="1" t="s">
        <v>26</v>
      </c>
      <c r="D369">
        <v>0.89302999999999999</v>
      </c>
      <c r="E369">
        <v>21.238310999999999</v>
      </c>
      <c r="F369" s="1" t="s">
        <v>1501</v>
      </c>
      <c r="G369" s="1" t="s">
        <v>1505</v>
      </c>
    </row>
    <row r="370" spans="1:7" x14ac:dyDescent="0.25">
      <c r="A370" s="1" t="s">
        <v>1634</v>
      </c>
      <c r="B370" s="1" t="s">
        <v>1641</v>
      </c>
      <c r="C370" s="1" t="s">
        <v>127</v>
      </c>
      <c r="D370">
        <v>2.7355830000000001</v>
      </c>
      <c r="E370">
        <v>22.006969000000002</v>
      </c>
      <c r="F370" s="1" t="s">
        <v>1501</v>
      </c>
      <c r="G370" s="1" t="s">
        <v>1502</v>
      </c>
    </row>
    <row r="371" spans="1:7" x14ac:dyDescent="0.25">
      <c r="A371" s="1" t="s">
        <v>1634</v>
      </c>
      <c r="B371" s="1" t="s">
        <v>934</v>
      </c>
      <c r="C371" s="1" t="s">
        <v>67</v>
      </c>
      <c r="D371">
        <v>-5.7035130000000001</v>
      </c>
      <c r="E371">
        <v>14.331479</v>
      </c>
      <c r="F371" s="1" t="s">
        <v>1501</v>
      </c>
      <c r="G371" s="1" t="s">
        <v>1514</v>
      </c>
    </row>
    <row r="372" spans="1:7" x14ac:dyDescent="0.25">
      <c r="A372" s="1" t="s">
        <v>1634</v>
      </c>
      <c r="B372" s="1" t="s">
        <v>1642</v>
      </c>
      <c r="C372" s="1" t="s">
        <v>64</v>
      </c>
      <c r="D372">
        <v>1.217457</v>
      </c>
      <c r="E372">
        <v>25.48668</v>
      </c>
      <c r="F372" s="1" t="s">
        <v>1501</v>
      </c>
      <c r="G372" s="1" t="s">
        <v>1514</v>
      </c>
    </row>
    <row r="373" spans="1:7" x14ac:dyDescent="0.25">
      <c r="A373" s="1" t="s">
        <v>1634</v>
      </c>
      <c r="B373" s="1" t="s">
        <v>1026</v>
      </c>
      <c r="C373" s="1" t="s">
        <v>18</v>
      </c>
      <c r="D373">
        <v>-6.3324319999999998</v>
      </c>
      <c r="E373">
        <v>24.887858000000001</v>
      </c>
      <c r="F373" s="1" t="s">
        <v>1504</v>
      </c>
      <c r="G373" s="1" t="s">
        <v>1507</v>
      </c>
    </row>
    <row r="374" spans="1:7" x14ac:dyDescent="0.25">
      <c r="A374" s="1" t="s">
        <v>1634</v>
      </c>
      <c r="B374" s="1" t="s">
        <v>1474</v>
      </c>
      <c r="C374" s="1" t="s">
        <v>10</v>
      </c>
      <c r="D374">
        <v>-4.6426759999999998</v>
      </c>
      <c r="E374">
        <v>22.124254000000001</v>
      </c>
      <c r="F374" s="1" t="s">
        <v>1504</v>
      </c>
      <c r="G374" s="1" t="s">
        <v>1507</v>
      </c>
    </row>
    <row r="375" spans="1:7" x14ac:dyDescent="0.25">
      <c r="A375" s="1" t="s">
        <v>1634</v>
      </c>
      <c r="B375" s="1" t="s">
        <v>1643</v>
      </c>
      <c r="C375" s="1" t="s">
        <v>18</v>
      </c>
      <c r="D375">
        <v>-1.598759</v>
      </c>
      <c r="E375">
        <v>17.553023</v>
      </c>
      <c r="F375" s="1" t="s">
        <v>1504</v>
      </c>
      <c r="G375" s="1" t="s">
        <v>1505</v>
      </c>
    </row>
    <row r="376" spans="1:7" x14ac:dyDescent="0.25">
      <c r="A376" s="1" t="s">
        <v>1634</v>
      </c>
      <c r="B376" s="1" t="s">
        <v>1129</v>
      </c>
      <c r="C376" s="1" t="s">
        <v>1676</v>
      </c>
      <c r="D376">
        <v>2.486888</v>
      </c>
      <c r="E376">
        <v>23.798074</v>
      </c>
      <c r="F376" s="1" t="s">
        <v>1501</v>
      </c>
      <c r="G376" s="1" t="s">
        <v>1507</v>
      </c>
    </row>
    <row r="377" spans="1:7" x14ac:dyDescent="0.25">
      <c r="A377" s="1" t="s">
        <v>1634</v>
      </c>
      <c r="B377" s="1" t="s">
        <v>1644</v>
      </c>
      <c r="C377" s="1" t="s">
        <v>1676</v>
      </c>
      <c r="D377">
        <v>-11.727425</v>
      </c>
      <c r="E377">
        <v>27.198173000000001</v>
      </c>
      <c r="F377" s="1" t="s">
        <v>1506</v>
      </c>
      <c r="G377" s="1" t="s">
        <v>1502</v>
      </c>
    </row>
    <row r="378" spans="1:7" x14ac:dyDescent="0.25">
      <c r="A378" s="1" t="s">
        <v>1634</v>
      </c>
      <c r="B378" s="1" t="s">
        <v>1645</v>
      </c>
      <c r="C378" s="1" t="s">
        <v>78</v>
      </c>
      <c r="D378">
        <v>3.08182</v>
      </c>
      <c r="E378">
        <v>29.961940999999999</v>
      </c>
      <c r="F378" s="1" t="s">
        <v>1504</v>
      </c>
      <c r="G378" s="1" t="s">
        <v>1505</v>
      </c>
    </row>
    <row r="379" spans="1:7" x14ac:dyDescent="0.25">
      <c r="A379" s="1" t="s">
        <v>1634</v>
      </c>
      <c r="B379" s="1" t="s">
        <v>887</v>
      </c>
      <c r="C379" s="1" t="s">
        <v>10</v>
      </c>
      <c r="D379">
        <v>-7.0076900000000002</v>
      </c>
      <c r="E379">
        <v>27.367121999999998</v>
      </c>
      <c r="F379" s="1" t="s">
        <v>1506</v>
      </c>
      <c r="G379" s="1" t="s">
        <v>1514</v>
      </c>
    </row>
    <row r="380" spans="1:7" x14ac:dyDescent="0.25">
      <c r="A380" s="1" t="s">
        <v>1634</v>
      </c>
      <c r="B380" s="1" t="s">
        <v>1646</v>
      </c>
      <c r="C380" s="1" t="s">
        <v>89</v>
      </c>
      <c r="D380">
        <v>-12.411144999999999</v>
      </c>
      <c r="E380">
        <v>29.876642</v>
      </c>
      <c r="F380" s="1" t="s">
        <v>1504</v>
      </c>
      <c r="G380" s="1" t="s">
        <v>1502</v>
      </c>
    </row>
    <row r="381" spans="1:7" x14ac:dyDescent="0.25">
      <c r="A381" s="1" t="s">
        <v>1634</v>
      </c>
      <c r="B381" s="1" t="s">
        <v>1647</v>
      </c>
      <c r="C381" s="1" t="s">
        <v>1676</v>
      </c>
      <c r="D381">
        <v>-5.3337589999999997</v>
      </c>
      <c r="E381">
        <v>13.246924</v>
      </c>
      <c r="F381" s="1" t="s">
        <v>1506</v>
      </c>
      <c r="G381" s="1" t="s">
        <v>1502</v>
      </c>
    </row>
    <row r="382" spans="1:7" x14ac:dyDescent="0.25">
      <c r="A382" s="1" t="s">
        <v>1634</v>
      </c>
      <c r="B382" s="1" t="s">
        <v>837</v>
      </c>
      <c r="C382" s="1" t="s">
        <v>89</v>
      </c>
      <c r="D382">
        <v>-8.1437910000000002</v>
      </c>
      <c r="E382">
        <v>28.946161</v>
      </c>
      <c r="F382" s="1" t="s">
        <v>1504</v>
      </c>
      <c r="G382" s="1" t="s">
        <v>1507</v>
      </c>
    </row>
    <row r="383" spans="1:7" x14ac:dyDescent="0.25">
      <c r="A383" s="1" t="s">
        <v>1634</v>
      </c>
      <c r="B383" s="1" t="s">
        <v>1648</v>
      </c>
      <c r="C383" s="1" t="s">
        <v>44</v>
      </c>
      <c r="D383">
        <v>4.0297190000000001</v>
      </c>
      <c r="E383">
        <v>20.699608000000001</v>
      </c>
      <c r="F383" s="1" t="s">
        <v>1504</v>
      </c>
      <c r="G383" s="1" t="s">
        <v>1502</v>
      </c>
    </row>
    <row r="384" spans="1:7" x14ac:dyDescent="0.25">
      <c r="A384" s="1" t="s">
        <v>1634</v>
      </c>
      <c r="B384" s="1" t="s">
        <v>1649</v>
      </c>
      <c r="C384" s="1" t="s">
        <v>89</v>
      </c>
      <c r="D384">
        <v>-3.2361680000000002</v>
      </c>
      <c r="E384">
        <v>13.523237999999999</v>
      </c>
      <c r="F384" s="1" t="s">
        <v>1504</v>
      </c>
      <c r="G384" s="1" t="s">
        <v>1505</v>
      </c>
    </row>
    <row r="385" spans="1:7" x14ac:dyDescent="0.25">
      <c r="A385" s="1" t="s">
        <v>1634</v>
      </c>
      <c r="B385" s="1" t="s">
        <v>1224</v>
      </c>
      <c r="C385" s="1" t="s">
        <v>64</v>
      </c>
      <c r="D385">
        <v>1.3006180000000001</v>
      </c>
      <c r="E385">
        <v>29.060970999999999</v>
      </c>
      <c r="F385" s="1" t="s">
        <v>1506</v>
      </c>
      <c r="G385" s="1" t="s">
        <v>1507</v>
      </c>
    </row>
    <row r="386" spans="1:7" x14ac:dyDescent="0.25">
      <c r="A386" s="1" t="s">
        <v>1634</v>
      </c>
      <c r="B386" s="1" t="s">
        <v>1650</v>
      </c>
      <c r="C386" s="1" t="s">
        <v>10</v>
      </c>
      <c r="D386">
        <v>1.178453</v>
      </c>
      <c r="E386">
        <v>17.479081000000001</v>
      </c>
      <c r="F386" s="1" t="s">
        <v>1506</v>
      </c>
      <c r="G386" s="1" t="s">
        <v>1502</v>
      </c>
    </row>
    <row r="387" spans="1:7" x14ac:dyDescent="0.25">
      <c r="A387" s="1" t="s">
        <v>1634</v>
      </c>
      <c r="B387" s="1" t="s">
        <v>1651</v>
      </c>
      <c r="C387" s="1" t="s">
        <v>62</v>
      </c>
      <c r="D387">
        <v>-11.542737000000001</v>
      </c>
      <c r="E387">
        <v>30.175912</v>
      </c>
      <c r="F387" s="1" t="s">
        <v>1504</v>
      </c>
      <c r="G387" s="1" t="s">
        <v>1514</v>
      </c>
    </row>
    <row r="388" spans="1:7" x14ac:dyDescent="0.25">
      <c r="A388" s="1" t="s">
        <v>1634</v>
      </c>
      <c r="B388" s="1" t="s">
        <v>1399</v>
      </c>
      <c r="C388" s="1" t="s">
        <v>62</v>
      </c>
      <c r="D388">
        <v>2.8552499999999998</v>
      </c>
      <c r="E388">
        <v>14.077933</v>
      </c>
      <c r="F388" s="1" t="s">
        <v>1504</v>
      </c>
      <c r="G388" s="1" t="s">
        <v>1507</v>
      </c>
    </row>
    <row r="389" spans="1:7" x14ac:dyDescent="0.25">
      <c r="A389" s="1" t="s">
        <v>1634</v>
      </c>
      <c r="B389" s="1" t="s">
        <v>1652</v>
      </c>
      <c r="C389" s="1" t="s">
        <v>26</v>
      </c>
      <c r="D389">
        <v>0.24369399999999999</v>
      </c>
      <c r="E389">
        <v>17.242912</v>
      </c>
      <c r="F389" s="1" t="s">
        <v>1504</v>
      </c>
      <c r="G389" s="1" t="s">
        <v>1514</v>
      </c>
    </row>
    <row r="390" spans="1:7" x14ac:dyDescent="0.25">
      <c r="A390" s="1" t="s">
        <v>1634</v>
      </c>
      <c r="B390" s="1" t="s">
        <v>1653</v>
      </c>
      <c r="C390" s="1" t="s">
        <v>18</v>
      </c>
      <c r="D390">
        <v>-12.013389999999999</v>
      </c>
      <c r="E390">
        <v>25.24456</v>
      </c>
      <c r="F390" s="1" t="s">
        <v>1506</v>
      </c>
      <c r="G390" s="1" t="s">
        <v>1505</v>
      </c>
    </row>
    <row r="391" spans="1:7" x14ac:dyDescent="0.25">
      <c r="A391" s="1" t="s">
        <v>1634</v>
      </c>
      <c r="B391" s="1" t="s">
        <v>1037</v>
      </c>
      <c r="C391" s="1" t="s">
        <v>137</v>
      </c>
      <c r="D391">
        <v>4.0157999999999996</v>
      </c>
      <c r="E391">
        <v>21.430246</v>
      </c>
      <c r="F391" s="1" t="s">
        <v>1501</v>
      </c>
      <c r="G391" s="1" t="s">
        <v>1514</v>
      </c>
    </row>
    <row r="392" spans="1:7" x14ac:dyDescent="0.25">
      <c r="A392" s="1" t="s">
        <v>1634</v>
      </c>
      <c r="B392" s="1" t="s">
        <v>1169</v>
      </c>
      <c r="C392" s="1" t="s">
        <v>73</v>
      </c>
      <c r="D392">
        <v>-0.85624699999999998</v>
      </c>
      <c r="E392">
        <v>28.624870000000001</v>
      </c>
      <c r="F392" s="1" t="s">
        <v>1506</v>
      </c>
      <c r="G392" s="1" t="s">
        <v>1502</v>
      </c>
    </row>
    <row r="393" spans="1:7" x14ac:dyDescent="0.25">
      <c r="A393" s="1" t="s">
        <v>1634</v>
      </c>
      <c r="B393" s="1" t="s">
        <v>1654</v>
      </c>
      <c r="C393" s="1" t="s">
        <v>62</v>
      </c>
      <c r="D393">
        <v>2.9836019999999999</v>
      </c>
      <c r="E393">
        <v>21.893065</v>
      </c>
      <c r="F393" s="1" t="s">
        <v>1501</v>
      </c>
      <c r="G393" s="1" t="s">
        <v>1514</v>
      </c>
    </row>
    <row r="394" spans="1:7" x14ac:dyDescent="0.25">
      <c r="A394" s="1" t="s">
        <v>1634</v>
      </c>
      <c r="B394" s="1" t="s">
        <v>1138</v>
      </c>
      <c r="C394" s="1" t="s">
        <v>10</v>
      </c>
      <c r="D394">
        <v>-11.002602</v>
      </c>
      <c r="E394">
        <v>23.918247999999998</v>
      </c>
      <c r="F394" s="1" t="s">
        <v>1501</v>
      </c>
      <c r="G394" s="1" t="s">
        <v>1507</v>
      </c>
    </row>
    <row r="395" spans="1:7" x14ac:dyDescent="0.25">
      <c r="A395" s="1" t="s">
        <v>1634</v>
      </c>
      <c r="B395" s="1" t="s">
        <v>1655</v>
      </c>
      <c r="C395" s="1" t="s">
        <v>73</v>
      </c>
      <c r="D395">
        <v>-6.419365</v>
      </c>
      <c r="E395">
        <v>17.570219000000002</v>
      </c>
      <c r="F395" s="1" t="s">
        <v>1504</v>
      </c>
      <c r="G395" s="1" t="s">
        <v>1505</v>
      </c>
    </row>
    <row r="396" spans="1:7" x14ac:dyDescent="0.25">
      <c r="A396" s="1" t="s">
        <v>1634</v>
      </c>
      <c r="B396" s="1" t="s">
        <v>1001</v>
      </c>
      <c r="C396" s="1" t="s">
        <v>131</v>
      </c>
      <c r="D396">
        <v>-1.8555980000000001</v>
      </c>
      <c r="E396">
        <v>30.421918000000002</v>
      </c>
      <c r="F396" s="1" t="s">
        <v>1506</v>
      </c>
      <c r="G396" s="1" t="s">
        <v>1507</v>
      </c>
    </row>
    <row r="397" spans="1:7" x14ac:dyDescent="0.25">
      <c r="A397" s="1" t="s">
        <v>1634</v>
      </c>
      <c r="B397" s="1" t="s">
        <v>1131</v>
      </c>
      <c r="C397" s="1" t="s">
        <v>26</v>
      </c>
      <c r="D397">
        <v>-6.4197189999999997</v>
      </c>
      <c r="E397">
        <v>22.287264</v>
      </c>
      <c r="F397" s="1" t="s">
        <v>1506</v>
      </c>
      <c r="G397" s="1" t="s">
        <v>1502</v>
      </c>
    </row>
    <row r="398" spans="1:7" x14ac:dyDescent="0.25">
      <c r="A398" s="1" t="s">
        <v>1634</v>
      </c>
      <c r="B398" s="1" t="s">
        <v>1656</v>
      </c>
      <c r="C398" s="1" t="s">
        <v>24</v>
      </c>
      <c r="D398">
        <v>-9.8451869999999992</v>
      </c>
      <c r="E398">
        <v>14.508520000000001</v>
      </c>
      <c r="F398" s="1" t="s">
        <v>1501</v>
      </c>
      <c r="G398" s="1" t="s">
        <v>1514</v>
      </c>
    </row>
    <row r="399" spans="1:7" x14ac:dyDescent="0.25">
      <c r="A399" s="1" t="s">
        <v>1634</v>
      </c>
      <c r="B399" s="1" t="s">
        <v>869</v>
      </c>
      <c r="C399" s="1" t="s">
        <v>24</v>
      </c>
      <c r="D399">
        <v>-2.9417719999999998</v>
      </c>
      <c r="E399">
        <v>18.587305000000001</v>
      </c>
      <c r="F399" s="1" t="s">
        <v>1501</v>
      </c>
      <c r="G399" s="1" t="s">
        <v>1502</v>
      </c>
    </row>
    <row r="400" spans="1:7" x14ac:dyDescent="0.25">
      <c r="A400" s="1" t="s">
        <v>1634</v>
      </c>
      <c r="B400" s="1" t="s">
        <v>1217</v>
      </c>
      <c r="C400" s="1" t="s">
        <v>37</v>
      </c>
      <c r="D400">
        <v>-11.793894</v>
      </c>
      <c r="E400">
        <v>20.433340999999999</v>
      </c>
      <c r="F400" s="1" t="s">
        <v>1501</v>
      </c>
      <c r="G400" s="1" t="s">
        <v>1514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5963-76EC-48BB-8FE2-86E79F8C8BC1}">
  <dimension ref="A1:I745"/>
  <sheetViews>
    <sheetView zoomScale="80" zoomScaleNormal="80" workbookViewId="0">
      <selection activeCell="D27" sqref="D27"/>
    </sheetView>
  </sheetViews>
  <sheetFormatPr baseColWidth="10" defaultRowHeight="15" x14ac:dyDescent="0.25"/>
  <cols>
    <col min="1" max="1" width="25.28515625" bestFit="1" customWidth="1"/>
    <col min="2" max="2" width="12.28515625" bestFit="1" customWidth="1"/>
    <col min="3" max="3" width="10.5703125" bestFit="1" customWidth="1"/>
    <col min="4" max="4" width="18" bestFit="1" customWidth="1"/>
    <col min="5" max="5" width="19.28515625" bestFit="1" customWidth="1"/>
    <col min="6" max="6" width="18" bestFit="1" customWidth="1"/>
    <col min="7" max="7" width="29.28515625" bestFit="1" customWidth="1"/>
    <col min="8" max="8" width="21" bestFit="1" customWidth="1"/>
    <col min="9" max="9" width="25.140625" bestFit="1" customWidth="1"/>
  </cols>
  <sheetData>
    <row r="1" spans="1:9" x14ac:dyDescent="0.25">
      <c r="A1" t="s">
        <v>0</v>
      </c>
      <c r="B1" t="s">
        <v>1</v>
      </c>
      <c r="C1" t="s">
        <v>801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 t="s">
        <v>8</v>
      </c>
      <c r="B2" s="1" t="s">
        <v>9</v>
      </c>
      <c r="C2" s="1" t="str">
        <f>_xlfn.XLOOKUP(Clients_Churn[[#This Row],[Province_Client]],Logs_Reseau!B:B,Logs_Reseau!E:E,"Pas de correspondance")</f>
        <v>ANT-0037</v>
      </c>
      <c r="D2" s="1" t="s">
        <v>10</v>
      </c>
      <c r="E2">
        <v>29</v>
      </c>
      <c r="F2" s="1" t="s">
        <v>11</v>
      </c>
      <c r="G2">
        <v>214</v>
      </c>
      <c r="H2">
        <v>74.7</v>
      </c>
      <c r="I2">
        <v>3</v>
      </c>
    </row>
    <row r="3" spans="1:9" x14ac:dyDescent="0.25">
      <c r="A3" s="1" t="s">
        <v>8</v>
      </c>
      <c r="B3" s="1" t="s">
        <v>12</v>
      </c>
      <c r="C3" s="1" t="str">
        <f>_xlfn.XLOOKUP(Clients_Churn[[#This Row],[Province_Client]],Logs_Reseau!B:B,Logs_Reseau!E:E,"Pas de correspondance")</f>
        <v>ANT-0271</v>
      </c>
      <c r="D3" s="1" t="s">
        <v>13</v>
      </c>
      <c r="E3">
        <v>63</v>
      </c>
      <c r="F3" s="1" t="s">
        <v>14</v>
      </c>
      <c r="G3">
        <v>205</v>
      </c>
      <c r="H3">
        <v>89.19</v>
      </c>
      <c r="I3">
        <v>0</v>
      </c>
    </row>
    <row r="4" spans="1:9" x14ac:dyDescent="0.25">
      <c r="A4" s="1" t="s">
        <v>8</v>
      </c>
      <c r="B4" s="1" t="s">
        <v>15</v>
      </c>
      <c r="C4" s="1" t="str">
        <f>_xlfn.XLOOKUP(Clients_Churn[[#This Row],[Province_Client]],Logs_Reseau!B:B,Logs_Reseau!E:E,"Pas de correspondance")</f>
        <v>ANT-0855</v>
      </c>
      <c r="D4" s="1" t="s">
        <v>16</v>
      </c>
      <c r="E4">
        <v>34</v>
      </c>
      <c r="F4" s="1" t="s">
        <v>14</v>
      </c>
      <c r="G4">
        <v>453</v>
      </c>
      <c r="H4">
        <v>56.84</v>
      </c>
      <c r="I4">
        <v>0</v>
      </c>
    </row>
    <row r="5" spans="1:9" x14ac:dyDescent="0.25">
      <c r="A5" s="1" t="s">
        <v>8</v>
      </c>
      <c r="B5" s="1" t="s">
        <v>17</v>
      </c>
      <c r="C5" s="1" t="str">
        <f>_xlfn.XLOOKUP(Clients_Churn[[#This Row],[Province_Client]],Logs_Reseau!B:B,Logs_Reseau!E:E,"Pas de correspondance")</f>
        <v>ANT-0371</v>
      </c>
      <c r="D5" s="1" t="s">
        <v>18</v>
      </c>
      <c r="E5">
        <v>44</v>
      </c>
      <c r="F5" s="1" t="s">
        <v>19</v>
      </c>
      <c r="G5">
        <v>348</v>
      </c>
      <c r="H5">
        <v>58.67</v>
      </c>
      <c r="I5">
        <v>0</v>
      </c>
    </row>
    <row r="6" spans="1:9" x14ac:dyDescent="0.25">
      <c r="A6" s="1" t="s">
        <v>8</v>
      </c>
      <c r="B6" s="1" t="s">
        <v>20</v>
      </c>
      <c r="C6" s="1" t="str">
        <f>_xlfn.XLOOKUP(Clients_Churn[[#This Row],[Province_Client]],Logs_Reseau!B:B,Logs_Reseau!E:E,"Pas de correspondance")</f>
        <v>ANT-0852</v>
      </c>
      <c r="D6" s="1" t="s">
        <v>21</v>
      </c>
      <c r="E6">
        <v>101</v>
      </c>
      <c r="F6" s="1" t="s">
        <v>22</v>
      </c>
      <c r="G6">
        <v>358</v>
      </c>
      <c r="H6">
        <v>29.24</v>
      </c>
      <c r="I6">
        <v>3</v>
      </c>
    </row>
    <row r="7" spans="1:9" x14ac:dyDescent="0.25">
      <c r="A7" s="1" t="s">
        <v>8</v>
      </c>
      <c r="B7" s="1" t="s">
        <v>23</v>
      </c>
      <c r="C7" s="1" t="str">
        <f>_xlfn.XLOOKUP(Clients_Churn[[#This Row],[Province_Client]],Logs_Reseau!B:B,Logs_Reseau!E:E,"Pas de correspondance")</f>
        <v>ANT-0624</v>
      </c>
      <c r="D7" s="1" t="s">
        <v>24</v>
      </c>
      <c r="E7">
        <v>46</v>
      </c>
      <c r="F7" s="1" t="s">
        <v>11</v>
      </c>
      <c r="G7">
        <v>283</v>
      </c>
      <c r="H7">
        <v>56.05</v>
      </c>
      <c r="I7">
        <v>1</v>
      </c>
    </row>
    <row r="8" spans="1:9" x14ac:dyDescent="0.25">
      <c r="A8" s="1" t="s">
        <v>8</v>
      </c>
      <c r="B8" s="1" t="s">
        <v>25</v>
      </c>
      <c r="C8" s="1" t="str">
        <f>_xlfn.XLOOKUP(Clients_Churn[[#This Row],[Province_Client]],Logs_Reseau!B:B,Logs_Reseau!E:E,"Pas de correspondance")</f>
        <v>ANT-0566</v>
      </c>
      <c r="D8" s="1" t="s">
        <v>26</v>
      </c>
      <c r="E8">
        <v>99</v>
      </c>
      <c r="F8" s="1" t="s">
        <v>11</v>
      </c>
      <c r="G8">
        <v>447</v>
      </c>
      <c r="H8">
        <v>38.1</v>
      </c>
      <c r="I8">
        <v>3</v>
      </c>
    </row>
    <row r="9" spans="1:9" x14ac:dyDescent="0.25">
      <c r="A9" s="1" t="s">
        <v>8</v>
      </c>
      <c r="B9" s="1" t="s">
        <v>27</v>
      </c>
      <c r="C9" s="1" t="str">
        <f>_xlfn.XLOOKUP(Clients_Churn[[#This Row],[Province_Client]],Logs_Reseau!B:B,Logs_Reseau!E:E,"Pas de correspondance")</f>
        <v>ANT-0624</v>
      </c>
      <c r="D9" s="1" t="s">
        <v>24</v>
      </c>
      <c r="E9">
        <v>6</v>
      </c>
      <c r="F9" s="1" t="s">
        <v>22</v>
      </c>
      <c r="G9">
        <v>155</v>
      </c>
      <c r="H9">
        <v>40.659999999999997</v>
      </c>
      <c r="I9">
        <v>1</v>
      </c>
    </row>
    <row r="10" spans="1:9" x14ac:dyDescent="0.25">
      <c r="A10" s="1" t="s">
        <v>8</v>
      </c>
      <c r="B10" s="1" t="s">
        <v>28</v>
      </c>
      <c r="C10" s="1" t="str">
        <f>_xlfn.XLOOKUP(Clients_Churn[[#This Row],[Province_Client]],Logs_Reseau!B:B,Logs_Reseau!E:E,"Pas de correspondance")</f>
        <v>ANT-0332</v>
      </c>
      <c r="D10" s="1" t="s">
        <v>1674</v>
      </c>
      <c r="E10">
        <v>99</v>
      </c>
      <c r="F10" s="1" t="s">
        <v>19</v>
      </c>
      <c r="G10">
        <v>369</v>
      </c>
      <c r="H10">
        <v>67.209999999999994</v>
      </c>
      <c r="I10">
        <v>3</v>
      </c>
    </row>
    <row r="11" spans="1:9" x14ac:dyDescent="0.25">
      <c r="A11" s="1" t="s">
        <v>8</v>
      </c>
      <c r="B11" s="1" t="s">
        <v>30</v>
      </c>
      <c r="C11" s="1" t="str">
        <f>_xlfn.XLOOKUP(Clients_Churn[[#This Row],[Province_Client]],Logs_Reseau!B:B,Logs_Reseau!E:E,"Pas de correspondance")</f>
        <v>ANT-0166</v>
      </c>
      <c r="D11" s="1" t="s">
        <v>31</v>
      </c>
      <c r="E11">
        <v>113</v>
      </c>
      <c r="F11" s="1" t="s">
        <v>22</v>
      </c>
      <c r="G11">
        <v>380</v>
      </c>
      <c r="H11">
        <v>12.11</v>
      </c>
      <c r="I11">
        <v>0</v>
      </c>
    </row>
    <row r="12" spans="1:9" x14ac:dyDescent="0.25">
      <c r="A12" s="1" t="s">
        <v>8</v>
      </c>
      <c r="B12" s="1" t="s">
        <v>32</v>
      </c>
      <c r="C12" s="1" t="str">
        <f>_xlfn.XLOOKUP(Clients_Churn[[#This Row],[Province_Client]],Logs_Reseau!B:B,Logs_Reseau!E:E,"Pas de correspondance")</f>
        <v>ANT-0270</v>
      </c>
      <c r="D12" s="1" t="s">
        <v>1675</v>
      </c>
      <c r="E12">
        <v>72</v>
      </c>
      <c r="F12" s="1" t="s">
        <v>14</v>
      </c>
      <c r="G12">
        <v>160</v>
      </c>
      <c r="H12">
        <v>90.13</v>
      </c>
      <c r="I12">
        <v>2</v>
      </c>
    </row>
    <row r="13" spans="1:9" x14ac:dyDescent="0.25">
      <c r="A13" s="1" t="s">
        <v>8</v>
      </c>
      <c r="B13" s="1" t="s">
        <v>34</v>
      </c>
      <c r="C13" s="1" t="str">
        <f>_xlfn.XLOOKUP(Clients_Churn[[#This Row],[Province_Client]],Logs_Reseau!B:B,Logs_Reseau!E:E,"Pas de correspondance")</f>
        <v>ANT-0760</v>
      </c>
      <c r="D13" s="1" t="s">
        <v>35</v>
      </c>
      <c r="E13">
        <v>35</v>
      </c>
      <c r="F13" s="1" t="s">
        <v>14</v>
      </c>
      <c r="G13">
        <v>465</v>
      </c>
      <c r="H13">
        <v>58.59</v>
      </c>
      <c r="I13">
        <v>5</v>
      </c>
    </row>
    <row r="14" spans="1:9" x14ac:dyDescent="0.25">
      <c r="A14" s="1" t="s">
        <v>8</v>
      </c>
      <c r="B14" s="1" t="s">
        <v>36</v>
      </c>
      <c r="C14" s="1" t="str">
        <f>_xlfn.XLOOKUP(Clients_Churn[[#This Row],[Province_Client]],Logs_Reseau!B:B,Logs_Reseau!E:E,"Pas de correspondance")</f>
        <v>ANT-0465</v>
      </c>
      <c r="D14" s="1" t="s">
        <v>37</v>
      </c>
      <c r="E14">
        <v>115</v>
      </c>
      <c r="F14" s="1" t="s">
        <v>19</v>
      </c>
      <c r="G14">
        <v>176</v>
      </c>
      <c r="H14">
        <v>33.28</v>
      </c>
      <c r="I14">
        <v>4</v>
      </c>
    </row>
    <row r="15" spans="1:9" x14ac:dyDescent="0.25">
      <c r="A15" s="1" t="s">
        <v>8</v>
      </c>
      <c r="B15" s="1" t="s">
        <v>38</v>
      </c>
      <c r="C15" s="1" t="str">
        <f>_xlfn.XLOOKUP(Clients_Churn[[#This Row],[Province_Client]],Logs_Reseau!B:B,Logs_Reseau!E:E,"Pas de correspondance")</f>
        <v>ANT-0371</v>
      </c>
      <c r="D15" s="1" t="s">
        <v>18</v>
      </c>
      <c r="E15">
        <v>20</v>
      </c>
      <c r="F15" s="1" t="s">
        <v>22</v>
      </c>
      <c r="G15">
        <v>4</v>
      </c>
      <c r="H15">
        <v>84.9</v>
      </c>
      <c r="I15">
        <v>3</v>
      </c>
    </row>
    <row r="16" spans="1:9" x14ac:dyDescent="0.25">
      <c r="A16" s="1" t="s">
        <v>8</v>
      </c>
      <c r="B16" s="1" t="s">
        <v>39</v>
      </c>
      <c r="C16" s="1" t="str">
        <f>_xlfn.XLOOKUP(Clients_Churn[[#This Row],[Province_Client]],Logs_Reseau!B:B,Logs_Reseau!E:E,"Pas de correspondance")</f>
        <v>ANT-0134</v>
      </c>
      <c r="D16" s="1" t="s">
        <v>40</v>
      </c>
      <c r="E16">
        <v>110</v>
      </c>
      <c r="F16" s="1" t="s">
        <v>14</v>
      </c>
      <c r="G16">
        <v>423</v>
      </c>
      <c r="H16">
        <v>37.35</v>
      </c>
      <c r="I16">
        <v>4</v>
      </c>
    </row>
    <row r="17" spans="1:9" x14ac:dyDescent="0.25">
      <c r="A17" s="1" t="s">
        <v>8</v>
      </c>
      <c r="B17" s="1" t="s">
        <v>41</v>
      </c>
      <c r="C17" s="1" t="str">
        <f>_xlfn.XLOOKUP(Clients_Churn[[#This Row],[Province_Client]],Logs_Reseau!B:B,Logs_Reseau!E:E,"Pas de correspondance")</f>
        <v>ANT-0271</v>
      </c>
      <c r="D17" s="1" t="s">
        <v>13</v>
      </c>
      <c r="E17">
        <v>89</v>
      </c>
      <c r="F17" s="1" t="s">
        <v>11</v>
      </c>
      <c r="G17">
        <v>143</v>
      </c>
      <c r="H17">
        <v>48.05</v>
      </c>
      <c r="I17">
        <v>4</v>
      </c>
    </row>
    <row r="18" spans="1:9" x14ac:dyDescent="0.25">
      <c r="A18" s="1" t="s">
        <v>8</v>
      </c>
      <c r="B18" s="1" t="s">
        <v>42</v>
      </c>
      <c r="C18" s="1" t="str">
        <f>_xlfn.XLOOKUP(Clients_Churn[[#This Row],[Province_Client]],Logs_Reseau!B:B,Logs_Reseau!E:E,"Pas de correspondance")</f>
        <v>ANT-0566</v>
      </c>
      <c r="D18" s="1" t="s">
        <v>26</v>
      </c>
      <c r="E18">
        <v>112</v>
      </c>
      <c r="F18" s="1" t="s">
        <v>11</v>
      </c>
      <c r="G18">
        <v>460</v>
      </c>
      <c r="H18">
        <v>55.47</v>
      </c>
      <c r="I18">
        <v>4</v>
      </c>
    </row>
    <row r="19" spans="1:9" x14ac:dyDescent="0.25">
      <c r="A19" s="1" t="s">
        <v>8</v>
      </c>
      <c r="B19" s="1" t="s">
        <v>43</v>
      </c>
      <c r="C19" s="1" t="str">
        <f>_xlfn.XLOOKUP(Clients_Churn[[#This Row],[Province_Client]],Logs_Reseau!B:B,Logs_Reseau!E:E,"Pas de correspondance")</f>
        <v>ANT-0011</v>
      </c>
      <c r="D19" s="1" t="s">
        <v>44</v>
      </c>
      <c r="E19">
        <v>66</v>
      </c>
      <c r="F19" s="1" t="s">
        <v>22</v>
      </c>
      <c r="G19">
        <v>270</v>
      </c>
      <c r="H19">
        <v>75.88</v>
      </c>
      <c r="I19">
        <v>3</v>
      </c>
    </row>
    <row r="20" spans="1:9" x14ac:dyDescent="0.25">
      <c r="A20" s="1" t="s">
        <v>8</v>
      </c>
      <c r="B20" s="1" t="s">
        <v>45</v>
      </c>
      <c r="C20" s="1" t="str">
        <f>_xlfn.XLOOKUP(Clients_Churn[[#This Row],[Province_Client]],Logs_Reseau!B:B,Logs_Reseau!E:E,"Pas de correspondance")</f>
        <v>ANT-0332</v>
      </c>
      <c r="D20" s="1" t="s">
        <v>1674</v>
      </c>
      <c r="E20">
        <v>78</v>
      </c>
      <c r="F20" s="1" t="s">
        <v>19</v>
      </c>
      <c r="G20">
        <v>312</v>
      </c>
      <c r="H20">
        <v>85.74</v>
      </c>
      <c r="I20">
        <v>2</v>
      </c>
    </row>
    <row r="21" spans="1:9" x14ac:dyDescent="0.25">
      <c r="A21" s="1" t="s">
        <v>8</v>
      </c>
      <c r="B21" s="1" t="s">
        <v>46</v>
      </c>
      <c r="C21" s="1" t="str">
        <f>_xlfn.XLOOKUP(Clients_Churn[[#This Row],[Province_Client]],Logs_Reseau!B:B,Logs_Reseau!E:E,"Pas de correspondance")</f>
        <v>ANT-0270</v>
      </c>
      <c r="D21" s="1" t="s">
        <v>1675</v>
      </c>
      <c r="E21">
        <v>86</v>
      </c>
      <c r="F21" s="1" t="s">
        <v>11</v>
      </c>
      <c r="G21">
        <v>471</v>
      </c>
      <c r="H21">
        <v>33.380000000000003</v>
      </c>
      <c r="I21">
        <v>4</v>
      </c>
    </row>
    <row r="22" spans="1:9" x14ac:dyDescent="0.25">
      <c r="A22" s="1" t="s">
        <v>8</v>
      </c>
      <c r="B22" s="1" t="s">
        <v>47</v>
      </c>
      <c r="C22" s="1" t="str">
        <f>_xlfn.XLOOKUP(Clients_Churn[[#This Row],[Province_Client]],Logs_Reseau!B:B,Logs_Reseau!E:E,"Pas de correspondance")</f>
        <v>ANT-0332</v>
      </c>
      <c r="D22" s="1" t="s">
        <v>1674</v>
      </c>
      <c r="E22">
        <v>14</v>
      </c>
      <c r="F22" s="1" t="s">
        <v>11</v>
      </c>
      <c r="G22">
        <v>75</v>
      </c>
      <c r="H22">
        <v>55.67</v>
      </c>
      <c r="I22">
        <v>3</v>
      </c>
    </row>
    <row r="23" spans="1:9" x14ac:dyDescent="0.25">
      <c r="A23" s="1" t="s">
        <v>8</v>
      </c>
      <c r="B23" s="1" t="s">
        <v>48</v>
      </c>
      <c r="C23" s="1" t="str">
        <f>_xlfn.XLOOKUP(Clients_Churn[[#This Row],[Province_Client]],Logs_Reseau!B:B,Logs_Reseau!E:E,"Pas de correspondance")</f>
        <v>ANT-0166</v>
      </c>
      <c r="D23" s="1" t="s">
        <v>31</v>
      </c>
      <c r="E23">
        <v>91</v>
      </c>
      <c r="F23" s="1" t="s">
        <v>14</v>
      </c>
      <c r="G23">
        <v>358</v>
      </c>
      <c r="H23">
        <v>21.14</v>
      </c>
      <c r="I23">
        <v>5</v>
      </c>
    </row>
    <row r="24" spans="1:9" x14ac:dyDescent="0.25">
      <c r="A24" s="1" t="s">
        <v>8</v>
      </c>
      <c r="B24" s="1" t="s">
        <v>49</v>
      </c>
      <c r="C24" s="1" t="str">
        <f>_xlfn.XLOOKUP(Clients_Churn[[#This Row],[Province_Client]],Logs_Reseau!B:B,Logs_Reseau!E:E,"Pas de correspondance")</f>
        <v>ANT-0566</v>
      </c>
      <c r="D24" s="1" t="s">
        <v>26</v>
      </c>
      <c r="E24">
        <v>7</v>
      </c>
      <c r="F24" s="1" t="s">
        <v>11</v>
      </c>
      <c r="G24">
        <v>206</v>
      </c>
      <c r="H24">
        <v>78.09</v>
      </c>
      <c r="I24">
        <v>3</v>
      </c>
    </row>
    <row r="25" spans="1:9" x14ac:dyDescent="0.25">
      <c r="A25" s="1" t="s">
        <v>8</v>
      </c>
      <c r="B25" s="1" t="s">
        <v>50</v>
      </c>
      <c r="C25" s="1" t="str">
        <f>_xlfn.XLOOKUP(Clients_Churn[[#This Row],[Province_Client]],Logs_Reseau!B:B,Logs_Reseau!E:E,"Pas de correspondance")</f>
        <v>ANT-0850</v>
      </c>
      <c r="D25" s="1" t="s">
        <v>51</v>
      </c>
      <c r="E25">
        <v>119</v>
      </c>
      <c r="F25" s="1" t="s">
        <v>22</v>
      </c>
      <c r="G25">
        <v>228</v>
      </c>
      <c r="H25">
        <v>94.72</v>
      </c>
      <c r="I25">
        <v>3</v>
      </c>
    </row>
    <row r="26" spans="1:9" x14ac:dyDescent="0.25">
      <c r="A26" s="1" t="s">
        <v>8</v>
      </c>
      <c r="B26" s="1" t="s">
        <v>52</v>
      </c>
      <c r="C26" s="1" t="str">
        <f>_xlfn.XLOOKUP(Clients_Churn[[#This Row],[Province_Client]],Logs_Reseau!B:B,Logs_Reseau!E:E,"Pas de correspondance")</f>
        <v>ANT-0624</v>
      </c>
      <c r="D26" s="1" t="s">
        <v>24</v>
      </c>
      <c r="E26">
        <v>57</v>
      </c>
      <c r="F26" s="1" t="s">
        <v>22</v>
      </c>
      <c r="G26">
        <v>329</v>
      </c>
      <c r="H26">
        <v>50.39</v>
      </c>
      <c r="I26">
        <v>5</v>
      </c>
    </row>
    <row r="27" spans="1:9" x14ac:dyDescent="0.25">
      <c r="A27" s="1" t="s">
        <v>8</v>
      </c>
      <c r="B27" s="1" t="s">
        <v>53</v>
      </c>
      <c r="C27" s="1" t="str">
        <f>_xlfn.XLOOKUP(Clients_Churn[[#This Row],[Province_Client]],Logs_Reseau!B:B,Logs_Reseau!E:E,"Pas de correspondance")</f>
        <v>ANT-0037</v>
      </c>
      <c r="D27" s="1" t="s">
        <v>10</v>
      </c>
      <c r="E27">
        <v>103</v>
      </c>
      <c r="F27" s="1" t="s">
        <v>14</v>
      </c>
      <c r="G27">
        <v>105</v>
      </c>
      <c r="H27">
        <v>61.52</v>
      </c>
      <c r="I27">
        <v>3</v>
      </c>
    </row>
    <row r="28" spans="1:9" x14ac:dyDescent="0.25">
      <c r="A28" s="1" t="s">
        <v>8</v>
      </c>
      <c r="B28" s="1" t="s">
        <v>54</v>
      </c>
      <c r="C28" s="1" t="str">
        <f>_xlfn.XLOOKUP(Clients_Churn[[#This Row],[Province_Client]],Logs_Reseau!B:B,Logs_Reseau!E:E,"Pas de correspondance")</f>
        <v>ANT-0566</v>
      </c>
      <c r="D28" s="1" t="s">
        <v>26</v>
      </c>
      <c r="E28">
        <v>59</v>
      </c>
      <c r="F28" s="1" t="s">
        <v>22</v>
      </c>
      <c r="G28">
        <v>454</v>
      </c>
      <c r="H28">
        <v>10.47</v>
      </c>
      <c r="I28">
        <v>5</v>
      </c>
    </row>
    <row r="29" spans="1:9" x14ac:dyDescent="0.25">
      <c r="A29" s="1" t="s">
        <v>8</v>
      </c>
      <c r="B29" s="1" t="s">
        <v>55</v>
      </c>
      <c r="C29" s="1" t="str">
        <f>_xlfn.XLOOKUP(Clients_Churn[[#This Row],[Province_Client]],Logs_Reseau!B:B,Logs_Reseau!E:E,"Pas de correspondance")</f>
        <v>ANT-0760</v>
      </c>
      <c r="D29" s="1" t="s">
        <v>35</v>
      </c>
      <c r="E29">
        <v>108</v>
      </c>
      <c r="F29" s="1" t="s">
        <v>22</v>
      </c>
      <c r="G29">
        <v>278</v>
      </c>
      <c r="H29">
        <v>40.51</v>
      </c>
      <c r="I29">
        <v>3</v>
      </c>
    </row>
    <row r="30" spans="1:9" x14ac:dyDescent="0.25">
      <c r="A30" s="1" t="s">
        <v>8</v>
      </c>
      <c r="B30" s="1" t="s">
        <v>56</v>
      </c>
      <c r="C30" s="1" t="str">
        <f>_xlfn.XLOOKUP(Clients_Churn[[#This Row],[Province_Client]],Logs_Reseau!B:B,Logs_Reseau!E:E,"Pas de correspondance")</f>
        <v>ANT-0731</v>
      </c>
      <c r="D30" s="1" t="s">
        <v>1676</v>
      </c>
      <c r="E30">
        <v>97</v>
      </c>
      <c r="F30" s="1" t="s">
        <v>14</v>
      </c>
      <c r="G30">
        <v>319</v>
      </c>
      <c r="H30">
        <v>31.25</v>
      </c>
      <c r="I30">
        <v>1</v>
      </c>
    </row>
    <row r="31" spans="1:9" x14ac:dyDescent="0.25">
      <c r="A31" s="1" t="s">
        <v>8</v>
      </c>
      <c r="B31" s="1" t="s">
        <v>58</v>
      </c>
      <c r="C31" s="1" t="str">
        <f>_xlfn.XLOOKUP(Clients_Churn[[#This Row],[Province_Client]],Logs_Reseau!B:B,Logs_Reseau!E:E,"Pas de correspondance")</f>
        <v>ANT-0270</v>
      </c>
      <c r="D31" s="1" t="s">
        <v>1675</v>
      </c>
      <c r="E31">
        <v>15</v>
      </c>
      <c r="F31" s="1" t="s">
        <v>14</v>
      </c>
      <c r="G31">
        <v>403</v>
      </c>
      <c r="H31">
        <v>77.12</v>
      </c>
      <c r="I31">
        <v>1</v>
      </c>
    </row>
    <row r="32" spans="1:9" x14ac:dyDescent="0.25">
      <c r="A32" s="1" t="s">
        <v>8</v>
      </c>
      <c r="B32" s="1" t="s">
        <v>59</v>
      </c>
      <c r="C32" s="1" t="str">
        <f>_xlfn.XLOOKUP(Clients_Churn[[#This Row],[Province_Client]],Logs_Reseau!B:B,Logs_Reseau!E:E,"Pas de correspondance")</f>
        <v>ANT-0315</v>
      </c>
      <c r="D32" s="1" t="s">
        <v>60</v>
      </c>
      <c r="E32">
        <v>14</v>
      </c>
      <c r="F32" s="1" t="s">
        <v>14</v>
      </c>
      <c r="G32">
        <v>316</v>
      </c>
      <c r="H32">
        <v>62.34</v>
      </c>
      <c r="I32">
        <v>4</v>
      </c>
    </row>
    <row r="33" spans="1:9" x14ac:dyDescent="0.25">
      <c r="A33" s="1" t="s">
        <v>8</v>
      </c>
      <c r="B33" s="1" t="s">
        <v>61</v>
      </c>
      <c r="C33" s="1" t="str">
        <f>_xlfn.XLOOKUP(Clients_Churn[[#This Row],[Province_Client]],Logs_Reseau!B:B,Logs_Reseau!E:E,"Pas de correspondance")</f>
        <v>ANT-0737</v>
      </c>
      <c r="D33" s="1" t="s">
        <v>62</v>
      </c>
      <c r="E33">
        <v>101</v>
      </c>
      <c r="F33" s="1" t="s">
        <v>14</v>
      </c>
      <c r="G33">
        <v>333</v>
      </c>
      <c r="H33">
        <v>74.319999999999993</v>
      </c>
      <c r="I33">
        <v>1</v>
      </c>
    </row>
    <row r="34" spans="1:9" x14ac:dyDescent="0.25">
      <c r="A34" s="1" t="s">
        <v>8</v>
      </c>
      <c r="B34" s="1" t="s">
        <v>63</v>
      </c>
      <c r="C34" s="1" t="str">
        <f>_xlfn.XLOOKUP(Clients_Churn[[#This Row],[Province_Client]],Logs_Reseau!B:B,Logs_Reseau!E:E,"Pas de correspondance")</f>
        <v>ANT-0913</v>
      </c>
      <c r="D34" s="1" t="s">
        <v>64</v>
      </c>
      <c r="E34">
        <v>79</v>
      </c>
      <c r="F34" s="1" t="s">
        <v>11</v>
      </c>
      <c r="G34">
        <v>226</v>
      </c>
      <c r="H34">
        <v>94.38</v>
      </c>
      <c r="I34">
        <v>3</v>
      </c>
    </row>
    <row r="35" spans="1:9" x14ac:dyDescent="0.25">
      <c r="A35" s="1" t="s">
        <v>8</v>
      </c>
      <c r="B35" s="1" t="s">
        <v>65</v>
      </c>
      <c r="C35" s="1" t="str">
        <f>_xlfn.XLOOKUP(Clients_Churn[[#This Row],[Province_Client]],Logs_Reseau!B:B,Logs_Reseau!E:E,"Pas de correspondance")</f>
        <v>ANT-0852</v>
      </c>
      <c r="D35" s="1" t="s">
        <v>21</v>
      </c>
      <c r="E35">
        <v>79</v>
      </c>
      <c r="F35" s="1" t="s">
        <v>19</v>
      </c>
      <c r="G35">
        <v>357</v>
      </c>
      <c r="H35">
        <v>69.900000000000006</v>
      </c>
      <c r="I35">
        <v>5</v>
      </c>
    </row>
    <row r="36" spans="1:9" x14ac:dyDescent="0.25">
      <c r="A36" s="1" t="s">
        <v>8</v>
      </c>
      <c r="B36" s="1" t="s">
        <v>66</v>
      </c>
      <c r="C36" s="1" t="str">
        <f>_xlfn.XLOOKUP(Clients_Churn[[#This Row],[Province_Client]],Logs_Reseau!B:B,Logs_Reseau!E:E,"Pas de correspondance")</f>
        <v>ANT-0520</v>
      </c>
      <c r="D36" s="1" t="s">
        <v>67</v>
      </c>
      <c r="E36">
        <v>101</v>
      </c>
      <c r="F36" s="1" t="s">
        <v>14</v>
      </c>
      <c r="G36">
        <v>176</v>
      </c>
      <c r="H36">
        <v>86</v>
      </c>
      <c r="I36">
        <v>3</v>
      </c>
    </row>
    <row r="37" spans="1:9" x14ac:dyDescent="0.25">
      <c r="A37" s="1" t="s">
        <v>8</v>
      </c>
      <c r="B37" s="1" t="s">
        <v>68</v>
      </c>
      <c r="C37" s="1" t="str">
        <f>_xlfn.XLOOKUP(Clients_Churn[[#This Row],[Province_Client]],Logs_Reseau!B:B,Logs_Reseau!E:E,"Pas de correspondance")</f>
        <v>ANT-0852</v>
      </c>
      <c r="D37" s="1" t="s">
        <v>21</v>
      </c>
      <c r="E37">
        <v>110</v>
      </c>
      <c r="F37" s="1" t="s">
        <v>22</v>
      </c>
      <c r="G37">
        <v>454</v>
      </c>
      <c r="H37">
        <v>31.05</v>
      </c>
      <c r="I37">
        <v>1</v>
      </c>
    </row>
    <row r="38" spans="1:9" x14ac:dyDescent="0.25">
      <c r="A38" s="1" t="s">
        <v>8</v>
      </c>
      <c r="B38" s="1" t="s">
        <v>69</v>
      </c>
      <c r="C38" s="1" t="str">
        <f>_xlfn.XLOOKUP(Clients_Churn[[#This Row],[Province_Client]],Logs_Reseau!B:B,Logs_Reseau!E:E,"Pas de correspondance")</f>
        <v>ANT-0271</v>
      </c>
      <c r="D38" s="1" t="s">
        <v>13</v>
      </c>
      <c r="E38">
        <v>14</v>
      </c>
      <c r="F38" s="1" t="s">
        <v>19</v>
      </c>
      <c r="G38">
        <v>415</v>
      </c>
      <c r="H38">
        <v>36.93</v>
      </c>
      <c r="I38">
        <v>5</v>
      </c>
    </row>
    <row r="39" spans="1:9" x14ac:dyDescent="0.25">
      <c r="A39" s="1" t="s">
        <v>8</v>
      </c>
      <c r="B39" s="1" t="s">
        <v>70</v>
      </c>
      <c r="C39" s="1" t="str">
        <f>_xlfn.XLOOKUP(Clients_Churn[[#This Row],[Province_Client]],Logs_Reseau!B:B,Logs_Reseau!E:E,"Pas de correspondance")</f>
        <v>ANT-0332</v>
      </c>
      <c r="D39" s="1" t="s">
        <v>1674</v>
      </c>
      <c r="E39">
        <v>106</v>
      </c>
      <c r="F39" s="1" t="s">
        <v>19</v>
      </c>
      <c r="G39">
        <v>400</v>
      </c>
      <c r="H39">
        <v>70.02</v>
      </c>
      <c r="I39">
        <v>4</v>
      </c>
    </row>
    <row r="40" spans="1:9" x14ac:dyDescent="0.25">
      <c r="A40" s="1" t="s">
        <v>8</v>
      </c>
      <c r="B40" s="1" t="s">
        <v>71</v>
      </c>
      <c r="C40" s="1" t="str">
        <f>_xlfn.XLOOKUP(Clients_Churn[[#This Row],[Province_Client]],Logs_Reseau!B:B,Logs_Reseau!E:E,"Pas de correspondance")</f>
        <v>ANT-0332</v>
      </c>
      <c r="D40" s="1" t="s">
        <v>1674</v>
      </c>
      <c r="E40">
        <v>72</v>
      </c>
      <c r="F40" s="1" t="s">
        <v>19</v>
      </c>
      <c r="G40">
        <v>332</v>
      </c>
      <c r="H40">
        <v>83.36</v>
      </c>
      <c r="I40">
        <v>4</v>
      </c>
    </row>
    <row r="41" spans="1:9" x14ac:dyDescent="0.25">
      <c r="A41" s="1" t="s">
        <v>8</v>
      </c>
      <c r="B41" s="1" t="s">
        <v>72</v>
      </c>
      <c r="C41" s="1" t="str">
        <f>_xlfn.XLOOKUP(Clients_Churn[[#This Row],[Province_Client]],Logs_Reseau!B:B,Logs_Reseau!E:E,"Pas de correspondance")</f>
        <v>ANT-0945</v>
      </c>
      <c r="D41" s="1" t="s">
        <v>73</v>
      </c>
      <c r="E41">
        <v>6</v>
      </c>
      <c r="F41" s="1" t="s">
        <v>11</v>
      </c>
      <c r="G41">
        <v>207</v>
      </c>
      <c r="H41">
        <v>61.55</v>
      </c>
      <c r="I41">
        <v>0</v>
      </c>
    </row>
    <row r="42" spans="1:9" x14ac:dyDescent="0.25">
      <c r="A42" s="1" t="s">
        <v>8</v>
      </c>
      <c r="B42" s="1" t="s">
        <v>74</v>
      </c>
      <c r="C42" s="1" t="str">
        <f>_xlfn.XLOOKUP(Clients_Churn[[#This Row],[Province_Client]],Logs_Reseau!B:B,Logs_Reseau!E:E,"Pas de correspondance")</f>
        <v>ANT-0737</v>
      </c>
      <c r="D42" s="1" t="s">
        <v>62</v>
      </c>
      <c r="E42">
        <v>65</v>
      </c>
      <c r="F42" s="1" t="s">
        <v>11</v>
      </c>
      <c r="G42">
        <v>397</v>
      </c>
      <c r="H42">
        <v>22.6</v>
      </c>
      <c r="I42">
        <v>5</v>
      </c>
    </row>
    <row r="43" spans="1:9" x14ac:dyDescent="0.25">
      <c r="A43" s="1" t="s">
        <v>8</v>
      </c>
      <c r="B43" s="1" t="s">
        <v>75</v>
      </c>
      <c r="C43" s="1" t="str">
        <f>_xlfn.XLOOKUP(Clients_Churn[[#This Row],[Province_Client]],Logs_Reseau!B:B,Logs_Reseau!E:E,"Pas de correspondance")</f>
        <v>ANT-0624</v>
      </c>
      <c r="D43" s="1" t="s">
        <v>24</v>
      </c>
      <c r="E43">
        <v>14</v>
      </c>
      <c r="F43" s="1" t="s">
        <v>14</v>
      </c>
      <c r="G43">
        <v>101</v>
      </c>
      <c r="H43">
        <v>43.99</v>
      </c>
      <c r="I43">
        <v>1</v>
      </c>
    </row>
    <row r="44" spans="1:9" x14ac:dyDescent="0.25">
      <c r="A44" s="1" t="s">
        <v>8</v>
      </c>
      <c r="B44" s="1" t="s">
        <v>76</v>
      </c>
      <c r="C44" s="1" t="str">
        <f>_xlfn.XLOOKUP(Clients_Churn[[#This Row],[Province_Client]],Logs_Reseau!B:B,Logs_Reseau!E:E,"Pas de correspondance")</f>
        <v>ANT-0134</v>
      </c>
      <c r="D44" s="1" t="s">
        <v>40</v>
      </c>
      <c r="E44">
        <v>22</v>
      </c>
      <c r="F44" s="1" t="s">
        <v>22</v>
      </c>
      <c r="G44">
        <v>451</v>
      </c>
      <c r="H44">
        <v>76.38</v>
      </c>
      <c r="I44">
        <v>3</v>
      </c>
    </row>
    <row r="45" spans="1:9" x14ac:dyDescent="0.25">
      <c r="A45" s="1" t="s">
        <v>8</v>
      </c>
      <c r="B45" s="1" t="s">
        <v>77</v>
      </c>
      <c r="C45" s="1" t="str">
        <f>_xlfn.XLOOKUP(Clients_Churn[[#This Row],[Province_Client]],Logs_Reseau!B:B,Logs_Reseau!E:E,"Pas de correspondance")</f>
        <v>ANT-0250</v>
      </c>
      <c r="D45" s="1" t="s">
        <v>78</v>
      </c>
      <c r="E45">
        <v>81</v>
      </c>
      <c r="F45" s="1" t="s">
        <v>14</v>
      </c>
      <c r="G45">
        <v>154</v>
      </c>
      <c r="H45">
        <v>19.47</v>
      </c>
      <c r="I45">
        <v>3</v>
      </c>
    </row>
    <row r="46" spans="1:9" x14ac:dyDescent="0.25">
      <c r="A46" s="1" t="s">
        <v>8</v>
      </c>
      <c r="B46" s="1" t="s">
        <v>79</v>
      </c>
      <c r="C46" s="1" t="str">
        <f>_xlfn.XLOOKUP(Clients_Churn[[#This Row],[Province_Client]],Logs_Reseau!B:B,Logs_Reseau!E:E,"Pas de correspondance")</f>
        <v>ANT-0037</v>
      </c>
      <c r="D46" s="1" t="s">
        <v>10</v>
      </c>
      <c r="E46">
        <v>16</v>
      </c>
      <c r="F46" s="1" t="s">
        <v>19</v>
      </c>
      <c r="G46">
        <v>43</v>
      </c>
      <c r="H46">
        <v>56.48</v>
      </c>
      <c r="I46">
        <v>0</v>
      </c>
    </row>
    <row r="47" spans="1:9" x14ac:dyDescent="0.25">
      <c r="A47" s="1" t="s">
        <v>8</v>
      </c>
      <c r="B47" s="1" t="s">
        <v>80</v>
      </c>
      <c r="C47" s="1" t="str">
        <f>_xlfn.XLOOKUP(Clients_Churn[[#This Row],[Province_Client]],Logs_Reseau!B:B,Logs_Reseau!E:E,"Pas de correspondance")</f>
        <v>ANT-0850</v>
      </c>
      <c r="D47" s="1" t="s">
        <v>51</v>
      </c>
      <c r="E47">
        <v>112</v>
      </c>
      <c r="F47" s="1" t="s">
        <v>14</v>
      </c>
      <c r="G47">
        <v>18</v>
      </c>
      <c r="H47">
        <v>27.33</v>
      </c>
      <c r="I47">
        <v>5</v>
      </c>
    </row>
    <row r="48" spans="1:9" x14ac:dyDescent="0.25">
      <c r="A48" s="1" t="s">
        <v>8</v>
      </c>
      <c r="B48" s="1" t="s">
        <v>81</v>
      </c>
      <c r="C48" s="1" t="str">
        <f>_xlfn.XLOOKUP(Clients_Churn[[#This Row],[Province_Client]],Logs_Reseau!B:B,Logs_Reseau!E:E,"Pas de correspondance")</f>
        <v>ANT-0166</v>
      </c>
      <c r="D48" s="1" t="s">
        <v>31</v>
      </c>
      <c r="E48">
        <v>27</v>
      </c>
      <c r="F48" s="1" t="s">
        <v>19</v>
      </c>
      <c r="G48">
        <v>275</v>
      </c>
      <c r="H48">
        <v>80.069999999999993</v>
      </c>
      <c r="I48">
        <v>1</v>
      </c>
    </row>
    <row r="49" spans="1:9" x14ac:dyDescent="0.25">
      <c r="A49" s="1" t="s">
        <v>8</v>
      </c>
      <c r="B49" s="1" t="s">
        <v>82</v>
      </c>
      <c r="C49" s="1" t="str">
        <f>_xlfn.XLOOKUP(Clients_Churn[[#This Row],[Province_Client]],Logs_Reseau!B:B,Logs_Reseau!E:E,"Pas de correspondance")</f>
        <v>ANT-0731</v>
      </c>
      <c r="D49" s="1" t="s">
        <v>1676</v>
      </c>
      <c r="E49">
        <v>117</v>
      </c>
      <c r="F49" s="1" t="s">
        <v>22</v>
      </c>
      <c r="G49">
        <v>171</v>
      </c>
      <c r="H49">
        <v>50.89</v>
      </c>
      <c r="I49">
        <v>4</v>
      </c>
    </row>
    <row r="50" spans="1:9" x14ac:dyDescent="0.25">
      <c r="A50" s="1" t="s">
        <v>8</v>
      </c>
      <c r="B50" s="1" t="s">
        <v>83</v>
      </c>
      <c r="C50" s="1" t="str">
        <f>_xlfn.XLOOKUP(Clients_Churn[[#This Row],[Province_Client]],Logs_Reseau!B:B,Logs_Reseau!E:E,"Pas de correspondance")</f>
        <v>ANT-0850</v>
      </c>
      <c r="D50" s="1" t="s">
        <v>51</v>
      </c>
      <c r="E50">
        <v>47</v>
      </c>
      <c r="F50" s="1" t="s">
        <v>19</v>
      </c>
      <c r="G50">
        <v>199</v>
      </c>
      <c r="H50">
        <v>23.19</v>
      </c>
      <c r="I50">
        <v>2</v>
      </c>
    </row>
    <row r="51" spans="1:9" x14ac:dyDescent="0.25">
      <c r="A51" s="1" t="s">
        <v>8</v>
      </c>
      <c r="B51" s="1" t="s">
        <v>84</v>
      </c>
      <c r="C51" s="1" t="str">
        <f>_xlfn.XLOOKUP(Clients_Churn[[#This Row],[Province_Client]],Logs_Reseau!B:B,Logs_Reseau!E:E,"Pas de correspondance")</f>
        <v>ANT-0315</v>
      </c>
      <c r="D51" s="1" t="s">
        <v>60</v>
      </c>
      <c r="E51">
        <v>21</v>
      </c>
      <c r="F51" s="1" t="s">
        <v>11</v>
      </c>
      <c r="G51">
        <v>371</v>
      </c>
      <c r="H51">
        <v>48.31</v>
      </c>
      <c r="I51">
        <v>0</v>
      </c>
    </row>
    <row r="52" spans="1:9" x14ac:dyDescent="0.25">
      <c r="A52" s="1" t="s">
        <v>85</v>
      </c>
      <c r="B52" s="1" t="s">
        <v>86</v>
      </c>
      <c r="C52" s="1" t="str">
        <f>_xlfn.XLOOKUP(Clients_Churn[[#This Row],[Province_Client]],Logs_Reseau!B:B,Logs_Reseau!E:E,"Pas de correspondance")</f>
        <v>ANT-0850</v>
      </c>
      <c r="D52" s="1" t="s">
        <v>51</v>
      </c>
      <c r="E52">
        <v>82</v>
      </c>
      <c r="F52" s="1" t="s">
        <v>19</v>
      </c>
      <c r="G52">
        <v>132</v>
      </c>
      <c r="H52">
        <v>50.14</v>
      </c>
      <c r="I52">
        <v>5</v>
      </c>
    </row>
    <row r="53" spans="1:9" x14ac:dyDescent="0.25">
      <c r="A53" s="1" t="s">
        <v>85</v>
      </c>
      <c r="B53" s="1" t="s">
        <v>87</v>
      </c>
      <c r="C53" s="1" t="str">
        <f>_xlfn.XLOOKUP(Clients_Churn[[#This Row],[Province_Client]],Logs_Reseau!B:B,Logs_Reseau!E:E,"Pas de correspondance")</f>
        <v>ANT-0852</v>
      </c>
      <c r="D53" s="1" t="s">
        <v>21</v>
      </c>
      <c r="E53">
        <v>59</v>
      </c>
      <c r="F53" s="1" t="s">
        <v>22</v>
      </c>
      <c r="G53">
        <v>192</v>
      </c>
      <c r="H53">
        <v>86.17</v>
      </c>
      <c r="I53">
        <v>1</v>
      </c>
    </row>
    <row r="54" spans="1:9" x14ac:dyDescent="0.25">
      <c r="A54" s="1" t="s">
        <v>85</v>
      </c>
      <c r="B54" s="1" t="s">
        <v>88</v>
      </c>
      <c r="C54" s="1" t="str">
        <f>_xlfn.XLOOKUP(Clients_Churn[[#This Row],[Province_Client]],Logs_Reseau!B:B,Logs_Reseau!E:E,"Pas de correspondance")</f>
        <v>ANT-0935</v>
      </c>
      <c r="D54" s="1" t="s">
        <v>89</v>
      </c>
      <c r="E54">
        <v>98</v>
      </c>
      <c r="F54" s="1" t="s">
        <v>14</v>
      </c>
      <c r="G54">
        <v>482</v>
      </c>
      <c r="H54">
        <v>55.04</v>
      </c>
      <c r="I54">
        <v>5</v>
      </c>
    </row>
    <row r="55" spans="1:9" x14ac:dyDescent="0.25">
      <c r="A55" s="1" t="s">
        <v>85</v>
      </c>
      <c r="B55" s="1" t="s">
        <v>90</v>
      </c>
      <c r="C55" s="1" t="str">
        <f>_xlfn.XLOOKUP(Clients_Churn[[#This Row],[Province_Client]],Logs_Reseau!B:B,Logs_Reseau!E:E,"Pas de correspondance")</f>
        <v>ANT-0760</v>
      </c>
      <c r="D55" s="1" t="s">
        <v>35</v>
      </c>
      <c r="E55">
        <v>58</v>
      </c>
      <c r="F55" s="1" t="s">
        <v>19</v>
      </c>
      <c r="G55">
        <v>423</v>
      </c>
      <c r="H55">
        <v>80.459999999999994</v>
      </c>
      <c r="I55">
        <v>0</v>
      </c>
    </row>
    <row r="56" spans="1:9" x14ac:dyDescent="0.25">
      <c r="A56" s="1" t="s">
        <v>85</v>
      </c>
      <c r="B56" s="1" t="s">
        <v>91</v>
      </c>
      <c r="C56" s="1" t="str">
        <f>_xlfn.XLOOKUP(Clients_Churn[[#This Row],[Province_Client]],Logs_Reseau!B:B,Logs_Reseau!E:E,"Pas de correspondance")</f>
        <v>ANT-0737</v>
      </c>
      <c r="D56" s="1" t="s">
        <v>62</v>
      </c>
      <c r="E56">
        <v>86</v>
      </c>
      <c r="F56" s="1" t="s">
        <v>19</v>
      </c>
      <c r="G56">
        <v>460</v>
      </c>
      <c r="H56">
        <v>22.81</v>
      </c>
      <c r="I56">
        <v>4</v>
      </c>
    </row>
    <row r="57" spans="1:9" x14ac:dyDescent="0.25">
      <c r="A57" s="1" t="s">
        <v>85</v>
      </c>
      <c r="B57" s="1" t="s">
        <v>92</v>
      </c>
      <c r="C57" s="1" t="str">
        <f>_xlfn.XLOOKUP(Clients_Churn[[#This Row],[Province_Client]],Logs_Reseau!B:B,Logs_Reseau!E:E,"Pas de correspondance")</f>
        <v>ANT-0945</v>
      </c>
      <c r="D57" s="1" t="s">
        <v>73</v>
      </c>
      <c r="E57">
        <v>58</v>
      </c>
      <c r="F57" s="1" t="s">
        <v>22</v>
      </c>
      <c r="G57">
        <v>61</v>
      </c>
      <c r="H57">
        <v>58.64</v>
      </c>
      <c r="I57">
        <v>3</v>
      </c>
    </row>
    <row r="58" spans="1:9" x14ac:dyDescent="0.25">
      <c r="A58" s="1" t="s">
        <v>85</v>
      </c>
      <c r="B58" s="1" t="s">
        <v>93</v>
      </c>
      <c r="C58" s="1" t="str">
        <f>_xlfn.XLOOKUP(Clients_Churn[[#This Row],[Province_Client]],Logs_Reseau!B:B,Logs_Reseau!E:E,"Pas de correspondance")</f>
        <v>ANT-0011</v>
      </c>
      <c r="D58" s="1" t="s">
        <v>44</v>
      </c>
      <c r="E58">
        <v>20</v>
      </c>
      <c r="F58" s="1" t="s">
        <v>19</v>
      </c>
      <c r="G58">
        <v>26</v>
      </c>
      <c r="H58">
        <v>25.14</v>
      </c>
      <c r="I58">
        <v>0</v>
      </c>
    </row>
    <row r="59" spans="1:9" x14ac:dyDescent="0.25">
      <c r="A59" s="1" t="s">
        <v>85</v>
      </c>
      <c r="B59" s="1" t="s">
        <v>94</v>
      </c>
      <c r="C59" s="1" t="str">
        <f>_xlfn.XLOOKUP(Clients_Churn[[#This Row],[Province_Client]],Logs_Reseau!B:B,Logs_Reseau!E:E,"Pas de correspondance")</f>
        <v>ANT-0850</v>
      </c>
      <c r="D59" s="1" t="s">
        <v>51</v>
      </c>
      <c r="E59">
        <v>111</v>
      </c>
      <c r="F59" s="1" t="s">
        <v>11</v>
      </c>
      <c r="G59">
        <v>103</v>
      </c>
      <c r="H59">
        <v>32.06</v>
      </c>
      <c r="I59">
        <v>0</v>
      </c>
    </row>
    <row r="60" spans="1:9" x14ac:dyDescent="0.25">
      <c r="A60" s="1" t="s">
        <v>85</v>
      </c>
      <c r="B60" s="1" t="s">
        <v>95</v>
      </c>
      <c r="C60" s="1" t="str">
        <f>_xlfn.XLOOKUP(Clients_Churn[[#This Row],[Province_Client]],Logs_Reseau!B:B,Logs_Reseau!E:E,"Pas de correspondance")</f>
        <v>ANT-0852</v>
      </c>
      <c r="D60" s="1" t="s">
        <v>21</v>
      </c>
      <c r="E60">
        <v>94</v>
      </c>
      <c r="F60" s="1" t="s">
        <v>22</v>
      </c>
      <c r="G60">
        <v>122</v>
      </c>
      <c r="H60">
        <v>95.74</v>
      </c>
      <c r="I60">
        <v>5</v>
      </c>
    </row>
    <row r="61" spans="1:9" x14ac:dyDescent="0.25">
      <c r="A61" s="1" t="s">
        <v>85</v>
      </c>
      <c r="B61" s="1" t="s">
        <v>96</v>
      </c>
      <c r="C61" s="1" t="str">
        <f>_xlfn.XLOOKUP(Clients_Churn[[#This Row],[Province_Client]],Logs_Reseau!B:B,Logs_Reseau!E:E,"Pas de correspondance")</f>
        <v>ANT-0760</v>
      </c>
      <c r="D61" s="1" t="s">
        <v>35</v>
      </c>
      <c r="E61">
        <v>42</v>
      </c>
      <c r="F61" s="1" t="s">
        <v>22</v>
      </c>
      <c r="G61">
        <v>385</v>
      </c>
      <c r="H61">
        <v>96.52</v>
      </c>
      <c r="I61">
        <v>1</v>
      </c>
    </row>
    <row r="62" spans="1:9" x14ac:dyDescent="0.25">
      <c r="A62" s="1" t="s">
        <v>85</v>
      </c>
      <c r="B62" s="1" t="s">
        <v>97</v>
      </c>
      <c r="C62" s="1" t="str">
        <f>_xlfn.XLOOKUP(Clients_Churn[[#This Row],[Province_Client]],Logs_Reseau!B:B,Logs_Reseau!E:E,"Pas de correspondance")</f>
        <v>ANT-0852</v>
      </c>
      <c r="D62" s="1" t="s">
        <v>21</v>
      </c>
      <c r="E62">
        <v>12</v>
      </c>
      <c r="F62" s="1" t="s">
        <v>14</v>
      </c>
      <c r="G62">
        <v>305</v>
      </c>
      <c r="H62">
        <v>59.96</v>
      </c>
      <c r="I62">
        <v>3</v>
      </c>
    </row>
    <row r="63" spans="1:9" x14ac:dyDescent="0.25">
      <c r="A63" s="1" t="s">
        <v>85</v>
      </c>
      <c r="B63" s="1" t="s">
        <v>98</v>
      </c>
      <c r="C63" s="1" t="str">
        <f>_xlfn.XLOOKUP(Clients_Churn[[#This Row],[Province_Client]],Logs_Reseau!B:B,Logs_Reseau!E:E,"Pas de correspondance")</f>
        <v>ANT-0760</v>
      </c>
      <c r="D63" s="1" t="s">
        <v>35</v>
      </c>
      <c r="E63">
        <v>103</v>
      </c>
      <c r="F63" s="1" t="s">
        <v>19</v>
      </c>
      <c r="G63">
        <v>300</v>
      </c>
      <c r="H63">
        <v>13.76</v>
      </c>
      <c r="I63">
        <v>4</v>
      </c>
    </row>
    <row r="64" spans="1:9" x14ac:dyDescent="0.25">
      <c r="A64" s="1" t="s">
        <v>85</v>
      </c>
      <c r="B64" s="1" t="s">
        <v>99</v>
      </c>
      <c r="C64" s="1" t="str">
        <f>_xlfn.XLOOKUP(Clients_Churn[[#This Row],[Province_Client]],Logs_Reseau!B:B,Logs_Reseau!E:E,"Pas de correspondance")</f>
        <v>ANT-0760</v>
      </c>
      <c r="D64" s="1" t="s">
        <v>35</v>
      </c>
      <c r="E64">
        <v>80</v>
      </c>
      <c r="F64" s="1" t="s">
        <v>11</v>
      </c>
      <c r="G64">
        <v>121</v>
      </c>
      <c r="H64">
        <v>83.14</v>
      </c>
      <c r="I64">
        <v>5</v>
      </c>
    </row>
    <row r="65" spans="1:9" x14ac:dyDescent="0.25">
      <c r="A65" s="1" t="s">
        <v>85</v>
      </c>
      <c r="B65" s="1" t="s">
        <v>100</v>
      </c>
      <c r="C65" s="1" t="str">
        <f>_xlfn.XLOOKUP(Clients_Churn[[#This Row],[Province_Client]],Logs_Reseau!B:B,Logs_Reseau!E:E,"Pas de correspondance")</f>
        <v>ANT-0566</v>
      </c>
      <c r="D65" s="1" t="s">
        <v>26</v>
      </c>
      <c r="E65">
        <v>86</v>
      </c>
      <c r="F65" s="1" t="s">
        <v>14</v>
      </c>
      <c r="G65">
        <v>252</v>
      </c>
      <c r="H65">
        <v>96.5</v>
      </c>
      <c r="I65">
        <v>5</v>
      </c>
    </row>
    <row r="66" spans="1:9" x14ac:dyDescent="0.25">
      <c r="A66" s="1" t="s">
        <v>85</v>
      </c>
      <c r="B66" s="1" t="s">
        <v>101</v>
      </c>
      <c r="C66" s="1" t="str">
        <f>_xlfn.XLOOKUP(Clients_Churn[[#This Row],[Province_Client]],Logs_Reseau!B:B,Logs_Reseau!E:E,"Pas de correspondance")</f>
        <v>ANT-0913</v>
      </c>
      <c r="D66" s="1" t="s">
        <v>64</v>
      </c>
      <c r="E66">
        <v>80</v>
      </c>
      <c r="F66" s="1" t="s">
        <v>19</v>
      </c>
      <c r="G66">
        <v>260</v>
      </c>
      <c r="H66">
        <v>65.87</v>
      </c>
      <c r="I66">
        <v>3</v>
      </c>
    </row>
    <row r="67" spans="1:9" x14ac:dyDescent="0.25">
      <c r="A67" s="1" t="s">
        <v>85</v>
      </c>
      <c r="B67" s="1" t="s">
        <v>102</v>
      </c>
      <c r="C67" s="1" t="str">
        <f>_xlfn.XLOOKUP(Clients_Churn[[#This Row],[Province_Client]],Logs_Reseau!B:B,Logs_Reseau!E:E,"Pas de correspondance")</f>
        <v>ANT-0624</v>
      </c>
      <c r="D67" s="1" t="s">
        <v>24</v>
      </c>
      <c r="E67">
        <v>53</v>
      </c>
      <c r="F67" s="1" t="s">
        <v>14</v>
      </c>
      <c r="G67">
        <v>385</v>
      </c>
      <c r="H67">
        <v>68.78</v>
      </c>
      <c r="I67">
        <v>3</v>
      </c>
    </row>
    <row r="68" spans="1:9" x14ac:dyDescent="0.25">
      <c r="A68" s="1" t="s">
        <v>85</v>
      </c>
      <c r="B68" s="1" t="s">
        <v>103</v>
      </c>
      <c r="C68" s="1" t="str">
        <f>_xlfn.XLOOKUP(Clients_Churn[[#This Row],[Province_Client]],Logs_Reseau!B:B,Logs_Reseau!E:E,"Pas de correspondance")</f>
        <v>ANT-0011</v>
      </c>
      <c r="D68" s="1" t="s">
        <v>44</v>
      </c>
      <c r="E68">
        <v>50</v>
      </c>
      <c r="F68" s="1" t="s">
        <v>19</v>
      </c>
      <c r="G68">
        <v>258</v>
      </c>
      <c r="H68">
        <v>25.06</v>
      </c>
      <c r="I68">
        <v>4</v>
      </c>
    </row>
    <row r="69" spans="1:9" x14ac:dyDescent="0.25">
      <c r="A69" s="1" t="s">
        <v>85</v>
      </c>
      <c r="B69" s="1" t="s">
        <v>104</v>
      </c>
      <c r="C69" s="1" t="str">
        <f>_xlfn.XLOOKUP(Clients_Churn[[#This Row],[Province_Client]],Logs_Reseau!B:B,Logs_Reseau!E:E,"Pas de correspondance")</f>
        <v>ANT-0011</v>
      </c>
      <c r="D69" s="1" t="s">
        <v>44</v>
      </c>
      <c r="E69">
        <v>30</v>
      </c>
      <c r="F69" s="1" t="s">
        <v>11</v>
      </c>
      <c r="G69">
        <v>197</v>
      </c>
      <c r="H69">
        <v>15.42</v>
      </c>
      <c r="I69">
        <v>0</v>
      </c>
    </row>
    <row r="70" spans="1:9" x14ac:dyDescent="0.25">
      <c r="A70" s="1" t="s">
        <v>85</v>
      </c>
      <c r="B70" s="1" t="s">
        <v>105</v>
      </c>
      <c r="C70" s="1" t="str">
        <f>_xlfn.XLOOKUP(Clients_Churn[[#This Row],[Province_Client]],Logs_Reseau!B:B,Logs_Reseau!E:E,"Pas de correspondance")</f>
        <v>ANT-0624</v>
      </c>
      <c r="D70" s="1" t="s">
        <v>24</v>
      </c>
      <c r="E70">
        <v>116</v>
      </c>
      <c r="F70" s="1" t="s">
        <v>14</v>
      </c>
      <c r="G70">
        <v>486</v>
      </c>
      <c r="H70">
        <v>92.96</v>
      </c>
      <c r="I70">
        <v>5</v>
      </c>
    </row>
    <row r="71" spans="1:9" x14ac:dyDescent="0.25">
      <c r="A71" s="1" t="s">
        <v>85</v>
      </c>
      <c r="B71" s="1" t="s">
        <v>106</v>
      </c>
      <c r="C71" s="1" t="str">
        <f>_xlfn.XLOOKUP(Clients_Churn[[#This Row],[Province_Client]],Logs_Reseau!B:B,Logs_Reseau!E:E,"Pas de correspondance")</f>
        <v>ANT-0935</v>
      </c>
      <c r="D71" s="1" t="s">
        <v>89</v>
      </c>
      <c r="E71">
        <v>51</v>
      </c>
      <c r="F71" s="1" t="s">
        <v>22</v>
      </c>
      <c r="G71">
        <v>58</v>
      </c>
      <c r="H71">
        <v>34.6</v>
      </c>
      <c r="I71">
        <v>5</v>
      </c>
    </row>
    <row r="72" spans="1:9" x14ac:dyDescent="0.25">
      <c r="A72" s="1" t="s">
        <v>85</v>
      </c>
      <c r="B72" s="1" t="s">
        <v>107</v>
      </c>
      <c r="C72" s="1" t="str">
        <f>_xlfn.XLOOKUP(Clients_Churn[[#This Row],[Province_Client]],Logs_Reseau!B:B,Logs_Reseau!E:E,"Pas de correspondance")</f>
        <v>ANT-0037</v>
      </c>
      <c r="D72" s="1" t="s">
        <v>10</v>
      </c>
      <c r="E72">
        <v>44</v>
      </c>
      <c r="F72" s="1" t="s">
        <v>14</v>
      </c>
      <c r="G72">
        <v>137</v>
      </c>
      <c r="H72">
        <v>32.58</v>
      </c>
      <c r="I72">
        <v>0</v>
      </c>
    </row>
    <row r="73" spans="1:9" x14ac:dyDescent="0.25">
      <c r="A73" s="1" t="s">
        <v>85</v>
      </c>
      <c r="B73" s="1" t="s">
        <v>108</v>
      </c>
      <c r="C73" s="1" t="str">
        <f>_xlfn.XLOOKUP(Clients_Churn[[#This Row],[Province_Client]],Logs_Reseau!B:B,Logs_Reseau!E:E,"Pas de correspondance")</f>
        <v>ANT-0737</v>
      </c>
      <c r="D73" s="1" t="s">
        <v>62</v>
      </c>
      <c r="E73">
        <v>70</v>
      </c>
      <c r="F73" s="1" t="s">
        <v>19</v>
      </c>
      <c r="G73">
        <v>31</v>
      </c>
      <c r="H73">
        <v>71.2</v>
      </c>
      <c r="I73">
        <v>4</v>
      </c>
    </row>
    <row r="74" spans="1:9" x14ac:dyDescent="0.25">
      <c r="A74" s="1" t="s">
        <v>85</v>
      </c>
      <c r="B74" s="1" t="s">
        <v>109</v>
      </c>
      <c r="C74" s="1" t="str">
        <f>_xlfn.XLOOKUP(Clients_Churn[[#This Row],[Province_Client]],Logs_Reseau!B:B,Logs_Reseau!E:E,"Pas de correspondance")</f>
        <v>ANT-0760</v>
      </c>
      <c r="D74" s="1" t="s">
        <v>35</v>
      </c>
      <c r="E74">
        <v>6</v>
      </c>
      <c r="F74" s="1" t="s">
        <v>11</v>
      </c>
      <c r="G74">
        <v>162</v>
      </c>
      <c r="H74">
        <v>99.93</v>
      </c>
      <c r="I74">
        <v>0</v>
      </c>
    </row>
    <row r="75" spans="1:9" x14ac:dyDescent="0.25">
      <c r="A75" s="1" t="s">
        <v>85</v>
      </c>
      <c r="B75" s="1" t="s">
        <v>110</v>
      </c>
      <c r="C75" s="1" t="str">
        <f>_xlfn.XLOOKUP(Clients_Churn[[#This Row],[Province_Client]],Logs_Reseau!B:B,Logs_Reseau!E:E,"Pas de correspondance")</f>
        <v>ANT-0760</v>
      </c>
      <c r="D75" s="1" t="s">
        <v>35</v>
      </c>
      <c r="E75">
        <v>86</v>
      </c>
      <c r="F75" s="1" t="s">
        <v>14</v>
      </c>
      <c r="G75">
        <v>237</v>
      </c>
      <c r="H75">
        <v>85.82</v>
      </c>
      <c r="I75">
        <v>5</v>
      </c>
    </row>
    <row r="76" spans="1:9" x14ac:dyDescent="0.25">
      <c r="A76" s="1" t="s">
        <v>85</v>
      </c>
      <c r="B76" s="1" t="s">
        <v>111</v>
      </c>
      <c r="C76" s="1" t="str">
        <f>_xlfn.XLOOKUP(Clients_Churn[[#This Row],[Province_Client]],Logs_Reseau!B:B,Logs_Reseau!E:E,"Pas de correspondance")</f>
        <v>ANT-0270</v>
      </c>
      <c r="D76" s="1" t="s">
        <v>1675</v>
      </c>
      <c r="E76">
        <v>114</v>
      </c>
      <c r="F76" s="1" t="s">
        <v>11</v>
      </c>
      <c r="G76">
        <v>283</v>
      </c>
      <c r="H76">
        <v>29.15</v>
      </c>
      <c r="I76">
        <v>3</v>
      </c>
    </row>
    <row r="77" spans="1:9" x14ac:dyDescent="0.25">
      <c r="A77" s="1" t="s">
        <v>85</v>
      </c>
      <c r="B77" s="1" t="s">
        <v>112</v>
      </c>
      <c r="C77" s="1" t="str">
        <f>_xlfn.XLOOKUP(Clients_Churn[[#This Row],[Province_Client]],Logs_Reseau!B:B,Logs_Reseau!E:E,"Pas de correspondance")</f>
        <v>ANT-0332</v>
      </c>
      <c r="D77" s="1" t="s">
        <v>1674</v>
      </c>
      <c r="E77">
        <v>57</v>
      </c>
      <c r="F77" s="1" t="s">
        <v>19</v>
      </c>
      <c r="G77">
        <v>208</v>
      </c>
      <c r="H77">
        <v>85.66</v>
      </c>
      <c r="I77">
        <v>5</v>
      </c>
    </row>
    <row r="78" spans="1:9" x14ac:dyDescent="0.25">
      <c r="A78" s="1" t="s">
        <v>85</v>
      </c>
      <c r="B78" s="1" t="s">
        <v>113</v>
      </c>
      <c r="C78" s="1" t="str">
        <f>_xlfn.XLOOKUP(Clients_Churn[[#This Row],[Province_Client]],Logs_Reseau!B:B,Logs_Reseau!E:E,"Pas de correspondance")</f>
        <v>ANT-0371</v>
      </c>
      <c r="D78" s="1" t="s">
        <v>18</v>
      </c>
      <c r="E78">
        <v>95</v>
      </c>
      <c r="F78" s="1" t="s">
        <v>19</v>
      </c>
      <c r="G78">
        <v>33</v>
      </c>
      <c r="H78">
        <v>35.32</v>
      </c>
      <c r="I78">
        <v>0</v>
      </c>
    </row>
    <row r="79" spans="1:9" x14ac:dyDescent="0.25">
      <c r="A79" s="1" t="s">
        <v>85</v>
      </c>
      <c r="B79" s="1" t="s">
        <v>114</v>
      </c>
      <c r="C79" s="1" t="str">
        <f>_xlfn.XLOOKUP(Clients_Churn[[#This Row],[Province_Client]],Logs_Reseau!B:B,Logs_Reseau!E:E,"Pas de correspondance")</f>
        <v>ANT-0566</v>
      </c>
      <c r="D79" s="1" t="s">
        <v>26</v>
      </c>
      <c r="E79">
        <v>36</v>
      </c>
      <c r="F79" s="1" t="s">
        <v>19</v>
      </c>
      <c r="G79">
        <v>247</v>
      </c>
      <c r="H79">
        <v>24.53</v>
      </c>
      <c r="I79">
        <v>2</v>
      </c>
    </row>
    <row r="80" spans="1:9" x14ac:dyDescent="0.25">
      <c r="A80" s="1" t="s">
        <v>85</v>
      </c>
      <c r="B80" s="1" t="s">
        <v>115</v>
      </c>
      <c r="C80" s="1" t="str">
        <f>_xlfn.XLOOKUP(Clients_Churn[[#This Row],[Province_Client]],Logs_Reseau!B:B,Logs_Reseau!E:E,"Pas de correspondance")</f>
        <v>ANT-0913</v>
      </c>
      <c r="D80" s="1" t="s">
        <v>64</v>
      </c>
      <c r="E80">
        <v>83</v>
      </c>
      <c r="F80" s="1" t="s">
        <v>22</v>
      </c>
      <c r="G80">
        <v>14</v>
      </c>
      <c r="H80">
        <v>58.07</v>
      </c>
      <c r="I80">
        <v>3</v>
      </c>
    </row>
    <row r="81" spans="1:9" x14ac:dyDescent="0.25">
      <c r="A81" s="1" t="s">
        <v>85</v>
      </c>
      <c r="B81" s="1" t="s">
        <v>116</v>
      </c>
      <c r="C81" s="1" t="str">
        <f>_xlfn.XLOOKUP(Clients_Churn[[#This Row],[Province_Client]],Logs_Reseau!B:B,Logs_Reseau!E:E,"Pas de correspondance")</f>
        <v>ANT-0850</v>
      </c>
      <c r="D81" s="1" t="s">
        <v>51</v>
      </c>
      <c r="E81">
        <v>12</v>
      </c>
      <c r="F81" s="1" t="s">
        <v>11</v>
      </c>
      <c r="G81">
        <v>208</v>
      </c>
      <c r="H81">
        <v>16.29</v>
      </c>
      <c r="I81">
        <v>4</v>
      </c>
    </row>
    <row r="82" spans="1:9" x14ac:dyDescent="0.25">
      <c r="A82" s="1" t="s">
        <v>85</v>
      </c>
      <c r="B82" s="1" t="s">
        <v>117</v>
      </c>
      <c r="C82" s="1" t="str">
        <f>_xlfn.XLOOKUP(Clients_Churn[[#This Row],[Province_Client]],Logs_Reseau!B:B,Logs_Reseau!E:E,"Pas de correspondance")</f>
        <v>ANT-0315</v>
      </c>
      <c r="D82" s="1" t="s">
        <v>60</v>
      </c>
      <c r="E82">
        <v>111</v>
      </c>
      <c r="F82" s="1" t="s">
        <v>22</v>
      </c>
      <c r="G82">
        <v>324</v>
      </c>
      <c r="H82">
        <v>18.07</v>
      </c>
      <c r="I82">
        <v>2</v>
      </c>
    </row>
    <row r="83" spans="1:9" x14ac:dyDescent="0.25">
      <c r="A83" s="1" t="s">
        <v>85</v>
      </c>
      <c r="B83" s="1" t="s">
        <v>118</v>
      </c>
      <c r="C83" s="1" t="str">
        <f>_xlfn.XLOOKUP(Clients_Churn[[#This Row],[Province_Client]],Logs_Reseau!B:B,Logs_Reseau!E:E,"Pas de correspondance")</f>
        <v>ANT-0852</v>
      </c>
      <c r="D83" s="1" t="s">
        <v>21</v>
      </c>
      <c r="E83">
        <v>22</v>
      </c>
      <c r="F83" s="1" t="s">
        <v>22</v>
      </c>
      <c r="G83">
        <v>119</v>
      </c>
      <c r="H83">
        <v>72.86</v>
      </c>
      <c r="I83">
        <v>3</v>
      </c>
    </row>
    <row r="84" spans="1:9" x14ac:dyDescent="0.25">
      <c r="A84" s="1" t="s">
        <v>85</v>
      </c>
      <c r="B84" s="1" t="s">
        <v>119</v>
      </c>
      <c r="C84" s="1" t="str">
        <f>_xlfn.XLOOKUP(Clients_Churn[[#This Row],[Province_Client]],Logs_Reseau!B:B,Logs_Reseau!E:E,"Pas de correspondance")</f>
        <v>ANT-0134</v>
      </c>
      <c r="D84" s="1" t="s">
        <v>40</v>
      </c>
      <c r="E84">
        <v>91</v>
      </c>
      <c r="F84" s="1" t="s">
        <v>11</v>
      </c>
      <c r="G84">
        <v>467</v>
      </c>
      <c r="H84">
        <v>84.74</v>
      </c>
      <c r="I84">
        <v>1</v>
      </c>
    </row>
    <row r="85" spans="1:9" x14ac:dyDescent="0.25">
      <c r="A85" s="1" t="s">
        <v>85</v>
      </c>
      <c r="B85" s="1" t="s">
        <v>120</v>
      </c>
      <c r="C85" s="1" t="str">
        <f>_xlfn.XLOOKUP(Clients_Churn[[#This Row],[Province_Client]],Logs_Reseau!B:B,Logs_Reseau!E:E,"Pas de correspondance")</f>
        <v>ANT-0737</v>
      </c>
      <c r="D85" s="1" t="s">
        <v>62</v>
      </c>
      <c r="E85">
        <v>4</v>
      </c>
      <c r="F85" s="1" t="s">
        <v>19</v>
      </c>
      <c r="G85">
        <v>453</v>
      </c>
      <c r="H85">
        <v>75.260000000000005</v>
      </c>
      <c r="I85">
        <v>5</v>
      </c>
    </row>
    <row r="86" spans="1:9" x14ac:dyDescent="0.25">
      <c r="A86" s="1" t="s">
        <v>85</v>
      </c>
      <c r="B86" s="1" t="s">
        <v>121</v>
      </c>
      <c r="C86" s="1" t="str">
        <f>_xlfn.XLOOKUP(Clients_Churn[[#This Row],[Province_Client]],Logs_Reseau!B:B,Logs_Reseau!E:E,"Pas de correspondance")</f>
        <v>ANT-0037</v>
      </c>
      <c r="D86" s="1" t="s">
        <v>10</v>
      </c>
      <c r="E86">
        <v>74</v>
      </c>
      <c r="F86" s="1" t="s">
        <v>22</v>
      </c>
      <c r="G86">
        <v>9</v>
      </c>
      <c r="H86">
        <v>99.89</v>
      </c>
      <c r="I86">
        <v>0</v>
      </c>
    </row>
    <row r="87" spans="1:9" x14ac:dyDescent="0.25">
      <c r="A87" s="1" t="s">
        <v>85</v>
      </c>
      <c r="B87" s="1" t="s">
        <v>122</v>
      </c>
      <c r="C87" s="1" t="str">
        <f>_xlfn.XLOOKUP(Clients_Churn[[#This Row],[Province_Client]],Logs_Reseau!B:B,Logs_Reseau!E:E,"Pas de correspondance")</f>
        <v>ANT-0566</v>
      </c>
      <c r="D87" s="1" t="s">
        <v>26</v>
      </c>
      <c r="E87">
        <v>81</v>
      </c>
      <c r="F87" s="1" t="s">
        <v>11</v>
      </c>
      <c r="G87">
        <v>137</v>
      </c>
      <c r="H87">
        <v>89.05</v>
      </c>
      <c r="I87">
        <v>0</v>
      </c>
    </row>
    <row r="88" spans="1:9" x14ac:dyDescent="0.25">
      <c r="A88" s="1" t="s">
        <v>85</v>
      </c>
      <c r="B88" s="1" t="s">
        <v>123</v>
      </c>
      <c r="C88" s="1" t="str">
        <f>_xlfn.XLOOKUP(Clients_Churn[[#This Row],[Province_Client]],Logs_Reseau!B:B,Logs_Reseau!E:E,"Pas de correspondance")</f>
        <v>ANT-0935</v>
      </c>
      <c r="D88" s="1" t="s">
        <v>89</v>
      </c>
      <c r="E88">
        <v>102</v>
      </c>
      <c r="F88" s="1" t="s">
        <v>14</v>
      </c>
      <c r="G88">
        <v>283</v>
      </c>
      <c r="H88">
        <v>28.98</v>
      </c>
      <c r="I88">
        <v>3</v>
      </c>
    </row>
    <row r="89" spans="1:9" x14ac:dyDescent="0.25">
      <c r="A89" s="1" t="s">
        <v>85</v>
      </c>
      <c r="B89" s="1" t="s">
        <v>124</v>
      </c>
      <c r="C89" s="1" t="str">
        <f>_xlfn.XLOOKUP(Clients_Churn[[#This Row],[Province_Client]],Logs_Reseau!B:B,Logs_Reseau!E:E,"Pas de correspondance")</f>
        <v>ANT-0760</v>
      </c>
      <c r="D89" s="1" t="s">
        <v>35</v>
      </c>
      <c r="E89">
        <v>99</v>
      </c>
      <c r="F89" s="1" t="s">
        <v>22</v>
      </c>
      <c r="G89">
        <v>493</v>
      </c>
      <c r="H89">
        <v>55.43</v>
      </c>
      <c r="I89">
        <v>2</v>
      </c>
    </row>
    <row r="90" spans="1:9" x14ac:dyDescent="0.25">
      <c r="A90" s="1" t="s">
        <v>85</v>
      </c>
      <c r="B90" s="1" t="s">
        <v>125</v>
      </c>
      <c r="C90" s="1" t="str">
        <f>_xlfn.XLOOKUP(Clients_Churn[[#This Row],[Province_Client]],Logs_Reseau!B:B,Logs_Reseau!E:E,"Pas de correspondance")</f>
        <v>ANT-0935</v>
      </c>
      <c r="D90" s="1" t="s">
        <v>89</v>
      </c>
      <c r="E90">
        <v>91</v>
      </c>
      <c r="F90" s="1" t="s">
        <v>19</v>
      </c>
      <c r="G90">
        <v>300</v>
      </c>
      <c r="H90">
        <v>82.19</v>
      </c>
      <c r="I90">
        <v>1</v>
      </c>
    </row>
    <row r="91" spans="1:9" x14ac:dyDescent="0.25">
      <c r="A91" s="1" t="s">
        <v>85</v>
      </c>
      <c r="B91" s="1" t="s">
        <v>126</v>
      </c>
      <c r="C91" s="1" t="str">
        <f>_xlfn.XLOOKUP(Clients_Churn[[#This Row],[Province_Client]],Logs_Reseau!B:B,Logs_Reseau!E:E,"Pas de correspondance")</f>
        <v>ANT-0797</v>
      </c>
      <c r="D91" s="1" t="s">
        <v>127</v>
      </c>
      <c r="E91">
        <v>40</v>
      </c>
      <c r="F91" s="1" t="s">
        <v>11</v>
      </c>
      <c r="G91">
        <v>345</v>
      </c>
      <c r="H91">
        <v>89.55</v>
      </c>
      <c r="I91">
        <v>3</v>
      </c>
    </row>
    <row r="92" spans="1:9" x14ac:dyDescent="0.25">
      <c r="A92" s="1" t="s">
        <v>85</v>
      </c>
      <c r="B92" s="1" t="s">
        <v>128</v>
      </c>
      <c r="C92" s="1" t="str">
        <f>_xlfn.XLOOKUP(Clients_Churn[[#This Row],[Province_Client]],Logs_Reseau!B:B,Logs_Reseau!E:E,"Pas de correspondance")</f>
        <v>ANT-0250</v>
      </c>
      <c r="D92" s="1" t="s">
        <v>78</v>
      </c>
      <c r="E92">
        <v>72</v>
      </c>
      <c r="F92" s="1" t="s">
        <v>22</v>
      </c>
      <c r="G92">
        <v>51</v>
      </c>
      <c r="H92">
        <v>95.09</v>
      </c>
      <c r="I92">
        <v>0</v>
      </c>
    </row>
    <row r="93" spans="1:9" x14ac:dyDescent="0.25">
      <c r="A93" s="1" t="s">
        <v>85</v>
      </c>
      <c r="B93" s="1" t="s">
        <v>129</v>
      </c>
      <c r="C93" s="1" t="str">
        <f>_xlfn.XLOOKUP(Clients_Churn[[#This Row],[Province_Client]],Logs_Reseau!B:B,Logs_Reseau!E:E,"Pas de correspondance")</f>
        <v>ANT-0624</v>
      </c>
      <c r="D93" s="1" t="s">
        <v>24</v>
      </c>
      <c r="E93">
        <v>83</v>
      </c>
      <c r="F93" s="1" t="s">
        <v>19</v>
      </c>
      <c r="G93">
        <v>126</v>
      </c>
      <c r="H93">
        <v>67.17</v>
      </c>
      <c r="I93">
        <v>1</v>
      </c>
    </row>
    <row r="94" spans="1:9" x14ac:dyDescent="0.25">
      <c r="A94" s="1" t="s">
        <v>85</v>
      </c>
      <c r="B94" s="1" t="s">
        <v>130</v>
      </c>
      <c r="C94" s="1" t="str">
        <f>_xlfn.XLOOKUP(Clients_Churn[[#This Row],[Province_Client]],Logs_Reseau!B:B,Logs_Reseau!E:E,"Pas de correspondance")</f>
        <v>ANT-0553</v>
      </c>
      <c r="D94" s="1" t="s">
        <v>131</v>
      </c>
      <c r="E94">
        <v>16</v>
      </c>
      <c r="F94" s="1" t="s">
        <v>19</v>
      </c>
      <c r="G94">
        <v>390</v>
      </c>
      <c r="H94">
        <v>98.17</v>
      </c>
      <c r="I94">
        <v>5</v>
      </c>
    </row>
    <row r="95" spans="1:9" x14ac:dyDescent="0.25">
      <c r="A95" s="1" t="s">
        <v>85</v>
      </c>
      <c r="B95" s="1" t="s">
        <v>132</v>
      </c>
      <c r="C95" s="1" t="str">
        <f>_xlfn.XLOOKUP(Clients_Churn[[#This Row],[Province_Client]],Logs_Reseau!B:B,Logs_Reseau!E:E,"Pas de correspondance")</f>
        <v>ANT-0566</v>
      </c>
      <c r="D95" s="1" t="s">
        <v>26</v>
      </c>
      <c r="E95">
        <v>83</v>
      </c>
      <c r="F95" s="1" t="s">
        <v>11</v>
      </c>
      <c r="G95">
        <v>284</v>
      </c>
      <c r="H95">
        <v>73.7</v>
      </c>
      <c r="I95">
        <v>0</v>
      </c>
    </row>
    <row r="96" spans="1:9" x14ac:dyDescent="0.25">
      <c r="A96" s="1" t="s">
        <v>85</v>
      </c>
      <c r="B96" s="1" t="s">
        <v>133</v>
      </c>
      <c r="C96" s="1" t="str">
        <f>_xlfn.XLOOKUP(Clients_Churn[[#This Row],[Province_Client]],Logs_Reseau!B:B,Logs_Reseau!E:E,"Pas de correspondance")</f>
        <v>ANT-0371</v>
      </c>
      <c r="D96" s="1" t="s">
        <v>18</v>
      </c>
      <c r="E96">
        <v>72</v>
      </c>
      <c r="F96" s="1" t="s">
        <v>14</v>
      </c>
      <c r="G96">
        <v>333</v>
      </c>
      <c r="H96">
        <v>34.57</v>
      </c>
      <c r="I96">
        <v>2</v>
      </c>
    </row>
    <row r="97" spans="1:9" x14ac:dyDescent="0.25">
      <c r="A97" s="1" t="s">
        <v>85</v>
      </c>
      <c r="B97" s="1" t="s">
        <v>134</v>
      </c>
      <c r="C97" s="1" t="str">
        <f>_xlfn.XLOOKUP(Clients_Churn[[#This Row],[Province_Client]],Logs_Reseau!B:B,Logs_Reseau!E:E,"Pas de correspondance")</f>
        <v>ANT-0166</v>
      </c>
      <c r="D97" s="1" t="s">
        <v>31</v>
      </c>
      <c r="E97">
        <v>11</v>
      </c>
      <c r="F97" s="1" t="s">
        <v>19</v>
      </c>
      <c r="G97">
        <v>402</v>
      </c>
      <c r="H97">
        <v>69.599999999999994</v>
      </c>
      <c r="I97">
        <v>5</v>
      </c>
    </row>
    <row r="98" spans="1:9" x14ac:dyDescent="0.25">
      <c r="A98" s="1" t="s">
        <v>85</v>
      </c>
      <c r="B98" s="1" t="s">
        <v>135</v>
      </c>
      <c r="C98" s="1" t="str">
        <f>_xlfn.XLOOKUP(Clients_Churn[[#This Row],[Province_Client]],Logs_Reseau!B:B,Logs_Reseau!E:E,"Pas de correspondance")</f>
        <v>ANT-0011</v>
      </c>
      <c r="D98" s="1" t="s">
        <v>44</v>
      </c>
      <c r="E98">
        <v>25</v>
      </c>
      <c r="F98" s="1" t="s">
        <v>11</v>
      </c>
      <c r="G98">
        <v>64</v>
      </c>
      <c r="H98">
        <v>38.950000000000003</v>
      </c>
      <c r="I98">
        <v>5</v>
      </c>
    </row>
    <row r="99" spans="1:9" x14ac:dyDescent="0.25">
      <c r="A99" s="1" t="s">
        <v>85</v>
      </c>
      <c r="B99" s="1" t="s">
        <v>136</v>
      </c>
      <c r="C99" s="1" t="str">
        <f>_xlfn.XLOOKUP(Clients_Churn[[#This Row],[Province_Client]],Logs_Reseau!B:B,Logs_Reseau!E:E,"Pas de correspondance")</f>
        <v>ANT-0258</v>
      </c>
      <c r="D99" s="1" t="s">
        <v>137</v>
      </c>
      <c r="E99">
        <v>80</v>
      </c>
      <c r="F99" s="1" t="s">
        <v>22</v>
      </c>
      <c r="G99">
        <v>155</v>
      </c>
      <c r="H99">
        <v>28.96</v>
      </c>
      <c r="I99">
        <v>2</v>
      </c>
    </row>
    <row r="100" spans="1:9" x14ac:dyDescent="0.25">
      <c r="A100" s="1" t="s">
        <v>85</v>
      </c>
      <c r="B100" s="1" t="s">
        <v>138</v>
      </c>
      <c r="C100" s="1" t="str">
        <f>_xlfn.XLOOKUP(Clients_Churn[[#This Row],[Province_Client]],Logs_Reseau!B:B,Logs_Reseau!E:E,"Pas de correspondance")</f>
        <v>ANT-0011</v>
      </c>
      <c r="D100" s="1" t="s">
        <v>44</v>
      </c>
      <c r="E100">
        <v>70</v>
      </c>
      <c r="F100" s="1" t="s">
        <v>14</v>
      </c>
      <c r="G100">
        <v>290</v>
      </c>
      <c r="H100">
        <v>96.31</v>
      </c>
      <c r="I100">
        <v>1</v>
      </c>
    </row>
    <row r="101" spans="1:9" x14ac:dyDescent="0.25">
      <c r="A101" s="1" t="s">
        <v>85</v>
      </c>
      <c r="B101" s="1" t="s">
        <v>139</v>
      </c>
      <c r="C101" s="1" t="str">
        <f>_xlfn.XLOOKUP(Clients_Churn[[#This Row],[Province_Client]],Logs_Reseau!B:B,Logs_Reseau!E:E,"Pas de correspondance")</f>
        <v>ANT-0945</v>
      </c>
      <c r="D101" s="1" t="s">
        <v>73</v>
      </c>
      <c r="E101">
        <v>74</v>
      </c>
      <c r="F101" s="1" t="s">
        <v>11</v>
      </c>
      <c r="G101">
        <v>208</v>
      </c>
      <c r="H101">
        <v>39.56</v>
      </c>
      <c r="I101">
        <v>0</v>
      </c>
    </row>
    <row r="102" spans="1:9" x14ac:dyDescent="0.25">
      <c r="A102" s="1" t="s">
        <v>140</v>
      </c>
      <c r="B102" s="1" t="s">
        <v>141</v>
      </c>
      <c r="C102" s="1" t="str">
        <f>_xlfn.XLOOKUP(Clients_Churn[[#This Row],[Province_Client]],Logs_Reseau!B:B,Logs_Reseau!E:E,"Pas de correspondance")</f>
        <v>ANT-0624</v>
      </c>
      <c r="D102" s="1" t="s">
        <v>24</v>
      </c>
      <c r="E102">
        <v>87</v>
      </c>
      <c r="F102" s="1" t="s">
        <v>14</v>
      </c>
      <c r="G102">
        <v>442</v>
      </c>
      <c r="H102">
        <v>22.39</v>
      </c>
      <c r="I102">
        <v>3</v>
      </c>
    </row>
    <row r="103" spans="1:9" x14ac:dyDescent="0.25">
      <c r="A103" s="1" t="s">
        <v>140</v>
      </c>
      <c r="B103" s="1" t="s">
        <v>142</v>
      </c>
      <c r="C103" s="1" t="str">
        <f>_xlfn.XLOOKUP(Clients_Churn[[#This Row],[Province_Client]],Logs_Reseau!B:B,Logs_Reseau!E:E,"Pas de correspondance")</f>
        <v>ANT-0465</v>
      </c>
      <c r="D103" s="1" t="s">
        <v>37</v>
      </c>
      <c r="E103">
        <v>69</v>
      </c>
      <c r="F103" s="1" t="s">
        <v>19</v>
      </c>
      <c r="G103">
        <v>306</v>
      </c>
      <c r="H103">
        <v>13.97</v>
      </c>
      <c r="I103">
        <v>1</v>
      </c>
    </row>
    <row r="104" spans="1:9" x14ac:dyDescent="0.25">
      <c r="A104" s="1" t="s">
        <v>140</v>
      </c>
      <c r="B104" s="1" t="s">
        <v>143</v>
      </c>
      <c r="C104" s="1" t="str">
        <f>_xlfn.XLOOKUP(Clients_Churn[[#This Row],[Province_Client]],Logs_Reseau!B:B,Logs_Reseau!E:E,"Pas de correspondance")</f>
        <v>ANT-0731</v>
      </c>
      <c r="D104" s="1" t="s">
        <v>1676</v>
      </c>
      <c r="E104">
        <v>79</v>
      </c>
      <c r="F104" s="1" t="s">
        <v>22</v>
      </c>
      <c r="G104">
        <v>403</v>
      </c>
      <c r="H104">
        <v>21.49</v>
      </c>
      <c r="I104">
        <v>0</v>
      </c>
    </row>
    <row r="105" spans="1:9" x14ac:dyDescent="0.25">
      <c r="A105" s="1" t="s">
        <v>140</v>
      </c>
      <c r="B105" s="1" t="s">
        <v>144</v>
      </c>
      <c r="C105" s="1" t="str">
        <f>_xlfn.XLOOKUP(Clients_Churn[[#This Row],[Province_Client]],Logs_Reseau!B:B,Logs_Reseau!E:E,"Pas de correspondance")</f>
        <v>ANT-0731</v>
      </c>
      <c r="D105" s="1" t="s">
        <v>1676</v>
      </c>
      <c r="E105">
        <v>33</v>
      </c>
      <c r="F105" s="1" t="s">
        <v>22</v>
      </c>
      <c r="G105">
        <v>337</v>
      </c>
      <c r="H105">
        <v>62.61</v>
      </c>
      <c r="I105">
        <v>2</v>
      </c>
    </row>
    <row r="106" spans="1:9" x14ac:dyDescent="0.25">
      <c r="A106" s="1" t="s">
        <v>140</v>
      </c>
      <c r="B106" s="1" t="s">
        <v>145</v>
      </c>
      <c r="C106" s="1" t="str">
        <f>_xlfn.XLOOKUP(Clients_Churn[[#This Row],[Province_Client]],Logs_Reseau!B:B,Logs_Reseau!E:E,"Pas de correspondance")</f>
        <v>ANT-0566</v>
      </c>
      <c r="D106" s="1" t="s">
        <v>26</v>
      </c>
      <c r="E106">
        <v>88</v>
      </c>
      <c r="F106" s="1" t="s">
        <v>22</v>
      </c>
      <c r="G106">
        <v>319</v>
      </c>
      <c r="H106">
        <v>56.18</v>
      </c>
      <c r="I106">
        <v>0</v>
      </c>
    </row>
    <row r="107" spans="1:9" x14ac:dyDescent="0.25">
      <c r="A107" s="1" t="s">
        <v>140</v>
      </c>
      <c r="B107" s="1" t="s">
        <v>146</v>
      </c>
      <c r="C107" s="1" t="str">
        <f>_xlfn.XLOOKUP(Clients_Churn[[#This Row],[Province_Client]],Logs_Reseau!B:B,Logs_Reseau!E:E,"Pas de correspondance")</f>
        <v>ANT-0852</v>
      </c>
      <c r="D107" s="1" t="s">
        <v>21</v>
      </c>
      <c r="E107">
        <v>72</v>
      </c>
      <c r="F107" s="1" t="s">
        <v>11</v>
      </c>
      <c r="G107">
        <v>5</v>
      </c>
      <c r="H107">
        <v>68.650000000000006</v>
      </c>
      <c r="I107">
        <v>0</v>
      </c>
    </row>
    <row r="108" spans="1:9" x14ac:dyDescent="0.25">
      <c r="A108" s="1" t="s">
        <v>140</v>
      </c>
      <c r="B108" s="1" t="s">
        <v>147</v>
      </c>
      <c r="C108" s="1" t="str">
        <f>_xlfn.XLOOKUP(Clients_Churn[[#This Row],[Province_Client]],Logs_Reseau!B:B,Logs_Reseau!E:E,"Pas de correspondance")</f>
        <v>ANT-0737</v>
      </c>
      <c r="D108" s="1" t="s">
        <v>62</v>
      </c>
      <c r="E108">
        <v>114</v>
      </c>
      <c r="F108" s="1" t="s">
        <v>11</v>
      </c>
      <c r="G108">
        <v>232</v>
      </c>
      <c r="H108">
        <v>42.2</v>
      </c>
      <c r="I108">
        <v>2</v>
      </c>
    </row>
    <row r="109" spans="1:9" x14ac:dyDescent="0.25">
      <c r="A109" s="1" t="s">
        <v>140</v>
      </c>
      <c r="B109" s="1" t="s">
        <v>148</v>
      </c>
      <c r="C109" s="1" t="str">
        <f>_xlfn.XLOOKUP(Clients_Churn[[#This Row],[Province_Client]],Logs_Reseau!B:B,Logs_Reseau!E:E,"Pas de correspondance")</f>
        <v>ANT-0520</v>
      </c>
      <c r="D109" s="1" t="s">
        <v>67</v>
      </c>
      <c r="E109">
        <v>59</v>
      </c>
      <c r="F109" s="1" t="s">
        <v>19</v>
      </c>
      <c r="G109">
        <v>196</v>
      </c>
      <c r="H109">
        <v>62.53</v>
      </c>
      <c r="I109">
        <v>0</v>
      </c>
    </row>
    <row r="110" spans="1:9" x14ac:dyDescent="0.25">
      <c r="A110" s="1" t="s">
        <v>140</v>
      </c>
      <c r="B110" s="1" t="s">
        <v>149</v>
      </c>
      <c r="C110" s="1" t="str">
        <f>_xlfn.XLOOKUP(Clients_Churn[[#This Row],[Province_Client]],Logs_Reseau!B:B,Logs_Reseau!E:E,"Pas de correspondance")</f>
        <v>ANT-0566</v>
      </c>
      <c r="D110" s="1" t="s">
        <v>26</v>
      </c>
      <c r="E110">
        <v>1</v>
      </c>
      <c r="F110" s="1" t="s">
        <v>19</v>
      </c>
      <c r="G110">
        <v>237</v>
      </c>
      <c r="H110">
        <v>58.7</v>
      </c>
      <c r="I110">
        <v>4</v>
      </c>
    </row>
    <row r="111" spans="1:9" x14ac:dyDescent="0.25">
      <c r="A111" s="1" t="s">
        <v>140</v>
      </c>
      <c r="B111" s="1" t="s">
        <v>150</v>
      </c>
      <c r="C111" s="1" t="str">
        <f>_xlfn.XLOOKUP(Clients_Churn[[#This Row],[Province_Client]],Logs_Reseau!B:B,Logs_Reseau!E:E,"Pas de correspondance")</f>
        <v>ANT-0465</v>
      </c>
      <c r="D111" s="1" t="s">
        <v>37</v>
      </c>
      <c r="E111">
        <v>55</v>
      </c>
      <c r="F111" s="1" t="s">
        <v>19</v>
      </c>
      <c r="G111">
        <v>407</v>
      </c>
      <c r="H111">
        <v>23.11</v>
      </c>
      <c r="I111">
        <v>0</v>
      </c>
    </row>
    <row r="112" spans="1:9" x14ac:dyDescent="0.25">
      <c r="A112" s="1" t="s">
        <v>140</v>
      </c>
      <c r="B112" s="1" t="s">
        <v>151</v>
      </c>
      <c r="C112" s="1" t="str">
        <f>_xlfn.XLOOKUP(Clients_Churn[[#This Row],[Province_Client]],Logs_Reseau!B:B,Logs_Reseau!E:E,"Pas de correspondance")</f>
        <v>ANT-0465</v>
      </c>
      <c r="D112" s="1" t="s">
        <v>37</v>
      </c>
      <c r="E112">
        <v>83</v>
      </c>
      <c r="F112" s="1" t="s">
        <v>14</v>
      </c>
      <c r="G112">
        <v>219</v>
      </c>
      <c r="H112">
        <v>52.26</v>
      </c>
      <c r="I112">
        <v>1</v>
      </c>
    </row>
    <row r="113" spans="1:9" x14ac:dyDescent="0.25">
      <c r="A113" s="1" t="s">
        <v>140</v>
      </c>
      <c r="B113" s="1" t="s">
        <v>152</v>
      </c>
      <c r="C113" s="1" t="str">
        <f>_xlfn.XLOOKUP(Clients_Churn[[#This Row],[Province_Client]],Logs_Reseau!B:B,Logs_Reseau!E:E,"Pas de correspondance")</f>
        <v>ANT-0166</v>
      </c>
      <c r="D113" s="1" t="s">
        <v>31</v>
      </c>
      <c r="E113">
        <v>87</v>
      </c>
      <c r="F113" s="1" t="s">
        <v>14</v>
      </c>
      <c r="G113">
        <v>450</v>
      </c>
      <c r="H113">
        <v>64.3</v>
      </c>
      <c r="I113">
        <v>2</v>
      </c>
    </row>
    <row r="114" spans="1:9" x14ac:dyDescent="0.25">
      <c r="A114" s="1" t="s">
        <v>140</v>
      </c>
      <c r="B114" s="1" t="s">
        <v>153</v>
      </c>
      <c r="C114" s="1" t="str">
        <f>_xlfn.XLOOKUP(Clients_Churn[[#This Row],[Province_Client]],Logs_Reseau!B:B,Logs_Reseau!E:E,"Pas de correspondance")</f>
        <v>ANT-0270</v>
      </c>
      <c r="D114" s="1" t="s">
        <v>1675</v>
      </c>
      <c r="E114">
        <v>84</v>
      </c>
      <c r="F114" s="1" t="s">
        <v>19</v>
      </c>
      <c r="G114">
        <v>317</v>
      </c>
      <c r="H114">
        <v>36.200000000000003</v>
      </c>
      <c r="I114">
        <v>3</v>
      </c>
    </row>
    <row r="115" spans="1:9" x14ac:dyDescent="0.25">
      <c r="A115" s="1" t="s">
        <v>140</v>
      </c>
      <c r="B115" s="1" t="s">
        <v>154</v>
      </c>
      <c r="C115" s="1" t="str">
        <f>_xlfn.XLOOKUP(Clients_Churn[[#This Row],[Province_Client]],Logs_Reseau!B:B,Logs_Reseau!E:E,"Pas de correspondance")</f>
        <v>ANT-0913</v>
      </c>
      <c r="D115" s="1" t="s">
        <v>64</v>
      </c>
      <c r="E115">
        <v>7</v>
      </c>
      <c r="F115" s="1" t="s">
        <v>11</v>
      </c>
      <c r="G115">
        <v>317</v>
      </c>
      <c r="H115">
        <v>97.32</v>
      </c>
      <c r="I115">
        <v>1</v>
      </c>
    </row>
    <row r="116" spans="1:9" x14ac:dyDescent="0.25">
      <c r="A116" s="1" t="s">
        <v>140</v>
      </c>
      <c r="B116" s="1" t="s">
        <v>155</v>
      </c>
      <c r="C116" s="1" t="str">
        <f>_xlfn.XLOOKUP(Clients_Churn[[#This Row],[Province_Client]],Logs_Reseau!B:B,Logs_Reseau!E:E,"Pas de correspondance")</f>
        <v>ANT-0270</v>
      </c>
      <c r="D116" s="1" t="s">
        <v>1675</v>
      </c>
      <c r="E116">
        <v>110</v>
      </c>
      <c r="F116" s="1" t="s">
        <v>11</v>
      </c>
      <c r="G116">
        <v>51</v>
      </c>
      <c r="H116">
        <v>56.59</v>
      </c>
      <c r="I116">
        <v>5</v>
      </c>
    </row>
    <row r="117" spans="1:9" x14ac:dyDescent="0.25">
      <c r="A117" s="1" t="s">
        <v>140</v>
      </c>
      <c r="B117" s="1" t="s">
        <v>156</v>
      </c>
      <c r="C117" s="1" t="str">
        <f>_xlfn.XLOOKUP(Clients_Churn[[#This Row],[Province_Client]],Logs_Reseau!B:B,Logs_Reseau!E:E,"Pas de correspondance")</f>
        <v>ANT-0855</v>
      </c>
      <c r="D117" s="1" t="s">
        <v>16</v>
      </c>
      <c r="E117">
        <v>42</v>
      </c>
      <c r="F117" s="1" t="s">
        <v>22</v>
      </c>
      <c r="G117">
        <v>173</v>
      </c>
      <c r="H117">
        <v>69.19</v>
      </c>
      <c r="I117">
        <v>4</v>
      </c>
    </row>
    <row r="118" spans="1:9" x14ac:dyDescent="0.25">
      <c r="A118" s="1" t="s">
        <v>140</v>
      </c>
      <c r="B118" s="1" t="s">
        <v>157</v>
      </c>
      <c r="C118" s="1" t="str">
        <f>_xlfn.XLOOKUP(Clients_Churn[[#This Row],[Province_Client]],Logs_Reseau!B:B,Logs_Reseau!E:E,"Pas de correspondance")</f>
        <v>ANT-0553</v>
      </c>
      <c r="D118" s="1" t="s">
        <v>131</v>
      </c>
      <c r="E118">
        <v>56</v>
      </c>
      <c r="F118" s="1" t="s">
        <v>19</v>
      </c>
      <c r="G118">
        <v>333</v>
      </c>
      <c r="H118">
        <v>23.01</v>
      </c>
      <c r="I118">
        <v>2</v>
      </c>
    </row>
    <row r="119" spans="1:9" x14ac:dyDescent="0.25">
      <c r="A119" s="1" t="s">
        <v>140</v>
      </c>
      <c r="B119" s="1" t="s">
        <v>158</v>
      </c>
      <c r="C119" s="1" t="str">
        <f>_xlfn.XLOOKUP(Clients_Churn[[#This Row],[Province_Client]],Logs_Reseau!B:B,Logs_Reseau!E:E,"Pas de correspondance")</f>
        <v>ANT-0850</v>
      </c>
      <c r="D119" s="1" t="s">
        <v>51</v>
      </c>
      <c r="E119">
        <v>109</v>
      </c>
      <c r="F119" s="1" t="s">
        <v>14</v>
      </c>
      <c r="G119">
        <v>480</v>
      </c>
      <c r="H119">
        <v>31.36</v>
      </c>
      <c r="I119">
        <v>0</v>
      </c>
    </row>
    <row r="120" spans="1:9" x14ac:dyDescent="0.25">
      <c r="A120" s="1" t="s">
        <v>140</v>
      </c>
      <c r="B120" s="1" t="s">
        <v>159</v>
      </c>
      <c r="C120" s="1" t="str">
        <f>_xlfn.XLOOKUP(Clients_Churn[[#This Row],[Province_Client]],Logs_Reseau!B:B,Logs_Reseau!E:E,"Pas de correspondance")</f>
        <v>ANT-0520</v>
      </c>
      <c r="D120" s="1" t="s">
        <v>67</v>
      </c>
      <c r="E120">
        <v>53</v>
      </c>
      <c r="F120" s="1" t="s">
        <v>22</v>
      </c>
      <c r="G120">
        <v>345</v>
      </c>
      <c r="H120">
        <v>83.73</v>
      </c>
      <c r="I120">
        <v>0</v>
      </c>
    </row>
    <row r="121" spans="1:9" x14ac:dyDescent="0.25">
      <c r="A121" s="1" t="s">
        <v>140</v>
      </c>
      <c r="B121" s="1" t="s">
        <v>160</v>
      </c>
      <c r="C121" s="1" t="str">
        <f>_xlfn.XLOOKUP(Clients_Churn[[#This Row],[Province_Client]],Logs_Reseau!B:B,Logs_Reseau!E:E,"Pas de correspondance")</f>
        <v>ANT-0935</v>
      </c>
      <c r="D121" s="1" t="s">
        <v>89</v>
      </c>
      <c r="E121">
        <v>36</v>
      </c>
      <c r="F121" s="1" t="s">
        <v>11</v>
      </c>
      <c r="G121">
        <v>400</v>
      </c>
      <c r="H121">
        <v>60.35</v>
      </c>
      <c r="I121">
        <v>1</v>
      </c>
    </row>
    <row r="122" spans="1:9" x14ac:dyDescent="0.25">
      <c r="A122" s="1" t="s">
        <v>140</v>
      </c>
      <c r="B122" s="1" t="s">
        <v>161</v>
      </c>
      <c r="C122" s="1" t="str">
        <f>_xlfn.XLOOKUP(Clients_Churn[[#This Row],[Province_Client]],Logs_Reseau!B:B,Logs_Reseau!E:E,"Pas de correspondance")</f>
        <v>ANT-0945</v>
      </c>
      <c r="D122" s="1" t="s">
        <v>73</v>
      </c>
      <c r="E122">
        <v>16</v>
      </c>
      <c r="F122" s="1" t="s">
        <v>19</v>
      </c>
      <c r="G122">
        <v>13</v>
      </c>
      <c r="H122">
        <v>14.91</v>
      </c>
      <c r="I122">
        <v>1</v>
      </c>
    </row>
    <row r="123" spans="1:9" x14ac:dyDescent="0.25">
      <c r="A123" s="1" t="s">
        <v>140</v>
      </c>
      <c r="B123" s="1" t="s">
        <v>162</v>
      </c>
      <c r="C123" s="1" t="str">
        <f>_xlfn.XLOOKUP(Clients_Churn[[#This Row],[Province_Client]],Logs_Reseau!B:B,Logs_Reseau!E:E,"Pas de correspondance")</f>
        <v>ANT-0566</v>
      </c>
      <c r="D123" s="1" t="s">
        <v>26</v>
      </c>
      <c r="E123">
        <v>88</v>
      </c>
      <c r="F123" s="1" t="s">
        <v>11</v>
      </c>
      <c r="G123">
        <v>232</v>
      </c>
      <c r="H123">
        <v>40.94</v>
      </c>
      <c r="I123">
        <v>2</v>
      </c>
    </row>
    <row r="124" spans="1:9" x14ac:dyDescent="0.25">
      <c r="A124" s="1" t="s">
        <v>140</v>
      </c>
      <c r="B124" s="1" t="s">
        <v>163</v>
      </c>
      <c r="C124" s="1" t="str">
        <f>_xlfn.XLOOKUP(Clients_Churn[[#This Row],[Province_Client]],Logs_Reseau!B:B,Logs_Reseau!E:E,"Pas de correspondance")</f>
        <v>ANT-0332</v>
      </c>
      <c r="D124" s="1" t="s">
        <v>1674</v>
      </c>
      <c r="E124">
        <v>67</v>
      </c>
      <c r="F124" s="1" t="s">
        <v>22</v>
      </c>
      <c r="G124">
        <v>264</v>
      </c>
      <c r="H124">
        <v>97.89</v>
      </c>
      <c r="I124">
        <v>1</v>
      </c>
    </row>
    <row r="125" spans="1:9" x14ac:dyDescent="0.25">
      <c r="A125" s="1" t="s">
        <v>140</v>
      </c>
      <c r="B125" s="1" t="s">
        <v>164</v>
      </c>
      <c r="C125" s="1" t="str">
        <f>_xlfn.XLOOKUP(Clients_Churn[[#This Row],[Province_Client]],Logs_Reseau!B:B,Logs_Reseau!E:E,"Pas de correspondance")</f>
        <v>ANT-0315</v>
      </c>
      <c r="D125" s="1" t="s">
        <v>60</v>
      </c>
      <c r="E125">
        <v>60</v>
      </c>
      <c r="F125" s="1" t="s">
        <v>19</v>
      </c>
      <c r="G125">
        <v>168</v>
      </c>
      <c r="H125">
        <v>67.650000000000006</v>
      </c>
      <c r="I125">
        <v>1</v>
      </c>
    </row>
    <row r="126" spans="1:9" x14ac:dyDescent="0.25">
      <c r="A126" s="1" t="s">
        <v>140</v>
      </c>
      <c r="B126" s="1" t="s">
        <v>165</v>
      </c>
      <c r="C126" s="1" t="str">
        <f>_xlfn.XLOOKUP(Clients_Churn[[#This Row],[Province_Client]],Logs_Reseau!B:B,Logs_Reseau!E:E,"Pas de correspondance")</f>
        <v>ANT-0270</v>
      </c>
      <c r="D126" s="1" t="s">
        <v>1675</v>
      </c>
      <c r="E126">
        <v>64</v>
      </c>
      <c r="F126" s="1" t="s">
        <v>14</v>
      </c>
      <c r="G126">
        <v>300</v>
      </c>
      <c r="H126">
        <v>28.11</v>
      </c>
      <c r="I126">
        <v>2</v>
      </c>
    </row>
    <row r="127" spans="1:9" x14ac:dyDescent="0.25">
      <c r="A127" s="1" t="s">
        <v>140</v>
      </c>
      <c r="B127" s="1" t="s">
        <v>166</v>
      </c>
      <c r="C127" s="1" t="str">
        <f>_xlfn.XLOOKUP(Clients_Churn[[#This Row],[Province_Client]],Logs_Reseau!B:B,Logs_Reseau!E:E,"Pas de correspondance")</f>
        <v>ANT-0271</v>
      </c>
      <c r="D127" s="1" t="s">
        <v>13</v>
      </c>
      <c r="E127">
        <v>47</v>
      </c>
      <c r="F127" s="1" t="s">
        <v>19</v>
      </c>
      <c r="G127">
        <v>98</v>
      </c>
      <c r="H127">
        <v>16.16</v>
      </c>
      <c r="I127">
        <v>5</v>
      </c>
    </row>
    <row r="128" spans="1:9" x14ac:dyDescent="0.25">
      <c r="A128" s="1" t="s">
        <v>140</v>
      </c>
      <c r="B128" s="1" t="s">
        <v>167</v>
      </c>
      <c r="C128" s="1" t="str">
        <f>_xlfn.XLOOKUP(Clients_Churn[[#This Row],[Province_Client]],Logs_Reseau!B:B,Logs_Reseau!E:E,"Pas de correspondance")</f>
        <v>ANT-0371</v>
      </c>
      <c r="D128" s="1" t="s">
        <v>18</v>
      </c>
      <c r="E128">
        <v>67</v>
      </c>
      <c r="F128" s="1" t="s">
        <v>14</v>
      </c>
      <c r="G128">
        <v>55</v>
      </c>
      <c r="H128">
        <v>27.04</v>
      </c>
      <c r="I128">
        <v>1</v>
      </c>
    </row>
    <row r="129" spans="1:9" x14ac:dyDescent="0.25">
      <c r="A129" s="1" t="s">
        <v>140</v>
      </c>
      <c r="B129" s="1" t="s">
        <v>168</v>
      </c>
      <c r="C129" s="1" t="str">
        <f>_xlfn.XLOOKUP(Clients_Churn[[#This Row],[Province_Client]],Logs_Reseau!B:B,Logs_Reseau!E:E,"Pas de correspondance")</f>
        <v>ANT-0935</v>
      </c>
      <c r="D129" s="1" t="s">
        <v>89</v>
      </c>
      <c r="E129">
        <v>98</v>
      </c>
      <c r="F129" s="1" t="s">
        <v>19</v>
      </c>
      <c r="G129">
        <v>52</v>
      </c>
      <c r="H129">
        <v>52.82</v>
      </c>
      <c r="I129">
        <v>2</v>
      </c>
    </row>
    <row r="130" spans="1:9" x14ac:dyDescent="0.25">
      <c r="A130" s="1" t="s">
        <v>140</v>
      </c>
      <c r="B130" s="1" t="s">
        <v>169</v>
      </c>
      <c r="C130" s="1" t="str">
        <f>_xlfn.XLOOKUP(Clients_Churn[[#This Row],[Province_Client]],Logs_Reseau!B:B,Logs_Reseau!E:E,"Pas de correspondance")</f>
        <v>ANT-0271</v>
      </c>
      <c r="D130" s="1" t="s">
        <v>13</v>
      </c>
      <c r="E130">
        <v>6</v>
      </c>
      <c r="F130" s="1" t="s">
        <v>19</v>
      </c>
      <c r="G130">
        <v>6</v>
      </c>
      <c r="H130">
        <v>72.27</v>
      </c>
      <c r="I130">
        <v>4</v>
      </c>
    </row>
    <row r="131" spans="1:9" x14ac:dyDescent="0.25">
      <c r="A131" s="1" t="s">
        <v>140</v>
      </c>
      <c r="B131" s="1" t="s">
        <v>170</v>
      </c>
      <c r="C131" s="1" t="str">
        <f>_xlfn.XLOOKUP(Clients_Churn[[#This Row],[Province_Client]],Logs_Reseau!B:B,Logs_Reseau!E:E,"Pas de correspondance")</f>
        <v>ANT-0271</v>
      </c>
      <c r="D131" s="1" t="s">
        <v>13</v>
      </c>
      <c r="E131">
        <v>114</v>
      </c>
      <c r="F131" s="1" t="s">
        <v>19</v>
      </c>
      <c r="G131">
        <v>304</v>
      </c>
      <c r="H131">
        <v>52.07</v>
      </c>
      <c r="I131">
        <v>1</v>
      </c>
    </row>
    <row r="132" spans="1:9" x14ac:dyDescent="0.25">
      <c r="A132" s="1" t="s">
        <v>140</v>
      </c>
      <c r="B132" s="1" t="s">
        <v>171</v>
      </c>
      <c r="C132" s="1" t="str">
        <f>_xlfn.XLOOKUP(Clients_Churn[[#This Row],[Province_Client]],Logs_Reseau!B:B,Logs_Reseau!E:E,"Pas de correspondance")</f>
        <v>ANT-0166</v>
      </c>
      <c r="D132" s="1" t="s">
        <v>31</v>
      </c>
      <c r="E132">
        <v>93</v>
      </c>
      <c r="F132" s="1" t="s">
        <v>19</v>
      </c>
      <c r="G132">
        <v>365</v>
      </c>
      <c r="H132">
        <v>72.319999999999993</v>
      </c>
      <c r="I132">
        <v>1</v>
      </c>
    </row>
    <row r="133" spans="1:9" x14ac:dyDescent="0.25">
      <c r="A133" s="1" t="s">
        <v>140</v>
      </c>
      <c r="B133" s="1" t="s">
        <v>172</v>
      </c>
      <c r="C133" s="1" t="str">
        <f>_xlfn.XLOOKUP(Clients_Churn[[#This Row],[Province_Client]],Logs_Reseau!B:B,Logs_Reseau!E:E,"Pas de correspondance")</f>
        <v>ANT-0935</v>
      </c>
      <c r="D133" s="1" t="s">
        <v>89</v>
      </c>
      <c r="E133">
        <v>29</v>
      </c>
      <c r="F133" s="1" t="s">
        <v>14</v>
      </c>
      <c r="G133">
        <v>34</v>
      </c>
      <c r="H133">
        <v>86.68</v>
      </c>
      <c r="I133">
        <v>1</v>
      </c>
    </row>
    <row r="134" spans="1:9" x14ac:dyDescent="0.25">
      <c r="A134" s="1" t="s">
        <v>140</v>
      </c>
      <c r="B134" s="1" t="s">
        <v>173</v>
      </c>
      <c r="C134" s="1" t="str">
        <f>_xlfn.XLOOKUP(Clients_Churn[[#This Row],[Province_Client]],Logs_Reseau!B:B,Logs_Reseau!E:E,"Pas de correspondance")</f>
        <v>ANT-0332</v>
      </c>
      <c r="D134" s="1" t="s">
        <v>1674</v>
      </c>
      <c r="E134">
        <v>7</v>
      </c>
      <c r="F134" s="1" t="s">
        <v>11</v>
      </c>
      <c r="G134">
        <v>303</v>
      </c>
      <c r="H134">
        <v>60.95</v>
      </c>
      <c r="I134">
        <v>0</v>
      </c>
    </row>
    <row r="135" spans="1:9" x14ac:dyDescent="0.25">
      <c r="A135" s="1" t="s">
        <v>140</v>
      </c>
      <c r="B135" s="1" t="s">
        <v>174</v>
      </c>
      <c r="C135" s="1" t="str">
        <f>_xlfn.XLOOKUP(Clients_Churn[[#This Row],[Province_Client]],Logs_Reseau!B:B,Logs_Reseau!E:E,"Pas de correspondance")</f>
        <v>ANT-0935</v>
      </c>
      <c r="D135" s="1" t="s">
        <v>89</v>
      </c>
      <c r="E135">
        <v>118</v>
      </c>
      <c r="F135" s="1" t="s">
        <v>22</v>
      </c>
      <c r="G135">
        <v>430</v>
      </c>
      <c r="H135">
        <v>36.97</v>
      </c>
      <c r="I135">
        <v>2</v>
      </c>
    </row>
    <row r="136" spans="1:9" x14ac:dyDescent="0.25">
      <c r="A136" s="1" t="s">
        <v>140</v>
      </c>
      <c r="B136" s="1" t="s">
        <v>175</v>
      </c>
      <c r="C136" s="1" t="str">
        <f>_xlfn.XLOOKUP(Clients_Churn[[#This Row],[Province_Client]],Logs_Reseau!B:B,Logs_Reseau!E:E,"Pas de correspondance")</f>
        <v>ANT-0011</v>
      </c>
      <c r="D136" s="1" t="s">
        <v>44</v>
      </c>
      <c r="E136">
        <v>54</v>
      </c>
      <c r="F136" s="1" t="s">
        <v>19</v>
      </c>
      <c r="G136">
        <v>99</v>
      </c>
      <c r="H136">
        <v>39.58</v>
      </c>
      <c r="I136">
        <v>0</v>
      </c>
    </row>
    <row r="137" spans="1:9" x14ac:dyDescent="0.25">
      <c r="A137" s="1" t="s">
        <v>140</v>
      </c>
      <c r="B137" s="1" t="s">
        <v>176</v>
      </c>
      <c r="C137" s="1" t="str">
        <f>_xlfn.XLOOKUP(Clients_Churn[[#This Row],[Province_Client]],Logs_Reseau!B:B,Logs_Reseau!E:E,"Pas de correspondance")</f>
        <v>ANT-0371</v>
      </c>
      <c r="D137" s="1" t="s">
        <v>18</v>
      </c>
      <c r="E137">
        <v>69</v>
      </c>
      <c r="F137" s="1" t="s">
        <v>14</v>
      </c>
      <c r="G137">
        <v>463</v>
      </c>
      <c r="H137">
        <v>19.440000000000001</v>
      </c>
      <c r="I137">
        <v>0</v>
      </c>
    </row>
    <row r="138" spans="1:9" x14ac:dyDescent="0.25">
      <c r="A138" s="1" t="s">
        <v>140</v>
      </c>
      <c r="B138" s="1" t="s">
        <v>177</v>
      </c>
      <c r="C138" s="1" t="str">
        <f>_xlfn.XLOOKUP(Clients_Churn[[#This Row],[Province_Client]],Logs_Reseau!B:B,Logs_Reseau!E:E,"Pas de correspondance")</f>
        <v>ANT-0134</v>
      </c>
      <c r="D138" s="1" t="s">
        <v>40</v>
      </c>
      <c r="E138">
        <v>58</v>
      </c>
      <c r="F138" s="1" t="s">
        <v>19</v>
      </c>
      <c r="G138">
        <v>293</v>
      </c>
      <c r="H138">
        <v>88.85</v>
      </c>
      <c r="I138">
        <v>5</v>
      </c>
    </row>
    <row r="139" spans="1:9" x14ac:dyDescent="0.25">
      <c r="A139" s="1" t="s">
        <v>140</v>
      </c>
      <c r="B139" s="1" t="s">
        <v>178</v>
      </c>
      <c r="C139" s="1" t="str">
        <f>_xlfn.XLOOKUP(Clients_Churn[[#This Row],[Province_Client]],Logs_Reseau!B:B,Logs_Reseau!E:E,"Pas de correspondance")</f>
        <v>ANT-0011</v>
      </c>
      <c r="D139" s="1" t="s">
        <v>44</v>
      </c>
      <c r="E139">
        <v>41</v>
      </c>
      <c r="F139" s="1" t="s">
        <v>11</v>
      </c>
      <c r="G139">
        <v>64</v>
      </c>
      <c r="H139">
        <v>91.95</v>
      </c>
      <c r="I139">
        <v>1</v>
      </c>
    </row>
    <row r="140" spans="1:9" x14ac:dyDescent="0.25">
      <c r="A140" s="1" t="s">
        <v>140</v>
      </c>
      <c r="B140" s="1" t="s">
        <v>179</v>
      </c>
      <c r="C140" s="1" t="str">
        <f>_xlfn.XLOOKUP(Clients_Churn[[#This Row],[Province_Client]],Logs_Reseau!B:B,Logs_Reseau!E:E,"Pas de correspondance")</f>
        <v>ANT-0520</v>
      </c>
      <c r="D140" s="1" t="s">
        <v>67</v>
      </c>
      <c r="E140">
        <v>1</v>
      </c>
      <c r="F140" s="1" t="s">
        <v>14</v>
      </c>
      <c r="G140">
        <v>326</v>
      </c>
      <c r="H140">
        <v>54.63</v>
      </c>
      <c r="I140">
        <v>3</v>
      </c>
    </row>
    <row r="141" spans="1:9" x14ac:dyDescent="0.25">
      <c r="A141" s="1" t="s">
        <v>140</v>
      </c>
      <c r="B141" s="1" t="s">
        <v>180</v>
      </c>
      <c r="C141" s="1" t="str">
        <f>_xlfn.XLOOKUP(Clients_Churn[[#This Row],[Province_Client]],Logs_Reseau!B:B,Logs_Reseau!E:E,"Pas de correspondance")</f>
        <v>ANT-0935</v>
      </c>
      <c r="D141" s="1" t="s">
        <v>89</v>
      </c>
      <c r="E141">
        <v>51</v>
      </c>
      <c r="F141" s="1" t="s">
        <v>19</v>
      </c>
      <c r="G141">
        <v>260</v>
      </c>
      <c r="H141">
        <v>92.8</v>
      </c>
      <c r="I141">
        <v>5</v>
      </c>
    </row>
    <row r="142" spans="1:9" x14ac:dyDescent="0.25">
      <c r="A142" s="1" t="s">
        <v>140</v>
      </c>
      <c r="B142" s="1" t="s">
        <v>181</v>
      </c>
      <c r="C142" s="1" t="str">
        <f>_xlfn.XLOOKUP(Clients_Churn[[#This Row],[Province_Client]],Logs_Reseau!B:B,Logs_Reseau!E:E,"Pas de correspondance")</f>
        <v>ANT-0731</v>
      </c>
      <c r="D142" s="1" t="s">
        <v>1676</v>
      </c>
      <c r="E142">
        <v>25</v>
      </c>
      <c r="F142" s="1" t="s">
        <v>19</v>
      </c>
      <c r="G142">
        <v>131</v>
      </c>
      <c r="H142">
        <v>67.489999999999995</v>
      </c>
      <c r="I142">
        <v>0</v>
      </c>
    </row>
    <row r="143" spans="1:9" x14ac:dyDescent="0.25">
      <c r="A143" s="1" t="s">
        <v>140</v>
      </c>
      <c r="B143" s="1" t="s">
        <v>182</v>
      </c>
      <c r="C143" s="1" t="str">
        <f>_xlfn.XLOOKUP(Clients_Churn[[#This Row],[Province_Client]],Logs_Reseau!B:B,Logs_Reseau!E:E,"Pas de correspondance")</f>
        <v>ANT-0945</v>
      </c>
      <c r="D143" s="1" t="s">
        <v>73</v>
      </c>
      <c r="E143">
        <v>43</v>
      </c>
      <c r="F143" s="1" t="s">
        <v>19</v>
      </c>
      <c r="G143">
        <v>181</v>
      </c>
      <c r="H143">
        <v>72.39</v>
      </c>
      <c r="I143">
        <v>2</v>
      </c>
    </row>
    <row r="144" spans="1:9" x14ac:dyDescent="0.25">
      <c r="A144" s="1" t="s">
        <v>140</v>
      </c>
      <c r="B144" s="1" t="s">
        <v>183</v>
      </c>
      <c r="C144" s="1" t="str">
        <f>_xlfn.XLOOKUP(Clients_Churn[[#This Row],[Province_Client]],Logs_Reseau!B:B,Logs_Reseau!E:E,"Pas de correspondance")</f>
        <v>ANT-0371</v>
      </c>
      <c r="D144" s="1" t="s">
        <v>18</v>
      </c>
      <c r="E144">
        <v>11</v>
      </c>
      <c r="F144" s="1" t="s">
        <v>19</v>
      </c>
      <c r="G144">
        <v>215</v>
      </c>
      <c r="H144">
        <v>51.99</v>
      </c>
      <c r="I144">
        <v>1</v>
      </c>
    </row>
    <row r="145" spans="1:9" x14ac:dyDescent="0.25">
      <c r="A145" s="1" t="s">
        <v>140</v>
      </c>
      <c r="B145" s="1" t="s">
        <v>184</v>
      </c>
      <c r="C145" s="1" t="str">
        <f>_xlfn.XLOOKUP(Clients_Churn[[#This Row],[Province_Client]],Logs_Reseau!B:B,Logs_Reseau!E:E,"Pas de correspondance")</f>
        <v>ANT-0624</v>
      </c>
      <c r="D145" s="1" t="s">
        <v>24</v>
      </c>
      <c r="E145">
        <v>113</v>
      </c>
      <c r="F145" s="1" t="s">
        <v>11</v>
      </c>
      <c r="G145">
        <v>246</v>
      </c>
      <c r="H145">
        <v>29.18</v>
      </c>
      <c r="I145">
        <v>2</v>
      </c>
    </row>
    <row r="146" spans="1:9" x14ac:dyDescent="0.25">
      <c r="A146" s="1" t="s">
        <v>140</v>
      </c>
      <c r="B146" s="1" t="s">
        <v>185</v>
      </c>
      <c r="C146" s="1" t="str">
        <f>_xlfn.XLOOKUP(Clients_Churn[[#This Row],[Province_Client]],Logs_Reseau!B:B,Logs_Reseau!E:E,"Pas de correspondance")</f>
        <v>ANT-0520</v>
      </c>
      <c r="D146" s="1" t="s">
        <v>67</v>
      </c>
      <c r="E146">
        <v>74</v>
      </c>
      <c r="F146" s="1" t="s">
        <v>14</v>
      </c>
      <c r="G146">
        <v>371</v>
      </c>
      <c r="H146">
        <v>53.27</v>
      </c>
      <c r="I146">
        <v>3</v>
      </c>
    </row>
    <row r="147" spans="1:9" x14ac:dyDescent="0.25">
      <c r="A147" s="1" t="s">
        <v>140</v>
      </c>
      <c r="B147" s="1" t="s">
        <v>186</v>
      </c>
      <c r="C147" s="1" t="str">
        <f>_xlfn.XLOOKUP(Clients_Churn[[#This Row],[Province_Client]],Logs_Reseau!B:B,Logs_Reseau!E:E,"Pas de correspondance")</f>
        <v>ANT-0270</v>
      </c>
      <c r="D147" s="1" t="s">
        <v>1675</v>
      </c>
      <c r="E147">
        <v>104</v>
      </c>
      <c r="F147" s="1" t="s">
        <v>14</v>
      </c>
      <c r="G147">
        <v>317</v>
      </c>
      <c r="H147">
        <v>79.150000000000006</v>
      </c>
      <c r="I147">
        <v>1</v>
      </c>
    </row>
    <row r="148" spans="1:9" x14ac:dyDescent="0.25">
      <c r="A148" s="1" t="s">
        <v>140</v>
      </c>
      <c r="B148" s="1" t="s">
        <v>187</v>
      </c>
      <c r="C148" s="1" t="str">
        <f>_xlfn.XLOOKUP(Clients_Churn[[#This Row],[Province_Client]],Logs_Reseau!B:B,Logs_Reseau!E:E,"Pas de correspondance")</f>
        <v>ANT-0271</v>
      </c>
      <c r="D148" s="1" t="s">
        <v>13</v>
      </c>
      <c r="E148">
        <v>4</v>
      </c>
      <c r="F148" s="1" t="s">
        <v>19</v>
      </c>
      <c r="G148">
        <v>227</v>
      </c>
      <c r="H148">
        <v>83.32</v>
      </c>
      <c r="I148">
        <v>2</v>
      </c>
    </row>
    <row r="149" spans="1:9" x14ac:dyDescent="0.25">
      <c r="A149" s="1" t="s">
        <v>140</v>
      </c>
      <c r="B149" s="1" t="s">
        <v>188</v>
      </c>
      <c r="C149" s="1" t="str">
        <f>_xlfn.XLOOKUP(Clients_Churn[[#This Row],[Province_Client]],Logs_Reseau!B:B,Logs_Reseau!E:E,"Pas de correspondance")</f>
        <v>ANT-0913</v>
      </c>
      <c r="D149" s="1" t="s">
        <v>64</v>
      </c>
      <c r="E149">
        <v>95</v>
      </c>
      <c r="F149" s="1" t="s">
        <v>14</v>
      </c>
      <c r="G149">
        <v>95</v>
      </c>
      <c r="H149">
        <v>82.65</v>
      </c>
      <c r="I149">
        <v>2</v>
      </c>
    </row>
    <row r="150" spans="1:9" x14ac:dyDescent="0.25">
      <c r="A150" s="1" t="s">
        <v>140</v>
      </c>
      <c r="B150" s="1" t="s">
        <v>189</v>
      </c>
      <c r="C150" s="1" t="str">
        <f>_xlfn.XLOOKUP(Clients_Churn[[#This Row],[Province_Client]],Logs_Reseau!B:B,Logs_Reseau!E:E,"Pas de correspondance")</f>
        <v>ANT-0465</v>
      </c>
      <c r="D150" s="1" t="s">
        <v>37</v>
      </c>
      <c r="E150">
        <v>29</v>
      </c>
      <c r="F150" s="1" t="s">
        <v>22</v>
      </c>
      <c r="G150">
        <v>124</v>
      </c>
      <c r="H150">
        <v>43.83</v>
      </c>
      <c r="I150">
        <v>5</v>
      </c>
    </row>
    <row r="151" spans="1:9" x14ac:dyDescent="0.25">
      <c r="A151" s="1" t="s">
        <v>190</v>
      </c>
      <c r="B151" s="1" t="s">
        <v>191</v>
      </c>
      <c r="C151" s="1" t="str">
        <f>_xlfn.XLOOKUP(Clients_Churn[[#This Row],[Province_Client]],Logs_Reseau!B:B,Logs_Reseau!E:E,"Pas de correspondance")</f>
        <v>ANT-0166</v>
      </c>
      <c r="D151" s="1" t="s">
        <v>31</v>
      </c>
      <c r="E151">
        <v>97</v>
      </c>
      <c r="F151" s="1" t="s">
        <v>19</v>
      </c>
      <c r="G151">
        <v>484</v>
      </c>
      <c r="H151">
        <v>61.98</v>
      </c>
      <c r="I151">
        <v>1</v>
      </c>
    </row>
    <row r="152" spans="1:9" x14ac:dyDescent="0.25">
      <c r="A152" s="1" t="s">
        <v>190</v>
      </c>
      <c r="B152" s="1" t="s">
        <v>192</v>
      </c>
      <c r="C152" s="1" t="str">
        <f>_xlfn.XLOOKUP(Clients_Churn[[#This Row],[Province_Client]],Logs_Reseau!B:B,Logs_Reseau!E:E,"Pas de correspondance")</f>
        <v>ANT-0037</v>
      </c>
      <c r="D152" s="1" t="s">
        <v>10</v>
      </c>
      <c r="E152">
        <v>113</v>
      </c>
      <c r="F152" s="1" t="s">
        <v>11</v>
      </c>
      <c r="G152">
        <v>207</v>
      </c>
      <c r="H152">
        <v>21.55</v>
      </c>
      <c r="I152">
        <v>0</v>
      </c>
    </row>
    <row r="153" spans="1:9" x14ac:dyDescent="0.25">
      <c r="A153" s="1" t="s">
        <v>190</v>
      </c>
      <c r="B153" s="1" t="s">
        <v>193</v>
      </c>
      <c r="C153" s="1" t="str">
        <f>_xlfn.XLOOKUP(Clients_Churn[[#This Row],[Province_Client]],Logs_Reseau!B:B,Logs_Reseau!E:E,"Pas de correspondance")</f>
        <v>ANT-0465</v>
      </c>
      <c r="D153" s="1" t="s">
        <v>37</v>
      </c>
      <c r="E153">
        <v>83</v>
      </c>
      <c r="F153" s="1" t="s">
        <v>14</v>
      </c>
      <c r="G153">
        <v>420</v>
      </c>
      <c r="H153">
        <v>94.9</v>
      </c>
      <c r="I153">
        <v>1</v>
      </c>
    </row>
    <row r="154" spans="1:9" x14ac:dyDescent="0.25">
      <c r="A154" s="1" t="s">
        <v>190</v>
      </c>
      <c r="B154" s="1" t="s">
        <v>194</v>
      </c>
      <c r="C154" s="1" t="str">
        <f>_xlfn.XLOOKUP(Clients_Churn[[#This Row],[Province_Client]],Logs_Reseau!B:B,Logs_Reseau!E:E,"Pas de correspondance")</f>
        <v>ANT-0134</v>
      </c>
      <c r="D154" s="1" t="s">
        <v>40</v>
      </c>
      <c r="E154">
        <v>97</v>
      </c>
      <c r="F154" s="1" t="s">
        <v>11</v>
      </c>
      <c r="G154">
        <v>296</v>
      </c>
      <c r="H154">
        <v>10.87</v>
      </c>
      <c r="I154">
        <v>4</v>
      </c>
    </row>
    <row r="155" spans="1:9" x14ac:dyDescent="0.25">
      <c r="A155" s="1" t="s">
        <v>190</v>
      </c>
      <c r="B155" s="1" t="s">
        <v>195</v>
      </c>
      <c r="C155" s="1" t="str">
        <f>_xlfn.XLOOKUP(Clients_Churn[[#This Row],[Province_Client]],Logs_Reseau!B:B,Logs_Reseau!E:E,"Pas de correspondance")</f>
        <v>ANT-0850</v>
      </c>
      <c r="D155" s="1" t="s">
        <v>51</v>
      </c>
      <c r="E155">
        <v>66</v>
      </c>
      <c r="F155" s="1" t="s">
        <v>22</v>
      </c>
      <c r="G155">
        <v>387</v>
      </c>
      <c r="H155">
        <v>82.94</v>
      </c>
      <c r="I155">
        <v>3</v>
      </c>
    </row>
    <row r="156" spans="1:9" x14ac:dyDescent="0.25">
      <c r="A156" s="1" t="s">
        <v>190</v>
      </c>
      <c r="B156" s="1" t="s">
        <v>196</v>
      </c>
      <c r="C156" s="1" t="str">
        <f>_xlfn.XLOOKUP(Clients_Churn[[#This Row],[Province_Client]],Logs_Reseau!B:B,Logs_Reseau!E:E,"Pas de correspondance")</f>
        <v>ANT-0011</v>
      </c>
      <c r="D156" s="1" t="s">
        <v>44</v>
      </c>
      <c r="E156">
        <v>48</v>
      </c>
      <c r="F156" s="1" t="s">
        <v>19</v>
      </c>
      <c r="G156">
        <v>335</v>
      </c>
      <c r="H156">
        <v>85.09</v>
      </c>
      <c r="I156">
        <v>3</v>
      </c>
    </row>
    <row r="157" spans="1:9" x14ac:dyDescent="0.25">
      <c r="A157" s="1" t="s">
        <v>190</v>
      </c>
      <c r="B157" s="1" t="s">
        <v>197</v>
      </c>
      <c r="C157" s="1" t="str">
        <f>_xlfn.XLOOKUP(Clients_Churn[[#This Row],[Province_Client]],Logs_Reseau!B:B,Logs_Reseau!E:E,"Pas de correspondance")</f>
        <v>ANT-0011</v>
      </c>
      <c r="D157" s="1" t="s">
        <v>44</v>
      </c>
      <c r="E157">
        <v>64</v>
      </c>
      <c r="F157" s="1" t="s">
        <v>14</v>
      </c>
      <c r="G157">
        <v>6</v>
      </c>
      <c r="H157">
        <v>40.58</v>
      </c>
      <c r="I157">
        <v>5</v>
      </c>
    </row>
    <row r="158" spans="1:9" x14ac:dyDescent="0.25">
      <c r="A158" s="1" t="s">
        <v>190</v>
      </c>
      <c r="B158" s="1" t="s">
        <v>198</v>
      </c>
      <c r="C158" s="1" t="str">
        <f>_xlfn.XLOOKUP(Clients_Churn[[#This Row],[Province_Client]],Logs_Reseau!B:B,Logs_Reseau!E:E,"Pas de correspondance")</f>
        <v>ANT-0624</v>
      </c>
      <c r="D158" s="1" t="s">
        <v>24</v>
      </c>
      <c r="E158">
        <v>67</v>
      </c>
      <c r="F158" s="1" t="s">
        <v>11</v>
      </c>
      <c r="G158">
        <v>241</v>
      </c>
      <c r="H158">
        <v>47.72</v>
      </c>
      <c r="I158">
        <v>0</v>
      </c>
    </row>
    <row r="159" spans="1:9" x14ac:dyDescent="0.25">
      <c r="A159" s="1" t="s">
        <v>190</v>
      </c>
      <c r="B159" s="1" t="s">
        <v>199</v>
      </c>
      <c r="C159" s="1" t="str">
        <f>_xlfn.XLOOKUP(Clients_Churn[[#This Row],[Province_Client]],Logs_Reseau!B:B,Logs_Reseau!E:E,"Pas de correspondance")</f>
        <v>ANT-0270</v>
      </c>
      <c r="D159" s="1" t="s">
        <v>1675</v>
      </c>
      <c r="E159">
        <v>60</v>
      </c>
      <c r="F159" s="1" t="s">
        <v>14</v>
      </c>
      <c r="G159">
        <v>334</v>
      </c>
      <c r="H159">
        <v>71.72</v>
      </c>
      <c r="I159">
        <v>3</v>
      </c>
    </row>
    <row r="160" spans="1:9" x14ac:dyDescent="0.25">
      <c r="A160" s="1" t="s">
        <v>190</v>
      </c>
      <c r="B160" s="1" t="s">
        <v>200</v>
      </c>
      <c r="C160" s="1" t="str">
        <f>_xlfn.XLOOKUP(Clients_Churn[[#This Row],[Province_Client]],Logs_Reseau!B:B,Logs_Reseau!E:E,"Pas de correspondance")</f>
        <v>ANT-0270</v>
      </c>
      <c r="D160" s="1" t="s">
        <v>1675</v>
      </c>
      <c r="E160">
        <v>23</v>
      </c>
      <c r="F160" s="1" t="s">
        <v>14</v>
      </c>
      <c r="G160">
        <v>262</v>
      </c>
      <c r="H160">
        <v>46.3</v>
      </c>
      <c r="I160">
        <v>1</v>
      </c>
    </row>
    <row r="161" spans="1:9" x14ac:dyDescent="0.25">
      <c r="A161" s="1" t="s">
        <v>190</v>
      </c>
      <c r="B161" s="1" t="s">
        <v>201</v>
      </c>
      <c r="C161" s="1" t="str">
        <f>_xlfn.XLOOKUP(Clients_Churn[[#This Row],[Province_Client]],Logs_Reseau!B:B,Logs_Reseau!E:E,"Pas de correspondance")</f>
        <v>ANT-0315</v>
      </c>
      <c r="D161" s="1" t="s">
        <v>60</v>
      </c>
      <c r="E161">
        <v>42</v>
      </c>
      <c r="F161" s="1" t="s">
        <v>14</v>
      </c>
      <c r="G161">
        <v>389</v>
      </c>
      <c r="H161">
        <v>80.08</v>
      </c>
      <c r="I161">
        <v>1</v>
      </c>
    </row>
    <row r="162" spans="1:9" x14ac:dyDescent="0.25">
      <c r="A162" s="1" t="s">
        <v>190</v>
      </c>
      <c r="B162" s="1" t="s">
        <v>202</v>
      </c>
      <c r="C162" s="1" t="str">
        <f>_xlfn.XLOOKUP(Clients_Churn[[#This Row],[Province_Client]],Logs_Reseau!B:B,Logs_Reseau!E:E,"Pas de correspondance")</f>
        <v>ANT-0553</v>
      </c>
      <c r="D162" s="1" t="s">
        <v>131</v>
      </c>
      <c r="E162">
        <v>92</v>
      </c>
      <c r="F162" s="1" t="s">
        <v>14</v>
      </c>
      <c r="G162">
        <v>487</v>
      </c>
      <c r="H162">
        <v>58.38</v>
      </c>
      <c r="I162">
        <v>1</v>
      </c>
    </row>
    <row r="163" spans="1:9" x14ac:dyDescent="0.25">
      <c r="A163" s="1" t="s">
        <v>190</v>
      </c>
      <c r="B163" s="1" t="s">
        <v>203</v>
      </c>
      <c r="C163" s="1" t="str">
        <f>_xlfn.XLOOKUP(Clients_Churn[[#This Row],[Province_Client]],Logs_Reseau!B:B,Logs_Reseau!E:E,"Pas de correspondance")</f>
        <v>ANT-0465</v>
      </c>
      <c r="D163" s="1" t="s">
        <v>37</v>
      </c>
      <c r="E163">
        <v>48</v>
      </c>
      <c r="F163" s="1" t="s">
        <v>14</v>
      </c>
      <c r="G163">
        <v>76</v>
      </c>
      <c r="H163">
        <v>39.35</v>
      </c>
      <c r="I163">
        <v>2</v>
      </c>
    </row>
    <row r="164" spans="1:9" x14ac:dyDescent="0.25">
      <c r="A164" s="1" t="s">
        <v>190</v>
      </c>
      <c r="B164" s="1" t="s">
        <v>204</v>
      </c>
      <c r="C164" s="1" t="str">
        <f>_xlfn.XLOOKUP(Clients_Churn[[#This Row],[Province_Client]],Logs_Reseau!B:B,Logs_Reseau!E:E,"Pas de correspondance")</f>
        <v>ANT-0852</v>
      </c>
      <c r="D164" s="1" t="s">
        <v>21</v>
      </c>
      <c r="E164">
        <v>68</v>
      </c>
      <c r="F164" s="1" t="s">
        <v>11</v>
      </c>
      <c r="G164">
        <v>443</v>
      </c>
      <c r="H164">
        <v>12.09</v>
      </c>
      <c r="I164">
        <v>3</v>
      </c>
    </row>
    <row r="165" spans="1:9" x14ac:dyDescent="0.25">
      <c r="A165" s="1" t="s">
        <v>190</v>
      </c>
      <c r="B165" s="1" t="s">
        <v>205</v>
      </c>
      <c r="C165" s="1" t="str">
        <f>_xlfn.XLOOKUP(Clients_Churn[[#This Row],[Province_Client]],Logs_Reseau!B:B,Logs_Reseau!E:E,"Pas de correspondance")</f>
        <v>ANT-0250</v>
      </c>
      <c r="D165" s="1" t="s">
        <v>78</v>
      </c>
      <c r="E165">
        <v>89</v>
      </c>
      <c r="F165" s="1" t="s">
        <v>14</v>
      </c>
      <c r="G165">
        <v>203</v>
      </c>
      <c r="H165">
        <v>80.680000000000007</v>
      </c>
      <c r="I165">
        <v>5</v>
      </c>
    </row>
    <row r="166" spans="1:9" x14ac:dyDescent="0.25">
      <c r="A166" s="1" t="s">
        <v>190</v>
      </c>
      <c r="B166" s="1" t="s">
        <v>206</v>
      </c>
      <c r="C166" s="1" t="str">
        <f>_xlfn.XLOOKUP(Clients_Churn[[#This Row],[Province_Client]],Logs_Reseau!B:B,Logs_Reseau!E:E,"Pas de correspondance")</f>
        <v>ANT-0166</v>
      </c>
      <c r="D166" s="1" t="s">
        <v>31</v>
      </c>
      <c r="E166">
        <v>62</v>
      </c>
      <c r="F166" s="1" t="s">
        <v>11</v>
      </c>
      <c r="G166">
        <v>116</v>
      </c>
      <c r="H166">
        <v>92.99</v>
      </c>
      <c r="I166">
        <v>5</v>
      </c>
    </row>
    <row r="167" spans="1:9" x14ac:dyDescent="0.25">
      <c r="A167" s="1" t="s">
        <v>190</v>
      </c>
      <c r="B167" s="1" t="s">
        <v>207</v>
      </c>
      <c r="C167" s="1" t="str">
        <f>_xlfn.XLOOKUP(Clients_Churn[[#This Row],[Province_Client]],Logs_Reseau!B:B,Logs_Reseau!E:E,"Pas de correspondance")</f>
        <v>ANT-0037</v>
      </c>
      <c r="D167" s="1" t="s">
        <v>10</v>
      </c>
      <c r="E167">
        <v>92</v>
      </c>
      <c r="F167" s="1" t="s">
        <v>11</v>
      </c>
      <c r="G167">
        <v>116</v>
      </c>
      <c r="H167">
        <v>23.83</v>
      </c>
      <c r="I167">
        <v>3</v>
      </c>
    </row>
    <row r="168" spans="1:9" x14ac:dyDescent="0.25">
      <c r="A168" s="1" t="s">
        <v>190</v>
      </c>
      <c r="B168" s="1" t="s">
        <v>208</v>
      </c>
      <c r="C168" s="1" t="str">
        <f>_xlfn.XLOOKUP(Clients_Churn[[#This Row],[Province_Client]],Logs_Reseau!B:B,Logs_Reseau!E:E,"Pas de correspondance")</f>
        <v>ANT-0855</v>
      </c>
      <c r="D168" s="1" t="s">
        <v>16</v>
      </c>
      <c r="E168">
        <v>64</v>
      </c>
      <c r="F168" s="1" t="s">
        <v>14</v>
      </c>
      <c r="G168">
        <v>370</v>
      </c>
      <c r="H168">
        <v>95.74</v>
      </c>
      <c r="I168">
        <v>1</v>
      </c>
    </row>
    <row r="169" spans="1:9" x14ac:dyDescent="0.25">
      <c r="A169" s="1" t="s">
        <v>190</v>
      </c>
      <c r="B169" s="1" t="s">
        <v>209</v>
      </c>
      <c r="C169" s="1" t="str">
        <f>_xlfn.XLOOKUP(Clients_Churn[[#This Row],[Province_Client]],Logs_Reseau!B:B,Logs_Reseau!E:E,"Pas de correspondance")</f>
        <v>ANT-0731</v>
      </c>
      <c r="D169" s="1" t="s">
        <v>1676</v>
      </c>
      <c r="E169">
        <v>61</v>
      </c>
      <c r="F169" s="1" t="s">
        <v>19</v>
      </c>
      <c r="G169">
        <v>383</v>
      </c>
      <c r="H169">
        <v>39.72</v>
      </c>
      <c r="I169">
        <v>4</v>
      </c>
    </row>
    <row r="170" spans="1:9" x14ac:dyDescent="0.25">
      <c r="A170" s="1" t="s">
        <v>190</v>
      </c>
      <c r="B170" s="1" t="s">
        <v>210</v>
      </c>
      <c r="C170" s="1" t="str">
        <f>_xlfn.XLOOKUP(Clients_Churn[[#This Row],[Province_Client]],Logs_Reseau!B:B,Logs_Reseau!E:E,"Pas de correspondance")</f>
        <v>ANT-0737</v>
      </c>
      <c r="D170" s="1" t="s">
        <v>62</v>
      </c>
      <c r="E170">
        <v>35</v>
      </c>
      <c r="F170" s="1" t="s">
        <v>22</v>
      </c>
      <c r="G170">
        <v>107</v>
      </c>
      <c r="H170">
        <v>66.69</v>
      </c>
      <c r="I170">
        <v>4</v>
      </c>
    </row>
    <row r="171" spans="1:9" x14ac:dyDescent="0.25">
      <c r="A171" s="1" t="s">
        <v>190</v>
      </c>
      <c r="B171" s="1" t="s">
        <v>211</v>
      </c>
      <c r="C171" s="1" t="str">
        <f>_xlfn.XLOOKUP(Clients_Churn[[#This Row],[Province_Client]],Logs_Reseau!B:B,Logs_Reseau!E:E,"Pas de correspondance")</f>
        <v>ANT-0258</v>
      </c>
      <c r="D171" s="1" t="s">
        <v>137</v>
      </c>
      <c r="E171">
        <v>75</v>
      </c>
      <c r="F171" s="1" t="s">
        <v>14</v>
      </c>
      <c r="G171">
        <v>242</v>
      </c>
      <c r="H171">
        <v>64.27</v>
      </c>
      <c r="I171">
        <v>2</v>
      </c>
    </row>
    <row r="172" spans="1:9" x14ac:dyDescent="0.25">
      <c r="A172" s="1" t="s">
        <v>190</v>
      </c>
      <c r="B172" s="1" t="s">
        <v>212</v>
      </c>
      <c r="C172" s="1" t="str">
        <f>_xlfn.XLOOKUP(Clients_Churn[[#This Row],[Province_Client]],Logs_Reseau!B:B,Logs_Reseau!E:E,"Pas de correspondance")</f>
        <v>ANT-0166</v>
      </c>
      <c r="D172" s="1" t="s">
        <v>31</v>
      </c>
      <c r="E172">
        <v>52</v>
      </c>
      <c r="F172" s="1" t="s">
        <v>22</v>
      </c>
      <c r="G172">
        <v>119</v>
      </c>
      <c r="H172">
        <v>64.709999999999994</v>
      </c>
      <c r="I172">
        <v>4</v>
      </c>
    </row>
    <row r="173" spans="1:9" x14ac:dyDescent="0.25">
      <c r="A173" s="1" t="s">
        <v>190</v>
      </c>
      <c r="B173" s="1" t="s">
        <v>213</v>
      </c>
      <c r="C173" s="1" t="str">
        <f>_xlfn.XLOOKUP(Clients_Churn[[#This Row],[Province_Client]],Logs_Reseau!B:B,Logs_Reseau!E:E,"Pas de correspondance")</f>
        <v>ANT-0935</v>
      </c>
      <c r="D173" s="1" t="s">
        <v>89</v>
      </c>
      <c r="E173">
        <v>82</v>
      </c>
      <c r="F173" s="1" t="s">
        <v>11</v>
      </c>
      <c r="G173">
        <v>264</v>
      </c>
      <c r="H173">
        <v>88.03</v>
      </c>
      <c r="I173">
        <v>1</v>
      </c>
    </row>
    <row r="174" spans="1:9" x14ac:dyDescent="0.25">
      <c r="A174" s="1" t="s">
        <v>190</v>
      </c>
      <c r="B174" s="1" t="s">
        <v>214</v>
      </c>
      <c r="C174" s="1" t="str">
        <f>_xlfn.XLOOKUP(Clients_Churn[[#This Row],[Province_Client]],Logs_Reseau!B:B,Logs_Reseau!E:E,"Pas de correspondance")</f>
        <v>ANT-0270</v>
      </c>
      <c r="D174" s="1" t="s">
        <v>1675</v>
      </c>
      <c r="E174">
        <v>118</v>
      </c>
      <c r="F174" s="1" t="s">
        <v>19</v>
      </c>
      <c r="G174">
        <v>300</v>
      </c>
      <c r="H174">
        <v>98.22</v>
      </c>
      <c r="I174">
        <v>4</v>
      </c>
    </row>
    <row r="175" spans="1:9" x14ac:dyDescent="0.25">
      <c r="A175" s="1" t="s">
        <v>190</v>
      </c>
      <c r="B175" s="1" t="s">
        <v>215</v>
      </c>
      <c r="C175" s="1" t="str">
        <f>_xlfn.XLOOKUP(Clients_Churn[[#This Row],[Province_Client]],Logs_Reseau!B:B,Logs_Reseau!E:E,"Pas de correspondance")</f>
        <v>ANT-0315</v>
      </c>
      <c r="D175" s="1" t="s">
        <v>60</v>
      </c>
      <c r="E175">
        <v>102</v>
      </c>
      <c r="F175" s="1" t="s">
        <v>11</v>
      </c>
      <c r="G175">
        <v>402</v>
      </c>
      <c r="H175">
        <v>28.38</v>
      </c>
      <c r="I175">
        <v>5</v>
      </c>
    </row>
    <row r="176" spans="1:9" x14ac:dyDescent="0.25">
      <c r="A176" s="1" t="s">
        <v>190</v>
      </c>
      <c r="B176" s="1" t="s">
        <v>216</v>
      </c>
      <c r="C176" s="1" t="str">
        <f>_xlfn.XLOOKUP(Clients_Churn[[#This Row],[Province_Client]],Logs_Reseau!B:B,Logs_Reseau!E:E,"Pas de correspondance")</f>
        <v>ANT-0760</v>
      </c>
      <c r="D176" s="1" t="s">
        <v>35</v>
      </c>
      <c r="E176">
        <v>75</v>
      </c>
      <c r="F176" s="1" t="s">
        <v>19</v>
      </c>
      <c r="G176">
        <v>282</v>
      </c>
      <c r="H176">
        <v>45.16</v>
      </c>
      <c r="I176">
        <v>5</v>
      </c>
    </row>
    <row r="177" spans="1:9" x14ac:dyDescent="0.25">
      <c r="A177" s="1" t="s">
        <v>190</v>
      </c>
      <c r="B177" s="1" t="s">
        <v>217</v>
      </c>
      <c r="C177" s="1" t="str">
        <f>_xlfn.XLOOKUP(Clients_Churn[[#This Row],[Province_Client]],Logs_Reseau!B:B,Logs_Reseau!E:E,"Pas de correspondance")</f>
        <v>ANT-0624</v>
      </c>
      <c r="D177" s="1" t="s">
        <v>24</v>
      </c>
      <c r="E177">
        <v>84</v>
      </c>
      <c r="F177" s="1" t="s">
        <v>11</v>
      </c>
      <c r="G177">
        <v>387</v>
      </c>
      <c r="H177">
        <v>58.1</v>
      </c>
      <c r="I177">
        <v>3</v>
      </c>
    </row>
    <row r="178" spans="1:9" x14ac:dyDescent="0.25">
      <c r="A178" s="1" t="s">
        <v>190</v>
      </c>
      <c r="B178" s="1" t="s">
        <v>218</v>
      </c>
      <c r="C178" s="1" t="str">
        <f>_xlfn.XLOOKUP(Clients_Churn[[#This Row],[Province_Client]],Logs_Reseau!B:B,Logs_Reseau!E:E,"Pas de correspondance")</f>
        <v>ANT-0011</v>
      </c>
      <c r="D178" s="1" t="s">
        <v>44</v>
      </c>
      <c r="E178">
        <v>5</v>
      </c>
      <c r="F178" s="1" t="s">
        <v>19</v>
      </c>
      <c r="G178">
        <v>239</v>
      </c>
      <c r="H178">
        <v>26.95</v>
      </c>
      <c r="I178">
        <v>2</v>
      </c>
    </row>
    <row r="179" spans="1:9" x14ac:dyDescent="0.25">
      <c r="A179" s="1" t="s">
        <v>190</v>
      </c>
      <c r="B179" s="1" t="s">
        <v>219</v>
      </c>
      <c r="C179" s="1" t="str">
        <f>_xlfn.XLOOKUP(Clients_Churn[[#This Row],[Province_Client]],Logs_Reseau!B:B,Logs_Reseau!E:E,"Pas de correspondance")</f>
        <v>ANT-0250</v>
      </c>
      <c r="D179" s="1" t="s">
        <v>78</v>
      </c>
      <c r="E179">
        <v>27</v>
      </c>
      <c r="F179" s="1" t="s">
        <v>11</v>
      </c>
      <c r="G179">
        <v>369</v>
      </c>
      <c r="H179">
        <v>19.78</v>
      </c>
      <c r="I179">
        <v>1</v>
      </c>
    </row>
    <row r="180" spans="1:9" x14ac:dyDescent="0.25">
      <c r="A180" s="1" t="s">
        <v>190</v>
      </c>
      <c r="B180" s="1" t="s">
        <v>220</v>
      </c>
      <c r="C180" s="1" t="str">
        <f>_xlfn.XLOOKUP(Clients_Churn[[#This Row],[Province_Client]],Logs_Reseau!B:B,Logs_Reseau!E:E,"Pas de correspondance")</f>
        <v>ANT-0731</v>
      </c>
      <c r="D180" s="1" t="s">
        <v>1676</v>
      </c>
      <c r="E180">
        <v>29</v>
      </c>
      <c r="F180" s="1" t="s">
        <v>22</v>
      </c>
      <c r="G180">
        <v>416</v>
      </c>
      <c r="H180">
        <v>61.26</v>
      </c>
      <c r="I180">
        <v>0</v>
      </c>
    </row>
    <row r="181" spans="1:9" x14ac:dyDescent="0.25">
      <c r="A181" s="1" t="s">
        <v>190</v>
      </c>
      <c r="B181" s="1" t="s">
        <v>221</v>
      </c>
      <c r="C181" s="1" t="str">
        <f>_xlfn.XLOOKUP(Clients_Churn[[#This Row],[Province_Client]],Logs_Reseau!B:B,Logs_Reseau!E:E,"Pas de correspondance")</f>
        <v>ANT-0737</v>
      </c>
      <c r="D181" s="1" t="s">
        <v>62</v>
      </c>
      <c r="E181">
        <v>115</v>
      </c>
      <c r="F181" s="1" t="s">
        <v>19</v>
      </c>
      <c r="G181">
        <v>236</v>
      </c>
      <c r="H181">
        <v>50.64</v>
      </c>
      <c r="I181">
        <v>1</v>
      </c>
    </row>
    <row r="182" spans="1:9" x14ac:dyDescent="0.25">
      <c r="A182" s="1" t="s">
        <v>190</v>
      </c>
      <c r="B182" s="1" t="s">
        <v>222</v>
      </c>
      <c r="C182" s="1" t="str">
        <f>_xlfn.XLOOKUP(Clients_Churn[[#This Row],[Province_Client]],Logs_Reseau!B:B,Logs_Reseau!E:E,"Pas de correspondance")</f>
        <v>ANT-0855</v>
      </c>
      <c r="D182" s="1" t="s">
        <v>16</v>
      </c>
      <c r="E182">
        <v>26</v>
      </c>
      <c r="F182" s="1" t="s">
        <v>19</v>
      </c>
      <c r="G182">
        <v>174</v>
      </c>
      <c r="H182">
        <v>90.53</v>
      </c>
      <c r="I182">
        <v>3</v>
      </c>
    </row>
    <row r="183" spans="1:9" x14ac:dyDescent="0.25">
      <c r="A183" s="1" t="s">
        <v>190</v>
      </c>
      <c r="B183" s="1" t="s">
        <v>223</v>
      </c>
      <c r="C183" s="1" t="str">
        <f>_xlfn.XLOOKUP(Clients_Churn[[#This Row],[Province_Client]],Logs_Reseau!B:B,Logs_Reseau!E:E,"Pas de correspondance")</f>
        <v>ANT-0624</v>
      </c>
      <c r="D183" s="1" t="s">
        <v>24</v>
      </c>
      <c r="E183">
        <v>58</v>
      </c>
      <c r="F183" s="1" t="s">
        <v>19</v>
      </c>
      <c r="G183">
        <v>405</v>
      </c>
      <c r="H183">
        <v>18.39</v>
      </c>
      <c r="I183">
        <v>0</v>
      </c>
    </row>
    <row r="184" spans="1:9" x14ac:dyDescent="0.25">
      <c r="A184" s="1" t="s">
        <v>190</v>
      </c>
      <c r="B184" s="1" t="s">
        <v>224</v>
      </c>
      <c r="C184" s="1" t="str">
        <f>_xlfn.XLOOKUP(Clients_Churn[[#This Row],[Province_Client]],Logs_Reseau!B:B,Logs_Reseau!E:E,"Pas de correspondance")</f>
        <v>ANT-0520</v>
      </c>
      <c r="D184" s="1" t="s">
        <v>67</v>
      </c>
      <c r="E184">
        <v>111</v>
      </c>
      <c r="F184" s="1" t="s">
        <v>11</v>
      </c>
      <c r="G184">
        <v>43</v>
      </c>
      <c r="H184">
        <v>19.39</v>
      </c>
      <c r="I184">
        <v>3</v>
      </c>
    </row>
    <row r="185" spans="1:9" x14ac:dyDescent="0.25">
      <c r="A185" s="1" t="s">
        <v>190</v>
      </c>
      <c r="B185" s="1" t="s">
        <v>225</v>
      </c>
      <c r="C185" s="1" t="str">
        <f>_xlfn.XLOOKUP(Clients_Churn[[#This Row],[Province_Client]],Logs_Reseau!B:B,Logs_Reseau!E:E,"Pas de correspondance")</f>
        <v>ANT-0011</v>
      </c>
      <c r="D185" s="1" t="s">
        <v>44</v>
      </c>
      <c r="E185">
        <v>31</v>
      </c>
      <c r="F185" s="1" t="s">
        <v>19</v>
      </c>
      <c r="G185">
        <v>160</v>
      </c>
      <c r="H185">
        <v>59.76</v>
      </c>
      <c r="I185">
        <v>4</v>
      </c>
    </row>
    <row r="186" spans="1:9" x14ac:dyDescent="0.25">
      <c r="A186" s="1" t="s">
        <v>190</v>
      </c>
      <c r="B186" s="1" t="s">
        <v>226</v>
      </c>
      <c r="C186" s="1" t="str">
        <f>_xlfn.XLOOKUP(Clients_Churn[[#This Row],[Province_Client]],Logs_Reseau!B:B,Logs_Reseau!E:E,"Pas de correspondance")</f>
        <v>ANT-0945</v>
      </c>
      <c r="D186" s="1" t="s">
        <v>73</v>
      </c>
      <c r="E186">
        <v>51</v>
      </c>
      <c r="F186" s="1" t="s">
        <v>22</v>
      </c>
      <c r="G186">
        <v>433</v>
      </c>
      <c r="H186">
        <v>12.89</v>
      </c>
      <c r="I186">
        <v>1</v>
      </c>
    </row>
    <row r="187" spans="1:9" x14ac:dyDescent="0.25">
      <c r="A187" s="1" t="s">
        <v>190</v>
      </c>
      <c r="B187" s="1" t="s">
        <v>227</v>
      </c>
      <c r="C187" s="1" t="str">
        <f>_xlfn.XLOOKUP(Clients_Churn[[#This Row],[Province_Client]],Logs_Reseau!B:B,Logs_Reseau!E:E,"Pas de correspondance")</f>
        <v>ANT-0935</v>
      </c>
      <c r="D187" s="1" t="s">
        <v>89</v>
      </c>
      <c r="E187">
        <v>28</v>
      </c>
      <c r="F187" s="1" t="s">
        <v>11</v>
      </c>
      <c r="G187">
        <v>96</v>
      </c>
      <c r="H187">
        <v>72.010000000000005</v>
      </c>
      <c r="I187">
        <v>4</v>
      </c>
    </row>
    <row r="188" spans="1:9" x14ac:dyDescent="0.25">
      <c r="A188" s="1" t="s">
        <v>190</v>
      </c>
      <c r="B188" s="1" t="s">
        <v>228</v>
      </c>
      <c r="C188" s="1" t="str">
        <f>_xlfn.XLOOKUP(Clients_Churn[[#This Row],[Province_Client]],Logs_Reseau!B:B,Logs_Reseau!E:E,"Pas de correspondance")</f>
        <v>ANT-0566</v>
      </c>
      <c r="D188" s="1" t="s">
        <v>26</v>
      </c>
      <c r="E188">
        <v>40</v>
      </c>
      <c r="F188" s="1" t="s">
        <v>22</v>
      </c>
      <c r="G188">
        <v>219</v>
      </c>
      <c r="H188">
        <v>53.98</v>
      </c>
      <c r="I188">
        <v>2</v>
      </c>
    </row>
    <row r="189" spans="1:9" x14ac:dyDescent="0.25">
      <c r="A189" s="1" t="s">
        <v>190</v>
      </c>
      <c r="B189" s="1" t="s">
        <v>229</v>
      </c>
      <c r="C189" s="1" t="str">
        <f>_xlfn.XLOOKUP(Clients_Churn[[#This Row],[Province_Client]],Logs_Reseau!B:B,Logs_Reseau!E:E,"Pas de correspondance")</f>
        <v>ANT-0270</v>
      </c>
      <c r="D189" s="1" t="s">
        <v>1675</v>
      </c>
      <c r="E189">
        <v>55</v>
      </c>
      <c r="F189" s="1" t="s">
        <v>11</v>
      </c>
      <c r="G189">
        <v>394</v>
      </c>
      <c r="H189">
        <v>26.8</v>
      </c>
      <c r="I189">
        <v>4</v>
      </c>
    </row>
    <row r="190" spans="1:9" x14ac:dyDescent="0.25">
      <c r="A190" s="1" t="s">
        <v>190</v>
      </c>
      <c r="B190" s="1" t="s">
        <v>230</v>
      </c>
      <c r="C190" s="1" t="str">
        <f>_xlfn.XLOOKUP(Clients_Churn[[#This Row],[Province_Client]],Logs_Reseau!B:B,Logs_Reseau!E:E,"Pas de correspondance")</f>
        <v>ANT-0371</v>
      </c>
      <c r="D190" s="1" t="s">
        <v>18</v>
      </c>
      <c r="E190">
        <v>114</v>
      </c>
      <c r="F190" s="1" t="s">
        <v>11</v>
      </c>
      <c r="G190">
        <v>482</v>
      </c>
      <c r="H190">
        <v>16.25</v>
      </c>
      <c r="I190">
        <v>3</v>
      </c>
    </row>
    <row r="191" spans="1:9" x14ac:dyDescent="0.25">
      <c r="A191" s="1" t="s">
        <v>190</v>
      </c>
      <c r="B191" s="1" t="s">
        <v>231</v>
      </c>
      <c r="C191" s="1" t="str">
        <f>_xlfn.XLOOKUP(Clients_Churn[[#This Row],[Province_Client]],Logs_Reseau!B:B,Logs_Reseau!E:E,"Pas de correspondance")</f>
        <v>ANT-0134</v>
      </c>
      <c r="D191" s="1" t="s">
        <v>40</v>
      </c>
      <c r="E191">
        <v>49</v>
      </c>
      <c r="F191" s="1" t="s">
        <v>11</v>
      </c>
      <c r="G191">
        <v>357</v>
      </c>
      <c r="H191">
        <v>96.67</v>
      </c>
      <c r="I191">
        <v>3</v>
      </c>
    </row>
    <row r="192" spans="1:9" x14ac:dyDescent="0.25">
      <c r="A192" s="1" t="s">
        <v>190</v>
      </c>
      <c r="B192" s="1" t="s">
        <v>232</v>
      </c>
      <c r="C192" s="1" t="str">
        <f>_xlfn.XLOOKUP(Clients_Churn[[#This Row],[Province_Client]],Logs_Reseau!B:B,Logs_Reseau!E:E,"Pas de correspondance")</f>
        <v>ANT-0624</v>
      </c>
      <c r="D192" s="1" t="s">
        <v>24</v>
      </c>
      <c r="E192">
        <v>74</v>
      </c>
      <c r="F192" s="1" t="s">
        <v>11</v>
      </c>
      <c r="G192">
        <v>213</v>
      </c>
      <c r="H192">
        <v>35.54</v>
      </c>
      <c r="I192">
        <v>3</v>
      </c>
    </row>
    <row r="193" spans="1:9" x14ac:dyDescent="0.25">
      <c r="A193" s="1" t="s">
        <v>190</v>
      </c>
      <c r="B193" s="1" t="s">
        <v>233</v>
      </c>
      <c r="C193" s="1" t="str">
        <f>_xlfn.XLOOKUP(Clients_Churn[[#This Row],[Province_Client]],Logs_Reseau!B:B,Logs_Reseau!E:E,"Pas de correspondance")</f>
        <v>ANT-0566</v>
      </c>
      <c r="D193" s="1" t="s">
        <v>26</v>
      </c>
      <c r="E193">
        <v>21</v>
      </c>
      <c r="F193" s="1" t="s">
        <v>22</v>
      </c>
      <c r="G193">
        <v>107</v>
      </c>
      <c r="H193">
        <v>30.97</v>
      </c>
      <c r="I193">
        <v>4</v>
      </c>
    </row>
    <row r="194" spans="1:9" x14ac:dyDescent="0.25">
      <c r="A194" s="1" t="s">
        <v>190</v>
      </c>
      <c r="B194" s="1" t="s">
        <v>234</v>
      </c>
      <c r="C194" s="1" t="str">
        <f>_xlfn.XLOOKUP(Clients_Churn[[#This Row],[Province_Client]],Logs_Reseau!B:B,Logs_Reseau!E:E,"Pas de correspondance")</f>
        <v>ANT-0624</v>
      </c>
      <c r="D194" s="1" t="s">
        <v>24</v>
      </c>
      <c r="E194">
        <v>120</v>
      </c>
      <c r="F194" s="1" t="s">
        <v>22</v>
      </c>
      <c r="G194">
        <v>224</v>
      </c>
      <c r="H194">
        <v>69.36</v>
      </c>
      <c r="I194">
        <v>0</v>
      </c>
    </row>
    <row r="195" spans="1:9" x14ac:dyDescent="0.25">
      <c r="A195" s="1" t="s">
        <v>190</v>
      </c>
      <c r="B195" s="1" t="s">
        <v>235</v>
      </c>
      <c r="C195" s="1" t="str">
        <f>_xlfn.XLOOKUP(Clients_Churn[[#This Row],[Province_Client]],Logs_Reseau!B:B,Logs_Reseau!E:E,"Pas de correspondance")</f>
        <v>ANT-0271</v>
      </c>
      <c r="D195" s="1" t="s">
        <v>13</v>
      </c>
      <c r="E195">
        <v>108</v>
      </c>
      <c r="F195" s="1" t="s">
        <v>11</v>
      </c>
      <c r="G195">
        <v>230</v>
      </c>
      <c r="H195">
        <v>16.3</v>
      </c>
      <c r="I195">
        <v>5</v>
      </c>
    </row>
    <row r="196" spans="1:9" x14ac:dyDescent="0.25">
      <c r="A196" s="1" t="s">
        <v>190</v>
      </c>
      <c r="B196" s="1" t="s">
        <v>236</v>
      </c>
      <c r="C196" s="1" t="str">
        <f>_xlfn.XLOOKUP(Clients_Churn[[#This Row],[Province_Client]],Logs_Reseau!B:B,Logs_Reseau!E:E,"Pas de correspondance")</f>
        <v>ANT-0166</v>
      </c>
      <c r="D196" s="1" t="s">
        <v>31</v>
      </c>
      <c r="E196">
        <v>48</v>
      </c>
      <c r="F196" s="1" t="s">
        <v>19</v>
      </c>
      <c r="G196">
        <v>436</v>
      </c>
      <c r="H196">
        <v>15.17</v>
      </c>
      <c r="I196">
        <v>0</v>
      </c>
    </row>
    <row r="197" spans="1:9" x14ac:dyDescent="0.25">
      <c r="A197" s="1" t="s">
        <v>190</v>
      </c>
      <c r="B197" s="1" t="s">
        <v>237</v>
      </c>
      <c r="C197" s="1" t="str">
        <f>_xlfn.XLOOKUP(Clients_Churn[[#This Row],[Province_Client]],Logs_Reseau!B:B,Logs_Reseau!E:E,"Pas de correspondance")</f>
        <v>ANT-0134</v>
      </c>
      <c r="D197" s="1" t="s">
        <v>40</v>
      </c>
      <c r="E197">
        <v>33</v>
      </c>
      <c r="F197" s="1" t="s">
        <v>11</v>
      </c>
      <c r="G197">
        <v>285</v>
      </c>
      <c r="H197">
        <v>56.67</v>
      </c>
      <c r="I197">
        <v>2</v>
      </c>
    </row>
    <row r="198" spans="1:9" x14ac:dyDescent="0.25">
      <c r="A198" s="1" t="s">
        <v>190</v>
      </c>
      <c r="B198" s="1" t="s">
        <v>238</v>
      </c>
      <c r="C198" s="1" t="str">
        <f>_xlfn.XLOOKUP(Clients_Churn[[#This Row],[Province_Client]],Logs_Reseau!B:B,Logs_Reseau!E:E,"Pas de correspondance")</f>
        <v>ANT-0332</v>
      </c>
      <c r="D198" s="1" t="s">
        <v>1674</v>
      </c>
      <c r="E198">
        <v>71</v>
      </c>
      <c r="F198" s="1" t="s">
        <v>11</v>
      </c>
      <c r="G198">
        <v>15</v>
      </c>
      <c r="H198">
        <v>25.46</v>
      </c>
      <c r="I198">
        <v>5</v>
      </c>
    </row>
    <row r="199" spans="1:9" x14ac:dyDescent="0.25">
      <c r="A199" s="1" t="s">
        <v>190</v>
      </c>
      <c r="B199" s="1" t="s">
        <v>239</v>
      </c>
      <c r="C199" s="1" t="str">
        <f>_xlfn.XLOOKUP(Clients_Churn[[#This Row],[Province_Client]],Logs_Reseau!B:B,Logs_Reseau!E:E,"Pas de correspondance")</f>
        <v>ANT-0945</v>
      </c>
      <c r="D199" s="1" t="s">
        <v>73</v>
      </c>
      <c r="E199">
        <v>11</v>
      </c>
      <c r="F199" s="1" t="s">
        <v>11</v>
      </c>
      <c r="G199">
        <v>191</v>
      </c>
      <c r="H199">
        <v>87.37</v>
      </c>
      <c r="I199">
        <v>3</v>
      </c>
    </row>
    <row r="200" spans="1:9" x14ac:dyDescent="0.25">
      <c r="A200" s="1" t="s">
        <v>190</v>
      </c>
      <c r="B200" s="1" t="s">
        <v>240</v>
      </c>
      <c r="C200" s="1" t="str">
        <f>_xlfn.XLOOKUP(Clients_Churn[[#This Row],[Province_Client]],Logs_Reseau!B:B,Logs_Reseau!E:E,"Pas de correspondance")</f>
        <v>ANT-0553</v>
      </c>
      <c r="D200" s="1" t="s">
        <v>131</v>
      </c>
      <c r="E200">
        <v>18</v>
      </c>
      <c r="F200" s="1" t="s">
        <v>14</v>
      </c>
      <c r="G200">
        <v>71</v>
      </c>
      <c r="H200">
        <v>46.98</v>
      </c>
      <c r="I200">
        <v>2</v>
      </c>
    </row>
    <row r="201" spans="1:9" x14ac:dyDescent="0.25">
      <c r="A201" s="1" t="s">
        <v>241</v>
      </c>
      <c r="B201" s="1" t="s">
        <v>242</v>
      </c>
      <c r="C201" s="1" t="str">
        <f>_xlfn.XLOOKUP(Clients_Churn[[#This Row],[Province_Client]],Logs_Reseau!B:B,Logs_Reseau!E:E,"Pas de correspondance")</f>
        <v>ANT-0760</v>
      </c>
      <c r="D201" s="1" t="s">
        <v>35</v>
      </c>
      <c r="E201">
        <v>27</v>
      </c>
      <c r="F201" s="1" t="s">
        <v>11</v>
      </c>
      <c r="G201">
        <v>61</v>
      </c>
      <c r="H201">
        <v>97.51</v>
      </c>
      <c r="I201">
        <v>5</v>
      </c>
    </row>
    <row r="202" spans="1:9" x14ac:dyDescent="0.25">
      <c r="A202" s="1" t="s">
        <v>241</v>
      </c>
      <c r="B202" s="1" t="s">
        <v>243</v>
      </c>
      <c r="C202" s="1" t="str">
        <f>_xlfn.XLOOKUP(Clients_Churn[[#This Row],[Province_Client]],Logs_Reseau!B:B,Logs_Reseau!E:E,"Pas de correspondance")</f>
        <v>ANT-0553</v>
      </c>
      <c r="D202" s="1" t="s">
        <v>131</v>
      </c>
      <c r="E202">
        <v>65</v>
      </c>
      <c r="F202" s="1" t="s">
        <v>19</v>
      </c>
      <c r="G202">
        <v>118</v>
      </c>
      <c r="H202">
        <v>72.430000000000007</v>
      </c>
      <c r="I202">
        <v>1</v>
      </c>
    </row>
    <row r="203" spans="1:9" x14ac:dyDescent="0.25">
      <c r="A203" s="1" t="s">
        <v>241</v>
      </c>
      <c r="B203" s="1" t="s">
        <v>244</v>
      </c>
      <c r="C203" s="1" t="str">
        <f>_xlfn.XLOOKUP(Clients_Churn[[#This Row],[Province_Client]],Logs_Reseau!B:B,Logs_Reseau!E:E,"Pas de correspondance")</f>
        <v>ANT-0166</v>
      </c>
      <c r="D203" s="1" t="s">
        <v>31</v>
      </c>
      <c r="E203">
        <v>6</v>
      </c>
      <c r="F203" s="1" t="s">
        <v>14</v>
      </c>
      <c r="G203">
        <v>109</v>
      </c>
      <c r="H203">
        <v>39.880000000000003</v>
      </c>
      <c r="I203">
        <v>4</v>
      </c>
    </row>
    <row r="204" spans="1:9" x14ac:dyDescent="0.25">
      <c r="A204" s="1" t="s">
        <v>241</v>
      </c>
      <c r="B204" s="1" t="s">
        <v>245</v>
      </c>
      <c r="C204" s="1" t="str">
        <f>_xlfn.XLOOKUP(Clients_Churn[[#This Row],[Province_Client]],Logs_Reseau!B:B,Logs_Reseau!E:E,"Pas de correspondance")</f>
        <v>ANT-0624</v>
      </c>
      <c r="D204" s="1" t="s">
        <v>24</v>
      </c>
      <c r="E204">
        <v>60</v>
      </c>
      <c r="F204" s="1" t="s">
        <v>22</v>
      </c>
      <c r="G204">
        <v>54</v>
      </c>
      <c r="H204">
        <v>67.180000000000007</v>
      </c>
      <c r="I204">
        <v>3</v>
      </c>
    </row>
    <row r="205" spans="1:9" x14ac:dyDescent="0.25">
      <c r="A205" s="1" t="s">
        <v>241</v>
      </c>
      <c r="B205" s="1" t="s">
        <v>246</v>
      </c>
      <c r="C205" s="1" t="str">
        <f>_xlfn.XLOOKUP(Clients_Churn[[#This Row],[Province_Client]],Logs_Reseau!B:B,Logs_Reseau!E:E,"Pas de correspondance")</f>
        <v>ANT-0332</v>
      </c>
      <c r="D205" s="1" t="s">
        <v>1674</v>
      </c>
      <c r="E205">
        <v>4</v>
      </c>
      <c r="F205" s="1" t="s">
        <v>19</v>
      </c>
      <c r="G205">
        <v>182</v>
      </c>
      <c r="H205">
        <v>89.56</v>
      </c>
      <c r="I205">
        <v>4</v>
      </c>
    </row>
    <row r="206" spans="1:9" x14ac:dyDescent="0.25">
      <c r="A206" s="1" t="s">
        <v>241</v>
      </c>
      <c r="B206" s="1" t="s">
        <v>247</v>
      </c>
      <c r="C206" s="1" t="str">
        <f>_xlfn.XLOOKUP(Clients_Churn[[#This Row],[Province_Client]],Logs_Reseau!B:B,Logs_Reseau!E:E,"Pas de correspondance")</f>
        <v>ANT-0037</v>
      </c>
      <c r="D206" s="1" t="s">
        <v>10</v>
      </c>
      <c r="E206">
        <v>10</v>
      </c>
      <c r="F206" s="1" t="s">
        <v>19</v>
      </c>
      <c r="G206">
        <v>165</v>
      </c>
      <c r="H206">
        <v>38.619999999999997</v>
      </c>
      <c r="I206">
        <v>2</v>
      </c>
    </row>
    <row r="207" spans="1:9" x14ac:dyDescent="0.25">
      <c r="A207" s="1" t="s">
        <v>241</v>
      </c>
      <c r="B207" s="1" t="s">
        <v>248</v>
      </c>
      <c r="C207" s="1" t="str">
        <f>_xlfn.XLOOKUP(Clients_Churn[[#This Row],[Province_Client]],Logs_Reseau!B:B,Logs_Reseau!E:E,"Pas de correspondance")</f>
        <v>ANT-0731</v>
      </c>
      <c r="D207" s="1" t="s">
        <v>1676</v>
      </c>
      <c r="E207">
        <v>82</v>
      </c>
      <c r="F207" s="1" t="s">
        <v>11</v>
      </c>
      <c r="G207">
        <v>88</v>
      </c>
      <c r="H207">
        <v>86.64</v>
      </c>
      <c r="I207">
        <v>1</v>
      </c>
    </row>
    <row r="208" spans="1:9" x14ac:dyDescent="0.25">
      <c r="A208" s="1" t="s">
        <v>241</v>
      </c>
      <c r="B208" s="1" t="s">
        <v>249</v>
      </c>
      <c r="C208" s="1" t="str">
        <f>_xlfn.XLOOKUP(Clients_Churn[[#This Row],[Province_Client]],Logs_Reseau!B:B,Logs_Reseau!E:E,"Pas de correspondance")</f>
        <v>ANT-0332</v>
      </c>
      <c r="D208" s="1" t="s">
        <v>1674</v>
      </c>
      <c r="E208">
        <v>89</v>
      </c>
      <c r="F208" s="1" t="s">
        <v>22</v>
      </c>
      <c r="G208">
        <v>7</v>
      </c>
      <c r="H208">
        <v>53.39</v>
      </c>
      <c r="I208">
        <v>3</v>
      </c>
    </row>
    <row r="209" spans="1:9" x14ac:dyDescent="0.25">
      <c r="A209" s="1" t="s">
        <v>241</v>
      </c>
      <c r="B209" s="1" t="s">
        <v>250</v>
      </c>
      <c r="C209" s="1" t="str">
        <f>_xlfn.XLOOKUP(Clients_Churn[[#This Row],[Province_Client]],Logs_Reseau!B:B,Logs_Reseau!E:E,"Pas de correspondance")</f>
        <v>ANT-0166</v>
      </c>
      <c r="D209" s="1" t="s">
        <v>31</v>
      </c>
      <c r="E209">
        <v>87</v>
      </c>
      <c r="F209" s="1" t="s">
        <v>14</v>
      </c>
      <c r="G209">
        <v>205</v>
      </c>
      <c r="H209">
        <v>40.159999999999997</v>
      </c>
      <c r="I209">
        <v>5</v>
      </c>
    </row>
    <row r="210" spans="1:9" x14ac:dyDescent="0.25">
      <c r="A210" s="1" t="s">
        <v>241</v>
      </c>
      <c r="B210" s="1" t="s">
        <v>251</v>
      </c>
      <c r="C210" s="1" t="str">
        <f>_xlfn.XLOOKUP(Clients_Churn[[#This Row],[Province_Client]],Logs_Reseau!B:B,Logs_Reseau!E:E,"Pas de correspondance")</f>
        <v>ANT-0371</v>
      </c>
      <c r="D210" s="1" t="s">
        <v>18</v>
      </c>
      <c r="E210">
        <v>96</v>
      </c>
      <c r="F210" s="1" t="s">
        <v>11</v>
      </c>
      <c r="G210">
        <v>334</v>
      </c>
      <c r="H210">
        <v>64.77</v>
      </c>
      <c r="I210">
        <v>0</v>
      </c>
    </row>
    <row r="211" spans="1:9" x14ac:dyDescent="0.25">
      <c r="A211" s="1" t="s">
        <v>241</v>
      </c>
      <c r="B211" s="1" t="s">
        <v>252</v>
      </c>
      <c r="C211" s="1" t="str">
        <f>_xlfn.XLOOKUP(Clients_Churn[[#This Row],[Province_Client]],Logs_Reseau!B:B,Logs_Reseau!E:E,"Pas de correspondance")</f>
        <v>ANT-0037</v>
      </c>
      <c r="D211" s="1" t="s">
        <v>10</v>
      </c>
      <c r="E211">
        <v>60</v>
      </c>
      <c r="F211" s="1" t="s">
        <v>22</v>
      </c>
      <c r="G211">
        <v>161</v>
      </c>
      <c r="H211">
        <v>62.65</v>
      </c>
      <c r="I211">
        <v>0</v>
      </c>
    </row>
    <row r="212" spans="1:9" x14ac:dyDescent="0.25">
      <c r="A212" s="1" t="s">
        <v>241</v>
      </c>
      <c r="B212" s="1" t="s">
        <v>253</v>
      </c>
      <c r="C212" s="1" t="str">
        <f>_xlfn.XLOOKUP(Clients_Churn[[#This Row],[Province_Client]],Logs_Reseau!B:B,Logs_Reseau!E:E,"Pas de correspondance")</f>
        <v>ANT-0797</v>
      </c>
      <c r="D212" s="1" t="s">
        <v>127</v>
      </c>
      <c r="E212">
        <v>49</v>
      </c>
      <c r="F212" s="1" t="s">
        <v>22</v>
      </c>
      <c r="G212">
        <v>6</v>
      </c>
      <c r="H212">
        <v>44.41</v>
      </c>
      <c r="I212">
        <v>3</v>
      </c>
    </row>
    <row r="213" spans="1:9" x14ac:dyDescent="0.25">
      <c r="A213" s="1" t="s">
        <v>241</v>
      </c>
      <c r="B213" s="1" t="s">
        <v>254</v>
      </c>
      <c r="C213" s="1" t="str">
        <f>_xlfn.XLOOKUP(Clients_Churn[[#This Row],[Province_Client]],Logs_Reseau!B:B,Logs_Reseau!E:E,"Pas de correspondance")</f>
        <v>ANT-0553</v>
      </c>
      <c r="D213" s="1" t="s">
        <v>131</v>
      </c>
      <c r="E213">
        <v>44</v>
      </c>
      <c r="F213" s="1" t="s">
        <v>19</v>
      </c>
      <c r="G213">
        <v>199</v>
      </c>
      <c r="H213">
        <v>67.650000000000006</v>
      </c>
      <c r="I213">
        <v>0</v>
      </c>
    </row>
    <row r="214" spans="1:9" x14ac:dyDescent="0.25">
      <c r="A214" s="1" t="s">
        <v>241</v>
      </c>
      <c r="B214" s="1" t="s">
        <v>255</v>
      </c>
      <c r="C214" s="1" t="str">
        <f>_xlfn.XLOOKUP(Clients_Churn[[#This Row],[Province_Client]],Logs_Reseau!B:B,Logs_Reseau!E:E,"Pas de correspondance")</f>
        <v>ANT-0271</v>
      </c>
      <c r="D214" s="1" t="s">
        <v>13</v>
      </c>
      <c r="E214">
        <v>96</v>
      </c>
      <c r="F214" s="1" t="s">
        <v>22</v>
      </c>
      <c r="G214">
        <v>108</v>
      </c>
      <c r="H214">
        <v>30.92</v>
      </c>
      <c r="I214">
        <v>1</v>
      </c>
    </row>
    <row r="215" spans="1:9" x14ac:dyDescent="0.25">
      <c r="A215" s="1" t="s">
        <v>241</v>
      </c>
      <c r="B215" s="1" t="s">
        <v>256</v>
      </c>
      <c r="C215" s="1" t="str">
        <f>_xlfn.XLOOKUP(Clients_Churn[[#This Row],[Province_Client]],Logs_Reseau!B:B,Logs_Reseau!E:E,"Pas de correspondance")</f>
        <v>ANT-0332</v>
      </c>
      <c r="D215" s="1" t="s">
        <v>1674</v>
      </c>
      <c r="E215">
        <v>52</v>
      </c>
      <c r="F215" s="1" t="s">
        <v>14</v>
      </c>
      <c r="G215">
        <v>234</v>
      </c>
      <c r="H215">
        <v>62.87</v>
      </c>
      <c r="I215">
        <v>0</v>
      </c>
    </row>
    <row r="216" spans="1:9" x14ac:dyDescent="0.25">
      <c r="A216" s="1" t="s">
        <v>241</v>
      </c>
      <c r="B216" s="1" t="s">
        <v>257</v>
      </c>
      <c r="C216" s="1" t="str">
        <f>_xlfn.XLOOKUP(Clients_Churn[[#This Row],[Province_Client]],Logs_Reseau!B:B,Logs_Reseau!E:E,"Pas de correspondance")</f>
        <v>ANT-0465</v>
      </c>
      <c r="D216" s="1" t="s">
        <v>37</v>
      </c>
      <c r="E216">
        <v>110</v>
      </c>
      <c r="F216" s="1" t="s">
        <v>19</v>
      </c>
      <c r="G216">
        <v>112</v>
      </c>
      <c r="H216">
        <v>98.95</v>
      </c>
      <c r="I216">
        <v>5</v>
      </c>
    </row>
    <row r="217" spans="1:9" x14ac:dyDescent="0.25">
      <c r="A217" s="1" t="s">
        <v>241</v>
      </c>
      <c r="B217" s="1" t="s">
        <v>258</v>
      </c>
      <c r="C217" s="1" t="str">
        <f>_xlfn.XLOOKUP(Clients_Churn[[#This Row],[Province_Client]],Logs_Reseau!B:B,Logs_Reseau!E:E,"Pas de correspondance")</f>
        <v>ANT-0935</v>
      </c>
      <c r="D217" s="1" t="s">
        <v>89</v>
      </c>
      <c r="E217">
        <v>25</v>
      </c>
      <c r="F217" s="1" t="s">
        <v>19</v>
      </c>
      <c r="G217">
        <v>33</v>
      </c>
      <c r="H217">
        <v>30.93</v>
      </c>
      <c r="I217">
        <v>1</v>
      </c>
    </row>
    <row r="218" spans="1:9" x14ac:dyDescent="0.25">
      <c r="A218" s="1" t="s">
        <v>241</v>
      </c>
      <c r="B218" s="1" t="s">
        <v>259</v>
      </c>
      <c r="C218" s="1" t="str">
        <f>_xlfn.XLOOKUP(Clients_Churn[[#This Row],[Province_Client]],Logs_Reseau!B:B,Logs_Reseau!E:E,"Pas de correspondance")</f>
        <v>ANT-0850</v>
      </c>
      <c r="D218" s="1" t="s">
        <v>51</v>
      </c>
      <c r="E218">
        <v>51</v>
      </c>
      <c r="F218" s="1" t="s">
        <v>14</v>
      </c>
      <c r="G218">
        <v>336</v>
      </c>
      <c r="H218">
        <v>65.47</v>
      </c>
      <c r="I218">
        <v>1</v>
      </c>
    </row>
    <row r="219" spans="1:9" x14ac:dyDescent="0.25">
      <c r="A219" s="1" t="s">
        <v>241</v>
      </c>
      <c r="B219" s="1" t="s">
        <v>260</v>
      </c>
      <c r="C219" s="1" t="str">
        <f>_xlfn.XLOOKUP(Clients_Churn[[#This Row],[Province_Client]],Logs_Reseau!B:B,Logs_Reseau!E:E,"Pas de correspondance")</f>
        <v>ANT-0553</v>
      </c>
      <c r="D219" s="1" t="s">
        <v>131</v>
      </c>
      <c r="E219">
        <v>5</v>
      </c>
      <c r="F219" s="1" t="s">
        <v>11</v>
      </c>
      <c r="G219">
        <v>417</v>
      </c>
      <c r="H219">
        <v>90.71</v>
      </c>
      <c r="I219">
        <v>1</v>
      </c>
    </row>
    <row r="220" spans="1:9" x14ac:dyDescent="0.25">
      <c r="A220" s="1" t="s">
        <v>241</v>
      </c>
      <c r="B220" s="1" t="s">
        <v>261</v>
      </c>
      <c r="C220" s="1" t="str">
        <f>_xlfn.XLOOKUP(Clients_Churn[[#This Row],[Province_Client]],Logs_Reseau!B:B,Logs_Reseau!E:E,"Pas de correspondance")</f>
        <v>ANT-0465</v>
      </c>
      <c r="D220" s="1" t="s">
        <v>37</v>
      </c>
      <c r="E220">
        <v>2</v>
      </c>
      <c r="F220" s="1" t="s">
        <v>14</v>
      </c>
      <c r="G220">
        <v>142</v>
      </c>
      <c r="H220">
        <v>37.799999999999997</v>
      </c>
      <c r="I220">
        <v>0</v>
      </c>
    </row>
    <row r="221" spans="1:9" x14ac:dyDescent="0.25">
      <c r="A221" s="1" t="s">
        <v>241</v>
      </c>
      <c r="B221" s="1" t="s">
        <v>262</v>
      </c>
      <c r="C221" s="1" t="str">
        <f>_xlfn.XLOOKUP(Clients_Churn[[#This Row],[Province_Client]],Logs_Reseau!B:B,Logs_Reseau!E:E,"Pas de correspondance")</f>
        <v>ANT-0737</v>
      </c>
      <c r="D221" s="1" t="s">
        <v>62</v>
      </c>
      <c r="E221">
        <v>33</v>
      </c>
      <c r="F221" s="1" t="s">
        <v>19</v>
      </c>
      <c r="G221">
        <v>332</v>
      </c>
      <c r="H221">
        <v>76.41</v>
      </c>
      <c r="I221">
        <v>1</v>
      </c>
    </row>
    <row r="222" spans="1:9" x14ac:dyDescent="0.25">
      <c r="A222" s="1" t="s">
        <v>241</v>
      </c>
      <c r="B222" s="1" t="s">
        <v>263</v>
      </c>
      <c r="C222" s="1" t="str">
        <f>_xlfn.XLOOKUP(Clients_Churn[[#This Row],[Province_Client]],Logs_Reseau!B:B,Logs_Reseau!E:E,"Pas de correspondance")</f>
        <v>ANT-0731</v>
      </c>
      <c r="D222" s="1" t="s">
        <v>1676</v>
      </c>
      <c r="E222">
        <v>15</v>
      </c>
      <c r="F222" s="1" t="s">
        <v>19</v>
      </c>
      <c r="G222">
        <v>319</v>
      </c>
      <c r="H222">
        <v>78.150000000000006</v>
      </c>
      <c r="I222">
        <v>4</v>
      </c>
    </row>
    <row r="223" spans="1:9" x14ac:dyDescent="0.25">
      <c r="A223" s="1" t="s">
        <v>241</v>
      </c>
      <c r="B223" s="1" t="s">
        <v>264</v>
      </c>
      <c r="C223" s="1" t="str">
        <f>_xlfn.XLOOKUP(Clients_Churn[[#This Row],[Province_Client]],Logs_Reseau!B:B,Logs_Reseau!E:E,"Pas de correspondance")</f>
        <v>ANT-0332</v>
      </c>
      <c r="D223" s="1" t="s">
        <v>1674</v>
      </c>
      <c r="E223">
        <v>91</v>
      </c>
      <c r="F223" s="1" t="s">
        <v>19</v>
      </c>
      <c r="G223">
        <v>188</v>
      </c>
      <c r="H223">
        <v>65.78</v>
      </c>
      <c r="I223">
        <v>4</v>
      </c>
    </row>
    <row r="224" spans="1:9" x14ac:dyDescent="0.25">
      <c r="A224" s="1" t="s">
        <v>241</v>
      </c>
      <c r="B224" s="1" t="s">
        <v>265</v>
      </c>
      <c r="C224" s="1" t="str">
        <f>_xlfn.XLOOKUP(Clients_Churn[[#This Row],[Province_Client]],Logs_Reseau!B:B,Logs_Reseau!E:E,"Pas de correspondance")</f>
        <v>ANT-0520</v>
      </c>
      <c r="D224" s="1" t="s">
        <v>67</v>
      </c>
      <c r="E224">
        <v>118</v>
      </c>
      <c r="F224" s="1" t="s">
        <v>14</v>
      </c>
      <c r="G224">
        <v>22</v>
      </c>
      <c r="H224">
        <v>15.39</v>
      </c>
      <c r="I224">
        <v>1</v>
      </c>
    </row>
    <row r="225" spans="1:9" x14ac:dyDescent="0.25">
      <c r="A225" s="1" t="s">
        <v>241</v>
      </c>
      <c r="B225" s="1" t="s">
        <v>266</v>
      </c>
      <c r="C225" s="1" t="str">
        <f>_xlfn.XLOOKUP(Clients_Churn[[#This Row],[Province_Client]],Logs_Reseau!B:B,Logs_Reseau!E:E,"Pas de correspondance")</f>
        <v>ANT-0855</v>
      </c>
      <c r="D225" s="1" t="s">
        <v>16</v>
      </c>
      <c r="E225">
        <v>18</v>
      </c>
      <c r="F225" s="1" t="s">
        <v>22</v>
      </c>
      <c r="G225">
        <v>34</v>
      </c>
      <c r="H225">
        <v>43.71</v>
      </c>
      <c r="I225">
        <v>1</v>
      </c>
    </row>
    <row r="226" spans="1:9" x14ac:dyDescent="0.25">
      <c r="A226" s="1" t="s">
        <v>241</v>
      </c>
      <c r="B226" s="1" t="s">
        <v>267</v>
      </c>
      <c r="C226" s="1" t="str">
        <f>_xlfn.XLOOKUP(Clients_Churn[[#This Row],[Province_Client]],Logs_Reseau!B:B,Logs_Reseau!E:E,"Pas de correspondance")</f>
        <v>ANT-0315</v>
      </c>
      <c r="D226" s="1" t="s">
        <v>60</v>
      </c>
      <c r="E226">
        <v>42</v>
      </c>
      <c r="F226" s="1" t="s">
        <v>22</v>
      </c>
      <c r="G226">
        <v>453</v>
      </c>
      <c r="H226">
        <v>36.700000000000003</v>
      </c>
      <c r="I226">
        <v>4</v>
      </c>
    </row>
    <row r="227" spans="1:9" x14ac:dyDescent="0.25">
      <c r="A227" s="1" t="s">
        <v>241</v>
      </c>
      <c r="B227" s="1" t="s">
        <v>268</v>
      </c>
      <c r="C227" s="1" t="str">
        <f>_xlfn.XLOOKUP(Clients_Churn[[#This Row],[Province_Client]],Logs_Reseau!B:B,Logs_Reseau!E:E,"Pas de correspondance")</f>
        <v>ANT-0760</v>
      </c>
      <c r="D227" s="1" t="s">
        <v>35</v>
      </c>
      <c r="E227">
        <v>86</v>
      </c>
      <c r="F227" s="1" t="s">
        <v>11</v>
      </c>
      <c r="G227">
        <v>111</v>
      </c>
      <c r="H227">
        <v>23.65</v>
      </c>
      <c r="I227">
        <v>0</v>
      </c>
    </row>
    <row r="228" spans="1:9" x14ac:dyDescent="0.25">
      <c r="A228" s="1" t="s">
        <v>241</v>
      </c>
      <c r="B228" s="1" t="s">
        <v>269</v>
      </c>
      <c r="C228" s="1" t="str">
        <f>_xlfn.XLOOKUP(Clients_Churn[[#This Row],[Province_Client]],Logs_Reseau!B:B,Logs_Reseau!E:E,"Pas de correspondance")</f>
        <v>ANT-0271</v>
      </c>
      <c r="D228" s="1" t="s">
        <v>13</v>
      </c>
      <c r="E228">
        <v>96</v>
      </c>
      <c r="F228" s="1" t="s">
        <v>22</v>
      </c>
      <c r="G228">
        <v>210</v>
      </c>
      <c r="H228">
        <v>28.39</v>
      </c>
      <c r="I228">
        <v>3</v>
      </c>
    </row>
    <row r="229" spans="1:9" x14ac:dyDescent="0.25">
      <c r="A229" s="1" t="s">
        <v>241</v>
      </c>
      <c r="B229" s="1" t="s">
        <v>270</v>
      </c>
      <c r="C229" s="1" t="str">
        <f>_xlfn.XLOOKUP(Clients_Churn[[#This Row],[Province_Client]],Logs_Reseau!B:B,Logs_Reseau!E:E,"Pas de correspondance")</f>
        <v>ANT-0134</v>
      </c>
      <c r="D229" s="1" t="s">
        <v>40</v>
      </c>
      <c r="E229">
        <v>60</v>
      </c>
      <c r="F229" s="1" t="s">
        <v>22</v>
      </c>
      <c r="G229">
        <v>154</v>
      </c>
      <c r="H229">
        <v>13.41</v>
      </c>
      <c r="I229">
        <v>5</v>
      </c>
    </row>
    <row r="230" spans="1:9" x14ac:dyDescent="0.25">
      <c r="A230" s="1" t="s">
        <v>241</v>
      </c>
      <c r="B230" s="1" t="s">
        <v>271</v>
      </c>
      <c r="C230" s="1" t="str">
        <f>_xlfn.XLOOKUP(Clients_Churn[[#This Row],[Province_Client]],Logs_Reseau!B:B,Logs_Reseau!E:E,"Pas de correspondance")</f>
        <v>ANT-0465</v>
      </c>
      <c r="D230" s="1" t="s">
        <v>37</v>
      </c>
      <c r="E230">
        <v>63</v>
      </c>
      <c r="F230" s="1" t="s">
        <v>19</v>
      </c>
      <c r="G230">
        <v>392</v>
      </c>
      <c r="H230">
        <v>93.11</v>
      </c>
      <c r="I230">
        <v>3</v>
      </c>
    </row>
    <row r="231" spans="1:9" x14ac:dyDescent="0.25">
      <c r="A231" s="1" t="s">
        <v>241</v>
      </c>
      <c r="B231" s="1" t="s">
        <v>272</v>
      </c>
      <c r="C231" s="1" t="str">
        <f>_xlfn.XLOOKUP(Clients_Churn[[#This Row],[Province_Client]],Logs_Reseau!B:B,Logs_Reseau!E:E,"Pas de correspondance")</f>
        <v>ANT-0371</v>
      </c>
      <c r="D231" s="1" t="s">
        <v>18</v>
      </c>
      <c r="E231">
        <v>60</v>
      </c>
      <c r="F231" s="1" t="s">
        <v>19</v>
      </c>
      <c r="G231">
        <v>306</v>
      </c>
      <c r="H231">
        <v>63.83</v>
      </c>
      <c r="I231">
        <v>2</v>
      </c>
    </row>
    <row r="232" spans="1:9" x14ac:dyDescent="0.25">
      <c r="A232" s="1" t="s">
        <v>241</v>
      </c>
      <c r="B232" s="1" t="s">
        <v>273</v>
      </c>
      <c r="C232" s="1" t="str">
        <f>_xlfn.XLOOKUP(Clients_Churn[[#This Row],[Province_Client]],Logs_Reseau!B:B,Logs_Reseau!E:E,"Pas de correspondance")</f>
        <v>ANT-0371</v>
      </c>
      <c r="D232" s="1" t="s">
        <v>18</v>
      </c>
      <c r="E232">
        <v>9</v>
      </c>
      <c r="F232" s="1" t="s">
        <v>14</v>
      </c>
      <c r="G232">
        <v>255</v>
      </c>
      <c r="H232">
        <v>95.13</v>
      </c>
      <c r="I232">
        <v>1</v>
      </c>
    </row>
    <row r="233" spans="1:9" x14ac:dyDescent="0.25">
      <c r="A233" s="1" t="s">
        <v>241</v>
      </c>
      <c r="B233" s="1" t="s">
        <v>274</v>
      </c>
      <c r="C233" s="1" t="str">
        <f>_xlfn.XLOOKUP(Clients_Churn[[#This Row],[Province_Client]],Logs_Reseau!B:B,Logs_Reseau!E:E,"Pas de correspondance")</f>
        <v>ANT-0270</v>
      </c>
      <c r="D233" s="1" t="s">
        <v>1675</v>
      </c>
      <c r="E233">
        <v>11</v>
      </c>
      <c r="F233" s="1" t="s">
        <v>19</v>
      </c>
      <c r="G233">
        <v>52</v>
      </c>
      <c r="H233">
        <v>76.53</v>
      </c>
      <c r="I233">
        <v>5</v>
      </c>
    </row>
    <row r="234" spans="1:9" x14ac:dyDescent="0.25">
      <c r="A234" s="1" t="s">
        <v>241</v>
      </c>
      <c r="B234" s="1" t="s">
        <v>275</v>
      </c>
      <c r="C234" s="1" t="str">
        <f>_xlfn.XLOOKUP(Clients_Churn[[#This Row],[Province_Client]],Logs_Reseau!B:B,Logs_Reseau!E:E,"Pas de correspondance")</f>
        <v>ANT-0566</v>
      </c>
      <c r="D234" s="1" t="s">
        <v>26</v>
      </c>
      <c r="E234">
        <v>71</v>
      </c>
      <c r="F234" s="1" t="s">
        <v>19</v>
      </c>
      <c r="G234">
        <v>364</v>
      </c>
      <c r="H234">
        <v>39.58</v>
      </c>
      <c r="I234">
        <v>1</v>
      </c>
    </row>
    <row r="235" spans="1:9" x14ac:dyDescent="0.25">
      <c r="A235" s="1" t="s">
        <v>241</v>
      </c>
      <c r="B235" s="1" t="s">
        <v>276</v>
      </c>
      <c r="C235" s="1" t="str">
        <f>_xlfn.XLOOKUP(Clients_Churn[[#This Row],[Province_Client]],Logs_Reseau!B:B,Logs_Reseau!E:E,"Pas de correspondance")</f>
        <v>ANT-0037</v>
      </c>
      <c r="D235" s="1" t="s">
        <v>10</v>
      </c>
      <c r="E235">
        <v>85</v>
      </c>
      <c r="F235" s="1" t="s">
        <v>11</v>
      </c>
      <c r="G235">
        <v>274</v>
      </c>
      <c r="H235">
        <v>35.03</v>
      </c>
      <c r="I235">
        <v>1</v>
      </c>
    </row>
    <row r="236" spans="1:9" x14ac:dyDescent="0.25">
      <c r="A236" s="1" t="s">
        <v>241</v>
      </c>
      <c r="B236" s="1" t="s">
        <v>277</v>
      </c>
      <c r="C236" s="1" t="str">
        <f>_xlfn.XLOOKUP(Clients_Churn[[#This Row],[Province_Client]],Logs_Reseau!B:B,Logs_Reseau!E:E,"Pas de correspondance")</f>
        <v>ANT-0258</v>
      </c>
      <c r="D236" s="1" t="s">
        <v>137</v>
      </c>
      <c r="E236">
        <v>32</v>
      </c>
      <c r="F236" s="1" t="s">
        <v>22</v>
      </c>
      <c r="G236">
        <v>405</v>
      </c>
      <c r="H236">
        <v>67.92</v>
      </c>
      <c r="I236">
        <v>3</v>
      </c>
    </row>
    <row r="237" spans="1:9" x14ac:dyDescent="0.25">
      <c r="A237" s="1" t="s">
        <v>241</v>
      </c>
      <c r="B237" s="1" t="s">
        <v>278</v>
      </c>
      <c r="C237" s="1" t="str">
        <f>_xlfn.XLOOKUP(Clients_Churn[[#This Row],[Province_Client]],Logs_Reseau!B:B,Logs_Reseau!E:E,"Pas de correspondance")</f>
        <v>ANT-0315</v>
      </c>
      <c r="D237" s="1" t="s">
        <v>60</v>
      </c>
      <c r="E237">
        <v>92</v>
      </c>
      <c r="F237" s="1" t="s">
        <v>19</v>
      </c>
      <c r="G237">
        <v>472</v>
      </c>
      <c r="H237">
        <v>78.44</v>
      </c>
      <c r="I237">
        <v>1</v>
      </c>
    </row>
    <row r="238" spans="1:9" x14ac:dyDescent="0.25">
      <c r="A238" s="1" t="s">
        <v>241</v>
      </c>
      <c r="B238" s="1" t="s">
        <v>279</v>
      </c>
      <c r="C238" s="1" t="str">
        <f>_xlfn.XLOOKUP(Clients_Churn[[#This Row],[Province_Client]],Logs_Reseau!B:B,Logs_Reseau!E:E,"Pas de correspondance")</f>
        <v>ANT-0850</v>
      </c>
      <c r="D238" s="1" t="s">
        <v>51</v>
      </c>
      <c r="E238">
        <v>57</v>
      </c>
      <c r="F238" s="1" t="s">
        <v>22</v>
      </c>
      <c r="G238">
        <v>435</v>
      </c>
      <c r="H238">
        <v>56.88</v>
      </c>
      <c r="I238">
        <v>4</v>
      </c>
    </row>
    <row r="239" spans="1:9" x14ac:dyDescent="0.25">
      <c r="A239" s="1" t="s">
        <v>241</v>
      </c>
      <c r="B239" s="1" t="s">
        <v>280</v>
      </c>
      <c r="C239" s="1" t="str">
        <f>_xlfn.XLOOKUP(Clients_Churn[[#This Row],[Province_Client]],Logs_Reseau!B:B,Logs_Reseau!E:E,"Pas de correspondance")</f>
        <v>ANT-0852</v>
      </c>
      <c r="D239" s="1" t="s">
        <v>21</v>
      </c>
      <c r="E239">
        <v>18</v>
      </c>
      <c r="F239" s="1" t="s">
        <v>19</v>
      </c>
      <c r="G239">
        <v>291</v>
      </c>
      <c r="H239">
        <v>97.98</v>
      </c>
      <c r="I239">
        <v>1</v>
      </c>
    </row>
    <row r="240" spans="1:9" x14ac:dyDescent="0.25">
      <c r="A240" s="1" t="s">
        <v>241</v>
      </c>
      <c r="B240" s="1" t="s">
        <v>281</v>
      </c>
      <c r="C240" s="1" t="str">
        <f>_xlfn.XLOOKUP(Clients_Churn[[#This Row],[Province_Client]],Logs_Reseau!B:B,Logs_Reseau!E:E,"Pas de correspondance")</f>
        <v>ANT-0134</v>
      </c>
      <c r="D240" s="1" t="s">
        <v>40</v>
      </c>
      <c r="E240">
        <v>61</v>
      </c>
      <c r="F240" s="1" t="s">
        <v>22</v>
      </c>
      <c r="G240">
        <v>87</v>
      </c>
      <c r="H240">
        <v>68.319999999999993</v>
      </c>
      <c r="I240">
        <v>2</v>
      </c>
    </row>
    <row r="241" spans="1:9" x14ac:dyDescent="0.25">
      <c r="A241" s="1" t="s">
        <v>241</v>
      </c>
      <c r="B241" s="1" t="s">
        <v>282</v>
      </c>
      <c r="C241" s="1" t="str">
        <f>_xlfn.XLOOKUP(Clients_Churn[[#This Row],[Province_Client]],Logs_Reseau!B:B,Logs_Reseau!E:E,"Pas de correspondance")</f>
        <v>ANT-0258</v>
      </c>
      <c r="D241" s="1" t="s">
        <v>137</v>
      </c>
      <c r="E241">
        <v>106</v>
      </c>
      <c r="F241" s="1" t="s">
        <v>22</v>
      </c>
      <c r="G241">
        <v>128</v>
      </c>
      <c r="H241">
        <v>35.96</v>
      </c>
      <c r="I241">
        <v>2</v>
      </c>
    </row>
    <row r="242" spans="1:9" x14ac:dyDescent="0.25">
      <c r="A242" s="1" t="s">
        <v>241</v>
      </c>
      <c r="B242" s="1" t="s">
        <v>283</v>
      </c>
      <c r="C242" s="1" t="str">
        <f>_xlfn.XLOOKUP(Clients_Churn[[#This Row],[Province_Client]],Logs_Reseau!B:B,Logs_Reseau!E:E,"Pas de correspondance")</f>
        <v>ANT-0850</v>
      </c>
      <c r="D242" s="1" t="s">
        <v>51</v>
      </c>
      <c r="E242">
        <v>36</v>
      </c>
      <c r="F242" s="1" t="s">
        <v>19</v>
      </c>
      <c r="G242">
        <v>491</v>
      </c>
      <c r="H242">
        <v>12.13</v>
      </c>
      <c r="I242">
        <v>4</v>
      </c>
    </row>
    <row r="243" spans="1:9" x14ac:dyDescent="0.25">
      <c r="A243" s="1" t="s">
        <v>241</v>
      </c>
      <c r="B243" s="1" t="s">
        <v>284</v>
      </c>
      <c r="C243" s="1" t="str">
        <f>_xlfn.XLOOKUP(Clients_Churn[[#This Row],[Province_Client]],Logs_Reseau!B:B,Logs_Reseau!E:E,"Pas de correspondance")</f>
        <v>ANT-0945</v>
      </c>
      <c r="D243" s="1" t="s">
        <v>73</v>
      </c>
      <c r="E243">
        <v>108</v>
      </c>
      <c r="F243" s="1" t="s">
        <v>14</v>
      </c>
      <c r="G243">
        <v>48</v>
      </c>
      <c r="H243">
        <v>86.22</v>
      </c>
      <c r="I243">
        <v>3</v>
      </c>
    </row>
    <row r="244" spans="1:9" x14ac:dyDescent="0.25">
      <c r="A244" s="1" t="s">
        <v>241</v>
      </c>
      <c r="B244" s="1" t="s">
        <v>285</v>
      </c>
      <c r="C244" s="1" t="str">
        <f>_xlfn.XLOOKUP(Clients_Churn[[#This Row],[Province_Client]],Logs_Reseau!B:B,Logs_Reseau!E:E,"Pas de correspondance")</f>
        <v>ANT-0258</v>
      </c>
      <c r="D244" s="1" t="s">
        <v>137</v>
      </c>
      <c r="E244">
        <v>21</v>
      </c>
      <c r="F244" s="1" t="s">
        <v>19</v>
      </c>
      <c r="G244">
        <v>307</v>
      </c>
      <c r="H244">
        <v>39.81</v>
      </c>
      <c r="I244">
        <v>5</v>
      </c>
    </row>
    <row r="245" spans="1:9" x14ac:dyDescent="0.25">
      <c r="A245" s="1" t="s">
        <v>241</v>
      </c>
      <c r="B245" s="1" t="s">
        <v>286</v>
      </c>
      <c r="C245" s="1" t="str">
        <f>_xlfn.XLOOKUP(Clients_Churn[[#This Row],[Province_Client]],Logs_Reseau!B:B,Logs_Reseau!E:E,"Pas de correspondance")</f>
        <v>ANT-0258</v>
      </c>
      <c r="D245" s="1" t="s">
        <v>137</v>
      </c>
      <c r="E245">
        <v>22</v>
      </c>
      <c r="F245" s="1" t="s">
        <v>11</v>
      </c>
      <c r="G245">
        <v>166</v>
      </c>
      <c r="H245">
        <v>31.8</v>
      </c>
      <c r="I245">
        <v>1</v>
      </c>
    </row>
    <row r="246" spans="1:9" x14ac:dyDescent="0.25">
      <c r="A246" s="1" t="s">
        <v>241</v>
      </c>
      <c r="B246" s="1" t="s">
        <v>287</v>
      </c>
      <c r="C246" s="1" t="str">
        <f>_xlfn.XLOOKUP(Clients_Churn[[#This Row],[Province_Client]],Logs_Reseau!B:B,Logs_Reseau!E:E,"Pas de correspondance")</f>
        <v>ANT-0250</v>
      </c>
      <c r="D246" s="1" t="s">
        <v>78</v>
      </c>
      <c r="E246">
        <v>108</v>
      </c>
      <c r="F246" s="1" t="s">
        <v>11</v>
      </c>
      <c r="G246">
        <v>323</v>
      </c>
      <c r="H246">
        <v>58.54</v>
      </c>
      <c r="I246">
        <v>2</v>
      </c>
    </row>
    <row r="247" spans="1:9" x14ac:dyDescent="0.25">
      <c r="A247" s="1" t="s">
        <v>241</v>
      </c>
      <c r="B247" s="1" t="s">
        <v>288</v>
      </c>
      <c r="C247" s="1" t="str">
        <f>_xlfn.XLOOKUP(Clients_Churn[[#This Row],[Province_Client]],Logs_Reseau!B:B,Logs_Reseau!E:E,"Pas de correspondance")</f>
        <v>ANT-0037</v>
      </c>
      <c r="D247" s="1" t="s">
        <v>10</v>
      </c>
      <c r="E247">
        <v>3</v>
      </c>
      <c r="F247" s="1" t="s">
        <v>22</v>
      </c>
      <c r="G247">
        <v>356</v>
      </c>
      <c r="H247">
        <v>91.6</v>
      </c>
      <c r="I247">
        <v>3</v>
      </c>
    </row>
    <row r="248" spans="1:9" x14ac:dyDescent="0.25">
      <c r="A248" s="1" t="s">
        <v>241</v>
      </c>
      <c r="B248" s="1" t="s">
        <v>289</v>
      </c>
      <c r="C248" s="1" t="str">
        <f>_xlfn.XLOOKUP(Clients_Churn[[#This Row],[Province_Client]],Logs_Reseau!B:B,Logs_Reseau!E:E,"Pas de correspondance")</f>
        <v>ANT-0797</v>
      </c>
      <c r="D248" s="1" t="s">
        <v>127</v>
      </c>
      <c r="E248">
        <v>78</v>
      </c>
      <c r="F248" s="1" t="s">
        <v>22</v>
      </c>
      <c r="G248">
        <v>198</v>
      </c>
      <c r="H248">
        <v>69.849999999999994</v>
      </c>
      <c r="I248">
        <v>0</v>
      </c>
    </row>
    <row r="249" spans="1:9" x14ac:dyDescent="0.25">
      <c r="A249" s="1" t="s">
        <v>241</v>
      </c>
      <c r="B249" s="1" t="s">
        <v>290</v>
      </c>
      <c r="C249" s="1" t="str">
        <f>_xlfn.XLOOKUP(Clients_Churn[[#This Row],[Province_Client]],Logs_Reseau!B:B,Logs_Reseau!E:E,"Pas de correspondance")</f>
        <v>ANT-0332</v>
      </c>
      <c r="D249" s="1" t="s">
        <v>1674</v>
      </c>
      <c r="E249">
        <v>13</v>
      </c>
      <c r="F249" s="1" t="s">
        <v>14</v>
      </c>
      <c r="G249">
        <v>347</v>
      </c>
      <c r="H249">
        <v>32.35</v>
      </c>
      <c r="I249">
        <v>2</v>
      </c>
    </row>
    <row r="250" spans="1:9" x14ac:dyDescent="0.25">
      <c r="A250" s="1" t="s">
        <v>241</v>
      </c>
      <c r="B250" s="1" t="s">
        <v>291</v>
      </c>
      <c r="C250" s="1" t="str">
        <f>_xlfn.XLOOKUP(Clients_Churn[[#This Row],[Province_Client]],Logs_Reseau!B:B,Logs_Reseau!E:E,"Pas de correspondance")</f>
        <v>ANT-0520</v>
      </c>
      <c r="D250" s="1" t="s">
        <v>67</v>
      </c>
      <c r="E250">
        <v>23</v>
      </c>
      <c r="F250" s="1" t="s">
        <v>14</v>
      </c>
      <c r="G250">
        <v>473</v>
      </c>
      <c r="H250">
        <v>71.86</v>
      </c>
      <c r="I250">
        <v>3</v>
      </c>
    </row>
    <row r="251" spans="1:9" x14ac:dyDescent="0.25">
      <c r="A251" s="1" t="s">
        <v>292</v>
      </c>
      <c r="B251" s="1" t="s">
        <v>293</v>
      </c>
      <c r="C251" s="1" t="str">
        <f>_xlfn.XLOOKUP(Clients_Churn[[#This Row],[Province_Client]],Logs_Reseau!B:B,Logs_Reseau!E:E,"Pas de correspondance")</f>
        <v>ANT-0037</v>
      </c>
      <c r="D251" s="1" t="s">
        <v>10</v>
      </c>
      <c r="E251">
        <v>96</v>
      </c>
      <c r="F251" s="1" t="s">
        <v>22</v>
      </c>
      <c r="G251">
        <v>290</v>
      </c>
      <c r="H251">
        <v>29</v>
      </c>
      <c r="I251">
        <v>3</v>
      </c>
    </row>
    <row r="252" spans="1:9" x14ac:dyDescent="0.25">
      <c r="A252" s="1" t="s">
        <v>292</v>
      </c>
      <c r="B252" s="1" t="s">
        <v>294</v>
      </c>
      <c r="C252" s="1" t="str">
        <f>_xlfn.XLOOKUP(Clients_Churn[[#This Row],[Province_Client]],Logs_Reseau!B:B,Logs_Reseau!E:E,"Pas de correspondance")</f>
        <v>ANT-0945</v>
      </c>
      <c r="D252" s="1" t="s">
        <v>73</v>
      </c>
      <c r="E252">
        <v>48</v>
      </c>
      <c r="F252" s="1" t="s">
        <v>11</v>
      </c>
      <c r="G252">
        <v>416</v>
      </c>
      <c r="H252">
        <v>81.260000000000005</v>
      </c>
      <c r="I252">
        <v>5</v>
      </c>
    </row>
    <row r="253" spans="1:9" x14ac:dyDescent="0.25">
      <c r="A253" s="1" t="s">
        <v>292</v>
      </c>
      <c r="B253" s="1" t="s">
        <v>295</v>
      </c>
      <c r="C253" s="1" t="str">
        <f>_xlfn.XLOOKUP(Clients_Churn[[#This Row],[Province_Client]],Logs_Reseau!B:B,Logs_Reseau!E:E,"Pas de correspondance")</f>
        <v>ANT-0166</v>
      </c>
      <c r="D253" s="1" t="s">
        <v>31</v>
      </c>
      <c r="E253">
        <v>50</v>
      </c>
      <c r="F253" s="1" t="s">
        <v>14</v>
      </c>
      <c r="G253">
        <v>108</v>
      </c>
      <c r="H253">
        <v>43.81</v>
      </c>
      <c r="I253">
        <v>5</v>
      </c>
    </row>
    <row r="254" spans="1:9" x14ac:dyDescent="0.25">
      <c r="A254" s="1" t="s">
        <v>292</v>
      </c>
      <c r="B254" s="1" t="s">
        <v>296</v>
      </c>
      <c r="C254" s="1" t="str">
        <f>_xlfn.XLOOKUP(Clients_Churn[[#This Row],[Province_Client]],Logs_Reseau!B:B,Logs_Reseau!E:E,"Pas de correspondance")</f>
        <v>ANT-0371</v>
      </c>
      <c r="D254" s="1" t="s">
        <v>18</v>
      </c>
      <c r="E254">
        <v>63</v>
      </c>
      <c r="F254" s="1" t="s">
        <v>22</v>
      </c>
      <c r="G254">
        <v>95</v>
      </c>
      <c r="H254">
        <v>56.81</v>
      </c>
      <c r="I254">
        <v>0</v>
      </c>
    </row>
    <row r="255" spans="1:9" x14ac:dyDescent="0.25">
      <c r="A255" s="1" t="s">
        <v>292</v>
      </c>
      <c r="B255" s="1" t="s">
        <v>297</v>
      </c>
      <c r="C255" s="1" t="str">
        <f>_xlfn.XLOOKUP(Clients_Churn[[#This Row],[Province_Client]],Logs_Reseau!B:B,Logs_Reseau!E:E,"Pas de correspondance")</f>
        <v>ANT-0037</v>
      </c>
      <c r="D255" s="1" t="s">
        <v>10</v>
      </c>
      <c r="E255">
        <v>40</v>
      </c>
      <c r="F255" s="1" t="s">
        <v>11</v>
      </c>
      <c r="G255">
        <v>102</v>
      </c>
      <c r="H255">
        <v>96.59</v>
      </c>
      <c r="I255">
        <v>5</v>
      </c>
    </row>
    <row r="256" spans="1:9" x14ac:dyDescent="0.25">
      <c r="A256" s="1" t="s">
        <v>292</v>
      </c>
      <c r="B256" s="1" t="s">
        <v>298</v>
      </c>
      <c r="C256" s="1" t="str">
        <f>_xlfn.XLOOKUP(Clients_Churn[[#This Row],[Province_Client]],Logs_Reseau!B:B,Logs_Reseau!E:E,"Pas de correspondance")</f>
        <v>ANT-0258</v>
      </c>
      <c r="D256" s="1" t="s">
        <v>137</v>
      </c>
      <c r="E256">
        <v>83</v>
      </c>
      <c r="F256" s="1" t="s">
        <v>22</v>
      </c>
      <c r="G256">
        <v>30</v>
      </c>
      <c r="H256">
        <v>33.93</v>
      </c>
      <c r="I256">
        <v>3</v>
      </c>
    </row>
    <row r="257" spans="1:9" x14ac:dyDescent="0.25">
      <c r="A257" s="1" t="s">
        <v>292</v>
      </c>
      <c r="B257" s="1" t="s">
        <v>299</v>
      </c>
      <c r="C257" s="1" t="str">
        <f>_xlfn.XLOOKUP(Clients_Churn[[#This Row],[Province_Client]],Logs_Reseau!B:B,Logs_Reseau!E:E,"Pas de correspondance")</f>
        <v>ANT-0011</v>
      </c>
      <c r="D257" s="1" t="s">
        <v>44</v>
      </c>
      <c r="E257">
        <v>76</v>
      </c>
      <c r="F257" s="1" t="s">
        <v>22</v>
      </c>
      <c r="G257">
        <v>383</v>
      </c>
      <c r="H257">
        <v>53.73</v>
      </c>
      <c r="I257">
        <v>2</v>
      </c>
    </row>
    <row r="258" spans="1:9" x14ac:dyDescent="0.25">
      <c r="A258" s="1" t="s">
        <v>292</v>
      </c>
      <c r="B258" s="1" t="s">
        <v>300</v>
      </c>
      <c r="C258" s="1" t="str">
        <f>_xlfn.XLOOKUP(Clients_Churn[[#This Row],[Province_Client]],Logs_Reseau!B:B,Logs_Reseau!E:E,"Pas de correspondance")</f>
        <v>ANT-0624</v>
      </c>
      <c r="D258" s="1" t="s">
        <v>24</v>
      </c>
      <c r="E258">
        <v>10</v>
      </c>
      <c r="F258" s="1" t="s">
        <v>19</v>
      </c>
      <c r="G258">
        <v>93</v>
      </c>
      <c r="H258">
        <v>78.12</v>
      </c>
      <c r="I258">
        <v>4</v>
      </c>
    </row>
    <row r="259" spans="1:9" x14ac:dyDescent="0.25">
      <c r="A259" s="1" t="s">
        <v>292</v>
      </c>
      <c r="B259" s="1" t="s">
        <v>301</v>
      </c>
      <c r="C259" s="1" t="str">
        <f>_xlfn.XLOOKUP(Clients_Churn[[#This Row],[Province_Client]],Logs_Reseau!B:B,Logs_Reseau!E:E,"Pas de correspondance")</f>
        <v>ANT-0913</v>
      </c>
      <c r="D259" s="1" t="s">
        <v>64</v>
      </c>
      <c r="E259">
        <v>114</v>
      </c>
      <c r="F259" s="1" t="s">
        <v>19</v>
      </c>
      <c r="G259">
        <v>388</v>
      </c>
      <c r="H259">
        <v>40.29</v>
      </c>
      <c r="I259">
        <v>5</v>
      </c>
    </row>
    <row r="260" spans="1:9" x14ac:dyDescent="0.25">
      <c r="A260" s="1" t="s">
        <v>292</v>
      </c>
      <c r="B260" s="1" t="s">
        <v>302</v>
      </c>
      <c r="C260" s="1" t="str">
        <f>_xlfn.XLOOKUP(Clients_Churn[[#This Row],[Province_Client]],Logs_Reseau!B:B,Logs_Reseau!E:E,"Pas de correspondance")</f>
        <v>ANT-0258</v>
      </c>
      <c r="D260" s="1" t="s">
        <v>137</v>
      </c>
      <c r="E260">
        <v>5</v>
      </c>
      <c r="F260" s="1" t="s">
        <v>14</v>
      </c>
      <c r="G260">
        <v>98</v>
      </c>
      <c r="H260">
        <v>71.37</v>
      </c>
      <c r="I260">
        <v>1</v>
      </c>
    </row>
    <row r="261" spans="1:9" x14ac:dyDescent="0.25">
      <c r="A261" s="1" t="s">
        <v>292</v>
      </c>
      <c r="B261" s="1" t="s">
        <v>303</v>
      </c>
      <c r="C261" s="1" t="str">
        <f>_xlfn.XLOOKUP(Clients_Churn[[#This Row],[Province_Client]],Logs_Reseau!B:B,Logs_Reseau!E:E,"Pas de correspondance")</f>
        <v>ANT-0553</v>
      </c>
      <c r="D261" s="1" t="s">
        <v>131</v>
      </c>
      <c r="E261">
        <v>118</v>
      </c>
      <c r="F261" s="1" t="s">
        <v>14</v>
      </c>
      <c r="G261">
        <v>132</v>
      </c>
      <c r="H261">
        <v>40.880000000000003</v>
      </c>
      <c r="I261">
        <v>4</v>
      </c>
    </row>
    <row r="262" spans="1:9" x14ac:dyDescent="0.25">
      <c r="A262" s="1" t="s">
        <v>292</v>
      </c>
      <c r="B262" s="1" t="s">
        <v>304</v>
      </c>
      <c r="C262" s="1" t="str">
        <f>_xlfn.XLOOKUP(Clients_Churn[[#This Row],[Province_Client]],Logs_Reseau!B:B,Logs_Reseau!E:E,"Pas de correspondance")</f>
        <v>ANT-0037</v>
      </c>
      <c r="D262" s="1" t="s">
        <v>10</v>
      </c>
      <c r="E262">
        <v>16</v>
      </c>
      <c r="F262" s="1" t="s">
        <v>19</v>
      </c>
      <c r="G262">
        <v>461</v>
      </c>
      <c r="H262">
        <v>38.369999999999997</v>
      </c>
      <c r="I262">
        <v>4</v>
      </c>
    </row>
    <row r="263" spans="1:9" x14ac:dyDescent="0.25">
      <c r="A263" s="1" t="s">
        <v>292</v>
      </c>
      <c r="B263" s="1" t="s">
        <v>305</v>
      </c>
      <c r="C263" s="1" t="str">
        <f>_xlfn.XLOOKUP(Clients_Churn[[#This Row],[Province_Client]],Logs_Reseau!B:B,Logs_Reseau!E:E,"Pas de correspondance")</f>
        <v>ANT-0134</v>
      </c>
      <c r="D263" s="1" t="s">
        <v>40</v>
      </c>
      <c r="E263">
        <v>50</v>
      </c>
      <c r="F263" s="1" t="s">
        <v>22</v>
      </c>
      <c r="G263">
        <v>446</v>
      </c>
      <c r="H263">
        <v>31.56</v>
      </c>
      <c r="I263">
        <v>5</v>
      </c>
    </row>
    <row r="264" spans="1:9" x14ac:dyDescent="0.25">
      <c r="A264" s="1" t="s">
        <v>292</v>
      </c>
      <c r="B264" s="1" t="s">
        <v>306</v>
      </c>
      <c r="C264" s="1" t="str">
        <f>_xlfn.XLOOKUP(Clients_Churn[[#This Row],[Province_Client]],Logs_Reseau!B:B,Logs_Reseau!E:E,"Pas de correspondance")</f>
        <v>ANT-0258</v>
      </c>
      <c r="D264" s="1" t="s">
        <v>137</v>
      </c>
      <c r="E264">
        <v>120</v>
      </c>
      <c r="F264" s="1" t="s">
        <v>14</v>
      </c>
      <c r="G264">
        <v>209</v>
      </c>
      <c r="H264">
        <v>42.51</v>
      </c>
      <c r="I264">
        <v>4</v>
      </c>
    </row>
    <row r="265" spans="1:9" x14ac:dyDescent="0.25">
      <c r="A265" s="1" t="s">
        <v>292</v>
      </c>
      <c r="B265" s="1" t="s">
        <v>307</v>
      </c>
      <c r="C265" s="1" t="str">
        <f>_xlfn.XLOOKUP(Clients_Churn[[#This Row],[Province_Client]],Logs_Reseau!B:B,Logs_Reseau!E:E,"Pas de correspondance")</f>
        <v>ANT-0760</v>
      </c>
      <c r="D265" s="1" t="s">
        <v>35</v>
      </c>
      <c r="E265">
        <v>73</v>
      </c>
      <c r="F265" s="1" t="s">
        <v>22</v>
      </c>
      <c r="G265">
        <v>225</v>
      </c>
      <c r="H265">
        <v>45.86</v>
      </c>
      <c r="I265">
        <v>0</v>
      </c>
    </row>
    <row r="266" spans="1:9" x14ac:dyDescent="0.25">
      <c r="A266" s="1" t="s">
        <v>292</v>
      </c>
      <c r="B266" s="1" t="s">
        <v>308</v>
      </c>
      <c r="C266" s="1" t="str">
        <f>_xlfn.XLOOKUP(Clients_Churn[[#This Row],[Province_Client]],Logs_Reseau!B:B,Logs_Reseau!E:E,"Pas de correspondance")</f>
        <v>ANT-0166</v>
      </c>
      <c r="D266" s="1" t="s">
        <v>31</v>
      </c>
      <c r="E266">
        <v>21</v>
      </c>
      <c r="F266" s="1" t="s">
        <v>14</v>
      </c>
      <c r="G266">
        <v>320</v>
      </c>
      <c r="H266">
        <v>64.97</v>
      </c>
      <c r="I266">
        <v>1</v>
      </c>
    </row>
    <row r="267" spans="1:9" x14ac:dyDescent="0.25">
      <c r="A267" s="1" t="s">
        <v>292</v>
      </c>
      <c r="B267" s="1" t="s">
        <v>309</v>
      </c>
      <c r="C267" s="1" t="str">
        <f>_xlfn.XLOOKUP(Clients_Churn[[#This Row],[Province_Client]],Logs_Reseau!B:B,Logs_Reseau!E:E,"Pas de correspondance")</f>
        <v>ANT-0315</v>
      </c>
      <c r="D267" s="1" t="s">
        <v>60</v>
      </c>
      <c r="E267">
        <v>25</v>
      </c>
      <c r="F267" s="1" t="s">
        <v>11</v>
      </c>
      <c r="G267">
        <v>467</v>
      </c>
      <c r="H267">
        <v>97.78</v>
      </c>
      <c r="I267">
        <v>3</v>
      </c>
    </row>
    <row r="268" spans="1:9" x14ac:dyDescent="0.25">
      <c r="A268" s="1" t="s">
        <v>292</v>
      </c>
      <c r="B268" s="1" t="s">
        <v>310</v>
      </c>
      <c r="C268" s="1" t="str">
        <f>_xlfn.XLOOKUP(Clients_Churn[[#This Row],[Province_Client]],Logs_Reseau!B:B,Logs_Reseau!E:E,"Pas de correspondance")</f>
        <v>ANT-0011</v>
      </c>
      <c r="D268" s="1" t="s">
        <v>44</v>
      </c>
      <c r="E268">
        <v>98</v>
      </c>
      <c r="F268" s="1" t="s">
        <v>11</v>
      </c>
      <c r="G268">
        <v>319</v>
      </c>
      <c r="H268">
        <v>88.58</v>
      </c>
      <c r="I268">
        <v>0</v>
      </c>
    </row>
    <row r="269" spans="1:9" x14ac:dyDescent="0.25">
      <c r="A269" s="1" t="s">
        <v>292</v>
      </c>
      <c r="B269" s="1" t="s">
        <v>311</v>
      </c>
      <c r="C269" s="1" t="str">
        <f>_xlfn.XLOOKUP(Clients_Churn[[#This Row],[Province_Client]],Logs_Reseau!B:B,Logs_Reseau!E:E,"Pas de correspondance")</f>
        <v>ANT-0315</v>
      </c>
      <c r="D269" s="1" t="s">
        <v>60</v>
      </c>
      <c r="E269">
        <v>56</v>
      </c>
      <c r="F269" s="1" t="s">
        <v>14</v>
      </c>
      <c r="G269">
        <v>55</v>
      </c>
      <c r="H269">
        <v>82.56</v>
      </c>
      <c r="I269">
        <v>2</v>
      </c>
    </row>
    <row r="270" spans="1:9" x14ac:dyDescent="0.25">
      <c r="A270" s="1" t="s">
        <v>292</v>
      </c>
      <c r="B270" s="1" t="s">
        <v>312</v>
      </c>
      <c r="C270" s="1" t="str">
        <f>_xlfn.XLOOKUP(Clients_Churn[[#This Row],[Province_Client]],Logs_Reseau!B:B,Logs_Reseau!E:E,"Pas de correspondance")</f>
        <v>ANT-0371</v>
      </c>
      <c r="D270" s="1" t="s">
        <v>18</v>
      </c>
      <c r="E270">
        <v>33</v>
      </c>
      <c r="F270" s="1" t="s">
        <v>11</v>
      </c>
      <c r="G270">
        <v>444</v>
      </c>
      <c r="H270">
        <v>10.28</v>
      </c>
      <c r="I270">
        <v>5</v>
      </c>
    </row>
    <row r="271" spans="1:9" x14ac:dyDescent="0.25">
      <c r="A271" s="1" t="s">
        <v>292</v>
      </c>
      <c r="B271" s="1" t="s">
        <v>313</v>
      </c>
      <c r="C271" s="1" t="str">
        <f>_xlfn.XLOOKUP(Clients_Churn[[#This Row],[Province_Client]],Logs_Reseau!B:B,Logs_Reseau!E:E,"Pas de correspondance")</f>
        <v>ANT-0332</v>
      </c>
      <c r="D271" s="1" t="s">
        <v>1674</v>
      </c>
      <c r="E271">
        <v>99</v>
      </c>
      <c r="F271" s="1" t="s">
        <v>14</v>
      </c>
      <c r="G271">
        <v>325</v>
      </c>
      <c r="H271">
        <v>88.35</v>
      </c>
      <c r="I271">
        <v>4</v>
      </c>
    </row>
    <row r="272" spans="1:9" x14ac:dyDescent="0.25">
      <c r="A272" s="1" t="s">
        <v>292</v>
      </c>
      <c r="B272" s="1" t="s">
        <v>314</v>
      </c>
      <c r="C272" s="1" t="str">
        <f>_xlfn.XLOOKUP(Clients_Churn[[#This Row],[Province_Client]],Logs_Reseau!B:B,Logs_Reseau!E:E,"Pas de correspondance")</f>
        <v>ANT-0520</v>
      </c>
      <c r="D272" s="1" t="s">
        <v>67</v>
      </c>
      <c r="E272">
        <v>117</v>
      </c>
      <c r="F272" s="1" t="s">
        <v>19</v>
      </c>
      <c r="G272">
        <v>85</v>
      </c>
      <c r="H272">
        <v>46.16</v>
      </c>
      <c r="I272">
        <v>3</v>
      </c>
    </row>
    <row r="273" spans="1:9" x14ac:dyDescent="0.25">
      <c r="A273" s="1" t="s">
        <v>292</v>
      </c>
      <c r="B273" s="1" t="s">
        <v>315</v>
      </c>
      <c r="C273" s="1" t="str">
        <f>_xlfn.XLOOKUP(Clients_Churn[[#This Row],[Province_Client]],Logs_Reseau!B:B,Logs_Reseau!E:E,"Pas de correspondance")</f>
        <v>ANT-0553</v>
      </c>
      <c r="D273" s="1" t="s">
        <v>131</v>
      </c>
      <c r="E273">
        <v>97</v>
      </c>
      <c r="F273" s="1" t="s">
        <v>19</v>
      </c>
      <c r="G273">
        <v>40</v>
      </c>
      <c r="H273">
        <v>85.19</v>
      </c>
      <c r="I273">
        <v>1</v>
      </c>
    </row>
    <row r="274" spans="1:9" x14ac:dyDescent="0.25">
      <c r="A274" s="1" t="s">
        <v>292</v>
      </c>
      <c r="B274" s="1" t="s">
        <v>316</v>
      </c>
      <c r="C274" s="1" t="str">
        <f>_xlfn.XLOOKUP(Clients_Churn[[#This Row],[Province_Client]],Logs_Reseau!B:B,Logs_Reseau!E:E,"Pas de correspondance")</f>
        <v>ANT-0797</v>
      </c>
      <c r="D274" s="1" t="s">
        <v>127</v>
      </c>
      <c r="E274">
        <v>93</v>
      </c>
      <c r="F274" s="1" t="s">
        <v>11</v>
      </c>
      <c r="G274">
        <v>150</v>
      </c>
      <c r="H274">
        <v>93.25</v>
      </c>
      <c r="I274">
        <v>3</v>
      </c>
    </row>
    <row r="275" spans="1:9" x14ac:dyDescent="0.25">
      <c r="A275" s="1" t="s">
        <v>292</v>
      </c>
      <c r="B275" s="1" t="s">
        <v>317</v>
      </c>
      <c r="C275" s="1" t="str">
        <f>_xlfn.XLOOKUP(Clients_Churn[[#This Row],[Province_Client]],Logs_Reseau!B:B,Logs_Reseau!E:E,"Pas de correspondance")</f>
        <v>ANT-0760</v>
      </c>
      <c r="D275" s="1" t="s">
        <v>35</v>
      </c>
      <c r="E275">
        <v>45</v>
      </c>
      <c r="F275" s="1" t="s">
        <v>22</v>
      </c>
      <c r="G275">
        <v>43</v>
      </c>
      <c r="H275">
        <v>12.31</v>
      </c>
      <c r="I275">
        <v>0</v>
      </c>
    </row>
    <row r="276" spans="1:9" x14ac:dyDescent="0.25">
      <c r="A276" s="1" t="s">
        <v>292</v>
      </c>
      <c r="B276" s="1" t="s">
        <v>318</v>
      </c>
      <c r="C276" s="1" t="str">
        <f>_xlfn.XLOOKUP(Clients_Churn[[#This Row],[Province_Client]],Logs_Reseau!B:B,Logs_Reseau!E:E,"Pas de correspondance")</f>
        <v>ANT-0797</v>
      </c>
      <c r="D276" s="1" t="s">
        <v>127</v>
      </c>
      <c r="E276">
        <v>66</v>
      </c>
      <c r="F276" s="1" t="s">
        <v>11</v>
      </c>
      <c r="G276">
        <v>193</v>
      </c>
      <c r="H276">
        <v>21.06</v>
      </c>
      <c r="I276">
        <v>3</v>
      </c>
    </row>
    <row r="277" spans="1:9" x14ac:dyDescent="0.25">
      <c r="A277" s="1" t="s">
        <v>292</v>
      </c>
      <c r="B277" s="1" t="s">
        <v>319</v>
      </c>
      <c r="C277" s="1" t="str">
        <f>_xlfn.XLOOKUP(Clients_Churn[[#This Row],[Province_Client]],Logs_Reseau!B:B,Logs_Reseau!E:E,"Pas de correspondance")</f>
        <v>ANT-0760</v>
      </c>
      <c r="D277" s="1" t="s">
        <v>35</v>
      </c>
      <c r="E277">
        <v>91</v>
      </c>
      <c r="F277" s="1" t="s">
        <v>22</v>
      </c>
      <c r="G277">
        <v>63</v>
      </c>
      <c r="H277">
        <v>57.76</v>
      </c>
      <c r="I277">
        <v>5</v>
      </c>
    </row>
    <row r="278" spans="1:9" x14ac:dyDescent="0.25">
      <c r="A278" s="1" t="s">
        <v>292</v>
      </c>
      <c r="B278" s="1" t="s">
        <v>320</v>
      </c>
      <c r="C278" s="1" t="str">
        <f>_xlfn.XLOOKUP(Clients_Churn[[#This Row],[Province_Client]],Logs_Reseau!B:B,Logs_Reseau!E:E,"Pas de correspondance")</f>
        <v>ANT-0553</v>
      </c>
      <c r="D278" s="1" t="s">
        <v>131</v>
      </c>
      <c r="E278">
        <v>63</v>
      </c>
      <c r="F278" s="1" t="s">
        <v>14</v>
      </c>
      <c r="G278">
        <v>141</v>
      </c>
      <c r="H278">
        <v>95.6</v>
      </c>
      <c r="I278">
        <v>4</v>
      </c>
    </row>
    <row r="279" spans="1:9" x14ac:dyDescent="0.25">
      <c r="A279" s="1" t="s">
        <v>292</v>
      </c>
      <c r="B279" s="1" t="s">
        <v>321</v>
      </c>
      <c r="C279" s="1" t="str">
        <f>_xlfn.XLOOKUP(Clients_Churn[[#This Row],[Province_Client]],Logs_Reseau!B:B,Logs_Reseau!E:E,"Pas de correspondance")</f>
        <v>ANT-0315</v>
      </c>
      <c r="D279" s="1" t="s">
        <v>60</v>
      </c>
      <c r="E279">
        <v>82</v>
      </c>
      <c r="F279" s="1" t="s">
        <v>11</v>
      </c>
      <c r="G279">
        <v>32</v>
      </c>
      <c r="H279">
        <v>77.63</v>
      </c>
      <c r="I279">
        <v>1</v>
      </c>
    </row>
    <row r="280" spans="1:9" x14ac:dyDescent="0.25">
      <c r="A280" s="1" t="s">
        <v>292</v>
      </c>
      <c r="B280" s="1" t="s">
        <v>322</v>
      </c>
      <c r="C280" s="1" t="str">
        <f>_xlfn.XLOOKUP(Clients_Churn[[#This Row],[Province_Client]],Logs_Reseau!B:B,Logs_Reseau!E:E,"Pas de correspondance")</f>
        <v>ANT-0166</v>
      </c>
      <c r="D280" s="1" t="s">
        <v>31</v>
      </c>
      <c r="E280">
        <v>89</v>
      </c>
      <c r="F280" s="1" t="s">
        <v>19</v>
      </c>
      <c r="G280">
        <v>175</v>
      </c>
      <c r="H280">
        <v>32.369999999999997</v>
      </c>
      <c r="I280">
        <v>1</v>
      </c>
    </row>
    <row r="281" spans="1:9" x14ac:dyDescent="0.25">
      <c r="A281" s="1" t="s">
        <v>292</v>
      </c>
      <c r="B281" s="1" t="s">
        <v>323</v>
      </c>
      <c r="C281" s="1" t="str">
        <f>_xlfn.XLOOKUP(Clients_Churn[[#This Row],[Province_Client]],Logs_Reseau!B:B,Logs_Reseau!E:E,"Pas de correspondance")</f>
        <v>ANT-0566</v>
      </c>
      <c r="D281" s="1" t="s">
        <v>26</v>
      </c>
      <c r="E281">
        <v>48</v>
      </c>
      <c r="F281" s="1" t="s">
        <v>22</v>
      </c>
      <c r="G281">
        <v>15</v>
      </c>
      <c r="H281">
        <v>50.67</v>
      </c>
      <c r="I281">
        <v>1</v>
      </c>
    </row>
    <row r="282" spans="1:9" x14ac:dyDescent="0.25">
      <c r="A282" s="1" t="s">
        <v>292</v>
      </c>
      <c r="B282" s="1" t="s">
        <v>324</v>
      </c>
      <c r="C282" s="1" t="str">
        <f>_xlfn.XLOOKUP(Clients_Churn[[#This Row],[Province_Client]],Logs_Reseau!B:B,Logs_Reseau!E:E,"Pas de correspondance")</f>
        <v>ANT-0134</v>
      </c>
      <c r="D282" s="1" t="s">
        <v>40</v>
      </c>
      <c r="E282">
        <v>90</v>
      </c>
      <c r="F282" s="1" t="s">
        <v>14</v>
      </c>
      <c r="G282">
        <v>299</v>
      </c>
      <c r="H282">
        <v>71.760000000000005</v>
      </c>
      <c r="I282">
        <v>1</v>
      </c>
    </row>
    <row r="283" spans="1:9" x14ac:dyDescent="0.25">
      <c r="A283" s="1" t="s">
        <v>292</v>
      </c>
      <c r="B283" s="1" t="s">
        <v>325</v>
      </c>
      <c r="C283" s="1" t="str">
        <f>_xlfn.XLOOKUP(Clients_Churn[[#This Row],[Province_Client]],Logs_Reseau!B:B,Logs_Reseau!E:E,"Pas de correspondance")</f>
        <v>ANT-0250</v>
      </c>
      <c r="D283" s="1" t="s">
        <v>78</v>
      </c>
      <c r="E283">
        <v>8</v>
      </c>
      <c r="F283" s="1" t="s">
        <v>19</v>
      </c>
      <c r="G283">
        <v>120</v>
      </c>
      <c r="H283">
        <v>88.29</v>
      </c>
      <c r="I283">
        <v>5</v>
      </c>
    </row>
    <row r="284" spans="1:9" x14ac:dyDescent="0.25">
      <c r="A284" s="1" t="s">
        <v>292</v>
      </c>
      <c r="B284" s="1" t="s">
        <v>326</v>
      </c>
      <c r="C284" s="1" t="str">
        <f>_xlfn.XLOOKUP(Clients_Churn[[#This Row],[Province_Client]],Logs_Reseau!B:B,Logs_Reseau!E:E,"Pas de correspondance")</f>
        <v>ANT-0011</v>
      </c>
      <c r="D284" s="1" t="s">
        <v>44</v>
      </c>
      <c r="E284">
        <v>84</v>
      </c>
      <c r="F284" s="1" t="s">
        <v>19</v>
      </c>
      <c r="G284">
        <v>244</v>
      </c>
      <c r="H284">
        <v>56.34</v>
      </c>
      <c r="I284">
        <v>5</v>
      </c>
    </row>
    <row r="285" spans="1:9" x14ac:dyDescent="0.25">
      <c r="A285" s="1" t="s">
        <v>292</v>
      </c>
      <c r="B285" s="1" t="s">
        <v>327</v>
      </c>
      <c r="C285" s="1" t="str">
        <f>_xlfn.XLOOKUP(Clients_Churn[[#This Row],[Province_Client]],Logs_Reseau!B:B,Logs_Reseau!E:E,"Pas de correspondance")</f>
        <v>ANT-0465</v>
      </c>
      <c r="D285" s="1" t="s">
        <v>37</v>
      </c>
      <c r="E285">
        <v>50</v>
      </c>
      <c r="F285" s="1" t="s">
        <v>19</v>
      </c>
      <c r="G285">
        <v>248</v>
      </c>
      <c r="H285">
        <v>69.42</v>
      </c>
      <c r="I285">
        <v>0</v>
      </c>
    </row>
    <row r="286" spans="1:9" x14ac:dyDescent="0.25">
      <c r="A286" s="1" t="s">
        <v>292</v>
      </c>
      <c r="B286" s="1" t="s">
        <v>328</v>
      </c>
      <c r="C286" s="1" t="str">
        <f>_xlfn.XLOOKUP(Clients_Churn[[#This Row],[Province_Client]],Logs_Reseau!B:B,Logs_Reseau!E:E,"Pas de correspondance")</f>
        <v>ANT-0566</v>
      </c>
      <c r="D286" s="1" t="s">
        <v>26</v>
      </c>
      <c r="E286">
        <v>119</v>
      </c>
      <c r="F286" s="1" t="s">
        <v>14</v>
      </c>
      <c r="G286">
        <v>344</v>
      </c>
      <c r="H286">
        <v>10.28</v>
      </c>
      <c r="I286">
        <v>0</v>
      </c>
    </row>
    <row r="287" spans="1:9" x14ac:dyDescent="0.25">
      <c r="A287" s="1" t="s">
        <v>292</v>
      </c>
      <c r="B287" s="1" t="s">
        <v>329</v>
      </c>
      <c r="C287" s="1" t="str">
        <f>_xlfn.XLOOKUP(Clients_Churn[[#This Row],[Province_Client]],Logs_Reseau!B:B,Logs_Reseau!E:E,"Pas de correspondance")</f>
        <v>ANT-0270</v>
      </c>
      <c r="D287" s="1" t="s">
        <v>1675</v>
      </c>
      <c r="E287">
        <v>55</v>
      </c>
      <c r="F287" s="1" t="s">
        <v>14</v>
      </c>
      <c r="G287">
        <v>389</v>
      </c>
      <c r="H287">
        <v>67.430000000000007</v>
      </c>
      <c r="I287">
        <v>3</v>
      </c>
    </row>
    <row r="288" spans="1:9" x14ac:dyDescent="0.25">
      <c r="A288" s="1" t="s">
        <v>292</v>
      </c>
      <c r="B288" s="1" t="s">
        <v>330</v>
      </c>
      <c r="C288" s="1" t="str">
        <f>_xlfn.XLOOKUP(Clients_Churn[[#This Row],[Province_Client]],Logs_Reseau!B:B,Logs_Reseau!E:E,"Pas de correspondance")</f>
        <v>ANT-0011</v>
      </c>
      <c r="D288" s="1" t="s">
        <v>44</v>
      </c>
      <c r="E288">
        <v>95</v>
      </c>
      <c r="F288" s="1" t="s">
        <v>11</v>
      </c>
      <c r="G288">
        <v>51</v>
      </c>
      <c r="H288">
        <v>94.77</v>
      </c>
      <c r="I288">
        <v>5</v>
      </c>
    </row>
    <row r="289" spans="1:9" x14ac:dyDescent="0.25">
      <c r="A289" s="1" t="s">
        <v>292</v>
      </c>
      <c r="B289" s="1" t="s">
        <v>331</v>
      </c>
      <c r="C289" s="1" t="str">
        <f>_xlfn.XLOOKUP(Clients_Churn[[#This Row],[Province_Client]],Logs_Reseau!B:B,Logs_Reseau!E:E,"Pas de correspondance")</f>
        <v>ANT-0270</v>
      </c>
      <c r="D289" s="1" t="s">
        <v>1675</v>
      </c>
      <c r="E289">
        <v>32</v>
      </c>
      <c r="F289" s="1" t="s">
        <v>14</v>
      </c>
      <c r="G289">
        <v>4</v>
      </c>
      <c r="H289">
        <v>39</v>
      </c>
      <c r="I289">
        <v>0</v>
      </c>
    </row>
    <row r="290" spans="1:9" x14ac:dyDescent="0.25">
      <c r="A290" s="1" t="s">
        <v>292</v>
      </c>
      <c r="B290" s="1" t="s">
        <v>332</v>
      </c>
      <c r="C290" s="1" t="str">
        <f>_xlfn.XLOOKUP(Clients_Churn[[#This Row],[Province_Client]],Logs_Reseau!B:B,Logs_Reseau!E:E,"Pas de correspondance")</f>
        <v>ANT-0913</v>
      </c>
      <c r="D290" s="1" t="s">
        <v>64</v>
      </c>
      <c r="E290">
        <v>32</v>
      </c>
      <c r="F290" s="1" t="s">
        <v>22</v>
      </c>
      <c r="G290">
        <v>31</v>
      </c>
      <c r="H290">
        <v>67.040000000000006</v>
      </c>
      <c r="I290">
        <v>1</v>
      </c>
    </row>
    <row r="291" spans="1:9" x14ac:dyDescent="0.25">
      <c r="A291" s="1" t="s">
        <v>292</v>
      </c>
      <c r="B291" s="1" t="s">
        <v>333</v>
      </c>
      <c r="C291" s="1" t="str">
        <f>_xlfn.XLOOKUP(Clients_Churn[[#This Row],[Province_Client]],Logs_Reseau!B:B,Logs_Reseau!E:E,"Pas de correspondance")</f>
        <v>ANT-0913</v>
      </c>
      <c r="D291" s="1" t="s">
        <v>64</v>
      </c>
      <c r="E291">
        <v>62</v>
      </c>
      <c r="F291" s="1" t="s">
        <v>22</v>
      </c>
      <c r="G291">
        <v>136</v>
      </c>
      <c r="H291">
        <v>88.61</v>
      </c>
      <c r="I291">
        <v>2</v>
      </c>
    </row>
    <row r="292" spans="1:9" x14ac:dyDescent="0.25">
      <c r="A292" s="1" t="s">
        <v>292</v>
      </c>
      <c r="B292" s="1" t="s">
        <v>334</v>
      </c>
      <c r="C292" s="1" t="str">
        <f>_xlfn.XLOOKUP(Clients_Churn[[#This Row],[Province_Client]],Logs_Reseau!B:B,Logs_Reseau!E:E,"Pas de correspondance")</f>
        <v>ANT-0945</v>
      </c>
      <c r="D292" s="1" t="s">
        <v>73</v>
      </c>
      <c r="E292">
        <v>5</v>
      </c>
      <c r="F292" s="1" t="s">
        <v>11</v>
      </c>
      <c r="G292">
        <v>384</v>
      </c>
      <c r="H292">
        <v>97.26</v>
      </c>
      <c r="I292">
        <v>3</v>
      </c>
    </row>
    <row r="293" spans="1:9" x14ac:dyDescent="0.25">
      <c r="A293" s="1" t="s">
        <v>292</v>
      </c>
      <c r="B293" s="1" t="s">
        <v>335</v>
      </c>
      <c r="C293" s="1" t="str">
        <f>_xlfn.XLOOKUP(Clients_Churn[[#This Row],[Province_Client]],Logs_Reseau!B:B,Logs_Reseau!E:E,"Pas de correspondance")</f>
        <v>ANT-0371</v>
      </c>
      <c r="D293" s="1" t="s">
        <v>18</v>
      </c>
      <c r="E293">
        <v>118</v>
      </c>
      <c r="F293" s="1" t="s">
        <v>22</v>
      </c>
      <c r="G293">
        <v>489</v>
      </c>
      <c r="H293">
        <v>76.22</v>
      </c>
      <c r="I293">
        <v>2</v>
      </c>
    </row>
    <row r="294" spans="1:9" x14ac:dyDescent="0.25">
      <c r="A294" s="1" t="s">
        <v>292</v>
      </c>
      <c r="B294" s="1" t="s">
        <v>336</v>
      </c>
      <c r="C294" s="1" t="str">
        <f>_xlfn.XLOOKUP(Clients_Churn[[#This Row],[Province_Client]],Logs_Reseau!B:B,Logs_Reseau!E:E,"Pas de correspondance")</f>
        <v>ANT-0371</v>
      </c>
      <c r="D294" s="1" t="s">
        <v>18</v>
      </c>
      <c r="E294">
        <v>105</v>
      </c>
      <c r="F294" s="1" t="s">
        <v>22</v>
      </c>
      <c r="G294">
        <v>3</v>
      </c>
      <c r="H294">
        <v>71.010000000000005</v>
      </c>
      <c r="I294">
        <v>1</v>
      </c>
    </row>
    <row r="295" spans="1:9" x14ac:dyDescent="0.25">
      <c r="A295" s="1" t="s">
        <v>292</v>
      </c>
      <c r="B295" s="1" t="s">
        <v>337</v>
      </c>
      <c r="C295" s="1" t="str">
        <f>_xlfn.XLOOKUP(Clients_Churn[[#This Row],[Province_Client]],Logs_Reseau!B:B,Logs_Reseau!E:E,"Pas de correspondance")</f>
        <v>ANT-0852</v>
      </c>
      <c r="D295" s="1" t="s">
        <v>21</v>
      </c>
      <c r="E295">
        <v>47</v>
      </c>
      <c r="F295" s="1" t="s">
        <v>22</v>
      </c>
      <c r="G295">
        <v>340</v>
      </c>
      <c r="H295">
        <v>31.02</v>
      </c>
      <c r="I295">
        <v>5</v>
      </c>
    </row>
    <row r="296" spans="1:9" x14ac:dyDescent="0.25">
      <c r="A296" s="1" t="s">
        <v>292</v>
      </c>
      <c r="B296" s="1" t="s">
        <v>338</v>
      </c>
      <c r="C296" s="1" t="str">
        <f>_xlfn.XLOOKUP(Clients_Churn[[#This Row],[Province_Client]],Logs_Reseau!B:B,Logs_Reseau!E:E,"Pas de correspondance")</f>
        <v>ANT-0566</v>
      </c>
      <c r="D296" s="1" t="s">
        <v>26</v>
      </c>
      <c r="E296">
        <v>81</v>
      </c>
      <c r="F296" s="1" t="s">
        <v>14</v>
      </c>
      <c r="G296">
        <v>298</v>
      </c>
      <c r="H296">
        <v>53.61</v>
      </c>
      <c r="I296">
        <v>2</v>
      </c>
    </row>
    <row r="297" spans="1:9" x14ac:dyDescent="0.25">
      <c r="A297" s="1" t="s">
        <v>292</v>
      </c>
      <c r="B297" s="1" t="s">
        <v>339</v>
      </c>
      <c r="C297" s="1" t="str">
        <f>_xlfn.XLOOKUP(Clients_Churn[[#This Row],[Province_Client]],Logs_Reseau!B:B,Logs_Reseau!E:E,"Pas de correspondance")</f>
        <v>ANT-0553</v>
      </c>
      <c r="D297" s="1" t="s">
        <v>131</v>
      </c>
      <c r="E297">
        <v>91</v>
      </c>
      <c r="F297" s="1" t="s">
        <v>22</v>
      </c>
      <c r="G297">
        <v>404</v>
      </c>
      <c r="H297">
        <v>76.53</v>
      </c>
      <c r="I297">
        <v>5</v>
      </c>
    </row>
    <row r="298" spans="1:9" x14ac:dyDescent="0.25">
      <c r="A298" s="1" t="s">
        <v>292</v>
      </c>
      <c r="B298" s="1" t="s">
        <v>340</v>
      </c>
      <c r="C298" s="1" t="str">
        <f>_xlfn.XLOOKUP(Clients_Churn[[#This Row],[Province_Client]],Logs_Reseau!B:B,Logs_Reseau!E:E,"Pas de correspondance")</f>
        <v>ANT-0037</v>
      </c>
      <c r="D298" s="1" t="s">
        <v>10</v>
      </c>
      <c r="E298">
        <v>87</v>
      </c>
      <c r="F298" s="1" t="s">
        <v>19</v>
      </c>
      <c r="G298">
        <v>21</v>
      </c>
      <c r="H298">
        <v>81.459999999999994</v>
      </c>
      <c r="I298">
        <v>3</v>
      </c>
    </row>
    <row r="299" spans="1:9" x14ac:dyDescent="0.25">
      <c r="A299" s="1" t="s">
        <v>292</v>
      </c>
      <c r="B299" s="1" t="s">
        <v>341</v>
      </c>
      <c r="C299" s="1" t="str">
        <f>_xlfn.XLOOKUP(Clients_Churn[[#This Row],[Province_Client]],Logs_Reseau!B:B,Logs_Reseau!E:E,"Pas de correspondance")</f>
        <v>ANT-0553</v>
      </c>
      <c r="D299" s="1" t="s">
        <v>131</v>
      </c>
      <c r="E299">
        <v>4</v>
      </c>
      <c r="F299" s="1" t="s">
        <v>14</v>
      </c>
      <c r="G299">
        <v>49</v>
      </c>
      <c r="H299">
        <v>41.35</v>
      </c>
      <c r="I299">
        <v>5</v>
      </c>
    </row>
    <row r="300" spans="1:9" x14ac:dyDescent="0.25">
      <c r="A300" s="1" t="s">
        <v>342</v>
      </c>
      <c r="B300" s="1" t="s">
        <v>343</v>
      </c>
      <c r="C300" s="1" t="str">
        <f>_xlfn.XLOOKUP(Clients_Churn[[#This Row],[Province_Client]],Logs_Reseau!B:B,Logs_Reseau!E:E,"Pas de correspondance")</f>
        <v>ANT-0855</v>
      </c>
      <c r="D300" s="1" t="s">
        <v>16</v>
      </c>
      <c r="E300">
        <v>76</v>
      </c>
      <c r="F300" s="1" t="s">
        <v>19</v>
      </c>
      <c r="G300">
        <v>192</v>
      </c>
      <c r="H300">
        <v>68.53</v>
      </c>
      <c r="I300">
        <v>0</v>
      </c>
    </row>
    <row r="301" spans="1:9" x14ac:dyDescent="0.25">
      <c r="A301" s="1" t="s">
        <v>342</v>
      </c>
      <c r="B301" s="1" t="s">
        <v>344</v>
      </c>
      <c r="C301" s="1" t="str">
        <f>_xlfn.XLOOKUP(Clients_Churn[[#This Row],[Province_Client]],Logs_Reseau!B:B,Logs_Reseau!E:E,"Pas de correspondance")</f>
        <v>ANT-0371</v>
      </c>
      <c r="D301" s="1" t="s">
        <v>18</v>
      </c>
      <c r="E301">
        <v>69</v>
      </c>
      <c r="F301" s="1" t="s">
        <v>11</v>
      </c>
      <c r="G301">
        <v>486</v>
      </c>
      <c r="H301">
        <v>34.770000000000003</v>
      </c>
      <c r="I301">
        <v>0</v>
      </c>
    </row>
    <row r="302" spans="1:9" x14ac:dyDescent="0.25">
      <c r="A302" s="1" t="s">
        <v>342</v>
      </c>
      <c r="B302" s="1" t="s">
        <v>345</v>
      </c>
      <c r="C302" s="1" t="str">
        <f>_xlfn.XLOOKUP(Clients_Churn[[#This Row],[Province_Client]],Logs_Reseau!B:B,Logs_Reseau!E:E,"Pas de correspondance")</f>
        <v>ANT-0566</v>
      </c>
      <c r="D302" s="1" t="s">
        <v>26</v>
      </c>
      <c r="E302">
        <v>25</v>
      </c>
      <c r="F302" s="1" t="s">
        <v>14</v>
      </c>
      <c r="G302">
        <v>218</v>
      </c>
      <c r="H302">
        <v>68.790000000000006</v>
      </c>
      <c r="I302">
        <v>0</v>
      </c>
    </row>
    <row r="303" spans="1:9" x14ac:dyDescent="0.25">
      <c r="A303" s="1" t="s">
        <v>342</v>
      </c>
      <c r="B303" s="1" t="s">
        <v>346</v>
      </c>
      <c r="C303" s="1" t="str">
        <f>_xlfn.XLOOKUP(Clients_Churn[[#This Row],[Province_Client]],Logs_Reseau!B:B,Logs_Reseau!E:E,"Pas de correspondance")</f>
        <v>ANT-0134</v>
      </c>
      <c r="D303" s="1" t="s">
        <v>40</v>
      </c>
      <c r="E303">
        <v>109</v>
      </c>
      <c r="F303" s="1" t="s">
        <v>22</v>
      </c>
      <c r="G303">
        <v>347</v>
      </c>
      <c r="H303">
        <v>43.06</v>
      </c>
      <c r="I303">
        <v>4</v>
      </c>
    </row>
    <row r="304" spans="1:9" x14ac:dyDescent="0.25">
      <c r="A304" s="1" t="s">
        <v>342</v>
      </c>
      <c r="B304" s="1" t="s">
        <v>347</v>
      </c>
      <c r="C304" s="1" t="str">
        <f>_xlfn.XLOOKUP(Clients_Churn[[#This Row],[Province_Client]],Logs_Reseau!B:B,Logs_Reseau!E:E,"Pas de correspondance")</f>
        <v>ANT-0624</v>
      </c>
      <c r="D304" s="1" t="s">
        <v>24</v>
      </c>
      <c r="E304">
        <v>50</v>
      </c>
      <c r="F304" s="1" t="s">
        <v>14</v>
      </c>
      <c r="G304">
        <v>430</v>
      </c>
      <c r="H304">
        <v>20.8</v>
      </c>
      <c r="I304">
        <v>2</v>
      </c>
    </row>
    <row r="305" spans="1:9" x14ac:dyDescent="0.25">
      <c r="A305" s="1" t="s">
        <v>342</v>
      </c>
      <c r="B305" s="1" t="s">
        <v>348</v>
      </c>
      <c r="C305" s="1" t="str">
        <f>_xlfn.XLOOKUP(Clients_Churn[[#This Row],[Province_Client]],Logs_Reseau!B:B,Logs_Reseau!E:E,"Pas de correspondance")</f>
        <v>ANT-0465</v>
      </c>
      <c r="D305" s="1" t="s">
        <v>37</v>
      </c>
      <c r="E305">
        <v>55</v>
      </c>
      <c r="F305" s="1" t="s">
        <v>11</v>
      </c>
      <c r="G305">
        <v>86</v>
      </c>
      <c r="H305">
        <v>17.440000000000001</v>
      </c>
      <c r="I305">
        <v>2</v>
      </c>
    </row>
    <row r="306" spans="1:9" x14ac:dyDescent="0.25">
      <c r="A306" s="1" t="s">
        <v>342</v>
      </c>
      <c r="B306" s="1" t="s">
        <v>349</v>
      </c>
      <c r="C306" s="1" t="str">
        <f>_xlfn.XLOOKUP(Clients_Churn[[#This Row],[Province_Client]],Logs_Reseau!B:B,Logs_Reseau!E:E,"Pas de correspondance")</f>
        <v>ANT-0250</v>
      </c>
      <c r="D306" s="1" t="s">
        <v>78</v>
      </c>
      <c r="E306">
        <v>41</v>
      </c>
      <c r="F306" s="1" t="s">
        <v>14</v>
      </c>
      <c r="G306">
        <v>474</v>
      </c>
      <c r="H306">
        <v>54.03</v>
      </c>
      <c r="I306">
        <v>4</v>
      </c>
    </row>
    <row r="307" spans="1:9" x14ac:dyDescent="0.25">
      <c r="A307" s="1" t="s">
        <v>342</v>
      </c>
      <c r="B307" s="1" t="s">
        <v>350</v>
      </c>
      <c r="C307" s="1" t="str">
        <f>_xlfn.XLOOKUP(Clients_Churn[[#This Row],[Province_Client]],Logs_Reseau!B:B,Logs_Reseau!E:E,"Pas de correspondance")</f>
        <v>ANT-0731</v>
      </c>
      <c r="D307" s="1" t="s">
        <v>1676</v>
      </c>
      <c r="E307">
        <v>99</v>
      </c>
      <c r="F307" s="1" t="s">
        <v>19</v>
      </c>
      <c r="G307">
        <v>28</v>
      </c>
      <c r="H307">
        <v>70.19</v>
      </c>
      <c r="I307">
        <v>1</v>
      </c>
    </row>
    <row r="308" spans="1:9" x14ac:dyDescent="0.25">
      <c r="A308" s="1" t="s">
        <v>342</v>
      </c>
      <c r="B308" s="1" t="s">
        <v>351</v>
      </c>
      <c r="C308" s="1" t="str">
        <f>_xlfn.XLOOKUP(Clients_Churn[[#This Row],[Province_Client]],Logs_Reseau!B:B,Logs_Reseau!E:E,"Pas de correspondance")</f>
        <v>ANT-0935</v>
      </c>
      <c r="D308" s="1" t="s">
        <v>89</v>
      </c>
      <c r="E308">
        <v>47</v>
      </c>
      <c r="F308" s="1" t="s">
        <v>11</v>
      </c>
      <c r="G308">
        <v>49</v>
      </c>
      <c r="H308">
        <v>55.88</v>
      </c>
      <c r="I308">
        <v>3</v>
      </c>
    </row>
    <row r="309" spans="1:9" x14ac:dyDescent="0.25">
      <c r="A309" s="1" t="s">
        <v>342</v>
      </c>
      <c r="B309" s="1" t="s">
        <v>352</v>
      </c>
      <c r="C309" s="1" t="str">
        <f>_xlfn.XLOOKUP(Clients_Churn[[#This Row],[Province_Client]],Logs_Reseau!B:B,Logs_Reseau!E:E,"Pas de correspondance")</f>
        <v>ANT-0258</v>
      </c>
      <c r="D309" s="1" t="s">
        <v>137</v>
      </c>
      <c r="E309">
        <v>103</v>
      </c>
      <c r="F309" s="1" t="s">
        <v>22</v>
      </c>
      <c r="G309">
        <v>182</v>
      </c>
      <c r="H309">
        <v>12.07</v>
      </c>
      <c r="I309">
        <v>5</v>
      </c>
    </row>
    <row r="310" spans="1:9" x14ac:dyDescent="0.25">
      <c r="A310" s="1" t="s">
        <v>342</v>
      </c>
      <c r="B310" s="1" t="s">
        <v>353</v>
      </c>
      <c r="C310" s="1" t="str">
        <f>_xlfn.XLOOKUP(Clients_Churn[[#This Row],[Province_Client]],Logs_Reseau!B:B,Logs_Reseau!E:E,"Pas de correspondance")</f>
        <v>ANT-0166</v>
      </c>
      <c r="D310" s="1" t="s">
        <v>31</v>
      </c>
      <c r="E310">
        <v>87</v>
      </c>
      <c r="F310" s="1" t="s">
        <v>22</v>
      </c>
      <c r="G310">
        <v>498</v>
      </c>
      <c r="H310">
        <v>61.57</v>
      </c>
      <c r="I310">
        <v>0</v>
      </c>
    </row>
    <row r="311" spans="1:9" x14ac:dyDescent="0.25">
      <c r="A311" s="1" t="s">
        <v>342</v>
      </c>
      <c r="B311" s="1" t="s">
        <v>354</v>
      </c>
      <c r="C311" s="1" t="str">
        <f>_xlfn.XLOOKUP(Clients_Churn[[#This Row],[Province_Client]],Logs_Reseau!B:B,Logs_Reseau!E:E,"Pas de correspondance")</f>
        <v>ANT-0134</v>
      </c>
      <c r="D311" s="1" t="s">
        <v>40</v>
      </c>
      <c r="E311">
        <v>120</v>
      </c>
      <c r="F311" s="1" t="s">
        <v>22</v>
      </c>
      <c r="G311">
        <v>242</v>
      </c>
      <c r="H311">
        <v>61.54</v>
      </c>
      <c r="I311">
        <v>1</v>
      </c>
    </row>
    <row r="312" spans="1:9" x14ac:dyDescent="0.25">
      <c r="A312" s="1" t="s">
        <v>342</v>
      </c>
      <c r="B312" s="1" t="s">
        <v>355</v>
      </c>
      <c r="C312" s="1" t="str">
        <f>_xlfn.XLOOKUP(Clients_Churn[[#This Row],[Province_Client]],Logs_Reseau!B:B,Logs_Reseau!E:E,"Pas de correspondance")</f>
        <v>ANT-0855</v>
      </c>
      <c r="D312" s="1" t="s">
        <v>16</v>
      </c>
      <c r="E312">
        <v>102</v>
      </c>
      <c r="F312" s="1" t="s">
        <v>19</v>
      </c>
      <c r="G312">
        <v>91</v>
      </c>
      <c r="H312">
        <v>34.64</v>
      </c>
      <c r="I312">
        <v>2</v>
      </c>
    </row>
    <row r="313" spans="1:9" x14ac:dyDescent="0.25">
      <c r="A313" s="1" t="s">
        <v>342</v>
      </c>
      <c r="B313" s="1" t="s">
        <v>356</v>
      </c>
      <c r="C313" s="1" t="str">
        <f>_xlfn.XLOOKUP(Clients_Churn[[#This Row],[Province_Client]],Logs_Reseau!B:B,Logs_Reseau!E:E,"Pas de correspondance")</f>
        <v>ANT-0250</v>
      </c>
      <c r="D313" s="1" t="s">
        <v>78</v>
      </c>
      <c r="E313">
        <v>17</v>
      </c>
      <c r="F313" s="1" t="s">
        <v>22</v>
      </c>
      <c r="G313">
        <v>483</v>
      </c>
      <c r="H313">
        <v>77.08</v>
      </c>
      <c r="I313">
        <v>0</v>
      </c>
    </row>
    <row r="314" spans="1:9" x14ac:dyDescent="0.25">
      <c r="A314" s="1" t="s">
        <v>342</v>
      </c>
      <c r="B314" s="1" t="s">
        <v>357</v>
      </c>
      <c r="C314" s="1" t="str">
        <f>_xlfn.XLOOKUP(Clients_Churn[[#This Row],[Province_Client]],Logs_Reseau!B:B,Logs_Reseau!E:E,"Pas de correspondance")</f>
        <v>ANT-0553</v>
      </c>
      <c r="D314" s="1" t="s">
        <v>131</v>
      </c>
      <c r="E314">
        <v>67</v>
      </c>
      <c r="F314" s="1" t="s">
        <v>14</v>
      </c>
      <c r="G314">
        <v>26</v>
      </c>
      <c r="H314">
        <v>81.489999999999995</v>
      </c>
      <c r="I314">
        <v>4</v>
      </c>
    </row>
    <row r="315" spans="1:9" x14ac:dyDescent="0.25">
      <c r="A315" s="1" t="s">
        <v>342</v>
      </c>
      <c r="B315" s="1" t="s">
        <v>358</v>
      </c>
      <c r="C315" s="1" t="str">
        <f>_xlfn.XLOOKUP(Clients_Churn[[#This Row],[Province_Client]],Logs_Reseau!B:B,Logs_Reseau!E:E,"Pas de correspondance")</f>
        <v>ANT-0465</v>
      </c>
      <c r="D315" s="1" t="s">
        <v>37</v>
      </c>
      <c r="E315">
        <v>85</v>
      </c>
      <c r="F315" s="1" t="s">
        <v>14</v>
      </c>
      <c r="G315">
        <v>60</v>
      </c>
      <c r="H315">
        <v>26.3</v>
      </c>
      <c r="I315">
        <v>2</v>
      </c>
    </row>
    <row r="316" spans="1:9" x14ac:dyDescent="0.25">
      <c r="A316" s="1" t="s">
        <v>342</v>
      </c>
      <c r="B316" s="1" t="s">
        <v>359</v>
      </c>
      <c r="C316" s="1" t="str">
        <f>_xlfn.XLOOKUP(Clients_Churn[[#This Row],[Province_Client]],Logs_Reseau!B:B,Logs_Reseau!E:E,"Pas de correspondance")</f>
        <v>ANT-0371</v>
      </c>
      <c r="D316" s="1" t="s">
        <v>18</v>
      </c>
      <c r="E316">
        <v>78</v>
      </c>
      <c r="F316" s="1" t="s">
        <v>11</v>
      </c>
      <c r="G316">
        <v>263</v>
      </c>
      <c r="H316">
        <v>53.58</v>
      </c>
      <c r="I316">
        <v>5</v>
      </c>
    </row>
    <row r="317" spans="1:9" x14ac:dyDescent="0.25">
      <c r="A317" s="1" t="s">
        <v>342</v>
      </c>
      <c r="B317" s="1" t="s">
        <v>360</v>
      </c>
      <c r="C317" s="1" t="str">
        <f>_xlfn.XLOOKUP(Clients_Churn[[#This Row],[Province_Client]],Logs_Reseau!B:B,Logs_Reseau!E:E,"Pas de correspondance")</f>
        <v>ANT-0371</v>
      </c>
      <c r="D317" s="1" t="s">
        <v>18</v>
      </c>
      <c r="E317">
        <v>76</v>
      </c>
      <c r="F317" s="1" t="s">
        <v>22</v>
      </c>
      <c r="G317">
        <v>332</v>
      </c>
      <c r="H317">
        <v>68.010000000000005</v>
      </c>
      <c r="I317">
        <v>4</v>
      </c>
    </row>
    <row r="318" spans="1:9" x14ac:dyDescent="0.25">
      <c r="A318" s="1" t="s">
        <v>342</v>
      </c>
      <c r="B318" s="1" t="s">
        <v>361</v>
      </c>
      <c r="C318" s="1" t="str">
        <f>_xlfn.XLOOKUP(Clients_Churn[[#This Row],[Province_Client]],Logs_Reseau!B:B,Logs_Reseau!E:E,"Pas de correspondance")</f>
        <v>ANT-0371</v>
      </c>
      <c r="D318" s="1" t="s">
        <v>18</v>
      </c>
      <c r="E318">
        <v>29</v>
      </c>
      <c r="F318" s="1" t="s">
        <v>19</v>
      </c>
      <c r="G318">
        <v>173</v>
      </c>
      <c r="H318">
        <v>49.03</v>
      </c>
      <c r="I318">
        <v>3</v>
      </c>
    </row>
    <row r="319" spans="1:9" x14ac:dyDescent="0.25">
      <c r="A319" s="1" t="s">
        <v>342</v>
      </c>
      <c r="B319" s="1" t="s">
        <v>362</v>
      </c>
      <c r="C319" s="1" t="str">
        <f>_xlfn.XLOOKUP(Clients_Churn[[#This Row],[Province_Client]],Logs_Reseau!B:B,Logs_Reseau!E:E,"Pas de correspondance")</f>
        <v>ANT-0553</v>
      </c>
      <c r="D319" s="1" t="s">
        <v>131</v>
      </c>
      <c r="E319">
        <v>14</v>
      </c>
      <c r="F319" s="1" t="s">
        <v>14</v>
      </c>
      <c r="G319">
        <v>303</v>
      </c>
      <c r="H319">
        <v>61.43</v>
      </c>
      <c r="I319">
        <v>1</v>
      </c>
    </row>
    <row r="320" spans="1:9" x14ac:dyDescent="0.25">
      <c r="A320" s="1" t="s">
        <v>342</v>
      </c>
      <c r="B320" s="1" t="s">
        <v>363</v>
      </c>
      <c r="C320" s="1" t="str">
        <f>_xlfn.XLOOKUP(Clients_Churn[[#This Row],[Province_Client]],Logs_Reseau!B:B,Logs_Reseau!E:E,"Pas de correspondance")</f>
        <v>ANT-0855</v>
      </c>
      <c r="D320" s="1" t="s">
        <v>16</v>
      </c>
      <c r="E320">
        <v>51</v>
      </c>
      <c r="F320" s="1" t="s">
        <v>11</v>
      </c>
      <c r="G320">
        <v>222</v>
      </c>
      <c r="H320">
        <v>18.95</v>
      </c>
      <c r="I320">
        <v>4</v>
      </c>
    </row>
    <row r="321" spans="1:9" x14ac:dyDescent="0.25">
      <c r="A321" s="1" t="s">
        <v>342</v>
      </c>
      <c r="B321" s="1" t="s">
        <v>364</v>
      </c>
      <c r="C321" s="1" t="str">
        <f>_xlfn.XLOOKUP(Clients_Churn[[#This Row],[Province_Client]],Logs_Reseau!B:B,Logs_Reseau!E:E,"Pas de correspondance")</f>
        <v>ANT-0855</v>
      </c>
      <c r="D321" s="1" t="s">
        <v>16</v>
      </c>
      <c r="E321">
        <v>2</v>
      </c>
      <c r="F321" s="1" t="s">
        <v>14</v>
      </c>
      <c r="G321">
        <v>496</v>
      </c>
      <c r="H321">
        <v>15.71</v>
      </c>
      <c r="I321">
        <v>3</v>
      </c>
    </row>
    <row r="322" spans="1:9" x14ac:dyDescent="0.25">
      <c r="A322" s="1" t="s">
        <v>342</v>
      </c>
      <c r="B322" s="1" t="s">
        <v>365</v>
      </c>
      <c r="C322" s="1" t="str">
        <f>_xlfn.XLOOKUP(Clients_Churn[[#This Row],[Province_Client]],Logs_Reseau!B:B,Logs_Reseau!E:E,"Pas de correspondance")</f>
        <v>ANT-0624</v>
      </c>
      <c r="D322" s="1" t="s">
        <v>24</v>
      </c>
      <c r="E322">
        <v>69</v>
      </c>
      <c r="F322" s="1" t="s">
        <v>14</v>
      </c>
      <c r="G322">
        <v>76</v>
      </c>
      <c r="H322">
        <v>91.8</v>
      </c>
      <c r="I322">
        <v>5</v>
      </c>
    </row>
    <row r="323" spans="1:9" x14ac:dyDescent="0.25">
      <c r="A323" s="1" t="s">
        <v>342</v>
      </c>
      <c r="B323" s="1" t="s">
        <v>366</v>
      </c>
      <c r="C323" s="1" t="str">
        <f>_xlfn.XLOOKUP(Clients_Churn[[#This Row],[Province_Client]],Logs_Reseau!B:B,Logs_Reseau!E:E,"Pas de correspondance")</f>
        <v>ANT-0315</v>
      </c>
      <c r="D323" s="1" t="s">
        <v>60</v>
      </c>
      <c r="E323">
        <v>110</v>
      </c>
      <c r="F323" s="1" t="s">
        <v>11</v>
      </c>
      <c r="G323">
        <v>321</v>
      </c>
      <c r="H323">
        <v>81.569999999999993</v>
      </c>
      <c r="I323">
        <v>2</v>
      </c>
    </row>
    <row r="324" spans="1:9" x14ac:dyDescent="0.25">
      <c r="A324" s="1" t="s">
        <v>342</v>
      </c>
      <c r="B324" s="1" t="s">
        <v>367</v>
      </c>
      <c r="C324" s="1" t="str">
        <f>_xlfn.XLOOKUP(Clients_Churn[[#This Row],[Province_Client]],Logs_Reseau!B:B,Logs_Reseau!E:E,"Pas de correspondance")</f>
        <v>ANT-0037</v>
      </c>
      <c r="D324" s="1" t="s">
        <v>10</v>
      </c>
      <c r="E324">
        <v>59</v>
      </c>
      <c r="F324" s="1" t="s">
        <v>14</v>
      </c>
      <c r="G324">
        <v>369</v>
      </c>
      <c r="H324">
        <v>26.64</v>
      </c>
      <c r="I324">
        <v>4</v>
      </c>
    </row>
    <row r="325" spans="1:9" x14ac:dyDescent="0.25">
      <c r="A325" s="1" t="s">
        <v>342</v>
      </c>
      <c r="B325" s="1" t="s">
        <v>368</v>
      </c>
      <c r="C325" s="1" t="str">
        <f>_xlfn.XLOOKUP(Clients_Churn[[#This Row],[Province_Client]],Logs_Reseau!B:B,Logs_Reseau!E:E,"Pas de correspondance")</f>
        <v>ANT-0624</v>
      </c>
      <c r="D325" s="1" t="s">
        <v>24</v>
      </c>
      <c r="E325">
        <v>41</v>
      </c>
      <c r="F325" s="1" t="s">
        <v>14</v>
      </c>
      <c r="G325">
        <v>206</v>
      </c>
      <c r="H325">
        <v>83.16</v>
      </c>
      <c r="I325">
        <v>2</v>
      </c>
    </row>
    <row r="326" spans="1:9" x14ac:dyDescent="0.25">
      <c r="A326" s="1" t="s">
        <v>342</v>
      </c>
      <c r="B326" s="1" t="s">
        <v>369</v>
      </c>
      <c r="C326" s="1" t="str">
        <f>_xlfn.XLOOKUP(Clients_Churn[[#This Row],[Province_Client]],Logs_Reseau!B:B,Logs_Reseau!E:E,"Pas de correspondance")</f>
        <v>ANT-0731</v>
      </c>
      <c r="D326" s="1" t="s">
        <v>1676</v>
      </c>
      <c r="E326">
        <v>19</v>
      </c>
      <c r="F326" s="1" t="s">
        <v>19</v>
      </c>
      <c r="G326">
        <v>125</v>
      </c>
      <c r="H326">
        <v>11.78</v>
      </c>
      <c r="I326">
        <v>4</v>
      </c>
    </row>
    <row r="327" spans="1:9" x14ac:dyDescent="0.25">
      <c r="A327" s="1" t="s">
        <v>342</v>
      </c>
      <c r="B327" s="1" t="s">
        <v>370</v>
      </c>
      <c r="C327" s="1" t="str">
        <f>_xlfn.XLOOKUP(Clients_Churn[[#This Row],[Province_Client]],Logs_Reseau!B:B,Logs_Reseau!E:E,"Pas de correspondance")</f>
        <v>ANT-0731</v>
      </c>
      <c r="D327" s="1" t="s">
        <v>1676</v>
      </c>
      <c r="E327">
        <v>105</v>
      </c>
      <c r="F327" s="1" t="s">
        <v>11</v>
      </c>
      <c r="G327">
        <v>17</v>
      </c>
      <c r="H327">
        <v>60.05</v>
      </c>
      <c r="I327">
        <v>4</v>
      </c>
    </row>
    <row r="328" spans="1:9" x14ac:dyDescent="0.25">
      <c r="A328" s="1" t="s">
        <v>342</v>
      </c>
      <c r="B328" s="1" t="s">
        <v>371</v>
      </c>
      <c r="C328" s="1" t="str">
        <f>_xlfn.XLOOKUP(Clients_Churn[[#This Row],[Province_Client]],Logs_Reseau!B:B,Logs_Reseau!E:E,"Pas de correspondance")</f>
        <v>ANT-0520</v>
      </c>
      <c r="D328" s="1" t="s">
        <v>67</v>
      </c>
      <c r="E328">
        <v>38</v>
      </c>
      <c r="F328" s="1" t="s">
        <v>11</v>
      </c>
      <c r="G328">
        <v>60</v>
      </c>
      <c r="H328">
        <v>58.28</v>
      </c>
      <c r="I328">
        <v>4</v>
      </c>
    </row>
    <row r="329" spans="1:9" x14ac:dyDescent="0.25">
      <c r="A329" s="1" t="s">
        <v>342</v>
      </c>
      <c r="B329" s="1" t="s">
        <v>372</v>
      </c>
      <c r="C329" s="1" t="str">
        <f>_xlfn.XLOOKUP(Clients_Churn[[#This Row],[Province_Client]],Logs_Reseau!B:B,Logs_Reseau!E:E,"Pas de correspondance")</f>
        <v>ANT-0850</v>
      </c>
      <c r="D329" s="1" t="s">
        <v>51</v>
      </c>
      <c r="E329">
        <v>108</v>
      </c>
      <c r="F329" s="1" t="s">
        <v>22</v>
      </c>
      <c r="G329">
        <v>123</v>
      </c>
      <c r="H329">
        <v>83.1</v>
      </c>
      <c r="I329">
        <v>1</v>
      </c>
    </row>
    <row r="330" spans="1:9" x14ac:dyDescent="0.25">
      <c r="A330" s="1" t="s">
        <v>342</v>
      </c>
      <c r="B330" s="1" t="s">
        <v>373</v>
      </c>
      <c r="C330" s="1" t="str">
        <f>_xlfn.XLOOKUP(Clients_Churn[[#This Row],[Province_Client]],Logs_Reseau!B:B,Logs_Reseau!E:E,"Pas de correspondance")</f>
        <v>ANT-0760</v>
      </c>
      <c r="D330" s="1" t="s">
        <v>35</v>
      </c>
      <c r="E330">
        <v>29</v>
      </c>
      <c r="F330" s="1" t="s">
        <v>14</v>
      </c>
      <c r="G330">
        <v>203</v>
      </c>
      <c r="H330">
        <v>53.97</v>
      </c>
      <c r="I330">
        <v>5</v>
      </c>
    </row>
    <row r="331" spans="1:9" x14ac:dyDescent="0.25">
      <c r="A331" s="1" t="s">
        <v>342</v>
      </c>
      <c r="B331" s="1" t="s">
        <v>374</v>
      </c>
      <c r="C331" s="1" t="str">
        <f>_xlfn.XLOOKUP(Clients_Churn[[#This Row],[Province_Client]],Logs_Reseau!B:B,Logs_Reseau!E:E,"Pas de correspondance")</f>
        <v>ANT-0134</v>
      </c>
      <c r="D331" s="1" t="s">
        <v>40</v>
      </c>
      <c r="E331">
        <v>64</v>
      </c>
      <c r="F331" s="1" t="s">
        <v>19</v>
      </c>
      <c r="G331">
        <v>250</v>
      </c>
      <c r="H331">
        <v>56.7</v>
      </c>
      <c r="I331">
        <v>0</v>
      </c>
    </row>
    <row r="332" spans="1:9" x14ac:dyDescent="0.25">
      <c r="A332" s="1" t="s">
        <v>342</v>
      </c>
      <c r="B332" s="1" t="s">
        <v>375</v>
      </c>
      <c r="C332" s="1" t="str">
        <f>_xlfn.XLOOKUP(Clients_Churn[[#This Row],[Province_Client]],Logs_Reseau!B:B,Logs_Reseau!E:E,"Pas de correspondance")</f>
        <v>ANT-0850</v>
      </c>
      <c r="D332" s="1" t="s">
        <v>51</v>
      </c>
      <c r="E332">
        <v>88</v>
      </c>
      <c r="F332" s="1" t="s">
        <v>22</v>
      </c>
      <c r="G332">
        <v>154</v>
      </c>
      <c r="H332">
        <v>62.62</v>
      </c>
      <c r="I332">
        <v>5</v>
      </c>
    </row>
    <row r="333" spans="1:9" x14ac:dyDescent="0.25">
      <c r="A333" s="1" t="s">
        <v>342</v>
      </c>
      <c r="B333" s="1" t="s">
        <v>376</v>
      </c>
      <c r="C333" s="1" t="str">
        <f>_xlfn.XLOOKUP(Clients_Churn[[#This Row],[Province_Client]],Logs_Reseau!B:B,Logs_Reseau!E:E,"Pas de correspondance")</f>
        <v>ANT-0134</v>
      </c>
      <c r="D333" s="1" t="s">
        <v>40</v>
      </c>
      <c r="E333">
        <v>59</v>
      </c>
      <c r="F333" s="1" t="s">
        <v>11</v>
      </c>
      <c r="G333">
        <v>352</v>
      </c>
      <c r="H333">
        <v>74.239999999999995</v>
      </c>
      <c r="I333">
        <v>0</v>
      </c>
    </row>
    <row r="334" spans="1:9" x14ac:dyDescent="0.25">
      <c r="A334" s="1" t="s">
        <v>342</v>
      </c>
      <c r="B334" s="1" t="s">
        <v>377</v>
      </c>
      <c r="C334" s="1" t="str">
        <f>_xlfn.XLOOKUP(Clients_Churn[[#This Row],[Province_Client]],Logs_Reseau!B:B,Logs_Reseau!E:E,"Pas de correspondance")</f>
        <v>ANT-0250</v>
      </c>
      <c r="D334" s="1" t="s">
        <v>78</v>
      </c>
      <c r="E334">
        <v>19</v>
      </c>
      <c r="F334" s="1" t="s">
        <v>19</v>
      </c>
      <c r="G334">
        <v>305</v>
      </c>
      <c r="H334">
        <v>81.11</v>
      </c>
      <c r="I334">
        <v>1</v>
      </c>
    </row>
    <row r="335" spans="1:9" x14ac:dyDescent="0.25">
      <c r="A335" s="1" t="s">
        <v>342</v>
      </c>
      <c r="B335" s="1" t="s">
        <v>378</v>
      </c>
      <c r="C335" s="1" t="str">
        <f>_xlfn.XLOOKUP(Clients_Churn[[#This Row],[Province_Client]],Logs_Reseau!B:B,Logs_Reseau!E:E,"Pas de correspondance")</f>
        <v>ANT-0371</v>
      </c>
      <c r="D335" s="1" t="s">
        <v>18</v>
      </c>
      <c r="E335">
        <v>77</v>
      </c>
      <c r="F335" s="1" t="s">
        <v>11</v>
      </c>
      <c r="G335">
        <v>488</v>
      </c>
      <c r="H335">
        <v>21.17</v>
      </c>
      <c r="I335">
        <v>0</v>
      </c>
    </row>
    <row r="336" spans="1:9" x14ac:dyDescent="0.25">
      <c r="A336" s="1" t="s">
        <v>342</v>
      </c>
      <c r="B336" s="1" t="s">
        <v>379</v>
      </c>
      <c r="C336" s="1" t="str">
        <f>_xlfn.XLOOKUP(Clients_Churn[[#This Row],[Province_Client]],Logs_Reseau!B:B,Logs_Reseau!E:E,"Pas de correspondance")</f>
        <v>ANT-0935</v>
      </c>
      <c r="D336" s="1" t="s">
        <v>89</v>
      </c>
      <c r="E336">
        <v>37</v>
      </c>
      <c r="F336" s="1" t="s">
        <v>14</v>
      </c>
      <c r="G336">
        <v>88</v>
      </c>
      <c r="H336">
        <v>77.77</v>
      </c>
      <c r="I336">
        <v>1</v>
      </c>
    </row>
    <row r="337" spans="1:9" x14ac:dyDescent="0.25">
      <c r="A337" s="1" t="s">
        <v>342</v>
      </c>
      <c r="B337" s="1" t="s">
        <v>380</v>
      </c>
      <c r="C337" s="1" t="str">
        <f>_xlfn.XLOOKUP(Clients_Churn[[#This Row],[Province_Client]],Logs_Reseau!B:B,Logs_Reseau!E:E,"Pas de correspondance")</f>
        <v>ANT-0270</v>
      </c>
      <c r="D337" s="1" t="s">
        <v>1675</v>
      </c>
      <c r="E337">
        <v>19</v>
      </c>
      <c r="F337" s="1" t="s">
        <v>22</v>
      </c>
      <c r="G337">
        <v>334</v>
      </c>
      <c r="H337">
        <v>96.91</v>
      </c>
      <c r="I337">
        <v>1</v>
      </c>
    </row>
    <row r="338" spans="1:9" x14ac:dyDescent="0.25">
      <c r="A338" s="1" t="s">
        <v>342</v>
      </c>
      <c r="B338" s="1" t="s">
        <v>381</v>
      </c>
      <c r="C338" s="1" t="str">
        <f>_xlfn.XLOOKUP(Clients_Churn[[#This Row],[Province_Client]],Logs_Reseau!B:B,Logs_Reseau!E:E,"Pas de correspondance")</f>
        <v>ANT-0371</v>
      </c>
      <c r="D338" s="1" t="s">
        <v>18</v>
      </c>
      <c r="E338">
        <v>96</v>
      </c>
      <c r="F338" s="1" t="s">
        <v>22</v>
      </c>
      <c r="G338">
        <v>381</v>
      </c>
      <c r="H338">
        <v>90.78</v>
      </c>
      <c r="I338">
        <v>2</v>
      </c>
    </row>
    <row r="339" spans="1:9" x14ac:dyDescent="0.25">
      <c r="A339" s="1" t="s">
        <v>342</v>
      </c>
      <c r="B339" s="1" t="s">
        <v>382</v>
      </c>
      <c r="C339" s="1" t="str">
        <f>_xlfn.XLOOKUP(Clients_Churn[[#This Row],[Province_Client]],Logs_Reseau!B:B,Logs_Reseau!E:E,"Pas de correspondance")</f>
        <v>ANT-0850</v>
      </c>
      <c r="D339" s="1" t="s">
        <v>51</v>
      </c>
      <c r="E339">
        <v>86</v>
      </c>
      <c r="F339" s="1" t="s">
        <v>14</v>
      </c>
      <c r="G339">
        <v>192</v>
      </c>
      <c r="H339">
        <v>26.26</v>
      </c>
      <c r="I339">
        <v>1</v>
      </c>
    </row>
    <row r="340" spans="1:9" x14ac:dyDescent="0.25">
      <c r="A340" s="1" t="s">
        <v>342</v>
      </c>
      <c r="B340" s="1" t="s">
        <v>383</v>
      </c>
      <c r="C340" s="1" t="str">
        <f>_xlfn.XLOOKUP(Clients_Churn[[#This Row],[Province_Client]],Logs_Reseau!B:B,Logs_Reseau!E:E,"Pas de correspondance")</f>
        <v>ANT-0935</v>
      </c>
      <c r="D340" s="1" t="s">
        <v>89</v>
      </c>
      <c r="E340">
        <v>109</v>
      </c>
      <c r="F340" s="1" t="s">
        <v>14</v>
      </c>
      <c r="G340">
        <v>397</v>
      </c>
      <c r="H340">
        <v>63.92</v>
      </c>
      <c r="I340">
        <v>1</v>
      </c>
    </row>
    <row r="341" spans="1:9" x14ac:dyDescent="0.25">
      <c r="A341" s="1" t="s">
        <v>342</v>
      </c>
      <c r="B341" s="1" t="s">
        <v>384</v>
      </c>
      <c r="C341" s="1" t="str">
        <f>_xlfn.XLOOKUP(Clients_Churn[[#This Row],[Province_Client]],Logs_Reseau!B:B,Logs_Reseau!E:E,"Pas de correspondance")</f>
        <v>ANT-0852</v>
      </c>
      <c r="D341" s="1" t="s">
        <v>21</v>
      </c>
      <c r="E341">
        <v>103</v>
      </c>
      <c r="F341" s="1" t="s">
        <v>11</v>
      </c>
      <c r="G341">
        <v>354</v>
      </c>
      <c r="H341">
        <v>26.19</v>
      </c>
      <c r="I341">
        <v>4</v>
      </c>
    </row>
    <row r="342" spans="1:9" x14ac:dyDescent="0.25">
      <c r="A342" s="1" t="s">
        <v>342</v>
      </c>
      <c r="B342" s="1" t="s">
        <v>385</v>
      </c>
      <c r="C342" s="1" t="str">
        <f>_xlfn.XLOOKUP(Clients_Churn[[#This Row],[Province_Client]],Logs_Reseau!B:B,Logs_Reseau!E:E,"Pas de correspondance")</f>
        <v>ANT-0011</v>
      </c>
      <c r="D342" s="1" t="s">
        <v>44</v>
      </c>
      <c r="E342">
        <v>106</v>
      </c>
      <c r="F342" s="1" t="s">
        <v>22</v>
      </c>
      <c r="G342">
        <v>407</v>
      </c>
      <c r="H342">
        <v>59.92</v>
      </c>
      <c r="I342">
        <v>4</v>
      </c>
    </row>
    <row r="343" spans="1:9" x14ac:dyDescent="0.25">
      <c r="A343" s="1" t="s">
        <v>342</v>
      </c>
      <c r="B343" s="1" t="s">
        <v>386</v>
      </c>
      <c r="C343" s="1" t="str">
        <f>_xlfn.XLOOKUP(Clients_Churn[[#This Row],[Province_Client]],Logs_Reseau!B:B,Logs_Reseau!E:E,"Pas de correspondance")</f>
        <v>ANT-0250</v>
      </c>
      <c r="D343" s="1" t="s">
        <v>78</v>
      </c>
      <c r="E343">
        <v>90</v>
      </c>
      <c r="F343" s="1" t="s">
        <v>22</v>
      </c>
      <c r="G343">
        <v>343</v>
      </c>
      <c r="H343">
        <v>82.05</v>
      </c>
      <c r="I343">
        <v>1</v>
      </c>
    </row>
    <row r="344" spans="1:9" x14ac:dyDescent="0.25">
      <c r="A344" s="1" t="s">
        <v>342</v>
      </c>
      <c r="B344" s="1" t="s">
        <v>387</v>
      </c>
      <c r="C344" s="1" t="str">
        <f>_xlfn.XLOOKUP(Clients_Churn[[#This Row],[Province_Client]],Logs_Reseau!B:B,Logs_Reseau!E:E,"Pas de correspondance")</f>
        <v>ANT-0553</v>
      </c>
      <c r="D344" s="1" t="s">
        <v>131</v>
      </c>
      <c r="E344">
        <v>5</v>
      </c>
      <c r="F344" s="1" t="s">
        <v>22</v>
      </c>
      <c r="G344">
        <v>337</v>
      </c>
      <c r="H344">
        <v>21.07</v>
      </c>
      <c r="I344">
        <v>4</v>
      </c>
    </row>
    <row r="345" spans="1:9" x14ac:dyDescent="0.25">
      <c r="A345" s="1" t="s">
        <v>342</v>
      </c>
      <c r="B345" s="1" t="s">
        <v>388</v>
      </c>
      <c r="C345" s="1" t="str">
        <f>_xlfn.XLOOKUP(Clients_Churn[[#This Row],[Province_Client]],Logs_Reseau!B:B,Logs_Reseau!E:E,"Pas de correspondance")</f>
        <v>ANT-0935</v>
      </c>
      <c r="D345" s="1" t="s">
        <v>89</v>
      </c>
      <c r="E345">
        <v>77</v>
      </c>
      <c r="F345" s="1" t="s">
        <v>22</v>
      </c>
      <c r="G345">
        <v>45</v>
      </c>
      <c r="H345">
        <v>21.59</v>
      </c>
      <c r="I345">
        <v>2</v>
      </c>
    </row>
    <row r="346" spans="1:9" x14ac:dyDescent="0.25">
      <c r="A346" s="1" t="s">
        <v>342</v>
      </c>
      <c r="B346" s="1" t="s">
        <v>389</v>
      </c>
      <c r="C346" s="1" t="str">
        <f>_xlfn.XLOOKUP(Clients_Churn[[#This Row],[Province_Client]],Logs_Reseau!B:B,Logs_Reseau!E:E,"Pas de correspondance")</f>
        <v>ANT-0371</v>
      </c>
      <c r="D346" s="1" t="s">
        <v>18</v>
      </c>
      <c r="E346">
        <v>41</v>
      </c>
      <c r="F346" s="1" t="s">
        <v>19</v>
      </c>
      <c r="G346">
        <v>398</v>
      </c>
      <c r="H346">
        <v>28.56</v>
      </c>
      <c r="I346">
        <v>2</v>
      </c>
    </row>
    <row r="347" spans="1:9" x14ac:dyDescent="0.25">
      <c r="A347" s="1" t="s">
        <v>342</v>
      </c>
      <c r="B347" s="1" t="s">
        <v>390</v>
      </c>
      <c r="C347" s="1" t="str">
        <f>_xlfn.XLOOKUP(Clients_Churn[[#This Row],[Province_Client]],Logs_Reseau!B:B,Logs_Reseau!E:E,"Pas de correspondance")</f>
        <v>ANT-0913</v>
      </c>
      <c r="D347" s="1" t="s">
        <v>64</v>
      </c>
      <c r="E347">
        <v>40</v>
      </c>
      <c r="F347" s="1" t="s">
        <v>11</v>
      </c>
      <c r="G347">
        <v>237</v>
      </c>
      <c r="H347">
        <v>24.51</v>
      </c>
      <c r="I347">
        <v>1</v>
      </c>
    </row>
    <row r="348" spans="1:9" x14ac:dyDescent="0.25">
      <c r="A348" s="1" t="s">
        <v>342</v>
      </c>
      <c r="B348" s="1" t="s">
        <v>391</v>
      </c>
      <c r="C348" s="1" t="str">
        <f>_xlfn.XLOOKUP(Clients_Churn[[#This Row],[Province_Client]],Logs_Reseau!B:B,Logs_Reseau!E:E,"Pas de correspondance")</f>
        <v>ANT-0760</v>
      </c>
      <c r="D348" s="1" t="s">
        <v>35</v>
      </c>
      <c r="E348">
        <v>65</v>
      </c>
      <c r="F348" s="1" t="s">
        <v>19</v>
      </c>
      <c r="G348">
        <v>442</v>
      </c>
      <c r="H348">
        <v>60.62</v>
      </c>
      <c r="I348">
        <v>5</v>
      </c>
    </row>
    <row r="349" spans="1:9" x14ac:dyDescent="0.25">
      <c r="A349" s="1" t="s">
        <v>342</v>
      </c>
      <c r="B349" s="1" t="s">
        <v>392</v>
      </c>
      <c r="C349" s="1" t="str">
        <f>_xlfn.XLOOKUP(Clients_Churn[[#This Row],[Province_Client]],Logs_Reseau!B:B,Logs_Reseau!E:E,"Pas de correspondance")</f>
        <v>ANT-0737</v>
      </c>
      <c r="D349" s="1" t="s">
        <v>62</v>
      </c>
      <c r="E349">
        <v>89</v>
      </c>
      <c r="F349" s="1" t="s">
        <v>22</v>
      </c>
      <c r="G349">
        <v>418</v>
      </c>
      <c r="H349">
        <v>86.63</v>
      </c>
      <c r="I349">
        <v>4</v>
      </c>
    </row>
    <row r="350" spans="1:9" x14ac:dyDescent="0.25">
      <c r="A350" s="1" t="s">
        <v>393</v>
      </c>
      <c r="B350" s="1" t="s">
        <v>394</v>
      </c>
      <c r="C350" s="1" t="str">
        <f>_xlfn.XLOOKUP(Clients_Churn[[#This Row],[Province_Client]],Logs_Reseau!B:B,Logs_Reseau!E:E,"Pas de correspondance")</f>
        <v>ANT-0520</v>
      </c>
      <c r="D350" s="1" t="s">
        <v>67</v>
      </c>
      <c r="E350">
        <v>12</v>
      </c>
      <c r="F350" s="1" t="s">
        <v>14</v>
      </c>
      <c r="G350">
        <v>125</v>
      </c>
      <c r="H350">
        <v>36.93</v>
      </c>
      <c r="I350">
        <v>0</v>
      </c>
    </row>
    <row r="351" spans="1:9" x14ac:dyDescent="0.25">
      <c r="A351" s="1" t="s">
        <v>393</v>
      </c>
      <c r="B351" s="1" t="s">
        <v>395</v>
      </c>
      <c r="C351" s="1" t="str">
        <f>_xlfn.XLOOKUP(Clients_Churn[[#This Row],[Province_Client]],Logs_Reseau!B:B,Logs_Reseau!E:E,"Pas de correspondance")</f>
        <v>ANT-0553</v>
      </c>
      <c r="D351" s="1" t="s">
        <v>131</v>
      </c>
      <c r="E351">
        <v>47</v>
      </c>
      <c r="F351" s="1" t="s">
        <v>14</v>
      </c>
      <c r="G351">
        <v>378</v>
      </c>
      <c r="H351">
        <v>36.42</v>
      </c>
      <c r="I351">
        <v>1</v>
      </c>
    </row>
    <row r="352" spans="1:9" x14ac:dyDescent="0.25">
      <c r="A352" s="1" t="s">
        <v>393</v>
      </c>
      <c r="B352" s="1" t="s">
        <v>396</v>
      </c>
      <c r="C352" s="1" t="str">
        <f>_xlfn.XLOOKUP(Clients_Churn[[#This Row],[Province_Client]],Logs_Reseau!B:B,Logs_Reseau!E:E,"Pas de correspondance")</f>
        <v>ANT-0855</v>
      </c>
      <c r="D352" s="1" t="s">
        <v>16</v>
      </c>
      <c r="E352">
        <v>117</v>
      </c>
      <c r="F352" s="1" t="s">
        <v>22</v>
      </c>
      <c r="G352">
        <v>338</v>
      </c>
      <c r="H352">
        <v>29.18</v>
      </c>
      <c r="I352">
        <v>5</v>
      </c>
    </row>
    <row r="353" spans="1:9" x14ac:dyDescent="0.25">
      <c r="A353" s="1" t="s">
        <v>393</v>
      </c>
      <c r="B353" s="1" t="s">
        <v>397</v>
      </c>
      <c r="C353" s="1" t="str">
        <f>_xlfn.XLOOKUP(Clients_Churn[[#This Row],[Province_Client]],Logs_Reseau!B:B,Logs_Reseau!E:E,"Pas de correspondance")</f>
        <v>ANT-0332</v>
      </c>
      <c r="D353" s="1" t="s">
        <v>1674</v>
      </c>
      <c r="E353">
        <v>43</v>
      </c>
      <c r="F353" s="1" t="s">
        <v>11</v>
      </c>
      <c r="G353">
        <v>486</v>
      </c>
      <c r="H353">
        <v>76.42</v>
      </c>
      <c r="I353">
        <v>1</v>
      </c>
    </row>
    <row r="354" spans="1:9" x14ac:dyDescent="0.25">
      <c r="A354" s="1" t="s">
        <v>393</v>
      </c>
      <c r="B354" s="1" t="s">
        <v>398</v>
      </c>
      <c r="C354" s="1" t="str">
        <f>_xlfn.XLOOKUP(Clients_Churn[[#This Row],[Province_Client]],Logs_Reseau!B:B,Logs_Reseau!E:E,"Pas de correspondance")</f>
        <v>ANT-0553</v>
      </c>
      <c r="D354" s="1" t="s">
        <v>131</v>
      </c>
      <c r="E354">
        <v>100</v>
      </c>
      <c r="F354" s="1" t="s">
        <v>19</v>
      </c>
      <c r="G354">
        <v>471</v>
      </c>
      <c r="H354">
        <v>61.2</v>
      </c>
      <c r="I354">
        <v>3</v>
      </c>
    </row>
    <row r="355" spans="1:9" x14ac:dyDescent="0.25">
      <c r="A355" s="1" t="s">
        <v>393</v>
      </c>
      <c r="B355" s="1" t="s">
        <v>399</v>
      </c>
      <c r="C355" s="1" t="str">
        <f>_xlfn.XLOOKUP(Clients_Churn[[#This Row],[Province_Client]],Logs_Reseau!B:B,Logs_Reseau!E:E,"Pas de correspondance")</f>
        <v>ANT-0797</v>
      </c>
      <c r="D355" s="1" t="s">
        <v>127</v>
      </c>
      <c r="E355">
        <v>35</v>
      </c>
      <c r="F355" s="1" t="s">
        <v>22</v>
      </c>
      <c r="G355">
        <v>421</v>
      </c>
      <c r="H355">
        <v>29.57</v>
      </c>
      <c r="I355">
        <v>5</v>
      </c>
    </row>
    <row r="356" spans="1:9" x14ac:dyDescent="0.25">
      <c r="A356" s="1" t="s">
        <v>393</v>
      </c>
      <c r="B356" s="1" t="s">
        <v>400</v>
      </c>
      <c r="C356" s="1" t="str">
        <f>_xlfn.XLOOKUP(Clients_Churn[[#This Row],[Province_Client]],Logs_Reseau!B:B,Logs_Reseau!E:E,"Pas de correspondance")</f>
        <v>ANT-0134</v>
      </c>
      <c r="D356" s="1" t="s">
        <v>40</v>
      </c>
      <c r="E356">
        <v>19</v>
      </c>
      <c r="F356" s="1" t="s">
        <v>22</v>
      </c>
      <c r="G356">
        <v>450</v>
      </c>
      <c r="H356">
        <v>37.43</v>
      </c>
      <c r="I356">
        <v>2</v>
      </c>
    </row>
    <row r="357" spans="1:9" x14ac:dyDescent="0.25">
      <c r="A357" s="1" t="s">
        <v>393</v>
      </c>
      <c r="B357" s="1" t="s">
        <v>401</v>
      </c>
      <c r="C357" s="1" t="str">
        <f>_xlfn.XLOOKUP(Clients_Churn[[#This Row],[Province_Client]],Logs_Reseau!B:B,Logs_Reseau!E:E,"Pas de correspondance")</f>
        <v>ANT-0520</v>
      </c>
      <c r="D357" s="1" t="s">
        <v>67</v>
      </c>
      <c r="E357">
        <v>112</v>
      </c>
      <c r="F357" s="1" t="s">
        <v>22</v>
      </c>
      <c r="G357">
        <v>483</v>
      </c>
      <c r="H357">
        <v>93.98</v>
      </c>
      <c r="I357">
        <v>0</v>
      </c>
    </row>
    <row r="358" spans="1:9" x14ac:dyDescent="0.25">
      <c r="A358" s="1" t="s">
        <v>393</v>
      </c>
      <c r="B358" s="1" t="s">
        <v>402</v>
      </c>
      <c r="C358" s="1" t="str">
        <f>_xlfn.XLOOKUP(Clients_Churn[[#This Row],[Province_Client]],Logs_Reseau!B:B,Logs_Reseau!E:E,"Pas de correspondance")</f>
        <v>ANT-0271</v>
      </c>
      <c r="D358" s="1" t="s">
        <v>13</v>
      </c>
      <c r="E358">
        <v>103</v>
      </c>
      <c r="F358" s="1" t="s">
        <v>14</v>
      </c>
      <c r="G358">
        <v>270</v>
      </c>
      <c r="H358">
        <v>67.87</v>
      </c>
      <c r="I358">
        <v>3</v>
      </c>
    </row>
    <row r="359" spans="1:9" x14ac:dyDescent="0.25">
      <c r="A359" s="1" t="s">
        <v>393</v>
      </c>
      <c r="B359" s="1" t="s">
        <v>403</v>
      </c>
      <c r="C359" s="1" t="str">
        <f>_xlfn.XLOOKUP(Clients_Churn[[#This Row],[Province_Client]],Logs_Reseau!B:B,Logs_Reseau!E:E,"Pas de correspondance")</f>
        <v>ANT-0037</v>
      </c>
      <c r="D359" s="1" t="s">
        <v>10</v>
      </c>
      <c r="E359">
        <v>29</v>
      </c>
      <c r="F359" s="1" t="s">
        <v>11</v>
      </c>
      <c r="G359">
        <v>350</v>
      </c>
      <c r="H359">
        <v>84.32</v>
      </c>
      <c r="I359">
        <v>3</v>
      </c>
    </row>
    <row r="360" spans="1:9" x14ac:dyDescent="0.25">
      <c r="A360" s="1" t="s">
        <v>393</v>
      </c>
      <c r="B360" s="1" t="s">
        <v>404</v>
      </c>
      <c r="C360" s="1" t="str">
        <f>_xlfn.XLOOKUP(Clients_Churn[[#This Row],[Province_Client]],Logs_Reseau!B:B,Logs_Reseau!E:E,"Pas de correspondance")</f>
        <v>ANT-0465</v>
      </c>
      <c r="D360" s="1" t="s">
        <v>37</v>
      </c>
      <c r="E360">
        <v>36</v>
      </c>
      <c r="F360" s="1" t="s">
        <v>19</v>
      </c>
      <c r="G360">
        <v>311</v>
      </c>
      <c r="H360">
        <v>13.19</v>
      </c>
      <c r="I360">
        <v>4</v>
      </c>
    </row>
    <row r="361" spans="1:9" x14ac:dyDescent="0.25">
      <c r="A361" s="1" t="s">
        <v>393</v>
      </c>
      <c r="B361" s="1" t="s">
        <v>405</v>
      </c>
      <c r="C361" s="1" t="str">
        <f>_xlfn.XLOOKUP(Clients_Churn[[#This Row],[Province_Client]],Logs_Reseau!B:B,Logs_Reseau!E:E,"Pas de correspondance")</f>
        <v>ANT-0011</v>
      </c>
      <c r="D361" s="1" t="s">
        <v>44</v>
      </c>
      <c r="E361">
        <v>2</v>
      </c>
      <c r="F361" s="1" t="s">
        <v>11</v>
      </c>
      <c r="G361">
        <v>21</v>
      </c>
      <c r="H361">
        <v>51.68</v>
      </c>
      <c r="I361">
        <v>3</v>
      </c>
    </row>
    <row r="362" spans="1:9" x14ac:dyDescent="0.25">
      <c r="A362" s="1" t="s">
        <v>393</v>
      </c>
      <c r="B362" s="1" t="s">
        <v>406</v>
      </c>
      <c r="C362" s="1" t="str">
        <f>_xlfn.XLOOKUP(Clients_Churn[[#This Row],[Province_Client]],Logs_Reseau!B:B,Logs_Reseau!E:E,"Pas de correspondance")</f>
        <v>ANT-0315</v>
      </c>
      <c r="D362" s="1" t="s">
        <v>60</v>
      </c>
      <c r="E362">
        <v>13</v>
      </c>
      <c r="F362" s="1" t="s">
        <v>22</v>
      </c>
      <c r="G362">
        <v>310</v>
      </c>
      <c r="H362">
        <v>65.599999999999994</v>
      </c>
      <c r="I362">
        <v>5</v>
      </c>
    </row>
    <row r="363" spans="1:9" x14ac:dyDescent="0.25">
      <c r="A363" s="1" t="s">
        <v>393</v>
      </c>
      <c r="B363" s="1" t="s">
        <v>407</v>
      </c>
      <c r="C363" s="1" t="str">
        <f>_xlfn.XLOOKUP(Clients_Churn[[#This Row],[Province_Client]],Logs_Reseau!B:B,Logs_Reseau!E:E,"Pas de correspondance")</f>
        <v>ANT-0270</v>
      </c>
      <c r="D363" s="1" t="s">
        <v>1675</v>
      </c>
      <c r="E363">
        <v>49</v>
      </c>
      <c r="F363" s="1" t="s">
        <v>14</v>
      </c>
      <c r="G363">
        <v>229</v>
      </c>
      <c r="H363">
        <v>53.94</v>
      </c>
      <c r="I363">
        <v>5</v>
      </c>
    </row>
    <row r="364" spans="1:9" x14ac:dyDescent="0.25">
      <c r="A364" s="1" t="s">
        <v>393</v>
      </c>
      <c r="B364" s="1" t="s">
        <v>408</v>
      </c>
      <c r="C364" s="1" t="str">
        <f>_xlfn.XLOOKUP(Clients_Churn[[#This Row],[Province_Client]],Logs_Reseau!B:B,Logs_Reseau!E:E,"Pas de correspondance")</f>
        <v>ANT-0134</v>
      </c>
      <c r="D364" s="1" t="s">
        <v>40</v>
      </c>
      <c r="E364">
        <v>29</v>
      </c>
      <c r="F364" s="1" t="s">
        <v>14</v>
      </c>
      <c r="G364">
        <v>493</v>
      </c>
      <c r="H364">
        <v>42.02</v>
      </c>
      <c r="I364">
        <v>1</v>
      </c>
    </row>
    <row r="365" spans="1:9" x14ac:dyDescent="0.25">
      <c r="A365" s="1" t="s">
        <v>393</v>
      </c>
      <c r="B365" s="1" t="s">
        <v>409</v>
      </c>
      <c r="C365" s="1" t="str">
        <f>_xlfn.XLOOKUP(Clients_Churn[[#This Row],[Province_Client]],Logs_Reseau!B:B,Logs_Reseau!E:E,"Pas de correspondance")</f>
        <v>ANT-0855</v>
      </c>
      <c r="D365" s="1" t="s">
        <v>16</v>
      </c>
      <c r="E365">
        <v>49</v>
      </c>
      <c r="F365" s="1" t="s">
        <v>22</v>
      </c>
      <c r="G365">
        <v>86</v>
      </c>
      <c r="H365">
        <v>65.400000000000006</v>
      </c>
      <c r="I365">
        <v>2</v>
      </c>
    </row>
    <row r="366" spans="1:9" x14ac:dyDescent="0.25">
      <c r="A366" s="1" t="s">
        <v>393</v>
      </c>
      <c r="B366" s="1" t="s">
        <v>410</v>
      </c>
      <c r="C366" s="1" t="str">
        <f>_xlfn.XLOOKUP(Clients_Churn[[#This Row],[Province_Client]],Logs_Reseau!B:B,Logs_Reseau!E:E,"Pas de correspondance")</f>
        <v>ANT-0371</v>
      </c>
      <c r="D366" s="1" t="s">
        <v>18</v>
      </c>
      <c r="E366">
        <v>14</v>
      </c>
      <c r="F366" s="1" t="s">
        <v>14</v>
      </c>
      <c r="G366">
        <v>345</v>
      </c>
      <c r="H366">
        <v>39.57</v>
      </c>
      <c r="I366">
        <v>3</v>
      </c>
    </row>
    <row r="367" spans="1:9" x14ac:dyDescent="0.25">
      <c r="A367" s="1" t="s">
        <v>393</v>
      </c>
      <c r="B367" s="1" t="s">
        <v>411</v>
      </c>
      <c r="C367" s="1" t="str">
        <f>_xlfn.XLOOKUP(Clients_Churn[[#This Row],[Province_Client]],Logs_Reseau!B:B,Logs_Reseau!E:E,"Pas de correspondance")</f>
        <v>ANT-0520</v>
      </c>
      <c r="D367" s="1" t="s">
        <v>67</v>
      </c>
      <c r="E367">
        <v>101</v>
      </c>
      <c r="F367" s="1" t="s">
        <v>11</v>
      </c>
      <c r="G367">
        <v>476</v>
      </c>
      <c r="H367">
        <v>41.85</v>
      </c>
      <c r="I367">
        <v>4</v>
      </c>
    </row>
    <row r="368" spans="1:9" x14ac:dyDescent="0.25">
      <c r="A368" s="1" t="s">
        <v>393</v>
      </c>
      <c r="B368" s="1" t="s">
        <v>412</v>
      </c>
      <c r="C368" s="1" t="str">
        <f>_xlfn.XLOOKUP(Clients_Churn[[#This Row],[Province_Client]],Logs_Reseau!B:B,Logs_Reseau!E:E,"Pas de correspondance")</f>
        <v>ANT-0855</v>
      </c>
      <c r="D368" s="1" t="s">
        <v>16</v>
      </c>
      <c r="E368">
        <v>119</v>
      </c>
      <c r="F368" s="1" t="s">
        <v>14</v>
      </c>
      <c r="G368">
        <v>451</v>
      </c>
      <c r="H368">
        <v>10.46</v>
      </c>
      <c r="I368">
        <v>5</v>
      </c>
    </row>
    <row r="369" spans="1:9" x14ac:dyDescent="0.25">
      <c r="A369" s="1" t="s">
        <v>393</v>
      </c>
      <c r="B369" s="1" t="s">
        <v>413</v>
      </c>
      <c r="C369" s="1" t="str">
        <f>_xlfn.XLOOKUP(Clients_Churn[[#This Row],[Province_Client]],Logs_Reseau!B:B,Logs_Reseau!E:E,"Pas de correspondance")</f>
        <v>ANT-0465</v>
      </c>
      <c r="D369" s="1" t="s">
        <v>37</v>
      </c>
      <c r="E369">
        <v>16</v>
      </c>
      <c r="F369" s="1" t="s">
        <v>11</v>
      </c>
      <c r="G369">
        <v>391</v>
      </c>
      <c r="H369">
        <v>90.12</v>
      </c>
      <c r="I369">
        <v>5</v>
      </c>
    </row>
    <row r="370" spans="1:9" x14ac:dyDescent="0.25">
      <c r="A370" s="1" t="s">
        <v>393</v>
      </c>
      <c r="B370" s="1" t="s">
        <v>414</v>
      </c>
      <c r="C370" s="1" t="str">
        <f>_xlfn.XLOOKUP(Clients_Churn[[#This Row],[Province_Client]],Logs_Reseau!B:B,Logs_Reseau!E:E,"Pas de correspondance")</f>
        <v>ANT-0855</v>
      </c>
      <c r="D370" s="1" t="s">
        <v>16</v>
      </c>
      <c r="E370">
        <v>23</v>
      </c>
      <c r="F370" s="1" t="s">
        <v>11</v>
      </c>
      <c r="G370">
        <v>268</v>
      </c>
      <c r="H370">
        <v>26.75</v>
      </c>
      <c r="I370">
        <v>3</v>
      </c>
    </row>
    <row r="371" spans="1:9" x14ac:dyDescent="0.25">
      <c r="A371" s="1" t="s">
        <v>393</v>
      </c>
      <c r="B371" s="1" t="s">
        <v>415</v>
      </c>
      <c r="C371" s="1" t="str">
        <f>_xlfn.XLOOKUP(Clients_Churn[[#This Row],[Province_Client]],Logs_Reseau!B:B,Logs_Reseau!E:E,"Pas de correspondance")</f>
        <v>ANT-0270</v>
      </c>
      <c r="D371" s="1" t="s">
        <v>1675</v>
      </c>
      <c r="E371">
        <v>68</v>
      </c>
      <c r="F371" s="1" t="s">
        <v>14</v>
      </c>
      <c r="G371">
        <v>462</v>
      </c>
      <c r="H371">
        <v>41.91</v>
      </c>
      <c r="I371">
        <v>1</v>
      </c>
    </row>
    <row r="372" spans="1:9" x14ac:dyDescent="0.25">
      <c r="A372" s="1" t="s">
        <v>393</v>
      </c>
      <c r="B372" s="1" t="s">
        <v>416</v>
      </c>
      <c r="C372" s="1" t="str">
        <f>_xlfn.XLOOKUP(Clients_Churn[[#This Row],[Province_Client]],Logs_Reseau!B:B,Logs_Reseau!E:E,"Pas de correspondance")</f>
        <v>ANT-0465</v>
      </c>
      <c r="D372" s="1" t="s">
        <v>37</v>
      </c>
      <c r="E372">
        <v>94</v>
      </c>
      <c r="F372" s="1" t="s">
        <v>22</v>
      </c>
      <c r="G372">
        <v>115</v>
      </c>
      <c r="H372">
        <v>19.12</v>
      </c>
      <c r="I372">
        <v>0</v>
      </c>
    </row>
    <row r="373" spans="1:9" x14ac:dyDescent="0.25">
      <c r="A373" s="1" t="s">
        <v>393</v>
      </c>
      <c r="B373" s="1" t="s">
        <v>417</v>
      </c>
      <c r="C373" s="1" t="str">
        <f>_xlfn.XLOOKUP(Clients_Churn[[#This Row],[Province_Client]],Logs_Reseau!B:B,Logs_Reseau!E:E,"Pas de correspondance")</f>
        <v>ANT-0852</v>
      </c>
      <c r="D373" s="1" t="s">
        <v>21</v>
      </c>
      <c r="E373">
        <v>113</v>
      </c>
      <c r="F373" s="1" t="s">
        <v>11</v>
      </c>
      <c r="G373">
        <v>89</v>
      </c>
      <c r="H373">
        <v>54.28</v>
      </c>
      <c r="I373">
        <v>0</v>
      </c>
    </row>
    <row r="374" spans="1:9" x14ac:dyDescent="0.25">
      <c r="A374" s="1" t="s">
        <v>393</v>
      </c>
      <c r="B374" s="1" t="s">
        <v>418</v>
      </c>
      <c r="C374" s="1" t="str">
        <f>_xlfn.XLOOKUP(Clients_Churn[[#This Row],[Province_Client]],Logs_Reseau!B:B,Logs_Reseau!E:E,"Pas de correspondance")</f>
        <v>ANT-0935</v>
      </c>
      <c r="D374" s="1" t="s">
        <v>89</v>
      </c>
      <c r="E374">
        <v>40</v>
      </c>
      <c r="F374" s="1" t="s">
        <v>19</v>
      </c>
      <c r="G374">
        <v>38</v>
      </c>
      <c r="H374">
        <v>17.63</v>
      </c>
      <c r="I374">
        <v>0</v>
      </c>
    </row>
    <row r="375" spans="1:9" x14ac:dyDescent="0.25">
      <c r="A375" s="1" t="s">
        <v>393</v>
      </c>
      <c r="B375" s="1" t="s">
        <v>419</v>
      </c>
      <c r="C375" s="1" t="str">
        <f>_xlfn.XLOOKUP(Clients_Churn[[#This Row],[Province_Client]],Logs_Reseau!B:B,Logs_Reseau!E:E,"Pas de correspondance")</f>
        <v>ANT-0271</v>
      </c>
      <c r="D375" s="1" t="s">
        <v>13</v>
      </c>
      <c r="E375">
        <v>76</v>
      </c>
      <c r="F375" s="1" t="s">
        <v>11</v>
      </c>
      <c r="G375">
        <v>187</v>
      </c>
      <c r="H375">
        <v>56.29</v>
      </c>
      <c r="I375">
        <v>1</v>
      </c>
    </row>
    <row r="376" spans="1:9" x14ac:dyDescent="0.25">
      <c r="A376" s="1" t="s">
        <v>393</v>
      </c>
      <c r="B376" s="1" t="s">
        <v>420</v>
      </c>
      <c r="C376" s="1" t="str">
        <f>_xlfn.XLOOKUP(Clients_Churn[[#This Row],[Province_Client]],Logs_Reseau!B:B,Logs_Reseau!E:E,"Pas de correspondance")</f>
        <v>ANT-0855</v>
      </c>
      <c r="D376" s="1" t="s">
        <v>16</v>
      </c>
      <c r="E376">
        <v>106</v>
      </c>
      <c r="F376" s="1" t="s">
        <v>14</v>
      </c>
      <c r="G376">
        <v>429</v>
      </c>
      <c r="H376">
        <v>23.83</v>
      </c>
      <c r="I376">
        <v>1</v>
      </c>
    </row>
    <row r="377" spans="1:9" x14ac:dyDescent="0.25">
      <c r="A377" s="1" t="s">
        <v>393</v>
      </c>
      <c r="B377" s="1" t="s">
        <v>421</v>
      </c>
      <c r="C377" s="1" t="str">
        <f>_xlfn.XLOOKUP(Clients_Churn[[#This Row],[Province_Client]],Logs_Reseau!B:B,Logs_Reseau!E:E,"Pas de correspondance")</f>
        <v>ANT-0945</v>
      </c>
      <c r="D377" s="1" t="s">
        <v>73</v>
      </c>
      <c r="E377">
        <v>104</v>
      </c>
      <c r="F377" s="1" t="s">
        <v>11</v>
      </c>
      <c r="G377">
        <v>68</v>
      </c>
      <c r="H377">
        <v>21.15</v>
      </c>
      <c r="I377">
        <v>2</v>
      </c>
    </row>
    <row r="378" spans="1:9" x14ac:dyDescent="0.25">
      <c r="A378" s="1" t="s">
        <v>393</v>
      </c>
      <c r="B378" s="1" t="s">
        <v>422</v>
      </c>
      <c r="C378" s="1" t="str">
        <f>_xlfn.XLOOKUP(Clients_Churn[[#This Row],[Province_Client]],Logs_Reseau!B:B,Logs_Reseau!E:E,"Pas de correspondance")</f>
        <v>ANT-0166</v>
      </c>
      <c r="D378" s="1" t="s">
        <v>31</v>
      </c>
      <c r="E378">
        <v>63</v>
      </c>
      <c r="F378" s="1" t="s">
        <v>19</v>
      </c>
      <c r="G378">
        <v>263</v>
      </c>
      <c r="H378">
        <v>53.87</v>
      </c>
      <c r="I378">
        <v>4</v>
      </c>
    </row>
    <row r="379" spans="1:9" x14ac:dyDescent="0.25">
      <c r="A379" s="1" t="s">
        <v>393</v>
      </c>
      <c r="B379" s="1" t="s">
        <v>423</v>
      </c>
      <c r="C379" s="1" t="str">
        <f>_xlfn.XLOOKUP(Clients_Churn[[#This Row],[Province_Client]],Logs_Reseau!B:B,Logs_Reseau!E:E,"Pas de correspondance")</f>
        <v>ANT-0332</v>
      </c>
      <c r="D379" s="1" t="s">
        <v>1674</v>
      </c>
      <c r="E379">
        <v>13</v>
      </c>
      <c r="F379" s="1" t="s">
        <v>19</v>
      </c>
      <c r="G379">
        <v>180</v>
      </c>
      <c r="H379">
        <v>24.01</v>
      </c>
      <c r="I379">
        <v>0</v>
      </c>
    </row>
    <row r="380" spans="1:9" x14ac:dyDescent="0.25">
      <c r="A380" s="1" t="s">
        <v>393</v>
      </c>
      <c r="B380" s="1" t="s">
        <v>424</v>
      </c>
      <c r="C380" s="1" t="str">
        <f>_xlfn.XLOOKUP(Clients_Churn[[#This Row],[Province_Client]],Logs_Reseau!B:B,Logs_Reseau!E:E,"Pas de correspondance")</f>
        <v>ANT-0037</v>
      </c>
      <c r="D380" s="1" t="s">
        <v>10</v>
      </c>
      <c r="E380">
        <v>68</v>
      </c>
      <c r="F380" s="1" t="s">
        <v>19</v>
      </c>
      <c r="G380">
        <v>487</v>
      </c>
      <c r="H380">
        <v>69.099999999999994</v>
      </c>
      <c r="I380">
        <v>5</v>
      </c>
    </row>
    <row r="381" spans="1:9" x14ac:dyDescent="0.25">
      <c r="A381" s="1" t="s">
        <v>393</v>
      </c>
      <c r="B381" s="1" t="s">
        <v>425</v>
      </c>
      <c r="C381" s="1" t="str">
        <f>_xlfn.XLOOKUP(Clients_Churn[[#This Row],[Province_Client]],Logs_Reseau!B:B,Logs_Reseau!E:E,"Pas de correspondance")</f>
        <v>ANT-0011</v>
      </c>
      <c r="D381" s="1" t="s">
        <v>44</v>
      </c>
      <c r="E381">
        <v>45</v>
      </c>
      <c r="F381" s="1" t="s">
        <v>22</v>
      </c>
      <c r="G381">
        <v>26</v>
      </c>
      <c r="H381">
        <v>30.35</v>
      </c>
      <c r="I381">
        <v>1</v>
      </c>
    </row>
    <row r="382" spans="1:9" x14ac:dyDescent="0.25">
      <c r="A382" s="1" t="s">
        <v>393</v>
      </c>
      <c r="B382" s="1" t="s">
        <v>426</v>
      </c>
      <c r="C382" s="1" t="str">
        <f>_xlfn.XLOOKUP(Clients_Churn[[#This Row],[Province_Client]],Logs_Reseau!B:B,Logs_Reseau!E:E,"Pas de correspondance")</f>
        <v>ANT-0250</v>
      </c>
      <c r="D382" s="1" t="s">
        <v>78</v>
      </c>
      <c r="E382">
        <v>90</v>
      </c>
      <c r="F382" s="1" t="s">
        <v>19</v>
      </c>
      <c r="G382">
        <v>216</v>
      </c>
      <c r="H382">
        <v>45.58</v>
      </c>
      <c r="I382">
        <v>0</v>
      </c>
    </row>
    <row r="383" spans="1:9" x14ac:dyDescent="0.25">
      <c r="A383" s="1" t="s">
        <v>393</v>
      </c>
      <c r="B383" s="1" t="s">
        <v>427</v>
      </c>
      <c r="C383" s="1" t="str">
        <f>_xlfn.XLOOKUP(Clients_Churn[[#This Row],[Province_Client]],Logs_Reseau!B:B,Logs_Reseau!E:E,"Pas de correspondance")</f>
        <v>ANT-0624</v>
      </c>
      <c r="D383" s="1" t="s">
        <v>24</v>
      </c>
      <c r="E383">
        <v>74</v>
      </c>
      <c r="F383" s="1" t="s">
        <v>22</v>
      </c>
      <c r="G383">
        <v>253</v>
      </c>
      <c r="H383">
        <v>36.94</v>
      </c>
      <c r="I383">
        <v>5</v>
      </c>
    </row>
    <row r="384" spans="1:9" x14ac:dyDescent="0.25">
      <c r="A384" s="1" t="s">
        <v>393</v>
      </c>
      <c r="B384" s="1" t="s">
        <v>428</v>
      </c>
      <c r="C384" s="1" t="str">
        <f>_xlfn.XLOOKUP(Clients_Churn[[#This Row],[Province_Client]],Logs_Reseau!B:B,Logs_Reseau!E:E,"Pas de correspondance")</f>
        <v>ANT-0037</v>
      </c>
      <c r="D384" s="1" t="s">
        <v>10</v>
      </c>
      <c r="E384">
        <v>111</v>
      </c>
      <c r="F384" s="1" t="s">
        <v>19</v>
      </c>
      <c r="G384">
        <v>194</v>
      </c>
      <c r="H384">
        <v>48.55</v>
      </c>
      <c r="I384">
        <v>2</v>
      </c>
    </row>
    <row r="385" spans="1:9" x14ac:dyDescent="0.25">
      <c r="A385" s="1" t="s">
        <v>393</v>
      </c>
      <c r="B385" s="1" t="s">
        <v>429</v>
      </c>
      <c r="C385" s="1" t="str">
        <f>_xlfn.XLOOKUP(Clients_Churn[[#This Row],[Province_Client]],Logs_Reseau!B:B,Logs_Reseau!E:E,"Pas de correspondance")</f>
        <v>ANT-0553</v>
      </c>
      <c r="D385" s="1" t="s">
        <v>131</v>
      </c>
      <c r="E385">
        <v>37</v>
      </c>
      <c r="F385" s="1" t="s">
        <v>19</v>
      </c>
      <c r="G385">
        <v>87</v>
      </c>
      <c r="H385">
        <v>26.4</v>
      </c>
      <c r="I385">
        <v>3</v>
      </c>
    </row>
    <row r="386" spans="1:9" x14ac:dyDescent="0.25">
      <c r="A386" s="1" t="s">
        <v>393</v>
      </c>
      <c r="B386" s="1" t="s">
        <v>430</v>
      </c>
      <c r="C386" s="1" t="str">
        <f>_xlfn.XLOOKUP(Clients_Churn[[#This Row],[Province_Client]],Logs_Reseau!B:B,Logs_Reseau!E:E,"Pas de correspondance")</f>
        <v>ANT-0913</v>
      </c>
      <c r="D386" s="1" t="s">
        <v>64</v>
      </c>
      <c r="E386">
        <v>71</v>
      </c>
      <c r="F386" s="1" t="s">
        <v>11</v>
      </c>
      <c r="G386">
        <v>191</v>
      </c>
      <c r="H386">
        <v>83.04</v>
      </c>
      <c r="I386">
        <v>4</v>
      </c>
    </row>
    <row r="387" spans="1:9" x14ac:dyDescent="0.25">
      <c r="A387" s="1" t="s">
        <v>393</v>
      </c>
      <c r="B387" s="1" t="s">
        <v>431</v>
      </c>
      <c r="C387" s="1" t="str">
        <f>_xlfn.XLOOKUP(Clients_Churn[[#This Row],[Province_Client]],Logs_Reseau!B:B,Logs_Reseau!E:E,"Pas de correspondance")</f>
        <v>ANT-0166</v>
      </c>
      <c r="D387" s="1" t="s">
        <v>31</v>
      </c>
      <c r="E387">
        <v>35</v>
      </c>
      <c r="F387" s="1" t="s">
        <v>14</v>
      </c>
      <c r="G387">
        <v>496</v>
      </c>
      <c r="H387">
        <v>19.78</v>
      </c>
      <c r="I387">
        <v>5</v>
      </c>
    </row>
    <row r="388" spans="1:9" x14ac:dyDescent="0.25">
      <c r="A388" s="1" t="s">
        <v>393</v>
      </c>
      <c r="B388" s="1" t="s">
        <v>432</v>
      </c>
      <c r="C388" s="1" t="str">
        <f>_xlfn.XLOOKUP(Clients_Churn[[#This Row],[Province_Client]],Logs_Reseau!B:B,Logs_Reseau!E:E,"Pas de correspondance")</f>
        <v>ANT-0731</v>
      </c>
      <c r="D388" s="1" t="s">
        <v>1676</v>
      </c>
      <c r="E388">
        <v>78</v>
      </c>
      <c r="F388" s="1" t="s">
        <v>19</v>
      </c>
      <c r="G388">
        <v>57</v>
      </c>
      <c r="H388">
        <v>49.47</v>
      </c>
      <c r="I388">
        <v>0</v>
      </c>
    </row>
    <row r="389" spans="1:9" x14ac:dyDescent="0.25">
      <c r="A389" s="1" t="s">
        <v>393</v>
      </c>
      <c r="B389" s="1" t="s">
        <v>433</v>
      </c>
      <c r="C389" s="1" t="str">
        <f>_xlfn.XLOOKUP(Clients_Churn[[#This Row],[Province_Client]],Logs_Reseau!B:B,Logs_Reseau!E:E,"Pas de correspondance")</f>
        <v>ANT-0134</v>
      </c>
      <c r="D389" s="1" t="s">
        <v>40</v>
      </c>
      <c r="E389">
        <v>13</v>
      </c>
      <c r="F389" s="1" t="s">
        <v>14</v>
      </c>
      <c r="G389">
        <v>173</v>
      </c>
      <c r="H389">
        <v>85.54</v>
      </c>
      <c r="I389">
        <v>3</v>
      </c>
    </row>
    <row r="390" spans="1:9" x14ac:dyDescent="0.25">
      <c r="A390" s="1" t="s">
        <v>393</v>
      </c>
      <c r="B390" s="1" t="s">
        <v>434</v>
      </c>
      <c r="C390" s="1" t="str">
        <f>_xlfn.XLOOKUP(Clients_Churn[[#This Row],[Province_Client]],Logs_Reseau!B:B,Logs_Reseau!E:E,"Pas de correspondance")</f>
        <v>ANT-0520</v>
      </c>
      <c r="D390" s="1" t="s">
        <v>67</v>
      </c>
      <c r="E390">
        <v>115</v>
      </c>
      <c r="F390" s="1" t="s">
        <v>22</v>
      </c>
      <c r="G390">
        <v>467</v>
      </c>
      <c r="H390">
        <v>24.57</v>
      </c>
      <c r="I390">
        <v>3</v>
      </c>
    </row>
    <row r="391" spans="1:9" x14ac:dyDescent="0.25">
      <c r="A391" s="1" t="s">
        <v>393</v>
      </c>
      <c r="B391" s="1" t="s">
        <v>435</v>
      </c>
      <c r="C391" s="1" t="str">
        <f>_xlfn.XLOOKUP(Clients_Churn[[#This Row],[Province_Client]],Logs_Reseau!B:B,Logs_Reseau!E:E,"Pas de correspondance")</f>
        <v>ANT-0850</v>
      </c>
      <c r="D391" s="1" t="s">
        <v>51</v>
      </c>
      <c r="E391">
        <v>7</v>
      </c>
      <c r="F391" s="1" t="s">
        <v>14</v>
      </c>
      <c r="G391">
        <v>347</v>
      </c>
      <c r="H391">
        <v>41.84</v>
      </c>
      <c r="I391">
        <v>2</v>
      </c>
    </row>
    <row r="392" spans="1:9" x14ac:dyDescent="0.25">
      <c r="A392" s="1" t="s">
        <v>393</v>
      </c>
      <c r="B392" s="1" t="s">
        <v>436</v>
      </c>
      <c r="C392" s="1" t="str">
        <f>_xlfn.XLOOKUP(Clients_Churn[[#This Row],[Province_Client]],Logs_Reseau!B:B,Logs_Reseau!E:E,"Pas de correspondance")</f>
        <v>ANT-0315</v>
      </c>
      <c r="D392" s="1" t="s">
        <v>60</v>
      </c>
      <c r="E392">
        <v>22</v>
      </c>
      <c r="F392" s="1" t="s">
        <v>14</v>
      </c>
      <c r="G392">
        <v>127</v>
      </c>
      <c r="H392">
        <v>49.06</v>
      </c>
      <c r="I392">
        <v>2</v>
      </c>
    </row>
    <row r="393" spans="1:9" x14ac:dyDescent="0.25">
      <c r="A393" s="1" t="s">
        <v>393</v>
      </c>
      <c r="B393" s="1" t="s">
        <v>437</v>
      </c>
      <c r="C393" s="1" t="str">
        <f>_xlfn.XLOOKUP(Clients_Churn[[#This Row],[Province_Client]],Logs_Reseau!B:B,Logs_Reseau!E:E,"Pas de correspondance")</f>
        <v>ANT-0850</v>
      </c>
      <c r="D393" s="1" t="s">
        <v>51</v>
      </c>
      <c r="E393">
        <v>41</v>
      </c>
      <c r="F393" s="1" t="s">
        <v>19</v>
      </c>
      <c r="G393">
        <v>425</v>
      </c>
      <c r="H393">
        <v>42.33</v>
      </c>
      <c r="I393">
        <v>3</v>
      </c>
    </row>
    <row r="394" spans="1:9" x14ac:dyDescent="0.25">
      <c r="A394" s="1" t="s">
        <v>393</v>
      </c>
      <c r="B394" s="1" t="s">
        <v>438</v>
      </c>
      <c r="C394" s="1" t="str">
        <f>_xlfn.XLOOKUP(Clients_Churn[[#This Row],[Province_Client]],Logs_Reseau!B:B,Logs_Reseau!E:E,"Pas de correspondance")</f>
        <v>ANT-0271</v>
      </c>
      <c r="D394" s="1" t="s">
        <v>13</v>
      </c>
      <c r="E394">
        <v>97</v>
      </c>
      <c r="F394" s="1" t="s">
        <v>14</v>
      </c>
      <c r="G394">
        <v>276</v>
      </c>
      <c r="H394">
        <v>88.35</v>
      </c>
      <c r="I394">
        <v>0</v>
      </c>
    </row>
    <row r="395" spans="1:9" x14ac:dyDescent="0.25">
      <c r="A395" s="1" t="s">
        <v>393</v>
      </c>
      <c r="B395" s="1" t="s">
        <v>439</v>
      </c>
      <c r="C395" s="1" t="str">
        <f>_xlfn.XLOOKUP(Clients_Churn[[#This Row],[Province_Client]],Logs_Reseau!B:B,Logs_Reseau!E:E,"Pas de correspondance")</f>
        <v>ANT-0315</v>
      </c>
      <c r="D395" s="1" t="s">
        <v>60</v>
      </c>
      <c r="E395">
        <v>50</v>
      </c>
      <c r="F395" s="1" t="s">
        <v>19</v>
      </c>
      <c r="G395">
        <v>435</v>
      </c>
      <c r="H395">
        <v>27.86</v>
      </c>
      <c r="I395">
        <v>3</v>
      </c>
    </row>
    <row r="396" spans="1:9" x14ac:dyDescent="0.25">
      <c r="A396" s="1" t="s">
        <v>393</v>
      </c>
      <c r="B396" s="1" t="s">
        <v>440</v>
      </c>
      <c r="C396" s="1" t="str">
        <f>_xlfn.XLOOKUP(Clients_Churn[[#This Row],[Province_Client]],Logs_Reseau!B:B,Logs_Reseau!E:E,"Pas de correspondance")</f>
        <v>ANT-0037</v>
      </c>
      <c r="D396" s="1" t="s">
        <v>10</v>
      </c>
      <c r="E396">
        <v>24</v>
      </c>
      <c r="F396" s="1" t="s">
        <v>22</v>
      </c>
      <c r="G396">
        <v>392</v>
      </c>
      <c r="H396">
        <v>27.06</v>
      </c>
      <c r="I396">
        <v>1</v>
      </c>
    </row>
    <row r="397" spans="1:9" x14ac:dyDescent="0.25">
      <c r="A397" s="1" t="s">
        <v>393</v>
      </c>
      <c r="B397" s="1" t="s">
        <v>441</v>
      </c>
      <c r="C397" s="1" t="str">
        <f>_xlfn.XLOOKUP(Clients_Churn[[#This Row],[Province_Client]],Logs_Reseau!B:B,Logs_Reseau!E:E,"Pas de correspondance")</f>
        <v>ANT-0134</v>
      </c>
      <c r="D397" s="1" t="s">
        <v>40</v>
      </c>
      <c r="E397">
        <v>45</v>
      </c>
      <c r="F397" s="1" t="s">
        <v>19</v>
      </c>
      <c r="G397">
        <v>439</v>
      </c>
      <c r="H397">
        <v>13.62</v>
      </c>
      <c r="I397">
        <v>4</v>
      </c>
    </row>
    <row r="398" spans="1:9" x14ac:dyDescent="0.25">
      <c r="A398" s="1" t="s">
        <v>393</v>
      </c>
      <c r="B398" s="1" t="s">
        <v>442</v>
      </c>
      <c r="C398" s="1" t="str">
        <f>_xlfn.XLOOKUP(Clients_Churn[[#This Row],[Province_Client]],Logs_Reseau!B:B,Logs_Reseau!E:E,"Pas de correspondance")</f>
        <v>ANT-0250</v>
      </c>
      <c r="D398" s="1" t="s">
        <v>78</v>
      </c>
      <c r="E398">
        <v>104</v>
      </c>
      <c r="F398" s="1" t="s">
        <v>14</v>
      </c>
      <c r="G398">
        <v>60</v>
      </c>
      <c r="H398">
        <v>45.51</v>
      </c>
      <c r="I398">
        <v>1</v>
      </c>
    </row>
    <row r="399" spans="1:9" x14ac:dyDescent="0.25">
      <c r="A399" s="1" t="s">
        <v>444</v>
      </c>
      <c r="B399" s="1" t="s">
        <v>445</v>
      </c>
      <c r="C399" s="1" t="str">
        <f>_xlfn.XLOOKUP(Clients_Churn[[#This Row],[Province_Client]],Logs_Reseau!B:B,Logs_Reseau!E:E,"Pas de correspondance")</f>
        <v>ANT-0850</v>
      </c>
      <c r="D399" s="1" t="s">
        <v>51</v>
      </c>
      <c r="E399">
        <v>83</v>
      </c>
      <c r="F399" s="1" t="s">
        <v>11</v>
      </c>
      <c r="G399">
        <v>105</v>
      </c>
      <c r="H399">
        <v>20.46</v>
      </c>
      <c r="I399">
        <v>1</v>
      </c>
    </row>
    <row r="400" spans="1:9" x14ac:dyDescent="0.25">
      <c r="A400" s="1" t="s">
        <v>444</v>
      </c>
      <c r="B400" s="1" t="s">
        <v>446</v>
      </c>
      <c r="C400" s="1" t="str">
        <f>_xlfn.XLOOKUP(Clients_Churn[[#This Row],[Province_Client]],Logs_Reseau!B:B,Logs_Reseau!E:E,"Pas de correspondance")</f>
        <v>ANT-0520</v>
      </c>
      <c r="D400" s="1" t="s">
        <v>67</v>
      </c>
      <c r="E400">
        <v>7</v>
      </c>
      <c r="F400" s="1" t="s">
        <v>22</v>
      </c>
      <c r="G400">
        <v>94</v>
      </c>
      <c r="H400">
        <v>68.38</v>
      </c>
      <c r="I400">
        <v>3</v>
      </c>
    </row>
    <row r="401" spans="1:9" x14ac:dyDescent="0.25">
      <c r="A401" s="1" t="s">
        <v>444</v>
      </c>
      <c r="B401" s="1" t="s">
        <v>447</v>
      </c>
      <c r="C401" s="1" t="str">
        <f>_xlfn.XLOOKUP(Clients_Churn[[#This Row],[Province_Client]],Logs_Reseau!B:B,Logs_Reseau!E:E,"Pas de correspondance")</f>
        <v>ANT-0465</v>
      </c>
      <c r="D401" s="1" t="s">
        <v>37</v>
      </c>
      <c r="E401">
        <v>39</v>
      </c>
      <c r="F401" s="1" t="s">
        <v>11</v>
      </c>
      <c r="G401">
        <v>1</v>
      </c>
      <c r="H401">
        <v>66.94</v>
      </c>
      <c r="I401">
        <v>5</v>
      </c>
    </row>
    <row r="402" spans="1:9" x14ac:dyDescent="0.25">
      <c r="A402" s="1" t="s">
        <v>444</v>
      </c>
      <c r="B402" s="1" t="s">
        <v>449</v>
      </c>
      <c r="C402" s="1" t="str">
        <f>_xlfn.XLOOKUP(Clients_Churn[[#This Row],[Province_Client]],Logs_Reseau!B:B,Logs_Reseau!E:E,"Pas de correspondance")</f>
        <v>ANT-0271</v>
      </c>
      <c r="D402" s="1" t="s">
        <v>13</v>
      </c>
      <c r="E402">
        <v>35</v>
      </c>
      <c r="F402" s="1" t="s">
        <v>14</v>
      </c>
      <c r="G402">
        <v>292</v>
      </c>
      <c r="H402">
        <v>39.21</v>
      </c>
      <c r="I402">
        <v>1</v>
      </c>
    </row>
    <row r="403" spans="1:9" x14ac:dyDescent="0.25">
      <c r="A403" s="1" t="s">
        <v>444</v>
      </c>
      <c r="B403" s="1" t="s">
        <v>450</v>
      </c>
      <c r="C403" s="1" t="str">
        <f>_xlfn.XLOOKUP(Clients_Churn[[#This Row],[Province_Client]],Logs_Reseau!B:B,Logs_Reseau!E:E,"Pas de correspondance")</f>
        <v>ANT-0037</v>
      </c>
      <c r="D403" s="1" t="s">
        <v>10</v>
      </c>
      <c r="E403">
        <v>47</v>
      </c>
      <c r="F403" s="1" t="s">
        <v>19</v>
      </c>
      <c r="G403">
        <v>111</v>
      </c>
      <c r="H403">
        <v>95.18</v>
      </c>
      <c r="I403">
        <v>0</v>
      </c>
    </row>
    <row r="404" spans="1:9" x14ac:dyDescent="0.25">
      <c r="A404" s="1" t="s">
        <v>444</v>
      </c>
      <c r="B404" s="1" t="s">
        <v>451</v>
      </c>
      <c r="C404" s="1" t="str">
        <f>_xlfn.XLOOKUP(Clients_Churn[[#This Row],[Province_Client]],Logs_Reseau!B:B,Logs_Reseau!E:E,"Pas de correspondance")</f>
        <v>ANT-0270</v>
      </c>
      <c r="D404" s="1" t="s">
        <v>1675</v>
      </c>
      <c r="E404">
        <v>36</v>
      </c>
      <c r="F404" s="1" t="s">
        <v>19</v>
      </c>
      <c r="G404">
        <v>303</v>
      </c>
      <c r="H404">
        <v>89.56</v>
      </c>
      <c r="I404">
        <v>1</v>
      </c>
    </row>
    <row r="405" spans="1:9" x14ac:dyDescent="0.25">
      <c r="A405" s="1" t="s">
        <v>444</v>
      </c>
      <c r="B405" s="1" t="s">
        <v>452</v>
      </c>
      <c r="C405" s="1" t="str">
        <f>_xlfn.XLOOKUP(Clients_Churn[[#This Row],[Province_Client]],Logs_Reseau!B:B,Logs_Reseau!E:E,"Pas de correspondance")</f>
        <v>ANT-0566</v>
      </c>
      <c r="D405" s="1" t="s">
        <v>26</v>
      </c>
      <c r="E405">
        <v>45</v>
      </c>
      <c r="F405" s="1" t="s">
        <v>22</v>
      </c>
      <c r="G405">
        <v>356</v>
      </c>
      <c r="H405">
        <v>33.76</v>
      </c>
      <c r="I405">
        <v>0</v>
      </c>
    </row>
    <row r="406" spans="1:9" x14ac:dyDescent="0.25">
      <c r="A406" s="1" t="s">
        <v>444</v>
      </c>
      <c r="B406" s="1" t="s">
        <v>453</v>
      </c>
      <c r="C406" s="1" t="str">
        <f>_xlfn.XLOOKUP(Clients_Churn[[#This Row],[Province_Client]],Logs_Reseau!B:B,Logs_Reseau!E:E,"Pas de correspondance")</f>
        <v>ANT-0465</v>
      </c>
      <c r="D406" s="1" t="s">
        <v>37</v>
      </c>
      <c r="E406">
        <v>92</v>
      </c>
      <c r="F406" s="1" t="s">
        <v>19</v>
      </c>
      <c r="G406">
        <v>4</v>
      </c>
      <c r="H406">
        <v>22.03</v>
      </c>
      <c r="I406">
        <v>3</v>
      </c>
    </row>
    <row r="407" spans="1:9" x14ac:dyDescent="0.25">
      <c r="A407" s="1" t="s">
        <v>444</v>
      </c>
      <c r="B407" s="1" t="s">
        <v>454</v>
      </c>
      <c r="C407" s="1" t="str">
        <f>_xlfn.XLOOKUP(Clients_Churn[[#This Row],[Province_Client]],Logs_Reseau!B:B,Logs_Reseau!E:E,"Pas de correspondance")</f>
        <v>ANT-0624</v>
      </c>
      <c r="D407" s="1" t="s">
        <v>24</v>
      </c>
      <c r="E407">
        <v>54</v>
      </c>
      <c r="F407" s="1" t="s">
        <v>19</v>
      </c>
      <c r="G407">
        <v>450</v>
      </c>
      <c r="H407">
        <v>90.85</v>
      </c>
      <c r="I407">
        <v>1</v>
      </c>
    </row>
    <row r="408" spans="1:9" x14ac:dyDescent="0.25">
      <c r="A408" s="1" t="s">
        <v>444</v>
      </c>
      <c r="B408" s="1" t="s">
        <v>455</v>
      </c>
      <c r="C408" s="1" t="str">
        <f>_xlfn.XLOOKUP(Clients_Churn[[#This Row],[Province_Client]],Logs_Reseau!B:B,Logs_Reseau!E:E,"Pas de correspondance")</f>
        <v>ANT-0624</v>
      </c>
      <c r="D408" s="1" t="s">
        <v>24</v>
      </c>
      <c r="E408">
        <v>32</v>
      </c>
      <c r="F408" s="1" t="s">
        <v>22</v>
      </c>
      <c r="G408">
        <v>475</v>
      </c>
      <c r="H408">
        <v>36.54</v>
      </c>
      <c r="I408">
        <v>3</v>
      </c>
    </row>
    <row r="409" spans="1:9" x14ac:dyDescent="0.25">
      <c r="A409" s="1" t="s">
        <v>444</v>
      </c>
      <c r="B409" s="1" t="s">
        <v>456</v>
      </c>
      <c r="C409" s="1" t="str">
        <f>_xlfn.XLOOKUP(Clients_Churn[[#This Row],[Province_Client]],Logs_Reseau!B:B,Logs_Reseau!E:E,"Pas de correspondance")</f>
        <v>ANT-0850</v>
      </c>
      <c r="D409" s="1" t="s">
        <v>51</v>
      </c>
      <c r="E409">
        <v>41</v>
      </c>
      <c r="F409" s="1" t="s">
        <v>22</v>
      </c>
      <c r="G409">
        <v>404</v>
      </c>
      <c r="H409">
        <v>98.67</v>
      </c>
      <c r="I409">
        <v>5</v>
      </c>
    </row>
    <row r="410" spans="1:9" x14ac:dyDescent="0.25">
      <c r="A410" s="1" t="s">
        <v>444</v>
      </c>
      <c r="B410" s="1" t="s">
        <v>457</v>
      </c>
      <c r="C410" s="1" t="str">
        <f>_xlfn.XLOOKUP(Clients_Churn[[#This Row],[Province_Client]],Logs_Reseau!B:B,Logs_Reseau!E:E,"Pas de correspondance")</f>
        <v>ANT-0465</v>
      </c>
      <c r="D410" s="1" t="s">
        <v>37</v>
      </c>
      <c r="E410">
        <v>115</v>
      </c>
      <c r="F410" s="1" t="s">
        <v>14</v>
      </c>
      <c r="G410">
        <v>262</v>
      </c>
      <c r="H410">
        <v>66.34</v>
      </c>
      <c r="I410">
        <v>3</v>
      </c>
    </row>
    <row r="411" spans="1:9" x14ac:dyDescent="0.25">
      <c r="A411" s="1" t="s">
        <v>444</v>
      </c>
      <c r="B411" s="1" t="s">
        <v>458</v>
      </c>
      <c r="C411" s="1" t="str">
        <f>_xlfn.XLOOKUP(Clients_Churn[[#This Row],[Province_Client]],Logs_Reseau!B:B,Logs_Reseau!E:E,"Pas de correspondance")</f>
        <v>ANT-0371</v>
      </c>
      <c r="D411" s="1" t="s">
        <v>18</v>
      </c>
      <c r="E411">
        <v>7</v>
      </c>
      <c r="F411" s="1" t="s">
        <v>19</v>
      </c>
      <c r="G411">
        <v>233</v>
      </c>
      <c r="H411">
        <v>10.94</v>
      </c>
      <c r="I411">
        <v>0</v>
      </c>
    </row>
    <row r="412" spans="1:9" x14ac:dyDescent="0.25">
      <c r="A412" s="1" t="s">
        <v>444</v>
      </c>
      <c r="B412" s="1" t="s">
        <v>459</v>
      </c>
      <c r="C412" s="1" t="str">
        <f>_xlfn.XLOOKUP(Clients_Churn[[#This Row],[Province_Client]],Logs_Reseau!B:B,Logs_Reseau!E:E,"Pas de correspondance")</f>
        <v>ANT-0945</v>
      </c>
      <c r="D412" s="1" t="s">
        <v>73</v>
      </c>
      <c r="E412">
        <v>24</v>
      </c>
      <c r="F412" s="1" t="s">
        <v>19</v>
      </c>
      <c r="G412">
        <v>257</v>
      </c>
      <c r="H412">
        <v>41.99</v>
      </c>
      <c r="I412">
        <v>5</v>
      </c>
    </row>
    <row r="413" spans="1:9" x14ac:dyDescent="0.25">
      <c r="A413" s="1" t="s">
        <v>444</v>
      </c>
      <c r="B413" s="1" t="s">
        <v>460</v>
      </c>
      <c r="C413" s="1" t="str">
        <f>_xlfn.XLOOKUP(Clients_Churn[[#This Row],[Province_Client]],Logs_Reseau!B:B,Logs_Reseau!E:E,"Pas de correspondance")</f>
        <v>ANT-0166</v>
      </c>
      <c r="D413" s="1" t="s">
        <v>31</v>
      </c>
      <c r="E413">
        <v>6</v>
      </c>
      <c r="F413" s="1" t="s">
        <v>11</v>
      </c>
      <c r="G413">
        <v>362</v>
      </c>
      <c r="H413">
        <v>75.739999999999995</v>
      </c>
      <c r="I413">
        <v>4</v>
      </c>
    </row>
    <row r="414" spans="1:9" x14ac:dyDescent="0.25">
      <c r="A414" s="1" t="s">
        <v>444</v>
      </c>
      <c r="B414" s="1" t="s">
        <v>461</v>
      </c>
      <c r="C414" s="1" t="str">
        <f>_xlfn.XLOOKUP(Clients_Churn[[#This Row],[Province_Client]],Logs_Reseau!B:B,Logs_Reseau!E:E,"Pas de correspondance")</f>
        <v>ANT-0332</v>
      </c>
      <c r="D414" s="1" t="s">
        <v>1674</v>
      </c>
      <c r="E414">
        <v>1</v>
      </c>
      <c r="F414" s="1" t="s">
        <v>11</v>
      </c>
      <c r="G414">
        <v>368</v>
      </c>
      <c r="H414">
        <v>35.17</v>
      </c>
      <c r="I414">
        <v>1</v>
      </c>
    </row>
    <row r="415" spans="1:9" x14ac:dyDescent="0.25">
      <c r="A415" s="1" t="s">
        <v>444</v>
      </c>
      <c r="B415" s="1" t="s">
        <v>462</v>
      </c>
      <c r="C415" s="1" t="str">
        <f>_xlfn.XLOOKUP(Clients_Churn[[#This Row],[Province_Client]],Logs_Reseau!B:B,Logs_Reseau!E:E,"Pas de correspondance")</f>
        <v>ANT-0270</v>
      </c>
      <c r="D415" s="1" t="s">
        <v>1675</v>
      </c>
      <c r="E415">
        <v>7</v>
      </c>
      <c r="F415" s="1" t="s">
        <v>14</v>
      </c>
      <c r="G415">
        <v>268</v>
      </c>
      <c r="H415">
        <v>33.04</v>
      </c>
      <c r="I415">
        <v>5</v>
      </c>
    </row>
    <row r="416" spans="1:9" x14ac:dyDescent="0.25">
      <c r="A416" s="1" t="s">
        <v>444</v>
      </c>
      <c r="B416" s="1" t="s">
        <v>463</v>
      </c>
      <c r="C416" s="1" t="str">
        <f>_xlfn.XLOOKUP(Clients_Churn[[#This Row],[Province_Client]],Logs_Reseau!B:B,Logs_Reseau!E:E,"Pas de correspondance")</f>
        <v>ANT-0935</v>
      </c>
      <c r="D416" s="1" t="s">
        <v>89</v>
      </c>
      <c r="E416">
        <v>85</v>
      </c>
      <c r="F416" s="1" t="s">
        <v>22</v>
      </c>
      <c r="G416">
        <v>132</v>
      </c>
      <c r="H416">
        <v>11.41</v>
      </c>
      <c r="I416">
        <v>0</v>
      </c>
    </row>
    <row r="417" spans="1:9" x14ac:dyDescent="0.25">
      <c r="A417" s="1" t="s">
        <v>444</v>
      </c>
      <c r="B417" s="1" t="s">
        <v>464</v>
      </c>
      <c r="C417" s="1" t="str">
        <f>_xlfn.XLOOKUP(Clients_Churn[[#This Row],[Province_Client]],Logs_Reseau!B:B,Logs_Reseau!E:E,"Pas de correspondance")</f>
        <v>ANT-0855</v>
      </c>
      <c r="D417" s="1" t="s">
        <v>16</v>
      </c>
      <c r="E417">
        <v>96</v>
      </c>
      <c r="F417" s="1" t="s">
        <v>22</v>
      </c>
      <c r="G417">
        <v>155</v>
      </c>
      <c r="H417">
        <v>69.16</v>
      </c>
      <c r="I417">
        <v>4</v>
      </c>
    </row>
    <row r="418" spans="1:9" x14ac:dyDescent="0.25">
      <c r="A418" s="1" t="s">
        <v>444</v>
      </c>
      <c r="B418" s="1" t="s">
        <v>465</v>
      </c>
      <c r="C418" s="1" t="str">
        <f>_xlfn.XLOOKUP(Clients_Churn[[#This Row],[Province_Client]],Logs_Reseau!B:B,Logs_Reseau!E:E,"Pas de correspondance")</f>
        <v>ANT-0855</v>
      </c>
      <c r="D418" s="1" t="s">
        <v>16</v>
      </c>
      <c r="E418">
        <v>42</v>
      </c>
      <c r="F418" s="1" t="s">
        <v>19</v>
      </c>
      <c r="G418">
        <v>436</v>
      </c>
      <c r="H418">
        <v>88.12</v>
      </c>
      <c r="I418">
        <v>0</v>
      </c>
    </row>
    <row r="419" spans="1:9" x14ac:dyDescent="0.25">
      <c r="A419" s="1" t="s">
        <v>444</v>
      </c>
      <c r="B419" s="1" t="s">
        <v>466</v>
      </c>
      <c r="C419" s="1" t="str">
        <f>_xlfn.XLOOKUP(Clients_Churn[[#This Row],[Province_Client]],Logs_Reseau!B:B,Logs_Reseau!E:E,"Pas de correspondance")</f>
        <v>ANT-0011</v>
      </c>
      <c r="D419" s="1" t="s">
        <v>44</v>
      </c>
      <c r="E419">
        <v>28</v>
      </c>
      <c r="F419" s="1" t="s">
        <v>22</v>
      </c>
      <c r="G419">
        <v>112</v>
      </c>
      <c r="H419">
        <v>94.51</v>
      </c>
      <c r="I419">
        <v>3</v>
      </c>
    </row>
    <row r="420" spans="1:9" x14ac:dyDescent="0.25">
      <c r="A420" s="1" t="s">
        <v>444</v>
      </c>
      <c r="B420" s="1" t="s">
        <v>467</v>
      </c>
      <c r="C420" s="1" t="str">
        <f>_xlfn.XLOOKUP(Clients_Churn[[#This Row],[Province_Client]],Logs_Reseau!B:B,Logs_Reseau!E:E,"Pas de correspondance")</f>
        <v>ANT-0731</v>
      </c>
      <c r="D420" s="1" t="s">
        <v>1676</v>
      </c>
      <c r="E420">
        <v>37</v>
      </c>
      <c r="F420" s="1" t="s">
        <v>22</v>
      </c>
      <c r="G420">
        <v>151</v>
      </c>
      <c r="H420">
        <v>62.49</v>
      </c>
      <c r="I420">
        <v>3</v>
      </c>
    </row>
    <row r="421" spans="1:9" x14ac:dyDescent="0.25">
      <c r="A421" s="1" t="s">
        <v>444</v>
      </c>
      <c r="B421" s="1" t="s">
        <v>468</v>
      </c>
      <c r="C421" s="1" t="str">
        <f>_xlfn.XLOOKUP(Clients_Churn[[#This Row],[Province_Client]],Logs_Reseau!B:B,Logs_Reseau!E:E,"Pas de correspondance")</f>
        <v>ANT-0850</v>
      </c>
      <c r="D421" s="1" t="s">
        <v>51</v>
      </c>
      <c r="E421">
        <v>61</v>
      </c>
      <c r="F421" s="1" t="s">
        <v>14</v>
      </c>
      <c r="G421">
        <v>362</v>
      </c>
      <c r="H421">
        <v>75.03</v>
      </c>
      <c r="I421">
        <v>0</v>
      </c>
    </row>
    <row r="422" spans="1:9" x14ac:dyDescent="0.25">
      <c r="A422" s="1" t="s">
        <v>444</v>
      </c>
      <c r="B422" s="1" t="s">
        <v>469</v>
      </c>
      <c r="C422" s="1" t="str">
        <f>_xlfn.XLOOKUP(Clients_Churn[[#This Row],[Province_Client]],Logs_Reseau!B:B,Logs_Reseau!E:E,"Pas de correspondance")</f>
        <v>ANT-0011</v>
      </c>
      <c r="D422" s="1" t="s">
        <v>44</v>
      </c>
      <c r="E422">
        <v>36</v>
      </c>
      <c r="F422" s="1" t="s">
        <v>11</v>
      </c>
      <c r="G422">
        <v>137</v>
      </c>
      <c r="H422">
        <v>71.930000000000007</v>
      </c>
      <c r="I422">
        <v>0</v>
      </c>
    </row>
    <row r="423" spans="1:9" x14ac:dyDescent="0.25">
      <c r="A423" s="1" t="s">
        <v>444</v>
      </c>
      <c r="B423" s="1" t="s">
        <v>470</v>
      </c>
      <c r="C423" s="1" t="str">
        <f>_xlfn.XLOOKUP(Clients_Churn[[#This Row],[Province_Client]],Logs_Reseau!B:B,Logs_Reseau!E:E,"Pas de correspondance")</f>
        <v>ANT-0553</v>
      </c>
      <c r="D423" s="1" t="s">
        <v>131</v>
      </c>
      <c r="E423">
        <v>117</v>
      </c>
      <c r="F423" s="1" t="s">
        <v>11</v>
      </c>
      <c r="G423">
        <v>282</v>
      </c>
      <c r="H423">
        <v>95.11</v>
      </c>
      <c r="I423">
        <v>0</v>
      </c>
    </row>
    <row r="424" spans="1:9" x14ac:dyDescent="0.25">
      <c r="A424" s="1" t="s">
        <v>444</v>
      </c>
      <c r="B424" s="1" t="s">
        <v>471</v>
      </c>
      <c r="C424" s="1" t="str">
        <f>_xlfn.XLOOKUP(Clients_Churn[[#This Row],[Province_Client]],Logs_Reseau!B:B,Logs_Reseau!E:E,"Pas de correspondance")</f>
        <v>ANT-0737</v>
      </c>
      <c r="D424" s="1" t="s">
        <v>62</v>
      </c>
      <c r="E424">
        <v>78</v>
      </c>
      <c r="F424" s="1" t="s">
        <v>11</v>
      </c>
      <c r="G424">
        <v>60</v>
      </c>
      <c r="H424">
        <v>33.159999999999997</v>
      </c>
      <c r="I424">
        <v>5</v>
      </c>
    </row>
    <row r="425" spans="1:9" x14ac:dyDescent="0.25">
      <c r="A425" s="1" t="s">
        <v>444</v>
      </c>
      <c r="B425" s="1" t="s">
        <v>472</v>
      </c>
      <c r="C425" s="1" t="str">
        <f>_xlfn.XLOOKUP(Clients_Churn[[#This Row],[Province_Client]],Logs_Reseau!B:B,Logs_Reseau!E:E,"Pas de correspondance")</f>
        <v>ANT-0520</v>
      </c>
      <c r="D425" s="1" t="s">
        <v>67</v>
      </c>
      <c r="E425">
        <v>13</v>
      </c>
      <c r="F425" s="1" t="s">
        <v>14</v>
      </c>
      <c r="G425">
        <v>87</v>
      </c>
      <c r="H425">
        <v>66.36</v>
      </c>
      <c r="I425">
        <v>0</v>
      </c>
    </row>
    <row r="426" spans="1:9" x14ac:dyDescent="0.25">
      <c r="A426" s="1" t="s">
        <v>444</v>
      </c>
      <c r="B426" s="1" t="s">
        <v>473</v>
      </c>
      <c r="C426" s="1" t="str">
        <f>_xlfn.XLOOKUP(Clients_Churn[[#This Row],[Province_Client]],Logs_Reseau!B:B,Logs_Reseau!E:E,"Pas de correspondance")</f>
        <v>ANT-0270</v>
      </c>
      <c r="D426" s="1" t="s">
        <v>1675</v>
      </c>
      <c r="E426">
        <v>56</v>
      </c>
      <c r="F426" s="1" t="s">
        <v>19</v>
      </c>
      <c r="G426">
        <v>114</v>
      </c>
      <c r="H426">
        <v>64.39</v>
      </c>
      <c r="I426">
        <v>1</v>
      </c>
    </row>
    <row r="427" spans="1:9" x14ac:dyDescent="0.25">
      <c r="A427" s="1" t="s">
        <v>444</v>
      </c>
      <c r="B427" s="1" t="s">
        <v>474</v>
      </c>
      <c r="C427" s="1" t="str">
        <f>_xlfn.XLOOKUP(Clients_Churn[[#This Row],[Province_Client]],Logs_Reseau!B:B,Logs_Reseau!E:E,"Pas de correspondance")</f>
        <v>ANT-0011</v>
      </c>
      <c r="D427" s="1" t="s">
        <v>44</v>
      </c>
      <c r="E427">
        <v>24</v>
      </c>
      <c r="F427" s="1" t="s">
        <v>14</v>
      </c>
      <c r="G427">
        <v>23</v>
      </c>
      <c r="H427">
        <v>28.55</v>
      </c>
      <c r="I427">
        <v>1</v>
      </c>
    </row>
    <row r="428" spans="1:9" x14ac:dyDescent="0.25">
      <c r="A428" s="1" t="s">
        <v>444</v>
      </c>
      <c r="B428" s="1" t="s">
        <v>475</v>
      </c>
      <c r="C428" s="1" t="str">
        <f>_xlfn.XLOOKUP(Clients_Churn[[#This Row],[Province_Client]],Logs_Reseau!B:B,Logs_Reseau!E:E,"Pas de correspondance")</f>
        <v>ANT-0037</v>
      </c>
      <c r="D428" s="1" t="s">
        <v>10</v>
      </c>
      <c r="E428">
        <v>33</v>
      </c>
      <c r="F428" s="1" t="s">
        <v>19</v>
      </c>
      <c r="G428">
        <v>273</v>
      </c>
      <c r="H428">
        <v>49.8</v>
      </c>
      <c r="I428">
        <v>0</v>
      </c>
    </row>
    <row r="429" spans="1:9" x14ac:dyDescent="0.25">
      <c r="A429" s="1" t="s">
        <v>444</v>
      </c>
      <c r="B429" s="1" t="s">
        <v>476</v>
      </c>
      <c r="C429" s="1" t="str">
        <f>_xlfn.XLOOKUP(Clients_Churn[[#This Row],[Province_Client]],Logs_Reseau!B:B,Logs_Reseau!E:E,"Pas de correspondance")</f>
        <v>ANT-0913</v>
      </c>
      <c r="D429" s="1" t="s">
        <v>64</v>
      </c>
      <c r="E429">
        <v>63</v>
      </c>
      <c r="F429" s="1" t="s">
        <v>14</v>
      </c>
      <c r="G429">
        <v>121</v>
      </c>
      <c r="H429">
        <v>39.18</v>
      </c>
      <c r="I429">
        <v>2</v>
      </c>
    </row>
    <row r="430" spans="1:9" x14ac:dyDescent="0.25">
      <c r="A430" s="1" t="s">
        <v>444</v>
      </c>
      <c r="B430" s="1" t="s">
        <v>477</v>
      </c>
      <c r="C430" s="1" t="str">
        <f>_xlfn.XLOOKUP(Clients_Churn[[#This Row],[Province_Client]],Logs_Reseau!B:B,Logs_Reseau!E:E,"Pas de correspondance")</f>
        <v>ANT-0166</v>
      </c>
      <c r="D430" s="1" t="s">
        <v>31</v>
      </c>
      <c r="E430">
        <v>47</v>
      </c>
      <c r="F430" s="1" t="s">
        <v>14</v>
      </c>
      <c r="G430">
        <v>149</v>
      </c>
      <c r="H430">
        <v>28.35</v>
      </c>
      <c r="I430">
        <v>1</v>
      </c>
    </row>
    <row r="431" spans="1:9" x14ac:dyDescent="0.25">
      <c r="A431" s="1" t="s">
        <v>444</v>
      </c>
      <c r="B431" s="1" t="s">
        <v>478</v>
      </c>
      <c r="C431" s="1" t="str">
        <f>_xlfn.XLOOKUP(Clients_Churn[[#This Row],[Province_Client]],Logs_Reseau!B:B,Logs_Reseau!E:E,"Pas de correspondance")</f>
        <v>ANT-0270</v>
      </c>
      <c r="D431" s="1" t="s">
        <v>1675</v>
      </c>
      <c r="E431">
        <v>43</v>
      </c>
      <c r="F431" s="1" t="s">
        <v>19</v>
      </c>
      <c r="G431">
        <v>20</v>
      </c>
      <c r="H431">
        <v>66.680000000000007</v>
      </c>
      <c r="I431">
        <v>5</v>
      </c>
    </row>
    <row r="432" spans="1:9" x14ac:dyDescent="0.25">
      <c r="A432" s="1" t="s">
        <v>444</v>
      </c>
      <c r="B432" s="1" t="s">
        <v>479</v>
      </c>
      <c r="C432" s="1" t="str">
        <f>_xlfn.XLOOKUP(Clients_Churn[[#This Row],[Province_Client]],Logs_Reseau!B:B,Logs_Reseau!E:E,"Pas de correspondance")</f>
        <v>ANT-0134</v>
      </c>
      <c r="D432" s="1" t="s">
        <v>40</v>
      </c>
      <c r="E432">
        <v>39</v>
      </c>
      <c r="F432" s="1" t="s">
        <v>22</v>
      </c>
      <c r="G432">
        <v>327</v>
      </c>
      <c r="H432">
        <v>87.24</v>
      </c>
      <c r="I432">
        <v>4</v>
      </c>
    </row>
    <row r="433" spans="1:9" x14ac:dyDescent="0.25">
      <c r="A433" s="1" t="s">
        <v>444</v>
      </c>
      <c r="B433" s="1" t="s">
        <v>480</v>
      </c>
      <c r="C433" s="1" t="str">
        <f>_xlfn.XLOOKUP(Clients_Churn[[#This Row],[Province_Client]],Logs_Reseau!B:B,Logs_Reseau!E:E,"Pas de correspondance")</f>
        <v>ANT-0737</v>
      </c>
      <c r="D433" s="1" t="s">
        <v>62</v>
      </c>
      <c r="E433">
        <v>15</v>
      </c>
      <c r="F433" s="1" t="s">
        <v>11</v>
      </c>
      <c r="G433">
        <v>75</v>
      </c>
      <c r="H433">
        <v>45.59</v>
      </c>
      <c r="I433">
        <v>0</v>
      </c>
    </row>
    <row r="434" spans="1:9" x14ac:dyDescent="0.25">
      <c r="A434" s="1" t="s">
        <v>444</v>
      </c>
      <c r="B434" s="1" t="s">
        <v>481</v>
      </c>
      <c r="C434" s="1" t="str">
        <f>_xlfn.XLOOKUP(Clients_Churn[[#This Row],[Province_Client]],Logs_Reseau!B:B,Logs_Reseau!E:E,"Pas de correspondance")</f>
        <v>ANT-0553</v>
      </c>
      <c r="D434" s="1" t="s">
        <v>131</v>
      </c>
      <c r="E434">
        <v>13</v>
      </c>
      <c r="F434" s="1" t="s">
        <v>22</v>
      </c>
      <c r="G434">
        <v>482</v>
      </c>
      <c r="H434">
        <v>50.15</v>
      </c>
      <c r="I434">
        <v>0</v>
      </c>
    </row>
    <row r="435" spans="1:9" x14ac:dyDescent="0.25">
      <c r="A435" s="1" t="s">
        <v>444</v>
      </c>
      <c r="B435" s="1" t="s">
        <v>482</v>
      </c>
      <c r="C435" s="1" t="str">
        <f>_xlfn.XLOOKUP(Clients_Churn[[#This Row],[Province_Client]],Logs_Reseau!B:B,Logs_Reseau!E:E,"Pas de correspondance")</f>
        <v>ANT-0037</v>
      </c>
      <c r="D435" s="1" t="s">
        <v>10</v>
      </c>
      <c r="E435">
        <v>86</v>
      </c>
      <c r="F435" s="1" t="s">
        <v>11</v>
      </c>
      <c r="G435">
        <v>452</v>
      </c>
      <c r="H435">
        <v>75.680000000000007</v>
      </c>
      <c r="I435">
        <v>0</v>
      </c>
    </row>
    <row r="436" spans="1:9" x14ac:dyDescent="0.25">
      <c r="A436" s="1" t="s">
        <v>444</v>
      </c>
      <c r="B436" s="1" t="s">
        <v>483</v>
      </c>
      <c r="C436" s="1" t="str">
        <f>_xlfn.XLOOKUP(Clients_Churn[[#This Row],[Province_Client]],Logs_Reseau!B:B,Logs_Reseau!E:E,"Pas de correspondance")</f>
        <v>ANT-0945</v>
      </c>
      <c r="D436" s="1" t="s">
        <v>73</v>
      </c>
      <c r="E436">
        <v>2</v>
      </c>
      <c r="F436" s="1" t="s">
        <v>19</v>
      </c>
      <c r="G436">
        <v>142</v>
      </c>
      <c r="H436">
        <v>49.05</v>
      </c>
      <c r="I436">
        <v>4</v>
      </c>
    </row>
    <row r="437" spans="1:9" x14ac:dyDescent="0.25">
      <c r="A437" s="1" t="s">
        <v>444</v>
      </c>
      <c r="B437" s="1" t="s">
        <v>484</v>
      </c>
      <c r="C437" s="1" t="str">
        <f>_xlfn.XLOOKUP(Clients_Churn[[#This Row],[Province_Client]],Logs_Reseau!B:B,Logs_Reseau!E:E,"Pas de correspondance")</f>
        <v>ANT-0760</v>
      </c>
      <c r="D437" s="1" t="s">
        <v>35</v>
      </c>
      <c r="E437">
        <v>88</v>
      </c>
      <c r="F437" s="1" t="s">
        <v>19</v>
      </c>
      <c r="G437">
        <v>474</v>
      </c>
      <c r="H437">
        <v>23.35</v>
      </c>
      <c r="I437">
        <v>5</v>
      </c>
    </row>
    <row r="438" spans="1:9" x14ac:dyDescent="0.25">
      <c r="A438" s="1" t="s">
        <v>444</v>
      </c>
      <c r="B438" s="1" t="s">
        <v>485</v>
      </c>
      <c r="C438" s="1" t="str">
        <f>_xlfn.XLOOKUP(Clients_Churn[[#This Row],[Province_Client]],Logs_Reseau!B:B,Logs_Reseau!E:E,"Pas de correspondance")</f>
        <v>ANT-0465</v>
      </c>
      <c r="D438" s="1" t="s">
        <v>37</v>
      </c>
      <c r="E438">
        <v>71</v>
      </c>
      <c r="F438" s="1" t="s">
        <v>22</v>
      </c>
      <c r="G438">
        <v>68</v>
      </c>
      <c r="H438">
        <v>53.11</v>
      </c>
      <c r="I438">
        <v>2</v>
      </c>
    </row>
    <row r="439" spans="1:9" x14ac:dyDescent="0.25">
      <c r="A439" s="1" t="s">
        <v>444</v>
      </c>
      <c r="B439" s="1" t="s">
        <v>486</v>
      </c>
      <c r="C439" s="1" t="str">
        <f>_xlfn.XLOOKUP(Clients_Churn[[#This Row],[Province_Client]],Logs_Reseau!B:B,Logs_Reseau!E:E,"Pas de correspondance")</f>
        <v>ANT-0855</v>
      </c>
      <c r="D439" s="1" t="s">
        <v>16</v>
      </c>
      <c r="E439">
        <v>99</v>
      </c>
      <c r="F439" s="1" t="s">
        <v>14</v>
      </c>
      <c r="G439">
        <v>138</v>
      </c>
      <c r="H439">
        <v>54.64</v>
      </c>
      <c r="I439">
        <v>5</v>
      </c>
    </row>
    <row r="440" spans="1:9" x14ac:dyDescent="0.25">
      <c r="A440" s="1" t="s">
        <v>444</v>
      </c>
      <c r="B440" s="1" t="s">
        <v>487</v>
      </c>
      <c r="C440" s="1" t="str">
        <f>_xlfn.XLOOKUP(Clients_Churn[[#This Row],[Province_Client]],Logs_Reseau!B:B,Logs_Reseau!E:E,"Pas de correspondance")</f>
        <v>ANT-0731</v>
      </c>
      <c r="D440" s="1" t="s">
        <v>1676</v>
      </c>
      <c r="E440">
        <v>111</v>
      </c>
      <c r="F440" s="1" t="s">
        <v>14</v>
      </c>
      <c r="G440">
        <v>447</v>
      </c>
      <c r="H440">
        <v>51.35</v>
      </c>
      <c r="I440">
        <v>0</v>
      </c>
    </row>
    <row r="441" spans="1:9" x14ac:dyDescent="0.25">
      <c r="A441" s="1" t="s">
        <v>444</v>
      </c>
      <c r="B441" s="1" t="s">
        <v>488</v>
      </c>
      <c r="C441" s="1" t="str">
        <f>_xlfn.XLOOKUP(Clients_Churn[[#This Row],[Province_Client]],Logs_Reseau!B:B,Logs_Reseau!E:E,"Pas de correspondance")</f>
        <v>ANT-0731</v>
      </c>
      <c r="D441" s="1" t="s">
        <v>1676</v>
      </c>
      <c r="E441">
        <v>17</v>
      </c>
      <c r="F441" s="1" t="s">
        <v>19</v>
      </c>
      <c r="G441">
        <v>404</v>
      </c>
      <c r="H441">
        <v>83.4</v>
      </c>
      <c r="I441">
        <v>1</v>
      </c>
    </row>
    <row r="442" spans="1:9" x14ac:dyDescent="0.25">
      <c r="A442" s="1" t="s">
        <v>444</v>
      </c>
      <c r="B442" s="1" t="s">
        <v>489</v>
      </c>
      <c r="C442" s="1" t="str">
        <f>_xlfn.XLOOKUP(Clients_Churn[[#This Row],[Province_Client]],Logs_Reseau!B:B,Logs_Reseau!E:E,"Pas de correspondance")</f>
        <v>ANT-0250</v>
      </c>
      <c r="D442" s="1" t="s">
        <v>78</v>
      </c>
      <c r="E442">
        <v>43</v>
      </c>
      <c r="F442" s="1" t="s">
        <v>22</v>
      </c>
      <c r="G442">
        <v>26</v>
      </c>
      <c r="H442">
        <v>25.85</v>
      </c>
      <c r="I442">
        <v>1</v>
      </c>
    </row>
    <row r="443" spans="1:9" x14ac:dyDescent="0.25">
      <c r="A443" s="1" t="s">
        <v>444</v>
      </c>
      <c r="B443" s="1" t="s">
        <v>490</v>
      </c>
      <c r="C443" s="1" t="str">
        <f>_xlfn.XLOOKUP(Clients_Churn[[#This Row],[Province_Client]],Logs_Reseau!B:B,Logs_Reseau!E:E,"Pas de correspondance")</f>
        <v>ANT-0037</v>
      </c>
      <c r="D443" s="1" t="s">
        <v>10</v>
      </c>
      <c r="E443">
        <v>47</v>
      </c>
      <c r="F443" s="1" t="s">
        <v>14</v>
      </c>
      <c r="G443">
        <v>328</v>
      </c>
      <c r="H443">
        <v>61.27</v>
      </c>
      <c r="I443">
        <v>3</v>
      </c>
    </row>
    <row r="444" spans="1:9" x14ac:dyDescent="0.25">
      <c r="A444" s="1" t="s">
        <v>444</v>
      </c>
      <c r="B444" s="1" t="s">
        <v>491</v>
      </c>
      <c r="C444" s="1" t="str">
        <f>_xlfn.XLOOKUP(Clients_Churn[[#This Row],[Province_Client]],Logs_Reseau!B:B,Logs_Reseau!E:E,"Pas de correspondance")</f>
        <v>ANT-0566</v>
      </c>
      <c r="D444" s="1" t="s">
        <v>26</v>
      </c>
      <c r="E444">
        <v>95</v>
      </c>
      <c r="F444" s="1" t="s">
        <v>14</v>
      </c>
      <c r="G444">
        <v>127</v>
      </c>
      <c r="H444">
        <v>94.9</v>
      </c>
      <c r="I444">
        <v>4</v>
      </c>
    </row>
    <row r="445" spans="1:9" x14ac:dyDescent="0.25">
      <c r="A445" s="1" t="s">
        <v>444</v>
      </c>
      <c r="B445" s="1" t="s">
        <v>492</v>
      </c>
      <c r="C445" s="1" t="str">
        <f>_xlfn.XLOOKUP(Clients_Churn[[#This Row],[Province_Client]],Logs_Reseau!B:B,Logs_Reseau!E:E,"Pas de correspondance")</f>
        <v>ANT-0737</v>
      </c>
      <c r="D445" s="1" t="s">
        <v>62</v>
      </c>
      <c r="E445">
        <v>104</v>
      </c>
      <c r="F445" s="1" t="s">
        <v>14</v>
      </c>
      <c r="G445">
        <v>421</v>
      </c>
      <c r="H445">
        <v>26.24</v>
      </c>
      <c r="I445">
        <v>3</v>
      </c>
    </row>
    <row r="446" spans="1:9" x14ac:dyDescent="0.25">
      <c r="A446" s="1" t="s">
        <v>444</v>
      </c>
      <c r="B446" s="1" t="s">
        <v>493</v>
      </c>
      <c r="C446" s="1" t="str">
        <f>_xlfn.XLOOKUP(Clients_Churn[[#This Row],[Province_Client]],Logs_Reseau!B:B,Logs_Reseau!E:E,"Pas de correspondance")</f>
        <v>ANT-0945</v>
      </c>
      <c r="D446" s="1" t="s">
        <v>73</v>
      </c>
      <c r="E446">
        <v>47</v>
      </c>
      <c r="F446" s="1" t="s">
        <v>14</v>
      </c>
      <c r="G446">
        <v>107</v>
      </c>
      <c r="H446">
        <v>35.380000000000003</v>
      </c>
      <c r="I446">
        <v>1</v>
      </c>
    </row>
    <row r="447" spans="1:9" x14ac:dyDescent="0.25">
      <c r="A447" s="1" t="s">
        <v>444</v>
      </c>
      <c r="B447" s="1" t="s">
        <v>494</v>
      </c>
      <c r="C447" s="1" t="str">
        <f>_xlfn.XLOOKUP(Clients_Churn[[#This Row],[Province_Client]],Logs_Reseau!B:B,Logs_Reseau!E:E,"Pas de correspondance")</f>
        <v>ANT-0037</v>
      </c>
      <c r="D447" s="1" t="s">
        <v>10</v>
      </c>
      <c r="E447">
        <v>96</v>
      </c>
      <c r="F447" s="1" t="s">
        <v>11</v>
      </c>
      <c r="G447">
        <v>273</v>
      </c>
      <c r="H447">
        <v>37.909999999999997</v>
      </c>
      <c r="I447">
        <v>2</v>
      </c>
    </row>
    <row r="448" spans="1:9" x14ac:dyDescent="0.25">
      <c r="A448" s="1" t="s">
        <v>495</v>
      </c>
      <c r="B448" s="1" t="s">
        <v>496</v>
      </c>
      <c r="C448" s="1" t="str">
        <f>_xlfn.XLOOKUP(Clients_Churn[[#This Row],[Province_Client]],Logs_Reseau!B:B,Logs_Reseau!E:E,"Pas de correspondance")</f>
        <v>ANT-0315</v>
      </c>
      <c r="D448" s="1" t="s">
        <v>60</v>
      </c>
      <c r="E448">
        <v>43</v>
      </c>
      <c r="F448" s="1" t="s">
        <v>11</v>
      </c>
      <c r="G448">
        <v>193</v>
      </c>
      <c r="H448">
        <v>35.81</v>
      </c>
      <c r="I448">
        <v>0</v>
      </c>
    </row>
    <row r="449" spans="1:9" x14ac:dyDescent="0.25">
      <c r="A449" s="1" t="s">
        <v>495</v>
      </c>
      <c r="B449" s="1" t="s">
        <v>497</v>
      </c>
      <c r="C449" s="1" t="str">
        <f>_xlfn.XLOOKUP(Clients_Churn[[#This Row],[Province_Client]],Logs_Reseau!B:B,Logs_Reseau!E:E,"Pas de correspondance")</f>
        <v>ANT-0465</v>
      </c>
      <c r="D449" s="1" t="s">
        <v>37</v>
      </c>
      <c r="E449">
        <v>77</v>
      </c>
      <c r="F449" s="1" t="s">
        <v>22</v>
      </c>
      <c r="G449">
        <v>375</v>
      </c>
      <c r="H449">
        <v>24.03</v>
      </c>
      <c r="I449">
        <v>1</v>
      </c>
    </row>
    <row r="450" spans="1:9" x14ac:dyDescent="0.25">
      <c r="A450" s="1" t="s">
        <v>495</v>
      </c>
      <c r="B450" s="1" t="s">
        <v>498</v>
      </c>
      <c r="C450" s="1" t="str">
        <f>_xlfn.XLOOKUP(Clients_Churn[[#This Row],[Province_Client]],Logs_Reseau!B:B,Logs_Reseau!E:E,"Pas de correspondance")</f>
        <v>ANT-0520</v>
      </c>
      <c r="D450" s="1" t="s">
        <v>67</v>
      </c>
      <c r="E450">
        <v>24</v>
      </c>
      <c r="F450" s="1" t="s">
        <v>19</v>
      </c>
      <c r="G450">
        <v>13</v>
      </c>
      <c r="H450">
        <v>89.3</v>
      </c>
      <c r="I450">
        <v>2</v>
      </c>
    </row>
    <row r="451" spans="1:9" x14ac:dyDescent="0.25">
      <c r="A451" s="1" t="s">
        <v>495</v>
      </c>
      <c r="B451" s="1" t="s">
        <v>499</v>
      </c>
      <c r="C451" s="1" t="str">
        <f>_xlfn.XLOOKUP(Clients_Churn[[#This Row],[Province_Client]],Logs_Reseau!B:B,Logs_Reseau!E:E,"Pas de correspondance")</f>
        <v>ANT-0855</v>
      </c>
      <c r="D451" s="1" t="s">
        <v>16</v>
      </c>
      <c r="E451">
        <v>87</v>
      </c>
      <c r="F451" s="1" t="s">
        <v>11</v>
      </c>
      <c r="G451">
        <v>356</v>
      </c>
      <c r="H451">
        <v>12.89</v>
      </c>
      <c r="I451">
        <v>0</v>
      </c>
    </row>
    <row r="452" spans="1:9" x14ac:dyDescent="0.25">
      <c r="A452" s="1" t="s">
        <v>495</v>
      </c>
      <c r="B452" s="1" t="s">
        <v>500</v>
      </c>
      <c r="C452" s="1" t="str">
        <f>_xlfn.XLOOKUP(Clients_Churn[[#This Row],[Province_Client]],Logs_Reseau!B:B,Logs_Reseau!E:E,"Pas de correspondance")</f>
        <v>ANT-0315</v>
      </c>
      <c r="D452" s="1" t="s">
        <v>60</v>
      </c>
      <c r="E452">
        <v>55</v>
      </c>
      <c r="F452" s="1" t="s">
        <v>22</v>
      </c>
      <c r="G452">
        <v>494</v>
      </c>
      <c r="H452">
        <v>77.599999999999994</v>
      </c>
      <c r="I452">
        <v>4</v>
      </c>
    </row>
    <row r="453" spans="1:9" x14ac:dyDescent="0.25">
      <c r="A453" s="1" t="s">
        <v>495</v>
      </c>
      <c r="B453" s="1" t="s">
        <v>501</v>
      </c>
      <c r="C453" s="1" t="str">
        <f>_xlfn.XLOOKUP(Clients_Churn[[#This Row],[Province_Client]],Logs_Reseau!B:B,Logs_Reseau!E:E,"Pas de correspondance")</f>
        <v>ANT-0850</v>
      </c>
      <c r="D453" s="1" t="s">
        <v>51</v>
      </c>
      <c r="E453">
        <v>20</v>
      </c>
      <c r="F453" s="1" t="s">
        <v>22</v>
      </c>
      <c r="G453">
        <v>217</v>
      </c>
      <c r="H453">
        <v>55.3</v>
      </c>
      <c r="I453">
        <v>4</v>
      </c>
    </row>
    <row r="454" spans="1:9" x14ac:dyDescent="0.25">
      <c r="A454" s="1" t="s">
        <v>495</v>
      </c>
      <c r="B454" s="1" t="s">
        <v>502</v>
      </c>
      <c r="C454" s="1" t="str">
        <f>_xlfn.XLOOKUP(Clients_Churn[[#This Row],[Province_Client]],Logs_Reseau!B:B,Logs_Reseau!E:E,"Pas de correspondance")</f>
        <v>ANT-0913</v>
      </c>
      <c r="D454" s="1" t="s">
        <v>64</v>
      </c>
      <c r="E454">
        <v>115</v>
      </c>
      <c r="F454" s="1" t="s">
        <v>14</v>
      </c>
      <c r="G454">
        <v>190</v>
      </c>
      <c r="H454">
        <v>10.98</v>
      </c>
      <c r="I454">
        <v>0</v>
      </c>
    </row>
    <row r="455" spans="1:9" x14ac:dyDescent="0.25">
      <c r="A455" s="1" t="s">
        <v>495</v>
      </c>
      <c r="B455" s="1" t="s">
        <v>503</v>
      </c>
      <c r="C455" s="1" t="str">
        <f>_xlfn.XLOOKUP(Clients_Churn[[#This Row],[Province_Client]],Logs_Reseau!B:B,Logs_Reseau!E:E,"Pas de correspondance")</f>
        <v>ANT-0737</v>
      </c>
      <c r="D455" s="1" t="s">
        <v>62</v>
      </c>
      <c r="E455">
        <v>86</v>
      </c>
      <c r="F455" s="1" t="s">
        <v>11</v>
      </c>
      <c r="G455">
        <v>27</v>
      </c>
      <c r="H455">
        <v>84.94</v>
      </c>
      <c r="I455">
        <v>4</v>
      </c>
    </row>
    <row r="456" spans="1:9" x14ac:dyDescent="0.25">
      <c r="A456" s="1" t="s">
        <v>495</v>
      </c>
      <c r="B456" s="1" t="s">
        <v>504</v>
      </c>
      <c r="C456" s="1" t="str">
        <f>_xlfn.XLOOKUP(Clients_Churn[[#This Row],[Province_Client]],Logs_Reseau!B:B,Logs_Reseau!E:E,"Pas de correspondance")</f>
        <v>ANT-0850</v>
      </c>
      <c r="D456" s="1" t="s">
        <v>51</v>
      </c>
      <c r="E456">
        <v>88</v>
      </c>
      <c r="F456" s="1" t="s">
        <v>11</v>
      </c>
      <c r="G456">
        <v>359</v>
      </c>
      <c r="H456">
        <v>71.19</v>
      </c>
      <c r="I456">
        <v>3</v>
      </c>
    </row>
    <row r="457" spans="1:9" x14ac:dyDescent="0.25">
      <c r="A457" s="1" t="s">
        <v>495</v>
      </c>
      <c r="B457" s="1" t="s">
        <v>505</v>
      </c>
      <c r="C457" s="1" t="str">
        <f>_xlfn.XLOOKUP(Clients_Churn[[#This Row],[Province_Client]],Logs_Reseau!B:B,Logs_Reseau!E:E,"Pas de correspondance")</f>
        <v>ANT-0315</v>
      </c>
      <c r="D457" s="1" t="s">
        <v>60</v>
      </c>
      <c r="E457">
        <v>39</v>
      </c>
      <c r="F457" s="1" t="s">
        <v>14</v>
      </c>
      <c r="G457">
        <v>54</v>
      </c>
      <c r="H457">
        <v>88.84</v>
      </c>
      <c r="I457">
        <v>0</v>
      </c>
    </row>
    <row r="458" spans="1:9" x14ac:dyDescent="0.25">
      <c r="A458" s="1" t="s">
        <v>495</v>
      </c>
      <c r="B458" s="1" t="s">
        <v>506</v>
      </c>
      <c r="C458" s="1" t="str">
        <f>_xlfn.XLOOKUP(Clients_Churn[[#This Row],[Province_Client]],Logs_Reseau!B:B,Logs_Reseau!E:E,"Pas de correspondance")</f>
        <v>ANT-0760</v>
      </c>
      <c r="D458" s="1" t="s">
        <v>35</v>
      </c>
      <c r="E458">
        <v>80</v>
      </c>
      <c r="F458" s="1" t="s">
        <v>14</v>
      </c>
      <c r="G458">
        <v>339</v>
      </c>
      <c r="H458">
        <v>59.87</v>
      </c>
      <c r="I458">
        <v>0</v>
      </c>
    </row>
    <row r="459" spans="1:9" x14ac:dyDescent="0.25">
      <c r="A459" s="1" t="s">
        <v>495</v>
      </c>
      <c r="B459" s="1" t="s">
        <v>507</v>
      </c>
      <c r="C459" s="1" t="str">
        <f>_xlfn.XLOOKUP(Clients_Churn[[#This Row],[Province_Client]],Logs_Reseau!B:B,Logs_Reseau!E:E,"Pas de correspondance")</f>
        <v>ANT-0850</v>
      </c>
      <c r="D459" s="1" t="s">
        <v>51</v>
      </c>
      <c r="E459">
        <v>105</v>
      </c>
      <c r="F459" s="1" t="s">
        <v>14</v>
      </c>
      <c r="G459">
        <v>297</v>
      </c>
      <c r="H459">
        <v>84.66</v>
      </c>
      <c r="I459">
        <v>2</v>
      </c>
    </row>
    <row r="460" spans="1:9" x14ac:dyDescent="0.25">
      <c r="A460" s="1" t="s">
        <v>495</v>
      </c>
      <c r="B460" s="1" t="s">
        <v>508</v>
      </c>
      <c r="C460" s="1" t="str">
        <f>_xlfn.XLOOKUP(Clients_Churn[[#This Row],[Province_Client]],Logs_Reseau!B:B,Logs_Reseau!E:E,"Pas de correspondance")</f>
        <v>ANT-0945</v>
      </c>
      <c r="D460" s="1" t="s">
        <v>73</v>
      </c>
      <c r="E460">
        <v>37</v>
      </c>
      <c r="F460" s="1" t="s">
        <v>14</v>
      </c>
      <c r="G460">
        <v>37</v>
      </c>
      <c r="H460">
        <v>92.72</v>
      </c>
      <c r="I460">
        <v>0</v>
      </c>
    </row>
    <row r="461" spans="1:9" x14ac:dyDescent="0.25">
      <c r="A461" s="1" t="s">
        <v>495</v>
      </c>
      <c r="B461" s="1" t="s">
        <v>509</v>
      </c>
      <c r="C461" s="1" t="str">
        <f>_xlfn.XLOOKUP(Clients_Churn[[#This Row],[Province_Client]],Logs_Reseau!B:B,Logs_Reseau!E:E,"Pas de correspondance")</f>
        <v>ANT-0037</v>
      </c>
      <c r="D461" s="1" t="s">
        <v>10</v>
      </c>
      <c r="E461">
        <v>45</v>
      </c>
      <c r="F461" s="1" t="s">
        <v>11</v>
      </c>
      <c r="G461">
        <v>244</v>
      </c>
      <c r="H461">
        <v>55.17</v>
      </c>
      <c r="I461">
        <v>2</v>
      </c>
    </row>
    <row r="462" spans="1:9" x14ac:dyDescent="0.25">
      <c r="A462" s="1" t="s">
        <v>495</v>
      </c>
      <c r="B462" s="1" t="s">
        <v>510</v>
      </c>
      <c r="C462" s="1" t="str">
        <f>_xlfn.XLOOKUP(Clients_Churn[[#This Row],[Province_Client]],Logs_Reseau!B:B,Logs_Reseau!E:E,"Pas de correspondance")</f>
        <v>ANT-0011</v>
      </c>
      <c r="D462" s="1" t="s">
        <v>44</v>
      </c>
      <c r="E462">
        <v>113</v>
      </c>
      <c r="F462" s="1" t="s">
        <v>22</v>
      </c>
      <c r="G462">
        <v>428</v>
      </c>
      <c r="H462">
        <v>73.84</v>
      </c>
      <c r="I462">
        <v>0</v>
      </c>
    </row>
    <row r="463" spans="1:9" x14ac:dyDescent="0.25">
      <c r="A463" s="1" t="s">
        <v>495</v>
      </c>
      <c r="B463" s="1" t="s">
        <v>511</v>
      </c>
      <c r="C463" s="1" t="str">
        <f>_xlfn.XLOOKUP(Clients_Churn[[#This Row],[Province_Client]],Logs_Reseau!B:B,Logs_Reseau!E:E,"Pas de correspondance")</f>
        <v>ANT-0913</v>
      </c>
      <c r="D463" s="1" t="s">
        <v>64</v>
      </c>
      <c r="E463">
        <v>14</v>
      </c>
      <c r="F463" s="1" t="s">
        <v>22</v>
      </c>
      <c r="G463">
        <v>304</v>
      </c>
      <c r="H463">
        <v>48.13</v>
      </c>
      <c r="I463">
        <v>2</v>
      </c>
    </row>
    <row r="464" spans="1:9" x14ac:dyDescent="0.25">
      <c r="A464" s="1" t="s">
        <v>495</v>
      </c>
      <c r="B464" s="1" t="s">
        <v>512</v>
      </c>
      <c r="C464" s="1" t="str">
        <f>_xlfn.XLOOKUP(Clients_Churn[[#This Row],[Province_Client]],Logs_Reseau!B:B,Logs_Reseau!E:E,"Pas de correspondance")</f>
        <v>ANT-0731</v>
      </c>
      <c r="D464" s="1" t="s">
        <v>1676</v>
      </c>
      <c r="E464">
        <v>35</v>
      </c>
      <c r="F464" s="1" t="s">
        <v>14</v>
      </c>
      <c r="G464">
        <v>445</v>
      </c>
      <c r="H464">
        <v>24.11</v>
      </c>
      <c r="I464">
        <v>2</v>
      </c>
    </row>
    <row r="465" spans="1:9" x14ac:dyDescent="0.25">
      <c r="A465" s="1" t="s">
        <v>495</v>
      </c>
      <c r="B465" s="1" t="s">
        <v>513</v>
      </c>
      <c r="C465" s="1" t="str">
        <f>_xlfn.XLOOKUP(Clients_Churn[[#This Row],[Province_Client]],Logs_Reseau!B:B,Logs_Reseau!E:E,"Pas de correspondance")</f>
        <v>ANT-0913</v>
      </c>
      <c r="D465" s="1" t="s">
        <v>64</v>
      </c>
      <c r="E465">
        <v>118</v>
      </c>
      <c r="F465" s="1" t="s">
        <v>14</v>
      </c>
      <c r="G465">
        <v>80</v>
      </c>
      <c r="H465">
        <v>97.58</v>
      </c>
      <c r="I465">
        <v>3</v>
      </c>
    </row>
    <row r="466" spans="1:9" x14ac:dyDescent="0.25">
      <c r="A466" s="1" t="s">
        <v>495</v>
      </c>
      <c r="B466" s="1" t="s">
        <v>514</v>
      </c>
      <c r="C466" s="1" t="str">
        <f>_xlfn.XLOOKUP(Clients_Churn[[#This Row],[Province_Client]],Logs_Reseau!B:B,Logs_Reseau!E:E,"Pas de correspondance")</f>
        <v>ANT-0731</v>
      </c>
      <c r="D466" s="1" t="s">
        <v>1676</v>
      </c>
      <c r="E466">
        <v>64</v>
      </c>
      <c r="F466" s="1" t="s">
        <v>14</v>
      </c>
      <c r="G466">
        <v>15</v>
      </c>
      <c r="H466">
        <v>56.94</v>
      </c>
      <c r="I466">
        <v>4</v>
      </c>
    </row>
    <row r="467" spans="1:9" x14ac:dyDescent="0.25">
      <c r="A467" s="1" t="s">
        <v>495</v>
      </c>
      <c r="B467" s="1" t="s">
        <v>515</v>
      </c>
      <c r="C467" s="1" t="str">
        <f>_xlfn.XLOOKUP(Clients_Churn[[#This Row],[Province_Client]],Logs_Reseau!B:B,Logs_Reseau!E:E,"Pas de correspondance")</f>
        <v>ANT-0037</v>
      </c>
      <c r="D467" s="1" t="s">
        <v>10</v>
      </c>
      <c r="E467">
        <v>85</v>
      </c>
      <c r="F467" s="1" t="s">
        <v>14</v>
      </c>
      <c r="G467">
        <v>75</v>
      </c>
      <c r="H467">
        <v>98.01</v>
      </c>
      <c r="I467">
        <v>1</v>
      </c>
    </row>
    <row r="468" spans="1:9" x14ac:dyDescent="0.25">
      <c r="A468" s="1" t="s">
        <v>495</v>
      </c>
      <c r="B468" s="1" t="s">
        <v>516</v>
      </c>
      <c r="C468" s="1" t="str">
        <f>_xlfn.XLOOKUP(Clients_Churn[[#This Row],[Province_Client]],Logs_Reseau!B:B,Logs_Reseau!E:E,"Pas de correspondance")</f>
        <v>ANT-0553</v>
      </c>
      <c r="D468" s="1" t="s">
        <v>131</v>
      </c>
      <c r="E468">
        <v>48</v>
      </c>
      <c r="F468" s="1" t="s">
        <v>22</v>
      </c>
      <c r="G468">
        <v>187</v>
      </c>
      <c r="H468">
        <v>21.26</v>
      </c>
      <c r="I468">
        <v>2</v>
      </c>
    </row>
    <row r="469" spans="1:9" x14ac:dyDescent="0.25">
      <c r="A469" s="1" t="s">
        <v>495</v>
      </c>
      <c r="B469" s="1" t="s">
        <v>517</v>
      </c>
      <c r="C469" s="1" t="str">
        <f>_xlfn.XLOOKUP(Clients_Churn[[#This Row],[Province_Client]],Logs_Reseau!B:B,Logs_Reseau!E:E,"Pas de correspondance")</f>
        <v>ANT-0011</v>
      </c>
      <c r="D469" s="1" t="s">
        <v>44</v>
      </c>
      <c r="E469">
        <v>120</v>
      </c>
      <c r="F469" s="1" t="s">
        <v>14</v>
      </c>
      <c r="G469">
        <v>72</v>
      </c>
      <c r="H469">
        <v>29.07</v>
      </c>
      <c r="I469">
        <v>3</v>
      </c>
    </row>
    <row r="470" spans="1:9" x14ac:dyDescent="0.25">
      <c r="A470" s="1" t="s">
        <v>495</v>
      </c>
      <c r="B470" s="1" t="s">
        <v>518</v>
      </c>
      <c r="C470" s="1" t="str">
        <f>_xlfn.XLOOKUP(Clients_Churn[[#This Row],[Province_Client]],Logs_Reseau!B:B,Logs_Reseau!E:E,"Pas de correspondance")</f>
        <v>ANT-0852</v>
      </c>
      <c r="D470" s="1" t="s">
        <v>21</v>
      </c>
      <c r="E470">
        <v>34</v>
      </c>
      <c r="F470" s="1" t="s">
        <v>19</v>
      </c>
      <c r="G470">
        <v>40</v>
      </c>
      <c r="H470">
        <v>65.709999999999994</v>
      </c>
      <c r="I470">
        <v>5</v>
      </c>
    </row>
    <row r="471" spans="1:9" x14ac:dyDescent="0.25">
      <c r="A471" s="1" t="s">
        <v>495</v>
      </c>
      <c r="B471" s="1" t="s">
        <v>519</v>
      </c>
      <c r="C471" s="1" t="str">
        <f>_xlfn.XLOOKUP(Clients_Churn[[#This Row],[Province_Client]],Logs_Reseau!B:B,Logs_Reseau!E:E,"Pas de correspondance")</f>
        <v>ANT-0855</v>
      </c>
      <c r="D471" s="1" t="s">
        <v>16</v>
      </c>
      <c r="E471">
        <v>104</v>
      </c>
      <c r="F471" s="1" t="s">
        <v>14</v>
      </c>
      <c r="G471">
        <v>125</v>
      </c>
      <c r="H471">
        <v>29.7</v>
      </c>
      <c r="I471">
        <v>2</v>
      </c>
    </row>
    <row r="472" spans="1:9" x14ac:dyDescent="0.25">
      <c r="A472" s="1" t="s">
        <v>495</v>
      </c>
      <c r="B472" s="1" t="s">
        <v>520</v>
      </c>
      <c r="C472" s="1" t="str">
        <f>_xlfn.XLOOKUP(Clients_Churn[[#This Row],[Province_Client]],Logs_Reseau!B:B,Logs_Reseau!E:E,"Pas de correspondance")</f>
        <v>ANT-0760</v>
      </c>
      <c r="D472" s="1" t="s">
        <v>35</v>
      </c>
      <c r="E472">
        <v>117</v>
      </c>
      <c r="F472" s="1" t="s">
        <v>22</v>
      </c>
      <c r="G472">
        <v>39</v>
      </c>
      <c r="H472">
        <v>26.53</v>
      </c>
      <c r="I472">
        <v>1</v>
      </c>
    </row>
    <row r="473" spans="1:9" x14ac:dyDescent="0.25">
      <c r="A473" s="1" t="s">
        <v>495</v>
      </c>
      <c r="B473" s="1" t="s">
        <v>521</v>
      </c>
      <c r="C473" s="1" t="str">
        <f>_xlfn.XLOOKUP(Clients_Churn[[#This Row],[Province_Client]],Logs_Reseau!B:B,Logs_Reseau!E:E,"Pas de correspondance")</f>
        <v>ANT-0731</v>
      </c>
      <c r="D473" s="1" t="s">
        <v>1676</v>
      </c>
      <c r="E473">
        <v>92</v>
      </c>
      <c r="F473" s="1" t="s">
        <v>19</v>
      </c>
      <c r="G473">
        <v>6</v>
      </c>
      <c r="H473">
        <v>77.14</v>
      </c>
      <c r="I473">
        <v>5</v>
      </c>
    </row>
    <row r="474" spans="1:9" x14ac:dyDescent="0.25">
      <c r="A474" s="1" t="s">
        <v>495</v>
      </c>
      <c r="B474" s="1" t="s">
        <v>522</v>
      </c>
      <c r="C474" s="1" t="str">
        <f>_xlfn.XLOOKUP(Clients_Churn[[#This Row],[Province_Client]],Logs_Reseau!B:B,Logs_Reseau!E:E,"Pas de correspondance")</f>
        <v>ANT-0271</v>
      </c>
      <c r="D474" s="1" t="s">
        <v>13</v>
      </c>
      <c r="E474">
        <v>103</v>
      </c>
      <c r="F474" s="1" t="s">
        <v>22</v>
      </c>
      <c r="G474">
        <v>291</v>
      </c>
      <c r="H474">
        <v>60.34</v>
      </c>
      <c r="I474">
        <v>5</v>
      </c>
    </row>
    <row r="475" spans="1:9" x14ac:dyDescent="0.25">
      <c r="A475" s="1" t="s">
        <v>495</v>
      </c>
      <c r="B475" s="1" t="s">
        <v>523</v>
      </c>
      <c r="C475" s="1" t="str">
        <f>_xlfn.XLOOKUP(Clients_Churn[[#This Row],[Province_Client]],Logs_Reseau!B:B,Logs_Reseau!E:E,"Pas de correspondance")</f>
        <v>ANT-0553</v>
      </c>
      <c r="D475" s="1" t="s">
        <v>131</v>
      </c>
      <c r="E475">
        <v>10</v>
      </c>
      <c r="F475" s="1" t="s">
        <v>11</v>
      </c>
      <c r="G475">
        <v>425</v>
      </c>
      <c r="H475">
        <v>85.75</v>
      </c>
      <c r="I475">
        <v>0</v>
      </c>
    </row>
    <row r="476" spans="1:9" x14ac:dyDescent="0.25">
      <c r="A476" s="1" t="s">
        <v>495</v>
      </c>
      <c r="B476" s="1" t="s">
        <v>524</v>
      </c>
      <c r="C476" s="1" t="str">
        <f>_xlfn.XLOOKUP(Clients_Churn[[#This Row],[Province_Client]],Logs_Reseau!B:B,Logs_Reseau!E:E,"Pas de correspondance")</f>
        <v>ANT-0271</v>
      </c>
      <c r="D476" s="1" t="s">
        <v>13</v>
      </c>
      <c r="E476">
        <v>101</v>
      </c>
      <c r="F476" s="1" t="s">
        <v>19</v>
      </c>
      <c r="G476">
        <v>416</v>
      </c>
      <c r="H476">
        <v>83.49</v>
      </c>
      <c r="I476">
        <v>2</v>
      </c>
    </row>
    <row r="477" spans="1:9" x14ac:dyDescent="0.25">
      <c r="A477" s="1" t="s">
        <v>495</v>
      </c>
      <c r="B477" s="1" t="s">
        <v>525</v>
      </c>
      <c r="C477" s="1" t="str">
        <f>_xlfn.XLOOKUP(Clients_Churn[[#This Row],[Province_Client]],Logs_Reseau!B:B,Logs_Reseau!E:E,"Pas de correspondance")</f>
        <v>ANT-0465</v>
      </c>
      <c r="D477" s="1" t="s">
        <v>37</v>
      </c>
      <c r="E477">
        <v>1</v>
      </c>
      <c r="F477" s="1" t="s">
        <v>22</v>
      </c>
      <c r="G477">
        <v>213</v>
      </c>
      <c r="H477">
        <v>52.16</v>
      </c>
      <c r="I477">
        <v>3</v>
      </c>
    </row>
    <row r="478" spans="1:9" x14ac:dyDescent="0.25">
      <c r="A478" s="1" t="s">
        <v>495</v>
      </c>
      <c r="B478" s="1" t="s">
        <v>526</v>
      </c>
      <c r="C478" s="1" t="str">
        <f>_xlfn.XLOOKUP(Clients_Churn[[#This Row],[Province_Client]],Logs_Reseau!B:B,Logs_Reseau!E:E,"Pas de correspondance")</f>
        <v>ANT-0850</v>
      </c>
      <c r="D478" s="1" t="s">
        <v>51</v>
      </c>
      <c r="E478">
        <v>111</v>
      </c>
      <c r="F478" s="1" t="s">
        <v>19</v>
      </c>
      <c r="G478">
        <v>76</v>
      </c>
      <c r="H478">
        <v>38.19</v>
      </c>
      <c r="I478">
        <v>5</v>
      </c>
    </row>
    <row r="479" spans="1:9" x14ac:dyDescent="0.25">
      <c r="A479" s="1" t="s">
        <v>495</v>
      </c>
      <c r="B479" s="1" t="s">
        <v>527</v>
      </c>
      <c r="C479" s="1" t="str">
        <f>_xlfn.XLOOKUP(Clients_Churn[[#This Row],[Province_Client]],Logs_Reseau!B:B,Logs_Reseau!E:E,"Pas de correspondance")</f>
        <v>ANT-0566</v>
      </c>
      <c r="D479" s="1" t="s">
        <v>26</v>
      </c>
      <c r="E479">
        <v>120</v>
      </c>
      <c r="F479" s="1" t="s">
        <v>11</v>
      </c>
      <c r="G479">
        <v>391</v>
      </c>
      <c r="H479">
        <v>67.77</v>
      </c>
      <c r="I479">
        <v>4</v>
      </c>
    </row>
    <row r="480" spans="1:9" x14ac:dyDescent="0.25">
      <c r="A480" s="1" t="s">
        <v>495</v>
      </c>
      <c r="B480" s="1" t="s">
        <v>528</v>
      </c>
      <c r="C480" s="1" t="str">
        <f>_xlfn.XLOOKUP(Clients_Churn[[#This Row],[Province_Client]],Logs_Reseau!B:B,Logs_Reseau!E:E,"Pas de correspondance")</f>
        <v>ANT-0332</v>
      </c>
      <c r="D480" s="1" t="s">
        <v>1674</v>
      </c>
      <c r="E480">
        <v>20</v>
      </c>
      <c r="F480" s="1" t="s">
        <v>14</v>
      </c>
      <c r="G480">
        <v>93</v>
      </c>
      <c r="H480">
        <v>84.45</v>
      </c>
      <c r="I480">
        <v>0</v>
      </c>
    </row>
    <row r="481" spans="1:9" x14ac:dyDescent="0.25">
      <c r="A481" s="1" t="s">
        <v>495</v>
      </c>
      <c r="B481" s="1" t="s">
        <v>529</v>
      </c>
      <c r="C481" s="1" t="str">
        <f>_xlfn.XLOOKUP(Clients_Churn[[#This Row],[Province_Client]],Logs_Reseau!B:B,Logs_Reseau!E:E,"Pas de correspondance")</f>
        <v>ANT-0850</v>
      </c>
      <c r="D481" s="1" t="s">
        <v>51</v>
      </c>
      <c r="E481">
        <v>100</v>
      </c>
      <c r="F481" s="1" t="s">
        <v>22</v>
      </c>
      <c r="G481">
        <v>240</v>
      </c>
      <c r="H481">
        <v>24.83</v>
      </c>
      <c r="I481">
        <v>4</v>
      </c>
    </row>
    <row r="482" spans="1:9" x14ac:dyDescent="0.25">
      <c r="A482" s="1" t="s">
        <v>495</v>
      </c>
      <c r="B482" s="1" t="s">
        <v>530</v>
      </c>
      <c r="C482" s="1" t="str">
        <f>_xlfn.XLOOKUP(Clients_Churn[[#This Row],[Province_Client]],Logs_Reseau!B:B,Logs_Reseau!E:E,"Pas de correspondance")</f>
        <v>ANT-0731</v>
      </c>
      <c r="D482" s="1" t="s">
        <v>1676</v>
      </c>
      <c r="E482">
        <v>84</v>
      </c>
      <c r="F482" s="1" t="s">
        <v>19</v>
      </c>
      <c r="G482">
        <v>380</v>
      </c>
      <c r="H482">
        <v>82.3</v>
      </c>
      <c r="I482">
        <v>1</v>
      </c>
    </row>
    <row r="483" spans="1:9" x14ac:dyDescent="0.25">
      <c r="A483" s="1" t="s">
        <v>495</v>
      </c>
      <c r="B483" s="1" t="s">
        <v>531</v>
      </c>
      <c r="C483" s="1" t="str">
        <f>_xlfn.XLOOKUP(Clients_Churn[[#This Row],[Province_Client]],Logs_Reseau!B:B,Logs_Reseau!E:E,"Pas de correspondance")</f>
        <v>ANT-0850</v>
      </c>
      <c r="D483" s="1" t="s">
        <v>51</v>
      </c>
      <c r="E483">
        <v>19</v>
      </c>
      <c r="F483" s="1" t="s">
        <v>19</v>
      </c>
      <c r="G483">
        <v>71</v>
      </c>
      <c r="H483">
        <v>68.2</v>
      </c>
      <c r="I483">
        <v>0</v>
      </c>
    </row>
    <row r="484" spans="1:9" x14ac:dyDescent="0.25">
      <c r="A484" s="1" t="s">
        <v>495</v>
      </c>
      <c r="B484" s="1" t="s">
        <v>532</v>
      </c>
      <c r="C484" s="1" t="str">
        <f>_xlfn.XLOOKUP(Clients_Churn[[#This Row],[Province_Client]],Logs_Reseau!B:B,Logs_Reseau!E:E,"Pas de correspondance")</f>
        <v>ANT-0760</v>
      </c>
      <c r="D484" s="1" t="s">
        <v>35</v>
      </c>
      <c r="E484">
        <v>41</v>
      </c>
      <c r="F484" s="1" t="s">
        <v>11</v>
      </c>
      <c r="G484">
        <v>383</v>
      </c>
      <c r="H484">
        <v>27.53</v>
      </c>
      <c r="I484">
        <v>4</v>
      </c>
    </row>
    <row r="485" spans="1:9" x14ac:dyDescent="0.25">
      <c r="A485" s="1" t="s">
        <v>495</v>
      </c>
      <c r="B485" s="1" t="s">
        <v>533</v>
      </c>
      <c r="C485" s="1" t="str">
        <f>_xlfn.XLOOKUP(Clients_Churn[[#This Row],[Province_Client]],Logs_Reseau!B:B,Logs_Reseau!E:E,"Pas de correspondance")</f>
        <v>ANT-0852</v>
      </c>
      <c r="D485" s="1" t="s">
        <v>21</v>
      </c>
      <c r="E485">
        <v>19</v>
      </c>
      <c r="F485" s="1" t="s">
        <v>11</v>
      </c>
      <c r="G485">
        <v>270</v>
      </c>
      <c r="H485">
        <v>19.760000000000002</v>
      </c>
      <c r="I485">
        <v>3</v>
      </c>
    </row>
    <row r="486" spans="1:9" x14ac:dyDescent="0.25">
      <c r="A486" s="1" t="s">
        <v>495</v>
      </c>
      <c r="B486" s="1" t="s">
        <v>534</v>
      </c>
      <c r="C486" s="1" t="str">
        <f>_xlfn.XLOOKUP(Clients_Churn[[#This Row],[Province_Client]],Logs_Reseau!B:B,Logs_Reseau!E:E,"Pas de correspondance")</f>
        <v>ANT-0134</v>
      </c>
      <c r="D486" s="1" t="s">
        <v>40</v>
      </c>
      <c r="E486">
        <v>50</v>
      </c>
      <c r="F486" s="1" t="s">
        <v>22</v>
      </c>
      <c r="G486">
        <v>357</v>
      </c>
      <c r="H486">
        <v>17</v>
      </c>
      <c r="I486">
        <v>3</v>
      </c>
    </row>
    <row r="487" spans="1:9" x14ac:dyDescent="0.25">
      <c r="A487" s="1" t="s">
        <v>495</v>
      </c>
      <c r="B487" s="1" t="s">
        <v>535</v>
      </c>
      <c r="C487" s="1" t="str">
        <f>_xlfn.XLOOKUP(Clients_Churn[[#This Row],[Province_Client]],Logs_Reseau!B:B,Logs_Reseau!E:E,"Pas de correspondance")</f>
        <v>ANT-0166</v>
      </c>
      <c r="D487" s="1" t="s">
        <v>31</v>
      </c>
      <c r="E487">
        <v>58</v>
      </c>
      <c r="F487" s="1" t="s">
        <v>11</v>
      </c>
      <c r="G487">
        <v>485</v>
      </c>
      <c r="H487">
        <v>64.290000000000006</v>
      </c>
      <c r="I487">
        <v>4</v>
      </c>
    </row>
    <row r="488" spans="1:9" x14ac:dyDescent="0.25">
      <c r="A488" s="1" t="s">
        <v>495</v>
      </c>
      <c r="B488" s="1" t="s">
        <v>536</v>
      </c>
      <c r="C488" s="1" t="str">
        <f>_xlfn.XLOOKUP(Clients_Churn[[#This Row],[Province_Client]],Logs_Reseau!B:B,Logs_Reseau!E:E,"Pas de correspondance")</f>
        <v>ANT-0250</v>
      </c>
      <c r="D488" s="1" t="s">
        <v>78</v>
      </c>
      <c r="E488">
        <v>93</v>
      </c>
      <c r="F488" s="1" t="s">
        <v>14</v>
      </c>
      <c r="G488">
        <v>153</v>
      </c>
      <c r="H488">
        <v>86.19</v>
      </c>
      <c r="I488">
        <v>0</v>
      </c>
    </row>
    <row r="489" spans="1:9" x14ac:dyDescent="0.25">
      <c r="A489" s="1" t="s">
        <v>495</v>
      </c>
      <c r="B489" s="1" t="s">
        <v>537</v>
      </c>
      <c r="C489" s="1" t="str">
        <f>_xlfn.XLOOKUP(Clients_Churn[[#This Row],[Province_Client]],Logs_Reseau!B:B,Logs_Reseau!E:E,"Pas de correspondance")</f>
        <v>ANT-0850</v>
      </c>
      <c r="D489" s="1" t="s">
        <v>51</v>
      </c>
      <c r="E489">
        <v>102</v>
      </c>
      <c r="F489" s="1" t="s">
        <v>22</v>
      </c>
      <c r="G489">
        <v>240</v>
      </c>
      <c r="H489">
        <v>12.52</v>
      </c>
      <c r="I489">
        <v>2</v>
      </c>
    </row>
    <row r="490" spans="1:9" x14ac:dyDescent="0.25">
      <c r="A490" s="1" t="s">
        <v>495</v>
      </c>
      <c r="B490" s="1" t="s">
        <v>538</v>
      </c>
      <c r="C490" s="1" t="str">
        <f>_xlfn.XLOOKUP(Clients_Churn[[#This Row],[Province_Client]],Logs_Reseau!B:B,Logs_Reseau!E:E,"Pas de correspondance")</f>
        <v>ANT-0852</v>
      </c>
      <c r="D490" s="1" t="s">
        <v>21</v>
      </c>
      <c r="E490">
        <v>101</v>
      </c>
      <c r="F490" s="1" t="s">
        <v>14</v>
      </c>
      <c r="G490">
        <v>210</v>
      </c>
      <c r="H490">
        <v>35.4</v>
      </c>
      <c r="I490">
        <v>1</v>
      </c>
    </row>
    <row r="491" spans="1:9" x14ac:dyDescent="0.25">
      <c r="A491" s="1" t="s">
        <v>495</v>
      </c>
      <c r="B491" s="1" t="s">
        <v>540</v>
      </c>
      <c r="C491" s="1" t="str">
        <f>_xlfn.XLOOKUP(Clients_Churn[[#This Row],[Province_Client]],Logs_Reseau!B:B,Logs_Reseau!E:E,"Pas de correspondance")</f>
        <v>ANT-0737</v>
      </c>
      <c r="D491" s="1" t="s">
        <v>62</v>
      </c>
      <c r="E491">
        <v>105</v>
      </c>
      <c r="F491" s="1" t="s">
        <v>22</v>
      </c>
      <c r="G491">
        <v>172</v>
      </c>
      <c r="H491">
        <v>15.88</v>
      </c>
      <c r="I491">
        <v>5</v>
      </c>
    </row>
    <row r="492" spans="1:9" x14ac:dyDescent="0.25">
      <c r="A492" s="1" t="s">
        <v>495</v>
      </c>
      <c r="B492" s="1" t="s">
        <v>541</v>
      </c>
      <c r="C492" s="1" t="str">
        <f>_xlfn.XLOOKUP(Clients_Churn[[#This Row],[Province_Client]],Logs_Reseau!B:B,Logs_Reseau!E:E,"Pas de correspondance")</f>
        <v>ANT-0166</v>
      </c>
      <c r="D492" s="1" t="s">
        <v>31</v>
      </c>
      <c r="E492">
        <v>9</v>
      </c>
      <c r="F492" s="1" t="s">
        <v>22</v>
      </c>
      <c r="G492">
        <v>227</v>
      </c>
      <c r="H492">
        <v>63.74</v>
      </c>
      <c r="I492">
        <v>3</v>
      </c>
    </row>
    <row r="493" spans="1:9" x14ac:dyDescent="0.25">
      <c r="A493" s="1" t="s">
        <v>495</v>
      </c>
      <c r="B493" s="1" t="s">
        <v>542</v>
      </c>
      <c r="C493" s="1" t="str">
        <f>_xlfn.XLOOKUP(Clients_Churn[[#This Row],[Province_Client]],Logs_Reseau!B:B,Logs_Reseau!E:E,"Pas de correspondance")</f>
        <v>ANT-0011</v>
      </c>
      <c r="D493" s="1" t="s">
        <v>44</v>
      </c>
      <c r="E493">
        <v>15</v>
      </c>
      <c r="F493" s="1" t="s">
        <v>19</v>
      </c>
      <c r="G493">
        <v>400</v>
      </c>
      <c r="H493">
        <v>78.09</v>
      </c>
      <c r="I493">
        <v>0</v>
      </c>
    </row>
    <row r="494" spans="1:9" x14ac:dyDescent="0.25">
      <c r="A494" s="1" t="s">
        <v>495</v>
      </c>
      <c r="B494" s="1" t="s">
        <v>543</v>
      </c>
      <c r="C494" s="1" t="str">
        <f>_xlfn.XLOOKUP(Clients_Churn[[#This Row],[Province_Client]],Logs_Reseau!B:B,Logs_Reseau!E:E,"Pas de correspondance")</f>
        <v>ANT-0332</v>
      </c>
      <c r="D494" s="1" t="s">
        <v>1674</v>
      </c>
      <c r="E494">
        <v>74</v>
      </c>
      <c r="F494" s="1" t="s">
        <v>22</v>
      </c>
      <c r="G494">
        <v>330</v>
      </c>
      <c r="H494">
        <v>37.82</v>
      </c>
      <c r="I494">
        <v>5</v>
      </c>
    </row>
    <row r="495" spans="1:9" x14ac:dyDescent="0.25">
      <c r="A495" s="1" t="s">
        <v>495</v>
      </c>
      <c r="B495" s="1" t="s">
        <v>544</v>
      </c>
      <c r="C495" s="1" t="str">
        <f>_xlfn.XLOOKUP(Clients_Churn[[#This Row],[Province_Client]],Logs_Reseau!B:B,Logs_Reseau!E:E,"Pas de correspondance")</f>
        <v>ANT-0037</v>
      </c>
      <c r="D495" s="1" t="s">
        <v>10</v>
      </c>
      <c r="E495">
        <v>55</v>
      </c>
      <c r="F495" s="1" t="s">
        <v>19</v>
      </c>
      <c r="G495">
        <v>355</v>
      </c>
      <c r="H495">
        <v>59.65</v>
      </c>
      <c r="I495">
        <v>0</v>
      </c>
    </row>
    <row r="496" spans="1:9" x14ac:dyDescent="0.25">
      <c r="A496" s="1" t="s">
        <v>495</v>
      </c>
      <c r="B496" s="1" t="s">
        <v>545</v>
      </c>
      <c r="C496" s="1" t="str">
        <f>_xlfn.XLOOKUP(Clients_Churn[[#This Row],[Province_Client]],Logs_Reseau!B:B,Logs_Reseau!E:E,"Pas de correspondance")</f>
        <v>ANT-0945</v>
      </c>
      <c r="D496" s="1" t="s">
        <v>73</v>
      </c>
      <c r="E496">
        <v>94</v>
      </c>
      <c r="F496" s="1" t="s">
        <v>22</v>
      </c>
      <c r="G496">
        <v>6</v>
      </c>
      <c r="H496">
        <v>67.459999999999994</v>
      </c>
      <c r="I496">
        <v>5</v>
      </c>
    </row>
    <row r="497" spans="1:9" x14ac:dyDescent="0.25">
      <c r="A497" s="1" t="s">
        <v>546</v>
      </c>
      <c r="B497" s="1" t="s">
        <v>547</v>
      </c>
      <c r="C497" s="1" t="str">
        <f>_xlfn.XLOOKUP(Clients_Churn[[#This Row],[Province_Client]],Logs_Reseau!B:B,Logs_Reseau!E:E,"Pas de correspondance")</f>
        <v>ANT-0855</v>
      </c>
      <c r="D497" s="1" t="s">
        <v>16</v>
      </c>
      <c r="E497">
        <v>120</v>
      </c>
      <c r="F497" s="1" t="s">
        <v>19</v>
      </c>
      <c r="G497">
        <v>27</v>
      </c>
      <c r="H497">
        <v>24.46</v>
      </c>
      <c r="I497">
        <v>3</v>
      </c>
    </row>
    <row r="498" spans="1:9" x14ac:dyDescent="0.25">
      <c r="A498" s="1" t="s">
        <v>546</v>
      </c>
      <c r="B498" s="1" t="s">
        <v>548</v>
      </c>
      <c r="C498" s="1" t="str">
        <f>_xlfn.XLOOKUP(Clients_Churn[[#This Row],[Province_Client]],Logs_Reseau!B:B,Logs_Reseau!E:E,"Pas de correspondance")</f>
        <v>ANT-0011</v>
      </c>
      <c r="D498" s="1" t="s">
        <v>44</v>
      </c>
      <c r="E498">
        <v>38</v>
      </c>
      <c r="F498" s="1" t="s">
        <v>19</v>
      </c>
      <c r="G498">
        <v>108</v>
      </c>
      <c r="H498">
        <v>72.7</v>
      </c>
      <c r="I498">
        <v>3</v>
      </c>
    </row>
    <row r="499" spans="1:9" x14ac:dyDescent="0.25">
      <c r="A499" s="1" t="s">
        <v>546</v>
      </c>
      <c r="B499" s="1" t="s">
        <v>549</v>
      </c>
      <c r="C499" s="1" t="str">
        <f>_xlfn.XLOOKUP(Clients_Churn[[#This Row],[Province_Client]],Logs_Reseau!B:B,Logs_Reseau!E:E,"Pas de correspondance")</f>
        <v>ANT-0258</v>
      </c>
      <c r="D499" s="1" t="s">
        <v>137</v>
      </c>
      <c r="E499">
        <v>21</v>
      </c>
      <c r="F499" s="1" t="s">
        <v>22</v>
      </c>
      <c r="G499">
        <v>444</v>
      </c>
      <c r="H499">
        <v>41.92</v>
      </c>
      <c r="I499">
        <v>3</v>
      </c>
    </row>
    <row r="500" spans="1:9" x14ac:dyDescent="0.25">
      <c r="A500" s="1" t="s">
        <v>546</v>
      </c>
      <c r="B500" s="1" t="s">
        <v>550</v>
      </c>
      <c r="C500" s="1" t="str">
        <f>_xlfn.XLOOKUP(Clients_Churn[[#This Row],[Province_Client]],Logs_Reseau!B:B,Logs_Reseau!E:E,"Pas de correspondance")</f>
        <v>ANT-0465</v>
      </c>
      <c r="D500" s="1" t="s">
        <v>37</v>
      </c>
      <c r="E500">
        <v>9</v>
      </c>
      <c r="F500" s="1" t="s">
        <v>19</v>
      </c>
      <c r="G500">
        <v>11</v>
      </c>
      <c r="H500">
        <v>72.36</v>
      </c>
      <c r="I500">
        <v>2</v>
      </c>
    </row>
    <row r="501" spans="1:9" x14ac:dyDescent="0.25">
      <c r="A501" s="1" t="s">
        <v>546</v>
      </c>
      <c r="B501" s="1" t="s">
        <v>551</v>
      </c>
      <c r="C501" s="1" t="str">
        <f>_xlfn.XLOOKUP(Clients_Churn[[#This Row],[Province_Client]],Logs_Reseau!B:B,Logs_Reseau!E:E,"Pas de correspondance")</f>
        <v>ANT-0332</v>
      </c>
      <c r="D501" s="1" t="s">
        <v>1674</v>
      </c>
      <c r="E501">
        <v>36</v>
      </c>
      <c r="F501" s="1" t="s">
        <v>22</v>
      </c>
      <c r="G501">
        <v>487</v>
      </c>
      <c r="H501">
        <v>45.02</v>
      </c>
      <c r="I501">
        <v>2</v>
      </c>
    </row>
    <row r="502" spans="1:9" x14ac:dyDescent="0.25">
      <c r="A502" s="1" t="s">
        <v>546</v>
      </c>
      <c r="B502" s="1" t="s">
        <v>552</v>
      </c>
      <c r="C502" s="1" t="str">
        <f>_xlfn.XLOOKUP(Clients_Churn[[#This Row],[Province_Client]],Logs_Reseau!B:B,Logs_Reseau!E:E,"Pas de correspondance")</f>
        <v>ANT-0945</v>
      </c>
      <c r="D502" s="1" t="s">
        <v>73</v>
      </c>
      <c r="E502">
        <v>74</v>
      </c>
      <c r="F502" s="1" t="s">
        <v>19</v>
      </c>
      <c r="G502">
        <v>388</v>
      </c>
      <c r="H502">
        <v>10.89</v>
      </c>
      <c r="I502">
        <v>4</v>
      </c>
    </row>
    <row r="503" spans="1:9" x14ac:dyDescent="0.25">
      <c r="A503" s="1" t="s">
        <v>546</v>
      </c>
      <c r="B503" s="1" t="s">
        <v>553</v>
      </c>
      <c r="C503" s="1" t="str">
        <f>_xlfn.XLOOKUP(Clients_Churn[[#This Row],[Province_Client]],Logs_Reseau!B:B,Logs_Reseau!E:E,"Pas de correspondance")</f>
        <v>ANT-0945</v>
      </c>
      <c r="D503" s="1" t="s">
        <v>73</v>
      </c>
      <c r="E503">
        <v>47</v>
      </c>
      <c r="F503" s="1" t="s">
        <v>11</v>
      </c>
      <c r="G503">
        <v>350</v>
      </c>
      <c r="H503">
        <v>80.48</v>
      </c>
      <c r="I503">
        <v>3</v>
      </c>
    </row>
    <row r="504" spans="1:9" x14ac:dyDescent="0.25">
      <c r="A504" s="1" t="s">
        <v>546</v>
      </c>
      <c r="B504" s="1" t="s">
        <v>554</v>
      </c>
      <c r="C504" s="1" t="str">
        <f>_xlfn.XLOOKUP(Clients_Churn[[#This Row],[Province_Client]],Logs_Reseau!B:B,Logs_Reseau!E:E,"Pas de correspondance")</f>
        <v>ANT-0371</v>
      </c>
      <c r="D504" s="1" t="s">
        <v>18</v>
      </c>
      <c r="E504">
        <v>46</v>
      </c>
      <c r="F504" s="1" t="s">
        <v>14</v>
      </c>
      <c r="G504">
        <v>216</v>
      </c>
      <c r="H504">
        <v>63.74</v>
      </c>
      <c r="I504">
        <v>4</v>
      </c>
    </row>
    <row r="505" spans="1:9" x14ac:dyDescent="0.25">
      <c r="A505" s="1" t="s">
        <v>546</v>
      </c>
      <c r="B505" s="1" t="s">
        <v>555</v>
      </c>
      <c r="C505" s="1" t="str">
        <f>_xlfn.XLOOKUP(Clients_Churn[[#This Row],[Province_Client]],Logs_Reseau!B:B,Logs_Reseau!E:E,"Pas de correspondance")</f>
        <v>ANT-0166</v>
      </c>
      <c r="D505" s="1" t="s">
        <v>31</v>
      </c>
      <c r="E505">
        <v>12</v>
      </c>
      <c r="F505" s="1" t="s">
        <v>22</v>
      </c>
      <c r="G505">
        <v>138</v>
      </c>
      <c r="H505">
        <v>17</v>
      </c>
      <c r="I505">
        <v>2</v>
      </c>
    </row>
    <row r="506" spans="1:9" x14ac:dyDescent="0.25">
      <c r="A506" s="1" t="s">
        <v>546</v>
      </c>
      <c r="B506" s="1" t="s">
        <v>556</v>
      </c>
      <c r="C506" s="1" t="str">
        <f>_xlfn.XLOOKUP(Clients_Churn[[#This Row],[Province_Client]],Logs_Reseau!B:B,Logs_Reseau!E:E,"Pas de correspondance")</f>
        <v>ANT-0855</v>
      </c>
      <c r="D506" s="1" t="s">
        <v>16</v>
      </c>
      <c r="E506">
        <v>10</v>
      </c>
      <c r="F506" s="1" t="s">
        <v>14</v>
      </c>
      <c r="G506">
        <v>129</v>
      </c>
      <c r="H506">
        <v>70.12</v>
      </c>
      <c r="I506">
        <v>0</v>
      </c>
    </row>
    <row r="507" spans="1:9" x14ac:dyDescent="0.25">
      <c r="A507" s="1" t="s">
        <v>546</v>
      </c>
      <c r="B507" s="1" t="s">
        <v>557</v>
      </c>
      <c r="C507" s="1" t="str">
        <f>_xlfn.XLOOKUP(Clients_Churn[[#This Row],[Province_Client]],Logs_Reseau!B:B,Logs_Reseau!E:E,"Pas de correspondance")</f>
        <v>ANT-0945</v>
      </c>
      <c r="D507" s="1" t="s">
        <v>73</v>
      </c>
      <c r="E507">
        <v>23</v>
      </c>
      <c r="F507" s="1" t="s">
        <v>19</v>
      </c>
      <c r="G507">
        <v>325</v>
      </c>
      <c r="H507">
        <v>65.489999999999995</v>
      </c>
      <c r="I507">
        <v>1</v>
      </c>
    </row>
    <row r="508" spans="1:9" x14ac:dyDescent="0.25">
      <c r="A508" s="1" t="s">
        <v>546</v>
      </c>
      <c r="B508" s="1" t="s">
        <v>558</v>
      </c>
      <c r="C508" s="1" t="str">
        <f>_xlfn.XLOOKUP(Clients_Churn[[#This Row],[Province_Client]],Logs_Reseau!B:B,Logs_Reseau!E:E,"Pas de correspondance")</f>
        <v>ANT-0258</v>
      </c>
      <c r="D508" s="1" t="s">
        <v>137</v>
      </c>
      <c r="E508">
        <v>91</v>
      </c>
      <c r="F508" s="1" t="s">
        <v>22</v>
      </c>
      <c r="G508">
        <v>90</v>
      </c>
      <c r="H508">
        <v>39.14</v>
      </c>
      <c r="I508">
        <v>3</v>
      </c>
    </row>
    <row r="509" spans="1:9" x14ac:dyDescent="0.25">
      <c r="A509" s="1" t="s">
        <v>546</v>
      </c>
      <c r="B509" s="1" t="s">
        <v>559</v>
      </c>
      <c r="C509" s="1" t="str">
        <f>_xlfn.XLOOKUP(Clients_Churn[[#This Row],[Province_Client]],Logs_Reseau!B:B,Logs_Reseau!E:E,"Pas de correspondance")</f>
        <v>ANT-0250</v>
      </c>
      <c r="D509" s="1" t="s">
        <v>78</v>
      </c>
      <c r="E509">
        <v>99</v>
      </c>
      <c r="F509" s="1" t="s">
        <v>14</v>
      </c>
      <c r="G509">
        <v>42</v>
      </c>
      <c r="H509">
        <v>98.77</v>
      </c>
      <c r="I509">
        <v>3</v>
      </c>
    </row>
    <row r="510" spans="1:9" x14ac:dyDescent="0.25">
      <c r="A510" s="1" t="s">
        <v>546</v>
      </c>
      <c r="B510" s="1" t="s">
        <v>560</v>
      </c>
      <c r="C510" s="1" t="str">
        <f>_xlfn.XLOOKUP(Clients_Churn[[#This Row],[Province_Client]],Logs_Reseau!B:B,Logs_Reseau!E:E,"Pas de correspondance")</f>
        <v>ANT-0797</v>
      </c>
      <c r="D510" s="1" t="s">
        <v>127</v>
      </c>
      <c r="E510">
        <v>59</v>
      </c>
      <c r="F510" s="1" t="s">
        <v>14</v>
      </c>
      <c r="G510">
        <v>72</v>
      </c>
      <c r="H510">
        <v>94.51</v>
      </c>
      <c r="I510">
        <v>2</v>
      </c>
    </row>
    <row r="511" spans="1:9" x14ac:dyDescent="0.25">
      <c r="A511" s="1" t="s">
        <v>546</v>
      </c>
      <c r="B511" s="1" t="s">
        <v>561</v>
      </c>
      <c r="C511" s="1" t="str">
        <f>_xlfn.XLOOKUP(Clients_Churn[[#This Row],[Province_Client]],Logs_Reseau!B:B,Logs_Reseau!E:E,"Pas de correspondance")</f>
        <v>ANT-0624</v>
      </c>
      <c r="D511" s="1" t="s">
        <v>24</v>
      </c>
      <c r="E511">
        <v>34</v>
      </c>
      <c r="F511" s="1" t="s">
        <v>19</v>
      </c>
      <c r="G511">
        <v>35</v>
      </c>
      <c r="H511">
        <v>76.86</v>
      </c>
      <c r="I511">
        <v>1</v>
      </c>
    </row>
    <row r="512" spans="1:9" x14ac:dyDescent="0.25">
      <c r="A512" s="1" t="s">
        <v>546</v>
      </c>
      <c r="B512" s="1" t="s">
        <v>562</v>
      </c>
      <c r="C512" s="1" t="str">
        <f>_xlfn.XLOOKUP(Clients_Churn[[#This Row],[Province_Client]],Logs_Reseau!B:B,Logs_Reseau!E:E,"Pas de correspondance")</f>
        <v>ANT-0011</v>
      </c>
      <c r="D512" s="1" t="s">
        <v>44</v>
      </c>
      <c r="E512">
        <v>61</v>
      </c>
      <c r="F512" s="1" t="s">
        <v>11</v>
      </c>
      <c r="G512">
        <v>140</v>
      </c>
      <c r="H512">
        <v>76.3</v>
      </c>
      <c r="I512">
        <v>4</v>
      </c>
    </row>
    <row r="513" spans="1:9" x14ac:dyDescent="0.25">
      <c r="A513" s="1" t="s">
        <v>546</v>
      </c>
      <c r="B513" s="1" t="s">
        <v>563</v>
      </c>
      <c r="C513" s="1" t="str">
        <f>_xlfn.XLOOKUP(Clients_Churn[[#This Row],[Province_Client]],Logs_Reseau!B:B,Logs_Reseau!E:E,"Pas de correspondance")</f>
        <v>ANT-0250</v>
      </c>
      <c r="D513" s="1" t="s">
        <v>78</v>
      </c>
      <c r="E513">
        <v>33</v>
      </c>
      <c r="F513" s="1" t="s">
        <v>14</v>
      </c>
      <c r="G513">
        <v>207</v>
      </c>
      <c r="H513">
        <v>38.49</v>
      </c>
      <c r="I513">
        <v>4</v>
      </c>
    </row>
    <row r="514" spans="1:9" x14ac:dyDescent="0.25">
      <c r="A514" s="1" t="s">
        <v>546</v>
      </c>
      <c r="B514" s="1" t="s">
        <v>564</v>
      </c>
      <c r="C514" s="1" t="str">
        <f>_xlfn.XLOOKUP(Clients_Churn[[#This Row],[Province_Client]],Logs_Reseau!B:B,Logs_Reseau!E:E,"Pas de correspondance")</f>
        <v>ANT-0760</v>
      </c>
      <c r="D514" s="1" t="s">
        <v>35</v>
      </c>
      <c r="E514">
        <v>98</v>
      </c>
      <c r="F514" s="1" t="s">
        <v>14</v>
      </c>
      <c r="G514">
        <v>41</v>
      </c>
      <c r="H514">
        <v>23.55</v>
      </c>
      <c r="I514">
        <v>1</v>
      </c>
    </row>
    <row r="515" spans="1:9" x14ac:dyDescent="0.25">
      <c r="A515" s="1" t="s">
        <v>546</v>
      </c>
      <c r="B515" s="1" t="s">
        <v>565</v>
      </c>
      <c r="C515" s="1" t="str">
        <f>_xlfn.XLOOKUP(Clients_Churn[[#This Row],[Province_Client]],Logs_Reseau!B:B,Logs_Reseau!E:E,"Pas de correspondance")</f>
        <v>ANT-0852</v>
      </c>
      <c r="D515" s="1" t="s">
        <v>21</v>
      </c>
      <c r="E515">
        <v>113</v>
      </c>
      <c r="F515" s="1" t="s">
        <v>14</v>
      </c>
      <c r="G515">
        <v>152</v>
      </c>
      <c r="H515">
        <v>51.28</v>
      </c>
      <c r="I515">
        <v>4</v>
      </c>
    </row>
    <row r="516" spans="1:9" x14ac:dyDescent="0.25">
      <c r="A516" s="1" t="s">
        <v>546</v>
      </c>
      <c r="B516" s="1" t="s">
        <v>566</v>
      </c>
      <c r="C516" s="1" t="str">
        <f>_xlfn.XLOOKUP(Clients_Churn[[#This Row],[Province_Client]],Logs_Reseau!B:B,Logs_Reseau!E:E,"Pas de correspondance")</f>
        <v>ANT-0166</v>
      </c>
      <c r="D516" s="1" t="s">
        <v>31</v>
      </c>
      <c r="E516">
        <v>57</v>
      </c>
      <c r="F516" s="1" t="s">
        <v>19</v>
      </c>
      <c r="G516">
        <v>447</v>
      </c>
      <c r="H516">
        <v>23.27</v>
      </c>
      <c r="I516">
        <v>3</v>
      </c>
    </row>
    <row r="517" spans="1:9" x14ac:dyDescent="0.25">
      <c r="A517" s="1" t="s">
        <v>546</v>
      </c>
      <c r="B517" s="1" t="s">
        <v>567</v>
      </c>
      <c r="C517" s="1" t="str">
        <f>_xlfn.XLOOKUP(Clients_Churn[[#This Row],[Province_Client]],Logs_Reseau!B:B,Logs_Reseau!E:E,"Pas de correspondance")</f>
        <v>ANT-0037</v>
      </c>
      <c r="D517" s="1" t="s">
        <v>10</v>
      </c>
      <c r="E517">
        <v>84</v>
      </c>
      <c r="F517" s="1" t="s">
        <v>19</v>
      </c>
      <c r="G517">
        <v>364</v>
      </c>
      <c r="H517">
        <v>87.79</v>
      </c>
      <c r="I517">
        <v>3</v>
      </c>
    </row>
    <row r="518" spans="1:9" x14ac:dyDescent="0.25">
      <c r="A518" s="1" t="s">
        <v>546</v>
      </c>
      <c r="B518" s="1" t="s">
        <v>568</v>
      </c>
      <c r="C518" s="1" t="str">
        <f>_xlfn.XLOOKUP(Clients_Churn[[#This Row],[Province_Client]],Logs_Reseau!B:B,Logs_Reseau!E:E,"Pas de correspondance")</f>
        <v>ANT-0737</v>
      </c>
      <c r="D518" s="1" t="s">
        <v>62</v>
      </c>
      <c r="E518">
        <v>119</v>
      </c>
      <c r="F518" s="1" t="s">
        <v>22</v>
      </c>
      <c r="G518">
        <v>231</v>
      </c>
      <c r="H518">
        <v>20.22</v>
      </c>
      <c r="I518">
        <v>2</v>
      </c>
    </row>
    <row r="519" spans="1:9" x14ac:dyDescent="0.25">
      <c r="A519" s="1" t="s">
        <v>546</v>
      </c>
      <c r="B519" s="1" t="s">
        <v>569</v>
      </c>
      <c r="C519" s="1" t="str">
        <f>_xlfn.XLOOKUP(Clients_Churn[[#This Row],[Province_Client]],Logs_Reseau!B:B,Logs_Reseau!E:E,"Pas de correspondance")</f>
        <v>ANT-0465</v>
      </c>
      <c r="D519" s="1" t="s">
        <v>37</v>
      </c>
      <c r="E519">
        <v>18</v>
      </c>
      <c r="F519" s="1" t="s">
        <v>19</v>
      </c>
      <c r="G519">
        <v>446</v>
      </c>
      <c r="H519">
        <v>97.3</v>
      </c>
      <c r="I519">
        <v>5</v>
      </c>
    </row>
    <row r="520" spans="1:9" x14ac:dyDescent="0.25">
      <c r="A520" s="1" t="s">
        <v>546</v>
      </c>
      <c r="B520" s="1" t="s">
        <v>570</v>
      </c>
      <c r="C520" s="1" t="str">
        <f>_xlfn.XLOOKUP(Clients_Churn[[#This Row],[Province_Client]],Logs_Reseau!B:B,Logs_Reseau!E:E,"Pas de correspondance")</f>
        <v>ANT-0258</v>
      </c>
      <c r="D520" s="1" t="s">
        <v>137</v>
      </c>
      <c r="E520">
        <v>16</v>
      </c>
      <c r="F520" s="1" t="s">
        <v>14</v>
      </c>
      <c r="G520">
        <v>214</v>
      </c>
      <c r="H520">
        <v>46.57</v>
      </c>
      <c r="I520">
        <v>5</v>
      </c>
    </row>
    <row r="521" spans="1:9" x14ac:dyDescent="0.25">
      <c r="A521" s="1" t="s">
        <v>546</v>
      </c>
      <c r="B521" s="1" t="s">
        <v>571</v>
      </c>
      <c r="C521" s="1" t="str">
        <f>_xlfn.XLOOKUP(Clients_Churn[[#This Row],[Province_Client]],Logs_Reseau!B:B,Logs_Reseau!E:E,"Pas de correspondance")</f>
        <v>ANT-0271</v>
      </c>
      <c r="D521" s="1" t="s">
        <v>13</v>
      </c>
      <c r="E521">
        <v>73</v>
      </c>
      <c r="F521" s="1" t="s">
        <v>14</v>
      </c>
      <c r="G521">
        <v>268</v>
      </c>
      <c r="H521">
        <v>56.86</v>
      </c>
      <c r="I521">
        <v>5</v>
      </c>
    </row>
    <row r="522" spans="1:9" x14ac:dyDescent="0.25">
      <c r="A522" s="1" t="s">
        <v>546</v>
      </c>
      <c r="B522" s="1" t="s">
        <v>572</v>
      </c>
      <c r="C522" s="1" t="str">
        <f>_xlfn.XLOOKUP(Clients_Churn[[#This Row],[Province_Client]],Logs_Reseau!B:B,Logs_Reseau!E:E,"Pas de correspondance")</f>
        <v>ANT-0553</v>
      </c>
      <c r="D522" s="1" t="s">
        <v>131</v>
      </c>
      <c r="E522">
        <v>63</v>
      </c>
      <c r="F522" s="1" t="s">
        <v>22</v>
      </c>
      <c r="G522">
        <v>109</v>
      </c>
      <c r="H522">
        <v>10.33</v>
      </c>
      <c r="I522">
        <v>3</v>
      </c>
    </row>
    <row r="523" spans="1:9" x14ac:dyDescent="0.25">
      <c r="A523" s="1" t="s">
        <v>546</v>
      </c>
      <c r="B523" s="1" t="s">
        <v>573</v>
      </c>
      <c r="C523" s="1" t="str">
        <f>_xlfn.XLOOKUP(Clients_Churn[[#This Row],[Province_Client]],Logs_Reseau!B:B,Logs_Reseau!E:E,"Pas de correspondance")</f>
        <v>ANT-0731</v>
      </c>
      <c r="D523" s="1" t="s">
        <v>1676</v>
      </c>
      <c r="E523">
        <v>6</v>
      </c>
      <c r="F523" s="1" t="s">
        <v>14</v>
      </c>
      <c r="G523">
        <v>342</v>
      </c>
      <c r="H523">
        <v>50.55</v>
      </c>
      <c r="I523">
        <v>5</v>
      </c>
    </row>
    <row r="524" spans="1:9" x14ac:dyDescent="0.25">
      <c r="A524" s="1" t="s">
        <v>546</v>
      </c>
      <c r="B524" s="1" t="s">
        <v>574</v>
      </c>
      <c r="C524" s="1" t="str">
        <f>_xlfn.XLOOKUP(Clients_Churn[[#This Row],[Province_Client]],Logs_Reseau!B:B,Logs_Reseau!E:E,"Pas de correspondance")</f>
        <v>ANT-0270</v>
      </c>
      <c r="D524" s="1" t="s">
        <v>1675</v>
      </c>
      <c r="E524">
        <v>47</v>
      </c>
      <c r="F524" s="1" t="s">
        <v>11</v>
      </c>
      <c r="G524">
        <v>457</v>
      </c>
      <c r="H524">
        <v>84.93</v>
      </c>
      <c r="I524">
        <v>2</v>
      </c>
    </row>
    <row r="525" spans="1:9" x14ac:dyDescent="0.25">
      <c r="A525" s="1" t="s">
        <v>546</v>
      </c>
      <c r="B525" s="1" t="s">
        <v>575</v>
      </c>
      <c r="C525" s="1" t="str">
        <f>_xlfn.XLOOKUP(Clients_Churn[[#This Row],[Province_Client]],Logs_Reseau!B:B,Logs_Reseau!E:E,"Pas de correspondance")</f>
        <v>ANT-0166</v>
      </c>
      <c r="D525" s="1" t="s">
        <v>31</v>
      </c>
      <c r="E525">
        <v>110</v>
      </c>
      <c r="F525" s="1" t="s">
        <v>19</v>
      </c>
      <c r="G525">
        <v>132</v>
      </c>
      <c r="H525">
        <v>21.31</v>
      </c>
      <c r="I525">
        <v>5</v>
      </c>
    </row>
    <row r="526" spans="1:9" x14ac:dyDescent="0.25">
      <c r="A526" s="1" t="s">
        <v>546</v>
      </c>
      <c r="B526" s="1" t="s">
        <v>576</v>
      </c>
      <c r="C526" s="1" t="str">
        <f>_xlfn.XLOOKUP(Clients_Churn[[#This Row],[Province_Client]],Logs_Reseau!B:B,Logs_Reseau!E:E,"Pas de correspondance")</f>
        <v>ANT-0166</v>
      </c>
      <c r="D526" s="1" t="s">
        <v>31</v>
      </c>
      <c r="E526">
        <v>37</v>
      </c>
      <c r="F526" s="1" t="s">
        <v>11</v>
      </c>
      <c r="G526">
        <v>94</v>
      </c>
      <c r="H526">
        <v>50.44</v>
      </c>
      <c r="I526">
        <v>4</v>
      </c>
    </row>
    <row r="527" spans="1:9" x14ac:dyDescent="0.25">
      <c r="A527" s="1" t="s">
        <v>546</v>
      </c>
      <c r="B527" s="1" t="s">
        <v>577</v>
      </c>
      <c r="C527" s="1" t="str">
        <f>_xlfn.XLOOKUP(Clients_Churn[[#This Row],[Province_Client]],Logs_Reseau!B:B,Logs_Reseau!E:E,"Pas de correspondance")</f>
        <v>ANT-0134</v>
      </c>
      <c r="D527" s="1" t="s">
        <v>40</v>
      </c>
      <c r="E527">
        <v>52</v>
      </c>
      <c r="F527" s="1" t="s">
        <v>11</v>
      </c>
      <c r="G527">
        <v>425</v>
      </c>
      <c r="H527">
        <v>97.25</v>
      </c>
      <c r="I527">
        <v>0</v>
      </c>
    </row>
    <row r="528" spans="1:9" x14ac:dyDescent="0.25">
      <c r="A528" s="1" t="s">
        <v>546</v>
      </c>
      <c r="B528" s="1" t="s">
        <v>578</v>
      </c>
      <c r="C528" s="1" t="str">
        <f>_xlfn.XLOOKUP(Clients_Churn[[#This Row],[Province_Client]],Logs_Reseau!B:B,Logs_Reseau!E:E,"Pas de correspondance")</f>
        <v>ANT-0011</v>
      </c>
      <c r="D528" s="1" t="s">
        <v>44</v>
      </c>
      <c r="E528">
        <v>53</v>
      </c>
      <c r="F528" s="1" t="s">
        <v>14</v>
      </c>
      <c r="G528">
        <v>27</v>
      </c>
      <c r="H528">
        <v>18.77</v>
      </c>
      <c r="I528">
        <v>0</v>
      </c>
    </row>
    <row r="529" spans="1:9" x14ac:dyDescent="0.25">
      <c r="A529" s="1" t="s">
        <v>546</v>
      </c>
      <c r="B529" s="1" t="s">
        <v>579</v>
      </c>
      <c r="C529" s="1" t="str">
        <f>_xlfn.XLOOKUP(Clients_Churn[[#This Row],[Province_Client]],Logs_Reseau!B:B,Logs_Reseau!E:E,"Pas de correspondance")</f>
        <v>ANT-0935</v>
      </c>
      <c r="D529" s="1" t="s">
        <v>89</v>
      </c>
      <c r="E529">
        <v>110</v>
      </c>
      <c r="F529" s="1" t="s">
        <v>22</v>
      </c>
      <c r="G529">
        <v>47</v>
      </c>
      <c r="H529">
        <v>29.68</v>
      </c>
      <c r="I529">
        <v>0</v>
      </c>
    </row>
    <row r="530" spans="1:9" x14ac:dyDescent="0.25">
      <c r="A530" s="1" t="s">
        <v>546</v>
      </c>
      <c r="B530" s="1" t="s">
        <v>580</v>
      </c>
      <c r="C530" s="1" t="str">
        <f>_xlfn.XLOOKUP(Clients_Churn[[#This Row],[Province_Client]],Logs_Reseau!B:B,Logs_Reseau!E:E,"Pas de correspondance")</f>
        <v>ANT-0855</v>
      </c>
      <c r="D530" s="1" t="s">
        <v>16</v>
      </c>
      <c r="E530">
        <v>80</v>
      </c>
      <c r="F530" s="1" t="s">
        <v>14</v>
      </c>
      <c r="G530">
        <v>458</v>
      </c>
      <c r="H530">
        <v>98.11</v>
      </c>
      <c r="I530">
        <v>0</v>
      </c>
    </row>
    <row r="531" spans="1:9" x14ac:dyDescent="0.25">
      <c r="A531" s="1" t="s">
        <v>546</v>
      </c>
      <c r="B531" s="1" t="s">
        <v>581</v>
      </c>
      <c r="C531" s="1" t="str">
        <f>_xlfn.XLOOKUP(Clients_Churn[[#This Row],[Province_Client]],Logs_Reseau!B:B,Logs_Reseau!E:E,"Pas de correspondance")</f>
        <v>ANT-0566</v>
      </c>
      <c r="D531" s="1" t="s">
        <v>26</v>
      </c>
      <c r="E531">
        <v>118</v>
      </c>
      <c r="F531" s="1" t="s">
        <v>19</v>
      </c>
      <c r="G531">
        <v>461</v>
      </c>
      <c r="H531">
        <v>47.82</v>
      </c>
      <c r="I531">
        <v>5</v>
      </c>
    </row>
    <row r="532" spans="1:9" x14ac:dyDescent="0.25">
      <c r="A532" s="1" t="s">
        <v>546</v>
      </c>
      <c r="B532" s="1" t="s">
        <v>582</v>
      </c>
      <c r="C532" s="1" t="str">
        <f>_xlfn.XLOOKUP(Clients_Churn[[#This Row],[Province_Client]],Logs_Reseau!B:B,Logs_Reseau!E:E,"Pas de correspondance")</f>
        <v>ANT-0850</v>
      </c>
      <c r="D532" s="1" t="s">
        <v>51</v>
      </c>
      <c r="E532">
        <v>88</v>
      </c>
      <c r="F532" s="1" t="s">
        <v>11</v>
      </c>
      <c r="G532">
        <v>219</v>
      </c>
      <c r="H532">
        <v>59.15</v>
      </c>
      <c r="I532">
        <v>0</v>
      </c>
    </row>
    <row r="533" spans="1:9" x14ac:dyDescent="0.25">
      <c r="A533" s="1" t="s">
        <v>546</v>
      </c>
      <c r="B533" s="1" t="s">
        <v>583</v>
      </c>
      <c r="C533" s="1" t="str">
        <f>_xlfn.XLOOKUP(Clients_Churn[[#This Row],[Province_Client]],Logs_Reseau!B:B,Logs_Reseau!E:E,"Pas de correspondance")</f>
        <v>ANT-0624</v>
      </c>
      <c r="D533" s="1" t="s">
        <v>24</v>
      </c>
      <c r="E533">
        <v>17</v>
      </c>
      <c r="F533" s="1" t="s">
        <v>14</v>
      </c>
      <c r="G533">
        <v>175</v>
      </c>
      <c r="H533">
        <v>24.95</v>
      </c>
      <c r="I533">
        <v>4</v>
      </c>
    </row>
    <row r="534" spans="1:9" x14ac:dyDescent="0.25">
      <c r="A534" s="1" t="s">
        <v>546</v>
      </c>
      <c r="B534" s="1" t="s">
        <v>584</v>
      </c>
      <c r="C534" s="1" t="str">
        <f>_xlfn.XLOOKUP(Clients_Churn[[#This Row],[Province_Client]],Logs_Reseau!B:B,Logs_Reseau!E:E,"Pas de correspondance")</f>
        <v>ANT-0913</v>
      </c>
      <c r="D534" s="1" t="s">
        <v>64</v>
      </c>
      <c r="E534">
        <v>57</v>
      </c>
      <c r="F534" s="1" t="s">
        <v>19</v>
      </c>
      <c r="G534">
        <v>493</v>
      </c>
      <c r="H534">
        <v>43.98</v>
      </c>
      <c r="I534">
        <v>3</v>
      </c>
    </row>
    <row r="535" spans="1:9" x14ac:dyDescent="0.25">
      <c r="A535" s="1" t="s">
        <v>546</v>
      </c>
      <c r="B535" s="1" t="s">
        <v>585</v>
      </c>
      <c r="C535" s="1" t="str">
        <f>_xlfn.XLOOKUP(Clients_Churn[[#This Row],[Province_Client]],Logs_Reseau!B:B,Logs_Reseau!E:E,"Pas de correspondance")</f>
        <v>ANT-0011</v>
      </c>
      <c r="D535" s="1" t="s">
        <v>44</v>
      </c>
      <c r="E535">
        <v>47</v>
      </c>
      <c r="F535" s="1" t="s">
        <v>22</v>
      </c>
      <c r="G535">
        <v>385</v>
      </c>
      <c r="H535">
        <v>41.33</v>
      </c>
      <c r="I535">
        <v>0</v>
      </c>
    </row>
    <row r="536" spans="1:9" x14ac:dyDescent="0.25">
      <c r="A536" s="1" t="s">
        <v>546</v>
      </c>
      <c r="B536" s="1" t="s">
        <v>586</v>
      </c>
      <c r="C536" s="1" t="str">
        <f>_xlfn.XLOOKUP(Clients_Churn[[#This Row],[Province_Client]],Logs_Reseau!B:B,Logs_Reseau!E:E,"Pas de correspondance")</f>
        <v>ANT-0258</v>
      </c>
      <c r="D536" s="1" t="s">
        <v>137</v>
      </c>
      <c r="E536">
        <v>66</v>
      </c>
      <c r="F536" s="1" t="s">
        <v>14</v>
      </c>
      <c r="G536">
        <v>152</v>
      </c>
      <c r="H536">
        <v>95.71</v>
      </c>
      <c r="I536">
        <v>3</v>
      </c>
    </row>
    <row r="537" spans="1:9" x14ac:dyDescent="0.25">
      <c r="A537" s="1" t="s">
        <v>546</v>
      </c>
      <c r="B537" s="1" t="s">
        <v>587</v>
      </c>
      <c r="C537" s="1" t="str">
        <f>_xlfn.XLOOKUP(Clients_Churn[[#This Row],[Province_Client]],Logs_Reseau!B:B,Logs_Reseau!E:E,"Pas de correspondance")</f>
        <v>ANT-0760</v>
      </c>
      <c r="D537" s="1" t="s">
        <v>35</v>
      </c>
      <c r="E537">
        <v>109</v>
      </c>
      <c r="F537" s="1" t="s">
        <v>22</v>
      </c>
      <c r="G537">
        <v>84</v>
      </c>
      <c r="H537">
        <v>97.46</v>
      </c>
      <c r="I537">
        <v>5</v>
      </c>
    </row>
    <row r="538" spans="1:9" x14ac:dyDescent="0.25">
      <c r="A538" s="1" t="s">
        <v>546</v>
      </c>
      <c r="B538" s="1" t="s">
        <v>588</v>
      </c>
      <c r="C538" s="1" t="str">
        <f>_xlfn.XLOOKUP(Clients_Churn[[#This Row],[Province_Client]],Logs_Reseau!B:B,Logs_Reseau!E:E,"Pas de correspondance")</f>
        <v>ANT-0315</v>
      </c>
      <c r="D538" s="1" t="s">
        <v>60</v>
      </c>
      <c r="E538">
        <v>80</v>
      </c>
      <c r="F538" s="1" t="s">
        <v>22</v>
      </c>
      <c r="G538">
        <v>101</v>
      </c>
      <c r="H538">
        <v>61.92</v>
      </c>
      <c r="I538">
        <v>4</v>
      </c>
    </row>
    <row r="539" spans="1:9" x14ac:dyDescent="0.25">
      <c r="A539" s="1" t="s">
        <v>546</v>
      </c>
      <c r="B539" s="1" t="s">
        <v>589</v>
      </c>
      <c r="C539" s="1" t="str">
        <f>_xlfn.XLOOKUP(Clients_Churn[[#This Row],[Province_Client]],Logs_Reseau!B:B,Logs_Reseau!E:E,"Pas de correspondance")</f>
        <v>ANT-0624</v>
      </c>
      <c r="D539" s="1" t="s">
        <v>24</v>
      </c>
      <c r="E539">
        <v>41</v>
      </c>
      <c r="F539" s="1" t="s">
        <v>11</v>
      </c>
      <c r="G539">
        <v>178</v>
      </c>
      <c r="H539">
        <v>11.29</v>
      </c>
      <c r="I539">
        <v>4</v>
      </c>
    </row>
    <row r="540" spans="1:9" x14ac:dyDescent="0.25">
      <c r="A540" s="1" t="s">
        <v>546</v>
      </c>
      <c r="B540" s="1" t="s">
        <v>590</v>
      </c>
      <c r="C540" s="1" t="str">
        <f>_xlfn.XLOOKUP(Clients_Churn[[#This Row],[Province_Client]],Logs_Reseau!B:B,Logs_Reseau!E:E,"Pas de correspondance")</f>
        <v>ANT-0624</v>
      </c>
      <c r="D540" s="1" t="s">
        <v>24</v>
      </c>
      <c r="E540">
        <v>48</v>
      </c>
      <c r="F540" s="1" t="s">
        <v>19</v>
      </c>
      <c r="G540">
        <v>482</v>
      </c>
      <c r="H540">
        <v>83.24</v>
      </c>
      <c r="I540">
        <v>0</v>
      </c>
    </row>
    <row r="541" spans="1:9" x14ac:dyDescent="0.25">
      <c r="A541" s="1" t="s">
        <v>546</v>
      </c>
      <c r="B541" s="1" t="s">
        <v>591</v>
      </c>
      <c r="C541" s="1" t="str">
        <f>_xlfn.XLOOKUP(Clients_Churn[[#This Row],[Province_Client]],Logs_Reseau!B:B,Logs_Reseau!E:E,"Pas de correspondance")</f>
        <v>ANT-0134</v>
      </c>
      <c r="D541" s="1" t="s">
        <v>40</v>
      </c>
      <c r="E541">
        <v>11</v>
      </c>
      <c r="F541" s="1" t="s">
        <v>14</v>
      </c>
      <c r="G541">
        <v>214</v>
      </c>
      <c r="H541">
        <v>11.46</v>
      </c>
      <c r="I541">
        <v>5</v>
      </c>
    </row>
    <row r="542" spans="1:9" x14ac:dyDescent="0.25">
      <c r="A542" s="1" t="s">
        <v>546</v>
      </c>
      <c r="B542" s="1" t="s">
        <v>592</v>
      </c>
      <c r="C542" s="1" t="str">
        <f>_xlfn.XLOOKUP(Clients_Churn[[#This Row],[Province_Client]],Logs_Reseau!B:B,Logs_Reseau!E:E,"Pas de correspondance")</f>
        <v>ANT-0566</v>
      </c>
      <c r="D542" s="1" t="s">
        <v>26</v>
      </c>
      <c r="E542">
        <v>88</v>
      </c>
      <c r="F542" s="1" t="s">
        <v>19</v>
      </c>
      <c r="G542">
        <v>246</v>
      </c>
      <c r="H542">
        <v>90.7</v>
      </c>
      <c r="I542">
        <v>3</v>
      </c>
    </row>
    <row r="543" spans="1:9" x14ac:dyDescent="0.25">
      <c r="A543" s="1" t="s">
        <v>546</v>
      </c>
      <c r="B543" s="1" t="s">
        <v>593</v>
      </c>
      <c r="C543" s="1" t="str">
        <f>_xlfn.XLOOKUP(Clients_Churn[[#This Row],[Province_Client]],Logs_Reseau!B:B,Logs_Reseau!E:E,"Pas de correspondance")</f>
        <v>ANT-0850</v>
      </c>
      <c r="D543" s="1" t="s">
        <v>51</v>
      </c>
      <c r="E543">
        <v>53</v>
      </c>
      <c r="F543" s="1" t="s">
        <v>11</v>
      </c>
      <c r="G543">
        <v>243</v>
      </c>
      <c r="H543">
        <v>55.19</v>
      </c>
      <c r="I543">
        <v>4</v>
      </c>
    </row>
    <row r="544" spans="1:9" x14ac:dyDescent="0.25">
      <c r="A544" s="1" t="s">
        <v>546</v>
      </c>
      <c r="B544" s="1" t="s">
        <v>594</v>
      </c>
      <c r="C544" s="1" t="str">
        <f>_xlfn.XLOOKUP(Clients_Churn[[#This Row],[Province_Client]],Logs_Reseau!B:B,Logs_Reseau!E:E,"Pas de correspondance")</f>
        <v>ANT-0797</v>
      </c>
      <c r="D544" s="1" t="s">
        <v>127</v>
      </c>
      <c r="E544">
        <v>65</v>
      </c>
      <c r="F544" s="1" t="s">
        <v>14</v>
      </c>
      <c r="G544">
        <v>274</v>
      </c>
      <c r="H544">
        <v>88.1</v>
      </c>
      <c r="I544">
        <v>4</v>
      </c>
    </row>
    <row r="545" spans="1:9" x14ac:dyDescent="0.25">
      <c r="A545" s="1" t="s">
        <v>546</v>
      </c>
      <c r="B545" s="1" t="s">
        <v>595</v>
      </c>
      <c r="C545" s="1" t="str">
        <f>_xlfn.XLOOKUP(Clients_Churn[[#This Row],[Province_Client]],Logs_Reseau!B:B,Logs_Reseau!E:E,"Pas de correspondance")</f>
        <v>ANT-0250</v>
      </c>
      <c r="D545" s="1" t="s">
        <v>78</v>
      </c>
      <c r="E545">
        <v>58</v>
      </c>
      <c r="F545" s="1" t="s">
        <v>14</v>
      </c>
      <c r="G545">
        <v>352</v>
      </c>
      <c r="H545">
        <v>72.94</v>
      </c>
      <c r="I545">
        <v>0</v>
      </c>
    </row>
    <row r="546" spans="1:9" x14ac:dyDescent="0.25">
      <c r="A546" s="1" t="s">
        <v>546</v>
      </c>
      <c r="B546" s="1" t="s">
        <v>596</v>
      </c>
      <c r="C546" s="1" t="str">
        <f>_xlfn.XLOOKUP(Clients_Churn[[#This Row],[Province_Client]],Logs_Reseau!B:B,Logs_Reseau!E:E,"Pas de correspondance")</f>
        <v>ANT-0332</v>
      </c>
      <c r="D546" s="1" t="s">
        <v>1674</v>
      </c>
      <c r="E546">
        <v>34</v>
      </c>
      <c r="F546" s="1" t="s">
        <v>22</v>
      </c>
      <c r="G546">
        <v>401</v>
      </c>
      <c r="H546">
        <v>68.400000000000006</v>
      </c>
      <c r="I546">
        <v>5</v>
      </c>
    </row>
    <row r="547" spans="1:9" x14ac:dyDescent="0.25">
      <c r="A547" s="1" t="s">
        <v>597</v>
      </c>
      <c r="B547" s="1" t="s">
        <v>598</v>
      </c>
      <c r="C547" s="1" t="str">
        <f>_xlfn.XLOOKUP(Clients_Churn[[#This Row],[Province_Client]],Logs_Reseau!B:B,Logs_Reseau!E:E,"Pas de correspondance")</f>
        <v>ANT-0731</v>
      </c>
      <c r="D547" s="1" t="s">
        <v>1676</v>
      </c>
      <c r="E547">
        <v>51</v>
      </c>
      <c r="F547" s="1" t="s">
        <v>22</v>
      </c>
      <c r="G547">
        <v>152</v>
      </c>
      <c r="H547">
        <v>34.630000000000003</v>
      </c>
      <c r="I547">
        <v>2</v>
      </c>
    </row>
    <row r="548" spans="1:9" x14ac:dyDescent="0.25">
      <c r="A548" s="1" t="s">
        <v>597</v>
      </c>
      <c r="B548" s="1" t="s">
        <v>599</v>
      </c>
      <c r="C548" s="1" t="str">
        <f>_xlfn.XLOOKUP(Clients_Churn[[#This Row],[Province_Client]],Logs_Reseau!B:B,Logs_Reseau!E:E,"Pas de correspondance")</f>
        <v>ANT-0258</v>
      </c>
      <c r="D548" s="1" t="s">
        <v>137</v>
      </c>
      <c r="E548">
        <v>25</v>
      </c>
      <c r="F548" s="1" t="s">
        <v>19</v>
      </c>
      <c r="G548">
        <v>5</v>
      </c>
      <c r="H548">
        <v>27.93</v>
      </c>
      <c r="I548">
        <v>0</v>
      </c>
    </row>
    <row r="549" spans="1:9" x14ac:dyDescent="0.25">
      <c r="A549" s="1" t="s">
        <v>597</v>
      </c>
      <c r="B549" s="1" t="s">
        <v>600</v>
      </c>
      <c r="C549" s="1" t="str">
        <f>_xlfn.XLOOKUP(Clients_Churn[[#This Row],[Province_Client]],Logs_Reseau!B:B,Logs_Reseau!E:E,"Pas de correspondance")</f>
        <v>ANT-0797</v>
      </c>
      <c r="D549" s="1" t="s">
        <v>127</v>
      </c>
      <c r="E549">
        <v>79</v>
      </c>
      <c r="F549" s="1" t="s">
        <v>19</v>
      </c>
      <c r="G549">
        <v>462</v>
      </c>
      <c r="H549">
        <v>18.28</v>
      </c>
      <c r="I549">
        <v>0</v>
      </c>
    </row>
    <row r="550" spans="1:9" x14ac:dyDescent="0.25">
      <c r="A550" s="1" t="s">
        <v>597</v>
      </c>
      <c r="B550" s="1" t="s">
        <v>601</v>
      </c>
      <c r="C550" s="1" t="str">
        <f>_xlfn.XLOOKUP(Clients_Churn[[#This Row],[Province_Client]],Logs_Reseau!B:B,Logs_Reseau!E:E,"Pas de correspondance")</f>
        <v>ANT-0315</v>
      </c>
      <c r="D550" s="1" t="s">
        <v>60</v>
      </c>
      <c r="E550">
        <v>83</v>
      </c>
      <c r="F550" s="1" t="s">
        <v>14</v>
      </c>
      <c r="G550">
        <v>91</v>
      </c>
      <c r="H550">
        <v>73.73</v>
      </c>
      <c r="I550">
        <v>2</v>
      </c>
    </row>
    <row r="551" spans="1:9" x14ac:dyDescent="0.25">
      <c r="A551" s="1" t="s">
        <v>597</v>
      </c>
      <c r="B551" s="1" t="s">
        <v>602</v>
      </c>
      <c r="C551" s="1" t="str">
        <f>_xlfn.XLOOKUP(Clients_Churn[[#This Row],[Province_Client]],Logs_Reseau!B:B,Logs_Reseau!E:E,"Pas de correspondance")</f>
        <v>ANT-0553</v>
      </c>
      <c r="D551" s="1" t="s">
        <v>131</v>
      </c>
      <c r="E551">
        <v>51</v>
      </c>
      <c r="F551" s="1" t="s">
        <v>19</v>
      </c>
      <c r="G551">
        <v>337</v>
      </c>
      <c r="H551">
        <v>68.67</v>
      </c>
      <c r="I551">
        <v>5</v>
      </c>
    </row>
    <row r="552" spans="1:9" x14ac:dyDescent="0.25">
      <c r="A552" s="1" t="s">
        <v>597</v>
      </c>
      <c r="B552" s="1" t="s">
        <v>603</v>
      </c>
      <c r="C552" s="1" t="str">
        <f>_xlfn.XLOOKUP(Clients_Churn[[#This Row],[Province_Client]],Logs_Reseau!B:B,Logs_Reseau!E:E,"Pas de correspondance")</f>
        <v>ANT-0850</v>
      </c>
      <c r="D552" s="1" t="s">
        <v>51</v>
      </c>
      <c r="E552">
        <v>107</v>
      </c>
      <c r="F552" s="1" t="s">
        <v>22</v>
      </c>
      <c r="G552">
        <v>290</v>
      </c>
      <c r="H552">
        <v>52.03</v>
      </c>
      <c r="I552">
        <v>0</v>
      </c>
    </row>
    <row r="553" spans="1:9" x14ac:dyDescent="0.25">
      <c r="A553" s="1" t="s">
        <v>597</v>
      </c>
      <c r="B553" s="1" t="s">
        <v>604</v>
      </c>
      <c r="C553" s="1" t="str">
        <f>_xlfn.XLOOKUP(Clients_Churn[[#This Row],[Province_Client]],Logs_Reseau!B:B,Logs_Reseau!E:E,"Pas de correspondance")</f>
        <v>ANT-0270</v>
      </c>
      <c r="D553" s="1" t="s">
        <v>1675</v>
      </c>
      <c r="E553">
        <v>7</v>
      </c>
      <c r="F553" s="1" t="s">
        <v>14</v>
      </c>
      <c r="G553">
        <v>323</v>
      </c>
      <c r="H553">
        <v>82.81</v>
      </c>
      <c r="I553">
        <v>5</v>
      </c>
    </row>
    <row r="554" spans="1:9" x14ac:dyDescent="0.25">
      <c r="A554" s="1" t="s">
        <v>597</v>
      </c>
      <c r="B554" s="1" t="s">
        <v>605</v>
      </c>
      <c r="C554" s="1" t="str">
        <f>_xlfn.XLOOKUP(Clients_Churn[[#This Row],[Province_Client]],Logs_Reseau!B:B,Logs_Reseau!E:E,"Pas de correspondance")</f>
        <v>ANT-0566</v>
      </c>
      <c r="D554" s="1" t="s">
        <v>26</v>
      </c>
      <c r="E554">
        <v>103</v>
      </c>
      <c r="F554" s="1" t="s">
        <v>11</v>
      </c>
      <c r="G554">
        <v>310</v>
      </c>
      <c r="H554">
        <v>49.25</v>
      </c>
      <c r="I554">
        <v>2</v>
      </c>
    </row>
    <row r="555" spans="1:9" x14ac:dyDescent="0.25">
      <c r="A555" s="1" t="s">
        <v>597</v>
      </c>
      <c r="B555" s="1" t="s">
        <v>606</v>
      </c>
      <c r="C555" s="1" t="str">
        <f>_xlfn.XLOOKUP(Clients_Churn[[#This Row],[Province_Client]],Logs_Reseau!B:B,Logs_Reseau!E:E,"Pas de correspondance")</f>
        <v>ANT-0850</v>
      </c>
      <c r="D555" s="1" t="s">
        <v>51</v>
      </c>
      <c r="E555">
        <v>120</v>
      </c>
      <c r="F555" s="1" t="s">
        <v>22</v>
      </c>
      <c r="G555">
        <v>437</v>
      </c>
      <c r="H555">
        <v>95.17</v>
      </c>
      <c r="I555">
        <v>1</v>
      </c>
    </row>
    <row r="556" spans="1:9" x14ac:dyDescent="0.25">
      <c r="A556" s="1" t="s">
        <v>597</v>
      </c>
      <c r="B556" s="1" t="s">
        <v>607</v>
      </c>
      <c r="C556" s="1" t="str">
        <f>_xlfn.XLOOKUP(Clients_Churn[[#This Row],[Province_Client]],Logs_Reseau!B:B,Logs_Reseau!E:E,"Pas de correspondance")</f>
        <v>ANT-0852</v>
      </c>
      <c r="D556" s="1" t="s">
        <v>21</v>
      </c>
      <c r="E556">
        <v>74</v>
      </c>
      <c r="F556" s="1" t="s">
        <v>22</v>
      </c>
      <c r="G556">
        <v>16</v>
      </c>
      <c r="H556">
        <v>93.01</v>
      </c>
      <c r="I556">
        <v>3</v>
      </c>
    </row>
    <row r="557" spans="1:9" x14ac:dyDescent="0.25">
      <c r="A557" s="1" t="s">
        <v>597</v>
      </c>
      <c r="B557" s="1" t="s">
        <v>608</v>
      </c>
      <c r="C557" s="1" t="str">
        <f>_xlfn.XLOOKUP(Clients_Churn[[#This Row],[Province_Client]],Logs_Reseau!B:B,Logs_Reseau!E:E,"Pas de correspondance")</f>
        <v>ANT-0624</v>
      </c>
      <c r="D557" s="1" t="s">
        <v>24</v>
      </c>
      <c r="E557">
        <v>55</v>
      </c>
      <c r="F557" s="1" t="s">
        <v>22</v>
      </c>
      <c r="G557">
        <v>60</v>
      </c>
      <c r="H557">
        <v>32.51</v>
      </c>
      <c r="I557">
        <v>4</v>
      </c>
    </row>
    <row r="558" spans="1:9" x14ac:dyDescent="0.25">
      <c r="A558" s="1" t="s">
        <v>597</v>
      </c>
      <c r="B558" s="1" t="s">
        <v>609</v>
      </c>
      <c r="C558" s="1" t="str">
        <f>_xlfn.XLOOKUP(Clients_Churn[[#This Row],[Province_Client]],Logs_Reseau!B:B,Logs_Reseau!E:E,"Pas de correspondance")</f>
        <v>ANT-0797</v>
      </c>
      <c r="D558" s="1" t="s">
        <v>127</v>
      </c>
      <c r="E558">
        <v>17</v>
      </c>
      <c r="F558" s="1" t="s">
        <v>11</v>
      </c>
      <c r="G558">
        <v>499</v>
      </c>
      <c r="H558">
        <v>27.81</v>
      </c>
      <c r="I558">
        <v>2</v>
      </c>
    </row>
    <row r="559" spans="1:9" x14ac:dyDescent="0.25">
      <c r="A559" s="1" t="s">
        <v>597</v>
      </c>
      <c r="B559" s="1" t="s">
        <v>610</v>
      </c>
      <c r="C559" s="1" t="str">
        <f>_xlfn.XLOOKUP(Clients_Churn[[#This Row],[Province_Client]],Logs_Reseau!B:B,Logs_Reseau!E:E,"Pas de correspondance")</f>
        <v>ANT-0037</v>
      </c>
      <c r="D559" s="1" t="s">
        <v>10</v>
      </c>
      <c r="E559">
        <v>82</v>
      </c>
      <c r="F559" s="1" t="s">
        <v>22</v>
      </c>
      <c r="G559">
        <v>175</v>
      </c>
      <c r="H559">
        <v>86.14</v>
      </c>
      <c r="I559">
        <v>1</v>
      </c>
    </row>
    <row r="560" spans="1:9" x14ac:dyDescent="0.25">
      <c r="A560" s="1" t="s">
        <v>597</v>
      </c>
      <c r="B560" s="1" t="s">
        <v>611</v>
      </c>
      <c r="C560" s="1" t="str">
        <f>_xlfn.XLOOKUP(Clients_Churn[[#This Row],[Province_Client]],Logs_Reseau!B:B,Logs_Reseau!E:E,"Pas de correspondance")</f>
        <v>ANT-0855</v>
      </c>
      <c r="D560" s="1" t="s">
        <v>16</v>
      </c>
      <c r="E560">
        <v>50</v>
      </c>
      <c r="F560" s="1" t="s">
        <v>22</v>
      </c>
      <c r="G560">
        <v>177</v>
      </c>
      <c r="H560">
        <v>74.569999999999993</v>
      </c>
      <c r="I560">
        <v>4</v>
      </c>
    </row>
    <row r="561" spans="1:9" x14ac:dyDescent="0.25">
      <c r="A561" s="1" t="s">
        <v>597</v>
      </c>
      <c r="B561" s="1" t="s">
        <v>612</v>
      </c>
      <c r="C561" s="1" t="str">
        <f>_xlfn.XLOOKUP(Clients_Churn[[#This Row],[Province_Client]],Logs_Reseau!B:B,Logs_Reseau!E:E,"Pas de correspondance")</f>
        <v>ANT-0465</v>
      </c>
      <c r="D561" s="1" t="s">
        <v>37</v>
      </c>
      <c r="E561">
        <v>94</v>
      </c>
      <c r="F561" s="1" t="s">
        <v>14</v>
      </c>
      <c r="G561">
        <v>247</v>
      </c>
      <c r="H561">
        <v>96.57</v>
      </c>
      <c r="I561">
        <v>0</v>
      </c>
    </row>
    <row r="562" spans="1:9" x14ac:dyDescent="0.25">
      <c r="A562" s="1" t="s">
        <v>597</v>
      </c>
      <c r="B562" s="1" t="s">
        <v>613</v>
      </c>
      <c r="C562" s="1" t="str">
        <f>_xlfn.XLOOKUP(Clients_Churn[[#This Row],[Province_Client]],Logs_Reseau!B:B,Logs_Reseau!E:E,"Pas de correspondance")</f>
        <v>ANT-0624</v>
      </c>
      <c r="D562" s="1" t="s">
        <v>24</v>
      </c>
      <c r="E562">
        <v>23</v>
      </c>
      <c r="F562" s="1" t="s">
        <v>11</v>
      </c>
      <c r="G562">
        <v>314</v>
      </c>
      <c r="H562">
        <v>19.260000000000002</v>
      </c>
      <c r="I562">
        <v>3</v>
      </c>
    </row>
    <row r="563" spans="1:9" x14ac:dyDescent="0.25">
      <c r="A563" s="1" t="s">
        <v>597</v>
      </c>
      <c r="B563" s="1" t="s">
        <v>614</v>
      </c>
      <c r="C563" s="1" t="str">
        <f>_xlfn.XLOOKUP(Clients_Churn[[#This Row],[Province_Client]],Logs_Reseau!B:B,Logs_Reseau!E:E,"Pas de correspondance")</f>
        <v>ANT-0371</v>
      </c>
      <c r="D563" s="1" t="s">
        <v>18</v>
      </c>
      <c r="E563">
        <v>52</v>
      </c>
      <c r="F563" s="1" t="s">
        <v>19</v>
      </c>
      <c r="G563">
        <v>307</v>
      </c>
      <c r="H563">
        <v>81.38</v>
      </c>
      <c r="I563">
        <v>2</v>
      </c>
    </row>
    <row r="564" spans="1:9" x14ac:dyDescent="0.25">
      <c r="A564" s="1" t="s">
        <v>597</v>
      </c>
      <c r="B564" s="1" t="s">
        <v>615</v>
      </c>
      <c r="C564" s="1" t="str">
        <f>_xlfn.XLOOKUP(Clients_Churn[[#This Row],[Province_Client]],Logs_Reseau!B:B,Logs_Reseau!E:E,"Pas de correspondance")</f>
        <v>ANT-0553</v>
      </c>
      <c r="D564" s="1" t="s">
        <v>131</v>
      </c>
      <c r="E564">
        <v>116</v>
      </c>
      <c r="F564" s="1" t="s">
        <v>11</v>
      </c>
      <c r="G564">
        <v>279</v>
      </c>
      <c r="H564">
        <v>62.88</v>
      </c>
      <c r="I564">
        <v>4</v>
      </c>
    </row>
    <row r="565" spans="1:9" x14ac:dyDescent="0.25">
      <c r="A565" s="1" t="s">
        <v>597</v>
      </c>
      <c r="B565" s="1" t="s">
        <v>616</v>
      </c>
      <c r="C565" s="1" t="str">
        <f>_xlfn.XLOOKUP(Clients_Churn[[#This Row],[Province_Client]],Logs_Reseau!B:B,Logs_Reseau!E:E,"Pas de correspondance")</f>
        <v>ANT-0913</v>
      </c>
      <c r="D565" s="1" t="s">
        <v>64</v>
      </c>
      <c r="E565">
        <v>41</v>
      </c>
      <c r="F565" s="1" t="s">
        <v>19</v>
      </c>
      <c r="G565">
        <v>2</v>
      </c>
      <c r="H565">
        <v>24.91</v>
      </c>
      <c r="I565">
        <v>1</v>
      </c>
    </row>
    <row r="566" spans="1:9" x14ac:dyDescent="0.25">
      <c r="A566" s="1" t="s">
        <v>597</v>
      </c>
      <c r="B566" s="1" t="s">
        <v>617</v>
      </c>
      <c r="C566" s="1" t="str">
        <f>_xlfn.XLOOKUP(Clients_Churn[[#This Row],[Province_Client]],Logs_Reseau!B:B,Logs_Reseau!E:E,"Pas de correspondance")</f>
        <v>ANT-0852</v>
      </c>
      <c r="D566" s="1" t="s">
        <v>21</v>
      </c>
      <c r="E566">
        <v>67</v>
      </c>
      <c r="F566" s="1" t="s">
        <v>22</v>
      </c>
      <c r="G566">
        <v>81</v>
      </c>
      <c r="H566">
        <v>28.52</v>
      </c>
      <c r="I566">
        <v>4</v>
      </c>
    </row>
    <row r="567" spans="1:9" x14ac:dyDescent="0.25">
      <c r="A567" s="1" t="s">
        <v>597</v>
      </c>
      <c r="B567" s="1" t="s">
        <v>618</v>
      </c>
      <c r="C567" s="1" t="str">
        <f>_xlfn.XLOOKUP(Clients_Churn[[#This Row],[Province_Client]],Logs_Reseau!B:B,Logs_Reseau!E:E,"Pas de correspondance")</f>
        <v>ANT-0624</v>
      </c>
      <c r="D567" s="1" t="s">
        <v>24</v>
      </c>
      <c r="E567">
        <v>21</v>
      </c>
      <c r="F567" s="1" t="s">
        <v>19</v>
      </c>
      <c r="G567">
        <v>267</v>
      </c>
      <c r="H567">
        <v>74.989999999999995</v>
      </c>
      <c r="I567">
        <v>1</v>
      </c>
    </row>
    <row r="568" spans="1:9" x14ac:dyDescent="0.25">
      <c r="A568" s="1" t="s">
        <v>597</v>
      </c>
      <c r="B568" s="1" t="s">
        <v>619</v>
      </c>
      <c r="C568" s="1" t="str">
        <f>_xlfn.XLOOKUP(Clients_Churn[[#This Row],[Province_Client]],Logs_Reseau!B:B,Logs_Reseau!E:E,"Pas de correspondance")</f>
        <v>ANT-0731</v>
      </c>
      <c r="D568" s="1" t="s">
        <v>1676</v>
      </c>
      <c r="E568">
        <v>56</v>
      </c>
      <c r="F568" s="1" t="s">
        <v>19</v>
      </c>
      <c r="G568">
        <v>379</v>
      </c>
      <c r="H568">
        <v>49.01</v>
      </c>
      <c r="I568">
        <v>0</v>
      </c>
    </row>
    <row r="569" spans="1:9" x14ac:dyDescent="0.25">
      <c r="A569" s="1" t="s">
        <v>597</v>
      </c>
      <c r="B569" s="1" t="s">
        <v>620</v>
      </c>
      <c r="C569" s="1" t="str">
        <f>_xlfn.XLOOKUP(Clients_Churn[[#This Row],[Province_Client]],Logs_Reseau!B:B,Logs_Reseau!E:E,"Pas de correspondance")</f>
        <v>ANT-0945</v>
      </c>
      <c r="D569" s="1" t="s">
        <v>73</v>
      </c>
      <c r="E569">
        <v>30</v>
      </c>
      <c r="F569" s="1" t="s">
        <v>19</v>
      </c>
      <c r="G569">
        <v>130</v>
      </c>
      <c r="H569">
        <v>50.15</v>
      </c>
      <c r="I569">
        <v>4</v>
      </c>
    </row>
    <row r="570" spans="1:9" x14ac:dyDescent="0.25">
      <c r="A570" s="1" t="s">
        <v>597</v>
      </c>
      <c r="B570" s="1" t="s">
        <v>621</v>
      </c>
      <c r="C570" s="1" t="str">
        <f>_xlfn.XLOOKUP(Clients_Churn[[#This Row],[Province_Client]],Logs_Reseau!B:B,Logs_Reseau!E:E,"Pas de correspondance")</f>
        <v>ANT-0760</v>
      </c>
      <c r="D570" s="1" t="s">
        <v>35</v>
      </c>
      <c r="E570">
        <v>13</v>
      </c>
      <c r="F570" s="1" t="s">
        <v>14</v>
      </c>
      <c r="G570">
        <v>474</v>
      </c>
      <c r="H570">
        <v>63.67</v>
      </c>
      <c r="I570">
        <v>2</v>
      </c>
    </row>
    <row r="571" spans="1:9" x14ac:dyDescent="0.25">
      <c r="A571" s="1" t="s">
        <v>597</v>
      </c>
      <c r="B571" s="1" t="s">
        <v>622</v>
      </c>
      <c r="C571" s="1" t="str">
        <f>_xlfn.XLOOKUP(Clients_Churn[[#This Row],[Province_Client]],Logs_Reseau!B:B,Logs_Reseau!E:E,"Pas de correspondance")</f>
        <v>ANT-0520</v>
      </c>
      <c r="D571" s="1" t="s">
        <v>67</v>
      </c>
      <c r="E571">
        <v>91</v>
      </c>
      <c r="F571" s="1" t="s">
        <v>19</v>
      </c>
      <c r="G571">
        <v>62</v>
      </c>
      <c r="H571">
        <v>34.450000000000003</v>
      </c>
      <c r="I571">
        <v>5</v>
      </c>
    </row>
    <row r="572" spans="1:9" x14ac:dyDescent="0.25">
      <c r="A572" s="1" t="s">
        <v>597</v>
      </c>
      <c r="B572" s="1" t="s">
        <v>623</v>
      </c>
      <c r="C572" s="1" t="str">
        <f>_xlfn.XLOOKUP(Clients_Churn[[#This Row],[Province_Client]],Logs_Reseau!B:B,Logs_Reseau!E:E,"Pas de correspondance")</f>
        <v>ANT-0271</v>
      </c>
      <c r="D572" s="1" t="s">
        <v>13</v>
      </c>
      <c r="E572">
        <v>103</v>
      </c>
      <c r="F572" s="1" t="s">
        <v>19</v>
      </c>
      <c r="G572">
        <v>98</v>
      </c>
      <c r="H572">
        <v>38.69</v>
      </c>
      <c r="I572">
        <v>4</v>
      </c>
    </row>
    <row r="573" spans="1:9" x14ac:dyDescent="0.25">
      <c r="A573" s="1" t="s">
        <v>597</v>
      </c>
      <c r="B573" s="1" t="s">
        <v>624</v>
      </c>
      <c r="C573" s="1" t="str">
        <f>_xlfn.XLOOKUP(Clients_Churn[[#This Row],[Province_Client]],Logs_Reseau!B:B,Logs_Reseau!E:E,"Pas de correspondance")</f>
        <v>ANT-0520</v>
      </c>
      <c r="D573" s="1" t="s">
        <v>67</v>
      </c>
      <c r="E573">
        <v>17</v>
      </c>
      <c r="F573" s="1" t="s">
        <v>22</v>
      </c>
      <c r="G573">
        <v>310</v>
      </c>
      <c r="H573">
        <v>19.68</v>
      </c>
      <c r="I573">
        <v>5</v>
      </c>
    </row>
    <row r="574" spans="1:9" x14ac:dyDescent="0.25">
      <c r="A574" s="1" t="s">
        <v>597</v>
      </c>
      <c r="B574" s="1" t="s">
        <v>625</v>
      </c>
      <c r="C574" s="1" t="str">
        <f>_xlfn.XLOOKUP(Clients_Churn[[#This Row],[Province_Client]],Logs_Reseau!B:B,Logs_Reseau!E:E,"Pas de correspondance")</f>
        <v>ANT-0760</v>
      </c>
      <c r="D574" s="1" t="s">
        <v>35</v>
      </c>
      <c r="E574">
        <v>65</v>
      </c>
      <c r="F574" s="1" t="s">
        <v>11</v>
      </c>
      <c r="G574">
        <v>15</v>
      </c>
      <c r="H574">
        <v>44.47</v>
      </c>
      <c r="I574">
        <v>0</v>
      </c>
    </row>
    <row r="575" spans="1:9" x14ac:dyDescent="0.25">
      <c r="A575" s="1" t="s">
        <v>597</v>
      </c>
      <c r="B575" s="1" t="s">
        <v>626</v>
      </c>
      <c r="C575" s="1" t="str">
        <f>_xlfn.XLOOKUP(Clients_Churn[[#This Row],[Province_Client]],Logs_Reseau!B:B,Logs_Reseau!E:E,"Pas de correspondance")</f>
        <v>ANT-0624</v>
      </c>
      <c r="D575" s="1" t="s">
        <v>24</v>
      </c>
      <c r="E575">
        <v>16</v>
      </c>
      <c r="F575" s="1" t="s">
        <v>11</v>
      </c>
      <c r="G575">
        <v>274</v>
      </c>
      <c r="H575">
        <v>27.97</v>
      </c>
      <c r="I575">
        <v>4</v>
      </c>
    </row>
    <row r="576" spans="1:9" x14ac:dyDescent="0.25">
      <c r="A576" s="1" t="s">
        <v>597</v>
      </c>
      <c r="B576" s="1" t="s">
        <v>627</v>
      </c>
      <c r="C576" s="1" t="str">
        <f>_xlfn.XLOOKUP(Clients_Churn[[#This Row],[Province_Client]],Logs_Reseau!B:B,Logs_Reseau!E:E,"Pas de correspondance")</f>
        <v>ANT-0037</v>
      </c>
      <c r="D576" s="1" t="s">
        <v>10</v>
      </c>
      <c r="E576">
        <v>81</v>
      </c>
      <c r="F576" s="1" t="s">
        <v>22</v>
      </c>
      <c r="G576">
        <v>11</v>
      </c>
      <c r="H576">
        <v>41.76</v>
      </c>
      <c r="I576">
        <v>5</v>
      </c>
    </row>
    <row r="577" spans="1:9" x14ac:dyDescent="0.25">
      <c r="A577" s="1" t="s">
        <v>597</v>
      </c>
      <c r="B577" s="1" t="s">
        <v>628</v>
      </c>
      <c r="C577" s="1" t="str">
        <f>_xlfn.XLOOKUP(Clients_Churn[[#This Row],[Province_Client]],Logs_Reseau!B:B,Logs_Reseau!E:E,"Pas de correspondance")</f>
        <v>ANT-0271</v>
      </c>
      <c r="D577" s="1" t="s">
        <v>13</v>
      </c>
      <c r="E577">
        <v>74</v>
      </c>
      <c r="F577" s="1" t="s">
        <v>19</v>
      </c>
      <c r="G577">
        <v>265</v>
      </c>
      <c r="H577">
        <v>90.81</v>
      </c>
      <c r="I577">
        <v>3</v>
      </c>
    </row>
    <row r="578" spans="1:9" x14ac:dyDescent="0.25">
      <c r="A578" s="1" t="s">
        <v>597</v>
      </c>
      <c r="B578" s="1" t="s">
        <v>629</v>
      </c>
      <c r="C578" s="1" t="str">
        <f>_xlfn.XLOOKUP(Clients_Churn[[#This Row],[Province_Client]],Logs_Reseau!B:B,Logs_Reseau!E:E,"Pas de correspondance")</f>
        <v>ANT-0731</v>
      </c>
      <c r="D578" s="1" t="s">
        <v>1676</v>
      </c>
      <c r="E578">
        <v>101</v>
      </c>
      <c r="F578" s="1" t="s">
        <v>19</v>
      </c>
      <c r="G578">
        <v>262</v>
      </c>
      <c r="H578">
        <v>83.74</v>
      </c>
      <c r="I578">
        <v>5</v>
      </c>
    </row>
    <row r="579" spans="1:9" x14ac:dyDescent="0.25">
      <c r="A579" s="1" t="s">
        <v>597</v>
      </c>
      <c r="B579" s="1" t="s">
        <v>630</v>
      </c>
      <c r="C579" s="1" t="str">
        <f>_xlfn.XLOOKUP(Clients_Churn[[#This Row],[Province_Client]],Logs_Reseau!B:B,Logs_Reseau!E:E,"Pas de correspondance")</f>
        <v>ANT-0913</v>
      </c>
      <c r="D579" s="1" t="s">
        <v>64</v>
      </c>
      <c r="E579">
        <v>51</v>
      </c>
      <c r="F579" s="1" t="s">
        <v>14</v>
      </c>
      <c r="G579">
        <v>389</v>
      </c>
      <c r="H579">
        <v>50.45</v>
      </c>
      <c r="I579">
        <v>3</v>
      </c>
    </row>
    <row r="580" spans="1:9" x14ac:dyDescent="0.25">
      <c r="A580" s="1" t="s">
        <v>597</v>
      </c>
      <c r="B580" s="1" t="s">
        <v>631</v>
      </c>
      <c r="C580" s="1" t="str">
        <f>_xlfn.XLOOKUP(Clients_Churn[[#This Row],[Province_Client]],Logs_Reseau!B:B,Logs_Reseau!E:E,"Pas de correspondance")</f>
        <v>ANT-0037</v>
      </c>
      <c r="D580" s="1" t="s">
        <v>10</v>
      </c>
      <c r="E580">
        <v>108</v>
      </c>
      <c r="F580" s="1" t="s">
        <v>11</v>
      </c>
      <c r="G580">
        <v>78</v>
      </c>
      <c r="H580">
        <v>90.05</v>
      </c>
      <c r="I580">
        <v>2</v>
      </c>
    </row>
    <row r="581" spans="1:9" x14ac:dyDescent="0.25">
      <c r="A581" s="1" t="s">
        <v>597</v>
      </c>
      <c r="B581" s="1" t="s">
        <v>632</v>
      </c>
      <c r="C581" s="1" t="str">
        <f>_xlfn.XLOOKUP(Clients_Churn[[#This Row],[Province_Client]],Logs_Reseau!B:B,Logs_Reseau!E:E,"Pas de correspondance")</f>
        <v>ANT-0737</v>
      </c>
      <c r="D581" s="1" t="s">
        <v>62</v>
      </c>
      <c r="E581">
        <v>98</v>
      </c>
      <c r="F581" s="1" t="s">
        <v>22</v>
      </c>
      <c r="G581">
        <v>110</v>
      </c>
      <c r="H581">
        <v>96.23</v>
      </c>
      <c r="I581">
        <v>2</v>
      </c>
    </row>
    <row r="582" spans="1:9" x14ac:dyDescent="0.25">
      <c r="A582" s="1" t="s">
        <v>597</v>
      </c>
      <c r="B582" s="1" t="s">
        <v>633</v>
      </c>
      <c r="C582" s="1" t="str">
        <f>_xlfn.XLOOKUP(Clients_Churn[[#This Row],[Province_Client]],Logs_Reseau!B:B,Logs_Reseau!E:E,"Pas de correspondance")</f>
        <v>ANT-0913</v>
      </c>
      <c r="D582" s="1" t="s">
        <v>64</v>
      </c>
      <c r="E582">
        <v>81</v>
      </c>
      <c r="F582" s="1" t="s">
        <v>14</v>
      </c>
      <c r="G582">
        <v>443</v>
      </c>
      <c r="H582">
        <v>32.78</v>
      </c>
      <c r="I582">
        <v>1</v>
      </c>
    </row>
    <row r="583" spans="1:9" x14ac:dyDescent="0.25">
      <c r="A583" s="1" t="s">
        <v>597</v>
      </c>
      <c r="B583" s="1" t="s">
        <v>634</v>
      </c>
      <c r="C583" s="1" t="str">
        <f>_xlfn.XLOOKUP(Clients_Churn[[#This Row],[Province_Client]],Logs_Reseau!B:B,Logs_Reseau!E:E,"Pas de correspondance")</f>
        <v>ANT-0913</v>
      </c>
      <c r="D583" s="1" t="s">
        <v>64</v>
      </c>
      <c r="E583">
        <v>118</v>
      </c>
      <c r="F583" s="1" t="s">
        <v>19</v>
      </c>
      <c r="G583">
        <v>186</v>
      </c>
      <c r="H583">
        <v>46.88</v>
      </c>
      <c r="I583">
        <v>1</v>
      </c>
    </row>
    <row r="584" spans="1:9" x14ac:dyDescent="0.25">
      <c r="A584" s="1" t="s">
        <v>597</v>
      </c>
      <c r="B584" s="1" t="s">
        <v>635</v>
      </c>
      <c r="C584" s="1" t="str">
        <f>_xlfn.XLOOKUP(Clients_Churn[[#This Row],[Province_Client]],Logs_Reseau!B:B,Logs_Reseau!E:E,"Pas de correspondance")</f>
        <v>ANT-0011</v>
      </c>
      <c r="D584" s="1" t="s">
        <v>44</v>
      </c>
      <c r="E584">
        <v>34</v>
      </c>
      <c r="F584" s="1" t="s">
        <v>14</v>
      </c>
      <c r="G584">
        <v>58</v>
      </c>
      <c r="H584">
        <v>64.349999999999994</v>
      </c>
      <c r="I584">
        <v>0</v>
      </c>
    </row>
    <row r="585" spans="1:9" x14ac:dyDescent="0.25">
      <c r="A585" s="1" t="s">
        <v>597</v>
      </c>
      <c r="B585" s="1" t="s">
        <v>636</v>
      </c>
      <c r="C585" s="1" t="str">
        <f>_xlfn.XLOOKUP(Clients_Churn[[#This Row],[Province_Client]],Logs_Reseau!B:B,Logs_Reseau!E:E,"Pas de correspondance")</f>
        <v>ANT-0624</v>
      </c>
      <c r="D585" s="1" t="s">
        <v>24</v>
      </c>
      <c r="E585">
        <v>108</v>
      </c>
      <c r="F585" s="1" t="s">
        <v>19</v>
      </c>
      <c r="G585">
        <v>460</v>
      </c>
      <c r="H585">
        <v>88.95</v>
      </c>
      <c r="I585">
        <v>3</v>
      </c>
    </row>
    <row r="586" spans="1:9" x14ac:dyDescent="0.25">
      <c r="A586" s="1" t="s">
        <v>597</v>
      </c>
      <c r="B586" s="1" t="s">
        <v>637</v>
      </c>
      <c r="C586" s="1" t="str">
        <f>_xlfn.XLOOKUP(Clients_Churn[[#This Row],[Province_Client]],Logs_Reseau!B:B,Logs_Reseau!E:E,"Pas de correspondance")</f>
        <v>ANT-0852</v>
      </c>
      <c r="D586" s="1" t="s">
        <v>21</v>
      </c>
      <c r="E586">
        <v>71</v>
      </c>
      <c r="F586" s="1" t="s">
        <v>14</v>
      </c>
      <c r="G586">
        <v>111</v>
      </c>
      <c r="H586">
        <v>95.53</v>
      </c>
      <c r="I586">
        <v>3</v>
      </c>
    </row>
    <row r="587" spans="1:9" x14ac:dyDescent="0.25">
      <c r="A587" s="1" t="s">
        <v>597</v>
      </c>
      <c r="B587" s="1" t="s">
        <v>638</v>
      </c>
      <c r="C587" s="1" t="str">
        <f>_xlfn.XLOOKUP(Clients_Churn[[#This Row],[Province_Client]],Logs_Reseau!B:B,Logs_Reseau!E:E,"Pas de correspondance")</f>
        <v>ANT-0945</v>
      </c>
      <c r="D587" s="1" t="s">
        <v>73</v>
      </c>
      <c r="E587">
        <v>21</v>
      </c>
      <c r="F587" s="1" t="s">
        <v>19</v>
      </c>
      <c r="G587">
        <v>15</v>
      </c>
      <c r="H587">
        <v>57.74</v>
      </c>
      <c r="I587">
        <v>0</v>
      </c>
    </row>
    <row r="588" spans="1:9" x14ac:dyDescent="0.25">
      <c r="A588" s="1" t="s">
        <v>597</v>
      </c>
      <c r="B588" s="1" t="s">
        <v>639</v>
      </c>
      <c r="C588" s="1" t="str">
        <f>_xlfn.XLOOKUP(Clients_Churn[[#This Row],[Province_Client]],Logs_Reseau!B:B,Logs_Reseau!E:E,"Pas de correspondance")</f>
        <v>ANT-0371</v>
      </c>
      <c r="D588" s="1" t="s">
        <v>18</v>
      </c>
      <c r="E588">
        <v>42</v>
      </c>
      <c r="F588" s="1" t="s">
        <v>14</v>
      </c>
      <c r="G588">
        <v>167</v>
      </c>
      <c r="H588">
        <v>45.85</v>
      </c>
      <c r="I588">
        <v>2</v>
      </c>
    </row>
    <row r="589" spans="1:9" x14ac:dyDescent="0.25">
      <c r="A589" s="1" t="s">
        <v>597</v>
      </c>
      <c r="B589" s="1" t="s">
        <v>640</v>
      </c>
      <c r="C589" s="1" t="str">
        <f>_xlfn.XLOOKUP(Clients_Churn[[#This Row],[Province_Client]],Logs_Reseau!B:B,Logs_Reseau!E:E,"Pas de correspondance")</f>
        <v>ANT-0166</v>
      </c>
      <c r="D589" s="1" t="s">
        <v>31</v>
      </c>
      <c r="E589">
        <v>27</v>
      </c>
      <c r="F589" s="1" t="s">
        <v>19</v>
      </c>
      <c r="G589">
        <v>70</v>
      </c>
      <c r="H589">
        <v>20.32</v>
      </c>
      <c r="I589">
        <v>3</v>
      </c>
    </row>
    <row r="590" spans="1:9" x14ac:dyDescent="0.25">
      <c r="A590" s="1" t="s">
        <v>597</v>
      </c>
      <c r="B590" s="1" t="s">
        <v>641</v>
      </c>
      <c r="C590" s="1" t="str">
        <f>_xlfn.XLOOKUP(Clients_Churn[[#This Row],[Province_Client]],Logs_Reseau!B:B,Logs_Reseau!E:E,"Pas de correspondance")</f>
        <v>ANT-0250</v>
      </c>
      <c r="D590" s="1" t="s">
        <v>78</v>
      </c>
      <c r="E590">
        <v>12</v>
      </c>
      <c r="F590" s="1" t="s">
        <v>22</v>
      </c>
      <c r="G590">
        <v>112</v>
      </c>
      <c r="H590">
        <v>82.81</v>
      </c>
      <c r="I590">
        <v>0</v>
      </c>
    </row>
    <row r="591" spans="1:9" x14ac:dyDescent="0.25">
      <c r="A591" s="1" t="s">
        <v>597</v>
      </c>
      <c r="B591" s="1" t="s">
        <v>642</v>
      </c>
      <c r="C591" s="1" t="str">
        <f>_xlfn.XLOOKUP(Clients_Churn[[#This Row],[Province_Client]],Logs_Reseau!B:B,Logs_Reseau!E:E,"Pas de correspondance")</f>
        <v>ANT-0250</v>
      </c>
      <c r="D591" s="1" t="s">
        <v>78</v>
      </c>
      <c r="E591">
        <v>12</v>
      </c>
      <c r="F591" s="1" t="s">
        <v>14</v>
      </c>
      <c r="G591">
        <v>42</v>
      </c>
      <c r="H591">
        <v>48.64</v>
      </c>
      <c r="I591">
        <v>0</v>
      </c>
    </row>
    <row r="592" spans="1:9" x14ac:dyDescent="0.25">
      <c r="A592" s="1" t="s">
        <v>597</v>
      </c>
      <c r="B592" s="1" t="s">
        <v>643</v>
      </c>
      <c r="C592" s="1" t="str">
        <f>_xlfn.XLOOKUP(Clients_Churn[[#This Row],[Province_Client]],Logs_Reseau!B:B,Logs_Reseau!E:E,"Pas de correspondance")</f>
        <v>ANT-0332</v>
      </c>
      <c r="D592" s="1" t="s">
        <v>1674</v>
      </c>
      <c r="E592">
        <v>4</v>
      </c>
      <c r="F592" s="1" t="s">
        <v>14</v>
      </c>
      <c r="G592">
        <v>372</v>
      </c>
      <c r="H592">
        <v>26.73</v>
      </c>
      <c r="I592">
        <v>3</v>
      </c>
    </row>
    <row r="593" spans="1:9" x14ac:dyDescent="0.25">
      <c r="A593" s="1" t="s">
        <v>597</v>
      </c>
      <c r="B593" s="1" t="s">
        <v>644</v>
      </c>
      <c r="C593" s="1" t="str">
        <f>_xlfn.XLOOKUP(Clients_Churn[[#This Row],[Province_Client]],Logs_Reseau!B:B,Logs_Reseau!E:E,"Pas de correspondance")</f>
        <v>ANT-0935</v>
      </c>
      <c r="D593" s="1" t="s">
        <v>89</v>
      </c>
      <c r="E593">
        <v>56</v>
      </c>
      <c r="F593" s="1" t="s">
        <v>11</v>
      </c>
      <c r="G593">
        <v>354</v>
      </c>
      <c r="H593">
        <v>32.08</v>
      </c>
      <c r="I593">
        <v>1</v>
      </c>
    </row>
    <row r="594" spans="1:9" x14ac:dyDescent="0.25">
      <c r="A594" s="1" t="s">
        <v>597</v>
      </c>
      <c r="B594" s="1" t="s">
        <v>645</v>
      </c>
      <c r="C594" s="1" t="str">
        <f>_xlfn.XLOOKUP(Clients_Churn[[#This Row],[Province_Client]],Logs_Reseau!B:B,Logs_Reseau!E:E,"Pas de correspondance")</f>
        <v>ANT-0037</v>
      </c>
      <c r="D594" s="1" t="s">
        <v>10</v>
      </c>
      <c r="E594">
        <v>2</v>
      </c>
      <c r="F594" s="1" t="s">
        <v>14</v>
      </c>
      <c r="G594">
        <v>481</v>
      </c>
      <c r="H594">
        <v>29.37</v>
      </c>
      <c r="I594">
        <v>4</v>
      </c>
    </row>
    <row r="595" spans="1:9" x14ac:dyDescent="0.25">
      <c r="A595" s="1" t="s">
        <v>597</v>
      </c>
      <c r="B595" s="1" t="s">
        <v>646</v>
      </c>
      <c r="C595" s="1" t="str">
        <f>_xlfn.XLOOKUP(Clients_Churn[[#This Row],[Province_Client]],Logs_Reseau!B:B,Logs_Reseau!E:E,"Pas de correspondance")</f>
        <v>ANT-0731</v>
      </c>
      <c r="D595" s="1" t="s">
        <v>1676</v>
      </c>
      <c r="E595">
        <v>81</v>
      </c>
      <c r="F595" s="1" t="s">
        <v>22</v>
      </c>
      <c r="G595">
        <v>64</v>
      </c>
      <c r="H595">
        <v>43.45</v>
      </c>
      <c r="I595">
        <v>2</v>
      </c>
    </row>
    <row r="596" spans="1:9" x14ac:dyDescent="0.25">
      <c r="A596" s="1" t="s">
        <v>597</v>
      </c>
      <c r="B596" s="1" t="s">
        <v>647</v>
      </c>
      <c r="C596" s="1" t="str">
        <f>_xlfn.XLOOKUP(Clients_Churn[[#This Row],[Province_Client]],Logs_Reseau!B:B,Logs_Reseau!E:E,"Pas de correspondance")</f>
        <v>ANT-0315</v>
      </c>
      <c r="D596" s="1" t="s">
        <v>60</v>
      </c>
      <c r="E596">
        <v>99</v>
      </c>
      <c r="F596" s="1" t="s">
        <v>22</v>
      </c>
      <c r="G596">
        <v>137</v>
      </c>
      <c r="H596">
        <v>23.05</v>
      </c>
      <c r="I596">
        <v>4</v>
      </c>
    </row>
    <row r="597" spans="1:9" x14ac:dyDescent="0.25">
      <c r="A597" s="1" t="s">
        <v>648</v>
      </c>
      <c r="B597" s="1" t="s">
        <v>649</v>
      </c>
      <c r="C597" s="1" t="str">
        <f>_xlfn.XLOOKUP(Clients_Churn[[#This Row],[Province_Client]],Logs_Reseau!B:B,Logs_Reseau!E:E,"Pas de correspondance")</f>
        <v>ANT-0760</v>
      </c>
      <c r="D597" s="1" t="s">
        <v>35</v>
      </c>
      <c r="E597">
        <v>18</v>
      </c>
      <c r="F597" s="1" t="s">
        <v>14</v>
      </c>
      <c r="G597">
        <v>75</v>
      </c>
      <c r="H597">
        <v>57.66</v>
      </c>
      <c r="I597">
        <v>1</v>
      </c>
    </row>
    <row r="598" spans="1:9" x14ac:dyDescent="0.25">
      <c r="A598" s="1" t="s">
        <v>648</v>
      </c>
      <c r="B598" s="1" t="s">
        <v>650</v>
      </c>
      <c r="C598" s="1" t="str">
        <f>_xlfn.XLOOKUP(Clients_Churn[[#This Row],[Province_Client]],Logs_Reseau!B:B,Logs_Reseau!E:E,"Pas de correspondance")</f>
        <v>ANT-0913</v>
      </c>
      <c r="D598" s="1" t="s">
        <v>64</v>
      </c>
      <c r="E598">
        <v>14</v>
      </c>
      <c r="F598" s="1" t="s">
        <v>14</v>
      </c>
      <c r="G598">
        <v>236</v>
      </c>
      <c r="H598">
        <v>54.43</v>
      </c>
      <c r="I598">
        <v>3</v>
      </c>
    </row>
    <row r="599" spans="1:9" x14ac:dyDescent="0.25">
      <c r="A599" s="1" t="s">
        <v>648</v>
      </c>
      <c r="B599" s="1" t="s">
        <v>651</v>
      </c>
      <c r="C599" s="1" t="str">
        <f>_xlfn.XLOOKUP(Clients_Churn[[#This Row],[Province_Client]],Logs_Reseau!B:B,Logs_Reseau!E:E,"Pas de correspondance")</f>
        <v>ANT-0855</v>
      </c>
      <c r="D599" s="1" t="s">
        <v>16</v>
      </c>
      <c r="E599">
        <v>42</v>
      </c>
      <c r="F599" s="1" t="s">
        <v>19</v>
      </c>
      <c r="G599">
        <v>448</v>
      </c>
      <c r="H599">
        <v>49.02</v>
      </c>
      <c r="I599">
        <v>0</v>
      </c>
    </row>
    <row r="600" spans="1:9" x14ac:dyDescent="0.25">
      <c r="A600" s="1" t="s">
        <v>648</v>
      </c>
      <c r="B600" s="1" t="s">
        <v>652</v>
      </c>
      <c r="C600" s="1" t="str">
        <f>_xlfn.XLOOKUP(Clients_Churn[[#This Row],[Province_Client]],Logs_Reseau!B:B,Logs_Reseau!E:E,"Pas de correspondance")</f>
        <v>ANT-0624</v>
      </c>
      <c r="D600" s="1" t="s">
        <v>24</v>
      </c>
      <c r="E600">
        <v>111</v>
      </c>
      <c r="F600" s="1" t="s">
        <v>22</v>
      </c>
      <c r="G600">
        <v>54</v>
      </c>
      <c r="H600">
        <v>71.3</v>
      </c>
      <c r="I600">
        <v>0</v>
      </c>
    </row>
    <row r="601" spans="1:9" x14ac:dyDescent="0.25">
      <c r="A601" s="1" t="s">
        <v>648</v>
      </c>
      <c r="B601" s="1" t="s">
        <v>653</v>
      </c>
      <c r="C601" s="1" t="str">
        <f>_xlfn.XLOOKUP(Clients_Churn[[#This Row],[Province_Client]],Logs_Reseau!B:B,Logs_Reseau!E:E,"Pas de correspondance")</f>
        <v>ANT-0935</v>
      </c>
      <c r="D601" s="1" t="s">
        <v>89</v>
      </c>
      <c r="E601">
        <v>89</v>
      </c>
      <c r="F601" s="1" t="s">
        <v>14</v>
      </c>
      <c r="G601">
        <v>381</v>
      </c>
      <c r="H601">
        <v>68.17</v>
      </c>
      <c r="I601">
        <v>0</v>
      </c>
    </row>
    <row r="602" spans="1:9" x14ac:dyDescent="0.25">
      <c r="A602" s="1" t="s">
        <v>648</v>
      </c>
      <c r="B602" s="1" t="s">
        <v>654</v>
      </c>
      <c r="C602" s="1" t="str">
        <f>_xlfn.XLOOKUP(Clients_Churn[[#This Row],[Province_Client]],Logs_Reseau!B:B,Logs_Reseau!E:E,"Pas de correspondance")</f>
        <v>ANT-0913</v>
      </c>
      <c r="D602" s="1" t="s">
        <v>64</v>
      </c>
      <c r="E602">
        <v>93</v>
      </c>
      <c r="F602" s="1" t="s">
        <v>14</v>
      </c>
      <c r="G602">
        <v>56</v>
      </c>
      <c r="H602">
        <v>96.31</v>
      </c>
      <c r="I602">
        <v>4</v>
      </c>
    </row>
    <row r="603" spans="1:9" x14ac:dyDescent="0.25">
      <c r="A603" s="1" t="s">
        <v>648</v>
      </c>
      <c r="B603" s="1" t="s">
        <v>655</v>
      </c>
      <c r="C603" s="1" t="str">
        <f>_xlfn.XLOOKUP(Clients_Churn[[#This Row],[Province_Client]],Logs_Reseau!B:B,Logs_Reseau!E:E,"Pas de correspondance")</f>
        <v>ANT-0797</v>
      </c>
      <c r="D603" s="1" t="s">
        <v>127</v>
      </c>
      <c r="E603">
        <v>56</v>
      </c>
      <c r="F603" s="1" t="s">
        <v>11</v>
      </c>
      <c r="G603">
        <v>123</v>
      </c>
      <c r="H603">
        <v>29.76</v>
      </c>
      <c r="I603">
        <v>5</v>
      </c>
    </row>
    <row r="604" spans="1:9" x14ac:dyDescent="0.25">
      <c r="A604" s="1" t="s">
        <v>648</v>
      </c>
      <c r="B604" s="1" t="s">
        <v>656</v>
      </c>
      <c r="C604" s="1" t="str">
        <f>_xlfn.XLOOKUP(Clients_Churn[[#This Row],[Province_Client]],Logs_Reseau!B:B,Logs_Reseau!E:E,"Pas de correspondance")</f>
        <v>ANT-0760</v>
      </c>
      <c r="D604" s="1" t="s">
        <v>35</v>
      </c>
      <c r="E604">
        <v>29</v>
      </c>
      <c r="F604" s="1" t="s">
        <v>11</v>
      </c>
      <c r="G604">
        <v>8</v>
      </c>
      <c r="H604">
        <v>14.78</v>
      </c>
      <c r="I604">
        <v>2</v>
      </c>
    </row>
    <row r="605" spans="1:9" x14ac:dyDescent="0.25">
      <c r="A605" s="1" t="s">
        <v>648</v>
      </c>
      <c r="B605" s="1" t="s">
        <v>657</v>
      </c>
      <c r="C605" s="1" t="str">
        <f>_xlfn.XLOOKUP(Clients_Churn[[#This Row],[Province_Client]],Logs_Reseau!B:B,Logs_Reseau!E:E,"Pas de correspondance")</f>
        <v>ANT-0011</v>
      </c>
      <c r="D605" s="1" t="s">
        <v>44</v>
      </c>
      <c r="E605">
        <v>22</v>
      </c>
      <c r="F605" s="1" t="s">
        <v>14</v>
      </c>
      <c r="G605">
        <v>457</v>
      </c>
      <c r="H605">
        <v>13.21</v>
      </c>
      <c r="I605">
        <v>1</v>
      </c>
    </row>
    <row r="606" spans="1:9" x14ac:dyDescent="0.25">
      <c r="A606" s="1" t="s">
        <v>648</v>
      </c>
      <c r="B606" s="1" t="s">
        <v>658</v>
      </c>
      <c r="C606" s="1" t="str">
        <f>_xlfn.XLOOKUP(Clients_Churn[[#This Row],[Province_Client]],Logs_Reseau!B:B,Logs_Reseau!E:E,"Pas de correspondance")</f>
        <v>ANT-0553</v>
      </c>
      <c r="D606" s="1" t="s">
        <v>131</v>
      </c>
      <c r="E606">
        <v>12</v>
      </c>
      <c r="F606" s="1" t="s">
        <v>22</v>
      </c>
      <c r="G606">
        <v>235</v>
      </c>
      <c r="H606">
        <v>33.96</v>
      </c>
      <c r="I606">
        <v>4</v>
      </c>
    </row>
    <row r="607" spans="1:9" x14ac:dyDescent="0.25">
      <c r="A607" s="1" t="s">
        <v>648</v>
      </c>
      <c r="B607" s="1" t="s">
        <v>659</v>
      </c>
      <c r="C607" s="1" t="str">
        <f>_xlfn.XLOOKUP(Clients_Churn[[#This Row],[Province_Client]],Logs_Reseau!B:B,Logs_Reseau!E:E,"Pas de correspondance")</f>
        <v>ANT-0737</v>
      </c>
      <c r="D607" s="1" t="s">
        <v>62</v>
      </c>
      <c r="E607">
        <v>25</v>
      </c>
      <c r="F607" s="1" t="s">
        <v>19</v>
      </c>
      <c r="G607">
        <v>95</v>
      </c>
      <c r="H607">
        <v>15.93</v>
      </c>
      <c r="I607">
        <v>4</v>
      </c>
    </row>
    <row r="608" spans="1:9" x14ac:dyDescent="0.25">
      <c r="A608" s="1" t="s">
        <v>648</v>
      </c>
      <c r="B608" s="1" t="s">
        <v>660</v>
      </c>
      <c r="C608" s="1" t="str">
        <f>_xlfn.XLOOKUP(Clients_Churn[[#This Row],[Province_Client]],Logs_Reseau!B:B,Logs_Reseau!E:E,"Pas de correspondance")</f>
        <v>ANT-0315</v>
      </c>
      <c r="D608" s="1" t="s">
        <v>60</v>
      </c>
      <c r="E608">
        <v>93</v>
      </c>
      <c r="F608" s="1" t="s">
        <v>11</v>
      </c>
      <c r="G608">
        <v>136</v>
      </c>
      <c r="H608">
        <v>19.09</v>
      </c>
      <c r="I608">
        <v>1</v>
      </c>
    </row>
    <row r="609" spans="1:9" x14ac:dyDescent="0.25">
      <c r="A609" s="1" t="s">
        <v>648</v>
      </c>
      <c r="B609" s="1" t="s">
        <v>661</v>
      </c>
      <c r="C609" s="1" t="str">
        <f>_xlfn.XLOOKUP(Clients_Churn[[#This Row],[Province_Client]],Logs_Reseau!B:B,Logs_Reseau!E:E,"Pas de correspondance")</f>
        <v>ANT-0945</v>
      </c>
      <c r="D609" s="1" t="s">
        <v>73</v>
      </c>
      <c r="E609">
        <v>116</v>
      </c>
      <c r="F609" s="1" t="s">
        <v>11</v>
      </c>
      <c r="G609">
        <v>14</v>
      </c>
      <c r="H609">
        <v>30.38</v>
      </c>
      <c r="I609">
        <v>1</v>
      </c>
    </row>
    <row r="610" spans="1:9" x14ac:dyDescent="0.25">
      <c r="A610" s="1" t="s">
        <v>648</v>
      </c>
      <c r="B610" s="1" t="s">
        <v>662</v>
      </c>
      <c r="C610" s="1" t="str">
        <f>_xlfn.XLOOKUP(Clients_Churn[[#This Row],[Province_Client]],Logs_Reseau!B:B,Logs_Reseau!E:E,"Pas de correspondance")</f>
        <v>ANT-0737</v>
      </c>
      <c r="D610" s="1" t="s">
        <v>62</v>
      </c>
      <c r="E610">
        <v>104</v>
      </c>
      <c r="F610" s="1" t="s">
        <v>19</v>
      </c>
      <c r="G610">
        <v>243</v>
      </c>
      <c r="H610">
        <v>65.819999999999993</v>
      </c>
      <c r="I610">
        <v>0</v>
      </c>
    </row>
    <row r="611" spans="1:9" x14ac:dyDescent="0.25">
      <c r="A611" s="1" t="s">
        <v>648</v>
      </c>
      <c r="B611" s="1" t="s">
        <v>663</v>
      </c>
      <c r="C611" s="1" t="str">
        <f>_xlfn.XLOOKUP(Clients_Churn[[#This Row],[Province_Client]],Logs_Reseau!B:B,Logs_Reseau!E:E,"Pas de correspondance")</f>
        <v>ANT-0250</v>
      </c>
      <c r="D611" s="1" t="s">
        <v>78</v>
      </c>
      <c r="E611">
        <v>48</v>
      </c>
      <c r="F611" s="1" t="s">
        <v>11</v>
      </c>
      <c r="G611">
        <v>338</v>
      </c>
      <c r="H611">
        <v>74.42</v>
      </c>
      <c r="I611">
        <v>0</v>
      </c>
    </row>
    <row r="612" spans="1:9" x14ac:dyDescent="0.25">
      <c r="A612" s="1" t="s">
        <v>648</v>
      </c>
      <c r="B612" s="1" t="s">
        <v>664</v>
      </c>
      <c r="C612" s="1" t="str">
        <f>_xlfn.XLOOKUP(Clients_Churn[[#This Row],[Province_Client]],Logs_Reseau!B:B,Logs_Reseau!E:E,"Pas de correspondance")</f>
        <v>ANT-0855</v>
      </c>
      <c r="D612" s="1" t="s">
        <v>16</v>
      </c>
      <c r="E612">
        <v>105</v>
      </c>
      <c r="F612" s="1" t="s">
        <v>22</v>
      </c>
      <c r="G612">
        <v>271</v>
      </c>
      <c r="H612">
        <v>45.27</v>
      </c>
      <c r="I612">
        <v>2</v>
      </c>
    </row>
    <row r="613" spans="1:9" x14ac:dyDescent="0.25">
      <c r="A613" s="1" t="s">
        <v>648</v>
      </c>
      <c r="B613" s="1" t="s">
        <v>665</v>
      </c>
      <c r="C613" s="1" t="str">
        <f>_xlfn.XLOOKUP(Clients_Churn[[#This Row],[Province_Client]],Logs_Reseau!B:B,Logs_Reseau!E:E,"Pas de correspondance")</f>
        <v>ANT-0913</v>
      </c>
      <c r="D613" s="1" t="s">
        <v>64</v>
      </c>
      <c r="E613">
        <v>116</v>
      </c>
      <c r="F613" s="1" t="s">
        <v>22</v>
      </c>
      <c r="G613">
        <v>231</v>
      </c>
      <c r="H613">
        <v>19.12</v>
      </c>
      <c r="I613">
        <v>5</v>
      </c>
    </row>
    <row r="614" spans="1:9" x14ac:dyDescent="0.25">
      <c r="A614" s="1" t="s">
        <v>648</v>
      </c>
      <c r="B614" s="1" t="s">
        <v>666</v>
      </c>
      <c r="C614" s="1" t="str">
        <f>_xlfn.XLOOKUP(Clients_Churn[[#This Row],[Province_Client]],Logs_Reseau!B:B,Logs_Reseau!E:E,"Pas de correspondance")</f>
        <v>ANT-0134</v>
      </c>
      <c r="D614" s="1" t="s">
        <v>40</v>
      </c>
      <c r="E614">
        <v>69</v>
      </c>
      <c r="F614" s="1" t="s">
        <v>19</v>
      </c>
      <c r="G614">
        <v>180</v>
      </c>
      <c r="H614">
        <v>76.05</v>
      </c>
      <c r="I614">
        <v>2</v>
      </c>
    </row>
    <row r="615" spans="1:9" x14ac:dyDescent="0.25">
      <c r="A615" s="1" t="s">
        <v>648</v>
      </c>
      <c r="B615" s="1" t="s">
        <v>667</v>
      </c>
      <c r="C615" s="1" t="str">
        <f>_xlfn.XLOOKUP(Clients_Churn[[#This Row],[Province_Client]],Logs_Reseau!B:B,Logs_Reseau!E:E,"Pas de correspondance")</f>
        <v>ANT-0566</v>
      </c>
      <c r="D615" s="1" t="s">
        <v>26</v>
      </c>
      <c r="E615">
        <v>1</v>
      </c>
      <c r="F615" s="1" t="s">
        <v>19</v>
      </c>
      <c r="G615">
        <v>135</v>
      </c>
      <c r="H615">
        <v>89.16</v>
      </c>
      <c r="I615">
        <v>3</v>
      </c>
    </row>
    <row r="616" spans="1:9" x14ac:dyDescent="0.25">
      <c r="A616" s="1" t="s">
        <v>648</v>
      </c>
      <c r="B616" s="1" t="s">
        <v>668</v>
      </c>
      <c r="C616" s="1" t="str">
        <f>_xlfn.XLOOKUP(Clients_Churn[[#This Row],[Province_Client]],Logs_Reseau!B:B,Logs_Reseau!E:E,"Pas de correspondance")</f>
        <v>ANT-0850</v>
      </c>
      <c r="D616" s="1" t="s">
        <v>51</v>
      </c>
      <c r="E616">
        <v>120</v>
      </c>
      <c r="F616" s="1" t="s">
        <v>14</v>
      </c>
      <c r="G616">
        <v>60</v>
      </c>
      <c r="H616">
        <v>34.14</v>
      </c>
      <c r="I616">
        <v>3</v>
      </c>
    </row>
    <row r="617" spans="1:9" x14ac:dyDescent="0.25">
      <c r="A617" s="1" t="s">
        <v>648</v>
      </c>
      <c r="B617" s="1" t="s">
        <v>669</v>
      </c>
      <c r="C617" s="1" t="str">
        <f>_xlfn.XLOOKUP(Clients_Churn[[#This Row],[Province_Client]],Logs_Reseau!B:B,Logs_Reseau!E:E,"Pas de correspondance")</f>
        <v>ANT-0624</v>
      </c>
      <c r="D617" s="1" t="s">
        <v>24</v>
      </c>
      <c r="E617">
        <v>89</v>
      </c>
      <c r="F617" s="1" t="s">
        <v>19</v>
      </c>
      <c r="G617">
        <v>474</v>
      </c>
      <c r="H617">
        <v>28.51</v>
      </c>
      <c r="I617">
        <v>5</v>
      </c>
    </row>
    <row r="618" spans="1:9" x14ac:dyDescent="0.25">
      <c r="A618" s="1" t="s">
        <v>648</v>
      </c>
      <c r="B618" s="1" t="s">
        <v>670</v>
      </c>
      <c r="C618" s="1" t="str">
        <f>_xlfn.XLOOKUP(Clients_Churn[[#This Row],[Province_Client]],Logs_Reseau!B:B,Logs_Reseau!E:E,"Pas de correspondance")</f>
        <v>ANT-0037</v>
      </c>
      <c r="D618" s="1" t="s">
        <v>10</v>
      </c>
      <c r="E618">
        <v>112</v>
      </c>
      <c r="F618" s="1" t="s">
        <v>22</v>
      </c>
      <c r="G618">
        <v>281</v>
      </c>
      <c r="H618">
        <v>80.72</v>
      </c>
      <c r="I618">
        <v>2</v>
      </c>
    </row>
    <row r="619" spans="1:9" x14ac:dyDescent="0.25">
      <c r="A619" s="1" t="s">
        <v>648</v>
      </c>
      <c r="B619" s="1" t="s">
        <v>671</v>
      </c>
      <c r="C619" s="1" t="str">
        <f>_xlfn.XLOOKUP(Clients_Churn[[#This Row],[Province_Client]],Logs_Reseau!B:B,Logs_Reseau!E:E,"Pas de correspondance")</f>
        <v>ANT-0371</v>
      </c>
      <c r="D619" s="1" t="s">
        <v>18</v>
      </c>
      <c r="E619">
        <v>7</v>
      </c>
      <c r="F619" s="1" t="s">
        <v>19</v>
      </c>
      <c r="G619">
        <v>43</v>
      </c>
      <c r="H619">
        <v>41.29</v>
      </c>
      <c r="I619">
        <v>4</v>
      </c>
    </row>
    <row r="620" spans="1:9" x14ac:dyDescent="0.25">
      <c r="A620" s="1" t="s">
        <v>648</v>
      </c>
      <c r="B620" s="1" t="s">
        <v>672</v>
      </c>
      <c r="C620" s="1" t="str">
        <f>_xlfn.XLOOKUP(Clients_Churn[[#This Row],[Province_Client]],Logs_Reseau!B:B,Logs_Reseau!E:E,"Pas de correspondance")</f>
        <v>ANT-0760</v>
      </c>
      <c r="D620" s="1" t="s">
        <v>35</v>
      </c>
      <c r="E620">
        <v>34</v>
      </c>
      <c r="F620" s="1" t="s">
        <v>22</v>
      </c>
      <c r="G620">
        <v>181</v>
      </c>
      <c r="H620">
        <v>35.92</v>
      </c>
      <c r="I620">
        <v>2</v>
      </c>
    </row>
    <row r="621" spans="1:9" x14ac:dyDescent="0.25">
      <c r="A621" s="1" t="s">
        <v>648</v>
      </c>
      <c r="B621" s="1" t="s">
        <v>673</v>
      </c>
      <c r="C621" s="1" t="str">
        <f>_xlfn.XLOOKUP(Clients_Churn[[#This Row],[Province_Client]],Logs_Reseau!B:B,Logs_Reseau!E:E,"Pas de correspondance")</f>
        <v>ANT-0520</v>
      </c>
      <c r="D621" s="1" t="s">
        <v>67</v>
      </c>
      <c r="E621">
        <v>114</v>
      </c>
      <c r="F621" s="1" t="s">
        <v>14</v>
      </c>
      <c r="G621">
        <v>220</v>
      </c>
      <c r="H621">
        <v>63.67</v>
      </c>
      <c r="I621">
        <v>5</v>
      </c>
    </row>
    <row r="622" spans="1:9" x14ac:dyDescent="0.25">
      <c r="A622" s="1" t="s">
        <v>648</v>
      </c>
      <c r="B622" s="1" t="s">
        <v>674</v>
      </c>
      <c r="C622" s="1" t="str">
        <f>_xlfn.XLOOKUP(Clients_Churn[[#This Row],[Province_Client]],Logs_Reseau!B:B,Logs_Reseau!E:E,"Pas de correspondance")</f>
        <v>ANT-0250</v>
      </c>
      <c r="D622" s="1" t="s">
        <v>78</v>
      </c>
      <c r="E622">
        <v>101</v>
      </c>
      <c r="F622" s="1" t="s">
        <v>14</v>
      </c>
      <c r="G622">
        <v>108</v>
      </c>
      <c r="H622">
        <v>76.05</v>
      </c>
      <c r="I622">
        <v>3</v>
      </c>
    </row>
    <row r="623" spans="1:9" x14ac:dyDescent="0.25">
      <c r="A623" s="1" t="s">
        <v>648</v>
      </c>
      <c r="B623" s="1" t="s">
        <v>675</v>
      </c>
      <c r="C623" s="1" t="str">
        <f>_xlfn.XLOOKUP(Clients_Churn[[#This Row],[Province_Client]],Logs_Reseau!B:B,Logs_Reseau!E:E,"Pas de correspondance")</f>
        <v>ANT-0258</v>
      </c>
      <c r="D623" s="1" t="s">
        <v>137</v>
      </c>
      <c r="E623">
        <v>6</v>
      </c>
      <c r="F623" s="1" t="s">
        <v>22</v>
      </c>
      <c r="G623">
        <v>77</v>
      </c>
      <c r="H623">
        <v>18.48</v>
      </c>
      <c r="I623">
        <v>2</v>
      </c>
    </row>
    <row r="624" spans="1:9" x14ac:dyDescent="0.25">
      <c r="A624" s="1" t="s">
        <v>648</v>
      </c>
      <c r="B624" s="1" t="s">
        <v>676</v>
      </c>
      <c r="C624" s="1" t="str">
        <f>_xlfn.XLOOKUP(Clients_Churn[[#This Row],[Province_Client]],Logs_Reseau!B:B,Logs_Reseau!E:E,"Pas de correspondance")</f>
        <v>ANT-0852</v>
      </c>
      <c r="D624" s="1" t="s">
        <v>21</v>
      </c>
      <c r="E624">
        <v>15</v>
      </c>
      <c r="F624" s="1" t="s">
        <v>14</v>
      </c>
      <c r="G624">
        <v>203</v>
      </c>
      <c r="H624">
        <v>55.29</v>
      </c>
      <c r="I624">
        <v>2</v>
      </c>
    </row>
    <row r="625" spans="1:9" x14ac:dyDescent="0.25">
      <c r="A625" s="1" t="s">
        <v>648</v>
      </c>
      <c r="B625" s="1" t="s">
        <v>677</v>
      </c>
      <c r="C625" s="1" t="str">
        <f>_xlfn.XLOOKUP(Clients_Churn[[#This Row],[Province_Client]],Logs_Reseau!B:B,Logs_Reseau!E:E,"Pas de correspondance")</f>
        <v>ANT-0553</v>
      </c>
      <c r="D625" s="1" t="s">
        <v>131</v>
      </c>
      <c r="E625">
        <v>7</v>
      </c>
      <c r="F625" s="1" t="s">
        <v>19</v>
      </c>
      <c r="G625">
        <v>257</v>
      </c>
      <c r="H625">
        <v>73.040000000000006</v>
      </c>
      <c r="I625">
        <v>3</v>
      </c>
    </row>
    <row r="626" spans="1:9" x14ac:dyDescent="0.25">
      <c r="A626" s="1" t="s">
        <v>648</v>
      </c>
      <c r="B626" s="1" t="s">
        <v>678</v>
      </c>
      <c r="C626" s="1" t="str">
        <f>_xlfn.XLOOKUP(Clients_Churn[[#This Row],[Province_Client]],Logs_Reseau!B:B,Logs_Reseau!E:E,"Pas de correspondance")</f>
        <v>ANT-0134</v>
      </c>
      <c r="D626" s="1" t="s">
        <v>40</v>
      </c>
      <c r="E626">
        <v>39</v>
      </c>
      <c r="F626" s="1" t="s">
        <v>11</v>
      </c>
      <c r="G626">
        <v>220</v>
      </c>
      <c r="H626">
        <v>52.91</v>
      </c>
      <c r="I626">
        <v>0</v>
      </c>
    </row>
    <row r="627" spans="1:9" x14ac:dyDescent="0.25">
      <c r="A627" s="1" t="s">
        <v>648</v>
      </c>
      <c r="B627" s="1" t="s">
        <v>679</v>
      </c>
      <c r="C627" s="1" t="str">
        <f>_xlfn.XLOOKUP(Clients_Churn[[#This Row],[Province_Client]],Logs_Reseau!B:B,Logs_Reseau!E:E,"Pas de correspondance")</f>
        <v>ANT-0315</v>
      </c>
      <c r="D627" s="1" t="s">
        <v>60</v>
      </c>
      <c r="E627">
        <v>10</v>
      </c>
      <c r="F627" s="1" t="s">
        <v>22</v>
      </c>
      <c r="G627">
        <v>260</v>
      </c>
      <c r="H627">
        <v>37.479999999999997</v>
      </c>
      <c r="I627">
        <v>2</v>
      </c>
    </row>
    <row r="628" spans="1:9" x14ac:dyDescent="0.25">
      <c r="A628" s="1" t="s">
        <v>648</v>
      </c>
      <c r="B628" s="1" t="s">
        <v>680</v>
      </c>
      <c r="C628" s="1" t="str">
        <f>_xlfn.XLOOKUP(Clients_Churn[[#This Row],[Province_Client]],Logs_Reseau!B:B,Logs_Reseau!E:E,"Pas de correspondance")</f>
        <v>ANT-0258</v>
      </c>
      <c r="D628" s="1" t="s">
        <v>137</v>
      </c>
      <c r="E628">
        <v>34</v>
      </c>
      <c r="F628" s="1" t="s">
        <v>11</v>
      </c>
      <c r="G628">
        <v>170</v>
      </c>
      <c r="H628">
        <v>91.6</v>
      </c>
      <c r="I628">
        <v>2</v>
      </c>
    </row>
    <row r="629" spans="1:9" x14ac:dyDescent="0.25">
      <c r="A629" s="1" t="s">
        <v>648</v>
      </c>
      <c r="B629" s="1" t="s">
        <v>681</v>
      </c>
      <c r="C629" s="1" t="str">
        <f>_xlfn.XLOOKUP(Clients_Churn[[#This Row],[Province_Client]],Logs_Reseau!B:B,Logs_Reseau!E:E,"Pas de correspondance")</f>
        <v>ANT-0250</v>
      </c>
      <c r="D629" s="1" t="s">
        <v>78</v>
      </c>
      <c r="E629">
        <v>43</v>
      </c>
      <c r="F629" s="1" t="s">
        <v>11</v>
      </c>
      <c r="G629">
        <v>27</v>
      </c>
      <c r="H629">
        <v>31.48</v>
      </c>
      <c r="I629">
        <v>5</v>
      </c>
    </row>
    <row r="630" spans="1:9" x14ac:dyDescent="0.25">
      <c r="A630" s="1" t="s">
        <v>648</v>
      </c>
      <c r="B630" s="1" t="s">
        <v>682</v>
      </c>
      <c r="C630" s="1" t="str">
        <f>_xlfn.XLOOKUP(Clients_Churn[[#This Row],[Province_Client]],Logs_Reseau!B:B,Logs_Reseau!E:E,"Pas de correspondance")</f>
        <v>ANT-0566</v>
      </c>
      <c r="D630" s="1" t="s">
        <v>26</v>
      </c>
      <c r="E630">
        <v>89</v>
      </c>
      <c r="F630" s="1" t="s">
        <v>14</v>
      </c>
      <c r="G630">
        <v>225</v>
      </c>
      <c r="H630">
        <v>38.36</v>
      </c>
      <c r="I630">
        <v>2</v>
      </c>
    </row>
    <row r="631" spans="1:9" x14ac:dyDescent="0.25">
      <c r="A631" s="1" t="s">
        <v>648</v>
      </c>
      <c r="B631" s="1" t="s">
        <v>683</v>
      </c>
      <c r="C631" s="1" t="str">
        <f>_xlfn.XLOOKUP(Clients_Churn[[#This Row],[Province_Client]],Logs_Reseau!B:B,Logs_Reseau!E:E,"Pas de correspondance")</f>
        <v>ANT-0166</v>
      </c>
      <c r="D631" s="1" t="s">
        <v>31</v>
      </c>
      <c r="E631">
        <v>79</v>
      </c>
      <c r="F631" s="1" t="s">
        <v>22</v>
      </c>
      <c r="G631">
        <v>139</v>
      </c>
      <c r="H631">
        <v>16.25</v>
      </c>
      <c r="I631">
        <v>4</v>
      </c>
    </row>
    <row r="632" spans="1:9" x14ac:dyDescent="0.25">
      <c r="A632" s="1" t="s">
        <v>648</v>
      </c>
      <c r="B632" s="1" t="s">
        <v>684</v>
      </c>
      <c r="C632" s="1" t="str">
        <f>_xlfn.XLOOKUP(Clients_Churn[[#This Row],[Province_Client]],Logs_Reseau!B:B,Logs_Reseau!E:E,"Pas de correspondance")</f>
        <v>ANT-0737</v>
      </c>
      <c r="D632" s="1" t="s">
        <v>62</v>
      </c>
      <c r="E632">
        <v>102</v>
      </c>
      <c r="F632" s="1" t="s">
        <v>19</v>
      </c>
      <c r="G632">
        <v>189</v>
      </c>
      <c r="H632">
        <v>26.86</v>
      </c>
      <c r="I632">
        <v>5</v>
      </c>
    </row>
    <row r="633" spans="1:9" x14ac:dyDescent="0.25">
      <c r="A633" s="1" t="s">
        <v>648</v>
      </c>
      <c r="B633" s="1" t="s">
        <v>686</v>
      </c>
      <c r="C633" s="1" t="str">
        <f>_xlfn.XLOOKUP(Clients_Churn[[#This Row],[Province_Client]],Logs_Reseau!B:B,Logs_Reseau!E:E,"Pas de correspondance")</f>
        <v>ANT-0760</v>
      </c>
      <c r="D633" s="1" t="s">
        <v>35</v>
      </c>
      <c r="E633">
        <v>49</v>
      </c>
      <c r="F633" s="1" t="s">
        <v>22</v>
      </c>
      <c r="G633">
        <v>25</v>
      </c>
      <c r="H633">
        <v>22.77</v>
      </c>
      <c r="I633">
        <v>3</v>
      </c>
    </row>
    <row r="634" spans="1:9" x14ac:dyDescent="0.25">
      <c r="A634" s="1" t="s">
        <v>648</v>
      </c>
      <c r="B634" s="1" t="s">
        <v>687</v>
      </c>
      <c r="C634" s="1" t="str">
        <f>_xlfn.XLOOKUP(Clients_Churn[[#This Row],[Province_Client]],Logs_Reseau!B:B,Logs_Reseau!E:E,"Pas de correspondance")</f>
        <v>ANT-0465</v>
      </c>
      <c r="D634" s="1" t="s">
        <v>37</v>
      </c>
      <c r="E634">
        <v>35</v>
      </c>
      <c r="F634" s="1" t="s">
        <v>11</v>
      </c>
      <c r="G634">
        <v>332</v>
      </c>
      <c r="H634">
        <v>11.15</v>
      </c>
      <c r="I634">
        <v>0</v>
      </c>
    </row>
    <row r="635" spans="1:9" x14ac:dyDescent="0.25">
      <c r="A635" s="1" t="s">
        <v>648</v>
      </c>
      <c r="B635" s="1" t="s">
        <v>688</v>
      </c>
      <c r="C635" s="1" t="str">
        <f>_xlfn.XLOOKUP(Clients_Churn[[#This Row],[Province_Client]],Logs_Reseau!B:B,Logs_Reseau!E:E,"Pas de correspondance")</f>
        <v>ANT-0797</v>
      </c>
      <c r="D635" s="1" t="s">
        <v>127</v>
      </c>
      <c r="E635">
        <v>90</v>
      </c>
      <c r="F635" s="1" t="s">
        <v>14</v>
      </c>
      <c r="G635">
        <v>195</v>
      </c>
      <c r="H635">
        <v>52.71</v>
      </c>
      <c r="I635">
        <v>2</v>
      </c>
    </row>
    <row r="636" spans="1:9" x14ac:dyDescent="0.25">
      <c r="A636" s="1" t="s">
        <v>648</v>
      </c>
      <c r="B636" s="1" t="s">
        <v>689</v>
      </c>
      <c r="C636" s="1" t="str">
        <f>_xlfn.XLOOKUP(Clients_Churn[[#This Row],[Province_Client]],Logs_Reseau!B:B,Logs_Reseau!E:E,"Pas de correspondance")</f>
        <v>ANT-0566</v>
      </c>
      <c r="D636" s="1" t="s">
        <v>26</v>
      </c>
      <c r="E636">
        <v>22</v>
      </c>
      <c r="F636" s="1" t="s">
        <v>14</v>
      </c>
      <c r="G636">
        <v>374</v>
      </c>
      <c r="H636">
        <v>40.06</v>
      </c>
      <c r="I636">
        <v>5</v>
      </c>
    </row>
    <row r="637" spans="1:9" x14ac:dyDescent="0.25">
      <c r="A637" s="1" t="s">
        <v>648</v>
      </c>
      <c r="B637" s="1" t="s">
        <v>690</v>
      </c>
      <c r="C637" s="1" t="str">
        <f>_xlfn.XLOOKUP(Clients_Churn[[#This Row],[Province_Client]],Logs_Reseau!B:B,Logs_Reseau!E:E,"Pas de correspondance")</f>
        <v>ANT-0855</v>
      </c>
      <c r="D637" s="1" t="s">
        <v>16</v>
      </c>
      <c r="E637">
        <v>119</v>
      </c>
      <c r="F637" s="1" t="s">
        <v>22</v>
      </c>
      <c r="G637">
        <v>475</v>
      </c>
      <c r="H637">
        <v>25.98</v>
      </c>
      <c r="I637">
        <v>4</v>
      </c>
    </row>
    <row r="638" spans="1:9" x14ac:dyDescent="0.25">
      <c r="A638" s="1" t="s">
        <v>648</v>
      </c>
      <c r="B638" s="1" t="s">
        <v>691</v>
      </c>
      <c r="C638" s="1" t="str">
        <f>_xlfn.XLOOKUP(Clients_Churn[[#This Row],[Province_Client]],Logs_Reseau!B:B,Logs_Reseau!E:E,"Pas de correspondance")</f>
        <v>ANT-0850</v>
      </c>
      <c r="D638" s="1" t="s">
        <v>51</v>
      </c>
      <c r="E638">
        <v>18</v>
      </c>
      <c r="F638" s="1" t="s">
        <v>14</v>
      </c>
      <c r="G638">
        <v>216</v>
      </c>
      <c r="H638">
        <v>33.74</v>
      </c>
      <c r="I638">
        <v>5</v>
      </c>
    </row>
    <row r="639" spans="1:9" x14ac:dyDescent="0.25">
      <c r="A639" s="1" t="s">
        <v>648</v>
      </c>
      <c r="B639" s="1" t="s">
        <v>692</v>
      </c>
      <c r="C639" s="1" t="str">
        <f>_xlfn.XLOOKUP(Clients_Churn[[#This Row],[Province_Client]],Logs_Reseau!B:B,Logs_Reseau!E:E,"Pas de correspondance")</f>
        <v>ANT-0852</v>
      </c>
      <c r="D639" s="1" t="s">
        <v>21</v>
      </c>
      <c r="E639">
        <v>75</v>
      </c>
      <c r="F639" s="1" t="s">
        <v>22</v>
      </c>
      <c r="G639">
        <v>99</v>
      </c>
      <c r="H639">
        <v>16.93</v>
      </c>
      <c r="I639">
        <v>5</v>
      </c>
    </row>
    <row r="640" spans="1:9" x14ac:dyDescent="0.25">
      <c r="A640" s="1" t="s">
        <v>648</v>
      </c>
      <c r="B640" s="1" t="s">
        <v>693</v>
      </c>
      <c r="C640" s="1" t="str">
        <f>_xlfn.XLOOKUP(Clients_Churn[[#This Row],[Province_Client]],Logs_Reseau!B:B,Logs_Reseau!E:E,"Pas de correspondance")</f>
        <v>ANT-0166</v>
      </c>
      <c r="D640" s="1" t="s">
        <v>31</v>
      </c>
      <c r="E640">
        <v>59</v>
      </c>
      <c r="F640" s="1" t="s">
        <v>19</v>
      </c>
      <c r="G640">
        <v>150</v>
      </c>
      <c r="H640">
        <v>71.13</v>
      </c>
      <c r="I640">
        <v>0</v>
      </c>
    </row>
    <row r="641" spans="1:9" x14ac:dyDescent="0.25">
      <c r="A641" s="1" t="s">
        <v>648</v>
      </c>
      <c r="B641" s="1" t="s">
        <v>694</v>
      </c>
      <c r="C641" s="1" t="str">
        <f>_xlfn.XLOOKUP(Clients_Churn[[#This Row],[Province_Client]],Logs_Reseau!B:B,Logs_Reseau!E:E,"Pas de correspondance")</f>
        <v>ANT-0850</v>
      </c>
      <c r="D641" s="1" t="s">
        <v>51</v>
      </c>
      <c r="E641">
        <v>16</v>
      </c>
      <c r="F641" s="1" t="s">
        <v>11</v>
      </c>
      <c r="G641">
        <v>96</v>
      </c>
      <c r="H641">
        <v>86.78</v>
      </c>
      <c r="I641">
        <v>1</v>
      </c>
    </row>
    <row r="642" spans="1:9" x14ac:dyDescent="0.25">
      <c r="A642" s="1" t="s">
        <v>648</v>
      </c>
      <c r="B642" s="1" t="s">
        <v>695</v>
      </c>
      <c r="C642" s="1" t="str">
        <f>_xlfn.XLOOKUP(Clients_Churn[[#This Row],[Province_Client]],Logs_Reseau!B:B,Logs_Reseau!E:E,"Pas de correspondance")</f>
        <v>ANT-0913</v>
      </c>
      <c r="D642" s="1" t="s">
        <v>64</v>
      </c>
      <c r="E642">
        <v>17</v>
      </c>
      <c r="F642" s="1" t="s">
        <v>14</v>
      </c>
      <c r="G642">
        <v>206</v>
      </c>
      <c r="H642">
        <v>63.46</v>
      </c>
      <c r="I642">
        <v>3</v>
      </c>
    </row>
    <row r="643" spans="1:9" x14ac:dyDescent="0.25">
      <c r="A643" s="1" t="s">
        <v>648</v>
      </c>
      <c r="B643" s="1" t="s">
        <v>696</v>
      </c>
      <c r="C643" s="1" t="str">
        <f>_xlfn.XLOOKUP(Clients_Churn[[#This Row],[Province_Client]],Logs_Reseau!B:B,Logs_Reseau!E:E,"Pas de correspondance")</f>
        <v>ANT-0731</v>
      </c>
      <c r="D643" s="1" t="s">
        <v>1676</v>
      </c>
      <c r="E643">
        <v>41</v>
      </c>
      <c r="F643" s="1" t="s">
        <v>22</v>
      </c>
      <c r="G643">
        <v>90</v>
      </c>
      <c r="H643">
        <v>97.26</v>
      </c>
      <c r="I643">
        <v>1</v>
      </c>
    </row>
    <row r="644" spans="1:9" x14ac:dyDescent="0.25">
      <c r="A644" s="1" t="s">
        <v>648</v>
      </c>
      <c r="B644" s="1" t="s">
        <v>697</v>
      </c>
      <c r="C644" s="1" t="str">
        <f>_xlfn.XLOOKUP(Clients_Churn[[#This Row],[Province_Client]],Logs_Reseau!B:B,Logs_Reseau!E:E,"Pas de correspondance")</f>
        <v>ANT-0737</v>
      </c>
      <c r="D644" s="1" t="s">
        <v>62</v>
      </c>
      <c r="E644">
        <v>111</v>
      </c>
      <c r="F644" s="1" t="s">
        <v>11</v>
      </c>
      <c r="G644">
        <v>304</v>
      </c>
      <c r="H644">
        <v>62.48</v>
      </c>
      <c r="I644">
        <v>5</v>
      </c>
    </row>
    <row r="645" spans="1:9" x14ac:dyDescent="0.25">
      <c r="A645" s="1" t="s">
        <v>648</v>
      </c>
      <c r="B645" s="1" t="s">
        <v>698</v>
      </c>
      <c r="C645" s="1" t="str">
        <f>_xlfn.XLOOKUP(Clients_Churn[[#This Row],[Province_Client]],Logs_Reseau!B:B,Logs_Reseau!E:E,"Pas de correspondance")</f>
        <v>ANT-0913</v>
      </c>
      <c r="D645" s="1" t="s">
        <v>64</v>
      </c>
      <c r="E645">
        <v>19</v>
      </c>
      <c r="F645" s="1" t="s">
        <v>19</v>
      </c>
      <c r="G645">
        <v>141</v>
      </c>
      <c r="H645">
        <v>53.95</v>
      </c>
      <c r="I645">
        <v>1</v>
      </c>
    </row>
    <row r="646" spans="1:9" x14ac:dyDescent="0.25">
      <c r="A646" s="1" t="s">
        <v>699</v>
      </c>
      <c r="B646" s="1" t="s">
        <v>700</v>
      </c>
      <c r="C646" s="1" t="str">
        <f>_xlfn.XLOOKUP(Clients_Churn[[#This Row],[Province_Client]],Logs_Reseau!B:B,Logs_Reseau!E:E,"Pas de correspondance")</f>
        <v>ANT-0371</v>
      </c>
      <c r="D646" s="1" t="s">
        <v>18</v>
      </c>
      <c r="E646">
        <v>20</v>
      </c>
      <c r="F646" s="1" t="s">
        <v>19</v>
      </c>
      <c r="G646">
        <v>297</v>
      </c>
      <c r="H646">
        <v>14.77</v>
      </c>
      <c r="I646">
        <v>0</v>
      </c>
    </row>
    <row r="647" spans="1:9" x14ac:dyDescent="0.25">
      <c r="A647" s="1" t="s">
        <v>699</v>
      </c>
      <c r="B647" s="1" t="s">
        <v>701</v>
      </c>
      <c r="C647" s="1" t="str">
        <f>_xlfn.XLOOKUP(Clients_Churn[[#This Row],[Province_Client]],Logs_Reseau!B:B,Logs_Reseau!E:E,"Pas de correspondance")</f>
        <v>ANT-0465</v>
      </c>
      <c r="D647" s="1" t="s">
        <v>37</v>
      </c>
      <c r="E647">
        <v>67</v>
      </c>
      <c r="F647" s="1" t="s">
        <v>11</v>
      </c>
      <c r="G647">
        <v>262</v>
      </c>
      <c r="H647">
        <v>28.46</v>
      </c>
      <c r="I647">
        <v>3</v>
      </c>
    </row>
    <row r="648" spans="1:9" x14ac:dyDescent="0.25">
      <c r="A648" s="1" t="s">
        <v>699</v>
      </c>
      <c r="B648" s="1" t="s">
        <v>702</v>
      </c>
      <c r="C648" s="1" t="str">
        <f>_xlfn.XLOOKUP(Clients_Churn[[#This Row],[Province_Client]],Logs_Reseau!B:B,Logs_Reseau!E:E,"Pas de correspondance")</f>
        <v>ANT-0037</v>
      </c>
      <c r="D648" s="1" t="s">
        <v>10</v>
      </c>
      <c r="E648">
        <v>38</v>
      </c>
      <c r="F648" s="1" t="s">
        <v>22</v>
      </c>
      <c r="G648">
        <v>191</v>
      </c>
      <c r="H648">
        <v>22.97</v>
      </c>
      <c r="I648">
        <v>3</v>
      </c>
    </row>
    <row r="649" spans="1:9" x14ac:dyDescent="0.25">
      <c r="A649" s="1" t="s">
        <v>699</v>
      </c>
      <c r="B649" s="1" t="s">
        <v>703</v>
      </c>
      <c r="C649" s="1" t="str">
        <f>_xlfn.XLOOKUP(Clients_Churn[[#This Row],[Province_Client]],Logs_Reseau!B:B,Logs_Reseau!E:E,"Pas de correspondance")</f>
        <v>ANT-0852</v>
      </c>
      <c r="D649" s="1" t="s">
        <v>21</v>
      </c>
      <c r="E649">
        <v>80</v>
      </c>
      <c r="F649" s="1" t="s">
        <v>19</v>
      </c>
      <c r="G649">
        <v>65</v>
      </c>
      <c r="H649">
        <v>76.64</v>
      </c>
      <c r="I649">
        <v>3</v>
      </c>
    </row>
    <row r="650" spans="1:9" x14ac:dyDescent="0.25">
      <c r="A650" s="1" t="s">
        <v>699</v>
      </c>
      <c r="B650" s="1" t="s">
        <v>704</v>
      </c>
      <c r="C650" s="1" t="str">
        <f>_xlfn.XLOOKUP(Clients_Churn[[#This Row],[Province_Client]],Logs_Reseau!B:B,Logs_Reseau!E:E,"Pas de correspondance")</f>
        <v>ANT-0270</v>
      </c>
      <c r="D650" s="1" t="s">
        <v>1675</v>
      </c>
      <c r="E650">
        <v>72</v>
      </c>
      <c r="F650" s="1" t="s">
        <v>14</v>
      </c>
      <c r="G650">
        <v>317</v>
      </c>
      <c r="H650">
        <v>54.58</v>
      </c>
      <c r="I650">
        <v>1</v>
      </c>
    </row>
    <row r="651" spans="1:9" x14ac:dyDescent="0.25">
      <c r="A651" s="1" t="s">
        <v>699</v>
      </c>
      <c r="B651" s="1" t="s">
        <v>705</v>
      </c>
      <c r="C651" s="1" t="str">
        <f>_xlfn.XLOOKUP(Clients_Churn[[#This Row],[Province_Client]],Logs_Reseau!B:B,Logs_Reseau!E:E,"Pas de correspondance")</f>
        <v>ANT-0371</v>
      </c>
      <c r="D651" s="1" t="s">
        <v>18</v>
      </c>
      <c r="E651">
        <v>86</v>
      </c>
      <c r="F651" s="1" t="s">
        <v>11</v>
      </c>
      <c r="G651">
        <v>278</v>
      </c>
      <c r="H651">
        <v>30.12</v>
      </c>
      <c r="I651">
        <v>0</v>
      </c>
    </row>
    <row r="652" spans="1:9" x14ac:dyDescent="0.25">
      <c r="A652" s="1" t="s">
        <v>699</v>
      </c>
      <c r="B652" s="1" t="s">
        <v>706</v>
      </c>
      <c r="C652" s="1" t="str">
        <f>_xlfn.XLOOKUP(Clients_Churn[[#This Row],[Province_Client]],Logs_Reseau!B:B,Logs_Reseau!E:E,"Pas de correspondance")</f>
        <v>ANT-0134</v>
      </c>
      <c r="D652" s="1" t="s">
        <v>40</v>
      </c>
      <c r="E652">
        <v>21</v>
      </c>
      <c r="F652" s="1" t="s">
        <v>22</v>
      </c>
      <c r="G652">
        <v>460</v>
      </c>
      <c r="H652">
        <v>70.81</v>
      </c>
      <c r="I652">
        <v>2</v>
      </c>
    </row>
    <row r="653" spans="1:9" x14ac:dyDescent="0.25">
      <c r="A653" s="1" t="s">
        <v>699</v>
      </c>
      <c r="B653" s="1" t="s">
        <v>707</v>
      </c>
      <c r="C653" s="1" t="str">
        <f>_xlfn.XLOOKUP(Clients_Churn[[#This Row],[Province_Client]],Logs_Reseau!B:B,Logs_Reseau!E:E,"Pas de correspondance")</f>
        <v>ANT-0270</v>
      </c>
      <c r="D653" s="1" t="s">
        <v>1675</v>
      </c>
      <c r="E653">
        <v>39</v>
      </c>
      <c r="F653" s="1" t="s">
        <v>14</v>
      </c>
      <c r="G653">
        <v>289</v>
      </c>
      <c r="H653">
        <v>86.7</v>
      </c>
      <c r="I653">
        <v>3</v>
      </c>
    </row>
    <row r="654" spans="1:9" x14ac:dyDescent="0.25">
      <c r="A654" s="1" t="s">
        <v>699</v>
      </c>
      <c r="B654" s="1" t="s">
        <v>708</v>
      </c>
      <c r="C654" s="1" t="str">
        <f>_xlfn.XLOOKUP(Clients_Churn[[#This Row],[Province_Client]],Logs_Reseau!B:B,Logs_Reseau!E:E,"Pas de correspondance")</f>
        <v>ANT-0553</v>
      </c>
      <c r="D654" s="1" t="s">
        <v>131</v>
      </c>
      <c r="E654">
        <v>63</v>
      </c>
      <c r="F654" s="1" t="s">
        <v>14</v>
      </c>
      <c r="G654">
        <v>449</v>
      </c>
      <c r="H654">
        <v>37.08</v>
      </c>
      <c r="I654">
        <v>0</v>
      </c>
    </row>
    <row r="655" spans="1:9" x14ac:dyDescent="0.25">
      <c r="A655" s="1" t="s">
        <v>699</v>
      </c>
      <c r="B655" s="1" t="s">
        <v>709</v>
      </c>
      <c r="C655" s="1" t="str">
        <f>_xlfn.XLOOKUP(Clients_Churn[[#This Row],[Province_Client]],Logs_Reseau!B:B,Logs_Reseau!E:E,"Pas de correspondance")</f>
        <v>ANT-0855</v>
      </c>
      <c r="D655" s="1" t="s">
        <v>16</v>
      </c>
      <c r="E655">
        <v>37</v>
      </c>
      <c r="F655" s="1" t="s">
        <v>14</v>
      </c>
      <c r="G655">
        <v>150</v>
      </c>
      <c r="H655">
        <v>37.979999999999997</v>
      </c>
      <c r="I655">
        <v>4</v>
      </c>
    </row>
    <row r="656" spans="1:9" x14ac:dyDescent="0.25">
      <c r="A656" s="1" t="s">
        <v>699</v>
      </c>
      <c r="B656" s="1" t="s">
        <v>710</v>
      </c>
      <c r="C656" s="1" t="str">
        <f>_xlfn.XLOOKUP(Clients_Churn[[#This Row],[Province_Client]],Logs_Reseau!B:B,Logs_Reseau!E:E,"Pas de correspondance")</f>
        <v>ANT-0850</v>
      </c>
      <c r="D656" s="1" t="s">
        <v>51</v>
      </c>
      <c r="E656">
        <v>9</v>
      </c>
      <c r="F656" s="1" t="s">
        <v>19</v>
      </c>
      <c r="G656">
        <v>27</v>
      </c>
      <c r="H656">
        <v>99.02</v>
      </c>
      <c r="I656">
        <v>3</v>
      </c>
    </row>
    <row r="657" spans="1:9" x14ac:dyDescent="0.25">
      <c r="A657" s="1" t="s">
        <v>699</v>
      </c>
      <c r="B657" s="1" t="s">
        <v>711</v>
      </c>
      <c r="C657" s="1" t="str">
        <f>_xlfn.XLOOKUP(Clients_Churn[[#This Row],[Province_Client]],Logs_Reseau!B:B,Logs_Reseau!E:E,"Pas de correspondance")</f>
        <v>ANT-0520</v>
      </c>
      <c r="D657" s="1" t="s">
        <v>67</v>
      </c>
      <c r="E657">
        <v>103</v>
      </c>
      <c r="F657" s="1" t="s">
        <v>11</v>
      </c>
      <c r="G657">
        <v>386</v>
      </c>
      <c r="H657">
        <v>10.58</v>
      </c>
      <c r="I657">
        <v>0</v>
      </c>
    </row>
    <row r="658" spans="1:9" x14ac:dyDescent="0.25">
      <c r="A658" s="1" t="s">
        <v>699</v>
      </c>
      <c r="B658" s="1" t="s">
        <v>712</v>
      </c>
      <c r="C658" s="1" t="str">
        <f>_xlfn.XLOOKUP(Clients_Churn[[#This Row],[Province_Client]],Logs_Reseau!B:B,Logs_Reseau!E:E,"Pas de correspondance")</f>
        <v>ANT-0855</v>
      </c>
      <c r="D658" s="1" t="s">
        <v>16</v>
      </c>
      <c r="E658">
        <v>38</v>
      </c>
      <c r="F658" s="1" t="s">
        <v>11</v>
      </c>
      <c r="G658">
        <v>432</v>
      </c>
      <c r="H658">
        <v>53.65</v>
      </c>
      <c r="I658">
        <v>4</v>
      </c>
    </row>
    <row r="659" spans="1:9" x14ac:dyDescent="0.25">
      <c r="A659" s="1" t="s">
        <v>699</v>
      </c>
      <c r="B659" s="1" t="s">
        <v>713</v>
      </c>
      <c r="C659" s="1" t="str">
        <f>_xlfn.XLOOKUP(Clients_Churn[[#This Row],[Province_Client]],Logs_Reseau!B:B,Logs_Reseau!E:E,"Pas de correspondance")</f>
        <v>ANT-0271</v>
      </c>
      <c r="D659" s="1" t="s">
        <v>13</v>
      </c>
      <c r="E659">
        <v>2</v>
      </c>
      <c r="F659" s="1" t="s">
        <v>11</v>
      </c>
      <c r="G659">
        <v>201</v>
      </c>
      <c r="H659">
        <v>71.900000000000006</v>
      </c>
      <c r="I659">
        <v>2</v>
      </c>
    </row>
    <row r="660" spans="1:9" x14ac:dyDescent="0.25">
      <c r="A660" s="1" t="s">
        <v>699</v>
      </c>
      <c r="B660" s="1" t="s">
        <v>714</v>
      </c>
      <c r="C660" s="1" t="str">
        <f>_xlfn.XLOOKUP(Clients_Churn[[#This Row],[Province_Client]],Logs_Reseau!B:B,Logs_Reseau!E:E,"Pas de correspondance")</f>
        <v>ANT-0315</v>
      </c>
      <c r="D660" s="1" t="s">
        <v>60</v>
      </c>
      <c r="E660">
        <v>59</v>
      </c>
      <c r="F660" s="1" t="s">
        <v>22</v>
      </c>
      <c r="G660">
        <v>64</v>
      </c>
      <c r="H660">
        <v>20.32</v>
      </c>
      <c r="I660">
        <v>0</v>
      </c>
    </row>
    <row r="661" spans="1:9" x14ac:dyDescent="0.25">
      <c r="A661" s="1" t="s">
        <v>699</v>
      </c>
      <c r="B661" s="1" t="s">
        <v>715</v>
      </c>
      <c r="C661" s="1" t="str">
        <f>_xlfn.XLOOKUP(Clients_Churn[[#This Row],[Province_Client]],Logs_Reseau!B:B,Logs_Reseau!E:E,"Pas de correspondance")</f>
        <v>ANT-0797</v>
      </c>
      <c r="D661" s="1" t="s">
        <v>127</v>
      </c>
      <c r="E661">
        <v>6</v>
      </c>
      <c r="F661" s="1" t="s">
        <v>14</v>
      </c>
      <c r="G661">
        <v>206</v>
      </c>
      <c r="H661">
        <v>10</v>
      </c>
      <c r="I661">
        <v>5</v>
      </c>
    </row>
    <row r="662" spans="1:9" x14ac:dyDescent="0.25">
      <c r="A662" s="1" t="s">
        <v>699</v>
      </c>
      <c r="B662" s="1" t="s">
        <v>716</v>
      </c>
      <c r="C662" s="1" t="str">
        <f>_xlfn.XLOOKUP(Clients_Churn[[#This Row],[Province_Client]],Logs_Reseau!B:B,Logs_Reseau!E:E,"Pas de correspondance")</f>
        <v>ANT-0945</v>
      </c>
      <c r="D662" s="1" t="s">
        <v>73</v>
      </c>
      <c r="E662">
        <v>28</v>
      </c>
      <c r="F662" s="1" t="s">
        <v>11</v>
      </c>
      <c r="G662">
        <v>343</v>
      </c>
      <c r="H662">
        <v>64.34</v>
      </c>
      <c r="I662">
        <v>5</v>
      </c>
    </row>
    <row r="663" spans="1:9" x14ac:dyDescent="0.25">
      <c r="A663" s="1" t="s">
        <v>699</v>
      </c>
      <c r="B663" s="1" t="s">
        <v>717</v>
      </c>
      <c r="C663" s="1" t="str">
        <f>_xlfn.XLOOKUP(Clients_Churn[[#This Row],[Province_Client]],Logs_Reseau!B:B,Logs_Reseau!E:E,"Pas de correspondance")</f>
        <v>ANT-0332</v>
      </c>
      <c r="D663" s="1" t="s">
        <v>1674</v>
      </c>
      <c r="E663">
        <v>37</v>
      </c>
      <c r="F663" s="1" t="s">
        <v>22</v>
      </c>
      <c r="G663">
        <v>3</v>
      </c>
      <c r="H663">
        <v>20.89</v>
      </c>
      <c r="I663">
        <v>5</v>
      </c>
    </row>
    <row r="664" spans="1:9" x14ac:dyDescent="0.25">
      <c r="A664" s="1" t="s">
        <v>699</v>
      </c>
      <c r="B664" s="1" t="s">
        <v>718</v>
      </c>
      <c r="C664" s="1" t="str">
        <f>_xlfn.XLOOKUP(Clients_Churn[[#This Row],[Province_Client]],Logs_Reseau!B:B,Logs_Reseau!E:E,"Pas de correspondance")</f>
        <v>ANT-0520</v>
      </c>
      <c r="D664" s="1" t="s">
        <v>67</v>
      </c>
      <c r="E664">
        <v>106</v>
      </c>
      <c r="F664" s="1" t="s">
        <v>22</v>
      </c>
      <c r="G664">
        <v>236</v>
      </c>
      <c r="H664">
        <v>18.72</v>
      </c>
      <c r="I664">
        <v>4</v>
      </c>
    </row>
    <row r="665" spans="1:9" x14ac:dyDescent="0.25">
      <c r="A665" s="1" t="s">
        <v>699</v>
      </c>
      <c r="B665" s="1" t="s">
        <v>719</v>
      </c>
      <c r="C665" s="1" t="str">
        <f>_xlfn.XLOOKUP(Clients_Churn[[#This Row],[Province_Client]],Logs_Reseau!B:B,Logs_Reseau!E:E,"Pas de correspondance")</f>
        <v>ANT-0271</v>
      </c>
      <c r="D665" s="1" t="s">
        <v>13</v>
      </c>
      <c r="E665">
        <v>76</v>
      </c>
      <c r="F665" s="1" t="s">
        <v>11</v>
      </c>
      <c r="G665">
        <v>413</v>
      </c>
      <c r="H665">
        <v>28.39</v>
      </c>
      <c r="I665">
        <v>3</v>
      </c>
    </row>
    <row r="666" spans="1:9" x14ac:dyDescent="0.25">
      <c r="A666" s="1" t="s">
        <v>699</v>
      </c>
      <c r="B666" s="1" t="s">
        <v>720</v>
      </c>
      <c r="C666" s="1" t="str">
        <f>_xlfn.XLOOKUP(Clients_Churn[[#This Row],[Province_Client]],Logs_Reseau!B:B,Logs_Reseau!E:E,"Pas de correspondance")</f>
        <v>ANT-0852</v>
      </c>
      <c r="D666" s="1" t="s">
        <v>21</v>
      </c>
      <c r="E666">
        <v>16</v>
      </c>
      <c r="F666" s="1" t="s">
        <v>22</v>
      </c>
      <c r="G666">
        <v>390</v>
      </c>
      <c r="H666">
        <v>52.64</v>
      </c>
      <c r="I666">
        <v>0</v>
      </c>
    </row>
    <row r="667" spans="1:9" x14ac:dyDescent="0.25">
      <c r="A667" s="1" t="s">
        <v>699</v>
      </c>
      <c r="B667" s="1" t="s">
        <v>721</v>
      </c>
      <c r="C667" s="1" t="str">
        <f>_xlfn.XLOOKUP(Clients_Churn[[#This Row],[Province_Client]],Logs_Reseau!B:B,Logs_Reseau!E:E,"Pas de correspondance")</f>
        <v>ANT-0250</v>
      </c>
      <c r="D667" s="1" t="s">
        <v>78</v>
      </c>
      <c r="E667">
        <v>7</v>
      </c>
      <c r="F667" s="1" t="s">
        <v>14</v>
      </c>
      <c r="G667">
        <v>447</v>
      </c>
      <c r="H667">
        <v>84.95</v>
      </c>
      <c r="I667">
        <v>2</v>
      </c>
    </row>
    <row r="668" spans="1:9" x14ac:dyDescent="0.25">
      <c r="A668" s="1" t="s">
        <v>699</v>
      </c>
      <c r="B668" s="1" t="s">
        <v>722</v>
      </c>
      <c r="C668" s="1" t="str">
        <f>_xlfn.XLOOKUP(Clients_Churn[[#This Row],[Province_Client]],Logs_Reseau!B:B,Logs_Reseau!E:E,"Pas de correspondance")</f>
        <v>ANT-0553</v>
      </c>
      <c r="D668" s="1" t="s">
        <v>131</v>
      </c>
      <c r="E668">
        <v>63</v>
      </c>
      <c r="F668" s="1" t="s">
        <v>22</v>
      </c>
      <c r="G668">
        <v>265</v>
      </c>
      <c r="H668">
        <v>49.94</v>
      </c>
      <c r="I668">
        <v>1</v>
      </c>
    </row>
    <row r="669" spans="1:9" x14ac:dyDescent="0.25">
      <c r="A669" s="1" t="s">
        <v>699</v>
      </c>
      <c r="B669" s="1" t="s">
        <v>723</v>
      </c>
      <c r="C669" s="1" t="str">
        <f>_xlfn.XLOOKUP(Clients_Churn[[#This Row],[Province_Client]],Logs_Reseau!B:B,Logs_Reseau!E:E,"Pas de correspondance")</f>
        <v>ANT-0935</v>
      </c>
      <c r="D669" s="1" t="s">
        <v>89</v>
      </c>
      <c r="E669">
        <v>40</v>
      </c>
      <c r="F669" s="1" t="s">
        <v>11</v>
      </c>
      <c r="G669">
        <v>235</v>
      </c>
      <c r="H669">
        <v>15.01</v>
      </c>
      <c r="I669">
        <v>3</v>
      </c>
    </row>
    <row r="670" spans="1:9" x14ac:dyDescent="0.25">
      <c r="A670" s="1" t="s">
        <v>699</v>
      </c>
      <c r="B670" s="1" t="s">
        <v>724</v>
      </c>
      <c r="C670" s="1" t="str">
        <f>_xlfn.XLOOKUP(Clients_Churn[[#This Row],[Province_Client]],Logs_Reseau!B:B,Logs_Reseau!E:E,"Pas de correspondance")</f>
        <v>ANT-0037</v>
      </c>
      <c r="D670" s="1" t="s">
        <v>10</v>
      </c>
      <c r="E670">
        <v>1</v>
      </c>
      <c r="F670" s="1" t="s">
        <v>11</v>
      </c>
      <c r="G670">
        <v>429</v>
      </c>
      <c r="H670">
        <v>20.96</v>
      </c>
      <c r="I670">
        <v>5</v>
      </c>
    </row>
    <row r="671" spans="1:9" x14ac:dyDescent="0.25">
      <c r="A671" s="1" t="s">
        <v>699</v>
      </c>
      <c r="B671" s="1" t="s">
        <v>725</v>
      </c>
      <c r="C671" s="1" t="str">
        <f>_xlfn.XLOOKUP(Clients_Churn[[#This Row],[Province_Client]],Logs_Reseau!B:B,Logs_Reseau!E:E,"Pas de correspondance")</f>
        <v>ANT-0520</v>
      </c>
      <c r="D671" s="1" t="s">
        <v>67</v>
      </c>
      <c r="E671">
        <v>56</v>
      </c>
      <c r="F671" s="1" t="s">
        <v>19</v>
      </c>
      <c r="G671">
        <v>27</v>
      </c>
      <c r="H671">
        <v>46.41</v>
      </c>
      <c r="I671">
        <v>3</v>
      </c>
    </row>
    <row r="672" spans="1:9" x14ac:dyDescent="0.25">
      <c r="A672" s="1" t="s">
        <v>699</v>
      </c>
      <c r="B672" s="1" t="s">
        <v>726</v>
      </c>
      <c r="C672" s="1" t="str">
        <f>_xlfn.XLOOKUP(Clients_Churn[[#This Row],[Province_Client]],Logs_Reseau!B:B,Logs_Reseau!E:E,"Pas de correspondance")</f>
        <v>ANT-0760</v>
      </c>
      <c r="D672" s="1" t="s">
        <v>35</v>
      </c>
      <c r="E672">
        <v>46</v>
      </c>
      <c r="F672" s="1" t="s">
        <v>11</v>
      </c>
      <c r="G672">
        <v>43</v>
      </c>
      <c r="H672">
        <v>98.44</v>
      </c>
      <c r="I672">
        <v>2</v>
      </c>
    </row>
    <row r="673" spans="1:9" x14ac:dyDescent="0.25">
      <c r="A673" s="1" t="s">
        <v>699</v>
      </c>
      <c r="B673" s="1" t="s">
        <v>727</v>
      </c>
      <c r="C673" s="1" t="str">
        <f>_xlfn.XLOOKUP(Clients_Churn[[#This Row],[Province_Client]],Logs_Reseau!B:B,Logs_Reseau!E:E,"Pas de correspondance")</f>
        <v>ANT-0270</v>
      </c>
      <c r="D673" s="1" t="s">
        <v>1675</v>
      </c>
      <c r="E673">
        <v>85</v>
      </c>
      <c r="F673" s="1" t="s">
        <v>14</v>
      </c>
      <c r="G673">
        <v>28</v>
      </c>
      <c r="H673">
        <v>83.82</v>
      </c>
      <c r="I673">
        <v>0</v>
      </c>
    </row>
    <row r="674" spans="1:9" x14ac:dyDescent="0.25">
      <c r="A674" s="1" t="s">
        <v>699</v>
      </c>
      <c r="B674" s="1" t="s">
        <v>728</v>
      </c>
      <c r="C674" s="1" t="str">
        <f>_xlfn.XLOOKUP(Clients_Churn[[#This Row],[Province_Client]],Logs_Reseau!B:B,Logs_Reseau!E:E,"Pas de correspondance")</f>
        <v>ANT-0737</v>
      </c>
      <c r="D674" s="1" t="s">
        <v>62</v>
      </c>
      <c r="E674">
        <v>107</v>
      </c>
      <c r="F674" s="1" t="s">
        <v>22</v>
      </c>
      <c r="G674">
        <v>138</v>
      </c>
      <c r="H674">
        <v>85.75</v>
      </c>
      <c r="I674">
        <v>1</v>
      </c>
    </row>
    <row r="675" spans="1:9" x14ac:dyDescent="0.25">
      <c r="A675" s="1" t="s">
        <v>699</v>
      </c>
      <c r="B675" s="1" t="s">
        <v>729</v>
      </c>
      <c r="C675" s="1" t="str">
        <f>_xlfn.XLOOKUP(Clients_Churn[[#This Row],[Province_Client]],Logs_Reseau!B:B,Logs_Reseau!E:E,"Pas de correspondance")</f>
        <v>ANT-0935</v>
      </c>
      <c r="D675" s="1" t="s">
        <v>89</v>
      </c>
      <c r="E675">
        <v>1</v>
      </c>
      <c r="F675" s="1" t="s">
        <v>14</v>
      </c>
      <c r="G675">
        <v>424</v>
      </c>
      <c r="H675">
        <v>59.2</v>
      </c>
      <c r="I675">
        <v>2</v>
      </c>
    </row>
    <row r="676" spans="1:9" x14ac:dyDescent="0.25">
      <c r="A676" s="1" t="s">
        <v>699</v>
      </c>
      <c r="B676" s="1" t="s">
        <v>730</v>
      </c>
      <c r="C676" s="1" t="str">
        <f>_xlfn.XLOOKUP(Clients_Churn[[#This Row],[Province_Client]],Logs_Reseau!B:B,Logs_Reseau!E:E,"Pas de correspondance")</f>
        <v>ANT-0945</v>
      </c>
      <c r="D676" s="1" t="s">
        <v>73</v>
      </c>
      <c r="E676">
        <v>7</v>
      </c>
      <c r="F676" s="1" t="s">
        <v>14</v>
      </c>
      <c r="G676">
        <v>332</v>
      </c>
      <c r="H676">
        <v>83.95</v>
      </c>
      <c r="I676">
        <v>4</v>
      </c>
    </row>
    <row r="677" spans="1:9" x14ac:dyDescent="0.25">
      <c r="A677" s="1" t="s">
        <v>699</v>
      </c>
      <c r="B677" s="1" t="s">
        <v>731</v>
      </c>
      <c r="C677" s="1" t="str">
        <f>_xlfn.XLOOKUP(Clients_Churn[[#This Row],[Province_Client]],Logs_Reseau!B:B,Logs_Reseau!E:E,"Pas de correspondance")</f>
        <v>ANT-0465</v>
      </c>
      <c r="D677" s="1" t="s">
        <v>37</v>
      </c>
      <c r="E677">
        <v>33</v>
      </c>
      <c r="F677" s="1" t="s">
        <v>19</v>
      </c>
      <c r="G677">
        <v>54</v>
      </c>
      <c r="H677">
        <v>71.319999999999993</v>
      </c>
      <c r="I677">
        <v>4</v>
      </c>
    </row>
    <row r="678" spans="1:9" x14ac:dyDescent="0.25">
      <c r="A678" s="1" t="s">
        <v>699</v>
      </c>
      <c r="B678" s="1" t="s">
        <v>732</v>
      </c>
      <c r="C678" s="1" t="str">
        <f>_xlfn.XLOOKUP(Clients_Churn[[#This Row],[Province_Client]],Logs_Reseau!B:B,Logs_Reseau!E:E,"Pas de correspondance")</f>
        <v>ANT-0250</v>
      </c>
      <c r="D678" s="1" t="s">
        <v>78</v>
      </c>
      <c r="E678">
        <v>18</v>
      </c>
      <c r="F678" s="1" t="s">
        <v>22</v>
      </c>
      <c r="G678">
        <v>170</v>
      </c>
      <c r="H678">
        <v>87.34</v>
      </c>
      <c r="I678">
        <v>1</v>
      </c>
    </row>
    <row r="679" spans="1:9" x14ac:dyDescent="0.25">
      <c r="A679" s="1" t="s">
        <v>699</v>
      </c>
      <c r="B679" s="1" t="s">
        <v>733</v>
      </c>
      <c r="C679" s="1" t="str">
        <f>_xlfn.XLOOKUP(Clients_Churn[[#This Row],[Province_Client]],Logs_Reseau!B:B,Logs_Reseau!E:E,"Pas de correspondance")</f>
        <v>ANT-0166</v>
      </c>
      <c r="D679" s="1" t="s">
        <v>31</v>
      </c>
      <c r="E679">
        <v>45</v>
      </c>
      <c r="F679" s="1" t="s">
        <v>14</v>
      </c>
      <c r="G679">
        <v>304</v>
      </c>
      <c r="H679">
        <v>65.540000000000006</v>
      </c>
      <c r="I679">
        <v>2</v>
      </c>
    </row>
    <row r="680" spans="1:9" x14ac:dyDescent="0.25">
      <c r="A680" s="1" t="s">
        <v>699</v>
      </c>
      <c r="B680" s="1" t="s">
        <v>734</v>
      </c>
      <c r="C680" s="1" t="str">
        <f>_xlfn.XLOOKUP(Clients_Churn[[#This Row],[Province_Client]],Logs_Reseau!B:B,Logs_Reseau!E:E,"Pas de correspondance")</f>
        <v>ANT-0850</v>
      </c>
      <c r="D680" s="1" t="s">
        <v>51</v>
      </c>
      <c r="E680">
        <v>113</v>
      </c>
      <c r="F680" s="1" t="s">
        <v>11</v>
      </c>
      <c r="G680">
        <v>49</v>
      </c>
      <c r="H680">
        <v>48.91</v>
      </c>
      <c r="I680">
        <v>5</v>
      </c>
    </row>
    <row r="681" spans="1:9" x14ac:dyDescent="0.25">
      <c r="A681" s="1" t="s">
        <v>699</v>
      </c>
      <c r="B681" s="1" t="s">
        <v>735</v>
      </c>
      <c r="C681" s="1" t="str">
        <f>_xlfn.XLOOKUP(Clients_Churn[[#This Row],[Province_Client]],Logs_Reseau!B:B,Logs_Reseau!E:E,"Pas de correspondance")</f>
        <v>ANT-0037</v>
      </c>
      <c r="D681" s="1" t="s">
        <v>10</v>
      </c>
      <c r="E681">
        <v>37</v>
      </c>
      <c r="F681" s="1" t="s">
        <v>11</v>
      </c>
      <c r="G681">
        <v>420</v>
      </c>
      <c r="H681">
        <v>67.260000000000005</v>
      </c>
      <c r="I681">
        <v>4</v>
      </c>
    </row>
    <row r="682" spans="1:9" x14ac:dyDescent="0.25">
      <c r="A682" s="1" t="s">
        <v>699</v>
      </c>
      <c r="B682" s="1" t="s">
        <v>736</v>
      </c>
      <c r="C682" s="1" t="str">
        <f>_xlfn.XLOOKUP(Clients_Churn[[#This Row],[Province_Client]],Logs_Reseau!B:B,Logs_Reseau!E:E,"Pas de correspondance")</f>
        <v>ANT-0624</v>
      </c>
      <c r="D682" s="1" t="s">
        <v>24</v>
      </c>
      <c r="E682">
        <v>101</v>
      </c>
      <c r="F682" s="1" t="s">
        <v>14</v>
      </c>
      <c r="G682">
        <v>148</v>
      </c>
      <c r="H682">
        <v>26.63</v>
      </c>
      <c r="I682">
        <v>3</v>
      </c>
    </row>
    <row r="683" spans="1:9" x14ac:dyDescent="0.25">
      <c r="A683" s="1" t="s">
        <v>699</v>
      </c>
      <c r="B683" s="1" t="s">
        <v>737</v>
      </c>
      <c r="C683" s="1" t="str">
        <f>_xlfn.XLOOKUP(Clients_Churn[[#This Row],[Province_Client]],Logs_Reseau!B:B,Logs_Reseau!E:E,"Pas de correspondance")</f>
        <v>ANT-0797</v>
      </c>
      <c r="D683" s="1" t="s">
        <v>127</v>
      </c>
      <c r="E683">
        <v>110</v>
      </c>
      <c r="F683" s="1" t="s">
        <v>11</v>
      </c>
      <c r="G683">
        <v>289</v>
      </c>
      <c r="H683">
        <v>83.67</v>
      </c>
      <c r="I683">
        <v>4</v>
      </c>
    </row>
    <row r="684" spans="1:9" x14ac:dyDescent="0.25">
      <c r="A684" s="1" t="s">
        <v>699</v>
      </c>
      <c r="B684" s="1" t="s">
        <v>738</v>
      </c>
      <c r="C684" s="1" t="str">
        <f>_xlfn.XLOOKUP(Clients_Churn[[#This Row],[Province_Client]],Logs_Reseau!B:B,Logs_Reseau!E:E,"Pas de correspondance")</f>
        <v>ANT-0935</v>
      </c>
      <c r="D684" s="1" t="s">
        <v>89</v>
      </c>
      <c r="E684">
        <v>65</v>
      </c>
      <c r="F684" s="1" t="s">
        <v>14</v>
      </c>
      <c r="G684">
        <v>246</v>
      </c>
      <c r="H684">
        <v>69.17</v>
      </c>
      <c r="I684">
        <v>0</v>
      </c>
    </row>
    <row r="685" spans="1:9" x14ac:dyDescent="0.25">
      <c r="A685" s="1" t="s">
        <v>699</v>
      </c>
      <c r="B685" s="1" t="s">
        <v>739</v>
      </c>
      <c r="C685" s="1" t="str">
        <f>_xlfn.XLOOKUP(Clients_Churn[[#This Row],[Province_Client]],Logs_Reseau!B:B,Logs_Reseau!E:E,"Pas de correspondance")</f>
        <v>ANT-0624</v>
      </c>
      <c r="D685" s="1" t="s">
        <v>24</v>
      </c>
      <c r="E685">
        <v>86</v>
      </c>
      <c r="F685" s="1" t="s">
        <v>14</v>
      </c>
      <c r="G685">
        <v>353</v>
      </c>
      <c r="H685">
        <v>25.37</v>
      </c>
      <c r="I685">
        <v>1</v>
      </c>
    </row>
    <row r="686" spans="1:9" x14ac:dyDescent="0.25">
      <c r="A686" s="1" t="s">
        <v>699</v>
      </c>
      <c r="B686" s="1" t="s">
        <v>740</v>
      </c>
      <c r="C686" s="1" t="str">
        <f>_xlfn.XLOOKUP(Clients_Churn[[#This Row],[Province_Client]],Logs_Reseau!B:B,Logs_Reseau!E:E,"Pas de correspondance")</f>
        <v>ANT-0624</v>
      </c>
      <c r="D686" s="1" t="s">
        <v>24</v>
      </c>
      <c r="E686">
        <v>99</v>
      </c>
      <c r="F686" s="1" t="s">
        <v>14</v>
      </c>
      <c r="G686">
        <v>169</v>
      </c>
      <c r="H686">
        <v>76.75</v>
      </c>
      <c r="I686">
        <v>5</v>
      </c>
    </row>
    <row r="687" spans="1:9" x14ac:dyDescent="0.25">
      <c r="A687" s="1" t="s">
        <v>699</v>
      </c>
      <c r="B687" s="1" t="s">
        <v>741</v>
      </c>
      <c r="C687" s="1" t="str">
        <f>_xlfn.XLOOKUP(Clients_Churn[[#This Row],[Province_Client]],Logs_Reseau!B:B,Logs_Reseau!E:E,"Pas de correspondance")</f>
        <v>ANT-0852</v>
      </c>
      <c r="D687" s="1" t="s">
        <v>21</v>
      </c>
      <c r="E687">
        <v>72</v>
      </c>
      <c r="F687" s="1" t="s">
        <v>14</v>
      </c>
      <c r="G687">
        <v>442</v>
      </c>
      <c r="H687">
        <v>59.2</v>
      </c>
      <c r="I687">
        <v>1</v>
      </c>
    </row>
    <row r="688" spans="1:9" x14ac:dyDescent="0.25">
      <c r="A688" s="1" t="s">
        <v>699</v>
      </c>
      <c r="B688" s="1" t="s">
        <v>742</v>
      </c>
      <c r="C688" s="1" t="str">
        <f>_xlfn.XLOOKUP(Clients_Churn[[#This Row],[Province_Client]],Logs_Reseau!B:B,Logs_Reseau!E:E,"Pas de correspondance")</f>
        <v>ANT-0760</v>
      </c>
      <c r="D688" s="1" t="s">
        <v>35</v>
      </c>
      <c r="E688">
        <v>20</v>
      </c>
      <c r="F688" s="1" t="s">
        <v>14</v>
      </c>
      <c r="G688">
        <v>31</v>
      </c>
      <c r="H688">
        <v>52.85</v>
      </c>
      <c r="I688">
        <v>2</v>
      </c>
    </row>
    <row r="689" spans="1:9" x14ac:dyDescent="0.25">
      <c r="A689" s="1" t="s">
        <v>699</v>
      </c>
      <c r="B689" s="1" t="s">
        <v>743</v>
      </c>
      <c r="C689" s="1" t="str">
        <f>_xlfn.XLOOKUP(Clients_Churn[[#This Row],[Province_Client]],Logs_Reseau!B:B,Logs_Reseau!E:E,"Pas de correspondance")</f>
        <v>ANT-0850</v>
      </c>
      <c r="D689" s="1" t="s">
        <v>51</v>
      </c>
      <c r="E689">
        <v>12</v>
      </c>
      <c r="F689" s="1" t="s">
        <v>19</v>
      </c>
      <c r="G689">
        <v>62</v>
      </c>
      <c r="H689">
        <v>36.1</v>
      </c>
      <c r="I689">
        <v>5</v>
      </c>
    </row>
    <row r="690" spans="1:9" x14ac:dyDescent="0.25">
      <c r="A690" s="1" t="s">
        <v>699</v>
      </c>
      <c r="B690" s="1" t="s">
        <v>744</v>
      </c>
      <c r="C690" s="1" t="str">
        <f>_xlfn.XLOOKUP(Clients_Churn[[#This Row],[Province_Client]],Logs_Reseau!B:B,Logs_Reseau!E:E,"Pas de correspondance")</f>
        <v>ANT-0913</v>
      </c>
      <c r="D690" s="1" t="s">
        <v>64</v>
      </c>
      <c r="E690">
        <v>92</v>
      </c>
      <c r="F690" s="1" t="s">
        <v>19</v>
      </c>
      <c r="G690">
        <v>379</v>
      </c>
      <c r="H690">
        <v>70.08</v>
      </c>
      <c r="I690">
        <v>5</v>
      </c>
    </row>
    <row r="691" spans="1:9" x14ac:dyDescent="0.25">
      <c r="A691" s="1" t="s">
        <v>699</v>
      </c>
      <c r="B691" s="1" t="s">
        <v>745</v>
      </c>
      <c r="C691" s="1" t="str">
        <f>_xlfn.XLOOKUP(Clients_Churn[[#This Row],[Province_Client]],Logs_Reseau!B:B,Logs_Reseau!E:E,"Pas de correspondance")</f>
        <v>ANT-0566</v>
      </c>
      <c r="D691" s="1" t="s">
        <v>26</v>
      </c>
      <c r="E691">
        <v>35</v>
      </c>
      <c r="F691" s="1" t="s">
        <v>14</v>
      </c>
      <c r="G691">
        <v>299</v>
      </c>
      <c r="H691">
        <v>96.32</v>
      </c>
      <c r="I691">
        <v>4</v>
      </c>
    </row>
    <row r="692" spans="1:9" x14ac:dyDescent="0.25">
      <c r="A692" s="1" t="s">
        <v>699</v>
      </c>
      <c r="B692" s="1" t="s">
        <v>746</v>
      </c>
      <c r="C692" s="1" t="str">
        <f>_xlfn.XLOOKUP(Clients_Churn[[#This Row],[Province_Client]],Logs_Reseau!B:B,Logs_Reseau!E:E,"Pas de correspondance")</f>
        <v>ANT-0271</v>
      </c>
      <c r="D692" s="1" t="s">
        <v>13</v>
      </c>
      <c r="E692">
        <v>19</v>
      </c>
      <c r="F692" s="1" t="s">
        <v>19</v>
      </c>
      <c r="G692">
        <v>345</v>
      </c>
      <c r="H692">
        <v>54.37</v>
      </c>
      <c r="I692">
        <v>2</v>
      </c>
    </row>
    <row r="693" spans="1:9" x14ac:dyDescent="0.25">
      <c r="A693" s="1" t="s">
        <v>699</v>
      </c>
      <c r="B693" s="1" t="s">
        <v>747</v>
      </c>
      <c r="C693" s="1" t="str">
        <f>_xlfn.XLOOKUP(Clients_Churn[[#This Row],[Province_Client]],Logs_Reseau!B:B,Logs_Reseau!E:E,"Pas de correspondance")</f>
        <v>ANT-0011</v>
      </c>
      <c r="D693" s="1" t="s">
        <v>44</v>
      </c>
      <c r="E693">
        <v>94</v>
      </c>
      <c r="F693" s="1" t="s">
        <v>22</v>
      </c>
      <c r="G693">
        <v>261</v>
      </c>
      <c r="H693">
        <v>70.09</v>
      </c>
      <c r="I693">
        <v>3</v>
      </c>
    </row>
    <row r="694" spans="1:9" x14ac:dyDescent="0.25">
      <c r="A694" s="1" t="s">
        <v>699</v>
      </c>
      <c r="B694" s="1" t="s">
        <v>748</v>
      </c>
      <c r="C694" s="1" t="str">
        <f>_xlfn.XLOOKUP(Clients_Churn[[#This Row],[Province_Client]],Logs_Reseau!B:B,Logs_Reseau!E:E,"Pas de correspondance")</f>
        <v>ANT-0797</v>
      </c>
      <c r="D694" s="1" t="s">
        <v>127</v>
      </c>
      <c r="E694">
        <v>26</v>
      </c>
      <c r="F694" s="1" t="s">
        <v>11</v>
      </c>
      <c r="G694">
        <v>378</v>
      </c>
      <c r="H694">
        <v>45.21</v>
      </c>
      <c r="I694">
        <v>5</v>
      </c>
    </row>
    <row r="695" spans="1:9" x14ac:dyDescent="0.25">
      <c r="A695" s="1" t="s">
        <v>699</v>
      </c>
      <c r="B695" s="1" t="s">
        <v>749</v>
      </c>
      <c r="C695" s="1" t="str">
        <f>_xlfn.XLOOKUP(Clients_Churn[[#This Row],[Province_Client]],Logs_Reseau!B:B,Logs_Reseau!E:E,"Pas de correspondance")</f>
        <v>ANT-0271</v>
      </c>
      <c r="D695" s="1" t="s">
        <v>13</v>
      </c>
      <c r="E695">
        <v>56</v>
      </c>
      <c r="F695" s="1" t="s">
        <v>22</v>
      </c>
      <c r="G695">
        <v>367</v>
      </c>
      <c r="H695">
        <v>72.790000000000006</v>
      </c>
      <c r="I695">
        <v>1</v>
      </c>
    </row>
    <row r="696" spans="1:9" x14ac:dyDescent="0.25">
      <c r="A696" s="1" t="s">
        <v>750</v>
      </c>
      <c r="B696" s="1" t="s">
        <v>751</v>
      </c>
      <c r="C696" s="1" t="str">
        <f>_xlfn.XLOOKUP(Clients_Churn[[#This Row],[Province_Client]],Logs_Reseau!B:B,Logs_Reseau!E:E,"Pas de correspondance")</f>
        <v>ANT-0760</v>
      </c>
      <c r="D696" s="1" t="s">
        <v>35</v>
      </c>
      <c r="E696">
        <v>97</v>
      </c>
      <c r="F696" s="1" t="s">
        <v>19</v>
      </c>
      <c r="G696">
        <v>173</v>
      </c>
      <c r="H696">
        <v>19.37</v>
      </c>
      <c r="I696">
        <v>5</v>
      </c>
    </row>
    <row r="697" spans="1:9" x14ac:dyDescent="0.25">
      <c r="A697" s="1" t="s">
        <v>750</v>
      </c>
      <c r="B697" s="1" t="s">
        <v>752</v>
      </c>
      <c r="C697" s="1" t="str">
        <f>_xlfn.XLOOKUP(Clients_Churn[[#This Row],[Province_Client]],Logs_Reseau!B:B,Logs_Reseau!E:E,"Pas de correspondance")</f>
        <v>ANT-0553</v>
      </c>
      <c r="D697" s="1" t="s">
        <v>131</v>
      </c>
      <c r="E697">
        <v>54</v>
      </c>
      <c r="F697" s="1" t="s">
        <v>22</v>
      </c>
      <c r="G697">
        <v>215</v>
      </c>
      <c r="H697">
        <v>54.69</v>
      </c>
      <c r="I697">
        <v>0</v>
      </c>
    </row>
    <row r="698" spans="1:9" x14ac:dyDescent="0.25">
      <c r="A698" s="1" t="s">
        <v>750</v>
      </c>
      <c r="B698" s="1" t="s">
        <v>753</v>
      </c>
      <c r="C698" s="1" t="str">
        <f>_xlfn.XLOOKUP(Clients_Churn[[#This Row],[Province_Client]],Logs_Reseau!B:B,Logs_Reseau!E:E,"Pas de correspondance")</f>
        <v>ANT-0134</v>
      </c>
      <c r="D698" s="1" t="s">
        <v>40</v>
      </c>
      <c r="E698">
        <v>119</v>
      </c>
      <c r="F698" s="1" t="s">
        <v>19</v>
      </c>
      <c r="G698">
        <v>133</v>
      </c>
      <c r="H698">
        <v>30.27</v>
      </c>
      <c r="I698">
        <v>5</v>
      </c>
    </row>
    <row r="699" spans="1:9" x14ac:dyDescent="0.25">
      <c r="A699" s="1" t="s">
        <v>750</v>
      </c>
      <c r="B699" s="1" t="s">
        <v>754</v>
      </c>
      <c r="C699" s="1" t="str">
        <f>_xlfn.XLOOKUP(Clients_Churn[[#This Row],[Province_Client]],Logs_Reseau!B:B,Logs_Reseau!E:E,"Pas de correspondance")</f>
        <v>ANT-0855</v>
      </c>
      <c r="D699" s="1" t="s">
        <v>16</v>
      </c>
      <c r="E699">
        <v>9</v>
      </c>
      <c r="F699" s="1" t="s">
        <v>22</v>
      </c>
      <c r="G699">
        <v>102</v>
      </c>
      <c r="H699">
        <v>41.52</v>
      </c>
      <c r="I699">
        <v>0</v>
      </c>
    </row>
    <row r="700" spans="1:9" x14ac:dyDescent="0.25">
      <c r="A700" s="1" t="s">
        <v>750</v>
      </c>
      <c r="B700" s="1" t="s">
        <v>755</v>
      </c>
      <c r="C700" s="1" t="str">
        <f>_xlfn.XLOOKUP(Clients_Churn[[#This Row],[Province_Client]],Logs_Reseau!B:B,Logs_Reseau!E:E,"Pas de correspondance")</f>
        <v>ANT-0566</v>
      </c>
      <c r="D700" s="1" t="s">
        <v>26</v>
      </c>
      <c r="E700">
        <v>8</v>
      </c>
      <c r="F700" s="1" t="s">
        <v>19</v>
      </c>
      <c r="G700">
        <v>171</v>
      </c>
      <c r="H700">
        <v>52.98</v>
      </c>
      <c r="I700">
        <v>0</v>
      </c>
    </row>
    <row r="701" spans="1:9" x14ac:dyDescent="0.25">
      <c r="A701" s="1" t="s">
        <v>750</v>
      </c>
      <c r="B701" s="1" t="s">
        <v>756</v>
      </c>
      <c r="C701" s="1" t="str">
        <f>_xlfn.XLOOKUP(Clients_Churn[[#This Row],[Province_Client]],Logs_Reseau!B:B,Logs_Reseau!E:E,"Pas de correspondance")</f>
        <v>ANT-0553</v>
      </c>
      <c r="D701" s="1" t="s">
        <v>131</v>
      </c>
      <c r="E701">
        <v>79</v>
      </c>
      <c r="F701" s="1" t="s">
        <v>11</v>
      </c>
      <c r="G701">
        <v>454</v>
      </c>
      <c r="H701">
        <v>80.34</v>
      </c>
      <c r="I701">
        <v>2</v>
      </c>
    </row>
    <row r="702" spans="1:9" x14ac:dyDescent="0.25">
      <c r="A702" s="1" t="s">
        <v>750</v>
      </c>
      <c r="B702" s="1" t="s">
        <v>757</v>
      </c>
      <c r="C702" s="1" t="str">
        <f>_xlfn.XLOOKUP(Clients_Churn[[#This Row],[Province_Client]],Logs_Reseau!B:B,Logs_Reseau!E:E,"Pas de correspondance")</f>
        <v>ANT-0566</v>
      </c>
      <c r="D702" s="1" t="s">
        <v>26</v>
      </c>
      <c r="E702">
        <v>33</v>
      </c>
      <c r="F702" s="1" t="s">
        <v>14</v>
      </c>
      <c r="G702">
        <v>391</v>
      </c>
      <c r="H702">
        <v>88.88</v>
      </c>
      <c r="I702">
        <v>4</v>
      </c>
    </row>
    <row r="703" spans="1:9" x14ac:dyDescent="0.25">
      <c r="A703" s="1" t="s">
        <v>750</v>
      </c>
      <c r="B703" s="1" t="s">
        <v>758</v>
      </c>
      <c r="C703" s="1" t="str">
        <f>_xlfn.XLOOKUP(Clients_Churn[[#This Row],[Province_Client]],Logs_Reseau!B:B,Logs_Reseau!E:E,"Pas de correspondance")</f>
        <v>ANT-0166</v>
      </c>
      <c r="D703" s="1" t="s">
        <v>31</v>
      </c>
      <c r="E703">
        <v>15</v>
      </c>
      <c r="F703" s="1" t="s">
        <v>19</v>
      </c>
      <c r="G703">
        <v>30</v>
      </c>
      <c r="H703">
        <v>30.5</v>
      </c>
      <c r="I703">
        <v>1</v>
      </c>
    </row>
    <row r="704" spans="1:9" x14ac:dyDescent="0.25">
      <c r="A704" s="1" t="s">
        <v>750</v>
      </c>
      <c r="B704" s="1" t="s">
        <v>759</v>
      </c>
      <c r="C704" s="1" t="str">
        <f>_xlfn.XLOOKUP(Clients_Churn[[#This Row],[Province_Client]],Logs_Reseau!B:B,Logs_Reseau!E:E,"Pas de correspondance")</f>
        <v>ANT-0271</v>
      </c>
      <c r="D704" s="1" t="s">
        <v>13</v>
      </c>
      <c r="E704">
        <v>5</v>
      </c>
      <c r="F704" s="1" t="s">
        <v>11</v>
      </c>
      <c r="G704">
        <v>71</v>
      </c>
      <c r="H704">
        <v>93.81</v>
      </c>
      <c r="I704">
        <v>3</v>
      </c>
    </row>
    <row r="705" spans="1:9" x14ac:dyDescent="0.25">
      <c r="A705" s="1" t="s">
        <v>750</v>
      </c>
      <c r="B705" s="1" t="s">
        <v>760</v>
      </c>
      <c r="C705" s="1" t="str">
        <f>_xlfn.XLOOKUP(Clients_Churn[[#This Row],[Province_Client]],Logs_Reseau!B:B,Logs_Reseau!E:E,"Pas de correspondance")</f>
        <v>ANT-0332</v>
      </c>
      <c r="D705" s="1" t="s">
        <v>1674</v>
      </c>
      <c r="E705">
        <v>109</v>
      </c>
      <c r="F705" s="1" t="s">
        <v>22</v>
      </c>
      <c r="G705">
        <v>104</v>
      </c>
      <c r="H705">
        <v>12.37</v>
      </c>
      <c r="I705">
        <v>5</v>
      </c>
    </row>
    <row r="706" spans="1:9" x14ac:dyDescent="0.25">
      <c r="A706" s="1" t="s">
        <v>750</v>
      </c>
      <c r="B706" s="1" t="s">
        <v>761</v>
      </c>
      <c r="C706" s="1" t="str">
        <f>_xlfn.XLOOKUP(Clients_Churn[[#This Row],[Province_Client]],Logs_Reseau!B:B,Logs_Reseau!E:E,"Pas de correspondance")</f>
        <v>ANT-0935</v>
      </c>
      <c r="D706" s="1" t="s">
        <v>89</v>
      </c>
      <c r="E706">
        <v>96</v>
      </c>
      <c r="F706" s="1" t="s">
        <v>14</v>
      </c>
      <c r="G706">
        <v>280</v>
      </c>
      <c r="H706">
        <v>80.36</v>
      </c>
      <c r="I706">
        <v>5</v>
      </c>
    </row>
    <row r="707" spans="1:9" x14ac:dyDescent="0.25">
      <c r="A707" s="1" t="s">
        <v>750</v>
      </c>
      <c r="B707" s="1" t="s">
        <v>762</v>
      </c>
      <c r="C707" s="1" t="str">
        <f>_xlfn.XLOOKUP(Clients_Churn[[#This Row],[Province_Client]],Logs_Reseau!B:B,Logs_Reseau!E:E,"Pas de correspondance")</f>
        <v>ANT-0465</v>
      </c>
      <c r="D707" s="1" t="s">
        <v>37</v>
      </c>
      <c r="E707">
        <v>10</v>
      </c>
      <c r="F707" s="1" t="s">
        <v>22</v>
      </c>
      <c r="G707">
        <v>418</v>
      </c>
      <c r="H707">
        <v>27.66</v>
      </c>
      <c r="I707">
        <v>2</v>
      </c>
    </row>
    <row r="708" spans="1:9" x14ac:dyDescent="0.25">
      <c r="A708" s="1" t="s">
        <v>750</v>
      </c>
      <c r="B708" s="1" t="s">
        <v>763</v>
      </c>
      <c r="C708" s="1" t="str">
        <f>_xlfn.XLOOKUP(Clients_Churn[[#This Row],[Province_Client]],Logs_Reseau!B:B,Logs_Reseau!E:E,"Pas de correspondance")</f>
        <v>ANT-0945</v>
      </c>
      <c r="D708" s="1" t="s">
        <v>73</v>
      </c>
      <c r="E708">
        <v>57</v>
      </c>
      <c r="F708" s="1" t="s">
        <v>22</v>
      </c>
      <c r="G708">
        <v>375</v>
      </c>
      <c r="H708">
        <v>64.73</v>
      </c>
      <c r="I708">
        <v>1</v>
      </c>
    </row>
    <row r="709" spans="1:9" x14ac:dyDescent="0.25">
      <c r="A709" s="1" t="s">
        <v>750</v>
      </c>
      <c r="B709" s="1" t="s">
        <v>764</v>
      </c>
      <c r="C709" s="1" t="str">
        <f>_xlfn.XLOOKUP(Clients_Churn[[#This Row],[Province_Client]],Logs_Reseau!B:B,Logs_Reseau!E:E,"Pas de correspondance")</f>
        <v>ANT-0258</v>
      </c>
      <c r="D709" s="1" t="s">
        <v>137</v>
      </c>
      <c r="E709">
        <v>98</v>
      </c>
      <c r="F709" s="1" t="s">
        <v>14</v>
      </c>
      <c r="G709">
        <v>168</v>
      </c>
      <c r="H709">
        <v>44.14</v>
      </c>
      <c r="I709">
        <v>3</v>
      </c>
    </row>
    <row r="710" spans="1:9" x14ac:dyDescent="0.25">
      <c r="A710" s="1" t="s">
        <v>750</v>
      </c>
      <c r="B710" s="1" t="s">
        <v>765</v>
      </c>
      <c r="C710" s="1" t="str">
        <f>_xlfn.XLOOKUP(Clients_Churn[[#This Row],[Province_Client]],Logs_Reseau!B:B,Logs_Reseau!E:E,"Pas de correspondance")</f>
        <v>ANT-0271</v>
      </c>
      <c r="D710" s="1" t="s">
        <v>13</v>
      </c>
      <c r="E710">
        <v>48</v>
      </c>
      <c r="F710" s="1" t="s">
        <v>11</v>
      </c>
      <c r="G710">
        <v>473</v>
      </c>
      <c r="H710">
        <v>71.52</v>
      </c>
      <c r="I710">
        <v>5</v>
      </c>
    </row>
    <row r="711" spans="1:9" x14ac:dyDescent="0.25">
      <c r="A711" s="1" t="s">
        <v>750</v>
      </c>
      <c r="B711" s="1" t="s">
        <v>766</v>
      </c>
      <c r="C711" s="1" t="str">
        <f>_xlfn.XLOOKUP(Clients_Churn[[#This Row],[Province_Client]],Logs_Reseau!B:B,Logs_Reseau!E:E,"Pas de correspondance")</f>
        <v>ANT-0945</v>
      </c>
      <c r="D711" s="1" t="s">
        <v>73</v>
      </c>
      <c r="E711">
        <v>78</v>
      </c>
      <c r="F711" s="1" t="s">
        <v>11</v>
      </c>
      <c r="G711">
        <v>387</v>
      </c>
      <c r="H711">
        <v>11.63</v>
      </c>
      <c r="I711">
        <v>2</v>
      </c>
    </row>
    <row r="712" spans="1:9" x14ac:dyDescent="0.25">
      <c r="A712" s="1" t="s">
        <v>750</v>
      </c>
      <c r="B712" s="1" t="s">
        <v>767</v>
      </c>
      <c r="C712" s="1" t="str">
        <f>_xlfn.XLOOKUP(Clients_Churn[[#This Row],[Province_Client]],Logs_Reseau!B:B,Logs_Reseau!E:E,"Pas de correspondance")</f>
        <v>ANT-0520</v>
      </c>
      <c r="D712" s="1" t="s">
        <v>67</v>
      </c>
      <c r="E712">
        <v>81</v>
      </c>
      <c r="F712" s="1" t="s">
        <v>22</v>
      </c>
      <c r="G712">
        <v>339</v>
      </c>
      <c r="H712">
        <v>53.4</v>
      </c>
      <c r="I712">
        <v>2</v>
      </c>
    </row>
    <row r="713" spans="1:9" x14ac:dyDescent="0.25">
      <c r="A713" s="1" t="s">
        <v>750</v>
      </c>
      <c r="B713" s="1" t="s">
        <v>768</v>
      </c>
      <c r="C713" s="1" t="str">
        <f>_xlfn.XLOOKUP(Clients_Churn[[#This Row],[Province_Client]],Logs_Reseau!B:B,Logs_Reseau!E:E,"Pas de correspondance")</f>
        <v>ANT-0011</v>
      </c>
      <c r="D713" s="1" t="s">
        <v>44</v>
      </c>
      <c r="E713">
        <v>108</v>
      </c>
      <c r="F713" s="1" t="s">
        <v>19</v>
      </c>
      <c r="G713">
        <v>467</v>
      </c>
      <c r="H713">
        <v>44.84</v>
      </c>
      <c r="I713">
        <v>4</v>
      </c>
    </row>
    <row r="714" spans="1:9" x14ac:dyDescent="0.25">
      <c r="A714" s="1" t="s">
        <v>750</v>
      </c>
      <c r="B714" s="1" t="s">
        <v>769</v>
      </c>
      <c r="C714" s="1" t="str">
        <f>_xlfn.XLOOKUP(Clients_Churn[[#This Row],[Province_Client]],Logs_Reseau!B:B,Logs_Reseau!E:E,"Pas de correspondance")</f>
        <v>ANT-0465</v>
      </c>
      <c r="D714" s="1" t="s">
        <v>37</v>
      </c>
      <c r="E714">
        <v>4</v>
      </c>
      <c r="F714" s="1" t="s">
        <v>14</v>
      </c>
      <c r="G714">
        <v>449</v>
      </c>
      <c r="H714">
        <v>43.95</v>
      </c>
      <c r="I714">
        <v>2</v>
      </c>
    </row>
    <row r="715" spans="1:9" x14ac:dyDescent="0.25">
      <c r="A715" s="1" t="s">
        <v>750</v>
      </c>
      <c r="B715" s="1" t="s">
        <v>770</v>
      </c>
      <c r="C715" s="1" t="str">
        <f>_xlfn.XLOOKUP(Clients_Churn[[#This Row],[Province_Client]],Logs_Reseau!B:B,Logs_Reseau!E:E,"Pas de correspondance")</f>
        <v>ANT-0250</v>
      </c>
      <c r="D715" s="1" t="s">
        <v>78</v>
      </c>
      <c r="E715">
        <v>119</v>
      </c>
      <c r="F715" s="1" t="s">
        <v>14</v>
      </c>
      <c r="G715">
        <v>31</v>
      </c>
      <c r="H715">
        <v>21.27</v>
      </c>
      <c r="I715">
        <v>5</v>
      </c>
    </row>
    <row r="716" spans="1:9" x14ac:dyDescent="0.25">
      <c r="A716" s="1" t="s">
        <v>750</v>
      </c>
      <c r="B716" s="1" t="s">
        <v>771</v>
      </c>
      <c r="C716" s="1" t="str">
        <f>_xlfn.XLOOKUP(Clients_Churn[[#This Row],[Province_Client]],Logs_Reseau!B:B,Logs_Reseau!E:E,"Pas de correspondance")</f>
        <v>ANT-0935</v>
      </c>
      <c r="D716" s="1" t="s">
        <v>89</v>
      </c>
      <c r="E716">
        <v>23</v>
      </c>
      <c r="F716" s="1" t="s">
        <v>14</v>
      </c>
      <c r="G716">
        <v>120</v>
      </c>
      <c r="H716">
        <v>73.12</v>
      </c>
      <c r="I716">
        <v>1</v>
      </c>
    </row>
    <row r="717" spans="1:9" x14ac:dyDescent="0.25">
      <c r="A717" s="1" t="s">
        <v>750</v>
      </c>
      <c r="B717" s="1" t="s">
        <v>772</v>
      </c>
      <c r="C717" s="1" t="str">
        <f>_xlfn.XLOOKUP(Clients_Churn[[#This Row],[Province_Client]],Logs_Reseau!B:B,Logs_Reseau!E:E,"Pas de correspondance")</f>
        <v>ANT-0935</v>
      </c>
      <c r="D717" s="1" t="s">
        <v>89</v>
      </c>
      <c r="E717">
        <v>42</v>
      </c>
      <c r="F717" s="1" t="s">
        <v>19</v>
      </c>
      <c r="G717">
        <v>252</v>
      </c>
      <c r="H717">
        <v>59.46</v>
      </c>
      <c r="I717">
        <v>4</v>
      </c>
    </row>
    <row r="718" spans="1:9" x14ac:dyDescent="0.25">
      <c r="A718" s="1" t="s">
        <v>750</v>
      </c>
      <c r="B718" s="1" t="s">
        <v>773</v>
      </c>
      <c r="C718" s="1" t="str">
        <f>_xlfn.XLOOKUP(Clients_Churn[[#This Row],[Province_Client]],Logs_Reseau!B:B,Logs_Reseau!E:E,"Pas de correspondance")</f>
        <v>ANT-0852</v>
      </c>
      <c r="D718" s="1" t="s">
        <v>21</v>
      </c>
      <c r="E718">
        <v>14</v>
      </c>
      <c r="F718" s="1" t="s">
        <v>19</v>
      </c>
      <c r="G718">
        <v>37</v>
      </c>
      <c r="H718">
        <v>20.399999999999999</v>
      </c>
      <c r="I718">
        <v>2</v>
      </c>
    </row>
    <row r="719" spans="1:9" x14ac:dyDescent="0.25">
      <c r="A719" s="1" t="s">
        <v>750</v>
      </c>
      <c r="B719" s="1" t="s">
        <v>774</v>
      </c>
      <c r="C719" s="1" t="str">
        <f>_xlfn.XLOOKUP(Clients_Churn[[#This Row],[Province_Client]],Logs_Reseau!B:B,Logs_Reseau!E:E,"Pas de correspondance")</f>
        <v>ANT-0935</v>
      </c>
      <c r="D719" s="1" t="s">
        <v>89</v>
      </c>
      <c r="E719">
        <v>90</v>
      </c>
      <c r="F719" s="1" t="s">
        <v>22</v>
      </c>
      <c r="G719">
        <v>412</v>
      </c>
      <c r="H719">
        <v>20.62</v>
      </c>
      <c r="I719">
        <v>2</v>
      </c>
    </row>
    <row r="720" spans="1:9" x14ac:dyDescent="0.25">
      <c r="A720" s="1" t="s">
        <v>750</v>
      </c>
      <c r="B720" s="1" t="s">
        <v>775</v>
      </c>
      <c r="C720" s="1" t="str">
        <f>_xlfn.XLOOKUP(Clients_Churn[[#This Row],[Province_Client]],Logs_Reseau!B:B,Logs_Reseau!E:E,"Pas de correspondance")</f>
        <v>ANT-0166</v>
      </c>
      <c r="D720" s="1" t="s">
        <v>31</v>
      </c>
      <c r="E720">
        <v>58</v>
      </c>
      <c r="F720" s="1" t="s">
        <v>11</v>
      </c>
      <c r="G720">
        <v>485</v>
      </c>
      <c r="H720">
        <v>65.41</v>
      </c>
      <c r="I720">
        <v>5</v>
      </c>
    </row>
    <row r="721" spans="1:9" x14ac:dyDescent="0.25">
      <c r="A721" s="1" t="s">
        <v>750</v>
      </c>
      <c r="B721" s="1" t="s">
        <v>776</v>
      </c>
      <c r="C721" s="1" t="str">
        <f>_xlfn.XLOOKUP(Clients_Churn[[#This Row],[Province_Client]],Logs_Reseau!B:B,Logs_Reseau!E:E,"Pas de correspondance")</f>
        <v>ANT-0553</v>
      </c>
      <c r="D721" s="1" t="s">
        <v>131</v>
      </c>
      <c r="E721">
        <v>49</v>
      </c>
      <c r="F721" s="1" t="s">
        <v>19</v>
      </c>
      <c r="G721">
        <v>288</v>
      </c>
      <c r="H721">
        <v>91.32</v>
      </c>
      <c r="I721">
        <v>4</v>
      </c>
    </row>
    <row r="722" spans="1:9" x14ac:dyDescent="0.25">
      <c r="A722" s="1" t="s">
        <v>750</v>
      </c>
      <c r="B722" s="1" t="s">
        <v>777</v>
      </c>
      <c r="C722" s="1" t="str">
        <f>_xlfn.XLOOKUP(Clients_Churn[[#This Row],[Province_Client]],Logs_Reseau!B:B,Logs_Reseau!E:E,"Pas de correspondance")</f>
        <v>ANT-0134</v>
      </c>
      <c r="D722" s="1" t="s">
        <v>40</v>
      </c>
      <c r="E722">
        <v>18</v>
      </c>
      <c r="F722" s="1" t="s">
        <v>19</v>
      </c>
      <c r="G722">
        <v>463</v>
      </c>
      <c r="H722">
        <v>41.66</v>
      </c>
      <c r="I722">
        <v>4</v>
      </c>
    </row>
    <row r="723" spans="1:9" x14ac:dyDescent="0.25">
      <c r="A723" s="1" t="s">
        <v>750</v>
      </c>
      <c r="B723" s="1" t="s">
        <v>778</v>
      </c>
      <c r="C723" s="1" t="str">
        <f>_xlfn.XLOOKUP(Clients_Churn[[#This Row],[Province_Client]],Logs_Reseau!B:B,Logs_Reseau!E:E,"Pas de correspondance")</f>
        <v>ANT-0737</v>
      </c>
      <c r="D723" s="1" t="s">
        <v>62</v>
      </c>
      <c r="E723">
        <v>82</v>
      </c>
      <c r="F723" s="1" t="s">
        <v>14</v>
      </c>
      <c r="G723">
        <v>312</v>
      </c>
      <c r="H723">
        <v>40.880000000000003</v>
      </c>
      <c r="I723">
        <v>0</v>
      </c>
    </row>
    <row r="724" spans="1:9" x14ac:dyDescent="0.25">
      <c r="A724" s="1" t="s">
        <v>750</v>
      </c>
      <c r="B724" s="1" t="s">
        <v>779</v>
      </c>
      <c r="C724" s="1" t="str">
        <f>_xlfn.XLOOKUP(Clients_Churn[[#This Row],[Province_Client]],Logs_Reseau!B:B,Logs_Reseau!E:E,"Pas de correspondance")</f>
        <v>ANT-0913</v>
      </c>
      <c r="D724" s="1" t="s">
        <v>64</v>
      </c>
      <c r="E724">
        <v>74</v>
      </c>
      <c r="F724" s="1" t="s">
        <v>22</v>
      </c>
      <c r="G724">
        <v>359</v>
      </c>
      <c r="H724">
        <v>92.63</v>
      </c>
      <c r="I724">
        <v>0</v>
      </c>
    </row>
    <row r="725" spans="1:9" x14ac:dyDescent="0.25">
      <c r="A725" s="1" t="s">
        <v>750</v>
      </c>
      <c r="B725" s="1" t="s">
        <v>780</v>
      </c>
      <c r="C725" s="1" t="str">
        <f>_xlfn.XLOOKUP(Clients_Churn[[#This Row],[Province_Client]],Logs_Reseau!B:B,Logs_Reseau!E:E,"Pas de correspondance")</f>
        <v>ANT-0371</v>
      </c>
      <c r="D725" s="1" t="s">
        <v>18</v>
      </c>
      <c r="E725">
        <v>72</v>
      </c>
      <c r="F725" s="1" t="s">
        <v>19</v>
      </c>
      <c r="G725">
        <v>427</v>
      </c>
      <c r="H725">
        <v>31.44</v>
      </c>
      <c r="I725">
        <v>2</v>
      </c>
    </row>
    <row r="726" spans="1:9" x14ac:dyDescent="0.25">
      <c r="A726" s="1" t="s">
        <v>750</v>
      </c>
      <c r="B726" s="1" t="s">
        <v>781</v>
      </c>
      <c r="C726" s="1" t="str">
        <f>_xlfn.XLOOKUP(Clients_Churn[[#This Row],[Province_Client]],Logs_Reseau!B:B,Logs_Reseau!E:E,"Pas de correspondance")</f>
        <v>ANT-0332</v>
      </c>
      <c r="D726" s="1" t="s">
        <v>1674</v>
      </c>
      <c r="E726">
        <v>26</v>
      </c>
      <c r="F726" s="1" t="s">
        <v>11</v>
      </c>
      <c r="G726">
        <v>391</v>
      </c>
      <c r="H726">
        <v>18.28</v>
      </c>
      <c r="I726">
        <v>3</v>
      </c>
    </row>
    <row r="727" spans="1:9" x14ac:dyDescent="0.25">
      <c r="A727" s="1" t="s">
        <v>750</v>
      </c>
      <c r="B727" s="1" t="s">
        <v>782</v>
      </c>
      <c r="C727" s="1" t="str">
        <f>_xlfn.XLOOKUP(Clients_Churn[[#This Row],[Province_Client]],Logs_Reseau!B:B,Logs_Reseau!E:E,"Pas de correspondance")</f>
        <v>ANT-0731</v>
      </c>
      <c r="D727" s="1" t="s">
        <v>1676</v>
      </c>
      <c r="E727">
        <v>26</v>
      </c>
      <c r="F727" s="1" t="s">
        <v>19</v>
      </c>
      <c r="G727">
        <v>413</v>
      </c>
      <c r="H727">
        <v>10.9</v>
      </c>
      <c r="I727">
        <v>5</v>
      </c>
    </row>
    <row r="728" spans="1:9" x14ac:dyDescent="0.25">
      <c r="A728" s="1" t="s">
        <v>750</v>
      </c>
      <c r="B728" s="1" t="s">
        <v>783</v>
      </c>
      <c r="C728" s="1" t="str">
        <f>_xlfn.XLOOKUP(Clients_Churn[[#This Row],[Province_Client]],Logs_Reseau!B:B,Logs_Reseau!E:E,"Pas de correspondance")</f>
        <v>ANT-0850</v>
      </c>
      <c r="D728" s="1" t="s">
        <v>51</v>
      </c>
      <c r="E728">
        <v>33</v>
      </c>
      <c r="F728" s="1" t="s">
        <v>22</v>
      </c>
      <c r="G728">
        <v>18</v>
      </c>
      <c r="H728">
        <v>47.18</v>
      </c>
      <c r="I728">
        <v>4</v>
      </c>
    </row>
    <row r="729" spans="1:9" x14ac:dyDescent="0.25">
      <c r="A729" s="1" t="s">
        <v>750</v>
      </c>
      <c r="B729" s="1" t="s">
        <v>784</v>
      </c>
      <c r="C729" s="1" t="str">
        <f>_xlfn.XLOOKUP(Clients_Churn[[#This Row],[Province_Client]],Logs_Reseau!B:B,Logs_Reseau!E:E,"Pas de correspondance")</f>
        <v>ANT-0271</v>
      </c>
      <c r="D729" s="1" t="s">
        <v>13</v>
      </c>
      <c r="E729">
        <v>63</v>
      </c>
      <c r="F729" s="1" t="s">
        <v>11</v>
      </c>
      <c r="G729">
        <v>177</v>
      </c>
      <c r="H729">
        <v>77.73</v>
      </c>
      <c r="I729">
        <v>3</v>
      </c>
    </row>
    <row r="730" spans="1:9" x14ac:dyDescent="0.25">
      <c r="A730" s="1" t="s">
        <v>750</v>
      </c>
      <c r="B730" s="1" t="s">
        <v>785</v>
      </c>
      <c r="C730" s="1" t="str">
        <f>_xlfn.XLOOKUP(Clients_Churn[[#This Row],[Province_Client]],Logs_Reseau!B:B,Logs_Reseau!E:E,"Pas de correspondance")</f>
        <v>ANT-0850</v>
      </c>
      <c r="D730" s="1" t="s">
        <v>51</v>
      </c>
      <c r="E730">
        <v>57</v>
      </c>
      <c r="F730" s="1" t="s">
        <v>11</v>
      </c>
      <c r="G730">
        <v>36</v>
      </c>
      <c r="H730">
        <v>82.7</v>
      </c>
      <c r="I730">
        <v>2</v>
      </c>
    </row>
    <row r="731" spans="1:9" x14ac:dyDescent="0.25">
      <c r="A731" s="1" t="s">
        <v>750</v>
      </c>
      <c r="B731" s="1" t="s">
        <v>786</v>
      </c>
      <c r="C731" s="1" t="str">
        <f>_xlfn.XLOOKUP(Clients_Churn[[#This Row],[Province_Client]],Logs_Reseau!B:B,Logs_Reseau!E:E,"Pas de correspondance")</f>
        <v>ANT-0566</v>
      </c>
      <c r="D731" s="1" t="s">
        <v>26</v>
      </c>
      <c r="E731">
        <v>87</v>
      </c>
      <c r="F731" s="1" t="s">
        <v>14</v>
      </c>
      <c r="G731">
        <v>486</v>
      </c>
      <c r="H731">
        <v>58.26</v>
      </c>
      <c r="I731">
        <v>0</v>
      </c>
    </row>
    <row r="732" spans="1:9" x14ac:dyDescent="0.25">
      <c r="A732" s="1" t="s">
        <v>750</v>
      </c>
      <c r="B732" s="1" t="s">
        <v>787</v>
      </c>
      <c r="C732" s="1" t="str">
        <f>_xlfn.XLOOKUP(Clients_Churn[[#This Row],[Province_Client]],Logs_Reseau!B:B,Logs_Reseau!E:E,"Pas de correspondance")</f>
        <v>ANT-0271</v>
      </c>
      <c r="D732" s="1" t="s">
        <v>13</v>
      </c>
      <c r="E732">
        <v>37</v>
      </c>
      <c r="F732" s="1" t="s">
        <v>11</v>
      </c>
      <c r="G732">
        <v>213</v>
      </c>
      <c r="H732">
        <v>14.12</v>
      </c>
      <c r="I732">
        <v>1</v>
      </c>
    </row>
    <row r="733" spans="1:9" x14ac:dyDescent="0.25">
      <c r="A733" s="1" t="s">
        <v>750</v>
      </c>
      <c r="B733" s="1" t="s">
        <v>788</v>
      </c>
      <c r="C733" s="1" t="str">
        <f>_xlfn.XLOOKUP(Clients_Churn[[#This Row],[Province_Client]],Logs_Reseau!B:B,Logs_Reseau!E:E,"Pas de correspondance")</f>
        <v>ANT-0566</v>
      </c>
      <c r="D733" s="1" t="s">
        <v>26</v>
      </c>
      <c r="E733">
        <v>29</v>
      </c>
      <c r="F733" s="1" t="s">
        <v>19</v>
      </c>
      <c r="G733">
        <v>306</v>
      </c>
      <c r="H733">
        <v>82.16</v>
      </c>
      <c r="I733">
        <v>1</v>
      </c>
    </row>
    <row r="734" spans="1:9" x14ac:dyDescent="0.25">
      <c r="A734" s="1" t="s">
        <v>750</v>
      </c>
      <c r="B734" s="1" t="s">
        <v>789</v>
      </c>
      <c r="C734" s="1" t="str">
        <f>_xlfn.XLOOKUP(Clients_Churn[[#This Row],[Province_Client]],Logs_Reseau!B:B,Logs_Reseau!E:E,"Pas de correspondance")</f>
        <v>ANT-0250</v>
      </c>
      <c r="D734" s="1" t="s">
        <v>78</v>
      </c>
      <c r="E734">
        <v>26</v>
      </c>
      <c r="F734" s="1" t="s">
        <v>22</v>
      </c>
      <c r="G734">
        <v>378</v>
      </c>
      <c r="H734">
        <v>88.59</v>
      </c>
      <c r="I734">
        <v>4</v>
      </c>
    </row>
    <row r="735" spans="1:9" x14ac:dyDescent="0.25">
      <c r="A735" s="1" t="s">
        <v>750</v>
      </c>
      <c r="B735" s="1" t="s">
        <v>790</v>
      </c>
      <c r="C735" s="1" t="str">
        <f>_xlfn.XLOOKUP(Clients_Churn[[#This Row],[Province_Client]],Logs_Reseau!B:B,Logs_Reseau!E:E,"Pas de correspondance")</f>
        <v>ANT-0258</v>
      </c>
      <c r="D735" s="1" t="s">
        <v>137</v>
      </c>
      <c r="E735">
        <v>95</v>
      </c>
      <c r="F735" s="1" t="s">
        <v>11</v>
      </c>
      <c r="G735">
        <v>313</v>
      </c>
      <c r="H735">
        <v>32.49</v>
      </c>
      <c r="I735">
        <v>1</v>
      </c>
    </row>
    <row r="736" spans="1:9" x14ac:dyDescent="0.25">
      <c r="A736" s="1" t="s">
        <v>750</v>
      </c>
      <c r="B736" s="1" t="s">
        <v>791</v>
      </c>
      <c r="C736" s="1" t="str">
        <f>_xlfn.XLOOKUP(Clients_Churn[[#This Row],[Province_Client]],Logs_Reseau!B:B,Logs_Reseau!E:E,"Pas de correspondance")</f>
        <v>ANT-0731</v>
      </c>
      <c r="D736" s="1" t="s">
        <v>1676</v>
      </c>
      <c r="E736">
        <v>21</v>
      </c>
      <c r="F736" s="1" t="s">
        <v>19</v>
      </c>
      <c r="G736">
        <v>475</v>
      </c>
      <c r="H736">
        <v>15.12</v>
      </c>
      <c r="I736">
        <v>2</v>
      </c>
    </row>
    <row r="737" spans="1:9" x14ac:dyDescent="0.25">
      <c r="A737" s="1" t="s">
        <v>750</v>
      </c>
      <c r="B737" s="1" t="s">
        <v>792</v>
      </c>
      <c r="C737" s="1" t="str">
        <f>_xlfn.XLOOKUP(Clients_Churn[[#This Row],[Province_Client]],Logs_Reseau!B:B,Logs_Reseau!E:E,"Pas de correspondance")</f>
        <v>ANT-0258</v>
      </c>
      <c r="D737" s="1" t="s">
        <v>137</v>
      </c>
      <c r="E737">
        <v>56</v>
      </c>
      <c r="F737" s="1" t="s">
        <v>22</v>
      </c>
      <c r="G737">
        <v>41</v>
      </c>
      <c r="H737">
        <v>15.1</v>
      </c>
      <c r="I737">
        <v>5</v>
      </c>
    </row>
    <row r="738" spans="1:9" x14ac:dyDescent="0.25">
      <c r="A738" s="1" t="s">
        <v>750</v>
      </c>
      <c r="B738" s="1" t="s">
        <v>793</v>
      </c>
      <c r="C738" s="1" t="str">
        <f>_xlfn.XLOOKUP(Clients_Churn[[#This Row],[Province_Client]],Logs_Reseau!B:B,Logs_Reseau!E:E,"Pas de correspondance")</f>
        <v>ANT-0624</v>
      </c>
      <c r="D738" s="1" t="s">
        <v>24</v>
      </c>
      <c r="E738">
        <v>105</v>
      </c>
      <c r="F738" s="1" t="s">
        <v>11</v>
      </c>
      <c r="G738">
        <v>454</v>
      </c>
      <c r="H738">
        <v>49.47</v>
      </c>
      <c r="I738">
        <v>4</v>
      </c>
    </row>
    <row r="739" spans="1:9" x14ac:dyDescent="0.25">
      <c r="A739" s="1" t="s">
        <v>750</v>
      </c>
      <c r="B739" s="1" t="s">
        <v>794</v>
      </c>
      <c r="C739" s="1" t="str">
        <f>_xlfn.XLOOKUP(Clients_Churn[[#This Row],[Province_Client]],Logs_Reseau!B:B,Logs_Reseau!E:E,"Pas de correspondance")</f>
        <v>ANT-0371</v>
      </c>
      <c r="D739" s="1" t="s">
        <v>18</v>
      </c>
      <c r="E739">
        <v>68</v>
      </c>
      <c r="F739" s="1" t="s">
        <v>14</v>
      </c>
      <c r="G739">
        <v>282</v>
      </c>
      <c r="H739">
        <v>35.43</v>
      </c>
      <c r="I739">
        <v>1</v>
      </c>
    </row>
    <row r="740" spans="1:9" x14ac:dyDescent="0.25">
      <c r="A740" s="1" t="s">
        <v>750</v>
      </c>
      <c r="B740" s="1" t="s">
        <v>795</v>
      </c>
      <c r="C740" s="1" t="str">
        <f>_xlfn.XLOOKUP(Clients_Churn[[#This Row],[Province_Client]],Logs_Reseau!B:B,Logs_Reseau!E:E,"Pas de correspondance")</f>
        <v>ANT-0624</v>
      </c>
      <c r="D740" s="1" t="s">
        <v>24</v>
      </c>
      <c r="E740">
        <v>104</v>
      </c>
      <c r="F740" s="1" t="s">
        <v>19</v>
      </c>
      <c r="G740">
        <v>245</v>
      </c>
      <c r="H740">
        <v>38.270000000000003</v>
      </c>
      <c r="I740">
        <v>0</v>
      </c>
    </row>
    <row r="741" spans="1:9" x14ac:dyDescent="0.25">
      <c r="A741" s="1" t="s">
        <v>750</v>
      </c>
      <c r="B741" s="1" t="s">
        <v>796</v>
      </c>
      <c r="C741" s="1" t="str">
        <f>_xlfn.XLOOKUP(Clients_Churn[[#This Row],[Province_Client]],Logs_Reseau!B:B,Logs_Reseau!E:E,"Pas de correspondance")</f>
        <v>ANT-0731</v>
      </c>
      <c r="D741" s="1" t="s">
        <v>1676</v>
      </c>
      <c r="E741">
        <v>102</v>
      </c>
      <c r="F741" s="1" t="s">
        <v>19</v>
      </c>
      <c r="G741">
        <v>484</v>
      </c>
      <c r="H741">
        <v>64.22</v>
      </c>
      <c r="I741">
        <v>2</v>
      </c>
    </row>
    <row r="742" spans="1:9" x14ac:dyDescent="0.25">
      <c r="A742" s="1" t="s">
        <v>750</v>
      </c>
      <c r="B742" s="1" t="s">
        <v>797</v>
      </c>
      <c r="C742" s="1" t="str">
        <f>_xlfn.XLOOKUP(Clients_Churn[[#This Row],[Province_Client]],Logs_Reseau!B:B,Logs_Reseau!E:E,"Pas de correspondance")</f>
        <v>ANT-0850</v>
      </c>
      <c r="D742" s="1" t="s">
        <v>51</v>
      </c>
      <c r="E742">
        <v>25</v>
      </c>
      <c r="F742" s="1" t="s">
        <v>14</v>
      </c>
      <c r="G742">
        <v>66</v>
      </c>
      <c r="H742">
        <v>90.14</v>
      </c>
      <c r="I742">
        <v>5</v>
      </c>
    </row>
    <row r="743" spans="1:9" x14ac:dyDescent="0.25">
      <c r="A743" s="1" t="s">
        <v>750</v>
      </c>
      <c r="B743" s="1" t="s">
        <v>798</v>
      </c>
      <c r="C743" s="1" t="str">
        <f>_xlfn.XLOOKUP(Clients_Churn[[#This Row],[Province_Client]],Logs_Reseau!B:B,Logs_Reseau!E:E,"Pas de correspondance")</f>
        <v>ANT-0332</v>
      </c>
      <c r="D743" s="1" t="s">
        <v>1674</v>
      </c>
      <c r="E743">
        <v>12</v>
      </c>
      <c r="F743" s="1" t="s">
        <v>11</v>
      </c>
      <c r="G743">
        <v>138</v>
      </c>
      <c r="H743">
        <v>99.83</v>
      </c>
      <c r="I743">
        <v>1</v>
      </c>
    </row>
    <row r="744" spans="1:9" x14ac:dyDescent="0.25">
      <c r="A744" s="1" t="s">
        <v>750</v>
      </c>
      <c r="B744" s="1" t="s">
        <v>799</v>
      </c>
      <c r="C744" s="1" t="str">
        <f>_xlfn.XLOOKUP(Clients_Churn[[#This Row],[Province_Client]],Logs_Reseau!B:B,Logs_Reseau!E:E,"Pas de correspondance")</f>
        <v>ANT-0371</v>
      </c>
      <c r="D744" s="1" t="s">
        <v>18</v>
      </c>
      <c r="E744">
        <v>75</v>
      </c>
      <c r="F744" s="1" t="s">
        <v>19</v>
      </c>
      <c r="G744">
        <v>370</v>
      </c>
      <c r="H744">
        <v>21.67</v>
      </c>
      <c r="I744">
        <v>0</v>
      </c>
    </row>
    <row r="745" spans="1:9" x14ac:dyDescent="0.25">
      <c r="A745" s="1" t="s">
        <v>750</v>
      </c>
      <c r="B745" s="1" t="s">
        <v>800</v>
      </c>
      <c r="C745" s="1" t="str">
        <f>_xlfn.XLOOKUP(Clients_Churn[[#This Row],[Province_Client]],Logs_Reseau!B:B,Logs_Reseau!E:E,"Pas de correspondance")</f>
        <v>ANT-0553</v>
      </c>
      <c r="D745" s="1" t="s">
        <v>131</v>
      </c>
      <c r="E745">
        <v>4</v>
      </c>
      <c r="F745" s="1" t="s">
        <v>19</v>
      </c>
      <c r="G745">
        <v>21</v>
      </c>
      <c r="H745">
        <v>45.8</v>
      </c>
      <c r="I745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CF69-A576-4075-A5AB-E0923CF98B1E}">
  <dimension ref="A1:K1078"/>
  <sheetViews>
    <sheetView zoomScale="80" zoomScaleNormal="80" workbookViewId="0">
      <selection activeCell="G38" sqref="G38"/>
    </sheetView>
  </sheetViews>
  <sheetFormatPr baseColWidth="10" defaultRowHeight="15" x14ac:dyDescent="0.25"/>
  <cols>
    <col min="1" max="1" width="23.85546875" bestFit="1" customWidth="1"/>
    <col min="2" max="2" width="14.85546875" bestFit="1" customWidth="1"/>
    <col min="3" max="3" width="15.85546875" bestFit="1" customWidth="1"/>
    <col min="4" max="4" width="10.5703125" bestFit="1" customWidth="1"/>
    <col min="5" max="5" width="20" bestFit="1" customWidth="1"/>
    <col min="6" max="6" width="19.85546875" bestFit="1" customWidth="1"/>
    <col min="7" max="11" width="22" bestFit="1" customWidth="1"/>
  </cols>
  <sheetData>
    <row r="1" spans="1:11" x14ac:dyDescent="0.25">
      <c r="A1" t="s">
        <v>0</v>
      </c>
      <c r="B1" t="s">
        <v>1657</v>
      </c>
      <c r="C1" t="s">
        <v>1658</v>
      </c>
      <c r="D1" t="s">
        <v>801</v>
      </c>
      <c r="E1" t="s">
        <v>802</v>
      </c>
      <c r="F1" t="s">
        <v>803</v>
      </c>
      <c r="G1" t="s">
        <v>1495</v>
      </c>
      <c r="H1" t="s">
        <v>1496</v>
      </c>
      <c r="I1" t="s">
        <v>1497</v>
      </c>
      <c r="J1" t="s">
        <v>1498</v>
      </c>
      <c r="K1" t="s">
        <v>1499</v>
      </c>
    </row>
    <row r="2" spans="1:11" x14ac:dyDescent="0.25">
      <c r="A2" s="1" t="s">
        <v>804</v>
      </c>
      <c r="B2" s="2">
        <v>45203</v>
      </c>
      <c r="C2" s="3">
        <v>3.2638888888888891E-2</v>
      </c>
      <c r="D2" s="1" t="s">
        <v>805</v>
      </c>
      <c r="E2">
        <v>73</v>
      </c>
      <c r="F2" s="1" t="s">
        <v>806</v>
      </c>
      <c r="G2" t="str">
        <f>_xlfn.XLOOKUP(Logs__2[[#This Row],[Cell_ID]],'Registre_Maintenance'!B:B,'Registre_Maintenance'!C:C,"Pas de correspondance")</f>
        <v>Tanganyika</v>
      </c>
      <c r="H2">
        <f>_xlfn.XLOOKUP(Logs__2[[#This Row],[Cell_ID]],'Registre_Maintenance'!B:B,'Registre_Maintenance'!D:D,"Pas de correspondance")</f>
        <v>-11.144149000000001</v>
      </c>
      <c r="I2">
        <f>_xlfn.XLOOKUP(Logs__2[[#This Row],[Cell_ID]],'Registre_Maintenance'!B:B,'Registre_Maintenance'!E:E,"Pas de correspondance")</f>
        <v>27.244658999999999</v>
      </c>
      <c r="J2" t="str">
        <f>_xlfn.XLOOKUP(Logs__2[[#This Row],[Cell_ID]],'Registre_Maintenance'!B:B,'Registre_Maintenance'!F:F,"Pas de correspondance")</f>
        <v>4G</v>
      </c>
      <c r="K2" t="str">
        <f>_xlfn.XLOOKUP(Logs__2[[#This Row],[Cell_ID]],'Registre_Maintenance'!B:B,'Registre_Maintenance'!G:G,"Pas de correspondance")</f>
        <v>Nokia</v>
      </c>
    </row>
    <row r="3" spans="1:11" hidden="1" x14ac:dyDescent="0.25">
      <c r="A3" s="1" t="s">
        <v>804</v>
      </c>
      <c r="B3" s="2">
        <v>45208</v>
      </c>
      <c r="C3" s="3">
        <v>0.30138888888888887</v>
      </c>
      <c r="D3" s="1" t="s">
        <v>807</v>
      </c>
      <c r="E3">
        <v>38</v>
      </c>
      <c r="F3" s="1" t="s">
        <v>806</v>
      </c>
      <c r="G3" t="str">
        <f>_xlfn.XLOOKUP(Logs__2[[#This Row],[Cell_ID]],'Registre_Maintenance'!B:B,'Registre_Maintenance'!C:C,"Pas de correspondance")</f>
        <v>Pas de correspondance</v>
      </c>
      <c r="H3" t="str">
        <f>_xlfn.XLOOKUP(Logs__2[[#This Row],[Cell_ID]],'Registre_Maintenance'!B:B,'Registre_Maintenance'!D:D,"Pas de correspondance")</f>
        <v>Pas de correspondance</v>
      </c>
      <c r="I3" t="str">
        <f>_xlfn.XLOOKUP(Logs__2[[#This Row],[Cell_ID]],'Registre_Maintenance'!B:B,'Registre_Maintenance'!E:E,"Pas de correspondance")</f>
        <v>Pas de correspondance</v>
      </c>
      <c r="J3" t="str">
        <f>_xlfn.XLOOKUP(Logs__2[[#This Row],[Cell_ID]],'Registre_Maintenance'!B:B,'Registre_Maintenance'!F:F,"Pas de correspondance")</f>
        <v>Pas de correspondance</v>
      </c>
      <c r="K3" t="str">
        <f>_xlfn.XLOOKUP(Logs__2[[#This Row],[Cell_ID]],'Registre_Maintenance'!B:B,'Registre_Maintenance'!G:G,"Pas de correspondance")</f>
        <v>Pas de correspondance</v>
      </c>
    </row>
    <row r="4" spans="1:11" hidden="1" x14ac:dyDescent="0.25">
      <c r="A4" s="1" t="s">
        <v>804</v>
      </c>
      <c r="B4" s="2">
        <v>45204</v>
      </c>
      <c r="C4" s="3">
        <v>0.96250000000000002</v>
      </c>
      <c r="D4" s="1" t="s">
        <v>808</v>
      </c>
      <c r="E4">
        <v>100</v>
      </c>
      <c r="F4" s="1" t="s">
        <v>809</v>
      </c>
      <c r="G4" t="str">
        <f>_xlfn.XLOOKUP(Logs__2[[#This Row],[Cell_ID]],'Registre_Maintenance'!B:B,'Registre_Maintenance'!C:C,"Pas de correspondance")</f>
        <v>Pas de correspondance</v>
      </c>
      <c r="H4" t="str">
        <f>_xlfn.XLOOKUP(Logs__2[[#This Row],[Cell_ID]],'Registre_Maintenance'!B:B,'Registre_Maintenance'!D:D,"Pas de correspondance")</f>
        <v>Pas de correspondance</v>
      </c>
      <c r="I4" t="str">
        <f>_xlfn.XLOOKUP(Logs__2[[#This Row],[Cell_ID]],'Registre_Maintenance'!B:B,'Registre_Maintenance'!E:E,"Pas de correspondance")</f>
        <v>Pas de correspondance</v>
      </c>
      <c r="J4" t="str">
        <f>_xlfn.XLOOKUP(Logs__2[[#This Row],[Cell_ID]],'Registre_Maintenance'!B:B,'Registre_Maintenance'!F:F,"Pas de correspondance")</f>
        <v>Pas de correspondance</v>
      </c>
      <c r="K4" t="str">
        <f>_xlfn.XLOOKUP(Logs__2[[#This Row],[Cell_ID]],'Registre_Maintenance'!B:B,'Registre_Maintenance'!G:G,"Pas de correspondance")</f>
        <v>Pas de correspondance</v>
      </c>
    </row>
    <row r="5" spans="1:11" hidden="1" x14ac:dyDescent="0.25">
      <c r="A5" s="1" t="s">
        <v>804</v>
      </c>
      <c r="B5" s="2">
        <v>45221</v>
      </c>
      <c r="C5" s="3">
        <v>0.99791666666666667</v>
      </c>
      <c r="D5" s="1" t="s">
        <v>810</v>
      </c>
      <c r="E5">
        <v>79</v>
      </c>
      <c r="F5" s="1" t="s">
        <v>811</v>
      </c>
      <c r="G5" t="str">
        <f>_xlfn.XLOOKUP(Logs__2[[#This Row],[Cell_ID]],'Registre_Maintenance'!B:B,'Registre_Maintenance'!C:C,"Pas de correspondance")</f>
        <v>Pas de correspondance</v>
      </c>
      <c r="H5" t="str">
        <f>_xlfn.XLOOKUP(Logs__2[[#This Row],[Cell_ID]],'Registre_Maintenance'!B:B,'Registre_Maintenance'!D:D,"Pas de correspondance")</f>
        <v>Pas de correspondance</v>
      </c>
      <c r="I5" t="str">
        <f>_xlfn.XLOOKUP(Logs__2[[#This Row],[Cell_ID]],'Registre_Maintenance'!B:B,'Registre_Maintenance'!E:E,"Pas de correspondance")</f>
        <v>Pas de correspondance</v>
      </c>
      <c r="J5" t="str">
        <f>_xlfn.XLOOKUP(Logs__2[[#This Row],[Cell_ID]],'Registre_Maintenance'!B:B,'Registre_Maintenance'!F:F,"Pas de correspondance")</f>
        <v>Pas de correspondance</v>
      </c>
      <c r="K5" t="str">
        <f>_xlfn.XLOOKUP(Logs__2[[#This Row],[Cell_ID]],'Registre_Maintenance'!B:B,'Registre_Maintenance'!G:G,"Pas de correspondance")</f>
        <v>Pas de correspondance</v>
      </c>
    </row>
    <row r="6" spans="1:11" hidden="1" x14ac:dyDescent="0.25">
      <c r="A6" s="1" t="s">
        <v>804</v>
      </c>
      <c r="B6" s="2">
        <v>45217</v>
      </c>
      <c r="C6" s="3">
        <v>0.10902777777777778</v>
      </c>
      <c r="D6" s="1" t="s">
        <v>812</v>
      </c>
      <c r="E6">
        <v>59</v>
      </c>
      <c r="F6" s="1" t="s">
        <v>806</v>
      </c>
      <c r="G6" t="str">
        <f>_xlfn.XLOOKUP(Logs__2[[#This Row],[Cell_ID]],'Registre_Maintenance'!B:B,'Registre_Maintenance'!C:C,"Pas de correspondance")</f>
        <v>Pas de correspondance</v>
      </c>
      <c r="H6" t="str">
        <f>_xlfn.XLOOKUP(Logs__2[[#This Row],[Cell_ID]],'Registre_Maintenance'!B:B,'Registre_Maintenance'!D:D,"Pas de correspondance")</f>
        <v>Pas de correspondance</v>
      </c>
      <c r="I6" t="str">
        <f>_xlfn.XLOOKUP(Logs__2[[#This Row],[Cell_ID]],'Registre_Maintenance'!B:B,'Registre_Maintenance'!E:E,"Pas de correspondance")</f>
        <v>Pas de correspondance</v>
      </c>
      <c r="J6" t="str">
        <f>_xlfn.XLOOKUP(Logs__2[[#This Row],[Cell_ID]],'Registre_Maintenance'!B:B,'Registre_Maintenance'!F:F,"Pas de correspondance")</f>
        <v>Pas de correspondance</v>
      </c>
      <c r="K6" t="str">
        <f>_xlfn.XLOOKUP(Logs__2[[#This Row],[Cell_ID]],'Registre_Maintenance'!B:B,'Registre_Maintenance'!G:G,"Pas de correspondance")</f>
        <v>Pas de correspondance</v>
      </c>
    </row>
    <row r="7" spans="1:11" x14ac:dyDescent="0.25">
      <c r="A7" s="1" t="s">
        <v>804</v>
      </c>
      <c r="B7" s="2">
        <v>45213</v>
      </c>
      <c r="C7" s="3">
        <v>4.2361111111111113E-2</v>
      </c>
      <c r="D7" s="1" t="s">
        <v>813</v>
      </c>
      <c r="E7">
        <v>119</v>
      </c>
      <c r="F7" s="1" t="s">
        <v>809</v>
      </c>
      <c r="G7" t="str">
        <f>_xlfn.XLOOKUP(Logs__2[[#This Row],[Cell_ID]],'Registre_Maintenance'!B:B,'Registre_Maintenance'!C:C,"Pas de correspondance")</f>
        <v>Kongo-Central</v>
      </c>
      <c r="H7">
        <f>_xlfn.XLOOKUP(Logs__2[[#This Row],[Cell_ID]],'Registre_Maintenance'!B:B,'Registre_Maintenance'!D:D,"Pas de correspondance")</f>
        <v>-2.8211520000000001</v>
      </c>
      <c r="I7">
        <f>_xlfn.XLOOKUP(Logs__2[[#This Row],[Cell_ID]],'Registre_Maintenance'!B:B,'Registre_Maintenance'!E:E,"Pas de correspondance")</f>
        <v>20.651419000000001</v>
      </c>
      <c r="J7" t="str">
        <f>_xlfn.XLOOKUP(Logs__2[[#This Row],[Cell_ID]],'Registre_Maintenance'!B:B,'Registre_Maintenance'!F:F,"Pas de correspondance")</f>
        <v>5G</v>
      </c>
      <c r="K7" t="str">
        <f>_xlfn.XLOOKUP(Logs__2[[#This Row],[Cell_ID]],'Registre_Maintenance'!B:B,'Registre_Maintenance'!G:G,"Pas de correspondance")</f>
        <v>Ericsson</v>
      </c>
    </row>
    <row r="8" spans="1:11" x14ac:dyDescent="0.25">
      <c r="A8" s="1" t="s">
        <v>804</v>
      </c>
      <c r="B8" s="2">
        <v>45202</v>
      </c>
      <c r="C8" s="3">
        <v>0.25972222222222224</v>
      </c>
      <c r="D8" s="1" t="s">
        <v>814</v>
      </c>
      <c r="E8">
        <v>79</v>
      </c>
      <c r="F8" s="1" t="s">
        <v>806</v>
      </c>
      <c r="G8" t="str">
        <f>_xlfn.XLOOKUP(Logs__2[[#This Row],[Cell_ID]],'Registre_Maintenance'!B:B,'Registre_Maintenance'!C:C,"Pas de correspondance")</f>
        <v>Kasaï-Central</v>
      </c>
      <c r="H8">
        <f>_xlfn.XLOOKUP(Logs__2[[#This Row],[Cell_ID]],'Registre_Maintenance'!B:B,'Registre_Maintenance'!D:D,"Pas de correspondance")</f>
        <v>-1.648264</v>
      </c>
      <c r="I8">
        <f>_xlfn.XLOOKUP(Logs__2[[#This Row],[Cell_ID]],'Registre_Maintenance'!B:B,'Registre_Maintenance'!E:E,"Pas de correspondance")</f>
        <v>28.866143999999998</v>
      </c>
      <c r="J8" t="str">
        <f>_xlfn.XLOOKUP(Logs__2[[#This Row],[Cell_ID]],'Registre_Maintenance'!B:B,'Registre_Maintenance'!F:F,"Pas de correspondance")</f>
        <v>5G</v>
      </c>
      <c r="K8" t="str">
        <f>_xlfn.XLOOKUP(Logs__2[[#This Row],[Cell_ID]],'Registre_Maintenance'!B:B,'Registre_Maintenance'!G:G,"Pas de correspondance")</f>
        <v>Ericsson</v>
      </c>
    </row>
    <row r="9" spans="1:11" hidden="1" x14ac:dyDescent="0.25">
      <c r="A9" s="1" t="s">
        <v>804</v>
      </c>
      <c r="B9" s="2">
        <v>45216</v>
      </c>
      <c r="C9" s="3">
        <v>0.79236111111111107</v>
      </c>
      <c r="D9" s="1" t="s">
        <v>815</v>
      </c>
      <c r="E9">
        <v>56</v>
      </c>
      <c r="F9" s="1" t="s">
        <v>806</v>
      </c>
      <c r="G9" t="str">
        <f>_xlfn.XLOOKUP(Logs__2[[#This Row],[Cell_ID]],'Registre_Maintenance'!B:B,'Registre_Maintenance'!C:C,"Pas de correspondance")</f>
        <v>Pas de correspondance</v>
      </c>
      <c r="H9" t="str">
        <f>_xlfn.XLOOKUP(Logs__2[[#This Row],[Cell_ID]],'Registre_Maintenance'!B:B,'Registre_Maintenance'!D:D,"Pas de correspondance")</f>
        <v>Pas de correspondance</v>
      </c>
      <c r="I9" t="str">
        <f>_xlfn.XLOOKUP(Logs__2[[#This Row],[Cell_ID]],'Registre_Maintenance'!B:B,'Registre_Maintenance'!E:E,"Pas de correspondance")</f>
        <v>Pas de correspondance</v>
      </c>
      <c r="J9" t="str">
        <f>_xlfn.XLOOKUP(Logs__2[[#This Row],[Cell_ID]],'Registre_Maintenance'!B:B,'Registre_Maintenance'!F:F,"Pas de correspondance")</f>
        <v>Pas de correspondance</v>
      </c>
      <c r="K9" t="str">
        <f>_xlfn.XLOOKUP(Logs__2[[#This Row],[Cell_ID]],'Registre_Maintenance'!B:B,'Registre_Maintenance'!G:G,"Pas de correspondance")</f>
        <v>Pas de correspondance</v>
      </c>
    </row>
    <row r="10" spans="1:11" hidden="1" x14ac:dyDescent="0.25">
      <c r="A10" s="1" t="s">
        <v>804</v>
      </c>
      <c r="B10" s="2">
        <v>45217</v>
      </c>
      <c r="C10" s="3">
        <v>0.28125</v>
      </c>
      <c r="D10" s="1" t="s">
        <v>816</v>
      </c>
      <c r="E10">
        <v>51</v>
      </c>
      <c r="F10" s="1" t="s">
        <v>809</v>
      </c>
      <c r="G10" t="str">
        <f>_xlfn.XLOOKUP(Logs__2[[#This Row],[Cell_ID]],'Registre_Maintenance'!B:B,'Registre_Maintenance'!C:C,"Pas de correspondance")</f>
        <v>Pas de correspondance</v>
      </c>
      <c r="H10" t="str">
        <f>_xlfn.XLOOKUP(Logs__2[[#This Row],[Cell_ID]],'Registre_Maintenance'!B:B,'Registre_Maintenance'!D:D,"Pas de correspondance")</f>
        <v>Pas de correspondance</v>
      </c>
      <c r="I10" t="str">
        <f>_xlfn.XLOOKUP(Logs__2[[#This Row],[Cell_ID]],'Registre_Maintenance'!B:B,'Registre_Maintenance'!E:E,"Pas de correspondance")</f>
        <v>Pas de correspondance</v>
      </c>
      <c r="J10" t="str">
        <f>_xlfn.XLOOKUP(Logs__2[[#This Row],[Cell_ID]],'Registre_Maintenance'!B:B,'Registre_Maintenance'!F:F,"Pas de correspondance")</f>
        <v>Pas de correspondance</v>
      </c>
      <c r="K10" t="str">
        <f>_xlfn.XLOOKUP(Logs__2[[#This Row],[Cell_ID]],'Registre_Maintenance'!B:B,'Registre_Maintenance'!G:G,"Pas de correspondance")</f>
        <v>Pas de correspondance</v>
      </c>
    </row>
    <row r="11" spans="1:11" hidden="1" x14ac:dyDescent="0.25">
      <c r="A11" s="1" t="s">
        <v>804</v>
      </c>
      <c r="B11" s="2">
        <v>45220</v>
      </c>
      <c r="C11" s="3">
        <v>0.94027777777777777</v>
      </c>
      <c r="D11" s="1" t="s">
        <v>817</v>
      </c>
      <c r="E11">
        <v>33</v>
      </c>
      <c r="F11" s="1" t="s">
        <v>811</v>
      </c>
      <c r="G11" t="str">
        <f>_xlfn.XLOOKUP(Logs__2[[#This Row],[Cell_ID]],'Registre_Maintenance'!B:B,'Registre_Maintenance'!C:C,"Pas de correspondance")</f>
        <v>Pas de correspondance</v>
      </c>
      <c r="H11" t="str">
        <f>_xlfn.XLOOKUP(Logs__2[[#This Row],[Cell_ID]],'Registre_Maintenance'!B:B,'Registre_Maintenance'!D:D,"Pas de correspondance")</f>
        <v>Pas de correspondance</v>
      </c>
      <c r="I11" t="str">
        <f>_xlfn.XLOOKUP(Logs__2[[#This Row],[Cell_ID]],'Registre_Maintenance'!B:B,'Registre_Maintenance'!E:E,"Pas de correspondance")</f>
        <v>Pas de correspondance</v>
      </c>
      <c r="J11" t="str">
        <f>_xlfn.XLOOKUP(Logs__2[[#This Row],[Cell_ID]],'Registre_Maintenance'!B:B,'Registre_Maintenance'!F:F,"Pas de correspondance")</f>
        <v>Pas de correspondance</v>
      </c>
      <c r="K11" t="str">
        <f>_xlfn.XLOOKUP(Logs__2[[#This Row],[Cell_ID]],'Registre_Maintenance'!B:B,'Registre_Maintenance'!G:G,"Pas de correspondance")</f>
        <v>Pas de correspondance</v>
      </c>
    </row>
    <row r="12" spans="1:11" hidden="1" x14ac:dyDescent="0.25">
      <c r="A12" s="1" t="s">
        <v>804</v>
      </c>
      <c r="B12" s="2">
        <v>45213</v>
      </c>
      <c r="C12" s="3">
        <v>0.31111111111111112</v>
      </c>
      <c r="D12" s="1" t="s">
        <v>818</v>
      </c>
      <c r="E12">
        <v>22</v>
      </c>
      <c r="F12" s="1" t="s">
        <v>809</v>
      </c>
      <c r="G12" t="str">
        <f>_xlfn.XLOOKUP(Logs__2[[#This Row],[Cell_ID]],'Registre_Maintenance'!B:B,'Registre_Maintenance'!C:C,"Pas de correspondance")</f>
        <v>Pas de correspondance</v>
      </c>
      <c r="H12" t="str">
        <f>_xlfn.XLOOKUP(Logs__2[[#This Row],[Cell_ID]],'Registre_Maintenance'!B:B,'Registre_Maintenance'!D:D,"Pas de correspondance")</f>
        <v>Pas de correspondance</v>
      </c>
      <c r="I12" t="str">
        <f>_xlfn.XLOOKUP(Logs__2[[#This Row],[Cell_ID]],'Registre_Maintenance'!B:B,'Registre_Maintenance'!E:E,"Pas de correspondance")</f>
        <v>Pas de correspondance</v>
      </c>
      <c r="J12" t="str">
        <f>_xlfn.XLOOKUP(Logs__2[[#This Row],[Cell_ID]],'Registre_Maintenance'!B:B,'Registre_Maintenance'!F:F,"Pas de correspondance")</f>
        <v>Pas de correspondance</v>
      </c>
      <c r="K12" t="str">
        <f>_xlfn.XLOOKUP(Logs__2[[#This Row],[Cell_ID]],'Registre_Maintenance'!B:B,'Registre_Maintenance'!G:G,"Pas de correspondance")</f>
        <v>Pas de correspondance</v>
      </c>
    </row>
    <row r="13" spans="1:11" x14ac:dyDescent="0.25">
      <c r="A13" s="1" t="s">
        <v>804</v>
      </c>
      <c r="B13" s="2">
        <v>45218</v>
      </c>
      <c r="C13" s="3">
        <v>0.36875000000000002</v>
      </c>
      <c r="D13" s="1" t="s">
        <v>819</v>
      </c>
      <c r="E13">
        <v>70</v>
      </c>
      <c r="F13" s="1" t="s">
        <v>806</v>
      </c>
      <c r="G13" t="str">
        <f>_xlfn.XLOOKUP(Logs__2[[#This Row],[Cell_ID]],'Registre_Maintenance'!B:B,'Registre_Maintenance'!C:C,"Pas de correspondance")</f>
        <v>Lomami</v>
      </c>
      <c r="H13">
        <f>_xlfn.XLOOKUP(Logs__2[[#This Row],[Cell_ID]],'Registre_Maintenance'!B:B,'Registre_Maintenance'!D:D,"Pas de correspondance")</f>
        <v>-8.4227860000000003</v>
      </c>
      <c r="I13">
        <f>_xlfn.XLOOKUP(Logs__2[[#This Row],[Cell_ID]],'Registre_Maintenance'!B:B,'Registre_Maintenance'!E:E,"Pas de correspondance")</f>
        <v>16.781293000000002</v>
      </c>
      <c r="J13" t="str">
        <f>_xlfn.XLOOKUP(Logs__2[[#This Row],[Cell_ID]],'Registre_Maintenance'!B:B,'Registre_Maintenance'!F:F,"Pas de correspondance")</f>
        <v>4G</v>
      </c>
      <c r="K13" t="str">
        <f>_xlfn.XLOOKUP(Logs__2[[#This Row],[Cell_ID]],'Registre_Maintenance'!B:B,'Registre_Maintenance'!G:G,"Pas de correspondance")</f>
        <v>Huawei</v>
      </c>
    </row>
    <row r="14" spans="1:11" x14ac:dyDescent="0.25">
      <c r="A14" s="1" t="s">
        <v>804</v>
      </c>
      <c r="B14" s="2">
        <v>45227</v>
      </c>
      <c r="C14" s="3">
        <v>3.3333333333333333E-2</v>
      </c>
      <c r="D14" s="1" t="s">
        <v>820</v>
      </c>
      <c r="E14">
        <v>68</v>
      </c>
      <c r="F14" s="1" t="s">
        <v>811</v>
      </c>
      <c r="G14" t="str">
        <f>_xlfn.XLOOKUP(Logs__2[[#This Row],[Cell_ID]],'Registre_Maintenance'!B:B,'Registre_Maintenance'!C:C,"Pas de correspondance")</f>
        <v>Nord-Ubangi</v>
      </c>
      <c r="H14">
        <f>_xlfn.XLOOKUP(Logs__2[[#This Row],[Cell_ID]],'Registre_Maintenance'!B:B,'Registre_Maintenance'!D:D,"Pas de correspondance")</f>
        <v>-10.375266999999999</v>
      </c>
      <c r="I14">
        <f>_xlfn.XLOOKUP(Logs__2[[#This Row],[Cell_ID]],'Registre_Maintenance'!B:B,'Registre_Maintenance'!E:E,"Pas de correspondance")</f>
        <v>17.993663000000002</v>
      </c>
      <c r="J14" t="str">
        <f>_xlfn.XLOOKUP(Logs__2[[#This Row],[Cell_ID]],'Registre_Maintenance'!B:B,'Registre_Maintenance'!F:F,"Pas de correspondance")</f>
        <v>5G</v>
      </c>
      <c r="K14" t="str">
        <f>_xlfn.XLOOKUP(Logs__2[[#This Row],[Cell_ID]],'Registre_Maintenance'!B:B,'Registre_Maintenance'!G:G,"Pas de correspondance")</f>
        <v>ZTE</v>
      </c>
    </row>
    <row r="15" spans="1:11" hidden="1" x14ac:dyDescent="0.25">
      <c r="A15" s="1" t="s">
        <v>804</v>
      </c>
      <c r="B15" s="2">
        <v>45225</v>
      </c>
      <c r="C15" s="3">
        <v>0.2388888888888889</v>
      </c>
      <c r="D15" s="1" t="s">
        <v>821</v>
      </c>
      <c r="E15">
        <v>16</v>
      </c>
      <c r="F15" s="1" t="s">
        <v>809</v>
      </c>
      <c r="G15" t="str">
        <f>_xlfn.XLOOKUP(Logs__2[[#This Row],[Cell_ID]],'Registre_Maintenance'!B:B,'Registre_Maintenance'!C:C,"Pas de correspondance")</f>
        <v>Pas de correspondance</v>
      </c>
      <c r="H15" t="str">
        <f>_xlfn.XLOOKUP(Logs__2[[#This Row],[Cell_ID]],'Registre_Maintenance'!B:B,'Registre_Maintenance'!D:D,"Pas de correspondance")</f>
        <v>Pas de correspondance</v>
      </c>
      <c r="I15" t="str">
        <f>_xlfn.XLOOKUP(Logs__2[[#This Row],[Cell_ID]],'Registre_Maintenance'!B:B,'Registre_Maintenance'!E:E,"Pas de correspondance")</f>
        <v>Pas de correspondance</v>
      </c>
      <c r="J15" t="str">
        <f>_xlfn.XLOOKUP(Logs__2[[#This Row],[Cell_ID]],'Registre_Maintenance'!B:B,'Registre_Maintenance'!F:F,"Pas de correspondance")</f>
        <v>Pas de correspondance</v>
      </c>
      <c r="K15" t="str">
        <f>_xlfn.XLOOKUP(Logs__2[[#This Row],[Cell_ID]],'Registre_Maintenance'!B:B,'Registre_Maintenance'!G:G,"Pas de correspondance")</f>
        <v>Pas de correspondance</v>
      </c>
    </row>
    <row r="16" spans="1:11" hidden="1" x14ac:dyDescent="0.25">
      <c r="A16" s="1" t="s">
        <v>804</v>
      </c>
      <c r="B16" s="2">
        <v>45213</v>
      </c>
      <c r="C16" s="3">
        <v>0.4284722222222222</v>
      </c>
      <c r="D16" s="1" t="s">
        <v>822</v>
      </c>
      <c r="E16">
        <v>101</v>
      </c>
      <c r="F16" s="1" t="s">
        <v>809</v>
      </c>
      <c r="G16" t="str">
        <f>_xlfn.XLOOKUP(Logs__2[[#This Row],[Cell_ID]],'Registre_Maintenance'!B:B,'Registre_Maintenance'!C:C,"Pas de correspondance")</f>
        <v>Pas de correspondance</v>
      </c>
      <c r="H16" t="str">
        <f>_xlfn.XLOOKUP(Logs__2[[#This Row],[Cell_ID]],'Registre_Maintenance'!B:B,'Registre_Maintenance'!D:D,"Pas de correspondance")</f>
        <v>Pas de correspondance</v>
      </c>
      <c r="I16" t="str">
        <f>_xlfn.XLOOKUP(Logs__2[[#This Row],[Cell_ID]],'Registre_Maintenance'!B:B,'Registre_Maintenance'!E:E,"Pas de correspondance")</f>
        <v>Pas de correspondance</v>
      </c>
      <c r="J16" t="str">
        <f>_xlfn.XLOOKUP(Logs__2[[#This Row],[Cell_ID]],'Registre_Maintenance'!B:B,'Registre_Maintenance'!F:F,"Pas de correspondance")</f>
        <v>Pas de correspondance</v>
      </c>
      <c r="K16" t="str">
        <f>_xlfn.XLOOKUP(Logs__2[[#This Row],[Cell_ID]],'Registre_Maintenance'!B:B,'Registre_Maintenance'!G:G,"Pas de correspondance")</f>
        <v>Pas de correspondance</v>
      </c>
    </row>
    <row r="17" spans="1:11" hidden="1" x14ac:dyDescent="0.25">
      <c r="A17" s="1" t="s">
        <v>804</v>
      </c>
      <c r="B17" s="2">
        <v>45204</v>
      </c>
      <c r="C17" s="3">
        <v>0.28333333333333333</v>
      </c>
      <c r="D17" s="1" t="s">
        <v>823</v>
      </c>
      <c r="E17">
        <v>11</v>
      </c>
      <c r="F17" s="1" t="s">
        <v>811</v>
      </c>
      <c r="G17" t="str">
        <f>_xlfn.XLOOKUP(Logs__2[[#This Row],[Cell_ID]],'Registre_Maintenance'!B:B,'Registre_Maintenance'!C:C,"Pas de correspondance")</f>
        <v>Pas de correspondance</v>
      </c>
      <c r="H17" t="str">
        <f>_xlfn.XLOOKUP(Logs__2[[#This Row],[Cell_ID]],'Registre_Maintenance'!B:B,'Registre_Maintenance'!D:D,"Pas de correspondance")</f>
        <v>Pas de correspondance</v>
      </c>
      <c r="I17" t="str">
        <f>_xlfn.XLOOKUP(Logs__2[[#This Row],[Cell_ID]],'Registre_Maintenance'!B:B,'Registre_Maintenance'!E:E,"Pas de correspondance")</f>
        <v>Pas de correspondance</v>
      </c>
      <c r="J17" t="str">
        <f>_xlfn.XLOOKUP(Logs__2[[#This Row],[Cell_ID]],'Registre_Maintenance'!B:B,'Registre_Maintenance'!F:F,"Pas de correspondance")</f>
        <v>Pas de correspondance</v>
      </c>
      <c r="K17" t="str">
        <f>_xlfn.XLOOKUP(Logs__2[[#This Row],[Cell_ID]],'Registre_Maintenance'!B:B,'Registre_Maintenance'!G:G,"Pas de correspondance")</f>
        <v>Pas de correspondance</v>
      </c>
    </row>
    <row r="18" spans="1:11" hidden="1" x14ac:dyDescent="0.25">
      <c r="A18" s="1" t="s">
        <v>804</v>
      </c>
      <c r="B18" s="2">
        <v>45210</v>
      </c>
      <c r="C18" s="3">
        <v>0.12847222222222221</v>
      </c>
      <c r="D18" s="1" t="s">
        <v>824</v>
      </c>
      <c r="E18">
        <v>115</v>
      </c>
      <c r="F18" s="1" t="s">
        <v>806</v>
      </c>
      <c r="G18" t="str">
        <f>_xlfn.XLOOKUP(Logs__2[[#This Row],[Cell_ID]],'Registre_Maintenance'!B:B,'Registre_Maintenance'!C:C,"Pas de correspondance")</f>
        <v>Pas de correspondance</v>
      </c>
      <c r="H18" t="str">
        <f>_xlfn.XLOOKUP(Logs__2[[#This Row],[Cell_ID]],'Registre_Maintenance'!B:B,'Registre_Maintenance'!D:D,"Pas de correspondance")</f>
        <v>Pas de correspondance</v>
      </c>
      <c r="I18" t="str">
        <f>_xlfn.XLOOKUP(Logs__2[[#This Row],[Cell_ID]],'Registre_Maintenance'!B:B,'Registre_Maintenance'!E:E,"Pas de correspondance")</f>
        <v>Pas de correspondance</v>
      </c>
      <c r="J18" t="str">
        <f>_xlfn.XLOOKUP(Logs__2[[#This Row],[Cell_ID]],'Registre_Maintenance'!B:B,'Registre_Maintenance'!F:F,"Pas de correspondance")</f>
        <v>Pas de correspondance</v>
      </c>
      <c r="K18" t="str">
        <f>_xlfn.XLOOKUP(Logs__2[[#This Row],[Cell_ID]],'Registre_Maintenance'!B:B,'Registre_Maintenance'!G:G,"Pas de correspondance")</f>
        <v>Pas de correspondance</v>
      </c>
    </row>
    <row r="19" spans="1:11" x14ac:dyDescent="0.25">
      <c r="A19" s="1" t="s">
        <v>804</v>
      </c>
      <c r="B19" s="2">
        <v>45212</v>
      </c>
      <c r="C19" s="3">
        <v>0.14027777777777778</v>
      </c>
      <c r="D19" s="1" t="s">
        <v>825</v>
      </c>
      <c r="E19">
        <v>19</v>
      </c>
      <c r="F19" s="1" t="s">
        <v>809</v>
      </c>
      <c r="G19" t="str">
        <f>_xlfn.XLOOKUP(Logs__2[[#This Row],[Cell_ID]],'Registre_Maintenance'!B:B,'Registre_Maintenance'!C:C,"Pas de correspondance")</f>
        <v>Tanganyika</v>
      </c>
      <c r="H19">
        <f>_xlfn.XLOOKUP(Logs__2[[#This Row],[Cell_ID]],'Registre_Maintenance'!B:B,'Registre_Maintenance'!D:D,"Pas de correspondance")</f>
        <v>-9.4708620000000003</v>
      </c>
      <c r="I19">
        <f>_xlfn.XLOOKUP(Logs__2[[#This Row],[Cell_ID]],'Registre_Maintenance'!B:B,'Registre_Maintenance'!E:E,"Pas de correspondance")</f>
        <v>29.234387999999999</v>
      </c>
      <c r="J19" t="str">
        <f>_xlfn.XLOOKUP(Logs__2[[#This Row],[Cell_ID]],'Registre_Maintenance'!B:B,'Registre_Maintenance'!F:F,"Pas de correspondance")</f>
        <v>3G</v>
      </c>
      <c r="K19" t="str">
        <f>_xlfn.XLOOKUP(Logs__2[[#This Row],[Cell_ID]],'Registre_Maintenance'!B:B,'Registre_Maintenance'!G:G,"Pas de correspondance")</f>
        <v>ZTE</v>
      </c>
    </row>
    <row r="20" spans="1:11" hidden="1" x14ac:dyDescent="0.25">
      <c r="A20" s="1" t="s">
        <v>804</v>
      </c>
      <c r="B20" s="2">
        <v>45227</v>
      </c>
      <c r="C20" s="3">
        <v>0.48472222222222222</v>
      </c>
      <c r="D20" s="1" t="s">
        <v>826</v>
      </c>
      <c r="E20">
        <v>24</v>
      </c>
      <c r="F20" s="1" t="s">
        <v>809</v>
      </c>
      <c r="G20" t="str">
        <f>_xlfn.XLOOKUP(Logs__2[[#This Row],[Cell_ID]],'Registre_Maintenance'!B:B,'Registre_Maintenance'!C:C,"Pas de correspondance")</f>
        <v>Pas de correspondance</v>
      </c>
      <c r="H20" t="str">
        <f>_xlfn.XLOOKUP(Logs__2[[#This Row],[Cell_ID]],'Registre_Maintenance'!B:B,'Registre_Maintenance'!D:D,"Pas de correspondance")</f>
        <v>Pas de correspondance</v>
      </c>
      <c r="I20" t="str">
        <f>_xlfn.XLOOKUP(Logs__2[[#This Row],[Cell_ID]],'Registre_Maintenance'!B:B,'Registre_Maintenance'!E:E,"Pas de correspondance")</f>
        <v>Pas de correspondance</v>
      </c>
      <c r="J20" t="str">
        <f>_xlfn.XLOOKUP(Logs__2[[#This Row],[Cell_ID]],'Registre_Maintenance'!B:B,'Registre_Maintenance'!F:F,"Pas de correspondance")</f>
        <v>Pas de correspondance</v>
      </c>
      <c r="K20" t="str">
        <f>_xlfn.XLOOKUP(Logs__2[[#This Row],[Cell_ID]],'Registre_Maintenance'!B:B,'Registre_Maintenance'!G:G,"Pas de correspondance")</f>
        <v>Pas de correspondance</v>
      </c>
    </row>
    <row r="21" spans="1:11" x14ac:dyDescent="0.25">
      <c r="A21" s="1" t="s">
        <v>804</v>
      </c>
      <c r="B21" s="2">
        <v>45208</v>
      </c>
      <c r="C21" s="3">
        <v>7.3611111111111113E-2</v>
      </c>
      <c r="D21" s="1" t="s">
        <v>819</v>
      </c>
      <c r="E21">
        <v>85</v>
      </c>
      <c r="F21" s="1" t="s">
        <v>809</v>
      </c>
      <c r="G21" t="str">
        <f>_xlfn.XLOOKUP(Logs__2[[#This Row],[Cell_ID]],'Registre_Maintenance'!B:B,'Registre_Maintenance'!C:C,"Pas de correspondance")</f>
        <v>Lomami</v>
      </c>
      <c r="H21">
        <f>_xlfn.XLOOKUP(Logs__2[[#This Row],[Cell_ID]],'Registre_Maintenance'!B:B,'Registre_Maintenance'!D:D,"Pas de correspondance")</f>
        <v>-8.4227860000000003</v>
      </c>
      <c r="I21">
        <f>_xlfn.XLOOKUP(Logs__2[[#This Row],[Cell_ID]],'Registre_Maintenance'!B:B,'Registre_Maintenance'!E:E,"Pas de correspondance")</f>
        <v>16.781293000000002</v>
      </c>
      <c r="J21" t="str">
        <f>_xlfn.XLOOKUP(Logs__2[[#This Row],[Cell_ID]],'Registre_Maintenance'!B:B,'Registre_Maintenance'!F:F,"Pas de correspondance")</f>
        <v>4G</v>
      </c>
      <c r="K21" t="str">
        <f>_xlfn.XLOOKUP(Logs__2[[#This Row],[Cell_ID]],'Registre_Maintenance'!B:B,'Registre_Maintenance'!G:G,"Pas de correspondance")</f>
        <v>Huawei</v>
      </c>
    </row>
    <row r="22" spans="1:11" x14ac:dyDescent="0.25">
      <c r="A22" s="1" t="s">
        <v>804</v>
      </c>
      <c r="B22" s="2">
        <v>45214</v>
      </c>
      <c r="C22" s="3">
        <v>0.71319444444444446</v>
      </c>
      <c r="D22" s="1" t="s">
        <v>827</v>
      </c>
      <c r="E22">
        <v>25</v>
      </c>
      <c r="F22" s="1" t="s">
        <v>806</v>
      </c>
      <c r="G22" t="str">
        <f>_xlfn.XLOOKUP(Logs__2[[#This Row],[Cell_ID]],'Registre_Maintenance'!B:B,'Registre_Maintenance'!C:C,"Pas de correspondance")</f>
        <v>Haut-Katanga</v>
      </c>
      <c r="H22">
        <f>_xlfn.XLOOKUP(Logs__2[[#This Row],[Cell_ID]],'Registre_Maintenance'!B:B,'Registre_Maintenance'!D:D,"Pas de correspondance")</f>
        <v>0.172153</v>
      </c>
      <c r="I22">
        <f>_xlfn.XLOOKUP(Logs__2[[#This Row],[Cell_ID]],'Registre_Maintenance'!B:B,'Registre_Maintenance'!E:E,"Pas de correspondance")</f>
        <v>21.091376</v>
      </c>
      <c r="J22" t="str">
        <f>_xlfn.XLOOKUP(Logs__2[[#This Row],[Cell_ID]],'Registre_Maintenance'!B:B,'Registre_Maintenance'!F:F,"Pas de correspondance")</f>
        <v>3G</v>
      </c>
      <c r="K22" t="str">
        <f>_xlfn.XLOOKUP(Logs__2[[#This Row],[Cell_ID]],'Registre_Maintenance'!B:B,'Registre_Maintenance'!G:G,"Pas de correspondance")</f>
        <v>Ericsson</v>
      </c>
    </row>
    <row r="23" spans="1:11" hidden="1" x14ac:dyDescent="0.25">
      <c r="A23" s="1" t="s">
        <v>804</v>
      </c>
      <c r="B23" s="2">
        <v>45229</v>
      </c>
      <c r="C23" s="3">
        <v>0.50347222222222221</v>
      </c>
      <c r="D23" s="1" t="s">
        <v>828</v>
      </c>
      <c r="E23">
        <v>106</v>
      </c>
      <c r="F23" s="1" t="s">
        <v>809</v>
      </c>
      <c r="G23" t="str">
        <f>_xlfn.XLOOKUP(Logs__2[[#This Row],[Cell_ID]],'Registre_Maintenance'!B:B,'Registre_Maintenance'!C:C,"Pas de correspondance")</f>
        <v>Pas de correspondance</v>
      </c>
      <c r="H23" t="str">
        <f>_xlfn.XLOOKUP(Logs__2[[#This Row],[Cell_ID]],'Registre_Maintenance'!B:B,'Registre_Maintenance'!D:D,"Pas de correspondance")</f>
        <v>Pas de correspondance</v>
      </c>
      <c r="I23" t="str">
        <f>_xlfn.XLOOKUP(Logs__2[[#This Row],[Cell_ID]],'Registre_Maintenance'!B:B,'Registre_Maintenance'!E:E,"Pas de correspondance")</f>
        <v>Pas de correspondance</v>
      </c>
      <c r="J23" t="str">
        <f>_xlfn.XLOOKUP(Logs__2[[#This Row],[Cell_ID]],'Registre_Maintenance'!B:B,'Registre_Maintenance'!F:F,"Pas de correspondance")</f>
        <v>Pas de correspondance</v>
      </c>
      <c r="K23" t="str">
        <f>_xlfn.XLOOKUP(Logs__2[[#This Row],[Cell_ID]],'Registre_Maintenance'!B:B,'Registre_Maintenance'!G:G,"Pas de correspondance")</f>
        <v>Pas de correspondance</v>
      </c>
    </row>
    <row r="24" spans="1:11" hidden="1" x14ac:dyDescent="0.25">
      <c r="A24" s="1" t="s">
        <v>804</v>
      </c>
      <c r="B24" s="2">
        <v>45217</v>
      </c>
      <c r="C24" s="3">
        <v>0.41180555555555554</v>
      </c>
      <c r="D24" s="1" t="s">
        <v>829</v>
      </c>
      <c r="E24">
        <v>92</v>
      </c>
      <c r="F24" s="1" t="s">
        <v>811</v>
      </c>
      <c r="G24" t="str">
        <f>_xlfn.XLOOKUP(Logs__2[[#This Row],[Cell_ID]],'Registre_Maintenance'!B:B,'Registre_Maintenance'!C:C,"Pas de correspondance")</f>
        <v>Pas de correspondance</v>
      </c>
      <c r="H24" t="str">
        <f>_xlfn.XLOOKUP(Logs__2[[#This Row],[Cell_ID]],'Registre_Maintenance'!B:B,'Registre_Maintenance'!D:D,"Pas de correspondance")</f>
        <v>Pas de correspondance</v>
      </c>
      <c r="I24" t="str">
        <f>_xlfn.XLOOKUP(Logs__2[[#This Row],[Cell_ID]],'Registre_Maintenance'!B:B,'Registre_Maintenance'!E:E,"Pas de correspondance")</f>
        <v>Pas de correspondance</v>
      </c>
      <c r="J24" t="str">
        <f>_xlfn.XLOOKUP(Logs__2[[#This Row],[Cell_ID]],'Registre_Maintenance'!B:B,'Registre_Maintenance'!F:F,"Pas de correspondance")</f>
        <v>Pas de correspondance</v>
      </c>
      <c r="K24" t="str">
        <f>_xlfn.XLOOKUP(Logs__2[[#This Row],[Cell_ID]],'Registre_Maintenance'!B:B,'Registre_Maintenance'!G:G,"Pas de correspondance")</f>
        <v>Pas de correspondance</v>
      </c>
    </row>
    <row r="25" spans="1:11" hidden="1" x14ac:dyDescent="0.25">
      <c r="A25" s="1" t="s">
        <v>804</v>
      </c>
      <c r="B25" s="2">
        <v>45220</v>
      </c>
      <c r="C25" s="3">
        <v>0.8305555555555556</v>
      </c>
      <c r="D25" s="1" t="s">
        <v>830</v>
      </c>
      <c r="E25">
        <v>59</v>
      </c>
      <c r="F25" s="1" t="s">
        <v>811</v>
      </c>
      <c r="G25" t="str">
        <f>_xlfn.XLOOKUP(Logs__2[[#This Row],[Cell_ID]],'Registre_Maintenance'!B:B,'Registre_Maintenance'!C:C,"Pas de correspondance")</f>
        <v>Pas de correspondance</v>
      </c>
      <c r="H25" t="str">
        <f>_xlfn.XLOOKUP(Logs__2[[#This Row],[Cell_ID]],'Registre_Maintenance'!B:B,'Registre_Maintenance'!D:D,"Pas de correspondance")</f>
        <v>Pas de correspondance</v>
      </c>
      <c r="I25" t="str">
        <f>_xlfn.XLOOKUP(Logs__2[[#This Row],[Cell_ID]],'Registre_Maintenance'!B:B,'Registre_Maintenance'!E:E,"Pas de correspondance")</f>
        <v>Pas de correspondance</v>
      </c>
      <c r="J25" t="str">
        <f>_xlfn.XLOOKUP(Logs__2[[#This Row],[Cell_ID]],'Registre_Maintenance'!B:B,'Registre_Maintenance'!F:F,"Pas de correspondance")</f>
        <v>Pas de correspondance</v>
      </c>
      <c r="K25" t="str">
        <f>_xlfn.XLOOKUP(Logs__2[[#This Row],[Cell_ID]],'Registre_Maintenance'!B:B,'Registre_Maintenance'!G:G,"Pas de correspondance")</f>
        <v>Pas de correspondance</v>
      </c>
    </row>
    <row r="26" spans="1:11" hidden="1" x14ac:dyDescent="0.25">
      <c r="A26" s="1" t="s">
        <v>804</v>
      </c>
      <c r="B26" s="2">
        <v>45227</v>
      </c>
      <c r="C26" s="3">
        <v>0.48333333333333334</v>
      </c>
      <c r="D26" s="1" t="s">
        <v>817</v>
      </c>
      <c r="E26">
        <v>81</v>
      </c>
      <c r="F26" s="1" t="s">
        <v>809</v>
      </c>
      <c r="G26" t="str">
        <f>_xlfn.XLOOKUP(Logs__2[[#This Row],[Cell_ID]],'Registre_Maintenance'!B:B,'Registre_Maintenance'!C:C,"Pas de correspondance")</f>
        <v>Pas de correspondance</v>
      </c>
      <c r="H26" t="str">
        <f>_xlfn.XLOOKUP(Logs__2[[#This Row],[Cell_ID]],'Registre_Maintenance'!B:B,'Registre_Maintenance'!D:D,"Pas de correspondance")</f>
        <v>Pas de correspondance</v>
      </c>
      <c r="I26" t="str">
        <f>_xlfn.XLOOKUP(Logs__2[[#This Row],[Cell_ID]],'Registre_Maintenance'!B:B,'Registre_Maintenance'!E:E,"Pas de correspondance")</f>
        <v>Pas de correspondance</v>
      </c>
      <c r="J26" t="str">
        <f>_xlfn.XLOOKUP(Logs__2[[#This Row],[Cell_ID]],'Registre_Maintenance'!B:B,'Registre_Maintenance'!F:F,"Pas de correspondance")</f>
        <v>Pas de correspondance</v>
      </c>
      <c r="K26" t="str">
        <f>_xlfn.XLOOKUP(Logs__2[[#This Row],[Cell_ID]],'Registre_Maintenance'!B:B,'Registre_Maintenance'!G:G,"Pas de correspondance")</f>
        <v>Pas de correspondance</v>
      </c>
    </row>
    <row r="27" spans="1:11" x14ac:dyDescent="0.25">
      <c r="A27" s="1" t="s">
        <v>804</v>
      </c>
      <c r="B27" s="2">
        <v>45206</v>
      </c>
      <c r="C27" s="3">
        <v>0.9194444444444444</v>
      </c>
      <c r="D27" s="1" t="s">
        <v>831</v>
      </c>
      <c r="E27">
        <v>13</v>
      </c>
      <c r="F27" s="1" t="s">
        <v>809</v>
      </c>
      <c r="G27" t="str">
        <f>_xlfn.XLOOKUP(Logs__2[[#This Row],[Cell_ID]],'Registre_Maintenance'!B:B,'Registre_Maintenance'!C:C,"Pas de correspondance")</f>
        <v>Sud-Ubangi</v>
      </c>
      <c r="H27">
        <f>_xlfn.XLOOKUP(Logs__2[[#This Row],[Cell_ID]],'Registre_Maintenance'!B:B,'Registre_Maintenance'!D:D,"Pas de correspondance")</f>
        <v>-10.56448</v>
      </c>
      <c r="I27">
        <f>_xlfn.XLOOKUP(Logs__2[[#This Row],[Cell_ID]],'Registre_Maintenance'!B:B,'Registre_Maintenance'!E:E,"Pas de correspondance")</f>
        <v>19.792876</v>
      </c>
      <c r="J27" t="str">
        <f>_xlfn.XLOOKUP(Logs__2[[#This Row],[Cell_ID]],'Registre_Maintenance'!B:B,'Registre_Maintenance'!F:F,"Pas de correspondance")</f>
        <v>5G</v>
      </c>
      <c r="K27" t="str">
        <f>_xlfn.XLOOKUP(Logs__2[[#This Row],[Cell_ID]],'Registre_Maintenance'!B:B,'Registre_Maintenance'!G:G,"Pas de correspondance")</f>
        <v>Ericsson</v>
      </c>
    </row>
    <row r="28" spans="1:11" x14ac:dyDescent="0.25">
      <c r="A28" s="1" t="s">
        <v>804</v>
      </c>
      <c r="B28" s="2">
        <v>45201</v>
      </c>
      <c r="C28" s="3">
        <v>0.88472222222222219</v>
      </c>
      <c r="D28" s="1" t="s">
        <v>832</v>
      </c>
      <c r="E28">
        <v>54</v>
      </c>
      <c r="F28" s="1" t="s">
        <v>811</v>
      </c>
      <c r="G28" t="str">
        <f>_xlfn.XLOOKUP(Logs__2[[#This Row],[Cell_ID]],'Registre_Maintenance'!B:B,'Registre_Maintenance'!C:C,"Pas de correspondance")</f>
        <v>Nord-Kivu</v>
      </c>
      <c r="H28">
        <f>_xlfn.XLOOKUP(Logs__2[[#This Row],[Cell_ID]],'Registre_Maintenance'!B:B,'Registre_Maintenance'!D:D,"Pas de correspondance")</f>
        <v>4.6287159999999998</v>
      </c>
      <c r="I28">
        <f>_xlfn.XLOOKUP(Logs__2[[#This Row],[Cell_ID]],'Registre_Maintenance'!B:B,'Registre_Maintenance'!E:E,"Pas de correspondance")</f>
        <v>19.407077999999998</v>
      </c>
      <c r="J28" t="str">
        <f>_xlfn.XLOOKUP(Logs__2[[#This Row],[Cell_ID]],'Registre_Maintenance'!B:B,'Registre_Maintenance'!F:F,"Pas de correspondance")</f>
        <v>4G</v>
      </c>
      <c r="K28" t="str">
        <f>_xlfn.XLOOKUP(Logs__2[[#This Row],[Cell_ID]],'Registre_Maintenance'!B:B,'Registre_Maintenance'!G:G,"Pas de correspondance")</f>
        <v>Ericsson</v>
      </c>
    </row>
    <row r="29" spans="1:11" hidden="1" x14ac:dyDescent="0.25">
      <c r="A29" s="1" t="s">
        <v>804</v>
      </c>
      <c r="B29" s="2">
        <v>45224</v>
      </c>
      <c r="C29" s="3">
        <v>0.37847222222222221</v>
      </c>
      <c r="D29" s="1" t="s">
        <v>808</v>
      </c>
      <c r="E29">
        <v>53</v>
      </c>
      <c r="F29" s="1" t="s">
        <v>811</v>
      </c>
      <c r="G29" t="str">
        <f>_xlfn.XLOOKUP(Logs__2[[#This Row],[Cell_ID]],'Registre_Maintenance'!B:B,'Registre_Maintenance'!C:C,"Pas de correspondance")</f>
        <v>Pas de correspondance</v>
      </c>
      <c r="H29" t="str">
        <f>_xlfn.XLOOKUP(Logs__2[[#This Row],[Cell_ID]],'Registre_Maintenance'!B:B,'Registre_Maintenance'!D:D,"Pas de correspondance")</f>
        <v>Pas de correspondance</v>
      </c>
      <c r="I29" t="str">
        <f>_xlfn.XLOOKUP(Logs__2[[#This Row],[Cell_ID]],'Registre_Maintenance'!B:B,'Registre_Maintenance'!E:E,"Pas de correspondance")</f>
        <v>Pas de correspondance</v>
      </c>
      <c r="J29" t="str">
        <f>_xlfn.XLOOKUP(Logs__2[[#This Row],[Cell_ID]],'Registre_Maintenance'!B:B,'Registre_Maintenance'!F:F,"Pas de correspondance")</f>
        <v>Pas de correspondance</v>
      </c>
      <c r="K29" t="str">
        <f>_xlfn.XLOOKUP(Logs__2[[#This Row],[Cell_ID]],'Registre_Maintenance'!B:B,'Registre_Maintenance'!G:G,"Pas de correspondance")</f>
        <v>Pas de correspondance</v>
      </c>
    </row>
    <row r="30" spans="1:11" hidden="1" x14ac:dyDescent="0.25">
      <c r="A30" s="1" t="s">
        <v>804</v>
      </c>
      <c r="B30" s="2">
        <v>45227</v>
      </c>
      <c r="C30" s="3">
        <v>0.3298611111111111</v>
      </c>
      <c r="D30" s="1" t="s">
        <v>833</v>
      </c>
      <c r="E30">
        <v>81</v>
      </c>
      <c r="F30" s="1" t="s">
        <v>809</v>
      </c>
      <c r="G30" t="str">
        <f>_xlfn.XLOOKUP(Logs__2[[#This Row],[Cell_ID]],'Registre_Maintenance'!B:B,'Registre_Maintenance'!C:C,"Pas de correspondance")</f>
        <v>Pas de correspondance</v>
      </c>
      <c r="H30" t="str">
        <f>_xlfn.XLOOKUP(Logs__2[[#This Row],[Cell_ID]],'Registre_Maintenance'!B:B,'Registre_Maintenance'!D:D,"Pas de correspondance")</f>
        <v>Pas de correspondance</v>
      </c>
      <c r="I30" t="str">
        <f>_xlfn.XLOOKUP(Logs__2[[#This Row],[Cell_ID]],'Registre_Maintenance'!B:B,'Registre_Maintenance'!E:E,"Pas de correspondance")</f>
        <v>Pas de correspondance</v>
      </c>
      <c r="J30" t="str">
        <f>_xlfn.XLOOKUP(Logs__2[[#This Row],[Cell_ID]],'Registre_Maintenance'!B:B,'Registre_Maintenance'!F:F,"Pas de correspondance")</f>
        <v>Pas de correspondance</v>
      </c>
      <c r="K30" t="str">
        <f>_xlfn.XLOOKUP(Logs__2[[#This Row],[Cell_ID]],'Registre_Maintenance'!B:B,'Registre_Maintenance'!G:G,"Pas de correspondance")</f>
        <v>Pas de correspondance</v>
      </c>
    </row>
    <row r="31" spans="1:11" x14ac:dyDescent="0.25">
      <c r="A31" s="1" t="s">
        <v>804</v>
      </c>
      <c r="B31" s="2">
        <v>45203</v>
      </c>
      <c r="C31" s="3">
        <v>0.51180555555555551</v>
      </c>
      <c r="D31" s="1" t="s">
        <v>834</v>
      </c>
      <c r="E31">
        <v>64</v>
      </c>
      <c r="F31" s="1" t="s">
        <v>811</v>
      </c>
      <c r="G31" t="str">
        <f>_xlfn.XLOOKUP(Logs__2[[#This Row],[Cell_ID]],'Registre_Maintenance'!B:B,'Registre_Maintenance'!C:C,"Pas de correspondance")</f>
        <v>Tshopo</v>
      </c>
      <c r="H31">
        <f>_xlfn.XLOOKUP(Logs__2[[#This Row],[Cell_ID]],'Registre_Maintenance'!B:B,'Registre_Maintenance'!D:D,"Pas de correspondance")</f>
        <v>0.23583499999999999</v>
      </c>
      <c r="I31">
        <f>_xlfn.XLOOKUP(Logs__2[[#This Row],[Cell_ID]],'Registre_Maintenance'!B:B,'Registre_Maintenance'!E:E,"Pas de correspondance")</f>
        <v>24.889558999999998</v>
      </c>
      <c r="J31" t="str">
        <f>_xlfn.XLOOKUP(Logs__2[[#This Row],[Cell_ID]],'Registre_Maintenance'!B:B,'Registre_Maintenance'!F:F,"Pas de correspondance")</f>
        <v>3G</v>
      </c>
      <c r="K31" t="str">
        <f>_xlfn.XLOOKUP(Logs__2[[#This Row],[Cell_ID]],'Registre_Maintenance'!B:B,'Registre_Maintenance'!G:G,"Pas de correspondance")</f>
        <v>ZTE</v>
      </c>
    </row>
    <row r="32" spans="1:11" hidden="1" x14ac:dyDescent="0.25">
      <c r="A32" s="1" t="s">
        <v>804</v>
      </c>
      <c r="B32" s="2">
        <v>45214</v>
      </c>
      <c r="C32" s="3">
        <v>0.87013888888888891</v>
      </c>
      <c r="D32" s="1" t="s">
        <v>835</v>
      </c>
      <c r="E32">
        <v>72</v>
      </c>
      <c r="F32" s="1" t="s">
        <v>806</v>
      </c>
      <c r="G32" t="str">
        <f>_xlfn.XLOOKUP(Logs__2[[#This Row],[Cell_ID]],'Registre_Maintenance'!B:B,'Registre_Maintenance'!C:C,"Pas de correspondance")</f>
        <v>Pas de correspondance</v>
      </c>
      <c r="H32" t="str">
        <f>_xlfn.XLOOKUP(Logs__2[[#This Row],[Cell_ID]],'Registre_Maintenance'!B:B,'Registre_Maintenance'!D:D,"Pas de correspondance")</f>
        <v>Pas de correspondance</v>
      </c>
      <c r="I32" t="str">
        <f>_xlfn.XLOOKUP(Logs__2[[#This Row],[Cell_ID]],'Registre_Maintenance'!B:B,'Registre_Maintenance'!E:E,"Pas de correspondance")</f>
        <v>Pas de correspondance</v>
      </c>
      <c r="J32" t="str">
        <f>_xlfn.XLOOKUP(Logs__2[[#This Row],[Cell_ID]],'Registre_Maintenance'!B:B,'Registre_Maintenance'!F:F,"Pas de correspondance")</f>
        <v>Pas de correspondance</v>
      </c>
      <c r="K32" t="str">
        <f>_xlfn.XLOOKUP(Logs__2[[#This Row],[Cell_ID]],'Registre_Maintenance'!B:B,'Registre_Maintenance'!G:G,"Pas de correspondance")</f>
        <v>Pas de correspondance</v>
      </c>
    </row>
    <row r="33" spans="1:11" hidden="1" x14ac:dyDescent="0.25">
      <c r="A33" s="1" t="s">
        <v>804</v>
      </c>
      <c r="B33" s="2">
        <v>45211</v>
      </c>
      <c r="C33" s="3">
        <v>0.22430555555555556</v>
      </c>
      <c r="D33" s="1" t="s">
        <v>836</v>
      </c>
      <c r="E33">
        <v>37</v>
      </c>
      <c r="F33" s="1" t="s">
        <v>806</v>
      </c>
      <c r="G33" t="str">
        <f>_xlfn.XLOOKUP(Logs__2[[#This Row],[Cell_ID]],'Registre_Maintenance'!B:B,'Registre_Maintenance'!C:C,"Pas de correspondance")</f>
        <v>Pas de correspondance</v>
      </c>
      <c r="H33" t="str">
        <f>_xlfn.XLOOKUP(Logs__2[[#This Row],[Cell_ID]],'Registre_Maintenance'!B:B,'Registre_Maintenance'!D:D,"Pas de correspondance")</f>
        <v>Pas de correspondance</v>
      </c>
      <c r="I33" t="str">
        <f>_xlfn.XLOOKUP(Logs__2[[#This Row],[Cell_ID]],'Registre_Maintenance'!B:B,'Registre_Maintenance'!E:E,"Pas de correspondance")</f>
        <v>Pas de correspondance</v>
      </c>
      <c r="J33" t="str">
        <f>_xlfn.XLOOKUP(Logs__2[[#This Row],[Cell_ID]],'Registre_Maintenance'!B:B,'Registre_Maintenance'!F:F,"Pas de correspondance")</f>
        <v>Pas de correspondance</v>
      </c>
      <c r="K33" t="str">
        <f>_xlfn.XLOOKUP(Logs__2[[#This Row],[Cell_ID]],'Registre_Maintenance'!B:B,'Registre_Maintenance'!G:G,"Pas de correspondance")</f>
        <v>Pas de correspondance</v>
      </c>
    </row>
    <row r="34" spans="1:11" x14ac:dyDescent="0.25">
      <c r="A34" s="1" t="s">
        <v>804</v>
      </c>
      <c r="B34" s="2">
        <v>45211</v>
      </c>
      <c r="C34" s="3">
        <v>0.27916666666666667</v>
      </c>
      <c r="D34" s="1" t="s">
        <v>837</v>
      </c>
      <c r="E34">
        <v>75</v>
      </c>
      <c r="F34" s="1" t="s">
        <v>806</v>
      </c>
      <c r="G34" t="str">
        <f>_xlfn.XLOOKUP(Logs__2[[#This Row],[Cell_ID]],'Registre_Maintenance'!B:B,'Registre_Maintenance'!C:C,"Pas de correspondance")</f>
        <v>Nord-Ubangi</v>
      </c>
      <c r="H34">
        <f>_xlfn.XLOOKUP(Logs__2[[#This Row],[Cell_ID]],'Registre_Maintenance'!B:B,'Registre_Maintenance'!D:D,"Pas de correspondance")</f>
        <v>-8.1437910000000002</v>
      </c>
      <c r="I34">
        <f>_xlfn.XLOOKUP(Logs__2[[#This Row],[Cell_ID]],'Registre_Maintenance'!B:B,'Registre_Maintenance'!E:E,"Pas de correspondance")</f>
        <v>28.946161</v>
      </c>
      <c r="J34" t="str">
        <f>_xlfn.XLOOKUP(Logs__2[[#This Row],[Cell_ID]],'Registre_Maintenance'!B:B,'Registre_Maintenance'!F:F,"Pas de correspondance")</f>
        <v>4G</v>
      </c>
      <c r="K34" t="str">
        <f>_xlfn.XLOOKUP(Logs__2[[#This Row],[Cell_ID]],'Registre_Maintenance'!B:B,'Registre_Maintenance'!G:G,"Pas de correspondance")</f>
        <v>ZTE</v>
      </c>
    </row>
    <row r="35" spans="1:11" x14ac:dyDescent="0.25">
      <c r="A35" s="1" t="s">
        <v>804</v>
      </c>
      <c r="B35" s="2">
        <v>45208</v>
      </c>
      <c r="C35" s="3">
        <v>0.95763888888888893</v>
      </c>
      <c r="D35" s="1" t="s">
        <v>838</v>
      </c>
      <c r="E35">
        <v>115</v>
      </c>
      <c r="F35" s="1" t="s">
        <v>806</v>
      </c>
      <c r="G35" t="str">
        <f>_xlfn.XLOOKUP(Logs__2[[#This Row],[Cell_ID]],'Registre_Maintenance'!B:B,'Registre_Maintenance'!C:C,"Pas de correspondance")</f>
        <v>Tshopo</v>
      </c>
      <c r="H35">
        <f>_xlfn.XLOOKUP(Logs__2[[#This Row],[Cell_ID]],'Registre_Maintenance'!B:B,'Registre_Maintenance'!D:D,"Pas de correspondance")</f>
        <v>-6.1837850000000003</v>
      </c>
      <c r="I35">
        <f>_xlfn.XLOOKUP(Logs__2[[#This Row],[Cell_ID]],'Registre_Maintenance'!B:B,'Registre_Maintenance'!E:E,"Pas de correspondance")</f>
        <v>25.138759</v>
      </c>
      <c r="J35" t="str">
        <f>_xlfn.XLOOKUP(Logs__2[[#This Row],[Cell_ID]],'Registre_Maintenance'!B:B,'Registre_Maintenance'!F:F,"Pas de correspondance")</f>
        <v>3G</v>
      </c>
      <c r="K35" t="str">
        <f>_xlfn.XLOOKUP(Logs__2[[#This Row],[Cell_ID]],'Registre_Maintenance'!B:B,'Registre_Maintenance'!G:G,"Pas de correspondance")</f>
        <v>Ericsson</v>
      </c>
    </row>
    <row r="36" spans="1:11" x14ac:dyDescent="0.25">
      <c r="A36" s="1" t="s">
        <v>804</v>
      </c>
      <c r="B36" s="2">
        <v>45221</v>
      </c>
      <c r="C36" s="3">
        <v>0.83611111111111114</v>
      </c>
      <c r="D36" s="1" t="s">
        <v>839</v>
      </c>
      <c r="E36">
        <v>6</v>
      </c>
      <c r="F36" s="1" t="s">
        <v>811</v>
      </c>
      <c r="G36" t="str">
        <f>_xlfn.XLOOKUP(Logs__2[[#This Row],[Cell_ID]],'Registre_Maintenance'!B:B,'Registre_Maintenance'!C:C,"Pas de correspondance")</f>
        <v>Kasaï</v>
      </c>
      <c r="H36">
        <f>_xlfn.XLOOKUP(Logs__2[[#This Row],[Cell_ID]],'Registre_Maintenance'!B:B,'Registre_Maintenance'!D:D,"Pas de correspondance")</f>
        <v>-4.9789079999999997</v>
      </c>
      <c r="I36">
        <f>_xlfn.XLOOKUP(Logs__2[[#This Row],[Cell_ID]],'Registre_Maintenance'!B:B,'Registre_Maintenance'!E:E,"Pas de correspondance")</f>
        <v>28.506295000000001</v>
      </c>
      <c r="J36" t="str">
        <f>_xlfn.XLOOKUP(Logs__2[[#This Row],[Cell_ID]],'Registre_Maintenance'!B:B,'Registre_Maintenance'!F:F,"Pas de correspondance")</f>
        <v>4G</v>
      </c>
      <c r="K36" t="str">
        <f>_xlfn.XLOOKUP(Logs__2[[#This Row],[Cell_ID]],'Registre_Maintenance'!B:B,'Registre_Maintenance'!G:G,"Pas de correspondance")</f>
        <v>Huawei</v>
      </c>
    </row>
    <row r="37" spans="1:11" hidden="1" x14ac:dyDescent="0.25">
      <c r="A37" s="1" t="s">
        <v>804</v>
      </c>
      <c r="B37" s="2">
        <v>45219</v>
      </c>
      <c r="C37" s="3">
        <v>0.84027777777777779</v>
      </c>
      <c r="D37" s="1" t="s">
        <v>840</v>
      </c>
      <c r="E37">
        <v>92</v>
      </c>
      <c r="F37" s="1" t="s">
        <v>806</v>
      </c>
      <c r="G37" t="str">
        <f>_xlfn.XLOOKUP(Logs__2[[#This Row],[Cell_ID]],'Registre_Maintenance'!B:B,'Registre_Maintenance'!C:C,"Pas de correspondance")</f>
        <v>Pas de correspondance</v>
      </c>
      <c r="H37" t="str">
        <f>_xlfn.XLOOKUP(Logs__2[[#This Row],[Cell_ID]],'Registre_Maintenance'!B:B,'Registre_Maintenance'!D:D,"Pas de correspondance")</f>
        <v>Pas de correspondance</v>
      </c>
      <c r="I37" t="str">
        <f>_xlfn.XLOOKUP(Logs__2[[#This Row],[Cell_ID]],'Registre_Maintenance'!B:B,'Registre_Maintenance'!E:E,"Pas de correspondance")</f>
        <v>Pas de correspondance</v>
      </c>
      <c r="J37" t="str">
        <f>_xlfn.XLOOKUP(Logs__2[[#This Row],[Cell_ID]],'Registre_Maintenance'!B:B,'Registre_Maintenance'!F:F,"Pas de correspondance")</f>
        <v>Pas de correspondance</v>
      </c>
      <c r="K37" t="str">
        <f>_xlfn.XLOOKUP(Logs__2[[#This Row],[Cell_ID]],'Registre_Maintenance'!B:B,'Registre_Maintenance'!G:G,"Pas de correspondance")</f>
        <v>Pas de correspondance</v>
      </c>
    </row>
    <row r="38" spans="1:11" x14ac:dyDescent="0.25">
      <c r="A38" s="1" t="s">
        <v>804</v>
      </c>
      <c r="B38" s="2">
        <v>45217</v>
      </c>
      <c r="C38" s="3">
        <v>0.96875</v>
      </c>
      <c r="D38" s="1" t="s">
        <v>841</v>
      </c>
      <c r="E38">
        <v>97</v>
      </c>
      <c r="F38" s="1" t="s">
        <v>809</v>
      </c>
      <c r="G38" t="str">
        <f>_xlfn.XLOOKUP(Logs__2[[#This Row],[Cell_ID]],'Registre_Maintenance'!B:B,'Registre_Maintenance'!C:C,"Pas de correspondance")</f>
        <v>Kasaï</v>
      </c>
      <c r="H38">
        <f>_xlfn.XLOOKUP(Logs__2[[#This Row],[Cell_ID]],'Registre_Maintenance'!B:B,'Registre_Maintenance'!D:D,"Pas de correspondance")</f>
        <v>-10.059846</v>
      </c>
      <c r="I38">
        <f>_xlfn.XLOOKUP(Logs__2[[#This Row],[Cell_ID]],'Registre_Maintenance'!B:B,'Registre_Maintenance'!E:E,"Pas de correspondance")</f>
        <v>14.375757999999999</v>
      </c>
      <c r="J38" t="str">
        <f>_xlfn.XLOOKUP(Logs__2[[#This Row],[Cell_ID]],'Registre_Maintenance'!B:B,'Registre_Maintenance'!F:F,"Pas de correspondance")</f>
        <v>4G</v>
      </c>
      <c r="K38" t="str">
        <f>_xlfn.XLOOKUP(Logs__2[[#This Row],[Cell_ID]],'Registre_Maintenance'!B:B,'Registre_Maintenance'!G:G,"Pas de correspondance")</f>
        <v>Huawei</v>
      </c>
    </row>
    <row r="39" spans="1:11" hidden="1" x14ac:dyDescent="0.25">
      <c r="A39" s="1" t="s">
        <v>804</v>
      </c>
      <c r="B39" s="2">
        <v>45205</v>
      </c>
      <c r="C39" s="3">
        <v>0.6</v>
      </c>
      <c r="D39" s="1" t="s">
        <v>842</v>
      </c>
      <c r="E39">
        <v>19</v>
      </c>
      <c r="F39" s="1" t="s">
        <v>809</v>
      </c>
      <c r="G39" t="str">
        <f>_xlfn.XLOOKUP(Logs__2[[#This Row],[Cell_ID]],'Registre_Maintenance'!B:B,'Registre_Maintenance'!C:C,"Pas de correspondance")</f>
        <v>Pas de correspondance</v>
      </c>
      <c r="H39" t="str">
        <f>_xlfn.XLOOKUP(Logs__2[[#This Row],[Cell_ID]],'Registre_Maintenance'!B:B,'Registre_Maintenance'!D:D,"Pas de correspondance")</f>
        <v>Pas de correspondance</v>
      </c>
      <c r="I39" t="str">
        <f>_xlfn.XLOOKUP(Logs__2[[#This Row],[Cell_ID]],'Registre_Maintenance'!B:B,'Registre_Maintenance'!E:E,"Pas de correspondance")</f>
        <v>Pas de correspondance</v>
      </c>
      <c r="J39" t="str">
        <f>_xlfn.XLOOKUP(Logs__2[[#This Row],[Cell_ID]],'Registre_Maintenance'!B:B,'Registre_Maintenance'!F:F,"Pas de correspondance")</f>
        <v>Pas de correspondance</v>
      </c>
      <c r="K39" t="str">
        <f>_xlfn.XLOOKUP(Logs__2[[#This Row],[Cell_ID]],'Registre_Maintenance'!B:B,'Registre_Maintenance'!G:G,"Pas de correspondance")</f>
        <v>Pas de correspondance</v>
      </c>
    </row>
    <row r="40" spans="1:11" hidden="1" x14ac:dyDescent="0.25">
      <c r="A40" s="1" t="s">
        <v>804</v>
      </c>
      <c r="B40" s="2">
        <v>45208</v>
      </c>
      <c r="C40" s="3">
        <v>0.86388888888888893</v>
      </c>
      <c r="D40" s="1" t="s">
        <v>843</v>
      </c>
      <c r="E40">
        <v>92</v>
      </c>
      <c r="F40" s="1" t="s">
        <v>806</v>
      </c>
      <c r="G40" t="str">
        <f>_xlfn.XLOOKUP(Logs__2[[#This Row],[Cell_ID]],'Registre_Maintenance'!B:B,'Registre_Maintenance'!C:C,"Pas de correspondance")</f>
        <v>Pas de correspondance</v>
      </c>
      <c r="H40" t="str">
        <f>_xlfn.XLOOKUP(Logs__2[[#This Row],[Cell_ID]],'Registre_Maintenance'!B:B,'Registre_Maintenance'!D:D,"Pas de correspondance")</f>
        <v>Pas de correspondance</v>
      </c>
      <c r="I40" t="str">
        <f>_xlfn.XLOOKUP(Logs__2[[#This Row],[Cell_ID]],'Registre_Maintenance'!B:B,'Registre_Maintenance'!E:E,"Pas de correspondance")</f>
        <v>Pas de correspondance</v>
      </c>
      <c r="J40" t="str">
        <f>_xlfn.XLOOKUP(Logs__2[[#This Row],[Cell_ID]],'Registre_Maintenance'!B:B,'Registre_Maintenance'!F:F,"Pas de correspondance")</f>
        <v>Pas de correspondance</v>
      </c>
      <c r="K40" t="str">
        <f>_xlfn.XLOOKUP(Logs__2[[#This Row],[Cell_ID]],'Registre_Maintenance'!B:B,'Registre_Maintenance'!G:G,"Pas de correspondance")</f>
        <v>Pas de correspondance</v>
      </c>
    </row>
    <row r="41" spans="1:11" hidden="1" x14ac:dyDescent="0.25">
      <c r="A41" s="1" t="s">
        <v>804</v>
      </c>
      <c r="B41" s="2">
        <v>45217</v>
      </c>
      <c r="C41" s="3">
        <v>0.3215277777777778</v>
      </c>
      <c r="D41" s="1" t="s">
        <v>844</v>
      </c>
      <c r="E41">
        <v>118</v>
      </c>
      <c r="F41" s="1" t="s">
        <v>809</v>
      </c>
      <c r="G41" t="str">
        <f>_xlfn.XLOOKUP(Logs__2[[#This Row],[Cell_ID]],'Registre_Maintenance'!B:B,'Registre_Maintenance'!C:C,"Pas de correspondance")</f>
        <v>Pas de correspondance</v>
      </c>
      <c r="H41" t="str">
        <f>_xlfn.XLOOKUP(Logs__2[[#This Row],[Cell_ID]],'Registre_Maintenance'!B:B,'Registre_Maintenance'!D:D,"Pas de correspondance")</f>
        <v>Pas de correspondance</v>
      </c>
      <c r="I41" t="str">
        <f>_xlfn.XLOOKUP(Logs__2[[#This Row],[Cell_ID]],'Registre_Maintenance'!B:B,'Registre_Maintenance'!E:E,"Pas de correspondance")</f>
        <v>Pas de correspondance</v>
      </c>
      <c r="J41" t="str">
        <f>_xlfn.XLOOKUP(Logs__2[[#This Row],[Cell_ID]],'Registre_Maintenance'!B:B,'Registre_Maintenance'!F:F,"Pas de correspondance")</f>
        <v>Pas de correspondance</v>
      </c>
      <c r="K41" t="str">
        <f>_xlfn.XLOOKUP(Logs__2[[#This Row],[Cell_ID]],'Registre_Maintenance'!B:B,'Registre_Maintenance'!G:G,"Pas de correspondance")</f>
        <v>Pas de correspondance</v>
      </c>
    </row>
    <row r="42" spans="1:11" x14ac:dyDescent="0.25">
      <c r="A42" s="1" t="s">
        <v>804</v>
      </c>
      <c r="B42" s="2">
        <v>45210</v>
      </c>
      <c r="C42" s="3">
        <v>5.1388888888888887E-2</v>
      </c>
      <c r="D42" s="1" t="s">
        <v>845</v>
      </c>
      <c r="E42">
        <v>73</v>
      </c>
      <c r="F42" s="1" t="s">
        <v>806</v>
      </c>
      <c r="G42" t="str">
        <f>_xlfn.XLOOKUP(Logs__2[[#This Row],[Cell_ID]],'Registre_Maintenance'!B:B,'Registre_Maintenance'!C:C,"Pas de correspondance")</f>
        <v>Tanganyika</v>
      </c>
      <c r="H42">
        <f>_xlfn.XLOOKUP(Logs__2[[#This Row],[Cell_ID]],'Registre_Maintenance'!B:B,'Registre_Maintenance'!D:D,"Pas de correspondance")</f>
        <v>-10.776204</v>
      </c>
      <c r="I42">
        <f>_xlfn.XLOOKUP(Logs__2[[#This Row],[Cell_ID]],'Registre_Maintenance'!B:B,'Registre_Maintenance'!E:E,"Pas de correspondance")</f>
        <v>24.672934000000001</v>
      </c>
      <c r="J42" t="str">
        <f>_xlfn.XLOOKUP(Logs__2[[#This Row],[Cell_ID]],'Registre_Maintenance'!B:B,'Registre_Maintenance'!F:F,"Pas de correspondance")</f>
        <v>4G</v>
      </c>
      <c r="K42" t="str">
        <f>_xlfn.XLOOKUP(Logs__2[[#This Row],[Cell_ID]],'Registre_Maintenance'!B:B,'Registre_Maintenance'!G:G,"Pas de correspondance")</f>
        <v>Ericsson</v>
      </c>
    </row>
    <row r="43" spans="1:11" x14ac:dyDescent="0.25">
      <c r="A43" s="1" t="s">
        <v>804</v>
      </c>
      <c r="B43" s="2">
        <v>45226</v>
      </c>
      <c r="C43" s="3">
        <v>7.7083333333333337E-2</v>
      </c>
      <c r="D43" s="1" t="s">
        <v>846</v>
      </c>
      <c r="E43">
        <v>101</v>
      </c>
      <c r="F43" s="1" t="s">
        <v>806</v>
      </c>
      <c r="G43" t="str">
        <f>_xlfn.XLOOKUP(Logs__2[[#This Row],[Cell_ID]],'Registre_Maintenance'!B:B,'Registre_Maintenance'!C:C,"Pas de correspondance")</f>
        <v>Sud-Kivu</v>
      </c>
      <c r="H43">
        <f>_xlfn.XLOOKUP(Logs__2[[#This Row],[Cell_ID]],'Registre_Maintenance'!B:B,'Registre_Maintenance'!D:D,"Pas de correspondance")</f>
        <v>4.2493650000000001</v>
      </c>
      <c r="I43">
        <f>_xlfn.XLOOKUP(Logs__2[[#This Row],[Cell_ID]],'Registre_Maintenance'!B:B,'Registre_Maintenance'!E:E,"Pas de correspondance")</f>
        <v>28.355039999999999</v>
      </c>
      <c r="J43" t="str">
        <f>_xlfn.XLOOKUP(Logs__2[[#This Row],[Cell_ID]],'Registre_Maintenance'!B:B,'Registre_Maintenance'!F:F,"Pas de correspondance")</f>
        <v>3G</v>
      </c>
      <c r="K43" t="str">
        <f>_xlfn.XLOOKUP(Logs__2[[#This Row],[Cell_ID]],'Registre_Maintenance'!B:B,'Registre_Maintenance'!G:G,"Pas de correspondance")</f>
        <v>ZTE</v>
      </c>
    </row>
    <row r="44" spans="1:11" x14ac:dyDescent="0.25">
      <c r="A44" s="1" t="s">
        <v>804</v>
      </c>
      <c r="B44" s="2">
        <v>45202</v>
      </c>
      <c r="C44" s="3">
        <v>0.2902777777777778</v>
      </c>
      <c r="D44" s="1" t="s">
        <v>847</v>
      </c>
      <c r="E44">
        <v>103</v>
      </c>
      <c r="F44" s="1" t="s">
        <v>809</v>
      </c>
      <c r="G44" t="str">
        <f>_xlfn.XLOOKUP(Logs__2[[#This Row],[Cell_ID]],'Registre_Maintenance'!B:B,'Registre_Maintenance'!C:C,"Pas de correspondance")</f>
        <v>Equateur</v>
      </c>
      <c r="H44">
        <f>_xlfn.XLOOKUP(Logs__2[[#This Row],[Cell_ID]],'Registre_Maintenance'!B:B,'Registre_Maintenance'!D:D,"Pas de correspondance")</f>
        <v>4.9250049999999996</v>
      </c>
      <c r="I44">
        <f>_xlfn.XLOOKUP(Logs__2[[#This Row],[Cell_ID]],'Registre_Maintenance'!B:B,'Registre_Maintenance'!E:E,"Pas de correspondance")</f>
        <v>19.887931999999999</v>
      </c>
      <c r="J44" t="str">
        <f>_xlfn.XLOOKUP(Logs__2[[#This Row],[Cell_ID]],'Registre_Maintenance'!B:B,'Registre_Maintenance'!F:F,"Pas de correspondance")</f>
        <v>4G</v>
      </c>
      <c r="K44" t="str">
        <f>_xlfn.XLOOKUP(Logs__2[[#This Row],[Cell_ID]],'Registre_Maintenance'!B:B,'Registre_Maintenance'!G:G,"Pas de correspondance")</f>
        <v>Huawei</v>
      </c>
    </row>
    <row r="45" spans="1:11" hidden="1" x14ac:dyDescent="0.25">
      <c r="A45" s="1" t="s">
        <v>804</v>
      </c>
      <c r="B45" s="2">
        <v>45230</v>
      </c>
      <c r="C45" s="3">
        <v>0.78888888888888886</v>
      </c>
      <c r="D45" s="1" t="s">
        <v>848</v>
      </c>
      <c r="E45">
        <v>87</v>
      </c>
      <c r="F45" s="1" t="s">
        <v>809</v>
      </c>
      <c r="G45" t="str">
        <f>_xlfn.XLOOKUP(Logs__2[[#This Row],[Cell_ID]],'Registre_Maintenance'!B:B,'Registre_Maintenance'!C:C,"Pas de correspondance")</f>
        <v>Pas de correspondance</v>
      </c>
      <c r="H45" t="str">
        <f>_xlfn.XLOOKUP(Logs__2[[#This Row],[Cell_ID]],'Registre_Maintenance'!B:B,'Registre_Maintenance'!D:D,"Pas de correspondance")</f>
        <v>Pas de correspondance</v>
      </c>
      <c r="I45" t="str">
        <f>_xlfn.XLOOKUP(Logs__2[[#This Row],[Cell_ID]],'Registre_Maintenance'!B:B,'Registre_Maintenance'!E:E,"Pas de correspondance")</f>
        <v>Pas de correspondance</v>
      </c>
      <c r="J45" t="str">
        <f>_xlfn.XLOOKUP(Logs__2[[#This Row],[Cell_ID]],'Registre_Maintenance'!B:B,'Registre_Maintenance'!F:F,"Pas de correspondance")</f>
        <v>Pas de correspondance</v>
      </c>
      <c r="K45" t="str">
        <f>_xlfn.XLOOKUP(Logs__2[[#This Row],[Cell_ID]],'Registre_Maintenance'!B:B,'Registre_Maintenance'!G:G,"Pas de correspondance")</f>
        <v>Pas de correspondance</v>
      </c>
    </row>
    <row r="46" spans="1:11" hidden="1" x14ac:dyDescent="0.25">
      <c r="A46" s="1" t="s">
        <v>804</v>
      </c>
      <c r="B46" s="2">
        <v>45222</v>
      </c>
      <c r="C46" s="3">
        <v>0.42569444444444443</v>
      </c>
      <c r="D46" s="1" t="s">
        <v>849</v>
      </c>
      <c r="E46">
        <v>48</v>
      </c>
      <c r="F46" s="1" t="s">
        <v>806</v>
      </c>
      <c r="G46" t="str">
        <f>_xlfn.XLOOKUP(Logs__2[[#This Row],[Cell_ID]],'Registre_Maintenance'!B:B,'Registre_Maintenance'!C:C,"Pas de correspondance")</f>
        <v>Pas de correspondance</v>
      </c>
      <c r="H46" t="str">
        <f>_xlfn.XLOOKUP(Logs__2[[#This Row],[Cell_ID]],'Registre_Maintenance'!B:B,'Registre_Maintenance'!D:D,"Pas de correspondance")</f>
        <v>Pas de correspondance</v>
      </c>
      <c r="I46" t="str">
        <f>_xlfn.XLOOKUP(Logs__2[[#This Row],[Cell_ID]],'Registre_Maintenance'!B:B,'Registre_Maintenance'!E:E,"Pas de correspondance")</f>
        <v>Pas de correspondance</v>
      </c>
      <c r="J46" t="str">
        <f>_xlfn.XLOOKUP(Logs__2[[#This Row],[Cell_ID]],'Registre_Maintenance'!B:B,'Registre_Maintenance'!F:F,"Pas de correspondance")</f>
        <v>Pas de correspondance</v>
      </c>
      <c r="K46" t="str">
        <f>_xlfn.XLOOKUP(Logs__2[[#This Row],[Cell_ID]],'Registre_Maintenance'!B:B,'Registre_Maintenance'!G:G,"Pas de correspondance")</f>
        <v>Pas de correspondance</v>
      </c>
    </row>
    <row r="47" spans="1:11" hidden="1" x14ac:dyDescent="0.25">
      <c r="A47" s="1" t="s">
        <v>804</v>
      </c>
      <c r="B47" s="2">
        <v>45220</v>
      </c>
      <c r="C47" s="3">
        <v>0.64236111111111116</v>
      </c>
      <c r="D47" s="1" t="s">
        <v>850</v>
      </c>
      <c r="E47">
        <v>19</v>
      </c>
      <c r="F47" s="1" t="s">
        <v>806</v>
      </c>
      <c r="G47" t="str">
        <f>_xlfn.XLOOKUP(Logs__2[[#This Row],[Cell_ID]],'Registre_Maintenance'!B:B,'Registre_Maintenance'!C:C,"Pas de correspondance")</f>
        <v>Pas de correspondance</v>
      </c>
      <c r="H47" t="str">
        <f>_xlfn.XLOOKUP(Logs__2[[#This Row],[Cell_ID]],'Registre_Maintenance'!B:B,'Registre_Maintenance'!D:D,"Pas de correspondance")</f>
        <v>Pas de correspondance</v>
      </c>
      <c r="I47" t="str">
        <f>_xlfn.XLOOKUP(Logs__2[[#This Row],[Cell_ID]],'Registre_Maintenance'!B:B,'Registre_Maintenance'!E:E,"Pas de correspondance")</f>
        <v>Pas de correspondance</v>
      </c>
      <c r="J47" t="str">
        <f>_xlfn.XLOOKUP(Logs__2[[#This Row],[Cell_ID]],'Registre_Maintenance'!B:B,'Registre_Maintenance'!F:F,"Pas de correspondance")</f>
        <v>Pas de correspondance</v>
      </c>
      <c r="K47" t="str">
        <f>_xlfn.XLOOKUP(Logs__2[[#This Row],[Cell_ID]],'Registre_Maintenance'!B:B,'Registre_Maintenance'!G:G,"Pas de correspondance")</f>
        <v>Pas de correspondance</v>
      </c>
    </row>
    <row r="48" spans="1:11" x14ac:dyDescent="0.25">
      <c r="A48" s="1" t="s">
        <v>804</v>
      </c>
      <c r="B48" s="2">
        <v>45228</v>
      </c>
      <c r="C48" s="3">
        <v>0.85347222222222219</v>
      </c>
      <c r="D48" s="1" t="s">
        <v>845</v>
      </c>
      <c r="E48">
        <v>42</v>
      </c>
      <c r="F48" s="1" t="s">
        <v>806</v>
      </c>
      <c r="G48" t="str">
        <f>_xlfn.XLOOKUP(Logs__2[[#This Row],[Cell_ID]],'Registre_Maintenance'!B:B,'Registre_Maintenance'!C:C,"Pas de correspondance")</f>
        <v>Tanganyika</v>
      </c>
      <c r="H48">
        <f>_xlfn.XLOOKUP(Logs__2[[#This Row],[Cell_ID]],'Registre_Maintenance'!B:B,'Registre_Maintenance'!D:D,"Pas de correspondance")</f>
        <v>-10.776204</v>
      </c>
      <c r="I48">
        <f>_xlfn.XLOOKUP(Logs__2[[#This Row],[Cell_ID]],'Registre_Maintenance'!B:B,'Registre_Maintenance'!E:E,"Pas de correspondance")</f>
        <v>24.672934000000001</v>
      </c>
      <c r="J48" t="str">
        <f>_xlfn.XLOOKUP(Logs__2[[#This Row],[Cell_ID]],'Registre_Maintenance'!B:B,'Registre_Maintenance'!F:F,"Pas de correspondance")</f>
        <v>4G</v>
      </c>
      <c r="K48" t="str">
        <f>_xlfn.XLOOKUP(Logs__2[[#This Row],[Cell_ID]],'Registre_Maintenance'!B:B,'Registre_Maintenance'!G:G,"Pas de correspondance")</f>
        <v>Ericsson</v>
      </c>
    </row>
    <row r="49" spans="1:11" hidden="1" x14ac:dyDescent="0.25">
      <c r="A49" s="1" t="s">
        <v>804</v>
      </c>
      <c r="B49" s="2">
        <v>45204</v>
      </c>
      <c r="C49" s="3">
        <v>0.33888888888888891</v>
      </c>
      <c r="D49" s="1" t="s">
        <v>851</v>
      </c>
      <c r="E49">
        <v>60</v>
      </c>
      <c r="F49" s="1" t="s">
        <v>806</v>
      </c>
      <c r="G49" t="str">
        <f>_xlfn.XLOOKUP(Logs__2[[#This Row],[Cell_ID]],'Registre_Maintenance'!B:B,'Registre_Maintenance'!C:C,"Pas de correspondance")</f>
        <v>Pas de correspondance</v>
      </c>
      <c r="H49" t="str">
        <f>_xlfn.XLOOKUP(Logs__2[[#This Row],[Cell_ID]],'Registre_Maintenance'!B:B,'Registre_Maintenance'!D:D,"Pas de correspondance")</f>
        <v>Pas de correspondance</v>
      </c>
      <c r="I49" t="str">
        <f>_xlfn.XLOOKUP(Logs__2[[#This Row],[Cell_ID]],'Registre_Maintenance'!B:B,'Registre_Maintenance'!E:E,"Pas de correspondance")</f>
        <v>Pas de correspondance</v>
      </c>
      <c r="J49" t="str">
        <f>_xlfn.XLOOKUP(Logs__2[[#This Row],[Cell_ID]],'Registre_Maintenance'!B:B,'Registre_Maintenance'!F:F,"Pas de correspondance")</f>
        <v>Pas de correspondance</v>
      </c>
      <c r="K49" t="str">
        <f>_xlfn.XLOOKUP(Logs__2[[#This Row],[Cell_ID]],'Registre_Maintenance'!B:B,'Registre_Maintenance'!G:G,"Pas de correspondance")</f>
        <v>Pas de correspondance</v>
      </c>
    </row>
    <row r="50" spans="1:11" x14ac:dyDescent="0.25">
      <c r="A50" s="1" t="s">
        <v>804</v>
      </c>
      <c r="B50" s="2">
        <v>45207</v>
      </c>
      <c r="C50" s="3">
        <v>0.98263888888888884</v>
      </c>
      <c r="D50" s="1" t="s">
        <v>852</v>
      </c>
      <c r="E50">
        <v>25</v>
      </c>
      <c r="F50" s="1" t="s">
        <v>811</v>
      </c>
      <c r="G50" t="str">
        <f>_xlfn.XLOOKUP(Logs__2[[#This Row],[Cell_ID]],'Registre_Maintenance'!B:B,'Registre_Maintenance'!C:C,"Pas de correspondance")</f>
        <v>Nord-Kivu</v>
      </c>
      <c r="H50">
        <f>_xlfn.XLOOKUP(Logs__2[[#This Row],[Cell_ID]],'Registre_Maintenance'!B:B,'Registre_Maintenance'!D:D,"Pas de correspondance")</f>
        <v>-11.866133</v>
      </c>
      <c r="I50">
        <f>_xlfn.XLOOKUP(Logs__2[[#This Row],[Cell_ID]],'Registre_Maintenance'!B:B,'Registre_Maintenance'!E:E,"Pas de correspondance")</f>
        <v>27.068932</v>
      </c>
      <c r="J50" t="str">
        <f>_xlfn.XLOOKUP(Logs__2[[#This Row],[Cell_ID]],'Registre_Maintenance'!B:B,'Registre_Maintenance'!F:F,"Pas de correspondance")</f>
        <v>3G</v>
      </c>
      <c r="K50" t="str">
        <f>_xlfn.XLOOKUP(Logs__2[[#This Row],[Cell_ID]],'Registre_Maintenance'!B:B,'Registre_Maintenance'!G:G,"Pas de correspondance")</f>
        <v>Huawei</v>
      </c>
    </row>
    <row r="51" spans="1:11" hidden="1" x14ac:dyDescent="0.25">
      <c r="A51" s="1" t="s">
        <v>804</v>
      </c>
      <c r="B51" s="2">
        <v>45225</v>
      </c>
      <c r="C51" s="3">
        <v>0.2388888888888889</v>
      </c>
      <c r="D51" s="1" t="s">
        <v>821</v>
      </c>
      <c r="E51">
        <v>16</v>
      </c>
      <c r="F51" s="1" t="s">
        <v>809</v>
      </c>
      <c r="G51" t="str">
        <f>_xlfn.XLOOKUP(Logs__2[[#This Row],[Cell_ID]],'Registre_Maintenance'!B:B,'Registre_Maintenance'!C:C,"Pas de correspondance")</f>
        <v>Pas de correspondance</v>
      </c>
      <c r="H51" t="str">
        <f>_xlfn.XLOOKUP(Logs__2[[#This Row],[Cell_ID]],'Registre_Maintenance'!B:B,'Registre_Maintenance'!D:D,"Pas de correspondance")</f>
        <v>Pas de correspondance</v>
      </c>
      <c r="I51" t="str">
        <f>_xlfn.XLOOKUP(Logs__2[[#This Row],[Cell_ID]],'Registre_Maintenance'!B:B,'Registre_Maintenance'!E:E,"Pas de correspondance")</f>
        <v>Pas de correspondance</v>
      </c>
      <c r="J51" t="str">
        <f>_xlfn.XLOOKUP(Logs__2[[#This Row],[Cell_ID]],'Registre_Maintenance'!B:B,'Registre_Maintenance'!F:F,"Pas de correspondance")</f>
        <v>Pas de correspondance</v>
      </c>
      <c r="K51" t="str">
        <f>_xlfn.XLOOKUP(Logs__2[[#This Row],[Cell_ID]],'Registre_Maintenance'!B:B,'Registre_Maintenance'!G:G,"Pas de correspondance")</f>
        <v>Pas de correspondance</v>
      </c>
    </row>
    <row r="52" spans="1:11" hidden="1" x14ac:dyDescent="0.25">
      <c r="A52" s="1" t="s">
        <v>853</v>
      </c>
      <c r="B52" s="2">
        <v>45218</v>
      </c>
      <c r="C52" s="3">
        <v>0.63541666666666663</v>
      </c>
      <c r="D52" s="1" t="s">
        <v>854</v>
      </c>
      <c r="E52">
        <v>17</v>
      </c>
      <c r="F52" s="1" t="s">
        <v>811</v>
      </c>
      <c r="G52" t="str">
        <f>_xlfn.XLOOKUP(Logs__2[[#This Row],[Cell_ID]],'Registre_Maintenance'!B:B,'Registre_Maintenance'!C:C,"Pas de correspondance")</f>
        <v>Pas de correspondance</v>
      </c>
      <c r="H52" t="str">
        <f>_xlfn.XLOOKUP(Logs__2[[#This Row],[Cell_ID]],'Registre_Maintenance'!B:B,'Registre_Maintenance'!D:D,"Pas de correspondance")</f>
        <v>Pas de correspondance</v>
      </c>
      <c r="I52" t="str">
        <f>_xlfn.XLOOKUP(Logs__2[[#This Row],[Cell_ID]],'Registre_Maintenance'!B:B,'Registre_Maintenance'!E:E,"Pas de correspondance")</f>
        <v>Pas de correspondance</v>
      </c>
      <c r="J52" t="str">
        <f>_xlfn.XLOOKUP(Logs__2[[#This Row],[Cell_ID]],'Registre_Maintenance'!B:B,'Registre_Maintenance'!F:F,"Pas de correspondance")</f>
        <v>Pas de correspondance</v>
      </c>
      <c r="K52" t="str">
        <f>_xlfn.XLOOKUP(Logs__2[[#This Row],[Cell_ID]],'Registre_Maintenance'!B:B,'Registre_Maintenance'!G:G,"Pas de correspondance")</f>
        <v>Pas de correspondance</v>
      </c>
    </row>
    <row r="53" spans="1:11" hidden="1" x14ac:dyDescent="0.25">
      <c r="A53" s="1" t="s">
        <v>853</v>
      </c>
      <c r="B53" s="2">
        <v>45225</v>
      </c>
      <c r="C53" s="3">
        <v>0.66041666666666665</v>
      </c>
      <c r="D53" s="1" t="s">
        <v>855</v>
      </c>
      <c r="E53">
        <v>14</v>
      </c>
      <c r="F53" s="1" t="s">
        <v>806</v>
      </c>
      <c r="G53" t="str">
        <f>_xlfn.XLOOKUP(Logs__2[[#This Row],[Cell_ID]],'Registre_Maintenance'!B:B,'Registre_Maintenance'!C:C,"Pas de correspondance")</f>
        <v>Pas de correspondance</v>
      </c>
      <c r="H53" t="str">
        <f>_xlfn.XLOOKUP(Logs__2[[#This Row],[Cell_ID]],'Registre_Maintenance'!B:B,'Registre_Maintenance'!D:D,"Pas de correspondance")</f>
        <v>Pas de correspondance</v>
      </c>
      <c r="I53" t="str">
        <f>_xlfn.XLOOKUP(Logs__2[[#This Row],[Cell_ID]],'Registre_Maintenance'!B:B,'Registre_Maintenance'!E:E,"Pas de correspondance")</f>
        <v>Pas de correspondance</v>
      </c>
      <c r="J53" t="str">
        <f>_xlfn.XLOOKUP(Logs__2[[#This Row],[Cell_ID]],'Registre_Maintenance'!B:B,'Registre_Maintenance'!F:F,"Pas de correspondance")</f>
        <v>Pas de correspondance</v>
      </c>
      <c r="K53" t="str">
        <f>_xlfn.XLOOKUP(Logs__2[[#This Row],[Cell_ID]],'Registre_Maintenance'!B:B,'Registre_Maintenance'!G:G,"Pas de correspondance")</f>
        <v>Pas de correspondance</v>
      </c>
    </row>
    <row r="54" spans="1:11" x14ac:dyDescent="0.25">
      <c r="A54" s="1" t="s">
        <v>853</v>
      </c>
      <c r="B54" s="2">
        <v>45213</v>
      </c>
      <c r="C54" s="3">
        <v>0.25416666666666665</v>
      </c>
      <c r="D54" s="1" t="s">
        <v>856</v>
      </c>
      <c r="E54">
        <v>73</v>
      </c>
      <c r="F54" s="1" t="s">
        <v>811</v>
      </c>
      <c r="G54" t="str">
        <f>_xlfn.XLOOKUP(Logs__2[[#This Row],[Cell_ID]],'Registre_Maintenance'!B:B,'Registre_Maintenance'!C:C,"Pas de correspondance")</f>
        <v>Tshuapa</v>
      </c>
      <c r="H54">
        <f>_xlfn.XLOOKUP(Logs__2[[#This Row],[Cell_ID]],'Registre_Maintenance'!B:B,'Registre_Maintenance'!D:D,"Pas de correspondance")</f>
        <v>-5.1030600000000002</v>
      </c>
      <c r="I54">
        <f>_xlfn.XLOOKUP(Logs__2[[#This Row],[Cell_ID]],'Registre_Maintenance'!B:B,'Registre_Maintenance'!E:E,"Pas de correspondance")</f>
        <v>22.849231</v>
      </c>
      <c r="J54" t="str">
        <f>_xlfn.XLOOKUP(Logs__2[[#This Row],[Cell_ID]],'Registre_Maintenance'!B:B,'Registre_Maintenance'!F:F,"Pas de correspondance")</f>
        <v>5G</v>
      </c>
      <c r="K54" t="str">
        <f>_xlfn.XLOOKUP(Logs__2[[#This Row],[Cell_ID]],'Registre_Maintenance'!B:B,'Registre_Maintenance'!G:G,"Pas de correspondance")</f>
        <v>ZTE</v>
      </c>
    </row>
    <row r="55" spans="1:11" hidden="1" x14ac:dyDescent="0.25">
      <c r="A55" s="1" t="s">
        <v>853</v>
      </c>
      <c r="B55" s="2">
        <v>45203</v>
      </c>
      <c r="C55" s="3">
        <v>0.89375000000000004</v>
      </c>
      <c r="D55" s="1" t="s">
        <v>857</v>
      </c>
      <c r="E55">
        <v>32</v>
      </c>
      <c r="F55" s="1" t="s">
        <v>806</v>
      </c>
      <c r="G55" t="str">
        <f>_xlfn.XLOOKUP(Logs__2[[#This Row],[Cell_ID]],'Registre_Maintenance'!B:B,'Registre_Maintenance'!C:C,"Pas de correspondance")</f>
        <v>Pas de correspondance</v>
      </c>
      <c r="H55" t="str">
        <f>_xlfn.XLOOKUP(Logs__2[[#This Row],[Cell_ID]],'Registre_Maintenance'!B:B,'Registre_Maintenance'!D:D,"Pas de correspondance")</f>
        <v>Pas de correspondance</v>
      </c>
      <c r="I55" t="str">
        <f>_xlfn.XLOOKUP(Logs__2[[#This Row],[Cell_ID]],'Registre_Maintenance'!B:B,'Registre_Maintenance'!E:E,"Pas de correspondance")</f>
        <v>Pas de correspondance</v>
      </c>
      <c r="J55" t="str">
        <f>_xlfn.XLOOKUP(Logs__2[[#This Row],[Cell_ID]],'Registre_Maintenance'!B:B,'Registre_Maintenance'!F:F,"Pas de correspondance")</f>
        <v>Pas de correspondance</v>
      </c>
      <c r="K55" t="str">
        <f>_xlfn.XLOOKUP(Logs__2[[#This Row],[Cell_ID]],'Registre_Maintenance'!B:B,'Registre_Maintenance'!G:G,"Pas de correspondance")</f>
        <v>Pas de correspondance</v>
      </c>
    </row>
    <row r="56" spans="1:11" hidden="1" x14ac:dyDescent="0.25">
      <c r="A56" s="1" t="s">
        <v>853</v>
      </c>
      <c r="B56" s="2">
        <v>45211</v>
      </c>
      <c r="C56" s="3">
        <v>0.55972222222222223</v>
      </c>
      <c r="D56" s="1" t="s">
        <v>840</v>
      </c>
      <c r="E56">
        <v>69</v>
      </c>
      <c r="F56" s="1" t="s">
        <v>809</v>
      </c>
      <c r="G56" t="str">
        <f>_xlfn.XLOOKUP(Logs__2[[#This Row],[Cell_ID]],'Registre_Maintenance'!B:B,'Registre_Maintenance'!C:C,"Pas de correspondance")</f>
        <v>Pas de correspondance</v>
      </c>
      <c r="H56" t="str">
        <f>_xlfn.XLOOKUP(Logs__2[[#This Row],[Cell_ID]],'Registre_Maintenance'!B:B,'Registre_Maintenance'!D:D,"Pas de correspondance")</f>
        <v>Pas de correspondance</v>
      </c>
      <c r="I56" t="str">
        <f>_xlfn.XLOOKUP(Logs__2[[#This Row],[Cell_ID]],'Registre_Maintenance'!B:B,'Registre_Maintenance'!E:E,"Pas de correspondance")</f>
        <v>Pas de correspondance</v>
      </c>
      <c r="J56" t="str">
        <f>_xlfn.XLOOKUP(Logs__2[[#This Row],[Cell_ID]],'Registre_Maintenance'!B:B,'Registre_Maintenance'!F:F,"Pas de correspondance")</f>
        <v>Pas de correspondance</v>
      </c>
      <c r="K56" t="str">
        <f>_xlfn.XLOOKUP(Logs__2[[#This Row],[Cell_ID]],'Registre_Maintenance'!B:B,'Registre_Maintenance'!G:G,"Pas de correspondance")</f>
        <v>Pas de correspondance</v>
      </c>
    </row>
    <row r="57" spans="1:11" x14ac:dyDescent="0.25">
      <c r="A57" s="1" t="s">
        <v>853</v>
      </c>
      <c r="B57" s="2">
        <v>45214</v>
      </c>
      <c r="C57" s="3">
        <v>0.9604166666666667</v>
      </c>
      <c r="D57" s="1" t="s">
        <v>858</v>
      </c>
      <c r="E57">
        <v>38</v>
      </c>
      <c r="F57" s="1" t="s">
        <v>806</v>
      </c>
      <c r="G57" t="str">
        <f>_xlfn.XLOOKUP(Logs__2[[#This Row],[Cell_ID]],'Registre_Maintenance'!B:B,'Registre_Maintenance'!C:C,"Pas de correspondance")</f>
        <v>Lualaba</v>
      </c>
      <c r="H57">
        <f>_xlfn.XLOOKUP(Logs__2[[#This Row],[Cell_ID]],'Registre_Maintenance'!B:B,'Registre_Maintenance'!D:D,"Pas de correspondance")</f>
        <v>-11.710407999999999</v>
      </c>
      <c r="I57">
        <f>_xlfn.XLOOKUP(Logs__2[[#This Row],[Cell_ID]],'Registre_Maintenance'!B:B,'Registre_Maintenance'!E:E,"Pas de correspondance")</f>
        <v>23.741330999999999</v>
      </c>
      <c r="J57" t="str">
        <f>_xlfn.XLOOKUP(Logs__2[[#This Row],[Cell_ID]],'Registre_Maintenance'!B:B,'Registre_Maintenance'!F:F,"Pas de correspondance")</f>
        <v>3G</v>
      </c>
      <c r="K57" t="str">
        <f>_xlfn.XLOOKUP(Logs__2[[#This Row],[Cell_ID]],'Registre_Maintenance'!B:B,'Registre_Maintenance'!G:G,"Pas de correspondance")</f>
        <v>Huawei</v>
      </c>
    </row>
    <row r="58" spans="1:11" x14ac:dyDescent="0.25">
      <c r="A58" s="1" t="s">
        <v>853</v>
      </c>
      <c r="B58" s="2">
        <v>45221</v>
      </c>
      <c r="C58" s="3">
        <v>0.8618055555555556</v>
      </c>
      <c r="D58" s="1" t="s">
        <v>859</v>
      </c>
      <c r="E58">
        <v>21</v>
      </c>
      <c r="F58" s="1" t="s">
        <v>809</v>
      </c>
      <c r="G58" t="str">
        <f>_xlfn.XLOOKUP(Logs__2[[#This Row],[Cell_ID]],'Registre_Maintenance'!B:B,'Registre_Maintenance'!C:C,"Pas de correspondance")</f>
        <v>Tanganyika</v>
      </c>
      <c r="H58">
        <f>_xlfn.XLOOKUP(Logs__2[[#This Row],[Cell_ID]],'Registre_Maintenance'!B:B,'Registre_Maintenance'!D:D,"Pas de correspondance")</f>
        <v>-1.864393</v>
      </c>
      <c r="I58">
        <f>_xlfn.XLOOKUP(Logs__2[[#This Row],[Cell_ID]],'Registre_Maintenance'!B:B,'Registre_Maintenance'!E:E,"Pas de correspondance")</f>
        <v>21.453434000000001</v>
      </c>
      <c r="J58" t="str">
        <f>_xlfn.XLOOKUP(Logs__2[[#This Row],[Cell_ID]],'Registre_Maintenance'!B:B,'Registre_Maintenance'!F:F,"Pas de correspondance")</f>
        <v>5G</v>
      </c>
      <c r="K58" t="str">
        <f>_xlfn.XLOOKUP(Logs__2[[#This Row],[Cell_ID]],'Registre_Maintenance'!B:B,'Registre_Maintenance'!G:G,"Pas de correspondance")</f>
        <v>Ericsson</v>
      </c>
    </row>
    <row r="59" spans="1:11" hidden="1" x14ac:dyDescent="0.25">
      <c r="A59" s="1" t="s">
        <v>853</v>
      </c>
      <c r="B59" s="2">
        <v>45203</v>
      </c>
      <c r="C59" s="3">
        <v>5.9027777777777776E-2</v>
      </c>
      <c r="D59" s="1" t="s">
        <v>860</v>
      </c>
      <c r="E59">
        <v>49</v>
      </c>
      <c r="F59" s="1" t="s">
        <v>806</v>
      </c>
      <c r="G59" t="str">
        <f>_xlfn.XLOOKUP(Logs__2[[#This Row],[Cell_ID]],'Registre_Maintenance'!B:B,'Registre_Maintenance'!C:C,"Pas de correspondance")</f>
        <v>Pas de correspondance</v>
      </c>
      <c r="H59" t="str">
        <f>_xlfn.XLOOKUP(Logs__2[[#This Row],[Cell_ID]],'Registre_Maintenance'!B:B,'Registre_Maintenance'!D:D,"Pas de correspondance")</f>
        <v>Pas de correspondance</v>
      </c>
      <c r="I59" t="str">
        <f>_xlfn.XLOOKUP(Logs__2[[#This Row],[Cell_ID]],'Registre_Maintenance'!B:B,'Registre_Maintenance'!E:E,"Pas de correspondance")</f>
        <v>Pas de correspondance</v>
      </c>
      <c r="J59" t="str">
        <f>_xlfn.XLOOKUP(Logs__2[[#This Row],[Cell_ID]],'Registre_Maintenance'!B:B,'Registre_Maintenance'!F:F,"Pas de correspondance")</f>
        <v>Pas de correspondance</v>
      </c>
      <c r="K59" t="str">
        <f>_xlfn.XLOOKUP(Logs__2[[#This Row],[Cell_ID]],'Registre_Maintenance'!B:B,'Registre_Maintenance'!G:G,"Pas de correspondance")</f>
        <v>Pas de correspondance</v>
      </c>
    </row>
    <row r="60" spans="1:11" hidden="1" x14ac:dyDescent="0.25">
      <c r="A60" s="1" t="s">
        <v>853</v>
      </c>
      <c r="B60" s="2">
        <v>45223</v>
      </c>
      <c r="C60" s="3">
        <v>0.45208333333333334</v>
      </c>
      <c r="D60" s="1" t="s">
        <v>861</v>
      </c>
      <c r="E60">
        <v>117</v>
      </c>
      <c r="F60" s="1" t="s">
        <v>811</v>
      </c>
      <c r="G60" t="str">
        <f>_xlfn.XLOOKUP(Logs__2[[#This Row],[Cell_ID]],'Registre_Maintenance'!B:B,'Registre_Maintenance'!C:C,"Pas de correspondance")</f>
        <v>Pas de correspondance</v>
      </c>
      <c r="H60" t="str">
        <f>_xlfn.XLOOKUP(Logs__2[[#This Row],[Cell_ID]],'Registre_Maintenance'!B:B,'Registre_Maintenance'!D:D,"Pas de correspondance")</f>
        <v>Pas de correspondance</v>
      </c>
      <c r="I60" t="str">
        <f>_xlfn.XLOOKUP(Logs__2[[#This Row],[Cell_ID]],'Registre_Maintenance'!B:B,'Registre_Maintenance'!E:E,"Pas de correspondance")</f>
        <v>Pas de correspondance</v>
      </c>
      <c r="J60" t="str">
        <f>_xlfn.XLOOKUP(Logs__2[[#This Row],[Cell_ID]],'Registre_Maintenance'!B:B,'Registre_Maintenance'!F:F,"Pas de correspondance")</f>
        <v>Pas de correspondance</v>
      </c>
      <c r="K60" t="str">
        <f>_xlfn.XLOOKUP(Logs__2[[#This Row],[Cell_ID]],'Registre_Maintenance'!B:B,'Registre_Maintenance'!G:G,"Pas de correspondance")</f>
        <v>Pas de correspondance</v>
      </c>
    </row>
    <row r="61" spans="1:11" hidden="1" x14ac:dyDescent="0.25">
      <c r="A61" s="1" t="s">
        <v>853</v>
      </c>
      <c r="B61" s="2">
        <v>45227</v>
      </c>
      <c r="C61" s="3">
        <v>0.13541666666666666</v>
      </c>
      <c r="D61" s="1" t="s">
        <v>862</v>
      </c>
      <c r="E61">
        <v>13</v>
      </c>
      <c r="F61" s="1" t="s">
        <v>809</v>
      </c>
      <c r="G61" t="str">
        <f>_xlfn.XLOOKUP(Logs__2[[#This Row],[Cell_ID]],'Registre_Maintenance'!B:B,'Registre_Maintenance'!C:C,"Pas de correspondance")</f>
        <v>Pas de correspondance</v>
      </c>
      <c r="H61" t="str">
        <f>_xlfn.XLOOKUP(Logs__2[[#This Row],[Cell_ID]],'Registre_Maintenance'!B:B,'Registre_Maintenance'!D:D,"Pas de correspondance")</f>
        <v>Pas de correspondance</v>
      </c>
      <c r="I61" t="str">
        <f>_xlfn.XLOOKUP(Logs__2[[#This Row],[Cell_ID]],'Registre_Maintenance'!B:B,'Registre_Maintenance'!E:E,"Pas de correspondance")</f>
        <v>Pas de correspondance</v>
      </c>
      <c r="J61" t="str">
        <f>_xlfn.XLOOKUP(Logs__2[[#This Row],[Cell_ID]],'Registre_Maintenance'!B:B,'Registre_Maintenance'!F:F,"Pas de correspondance")</f>
        <v>Pas de correspondance</v>
      </c>
      <c r="K61" t="str">
        <f>_xlfn.XLOOKUP(Logs__2[[#This Row],[Cell_ID]],'Registre_Maintenance'!B:B,'Registre_Maintenance'!G:G,"Pas de correspondance")</f>
        <v>Pas de correspondance</v>
      </c>
    </row>
    <row r="62" spans="1:11" hidden="1" x14ac:dyDescent="0.25">
      <c r="A62" s="1" t="s">
        <v>853</v>
      </c>
      <c r="B62" s="2">
        <v>45206</v>
      </c>
      <c r="C62" s="3">
        <v>0.27361111111111114</v>
      </c>
      <c r="D62" s="1" t="s">
        <v>863</v>
      </c>
      <c r="E62">
        <v>117</v>
      </c>
      <c r="F62" s="1" t="s">
        <v>811</v>
      </c>
      <c r="G62" t="str">
        <f>_xlfn.XLOOKUP(Logs__2[[#This Row],[Cell_ID]],'Registre_Maintenance'!B:B,'Registre_Maintenance'!C:C,"Pas de correspondance")</f>
        <v>Pas de correspondance</v>
      </c>
      <c r="H62" t="str">
        <f>_xlfn.XLOOKUP(Logs__2[[#This Row],[Cell_ID]],'Registre_Maintenance'!B:B,'Registre_Maintenance'!D:D,"Pas de correspondance")</f>
        <v>Pas de correspondance</v>
      </c>
      <c r="I62" t="str">
        <f>_xlfn.XLOOKUP(Logs__2[[#This Row],[Cell_ID]],'Registre_Maintenance'!B:B,'Registre_Maintenance'!E:E,"Pas de correspondance")</f>
        <v>Pas de correspondance</v>
      </c>
      <c r="J62" t="str">
        <f>_xlfn.XLOOKUP(Logs__2[[#This Row],[Cell_ID]],'Registre_Maintenance'!B:B,'Registre_Maintenance'!F:F,"Pas de correspondance")</f>
        <v>Pas de correspondance</v>
      </c>
      <c r="K62" t="str">
        <f>_xlfn.XLOOKUP(Logs__2[[#This Row],[Cell_ID]],'Registre_Maintenance'!B:B,'Registre_Maintenance'!G:G,"Pas de correspondance")</f>
        <v>Pas de correspondance</v>
      </c>
    </row>
    <row r="63" spans="1:11" hidden="1" x14ac:dyDescent="0.25">
      <c r="A63" s="1" t="s">
        <v>853</v>
      </c>
      <c r="B63" s="2">
        <v>45214</v>
      </c>
      <c r="C63" s="3">
        <v>0.18541666666666667</v>
      </c>
      <c r="D63" s="1" t="s">
        <v>854</v>
      </c>
      <c r="E63">
        <v>36</v>
      </c>
      <c r="F63" s="1" t="s">
        <v>809</v>
      </c>
      <c r="G63" t="str">
        <f>_xlfn.XLOOKUP(Logs__2[[#This Row],[Cell_ID]],'Registre_Maintenance'!B:B,'Registre_Maintenance'!C:C,"Pas de correspondance")</f>
        <v>Pas de correspondance</v>
      </c>
      <c r="H63" t="str">
        <f>_xlfn.XLOOKUP(Logs__2[[#This Row],[Cell_ID]],'Registre_Maintenance'!B:B,'Registre_Maintenance'!D:D,"Pas de correspondance")</f>
        <v>Pas de correspondance</v>
      </c>
      <c r="I63" t="str">
        <f>_xlfn.XLOOKUP(Logs__2[[#This Row],[Cell_ID]],'Registre_Maintenance'!B:B,'Registre_Maintenance'!E:E,"Pas de correspondance")</f>
        <v>Pas de correspondance</v>
      </c>
      <c r="J63" t="str">
        <f>_xlfn.XLOOKUP(Logs__2[[#This Row],[Cell_ID]],'Registre_Maintenance'!B:B,'Registre_Maintenance'!F:F,"Pas de correspondance")</f>
        <v>Pas de correspondance</v>
      </c>
      <c r="K63" t="str">
        <f>_xlfn.XLOOKUP(Logs__2[[#This Row],[Cell_ID]],'Registre_Maintenance'!B:B,'Registre_Maintenance'!G:G,"Pas de correspondance")</f>
        <v>Pas de correspondance</v>
      </c>
    </row>
    <row r="64" spans="1:11" x14ac:dyDescent="0.25">
      <c r="A64" s="1" t="s">
        <v>853</v>
      </c>
      <c r="B64" s="2">
        <v>45205</v>
      </c>
      <c r="C64" s="3">
        <v>0.35347222222222224</v>
      </c>
      <c r="D64" s="1" t="s">
        <v>864</v>
      </c>
      <c r="E64">
        <v>52</v>
      </c>
      <c r="F64" s="1" t="s">
        <v>809</v>
      </c>
      <c r="G64" t="str">
        <f>_xlfn.XLOOKUP(Logs__2[[#This Row],[Cell_ID]],'Registre_Maintenance'!B:B,'Registre_Maintenance'!C:C,"Pas de correspondance")</f>
        <v>Tanganyika</v>
      </c>
      <c r="H64">
        <f>_xlfn.XLOOKUP(Logs__2[[#This Row],[Cell_ID]],'Registre_Maintenance'!B:B,'Registre_Maintenance'!D:D,"Pas de correspondance")</f>
        <v>3.1362930000000002</v>
      </c>
      <c r="I64">
        <f>_xlfn.XLOOKUP(Logs__2[[#This Row],[Cell_ID]],'Registre_Maintenance'!B:B,'Registre_Maintenance'!E:E,"Pas de correspondance")</f>
        <v>16.190878000000001</v>
      </c>
      <c r="J64" t="str">
        <f>_xlfn.XLOOKUP(Logs__2[[#This Row],[Cell_ID]],'Registre_Maintenance'!B:B,'Registre_Maintenance'!F:F,"Pas de correspondance")</f>
        <v>3G</v>
      </c>
      <c r="K64" t="str">
        <f>_xlfn.XLOOKUP(Logs__2[[#This Row],[Cell_ID]],'Registre_Maintenance'!B:B,'Registre_Maintenance'!G:G,"Pas de correspondance")</f>
        <v>Nokia</v>
      </c>
    </row>
    <row r="65" spans="1:11" x14ac:dyDescent="0.25">
      <c r="A65" s="1" t="s">
        <v>853</v>
      </c>
      <c r="B65" s="2">
        <v>45207</v>
      </c>
      <c r="C65" s="3">
        <v>0.10277777777777777</v>
      </c>
      <c r="D65" s="1" t="s">
        <v>865</v>
      </c>
      <c r="E65">
        <v>41</v>
      </c>
      <c r="F65" s="1" t="s">
        <v>806</v>
      </c>
      <c r="G65" t="str">
        <f>_xlfn.XLOOKUP(Logs__2[[#This Row],[Cell_ID]],'Registre_Maintenance'!B:B,'Registre_Maintenance'!C:C,"Pas de correspondance")</f>
        <v>Kwilu</v>
      </c>
      <c r="H65">
        <f>_xlfn.XLOOKUP(Logs__2[[#This Row],[Cell_ID]],'Registre_Maintenance'!B:B,'Registre_Maintenance'!D:D,"Pas de correspondance")</f>
        <v>-5.9021970000000001</v>
      </c>
      <c r="I65">
        <f>_xlfn.XLOOKUP(Logs__2[[#This Row],[Cell_ID]],'Registre_Maintenance'!B:B,'Registre_Maintenance'!E:E,"Pas de correspondance")</f>
        <v>20.551169999999999</v>
      </c>
      <c r="J65" t="str">
        <f>_xlfn.XLOOKUP(Logs__2[[#This Row],[Cell_ID]],'Registre_Maintenance'!B:B,'Registre_Maintenance'!F:F,"Pas de correspondance")</f>
        <v>3G</v>
      </c>
      <c r="K65" t="str">
        <f>_xlfn.XLOOKUP(Logs__2[[#This Row],[Cell_ID]],'Registre_Maintenance'!B:B,'Registre_Maintenance'!G:G,"Pas de correspondance")</f>
        <v>Huawei</v>
      </c>
    </row>
    <row r="66" spans="1:11" hidden="1" x14ac:dyDescent="0.25">
      <c r="A66" s="1" t="s">
        <v>853</v>
      </c>
      <c r="B66" s="2">
        <v>45225</v>
      </c>
      <c r="C66" s="3">
        <v>0.71250000000000002</v>
      </c>
      <c r="D66" s="1" t="s">
        <v>866</v>
      </c>
      <c r="E66">
        <v>25</v>
      </c>
      <c r="F66" s="1" t="s">
        <v>806</v>
      </c>
      <c r="G66" t="str">
        <f>_xlfn.XLOOKUP(Logs__2[[#This Row],[Cell_ID]],'Registre_Maintenance'!B:B,'Registre_Maintenance'!C:C,"Pas de correspondance")</f>
        <v>Pas de correspondance</v>
      </c>
      <c r="H66" t="str">
        <f>_xlfn.XLOOKUP(Logs__2[[#This Row],[Cell_ID]],'Registre_Maintenance'!B:B,'Registre_Maintenance'!D:D,"Pas de correspondance")</f>
        <v>Pas de correspondance</v>
      </c>
      <c r="I66" t="str">
        <f>_xlfn.XLOOKUP(Logs__2[[#This Row],[Cell_ID]],'Registre_Maintenance'!B:B,'Registre_Maintenance'!E:E,"Pas de correspondance")</f>
        <v>Pas de correspondance</v>
      </c>
      <c r="J66" t="str">
        <f>_xlfn.XLOOKUP(Logs__2[[#This Row],[Cell_ID]],'Registre_Maintenance'!B:B,'Registre_Maintenance'!F:F,"Pas de correspondance")</f>
        <v>Pas de correspondance</v>
      </c>
      <c r="K66" t="str">
        <f>_xlfn.XLOOKUP(Logs__2[[#This Row],[Cell_ID]],'Registre_Maintenance'!B:B,'Registre_Maintenance'!G:G,"Pas de correspondance")</f>
        <v>Pas de correspondance</v>
      </c>
    </row>
    <row r="67" spans="1:11" hidden="1" x14ac:dyDescent="0.25">
      <c r="A67" s="1" t="s">
        <v>853</v>
      </c>
      <c r="B67" s="2">
        <v>45201</v>
      </c>
      <c r="C67" s="3">
        <v>0.8569444444444444</v>
      </c>
      <c r="D67" s="1" t="s">
        <v>867</v>
      </c>
      <c r="E67">
        <v>61</v>
      </c>
      <c r="F67" s="1" t="s">
        <v>806</v>
      </c>
      <c r="G67" t="str">
        <f>_xlfn.XLOOKUP(Logs__2[[#This Row],[Cell_ID]],'Registre_Maintenance'!B:B,'Registre_Maintenance'!C:C,"Pas de correspondance")</f>
        <v>Pas de correspondance</v>
      </c>
      <c r="H67" t="str">
        <f>_xlfn.XLOOKUP(Logs__2[[#This Row],[Cell_ID]],'Registre_Maintenance'!B:B,'Registre_Maintenance'!D:D,"Pas de correspondance")</f>
        <v>Pas de correspondance</v>
      </c>
      <c r="I67" t="str">
        <f>_xlfn.XLOOKUP(Logs__2[[#This Row],[Cell_ID]],'Registre_Maintenance'!B:B,'Registre_Maintenance'!E:E,"Pas de correspondance")</f>
        <v>Pas de correspondance</v>
      </c>
      <c r="J67" t="str">
        <f>_xlfn.XLOOKUP(Logs__2[[#This Row],[Cell_ID]],'Registre_Maintenance'!B:B,'Registre_Maintenance'!F:F,"Pas de correspondance")</f>
        <v>Pas de correspondance</v>
      </c>
      <c r="K67" t="str">
        <f>_xlfn.XLOOKUP(Logs__2[[#This Row],[Cell_ID]],'Registre_Maintenance'!B:B,'Registre_Maintenance'!G:G,"Pas de correspondance")</f>
        <v>Pas de correspondance</v>
      </c>
    </row>
    <row r="68" spans="1:11" hidden="1" x14ac:dyDescent="0.25">
      <c r="A68" s="1" t="s">
        <v>853</v>
      </c>
      <c r="B68" s="2">
        <v>45226</v>
      </c>
      <c r="C68" s="3">
        <v>3.472222222222222E-3</v>
      </c>
      <c r="D68" s="1" t="s">
        <v>807</v>
      </c>
      <c r="E68">
        <v>111</v>
      </c>
      <c r="F68" s="1" t="s">
        <v>806</v>
      </c>
      <c r="G68" t="str">
        <f>_xlfn.XLOOKUP(Logs__2[[#This Row],[Cell_ID]],'Registre_Maintenance'!B:B,'Registre_Maintenance'!C:C,"Pas de correspondance")</f>
        <v>Pas de correspondance</v>
      </c>
      <c r="H68" t="str">
        <f>_xlfn.XLOOKUP(Logs__2[[#This Row],[Cell_ID]],'Registre_Maintenance'!B:B,'Registre_Maintenance'!D:D,"Pas de correspondance")</f>
        <v>Pas de correspondance</v>
      </c>
      <c r="I68" t="str">
        <f>_xlfn.XLOOKUP(Logs__2[[#This Row],[Cell_ID]],'Registre_Maintenance'!B:B,'Registre_Maintenance'!E:E,"Pas de correspondance")</f>
        <v>Pas de correspondance</v>
      </c>
      <c r="J68" t="str">
        <f>_xlfn.XLOOKUP(Logs__2[[#This Row],[Cell_ID]],'Registre_Maintenance'!B:B,'Registre_Maintenance'!F:F,"Pas de correspondance")</f>
        <v>Pas de correspondance</v>
      </c>
      <c r="K68" t="str">
        <f>_xlfn.XLOOKUP(Logs__2[[#This Row],[Cell_ID]],'Registre_Maintenance'!B:B,'Registre_Maintenance'!G:G,"Pas de correspondance")</f>
        <v>Pas de correspondance</v>
      </c>
    </row>
    <row r="69" spans="1:11" hidden="1" x14ac:dyDescent="0.25">
      <c r="A69" s="1" t="s">
        <v>853</v>
      </c>
      <c r="B69" s="2">
        <v>45229</v>
      </c>
      <c r="C69" s="3">
        <v>0.2986111111111111</v>
      </c>
      <c r="D69" s="1" t="s">
        <v>868</v>
      </c>
      <c r="E69">
        <v>74</v>
      </c>
      <c r="F69" s="1" t="s">
        <v>811</v>
      </c>
      <c r="G69" t="str">
        <f>_xlfn.XLOOKUP(Logs__2[[#This Row],[Cell_ID]],'Registre_Maintenance'!B:B,'Registre_Maintenance'!C:C,"Pas de correspondance")</f>
        <v>Pas de correspondance</v>
      </c>
      <c r="H69" t="str">
        <f>_xlfn.XLOOKUP(Logs__2[[#This Row],[Cell_ID]],'Registre_Maintenance'!B:B,'Registre_Maintenance'!D:D,"Pas de correspondance")</f>
        <v>Pas de correspondance</v>
      </c>
      <c r="I69" t="str">
        <f>_xlfn.XLOOKUP(Logs__2[[#This Row],[Cell_ID]],'Registre_Maintenance'!B:B,'Registre_Maintenance'!E:E,"Pas de correspondance")</f>
        <v>Pas de correspondance</v>
      </c>
      <c r="J69" t="str">
        <f>_xlfn.XLOOKUP(Logs__2[[#This Row],[Cell_ID]],'Registre_Maintenance'!B:B,'Registre_Maintenance'!F:F,"Pas de correspondance")</f>
        <v>Pas de correspondance</v>
      </c>
      <c r="K69" t="str">
        <f>_xlfn.XLOOKUP(Logs__2[[#This Row],[Cell_ID]],'Registre_Maintenance'!B:B,'Registre_Maintenance'!G:G,"Pas de correspondance")</f>
        <v>Pas de correspondance</v>
      </c>
    </row>
    <row r="70" spans="1:11" x14ac:dyDescent="0.25">
      <c r="A70" s="1" t="s">
        <v>853</v>
      </c>
      <c r="B70" s="2">
        <v>45213</v>
      </c>
      <c r="C70" s="3">
        <v>0.64583333333333337</v>
      </c>
      <c r="D70" s="1" t="s">
        <v>869</v>
      </c>
      <c r="E70">
        <v>95</v>
      </c>
      <c r="F70" s="1" t="s">
        <v>806</v>
      </c>
      <c r="G70" t="str">
        <f>_xlfn.XLOOKUP(Logs__2[[#This Row],[Cell_ID]],'Registre_Maintenance'!B:B,'Registre_Maintenance'!C:C,"Pas de correspondance")</f>
        <v>Haut-Katanga</v>
      </c>
      <c r="H70">
        <f>_xlfn.XLOOKUP(Logs__2[[#This Row],[Cell_ID]],'Registre_Maintenance'!B:B,'Registre_Maintenance'!D:D,"Pas de correspondance")</f>
        <v>-2.9417719999999998</v>
      </c>
      <c r="I70">
        <f>_xlfn.XLOOKUP(Logs__2[[#This Row],[Cell_ID]],'Registre_Maintenance'!B:B,'Registre_Maintenance'!E:E,"Pas de correspondance")</f>
        <v>18.587305000000001</v>
      </c>
      <c r="J70" t="str">
        <f>_xlfn.XLOOKUP(Logs__2[[#This Row],[Cell_ID]],'Registre_Maintenance'!B:B,'Registre_Maintenance'!F:F,"Pas de correspondance")</f>
        <v>5G</v>
      </c>
      <c r="K70" t="str">
        <f>_xlfn.XLOOKUP(Logs__2[[#This Row],[Cell_ID]],'Registre_Maintenance'!B:B,'Registre_Maintenance'!G:G,"Pas de correspondance")</f>
        <v>Ericsson</v>
      </c>
    </row>
    <row r="71" spans="1:11" x14ac:dyDescent="0.25">
      <c r="A71" s="1" t="s">
        <v>853</v>
      </c>
      <c r="B71" s="2">
        <v>45206</v>
      </c>
      <c r="C71" s="3">
        <v>0.5395833333333333</v>
      </c>
      <c r="D71" s="1" t="s">
        <v>870</v>
      </c>
      <c r="E71">
        <v>43</v>
      </c>
      <c r="F71" s="1" t="s">
        <v>806</v>
      </c>
      <c r="G71" t="str">
        <f>_xlfn.XLOOKUP(Logs__2[[#This Row],[Cell_ID]],'Registre_Maintenance'!B:B,'Registre_Maintenance'!C:C,"Pas de correspondance")</f>
        <v>Kwango</v>
      </c>
      <c r="H71">
        <f>_xlfn.XLOOKUP(Logs__2[[#This Row],[Cell_ID]],'Registre_Maintenance'!B:B,'Registre_Maintenance'!D:D,"Pas de correspondance")</f>
        <v>-10.963041</v>
      </c>
      <c r="I71">
        <f>_xlfn.XLOOKUP(Logs__2[[#This Row],[Cell_ID]],'Registre_Maintenance'!B:B,'Registre_Maintenance'!E:E,"Pas de correspondance")</f>
        <v>12.269857</v>
      </c>
      <c r="J71" t="str">
        <f>_xlfn.XLOOKUP(Logs__2[[#This Row],[Cell_ID]],'Registre_Maintenance'!B:B,'Registre_Maintenance'!F:F,"Pas de correspondance")</f>
        <v>4G</v>
      </c>
      <c r="K71" t="str">
        <f>_xlfn.XLOOKUP(Logs__2[[#This Row],[Cell_ID]],'Registre_Maintenance'!B:B,'Registre_Maintenance'!G:G,"Pas de correspondance")</f>
        <v>Huawei</v>
      </c>
    </row>
    <row r="72" spans="1:11" x14ac:dyDescent="0.25">
      <c r="A72" s="1" t="s">
        <v>853</v>
      </c>
      <c r="B72" s="2">
        <v>45201</v>
      </c>
      <c r="C72" s="3">
        <v>0.22500000000000001</v>
      </c>
      <c r="D72" s="1" t="s">
        <v>871</v>
      </c>
      <c r="E72">
        <v>83</v>
      </c>
      <c r="F72" s="1" t="s">
        <v>809</v>
      </c>
      <c r="G72" t="str">
        <f>_xlfn.XLOOKUP(Logs__2[[#This Row],[Cell_ID]],'Registre_Maintenance'!B:B,'Registre_Maintenance'!C:C,"Pas de correspondance")</f>
        <v>Nord-Kivu</v>
      </c>
      <c r="H72">
        <f>_xlfn.XLOOKUP(Logs__2[[#This Row],[Cell_ID]],'Registre_Maintenance'!B:B,'Registre_Maintenance'!D:D,"Pas de correspondance")</f>
        <v>0.82868600000000003</v>
      </c>
      <c r="I72">
        <f>_xlfn.XLOOKUP(Logs__2[[#This Row],[Cell_ID]],'Registre_Maintenance'!B:B,'Registre_Maintenance'!E:E,"Pas de correspondance")</f>
        <v>26.958843999999999</v>
      </c>
      <c r="J72" t="str">
        <f>_xlfn.XLOOKUP(Logs__2[[#This Row],[Cell_ID]],'Registre_Maintenance'!B:B,'Registre_Maintenance'!F:F,"Pas de correspondance")</f>
        <v>5G</v>
      </c>
      <c r="K72" t="str">
        <f>_xlfn.XLOOKUP(Logs__2[[#This Row],[Cell_ID]],'Registre_Maintenance'!B:B,'Registre_Maintenance'!G:G,"Pas de correspondance")</f>
        <v>ZTE</v>
      </c>
    </row>
    <row r="73" spans="1:11" hidden="1" x14ac:dyDescent="0.25">
      <c r="A73" s="1" t="s">
        <v>853</v>
      </c>
      <c r="B73" s="2">
        <v>45200</v>
      </c>
      <c r="C73" s="3">
        <v>0.51111111111111107</v>
      </c>
      <c r="D73" s="1" t="s">
        <v>872</v>
      </c>
      <c r="E73">
        <v>108</v>
      </c>
      <c r="F73" s="1" t="s">
        <v>811</v>
      </c>
      <c r="G73" t="str">
        <f>_xlfn.XLOOKUP(Logs__2[[#This Row],[Cell_ID]],'Registre_Maintenance'!B:B,'Registre_Maintenance'!C:C,"Pas de correspondance")</f>
        <v>Pas de correspondance</v>
      </c>
      <c r="H73" t="str">
        <f>_xlfn.XLOOKUP(Logs__2[[#This Row],[Cell_ID]],'Registre_Maintenance'!B:B,'Registre_Maintenance'!D:D,"Pas de correspondance")</f>
        <v>Pas de correspondance</v>
      </c>
      <c r="I73" t="str">
        <f>_xlfn.XLOOKUP(Logs__2[[#This Row],[Cell_ID]],'Registre_Maintenance'!B:B,'Registre_Maintenance'!E:E,"Pas de correspondance")</f>
        <v>Pas de correspondance</v>
      </c>
      <c r="J73" t="str">
        <f>_xlfn.XLOOKUP(Logs__2[[#This Row],[Cell_ID]],'Registre_Maintenance'!B:B,'Registre_Maintenance'!F:F,"Pas de correspondance")</f>
        <v>Pas de correspondance</v>
      </c>
      <c r="K73" t="str">
        <f>_xlfn.XLOOKUP(Logs__2[[#This Row],[Cell_ID]],'Registre_Maintenance'!B:B,'Registre_Maintenance'!G:G,"Pas de correspondance")</f>
        <v>Pas de correspondance</v>
      </c>
    </row>
    <row r="74" spans="1:11" x14ac:dyDescent="0.25">
      <c r="A74" s="1" t="s">
        <v>853</v>
      </c>
      <c r="B74" s="2">
        <v>45229</v>
      </c>
      <c r="C74" s="3">
        <v>0.59583333333333333</v>
      </c>
      <c r="D74" s="1" t="s">
        <v>831</v>
      </c>
      <c r="E74">
        <v>88</v>
      </c>
      <c r="F74" s="1" t="s">
        <v>811</v>
      </c>
      <c r="G74" t="str">
        <f>_xlfn.XLOOKUP(Logs__2[[#This Row],[Cell_ID]],'Registre_Maintenance'!B:B,'Registre_Maintenance'!C:C,"Pas de correspondance")</f>
        <v>Sud-Ubangi</v>
      </c>
      <c r="H74">
        <f>_xlfn.XLOOKUP(Logs__2[[#This Row],[Cell_ID]],'Registre_Maintenance'!B:B,'Registre_Maintenance'!D:D,"Pas de correspondance")</f>
        <v>-10.56448</v>
      </c>
      <c r="I74">
        <f>_xlfn.XLOOKUP(Logs__2[[#This Row],[Cell_ID]],'Registre_Maintenance'!B:B,'Registre_Maintenance'!E:E,"Pas de correspondance")</f>
        <v>19.792876</v>
      </c>
      <c r="J74" t="str">
        <f>_xlfn.XLOOKUP(Logs__2[[#This Row],[Cell_ID]],'Registre_Maintenance'!B:B,'Registre_Maintenance'!F:F,"Pas de correspondance")</f>
        <v>5G</v>
      </c>
      <c r="K74" t="str">
        <f>_xlfn.XLOOKUP(Logs__2[[#This Row],[Cell_ID]],'Registre_Maintenance'!B:B,'Registre_Maintenance'!G:G,"Pas de correspondance")</f>
        <v>Ericsson</v>
      </c>
    </row>
    <row r="75" spans="1:11" x14ac:dyDescent="0.25">
      <c r="A75" s="1" t="s">
        <v>853</v>
      </c>
      <c r="B75" s="2">
        <v>45213</v>
      </c>
      <c r="C75" s="3">
        <v>0.94861111111111107</v>
      </c>
      <c r="D75" s="1" t="s">
        <v>873</v>
      </c>
      <c r="E75">
        <v>72</v>
      </c>
      <c r="F75" s="1" t="s">
        <v>809</v>
      </c>
      <c r="G75" t="str">
        <f>_xlfn.XLOOKUP(Logs__2[[#This Row],[Cell_ID]],'Registre_Maintenance'!B:B,'Registre_Maintenance'!C:C,"Pas de correspondance")</f>
        <v>Sankuru</v>
      </c>
      <c r="H75">
        <f>_xlfn.XLOOKUP(Logs__2[[#This Row],[Cell_ID]],'Registre_Maintenance'!B:B,'Registre_Maintenance'!D:D,"Pas de correspondance")</f>
        <v>-2.7140689999999998</v>
      </c>
      <c r="I75">
        <f>_xlfn.XLOOKUP(Logs__2[[#This Row],[Cell_ID]],'Registre_Maintenance'!B:B,'Registre_Maintenance'!E:E,"Pas de correspondance")</f>
        <v>22.222104000000002</v>
      </c>
      <c r="J75" t="str">
        <f>_xlfn.XLOOKUP(Logs__2[[#This Row],[Cell_ID]],'Registre_Maintenance'!B:B,'Registre_Maintenance'!F:F,"Pas de correspondance")</f>
        <v>4G</v>
      </c>
      <c r="K75" t="str">
        <f>_xlfn.XLOOKUP(Logs__2[[#This Row],[Cell_ID]],'Registre_Maintenance'!B:B,'Registre_Maintenance'!G:G,"Pas de correspondance")</f>
        <v>Nokia</v>
      </c>
    </row>
    <row r="76" spans="1:11" hidden="1" x14ac:dyDescent="0.25">
      <c r="A76" s="1" t="s">
        <v>853</v>
      </c>
      <c r="B76" s="2">
        <v>45225</v>
      </c>
      <c r="C76" s="3">
        <v>0.73750000000000004</v>
      </c>
      <c r="D76" s="1" t="s">
        <v>874</v>
      </c>
      <c r="E76">
        <v>6</v>
      </c>
      <c r="F76" s="1" t="s">
        <v>809</v>
      </c>
      <c r="G76" t="str">
        <f>_xlfn.XLOOKUP(Logs__2[[#This Row],[Cell_ID]],'Registre_Maintenance'!B:B,'Registre_Maintenance'!C:C,"Pas de correspondance")</f>
        <v>Pas de correspondance</v>
      </c>
      <c r="H76" t="str">
        <f>_xlfn.XLOOKUP(Logs__2[[#This Row],[Cell_ID]],'Registre_Maintenance'!B:B,'Registre_Maintenance'!D:D,"Pas de correspondance")</f>
        <v>Pas de correspondance</v>
      </c>
      <c r="I76" t="str">
        <f>_xlfn.XLOOKUP(Logs__2[[#This Row],[Cell_ID]],'Registre_Maintenance'!B:B,'Registre_Maintenance'!E:E,"Pas de correspondance")</f>
        <v>Pas de correspondance</v>
      </c>
      <c r="J76" t="str">
        <f>_xlfn.XLOOKUP(Logs__2[[#This Row],[Cell_ID]],'Registre_Maintenance'!B:B,'Registre_Maintenance'!F:F,"Pas de correspondance")</f>
        <v>Pas de correspondance</v>
      </c>
      <c r="K76" t="str">
        <f>_xlfn.XLOOKUP(Logs__2[[#This Row],[Cell_ID]],'Registre_Maintenance'!B:B,'Registre_Maintenance'!G:G,"Pas de correspondance")</f>
        <v>Pas de correspondance</v>
      </c>
    </row>
    <row r="77" spans="1:11" x14ac:dyDescent="0.25">
      <c r="A77" s="1" t="s">
        <v>853</v>
      </c>
      <c r="B77" s="2">
        <v>45222</v>
      </c>
      <c r="C77" s="3">
        <v>0.63124999999999998</v>
      </c>
      <c r="D77" s="1" t="s">
        <v>875</v>
      </c>
      <c r="E77">
        <v>90</v>
      </c>
      <c r="F77" s="1" t="s">
        <v>806</v>
      </c>
      <c r="G77" t="str">
        <f>_xlfn.XLOOKUP(Logs__2[[#This Row],[Cell_ID]],'Registre_Maintenance'!B:B,'Registre_Maintenance'!C:C,"Pas de correspondance")</f>
        <v>Tanganyika</v>
      </c>
      <c r="H77">
        <f>_xlfn.XLOOKUP(Logs__2[[#This Row],[Cell_ID]],'Registre_Maintenance'!B:B,'Registre_Maintenance'!D:D,"Pas de correspondance")</f>
        <v>-2.099631</v>
      </c>
      <c r="I77">
        <f>_xlfn.XLOOKUP(Logs__2[[#This Row],[Cell_ID]],'Registre_Maintenance'!B:B,'Registre_Maintenance'!E:E,"Pas de correspondance")</f>
        <v>13.974640000000001</v>
      </c>
      <c r="J77" t="str">
        <f>_xlfn.XLOOKUP(Logs__2[[#This Row],[Cell_ID]],'Registre_Maintenance'!B:B,'Registre_Maintenance'!F:F,"Pas de correspondance")</f>
        <v>3G</v>
      </c>
      <c r="K77" t="str">
        <f>_xlfn.XLOOKUP(Logs__2[[#This Row],[Cell_ID]],'Registre_Maintenance'!B:B,'Registre_Maintenance'!G:G,"Pas de correspondance")</f>
        <v>Nokia</v>
      </c>
    </row>
    <row r="78" spans="1:11" hidden="1" x14ac:dyDescent="0.25">
      <c r="A78" s="1" t="s">
        <v>853</v>
      </c>
      <c r="B78" s="2">
        <v>45206</v>
      </c>
      <c r="C78" s="3">
        <v>0.3840277777777778</v>
      </c>
      <c r="D78" s="1" t="s">
        <v>876</v>
      </c>
      <c r="E78">
        <v>109</v>
      </c>
      <c r="F78" s="1" t="s">
        <v>811</v>
      </c>
      <c r="G78" t="str">
        <f>_xlfn.XLOOKUP(Logs__2[[#This Row],[Cell_ID]],'Registre_Maintenance'!B:B,'Registre_Maintenance'!C:C,"Pas de correspondance")</f>
        <v>Pas de correspondance</v>
      </c>
      <c r="H78" t="str">
        <f>_xlfn.XLOOKUP(Logs__2[[#This Row],[Cell_ID]],'Registre_Maintenance'!B:B,'Registre_Maintenance'!D:D,"Pas de correspondance")</f>
        <v>Pas de correspondance</v>
      </c>
      <c r="I78" t="str">
        <f>_xlfn.XLOOKUP(Logs__2[[#This Row],[Cell_ID]],'Registre_Maintenance'!B:B,'Registre_Maintenance'!E:E,"Pas de correspondance")</f>
        <v>Pas de correspondance</v>
      </c>
      <c r="J78" t="str">
        <f>_xlfn.XLOOKUP(Logs__2[[#This Row],[Cell_ID]],'Registre_Maintenance'!B:B,'Registre_Maintenance'!F:F,"Pas de correspondance")</f>
        <v>Pas de correspondance</v>
      </c>
      <c r="K78" t="str">
        <f>_xlfn.XLOOKUP(Logs__2[[#This Row],[Cell_ID]],'Registre_Maintenance'!B:B,'Registre_Maintenance'!G:G,"Pas de correspondance")</f>
        <v>Pas de correspondance</v>
      </c>
    </row>
    <row r="79" spans="1:11" hidden="1" x14ac:dyDescent="0.25">
      <c r="A79" s="1" t="s">
        <v>853</v>
      </c>
      <c r="B79" s="2">
        <v>45230</v>
      </c>
      <c r="C79" s="3">
        <v>6.7361111111111108E-2</v>
      </c>
      <c r="D79" s="1" t="s">
        <v>877</v>
      </c>
      <c r="E79">
        <v>75</v>
      </c>
      <c r="F79" s="1" t="s">
        <v>806</v>
      </c>
      <c r="G79" t="str">
        <f>_xlfn.XLOOKUP(Logs__2[[#This Row],[Cell_ID]],'Registre_Maintenance'!B:B,'Registre_Maintenance'!C:C,"Pas de correspondance")</f>
        <v>Pas de correspondance</v>
      </c>
      <c r="H79" t="str">
        <f>_xlfn.XLOOKUP(Logs__2[[#This Row],[Cell_ID]],'Registre_Maintenance'!B:B,'Registre_Maintenance'!D:D,"Pas de correspondance")</f>
        <v>Pas de correspondance</v>
      </c>
      <c r="I79" t="str">
        <f>_xlfn.XLOOKUP(Logs__2[[#This Row],[Cell_ID]],'Registre_Maintenance'!B:B,'Registre_Maintenance'!E:E,"Pas de correspondance")</f>
        <v>Pas de correspondance</v>
      </c>
      <c r="J79" t="str">
        <f>_xlfn.XLOOKUP(Logs__2[[#This Row],[Cell_ID]],'Registre_Maintenance'!B:B,'Registre_Maintenance'!F:F,"Pas de correspondance")</f>
        <v>Pas de correspondance</v>
      </c>
      <c r="K79" t="str">
        <f>_xlfn.XLOOKUP(Logs__2[[#This Row],[Cell_ID]],'Registre_Maintenance'!B:B,'Registre_Maintenance'!G:G,"Pas de correspondance")</f>
        <v>Pas de correspondance</v>
      </c>
    </row>
    <row r="80" spans="1:11" hidden="1" x14ac:dyDescent="0.25">
      <c r="A80" s="1" t="s">
        <v>853</v>
      </c>
      <c r="B80" s="2">
        <v>45223</v>
      </c>
      <c r="C80" s="3">
        <v>0.7104166666666667</v>
      </c>
      <c r="D80" s="1" t="s">
        <v>878</v>
      </c>
      <c r="E80">
        <v>43</v>
      </c>
      <c r="F80" s="1" t="s">
        <v>809</v>
      </c>
      <c r="G80" t="str">
        <f>_xlfn.XLOOKUP(Logs__2[[#This Row],[Cell_ID]],'Registre_Maintenance'!B:B,'Registre_Maintenance'!C:C,"Pas de correspondance")</f>
        <v>Pas de correspondance</v>
      </c>
      <c r="H80" t="str">
        <f>_xlfn.XLOOKUP(Logs__2[[#This Row],[Cell_ID]],'Registre_Maintenance'!B:B,'Registre_Maintenance'!D:D,"Pas de correspondance")</f>
        <v>Pas de correspondance</v>
      </c>
      <c r="I80" t="str">
        <f>_xlfn.XLOOKUP(Logs__2[[#This Row],[Cell_ID]],'Registre_Maintenance'!B:B,'Registre_Maintenance'!E:E,"Pas de correspondance")</f>
        <v>Pas de correspondance</v>
      </c>
      <c r="J80" t="str">
        <f>_xlfn.XLOOKUP(Logs__2[[#This Row],[Cell_ID]],'Registre_Maintenance'!B:B,'Registre_Maintenance'!F:F,"Pas de correspondance")</f>
        <v>Pas de correspondance</v>
      </c>
      <c r="K80" t="str">
        <f>_xlfn.XLOOKUP(Logs__2[[#This Row],[Cell_ID]],'Registre_Maintenance'!B:B,'Registre_Maintenance'!G:G,"Pas de correspondance")</f>
        <v>Pas de correspondance</v>
      </c>
    </row>
    <row r="81" spans="1:11" hidden="1" x14ac:dyDescent="0.25">
      <c r="A81" s="1" t="s">
        <v>853</v>
      </c>
      <c r="B81" s="2">
        <v>45223</v>
      </c>
      <c r="C81" s="3">
        <v>0.41875000000000001</v>
      </c>
      <c r="D81" s="1" t="s">
        <v>879</v>
      </c>
      <c r="E81">
        <v>89</v>
      </c>
      <c r="F81" s="1" t="s">
        <v>806</v>
      </c>
      <c r="G81" t="str">
        <f>_xlfn.XLOOKUP(Logs__2[[#This Row],[Cell_ID]],'Registre_Maintenance'!B:B,'Registre_Maintenance'!C:C,"Pas de correspondance")</f>
        <v>Pas de correspondance</v>
      </c>
      <c r="H81" t="str">
        <f>_xlfn.XLOOKUP(Logs__2[[#This Row],[Cell_ID]],'Registre_Maintenance'!B:B,'Registre_Maintenance'!D:D,"Pas de correspondance")</f>
        <v>Pas de correspondance</v>
      </c>
      <c r="I81" t="str">
        <f>_xlfn.XLOOKUP(Logs__2[[#This Row],[Cell_ID]],'Registre_Maintenance'!B:B,'Registre_Maintenance'!E:E,"Pas de correspondance")</f>
        <v>Pas de correspondance</v>
      </c>
      <c r="J81" t="str">
        <f>_xlfn.XLOOKUP(Logs__2[[#This Row],[Cell_ID]],'Registre_Maintenance'!B:B,'Registre_Maintenance'!F:F,"Pas de correspondance")</f>
        <v>Pas de correspondance</v>
      </c>
      <c r="K81" t="str">
        <f>_xlfn.XLOOKUP(Logs__2[[#This Row],[Cell_ID]],'Registre_Maintenance'!B:B,'Registre_Maintenance'!G:G,"Pas de correspondance")</f>
        <v>Pas de correspondance</v>
      </c>
    </row>
    <row r="82" spans="1:11" hidden="1" x14ac:dyDescent="0.25">
      <c r="A82" s="1" t="s">
        <v>853</v>
      </c>
      <c r="B82" s="2">
        <v>45201</v>
      </c>
      <c r="C82" s="3">
        <v>0.77083333333333337</v>
      </c>
      <c r="D82" s="1" t="s">
        <v>842</v>
      </c>
      <c r="E82">
        <v>18</v>
      </c>
      <c r="F82" s="1" t="s">
        <v>811</v>
      </c>
      <c r="G82" t="str">
        <f>_xlfn.XLOOKUP(Logs__2[[#This Row],[Cell_ID]],'Registre_Maintenance'!B:B,'Registre_Maintenance'!C:C,"Pas de correspondance")</f>
        <v>Pas de correspondance</v>
      </c>
      <c r="H82" t="str">
        <f>_xlfn.XLOOKUP(Logs__2[[#This Row],[Cell_ID]],'Registre_Maintenance'!B:B,'Registre_Maintenance'!D:D,"Pas de correspondance")</f>
        <v>Pas de correspondance</v>
      </c>
      <c r="I82" t="str">
        <f>_xlfn.XLOOKUP(Logs__2[[#This Row],[Cell_ID]],'Registre_Maintenance'!B:B,'Registre_Maintenance'!E:E,"Pas de correspondance")</f>
        <v>Pas de correspondance</v>
      </c>
      <c r="J82" t="str">
        <f>_xlfn.XLOOKUP(Logs__2[[#This Row],[Cell_ID]],'Registre_Maintenance'!B:B,'Registre_Maintenance'!F:F,"Pas de correspondance")</f>
        <v>Pas de correspondance</v>
      </c>
      <c r="K82" t="str">
        <f>_xlfn.XLOOKUP(Logs__2[[#This Row],[Cell_ID]],'Registre_Maintenance'!B:B,'Registre_Maintenance'!G:G,"Pas de correspondance")</f>
        <v>Pas de correspondance</v>
      </c>
    </row>
    <row r="83" spans="1:11" x14ac:dyDescent="0.25">
      <c r="A83" s="1" t="s">
        <v>853</v>
      </c>
      <c r="B83" s="2">
        <v>45216</v>
      </c>
      <c r="C83" s="3">
        <v>0.67361111111111116</v>
      </c>
      <c r="D83" s="1" t="s">
        <v>880</v>
      </c>
      <c r="E83">
        <v>117</v>
      </c>
      <c r="F83" s="1" t="s">
        <v>806</v>
      </c>
      <c r="G83" t="str">
        <f>_xlfn.XLOOKUP(Logs__2[[#This Row],[Cell_ID]],'Registre_Maintenance'!B:B,'Registre_Maintenance'!C:C,"Pas de correspondance")</f>
        <v>Sud-Ubangi</v>
      </c>
      <c r="H83">
        <f>_xlfn.XLOOKUP(Logs__2[[#This Row],[Cell_ID]],'Registre_Maintenance'!B:B,'Registre_Maintenance'!D:D,"Pas de correspondance")</f>
        <v>-12.141233</v>
      </c>
      <c r="I83">
        <f>_xlfn.XLOOKUP(Logs__2[[#This Row],[Cell_ID]],'Registre_Maintenance'!B:B,'Registre_Maintenance'!E:E,"Pas de correspondance")</f>
        <v>15.179043999999999</v>
      </c>
      <c r="J83" t="str">
        <f>_xlfn.XLOOKUP(Logs__2[[#This Row],[Cell_ID]],'Registre_Maintenance'!B:B,'Registre_Maintenance'!F:F,"Pas de correspondance")</f>
        <v>5G</v>
      </c>
      <c r="K83" t="str">
        <f>_xlfn.XLOOKUP(Logs__2[[#This Row],[Cell_ID]],'Registre_Maintenance'!B:B,'Registre_Maintenance'!G:G,"Pas de correspondance")</f>
        <v>Ericsson</v>
      </c>
    </row>
    <row r="84" spans="1:11" hidden="1" x14ac:dyDescent="0.25">
      <c r="A84" s="1" t="s">
        <v>853</v>
      </c>
      <c r="B84" s="2">
        <v>45201</v>
      </c>
      <c r="C84" s="3">
        <v>0.67013888888888884</v>
      </c>
      <c r="D84" s="1" t="s">
        <v>881</v>
      </c>
      <c r="E84">
        <v>22</v>
      </c>
      <c r="F84" s="1" t="s">
        <v>811</v>
      </c>
      <c r="G84" t="str">
        <f>_xlfn.XLOOKUP(Logs__2[[#This Row],[Cell_ID]],'Registre_Maintenance'!B:B,'Registre_Maintenance'!C:C,"Pas de correspondance")</f>
        <v>Pas de correspondance</v>
      </c>
      <c r="H84" t="str">
        <f>_xlfn.XLOOKUP(Logs__2[[#This Row],[Cell_ID]],'Registre_Maintenance'!B:B,'Registre_Maintenance'!D:D,"Pas de correspondance")</f>
        <v>Pas de correspondance</v>
      </c>
      <c r="I84" t="str">
        <f>_xlfn.XLOOKUP(Logs__2[[#This Row],[Cell_ID]],'Registre_Maintenance'!B:B,'Registre_Maintenance'!E:E,"Pas de correspondance")</f>
        <v>Pas de correspondance</v>
      </c>
      <c r="J84" t="str">
        <f>_xlfn.XLOOKUP(Logs__2[[#This Row],[Cell_ID]],'Registre_Maintenance'!B:B,'Registre_Maintenance'!F:F,"Pas de correspondance")</f>
        <v>Pas de correspondance</v>
      </c>
      <c r="K84" t="str">
        <f>_xlfn.XLOOKUP(Logs__2[[#This Row],[Cell_ID]],'Registre_Maintenance'!B:B,'Registre_Maintenance'!G:G,"Pas de correspondance")</f>
        <v>Pas de correspondance</v>
      </c>
    </row>
    <row r="85" spans="1:11" hidden="1" x14ac:dyDescent="0.25">
      <c r="A85" s="1" t="s">
        <v>853</v>
      </c>
      <c r="B85" s="2">
        <v>45227</v>
      </c>
      <c r="C85" s="3">
        <v>0.21111111111111111</v>
      </c>
      <c r="D85" s="1" t="s">
        <v>882</v>
      </c>
      <c r="E85">
        <v>38</v>
      </c>
      <c r="F85" s="1" t="s">
        <v>806</v>
      </c>
      <c r="G85" t="str">
        <f>_xlfn.XLOOKUP(Logs__2[[#This Row],[Cell_ID]],'Registre_Maintenance'!B:B,'Registre_Maintenance'!C:C,"Pas de correspondance")</f>
        <v>Pas de correspondance</v>
      </c>
      <c r="H85" t="str">
        <f>_xlfn.XLOOKUP(Logs__2[[#This Row],[Cell_ID]],'Registre_Maintenance'!B:B,'Registre_Maintenance'!D:D,"Pas de correspondance")</f>
        <v>Pas de correspondance</v>
      </c>
      <c r="I85" t="str">
        <f>_xlfn.XLOOKUP(Logs__2[[#This Row],[Cell_ID]],'Registre_Maintenance'!B:B,'Registre_Maintenance'!E:E,"Pas de correspondance")</f>
        <v>Pas de correspondance</v>
      </c>
      <c r="J85" t="str">
        <f>_xlfn.XLOOKUP(Logs__2[[#This Row],[Cell_ID]],'Registre_Maintenance'!B:B,'Registre_Maintenance'!F:F,"Pas de correspondance")</f>
        <v>Pas de correspondance</v>
      </c>
      <c r="K85" t="str">
        <f>_xlfn.XLOOKUP(Logs__2[[#This Row],[Cell_ID]],'Registre_Maintenance'!B:B,'Registre_Maintenance'!G:G,"Pas de correspondance")</f>
        <v>Pas de correspondance</v>
      </c>
    </row>
    <row r="86" spans="1:11" hidden="1" x14ac:dyDescent="0.25">
      <c r="A86" s="1" t="s">
        <v>853</v>
      </c>
      <c r="B86" s="2">
        <v>45219</v>
      </c>
      <c r="C86" s="3">
        <v>0.11319444444444444</v>
      </c>
      <c r="D86" s="1" t="s">
        <v>883</v>
      </c>
      <c r="E86">
        <v>19</v>
      </c>
      <c r="F86" s="1" t="s">
        <v>806</v>
      </c>
      <c r="G86" t="str">
        <f>_xlfn.XLOOKUP(Logs__2[[#This Row],[Cell_ID]],'Registre_Maintenance'!B:B,'Registre_Maintenance'!C:C,"Pas de correspondance")</f>
        <v>Pas de correspondance</v>
      </c>
      <c r="H86" t="str">
        <f>_xlfn.XLOOKUP(Logs__2[[#This Row],[Cell_ID]],'Registre_Maintenance'!B:B,'Registre_Maintenance'!D:D,"Pas de correspondance")</f>
        <v>Pas de correspondance</v>
      </c>
      <c r="I86" t="str">
        <f>_xlfn.XLOOKUP(Logs__2[[#This Row],[Cell_ID]],'Registre_Maintenance'!B:B,'Registre_Maintenance'!E:E,"Pas de correspondance")</f>
        <v>Pas de correspondance</v>
      </c>
      <c r="J86" t="str">
        <f>_xlfn.XLOOKUP(Logs__2[[#This Row],[Cell_ID]],'Registre_Maintenance'!B:B,'Registre_Maintenance'!F:F,"Pas de correspondance")</f>
        <v>Pas de correspondance</v>
      </c>
      <c r="K86" t="str">
        <f>_xlfn.XLOOKUP(Logs__2[[#This Row],[Cell_ID]],'Registre_Maintenance'!B:B,'Registre_Maintenance'!G:G,"Pas de correspondance")</f>
        <v>Pas de correspondance</v>
      </c>
    </row>
    <row r="87" spans="1:11" x14ac:dyDescent="0.25">
      <c r="A87" s="1" t="s">
        <v>853</v>
      </c>
      <c r="B87" s="2">
        <v>45227</v>
      </c>
      <c r="C87" s="3">
        <v>0.30902777777777779</v>
      </c>
      <c r="D87" s="1" t="s">
        <v>884</v>
      </c>
      <c r="E87">
        <v>118</v>
      </c>
      <c r="F87" s="1" t="s">
        <v>811</v>
      </c>
      <c r="G87" t="str">
        <f>_xlfn.XLOOKUP(Logs__2[[#This Row],[Cell_ID]],'Registre_Maintenance'!B:B,'Registre_Maintenance'!C:C,"Pas de correspondance")</f>
        <v>Sud-Ubangi</v>
      </c>
      <c r="H87">
        <f>_xlfn.XLOOKUP(Logs__2[[#This Row],[Cell_ID]],'Registre_Maintenance'!B:B,'Registre_Maintenance'!D:D,"Pas de correspondance")</f>
        <v>-10.914952</v>
      </c>
      <c r="I87">
        <f>_xlfn.XLOOKUP(Logs__2[[#This Row],[Cell_ID]],'Registre_Maintenance'!B:B,'Registre_Maintenance'!E:E,"Pas de correspondance")</f>
        <v>26.409648000000001</v>
      </c>
      <c r="J87" t="str">
        <f>_xlfn.XLOOKUP(Logs__2[[#This Row],[Cell_ID]],'Registre_Maintenance'!B:B,'Registre_Maintenance'!F:F,"Pas de correspondance")</f>
        <v>4G</v>
      </c>
      <c r="K87" t="str">
        <f>_xlfn.XLOOKUP(Logs__2[[#This Row],[Cell_ID]],'Registre_Maintenance'!B:B,'Registre_Maintenance'!G:G,"Pas de correspondance")</f>
        <v>Huawei</v>
      </c>
    </row>
    <row r="88" spans="1:11" x14ac:dyDescent="0.25">
      <c r="A88" s="1" t="s">
        <v>853</v>
      </c>
      <c r="B88" s="2">
        <v>45203</v>
      </c>
      <c r="C88" s="3">
        <v>0.76041666666666663</v>
      </c>
      <c r="D88" s="1" t="s">
        <v>885</v>
      </c>
      <c r="E88">
        <v>18</v>
      </c>
      <c r="F88" s="1" t="s">
        <v>811</v>
      </c>
      <c r="G88" t="str">
        <f>_xlfn.XLOOKUP(Logs__2[[#This Row],[Cell_ID]],'Registre_Maintenance'!B:B,'Registre_Maintenance'!C:C,"Pas de correspondance")</f>
        <v>Nord-Ubangi</v>
      </c>
      <c r="H88">
        <f>_xlfn.XLOOKUP(Logs__2[[#This Row],[Cell_ID]],'Registre_Maintenance'!B:B,'Registre_Maintenance'!D:D,"Pas de correspondance")</f>
        <v>0.94539899999999999</v>
      </c>
      <c r="I88">
        <f>_xlfn.XLOOKUP(Logs__2[[#This Row],[Cell_ID]],'Registre_Maintenance'!B:B,'Registre_Maintenance'!E:E,"Pas de correspondance")</f>
        <v>14.401821999999999</v>
      </c>
      <c r="J88" t="str">
        <f>_xlfn.XLOOKUP(Logs__2[[#This Row],[Cell_ID]],'Registre_Maintenance'!B:B,'Registre_Maintenance'!F:F,"Pas de correspondance")</f>
        <v>5G</v>
      </c>
      <c r="K88" t="str">
        <f>_xlfn.XLOOKUP(Logs__2[[#This Row],[Cell_ID]],'Registre_Maintenance'!B:B,'Registre_Maintenance'!G:G,"Pas de correspondance")</f>
        <v>Nokia</v>
      </c>
    </row>
    <row r="89" spans="1:11" hidden="1" x14ac:dyDescent="0.25">
      <c r="A89" s="1" t="s">
        <v>853</v>
      </c>
      <c r="B89" s="2">
        <v>45218</v>
      </c>
      <c r="C89" s="3">
        <v>0.79305555555555551</v>
      </c>
      <c r="D89" s="1" t="s">
        <v>886</v>
      </c>
      <c r="E89">
        <v>100</v>
      </c>
      <c r="F89" s="1" t="s">
        <v>811</v>
      </c>
      <c r="G89" t="str">
        <f>_xlfn.XLOOKUP(Logs__2[[#This Row],[Cell_ID]],'Registre_Maintenance'!B:B,'Registre_Maintenance'!C:C,"Pas de correspondance")</f>
        <v>Pas de correspondance</v>
      </c>
      <c r="H89" t="str">
        <f>_xlfn.XLOOKUP(Logs__2[[#This Row],[Cell_ID]],'Registre_Maintenance'!B:B,'Registre_Maintenance'!D:D,"Pas de correspondance")</f>
        <v>Pas de correspondance</v>
      </c>
      <c r="I89" t="str">
        <f>_xlfn.XLOOKUP(Logs__2[[#This Row],[Cell_ID]],'Registre_Maintenance'!B:B,'Registre_Maintenance'!E:E,"Pas de correspondance")</f>
        <v>Pas de correspondance</v>
      </c>
      <c r="J89" t="str">
        <f>_xlfn.XLOOKUP(Logs__2[[#This Row],[Cell_ID]],'Registre_Maintenance'!B:B,'Registre_Maintenance'!F:F,"Pas de correspondance")</f>
        <v>Pas de correspondance</v>
      </c>
      <c r="K89" t="str">
        <f>_xlfn.XLOOKUP(Logs__2[[#This Row],[Cell_ID]],'Registre_Maintenance'!B:B,'Registre_Maintenance'!G:G,"Pas de correspondance")</f>
        <v>Pas de correspondance</v>
      </c>
    </row>
    <row r="90" spans="1:11" x14ac:dyDescent="0.25">
      <c r="A90" s="1" t="s">
        <v>853</v>
      </c>
      <c r="B90" s="2">
        <v>45219</v>
      </c>
      <c r="C90" s="3">
        <v>0.10138888888888889</v>
      </c>
      <c r="D90" s="1" t="s">
        <v>887</v>
      </c>
      <c r="E90">
        <v>75</v>
      </c>
      <c r="F90" s="1" t="s">
        <v>806</v>
      </c>
      <c r="G90" t="str">
        <f>_xlfn.XLOOKUP(Logs__2[[#This Row],[Cell_ID]],'Registre_Maintenance'!B:B,'Registre_Maintenance'!C:C,"Pas de correspondance")</f>
        <v>Ituri</v>
      </c>
      <c r="H90">
        <f>_xlfn.XLOOKUP(Logs__2[[#This Row],[Cell_ID]],'Registre_Maintenance'!B:B,'Registre_Maintenance'!D:D,"Pas de correspondance")</f>
        <v>-7.0076900000000002</v>
      </c>
      <c r="I90">
        <f>_xlfn.XLOOKUP(Logs__2[[#This Row],[Cell_ID]],'Registre_Maintenance'!B:B,'Registre_Maintenance'!E:E,"Pas de correspondance")</f>
        <v>27.367121999999998</v>
      </c>
      <c r="J90" t="str">
        <f>_xlfn.XLOOKUP(Logs__2[[#This Row],[Cell_ID]],'Registre_Maintenance'!B:B,'Registre_Maintenance'!F:F,"Pas de correspondance")</f>
        <v>3G</v>
      </c>
      <c r="K90" t="str">
        <f>_xlfn.XLOOKUP(Logs__2[[#This Row],[Cell_ID]],'Registre_Maintenance'!B:B,'Registre_Maintenance'!G:G,"Pas de correspondance")</f>
        <v>Nokia</v>
      </c>
    </row>
    <row r="91" spans="1:11" x14ac:dyDescent="0.25">
      <c r="A91" s="1" t="s">
        <v>853</v>
      </c>
      <c r="B91" s="2">
        <v>45221</v>
      </c>
      <c r="C91" s="3">
        <v>0.77500000000000002</v>
      </c>
      <c r="D91" s="1" t="s">
        <v>888</v>
      </c>
      <c r="E91">
        <v>24</v>
      </c>
      <c r="F91" s="1" t="s">
        <v>806</v>
      </c>
      <c r="G91" t="str">
        <f>_xlfn.XLOOKUP(Logs__2[[#This Row],[Cell_ID]],'Registre_Maintenance'!B:B,'Registre_Maintenance'!C:C,"Pas de correspondance")</f>
        <v>Mongala</v>
      </c>
      <c r="H91">
        <f>_xlfn.XLOOKUP(Logs__2[[#This Row],[Cell_ID]],'Registre_Maintenance'!B:B,'Registre_Maintenance'!D:D,"Pas de correspondance")</f>
        <v>-11.514188000000001</v>
      </c>
      <c r="I91">
        <f>_xlfn.XLOOKUP(Logs__2[[#This Row],[Cell_ID]],'Registre_Maintenance'!B:B,'Registre_Maintenance'!E:E,"Pas de correspondance")</f>
        <v>15.971181</v>
      </c>
      <c r="J91" t="str">
        <f>_xlfn.XLOOKUP(Logs__2[[#This Row],[Cell_ID]],'Registre_Maintenance'!B:B,'Registre_Maintenance'!F:F,"Pas de correspondance")</f>
        <v>5G</v>
      </c>
      <c r="K91" t="str">
        <f>_xlfn.XLOOKUP(Logs__2[[#This Row],[Cell_ID]],'Registre_Maintenance'!B:B,'Registre_Maintenance'!G:G,"Pas de correspondance")</f>
        <v>Ericsson</v>
      </c>
    </row>
    <row r="92" spans="1:11" x14ac:dyDescent="0.25">
      <c r="A92" s="1" t="s">
        <v>853</v>
      </c>
      <c r="B92" s="2">
        <v>45216</v>
      </c>
      <c r="C92" s="3">
        <v>0.45763888888888887</v>
      </c>
      <c r="D92" s="1" t="s">
        <v>889</v>
      </c>
      <c r="E92">
        <v>39</v>
      </c>
      <c r="F92" s="1" t="s">
        <v>806</v>
      </c>
      <c r="G92" t="str">
        <f>_xlfn.XLOOKUP(Logs__2[[#This Row],[Cell_ID]],'Registre_Maintenance'!B:B,'Registre_Maintenance'!C:C,"Pas de correspondance")</f>
        <v>Kasaï-Central</v>
      </c>
      <c r="H92">
        <f>_xlfn.XLOOKUP(Logs__2[[#This Row],[Cell_ID]],'Registre_Maintenance'!B:B,'Registre_Maintenance'!D:D,"Pas de correspondance")</f>
        <v>-9.5266249999999992</v>
      </c>
      <c r="I92">
        <f>_xlfn.XLOOKUP(Logs__2[[#This Row],[Cell_ID]],'Registre_Maintenance'!B:B,'Registre_Maintenance'!E:E,"Pas de correspondance")</f>
        <v>27.889690999999999</v>
      </c>
      <c r="J92" t="str">
        <f>_xlfn.XLOOKUP(Logs__2[[#This Row],[Cell_ID]],'Registre_Maintenance'!B:B,'Registre_Maintenance'!F:F,"Pas de correspondance")</f>
        <v>4G</v>
      </c>
      <c r="K92" t="str">
        <f>_xlfn.XLOOKUP(Logs__2[[#This Row],[Cell_ID]],'Registre_Maintenance'!B:B,'Registre_Maintenance'!G:G,"Pas de correspondance")</f>
        <v>Ericsson</v>
      </c>
    </row>
    <row r="93" spans="1:11" x14ac:dyDescent="0.25">
      <c r="A93" s="1" t="s">
        <v>853</v>
      </c>
      <c r="B93" s="2">
        <v>45208</v>
      </c>
      <c r="C93" s="3">
        <v>0.27916666666666667</v>
      </c>
      <c r="D93" s="1" t="s">
        <v>890</v>
      </c>
      <c r="E93">
        <v>41</v>
      </c>
      <c r="F93" s="1" t="s">
        <v>809</v>
      </c>
      <c r="G93" t="str">
        <f>_xlfn.XLOOKUP(Logs__2[[#This Row],[Cell_ID]],'Registre_Maintenance'!B:B,'Registre_Maintenance'!C:C,"Pas de correspondance")</f>
        <v>Nord-Ubangi</v>
      </c>
      <c r="H93">
        <f>_xlfn.XLOOKUP(Logs__2[[#This Row],[Cell_ID]],'Registre_Maintenance'!B:B,'Registre_Maintenance'!D:D,"Pas de correspondance")</f>
        <v>-9.3066320000000005</v>
      </c>
      <c r="I93">
        <f>_xlfn.XLOOKUP(Logs__2[[#This Row],[Cell_ID]],'Registre_Maintenance'!B:B,'Registre_Maintenance'!E:E,"Pas de correspondance")</f>
        <v>20.470889</v>
      </c>
      <c r="J93" t="str">
        <f>_xlfn.XLOOKUP(Logs__2[[#This Row],[Cell_ID]],'Registre_Maintenance'!B:B,'Registre_Maintenance'!F:F,"Pas de correspondance")</f>
        <v>5G</v>
      </c>
      <c r="K93" t="str">
        <f>_xlfn.XLOOKUP(Logs__2[[#This Row],[Cell_ID]],'Registre_Maintenance'!B:B,'Registre_Maintenance'!G:G,"Pas de correspondance")</f>
        <v>ZTE</v>
      </c>
    </row>
    <row r="94" spans="1:11" x14ac:dyDescent="0.25">
      <c r="A94" s="1" t="s">
        <v>853</v>
      </c>
      <c r="B94" s="2">
        <v>45222</v>
      </c>
      <c r="C94" s="3">
        <v>0.42708333333333331</v>
      </c>
      <c r="D94" s="1" t="s">
        <v>891</v>
      </c>
      <c r="E94">
        <v>82</v>
      </c>
      <c r="F94" s="1" t="s">
        <v>806</v>
      </c>
      <c r="G94" t="str">
        <f>_xlfn.XLOOKUP(Logs__2[[#This Row],[Cell_ID]],'Registre_Maintenance'!B:B,'Registre_Maintenance'!C:C,"Pas de correspondance")</f>
        <v>Bas-Uele</v>
      </c>
      <c r="H94">
        <f>_xlfn.XLOOKUP(Logs__2[[#This Row],[Cell_ID]],'Registre_Maintenance'!B:B,'Registre_Maintenance'!D:D,"Pas de correspondance")</f>
        <v>-4.4697000000000001E-2</v>
      </c>
      <c r="I94">
        <f>_xlfn.XLOOKUP(Logs__2[[#This Row],[Cell_ID]],'Registre_Maintenance'!B:B,'Registre_Maintenance'!E:E,"Pas de correspondance")</f>
        <v>22.943373000000001</v>
      </c>
      <c r="J94" t="str">
        <f>_xlfn.XLOOKUP(Logs__2[[#This Row],[Cell_ID]],'Registre_Maintenance'!B:B,'Registre_Maintenance'!F:F,"Pas de correspondance")</f>
        <v>3G</v>
      </c>
      <c r="K94" t="str">
        <f>_xlfn.XLOOKUP(Logs__2[[#This Row],[Cell_ID]],'Registre_Maintenance'!B:B,'Registre_Maintenance'!G:G,"Pas de correspondance")</f>
        <v>Huawei</v>
      </c>
    </row>
    <row r="95" spans="1:11" hidden="1" x14ac:dyDescent="0.25">
      <c r="A95" s="1" t="s">
        <v>853</v>
      </c>
      <c r="B95" s="2">
        <v>45208</v>
      </c>
      <c r="C95" s="3">
        <v>0.50555555555555554</v>
      </c>
      <c r="D95" s="1" t="s">
        <v>892</v>
      </c>
      <c r="E95">
        <v>31</v>
      </c>
      <c r="F95" s="1" t="s">
        <v>811</v>
      </c>
      <c r="G95" t="str">
        <f>_xlfn.XLOOKUP(Logs__2[[#This Row],[Cell_ID]],'Registre_Maintenance'!B:B,'Registre_Maintenance'!C:C,"Pas de correspondance")</f>
        <v>Pas de correspondance</v>
      </c>
      <c r="H95" t="str">
        <f>_xlfn.XLOOKUP(Logs__2[[#This Row],[Cell_ID]],'Registre_Maintenance'!B:B,'Registre_Maintenance'!D:D,"Pas de correspondance")</f>
        <v>Pas de correspondance</v>
      </c>
      <c r="I95" t="str">
        <f>_xlfn.XLOOKUP(Logs__2[[#This Row],[Cell_ID]],'Registre_Maintenance'!B:B,'Registre_Maintenance'!E:E,"Pas de correspondance")</f>
        <v>Pas de correspondance</v>
      </c>
      <c r="J95" t="str">
        <f>_xlfn.XLOOKUP(Logs__2[[#This Row],[Cell_ID]],'Registre_Maintenance'!B:B,'Registre_Maintenance'!F:F,"Pas de correspondance")</f>
        <v>Pas de correspondance</v>
      </c>
      <c r="K95" t="str">
        <f>_xlfn.XLOOKUP(Logs__2[[#This Row],[Cell_ID]],'Registre_Maintenance'!B:B,'Registre_Maintenance'!G:G,"Pas de correspondance")</f>
        <v>Pas de correspondance</v>
      </c>
    </row>
    <row r="96" spans="1:11" hidden="1" x14ac:dyDescent="0.25">
      <c r="A96" s="1" t="s">
        <v>853</v>
      </c>
      <c r="B96" s="2">
        <v>45221</v>
      </c>
      <c r="C96" s="3">
        <v>0.84652777777777777</v>
      </c>
      <c r="D96" s="1" t="s">
        <v>893</v>
      </c>
      <c r="E96">
        <v>96</v>
      </c>
      <c r="F96" s="1" t="s">
        <v>811</v>
      </c>
      <c r="G96" t="str">
        <f>_xlfn.XLOOKUP(Logs__2[[#This Row],[Cell_ID]],'Registre_Maintenance'!B:B,'Registre_Maintenance'!C:C,"Pas de correspondance")</f>
        <v>Pas de correspondance</v>
      </c>
      <c r="H96" t="str">
        <f>_xlfn.XLOOKUP(Logs__2[[#This Row],[Cell_ID]],'Registre_Maintenance'!B:B,'Registre_Maintenance'!D:D,"Pas de correspondance")</f>
        <v>Pas de correspondance</v>
      </c>
      <c r="I96" t="str">
        <f>_xlfn.XLOOKUP(Logs__2[[#This Row],[Cell_ID]],'Registre_Maintenance'!B:B,'Registre_Maintenance'!E:E,"Pas de correspondance")</f>
        <v>Pas de correspondance</v>
      </c>
      <c r="J96" t="str">
        <f>_xlfn.XLOOKUP(Logs__2[[#This Row],[Cell_ID]],'Registre_Maintenance'!B:B,'Registre_Maintenance'!F:F,"Pas de correspondance")</f>
        <v>Pas de correspondance</v>
      </c>
      <c r="K96" t="str">
        <f>_xlfn.XLOOKUP(Logs__2[[#This Row],[Cell_ID]],'Registre_Maintenance'!B:B,'Registre_Maintenance'!G:G,"Pas de correspondance")</f>
        <v>Pas de correspondance</v>
      </c>
    </row>
    <row r="97" spans="1:11" x14ac:dyDescent="0.25">
      <c r="A97" s="1" t="s">
        <v>853</v>
      </c>
      <c r="B97" s="2">
        <v>45214</v>
      </c>
      <c r="C97" s="3">
        <v>0.45763888888888887</v>
      </c>
      <c r="D97" s="1" t="s">
        <v>894</v>
      </c>
      <c r="E97">
        <v>48</v>
      </c>
      <c r="F97" s="1" t="s">
        <v>811</v>
      </c>
      <c r="G97" t="str">
        <f>_xlfn.XLOOKUP(Logs__2[[#This Row],[Cell_ID]],'Registre_Maintenance'!B:B,'Registre_Maintenance'!C:C,"Pas de correspondance")</f>
        <v>Sud-Ubangi</v>
      </c>
      <c r="H97">
        <f>_xlfn.XLOOKUP(Logs__2[[#This Row],[Cell_ID]],'Registre_Maintenance'!B:B,'Registre_Maintenance'!D:D,"Pas de correspondance")</f>
        <v>-9.3652239999999995</v>
      </c>
      <c r="I97">
        <f>_xlfn.XLOOKUP(Logs__2[[#This Row],[Cell_ID]],'Registre_Maintenance'!B:B,'Registre_Maintenance'!E:E,"Pas de correspondance")</f>
        <v>22.593423999999999</v>
      </c>
      <c r="J97" t="str">
        <f>_xlfn.XLOOKUP(Logs__2[[#This Row],[Cell_ID]],'Registre_Maintenance'!B:B,'Registre_Maintenance'!F:F,"Pas de correspondance")</f>
        <v>5G</v>
      </c>
      <c r="K97" t="str">
        <f>_xlfn.XLOOKUP(Logs__2[[#This Row],[Cell_ID]],'Registre_Maintenance'!B:B,'Registre_Maintenance'!G:G,"Pas de correspondance")</f>
        <v>Nokia</v>
      </c>
    </row>
    <row r="98" spans="1:11" hidden="1" x14ac:dyDescent="0.25">
      <c r="A98" s="1" t="s">
        <v>853</v>
      </c>
      <c r="B98" s="2">
        <v>45224</v>
      </c>
      <c r="C98" s="3">
        <v>8.3333333333333329E-2</v>
      </c>
      <c r="D98" s="1" t="s">
        <v>895</v>
      </c>
      <c r="E98">
        <v>31</v>
      </c>
      <c r="F98" s="1" t="s">
        <v>806</v>
      </c>
      <c r="G98" t="str">
        <f>_xlfn.XLOOKUP(Logs__2[[#This Row],[Cell_ID]],'Registre_Maintenance'!B:B,'Registre_Maintenance'!C:C,"Pas de correspondance")</f>
        <v>Pas de correspondance</v>
      </c>
      <c r="H98" t="str">
        <f>_xlfn.XLOOKUP(Logs__2[[#This Row],[Cell_ID]],'Registre_Maintenance'!B:B,'Registre_Maintenance'!D:D,"Pas de correspondance")</f>
        <v>Pas de correspondance</v>
      </c>
      <c r="I98" t="str">
        <f>_xlfn.XLOOKUP(Logs__2[[#This Row],[Cell_ID]],'Registre_Maintenance'!B:B,'Registre_Maintenance'!E:E,"Pas de correspondance")</f>
        <v>Pas de correspondance</v>
      </c>
      <c r="J98" t="str">
        <f>_xlfn.XLOOKUP(Logs__2[[#This Row],[Cell_ID]],'Registre_Maintenance'!B:B,'Registre_Maintenance'!F:F,"Pas de correspondance")</f>
        <v>Pas de correspondance</v>
      </c>
      <c r="K98" t="str">
        <f>_xlfn.XLOOKUP(Logs__2[[#This Row],[Cell_ID]],'Registre_Maintenance'!B:B,'Registre_Maintenance'!G:G,"Pas de correspondance")</f>
        <v>Pas de correspondance</v>
      </c>
    </row>
    <row r="99" spans="1:11" hidden="1" x14ac:dyDescent="0.25">
      <c r="A99" s="1" t="s">
        <v>853</v>
      </c>
      <c r="B99" s="2">
        <v>45214</v>
      </c>
      <c r="C99" s="3">
        <v>0.81666666666666665</v>
      </c>
      <c r="D99" s="1" t="s">
        <v>896</v>
      </c>
      <c r="E99">
        <v>92</v>
      </c>
      <c r="F99" s="1" t="s">
        <v>811</v>
      </c>
      <c r="G99" t="str">
        <f>_xlfn.XLOOKUP(Logs__2[[#This Row],[Cell_ID]],'Registre_Maintenance'!B:B,'Registre_Maintenance'!C:C,"Pas de correspondance")</f>
        <v>Pas de correspondance</v>
      </c>
      <c r="H99" t="str">
        <f>_xlfn.XLOOKUP(Logs__2[[#This Row],[Cell_ID]],'Registre_Maintenance'!B:B,'Registre_Maintenance'!D:D,"Pas de correspondance")</f>
        <v>Pas de correspondance</v>
      </c>
      <c r="I99" t="str">
        <f>_xlfn.XLOOKUP(Logs__2[[#This Row],[Cell_ID]],'Registre_Maintenance'!B:B,'Registre_Maintenance'!E:E,"Pas de correspondance")</f>
        <v>Pas de correspondance</v>
      </c>
      <c r="J99" t="str">
        <f>_xlfn.XLOOKUP(Logs__2[[#This Row],[Cell_ID]],'Registre_Maintenance'!B:B,'Registre_Maintenance'!F:F,"Pas de correspondance")</f>
        <v>Pas de correspondance</v>
      </c>
      <c r="K99" t="str">
        <f>_xlfn.XLOOKUP(Logs__2[[#This Row],[Cell_ID]],'Registre_Maintenance'!B:B,'Registre_Maintenance'!G:G,"Pas de correspondance")</f>
        <v>Pas de correspondance</v>
      </c>
    </row>
    <row r="100" spans="1:11" x14ac:dyDescent="0.25">
      <c r="A100" s="1" t="s">
        <v>897</v>
      </c>
      <c r="B100" s="2">
        <v>45230</v>
      </c>
      <c r="C100" s="3">
        <v>4.8611111111111112E-3</v>
      </c>
      <c r="D100" s="1" t="s">
        <v>898</v>
      </c>
      <c r="E100">
        <v>58</v>
      </c>
      <c r="F100" s="1" t="s">
        <v>806</v>
      </c>
      <c r="G100" t="str">
        <f>_xlfn.XLOOKUP(Logs__2[[#This Row],[Cell_ID]],'Registre_Maintenance'!B:B,'Registre_Maintenance'!C:C,"Pas de correspondance")</f>
        <v>Lualaba</v>
      </c>
      <c r="H100">
        <f>_xlfn.XLOOKUP(Logs__2[[#This Row],[Cell_ID]],'Registre_Maintenance'!B:B,'Registre_Maintenance'!D:D,"Pas de correspondance")</f>
        <v>-7.4608439999999998</v>
      </c>
      <c r="I100">
        <f>_xlfn.XLOOKUP(Logs__2[[#This Row],[Cell_ID]],'Registre_Maintenance'!B:B,'Registre_Maintenance'!E:E,"Pas de correspondance")</f>
        <v>23.268619999999999</v>
      </c>
      <c r="J100" t="str">
        <f>_xlfn.XLOOKUP(Logs__2[[#This Row],[Cell_ID]],'Registre_Maintenance'!B:B,'Registre_Maintenance'!F:F,"Pas de correspondance")</f>
        <v>4G</v>
      </c>
      <c r="K100" t="str">
        <f>_xlfn.XLOOKUP(Logs__2[[#This Row],[Cell_ID]],'Registre_Maintenance'!B:B,'Registre_Maintenance'!G:G,"Pas de correspondance")</f>
        <v>Huawei</v>
      </c>
    </row>
    <row r="101" spans="1:11" hidden="1" x14ac:dyDescent="0.25">
      <c r="A101" s="1" t="s">
        <v>897</v>
      </c>
      <c r="B101" s="2">
        <v>45228</v>
      </c>
      <c r="C101" s="3">
        <v>0.34097222222222223</v>
      </c>
      <c r="D101" s="1" t="s">
        <v>899</v>
      </c>
      <c r="E101">
        <v>118</v>
      </c>
      <c r="F101" s="1" t="s">
        <v>811</v>
      </c>
      <c r="G101" t="str">
        <f>_xlfn.XLOOKUP(Logs__2[[#This Row],[Cell_ID]],'Registre_Maintenance'!B:B,'Registre_Maintenance'!C:C,"Pas de correspondance")</f>
        <v>Pas de correspondance</v>
      </c>
      <c r="H101" t="str">
        <f>_xlfn.XLOOKUP(Logs__2[[#This Row],[Cell_ID]],'Registre_Maintenance'!B:B,'Registre_Maintenance'!D:D,"Pas de correspondance")</f>
        <v>Pas de correspondance</v>
      </c>
      <c r="I101" t="str">
        <f>_xlfn.XLOOKUP(Logs__2[[#This Row],[Cell_ID]],'Registre_Maintenance'!B:B,'Registre_Maintenance'!E:E,"Pas de correspondance")</f>
        <v>Pas de correspondance</v>
      </c>
      <c r="J101" t="str">
        <f>_xlfn.XLOOKUP(Logs__2[[#This Row],[Cell_ID]],'Registre_Maintenance'!B:B,'Registre_Maintenance'!F:F,"Pas de correspondance")</f>
        <v>Pas de correspondance</v>
      </c>
      <c r="K101" t="str">
        <f>_xlfn.XLOOKUP(Logs__2[[#This Row],[Cell_ID]],'Registre_Maintenance'!B:B,'Registre_Maintenance'!G:G,"Pas de correspondance")</f>
        <v>Pas de correspondance</v>
      </c>
    </row>
    <row r="102" spans="1:11" hidden="1" x14ac:dyDescent="0.25">
      <c r="A102" s="1" t="s">
        <v>897</v>
      </c>
      <c r="B102" s="2">
        <v>45218</v>
      </c>
      <c r="C102" s="3">
        <v>0.3347222222222222</v>
      </c>
      <c r="D102" s="1" t="s">
        <v>900</v>
      </c>
      <c r="E102">
        <v>85</v>
      </c>
      <c r="F102" s="1" t="s">
        <v>811</v>
      </c>
      <c r="G102" t="str">
        <f>_xlfn.XLOOKUP(Logs__2[[#This Row],[Cell_ID]],'Registre_Maintenance'!B:B,'Registre_Maintenance'!C:C,"Pas de correspondance")</f>
        <v>Pas de correspondance</v>
      </c>
      <c r="H102" t="str">
        <f>_xlfn.XLOOKUP(Logs__2[[#This Row],[Cell_ID]],'Registre_Maintenance'!B:B,'Registre_Maintenance'!D:D,"Pas de correspondance")</f>
        <v>Pas de correspondance</v>
      </c>
      <c r="I102" t="str">
        <f>_xlfn.XLOOKUP(Logs__2[[#This Row],[Cell_ID]],'Registre_Maintenance'!B:B,'Registre_Maintenance'!E:E,"Pas de correspondance")</f>
        <v>Pas de correspondance</v>
      </c>
      <c r="J102" t="str">
        <f>_xlfn.XLOOKUP(Logs__2[[#This Row],[Cell_ID]],'Registre_Maintenance'!B:B,'Registre_Maintenance'!F:F,"Pas de correspondance")</f>
        <v>Pas de correspondance</v>
      </c>
      <c r="K102" t="str">
        <f>_xlfn.XLOOKUP(Logs__2[[#This Row],[Cell_ID]],'Registre_Maintenance'!B:B,'Registre_Maintenance'!G:G,"Pas de correspondance")</f>
        <v>Pas de correspondance</v>
      </c>
    </row>
    <row r="103" spans="1:11" hidden="1" x14ac:dyDescent="0.25">
      <c r="A103" s="1" t="s">
        <v>897</v>
      </c>
      <c r="B103" s="2">
        <v>45203</v>
      </c>
      <c r="C103" s="3">
        <v>0.81041666666666667</v>
      </c>
      <c r="D103" s="1" t="s">
        <v>901</v>
      </c>
      <c r="E103">
        <v>78</v>
      </c>
      <c r="F103" s="1" t="s">
        <v>811</v>
      </c>
      <c r="G103" t="str">
        <f>_xlfn.XLOOKUP(Logs__2[[#This Row],[Cell_ID]],'Registre_Maintenance'!B:B,'Registre_Maintenance'!C:C,"Pas de correspondance")</f>
        <v>Pas de correspondance</v>
      </c>
      <c r="H103" t="str">
        <f>_xlfn.XLOOKUP(Logs__2[[#This Row],[Cell_ID]],'Registre_Maintenance'!B:B,'Registre_Maintenance'!D:D,"Pas de correspondance")</f>
        <v>Pas de correspondance</v>
      </c>
      <c r="I103" t="str">
        <f>_xlfn.XLOOKUP(Logs__2[[#This Row],[Cell_ID]],'Registre_Maintenance'!B:B,'Registre_Maintenance'!E:E,"Pas de correspondance")</f>
        <v>Pas de correspondance</v>
      </c>
      <c r="J103" t="str">
        <f>_xlfn.XLOOKUP(Logs__2[[#This Row],[Cell_ID]],'Registre_Maintenance'!B:B,'Registre_Maintenance'!F:F,"Pas de correspondance")</f>
        <v>Pas de correspondance</v>
      </c>
      <c r="K103" t="str">
        <f>_xlfn.XLOOKUP(Logs__2[[#This Row],[Cell_ID]],'Registre_Maintenance'!B:B,'Registre_Maintenance'!G:G,"Pas de correspondance")</f>
        <v>Pas de correspondance</v>
      </c>
    </row>
    <row r="104" spans="1:11" hidden="1" x14ac:dyDescent="0.25">
      <c r="A104" s="1" t="s">
        <v>897</v>
      </c>
      <c r="B104" s="2">
        <v>45211</v>
      </c>
      <c r="C104" s="3">
        <v>0.99305555555555558</v>
      </c>
      <c r="D104" s="1" t="s">
        <v>902</v>
      </c>
      <c r="E104">
        <v>29</v>
      </c>
      <c r="F104" s="1" t="s">
        <v>809</v>
      </c>
      <c r="G104" t="str">
        <f>_xlfn.XLOOKUP(Logs__2[[#This Row],[Cell_ID]],'Registre_Maintenance'!B:B,'Registre_Maintenance'!C:C,"Pas de correspondance")</f>
        <v>Pas de correspondance</v>
      </c>
      <c r="H104" t="str">
        <f>_xlfn.XLOOKUP(Logs__2[[#This Row],[Cell_ID]],'Registre_Maintenance'!B:B,'Registre_Maintenance'!D:D,"Pas de correspondance")</f>
        <v>Pas de correspondance</v>
      </c>
      <c r="I104" t="str">
        <f>_xlfn.XLOOKUP(Logs__2[[#This Row],[Cell_ID]],'Registre_Maintenance'!B:B,'Registre_Maintenance'!E:E,"Pas de correspondance")</f>
        <v>Pas de correspondance</v>
      </c>
      <c r="J104" t="str">
        <f>_xlfn.XLOOKUP(Logs__2[[#This Row],[Cell_ID]],'Registre_Maintenance'!B:B,'Registre_Maintenance'!F:F,"Pas de correspondance")</f>
        <v>Pas de correspondance</v>
      </c>
      <c r="K104" t="str">
        <f>_xlfn.XLOOKUP(Logs__2[[#This Row],[Cell_ID]],'Registre_Maintenance'!B:B,'Registre_Maintenance'!G:G,"Pas de correspondance")</f>
        <v>Pas de correspondance</v>
      </c>
    </row>
    <row r="105" spans="1:11" x14ac:dyDescent="0.25">
      <c r="A105" s="1" t="s">
        <v>897</v>
      </c>
      <c r="B105" s="2">
        <v>45210</v>
      </c>
      <c r="C105" s="3">
        <v>0.56805555555555554</v>
      </c>
      <c r="D105" s="1" t="s">
        <v>903</v>
      </c>
      <c r="E105">
        <v>96</v>
      </c>
      <c r="F105" s="1" t="s">
        <v>806</v>
      </c>
      <c r="G105" t="str">
        <f>_xlfn.XLOOKUP(Logs__2[[#This Row],[Cell_ID]],'Registre_Maintenance'!B:B,'Registre_Maintenance'!C:C,"Pas de correspondance")</f>
        <v>Kinshasa</v>
      </c>
      <c r="H105">
        <f>_xlfn.XLOOKUP(Logs__2[[#This Row],[Cell_ID]],'Registre_Maintenance'!B:B,'Registre_Maintenance'!D:D,"Pas de correspondance")</f>
        <v>-5.4126279999999998</v>
      </c>
      <c r="I105">
        <f>_xlfn.XLOOKUP(Logs__2[[#This Row],[Cell_ID]],'Registre_Maintenance'!B:B,'Registre_Maintenance'!E:E,"Pas de correspondance")</f>
        <v>25.498235999999999</v>
      </c>
      <c r="J105" t="str">
        <f>_xlfn.XLOOKUP(Logs__2[[#This Row],[Cell_ID]],'Registre_Maintenance'!B:B,'Registre_Maintenance'!F:F,"Pas de correspondance")</f>
        <v>5G</v>
      </c>
      <c r="K105" t="str">
        <f>_xlfn.XLOOKUP(Logs__2[[#This Row],[Cell_ID]],'Registre_Maintenance'!B:B,'Registre_Maintenance'!G:G,"Pas de correspondance")</f>
        <v>ZTE</v>
      </c>
    </row>
    <row r="106" spans="1:11" hidden="1" x14ac:dyDescent="0.25">
      <c r="A106" s="1" t="s">
        <v>897</v>
      </c>
      <c r="B106" s="2">
        <v>45216</v>
      </c>
      <c r="C106" s="3">
        <v>0.14166666666666666</v>
      </c>
      <c r="D106" s="1" t="s">
        <v>904</v>
      </c>
      <c r="E106">
        <v>94</v>
      </c>
      <c r="F106" s="1" t="s">
        <v>806</v>
      </c>
      <c r="G106" t="str">
        <f>_xlfn.XLOOKUP(Logs__2[[#This Row],[Cell_ID]],'Registre_Maintenance'!B:B,'Registre_Maintenance'!C:C,"Pas de correspondance")</f>
        <v>Pas de correspondance</v>
      </c>
      <c r="H106" t="str">
        <f>_xlfn.XLOOKUP(Logs__2[[#This Row],[Cell_ID]],'Registre_Maintenance'!B:B,'Registre_Maintenance'!D:D,"Pas de correspondance")</f>
        <v>Pas de correspondance</v>
      </c>
      <c r="I106" t="str">
        <f>_xlfn.XLOOKUP(Logs__2[[#This Row],[Cell_ID]],'Registre_Maintenance'!B:B,'Registre_Maintenance'!E:E,"Pas de correspondance")</f>
        <v>Pas de correspondance</v>
      </c>
      <c r="J106" t="str">
        <f>_xlfn.XLOOKUP(Logs__2[[#This Row],[Cell_ID]],'Registre_Maintenance'!B:B,'Registre_Maintenance'!F:F,"Pas de correspondance")</f>
        <v>Pas de correspondance</v>
      </c>
      <c r="K106" t="str">
        <f>_xlfn.XLOOKUP(Logs__2[[#This Row],[Cell_ID]],'Registre_Maintenance'!B:B,'Registre_Maintenance'!G:G,"Pas de correspondance")</f>
        <v>Pas de correspondance</v>
      </c>
    </row>
    <row r="107" spans="1:11" hidden="1" x14ac:dyDescent="0.25">
      <c r="A107" s="1" t="s">
        <v>897</v>
      </c>
      <c r="B107" s="2">
        <v>45228</v>
      </c>
      <c r="C107" s="3">
        <v>0.7583333333333333</v>
      </c>
      <c r="D107" s="1" t="s">
        <v>905</v>
      </c>
      <c r="E107">
        <v>54</v>
      </c>
      <c r="F107" s="1" t="s">
        <v>806</v>
      </c>
      <c r="G107" t="str">
        <f>_xlfn.XLOOKUP(Logs__2[[#This Row],[Cell_ID]],'Registre_Maintenance'!B:B,'Registre_Maintenance'!C:C,"Pas de correspondance")</f>
        <v>Pas de correspondance</v>
      </c>
      <c r="H107" t="str">
        <f>_xlfn.XLOOKUP(Logs__2[[#This Row],[Cell_ID]],'Registre_Maintenance'!B:B,'Registre_Maintenance'!D:D,"Pas de correspondance")</f>
        <v>Pas de correspondance</v>
      </c>
      <c r="I107" t="str">
        <f>_xlfn.XLOOKUP(Logs__2[[#This Row],[Cell_ID]],'Registre_Maintenance'!B:B,'Registre_Maintenance'!E:E,"Pas de correspondance")</f>
        <v>Pas de correspondance</v>
      </c>
      <c r="J107" t="str">
        <f>_xlfn.XLOOKUP(Logs__2[[#This Row],[Cell_ID]],'Registre_Maintenance'!B:B,'Registre_Maintenance'!F:F,"Pas de correspondance")</f>
        <v>Pas de correspondance</v>
      </c>
      <c r="K107" t="str">
        <f>_xlfn.XLOOKUP(Logs__2[[#This Row],[Cell_ID]],'Registre_Maintenance'!B:B,'Registre_Maintenance'!G:G,"Pas de correspondance")</f>
        <v>Pas de correspondance</v>
      </c>
    </row>
    <row r="108" spans="1:11" x14ac:dyDescent="0.25">
      <c r="A108" s="1" t="s">
        <v>897</v>
      </c>
      <c r="B108" s="2">
        <v>45208</v>
      </c>
      <c r="C108" s="3">
        <v>7.2916666666666671E-2</v>
      </c>
      <c r="D108" s="1" t="s">
        <v>906</v>
      </c>
      <c r="E108">
        <v>68</v>
      </c>
      <c r="F108" s="1" t="s">
        <v>806</v>
      </c>
      <c r="G108" t="str">
        <f>_xlfn.XLOOKUP(Logs__2[[#This Row],[Cell_ID]],'Registre_Maintenance'!B:B,'Registre_Maintenance'!C:C,"Pas de correspondance")</f>
        <v>Nord-Kivu</v>
      </c>
      <c r="H108">
        <f>_xlfn.XLOOKUP(Logs__2[[#This Row],[Cell_ID]],'Registre_Maintenance'!B:B,'Registre_Maintenance'!D:D,"Pas de correspondance")</f>
        <v>1.017161</v>
      </c>
      <c r="I108">
        <f>_xlfn.XLOOKUP(Logs__2[[#This Row],[Cell_ID]],'Registre_Maintenance'!B:B,'Registre_Maintenance'!E:E,"Pas de correspondance")</f>
        <v>16.519689</v>
      </c>
      <c r="J108" t="str">
        <f>_xlfn.XLOOKUP(Logs__2[[#This Row],[Cell_ID]],'Registre_Maintenance'!B:B,'Registre_Maintenance'!F:F,"Pas de correspondance")</f>
        <v>3G</v>
      </c>
      <c r="K108" t="str">
        <f>_xlfn.XLOOKUP(Logs__2[[#This Row],[Cell_ID]],'Registre_Maintenance'!B:B,'Registre_Maintenance'!G:G,"Pas de correspondance")</f>
        <v>Nokia</v>
      </c>
    </row>
    <row r="109" spans="1:11" x14ac:dyDescent="0.25">
      <c r="A109" s="1" t="s">
        <v>897</v>
      </c>
      <c r="B109" s="2">
        <v>45213</v>
      </c>
      <c r="C109" s="3">
        <v>2.2916666666666665E-2</v>
      </c>
      <c r="D109" s="1" t="s">
        <v>813</v>
      </c>
      <c r="E109">
        <v>56</v>
      </c>
      <c r="F109" s="1" t="s">
        <v>811</v>
      </c>
      <c r="G109" t="str">
        <f>_xlfn.XLOOKUP(Logs__2[[#This Row],[Cell_ID]],'Registre_Maintenance'!B:B,'Registre_Maintenance'!C:C,"Pas de correspondance")</f>
        <v>Kongo-Central</v>
      </c>
      <c r="H109">
        <f>_xlfn.XLOOKUP(Logs__2[[#This Row],[Cell_ID]],'Registre_Maintenance'!B:B,'Registre_Maintenance'!D:D,"Pas de correspondance")</f>
        <v>-2.8211520000000001</v>
      </c>
      <c r="I109">
        <f>_xlfn.XLOOKUP(Logs__2[[#This Row],[Cell_ID]],'Registre_Maintenance'!B:B,'Registre_Maintenance'!E:E,"Pas de correspondance")</f>
        <v>20.651419000000001</v>
      </c>
      <c r="J109" t="str">
        <f>_xlfn.XLOOKUP(Logs__2[[#This Row],[Cell_ID]],'Registre_Maintenance'!B:B,'Registre_Maintenance'!F:F,"Pas de correspondance")</f>
        <v>5G</v>
      </c>
      <c r="K109" t="str">
        <f>_xlfn.XLOOKUP(Logs__2[[#This Row],[Cell_ID]],'Registre_Maintenance'!B:B,'Registre_Maintenance'!G:G,"Pas de correspondance")</f>
        <v>Ericsson</v>
      </c>
    </row>
    <row r="110" spans="1:11" x14ac:dyDescent="0.25">
      <c r="A110" s="1" t="s">
        <v>897</v>
      </c>
      <c r="B110" s="2">
        <v>45229</v>
      </c>
      <c r="C110" s="3">
        <v>0.73819444444444449</v>
      </c>
      <c r="D110" s="1" t="s">
        <v>907</v>
      </c>
      <c r="E110">
        <v>36</v>
      </c>
      <c r="F110" s="1" t="s">
        <v>809</v>
      </c>
      <c r="G110" t="str">
        <f>_xlfn.XLOOKUP(Logs__2[[#This Row],[Cell_ID]],'Registre_Maintenance'!B:B,'Registre_Maintenance'!C:C,"Pas de correspondance")</f>
        <v>Lomami</v>
      </c>
      <c r="H110">
        <f>_xlfn.XLOOKUP(Logs__2[[#This Row],[Cell_ID]],'Registre_Maintenance'!B:B,'Registre_Maintenance'!D:D,"Pas de correspondance")</f>
        <v>-11.218453999999999</v>
      </c>
      <c r="I110">
        <f>_xlfn.XLOOKUP(Logs__2[[#This Row],[Cell_ID]],'Registre_Maintenance'!B:B,'Registre_Maintenance'!E:E,"Pas de correspondance")</f>
        <v>28.230025000000001</v>
      </c>
      <c r="J110" t="str">
        <f>_xlfn.XLOOKUP(Logs__2[[#This Row],[Cell_ID]],'Registre_Maintenance'!B:B,'Registre_Maintenance'!F:F,"Pas de correspondance")</f>
        <v>5G</v>
      </c>
      <c r="K110" t="str">
        <f>_xlfn.XLOOKUP(Logs__2[[#This Row],[Cell_ID]],'Registre_Maintenance'!B:B,'Registre_Maintenance'!G:G,"Pas de correspondance")</f>
        <v>ZTE</v>
      </c>
    </row>
    <row r="111" spans="1:11" x14ac:dyDescent="0.25">
      <c r="A111" s="1" t="s">
        <v>897</v>
      </c>
      <c r="B111" s="2">
        <v>45223</v>
      </c>
      <c r="C111" s="3">
        <v>0.99097222222222225</v>
      </c>
      <c r="D111" s="1" t="s">
        <v>908</v>
      </c>
      <c r="E111">
        <v>23</v>
      </c>
      <c r="F111" s="1" t="s">
        <v>806</v>
      </c>
      <c r="G111" t="str">
        <f>_xlfn.XLOOKUP(Logs__2[[#This Row],[Cell_ID]],'Registre_Maintenance'!B:B,'Registre_Maintenance'!C:C,"Pas de correspondance")</f>
        <v>Sankuru</v>
      </c>
      <c r="H111">
        <f>_xlfn.XLOOKUP(Logs__2[[#This Row],[Cell_ID]],'Registre_Maintenance'!B:B,'Registre_Maintenance'!D:D,"Pas de correspondance")</f>
        <v>-8.0922239999999999</v>
      </c>
      <c r="I111">
        <f>_xlfn.XLOOKUP(Logs__2[[#This Row],[Cell_ID]],'Registre_Maintenance'!B:B,'Registre_Maintenance'!E:E,"Pas de correspondance")</f>
        <v>15.483708</v>
      </c>
      <c r="J111" t="str">
        <f>_xlfn.XLOOKUP(Logs__2[[#This Row],[Cell_ID]],'Registre_Maintenance'!B:B,'Registre_Maintenance'!F:F,"Pas de correspondance")</f>
        <v>5G</v>
      </c>
      <c r="K111" t="str">
        <f>_xlfn.XLOOKUP(Logs__2[[#This Row],[Cell_ID]],'Registre_Maintenance'!B:B,'Registre_Maintenance'!G:G,"Pas de correspondance")</f>
        <v>Nokia</v>
      </c>
    </row>
    <row r="112" spans="1:11" x14ac:dyDescent="0.25">
      <c r="A112" s="1" t="s">
        <v>897</v>
      </c>
      <c r="B112" s="2">
        <v>45221</v>
      </c>
      <c r="C112" s="3">
        <v>0.26597222222222222</v>
      </c>
      <c r="D112" s="1" t="s">
        <v>909</v>
      </c>
      <c r="E112">
        <v>88</v>
      </c>
      <c r="F112" s="1" t="s">
        <v>809</v>
      </c>
      <c r="G112" t="str">
        <f>_xlfn.XLOOKUP(Logs__2[[#This Row],[Cell_ID]],'Registre_Maintenance'!B:B,'Registre_Maintenance'!C:C,"Pas de correspondance")</f>
        <v>Kinshasa</v>
      </c>
      <c r="H112">
        <f>_xlfn.XLOOKUP(Logs__2[[#This Row],[Cell_ID]],'Registre_Maintenance'!B:B,'Registre_Maintenance'!D:D,"Pas de correspondance")</f>
        <v>-1.339734</v>
      </c>
      <c r="I112">
        <f>_xlfn.XLOOKUP(Logs__2[[#This Row],[Cell_ID]],'Registre_Maintenance'!B:B,'Registre_Maintenance'!E:E,"Pas de correspondance")</f>
        <v>15.243098</v>
      </c>
      <c r="J112" t="str">
        <f>_xlfn.XLOOKUP(Logs__2[[#This Row],[Cell_ID]],'Registre_Maintenance'!B:B,'Registre_Maintenance'!F:F,"Pas de correspondance")</f>
        <v>3G</v>
      </c>
      <c r="K112" t="str">
        <f>_xlfn.XLOOKUP(Logs__2[[#This Row],[Cell_ID]],'Registre_Maintenance'!B:B,'Registre_Maintenance'!G:G,"Pas de correspondance")</f>
        <v>Nokia</v>
      </c>
    </row>
    <row r="113" spans="1:11" hidden="1" x14ac:dyDescent="0.25">
      <c r="A113" s="1" t="s">
        <v>897</v>
      </c>
      <c r="B113" s="2">
        <v>45213</v>
      </c>
      <c r="C113" s="3">
        <v>0.1125</v>
      </c>
      <c r="D113" s="1" t="s">
        <v>910</v>
      </c>
      <c r="E113">
        <v>93</v>
      </c>
      <c r="F113" s="1" t="s">
        <v>806</v>
      </c>
      <c r="G113" t="str">
        <f>_xlfn.XLOOKUP(Logs__2[[#This Row],[Cell_ID]],'Registre_Maintenance'!B:B,'Registre_Maintenance'!C:C,"Pas de correspondance")</f>
        <v>Pas de correspondance</v>
      </c>
      <c r="H113" t="str">
        <f>_xlfn.XLOOKUP(Logs__2[[#This Row],[Cell_ID]],'Registre_Maintenance'!B:B,'Registre_Maintenance'!D:D,"Pas de correspondance")</f>
        <v>Pas de correspondance</v>
      </c>
      <c r="I113" t="str">
        <f>_xlfn.XLOOKUP(Logs__2[[#This Row],[Cell_ID]],'Registre_Maintenance'!B:B,'Registre_Maintenance'!E:E,"Pas de correspondance")</f>
        <v>Pas de correspondance</v>
      </c>
      <c r="J113" t="str">
        <f>_xlfn.XLOOKUP(Logs__2[[#This Row],[Cell_ID]],'Registre_Maintenance'!B:B,'Registre_Maintenance'!F:F,"Pas de correspondance")</f>
        <v>Pas de correspondance</v>
      </c>
      <c r="K113" t="str">
        <f>_xlfn.XLOOKUP(Logs__2[[#This Row],[Cell_ID]],'Registre_Maintenance'!B:B,'Registre_Maintenance'!G:G,"Pas de correspondance")</f>
        <v>Pas de correspondance</v>
      </c>
    </row>
    <row r="114" spans="1:11" x14ac:dyDescent="0.25">
      <c r="A114" s="1" t="s">
        <v>897</v>
      </c>
      <c r="B114" s="2">
        <v>45229</v>
      </c>
      <c r="C114" s="3">
        <v>0.44374999999999998</v>
      </c>
      <c r="D114" s="1" t="s">
        <v>911</v>
      </c>
      <c r="E114">
        <v>5</v>
      </c>
      <c r="F114" s="1" t="s">
        <v>806</v>
      </c>
      <c r="G114" t="str">
        <f>_xlfn.XLOOKUP(Logs__2[[#This Row],[Cell_ID]],'Registre_Maintenance'!B:B,'Registre_Maintenance'!C:C,"Pas de correspondance")</f>
        <v>Kasaï-Central</v>
      </c>
      <c r="H114">
        <f>_xlfn.XLOOKUP(Logs__2[[#This Row],[Cell_ID]],'Registre_Maintenance'!B:B,'Registre_Maintenance'!D:D,"Pas de correspondance")</f>
        <v>-6.6803710000000001</v>
      </c>
      <c r="I114">
        <f>_xlfn.XLOOKUP(Logs__2[[#This Row],[Cell_ID]],'Registre_Maintenance'!B:B,'Registre_Maintenance'!E:E,"Pas de correspondance")</f>
        <v>21.955673000000001</v>
      </c>
      <c r="J114" t="str">
        <f>_xlfn.XLOOKUP(Logs__2[[#This Row],[Cell_ID]],'Registre_Maintenance'!B:B,'Registre_Maintenance'!F:F,"Pas de correspondance")</f>
        <v>4G</v>
      </c>
      <c r="K114" t="str">
        <f>_xlfn.XLOOKUP(Logs__2[[#This Row],[Cell_ID]],'Registre_Maintenance'!B:B,'Registre_Maintenance'!G:G,"Pas de correspondance")</f>
        <v>Nokia</v>
      </c>
    </row>
    <row r="115" spans="1:11" hidden="1" x14ac:dyDescent="0.25">
      <c r="A115" s="1" t="s">
        <v>897</v>
      </c>
      <c r="B115" s="2">
        <v>45210</v>
      </c>
      <c r="C115" s="3">
        <v>0.91249999999999998</v>
      </c>
      <c r="D115" s="1" t="s">
        <v>912</v>
      </c>
      <c r="E115">
        <v>119</v>
      </c>
      <c r="F115" s="1" t="s">
        <v>811</v>
      </c>
      <c r="G115" t="str">
        <f>_xlfn.XLOOKUP(Logs__2[[#This Row],[Cell_ID]],'Registre_Maintenance'!B:B,'Registre_Maintenance'!C:C,"Pas de correspondance")</f>
        <v>Pas de correspondance</v>
      </c>
      <c r="H115" t="str">
        <f>_xlfn.XLOOKUP(Logs__2[[#This Row],[Cell_ID]],'Registre_Maintenance'!B:B,'Registre_Maintenance'!D:D,"Pas de correspondance")</f>
        <v>Pas de correspondance</v>
      </c>
      <c r="I115" t="str">
        <f>_xlfn.XLOOKUP(Logs__2[[#This Row],[Cell_ID]],'Registre_Maintenance'!B:B,'Registre_Maintenance'!E:E,"Pas de correspondance")</f>
        <v>Pas de correspondance</v>
      </c>
      <c r="J115" t="str">
        <f>_xlfn.XLOOKUP(Logs__2[[#This Row],[Cell_ID]],'Registre_Maintenance'!B:B,'Registre_Maintenance'!F:F,"Pas de correspondance")</f>
        <v>Pas de correspondance</v>
      </c>
      <c r="K115" t="str">
        <f>_xlfn.XLOOKUP(Logs__2[[#This Row],[Cell_ID]],'Registre_Maintenance'!B:B,'Registre_Maintenance'!G:G,"Pas de correspondance")</f>
        <v>Pas de correspondance</v>
      </c>
    </row>
    <row r="116" spans="1:11" x14ac:dyDescent="0.25">
      <c r="A116" s="1" t="s">
        <v>897</v>
      </c>
      <c r="B116" s="2">
        <v>45203</v>
      </c>
      <c r="C116" s="3">
        <v>0.99791666666666667</v>
      </c>
      <c r="D116" s="1" t="s">
        <v>913</v>
      </c>
      <c r="E116">
        <v>101</v>
      </c>
      <c r="F116" s="1" t="s">
        <v>811</v>
      </c>
      <c r="G116" t="str">
        <f>_xlfn.XLOOKUP(Logs__2[[#This Row],[Cell_ID]],'Registre_Maintenance'!B:B,'Registre_Maintenance'!C:C,"Pas de correspondance")</f>
        <v>Nord-Kivu</v>
      </c>
      <c r="H116">
        <f>_xlfn.XLOOKUP(Logs__2[[#This Row],[Cell_ID]],'Registre_Maintenance'!B:B,'Registre_Maintenance'!D:D,"Pas de correspondance")</f>
        <v>-6.3148239999999998</v>
      </c>
      <c r="I116">
        <f>_xlfn.XLOOKUP(Logs__2[[#This Row],[Cell_ID]],'Registre_Maintenance'!B:B,'Registre_Maintenance'!E:E,"Pas de correspondance")</f>
        <v>24.507498999999999</v>
      </c>
      <c r="J116" t="str">
        <f>_xlfn.XLOOKUP(Logs__2[[#This Row],[Cell_ID]],'Registre_Maintenance'!B:B,'Registre_Maintenance'!F:F,"Pas de correspondance")</f>
        <v>3G</v>
      </c>
      <c r="K116" t="str">
        <f>_xlfn.XLOOKUP(Logs__2[[#This Row],[Cell_ID]],'Registre_Maintenance'!B:B,'Registre_Maintenance'!G:G,"Pas de correspondance")</f>
        <v>ZTE</v>
      </c>
    </row>
    <row r="117" spans="1:11" hidden="1" x14ac:dyDescent="0.25">
      <c r="A117" s="1" t="s">
        <v>897</v>
      </c>
      <c r="B117" s="2">
        <v>45209</v>
      </c>
      <c r="C117" s="3">
        <v>0.67986111111111114</v>
      </c>
      <c r="D117" s="1" t="s">
        <v>914</v>
      </c>
      <c r="E117">
        <v>115</v>
      </c>
      <c r="F117" s="1" t="s">
        <v>811</v>
      </c>
      <c r="G117" t="str">
        <f>_xlfn.XLOOKUP(Logs__2[[#This Row],[Cell_ID]],'Registre_Maintenance'!B:B,'Registre_Maintenance'!C:C,"Pas de correspondance")</f>
        <v>Pas de correspondance</v>
      </c>
      <c r="H117" t="str">
        <f>_xlfn.XLOOKUP(Logs__2[[#This Row],[Cell_ID]],'Registre_Maintenance'!B:B,'Registre_Maintenance'!D:D,"Pas de correspondance")</f>
        <v>Pas de correspondance</v>
      </c>
      <c r="I117" t="str">
        <f>_xlfn.XLOOKUP(Logs__2[[#This Row],[Cell_ID]],'Registre_Maintenance'!B:B,'Registre_Maintenance'!E:E,"Pas de correspondance")</f>
        <v>Pas de correspondance</v>
      </c>
      <c r="J117" t="str">
        <f>_xlfn.XLOOKUP(Logs__2[[#This Row],[Cell_ID]],'Registre_Maintenance'!B:B,'Registre_Maintenance'!F:F,"Pas de correspondance")</f>
        <v>Pas de correspondance</v>
      </c>
      <c r="K117" t="str">
        <f>_xlfn.XLOOKUP(Logs__2[[#This Row],[Cell_ID]],'Registre_Maintenance'!B:B,'Registre_Maintenance'!G:G,"Pas de correspondance")</f>
        <v>Pas de correspondance</v>
      </c>
    </row>
    <row r="118" spans="1:11" hidden="1" x14ac:dyDescent="0.25">
      <c r="A118" s="1" t="s">
        <v>897</v>
      </c>
      <c r="B118" s="2">
        <v>45221</v>
      </c>
      <c r="C118" s="3">
        <v>0.55555555555555558</v>
      </c>
      <c r="D118" s="1" t="s">
        <v>915</v>
      </c>
      <c r="E118">
        <v>103</v>
      </c>
      <c r="F118" s="1" t="s">
        <v>809</v>
      </c>
      <c r="G118" t="str">
        <f>_xlfn.XLOOKUP(Logs__2[[#This Row],[Cell_ID]],'Registre_Maintenance'!B:B,'Registre_Maintenance'!C:C,"Pas de correspondance")</f>
        <v>Pas de correspondance</v>
      </c>
      <c r="H118" t="str">
        <f>_xlfn.XLOOKUP(Logs__2[[#This Row],[Cell_ID]],'Registre_Maintenance'!B:B,'Registre_Maintenance'!D:D,"Pas de correspondance")</f>
        <v>Pas de correspondance</v>
      </c>
      <c r="I118" t="str">
        <f>_xlfn.XLOOKUP(Logs__2[[#This Row],[Cell_ID]],'Registre_Maintenance'!B:B,'Registre_Maintenance'!E:E,"Pas de correspondance")</f>
        <v>Pas de correspondance</v>
      </c>
      <c r="J118" t="str">
        <f>_xlfn.XLOOKUP(Logs__2[[#This Row],[Cell_ID]],'Registre_Maintenance'!B:B,'Registre_Maintenance'!F:F,"Pas de correspondance")</f>
        <v>Pas de correspondance</v>
      </c>
      <c r="K118" t="str">
        <f>_xlfn.XLOOKUP(Logs__2[[#This Row],[Cell_ID]],'Registre_Maintenance'!B:B,'Registre_Maintenance'!G:G,"Pas de correspondance")</f>
        <v>Pas de correspondance</v>
      </c>
    </row>
    <row r="119" spans="1:11" hidden="1" x14ac:dyDescent="0.25">
      <c r="A119" s="1" t="s">
        <v>897</v>
      </c>
      <c r="B119" s="2">
        <v>45212</v>
      </c>
      <c r="C119" s="3">
        <v>0.9291666666666667</v>
      </c>
      <c r="D119" s="1" t="s">
        <v>916</v>
      </c>
      <c r="E119">
        <v>118</v>
      </c>
      <c r="F119" s="1" t="s">
        <v>811</v>
      </c>
      <c r="G119" t="str">
        <f>_xlfn.XLOOKUP(Logs__2[[#This Row],[Cell_ID]],'Registre_Maintenance'!B:B,'Registre_Maintenance'!C:C,"Pas de correspondance")</f>
        <v>Pas de correspondance</v>
      </c>
      <c r="H119" t="str">
        <f>_xlfn.XLOOKUP(Logs__2[[#This Row],[Cell_ID]],'Registre_Maintenance'!B:B,'Registre_Maintenance'!D:D,"Pas de correspondance")</f>
        <v>Pas de correspondance</v>
      </c>
      <c r="I119" t="str">
        <f>_xlfn.XLOOKUP(Logs__2[[#This Row],[Cell_ID]],'Registre_Maintenance'!B:B,'Registre_Maintenance'!E:E,"Pas de correspondance")</f>
        <v>Pas de correspondance</v>
      </c>
      <c r="J119" t="str">
        <f>_xlfn.XLOOKUP(Logs__2[[#This Row],[Cell_ID]],'Registre_Maintenance'!B:B,'Registre_Maintenance'!F:F,"Pas de correspondance")</f>
        <v>Pas de correspondance</v>
      </c>
      <c r="K119" t="str">
        <f>_xlfn.XLOOKUP(Logs__2[[#This Row],[Cell_ID]],'Registre_Maintenance'!B:B,'Registre_Maintenance'!G:G,"Pas de correspondance")</f>
        <v>Pas de correspondance</v>
      </c>
    </row>
    <row r="120" spans="1:11" x14ac:dyDescent="0.25">
      <c r="A120" s="1" t="s">
        <v>897</v>
      </c>
      <c r="B120" s="2">
        <v>45217</v>
      </c>
      <c r="C120" s="3">
        <v>0.17499999999999999</v>
      </c>
      <c r="D120" s="1" t="s">
        <v>917</v>
      </c>
      <c r="E120">
        <v>18</v>
      </c>
      <c r="F120" s="1" t="s">
        <v>811</v>
      </c>
      <c r="G120" t="str">
        <f>_xlfn.XLOOKUP(Logs__2[[#This Row],[Cell_ID]],'Registre_Maintenance'!B:B,'Registre_Maintenance'!C:C,"Pas de correspondance")</f>
        <v>Sud-Kivu</v>
      </c>
      <c r="H120">
        <f>_xlfn.XLOOKUP(Logs__2[[#This Row],[Cell_ID]],'Registre_Maintenance'!B:B,'Registre_Maintenance'!D:D,"Pas de correspondance")</f>
        <v>-9.4702129999999993</v>
      </c>
      <c r="I120">
        <f>_xlfn.XLOOKUP(Logs__2[[#This Row],[Cell_ID]],'Registre_Maintenance'!B:B,'Registre_Maintenance'!E:E,"Pas de correspondance")</f>
        <v>12.826158</v>
      </c>
      <c r="J120" t="str">
        <f>_xlfn.XLOOKUP(Logs__2[[#This Row],[Cell_ID]],'Registre_Maintenance'!B:B,'Registre_Maintenance'!F:F,"Pas de correspondance")</f>
        <v>3G</v>
      </c>
      <c r="K120" t="str">
        <f>_xlfn.XLOOKUP(Logs__2[[#This Row],[Cell_ID]],'Registre_Maintenance'!B:B,'Registre_Maintenance'!G:G,"Pas de correspondance")</f>
        <v>Ericsson</v>
      </c>
    </row>
    <row r="121" spans="1:11" hidden="1" x14ac:dyDescent="0.25">
      <c r="A121" s="1" t="s">
        <v>897</v>
      </c>
      <c r="B121" s="2">
        <v>45213</v>
      </c>
      <c r="C121" s="3">
        <v>0.89166666666666672</v>
      </c>
      <c r="D121" s="1" t="s">
        <v>918</v>
      </c>
      <c r="E121">
        <v>104</v>
      </c>
      <c r="F121" s="1" t="s">
        <v>806</v>
      </c>
      <c r="G121" t="str">
        <f>_xlfn.XLOOKUP(Logs__2[[#This Row],[Cell_ID]],'Registre_Maintenance'!B:B,'Registre_Maintenance'!C:C,"Pas de correspondance")</f>
        <v>Pas de correspondance</v>
      </c>
      <c r="H121" t="str">
        <f>_xlfn.XLOOKUP(Logs__2[[#This Row],[Cell_ID]],'Registre_Maintenance'!B:B,'Registre_Maintenance'!D:D,"Pas de correspondance")</f>
        <v>Pas de correspondance</v>
      </c>
      <c r="I121" t="str">
        <f>_xlfn.XLOOKUP(Logs__2[[#This Row],[Cell_ID]],'Registre_Maintenance'!B:B,'Registre_Maintenance'!E:E,"Pas de correspondance")</f>
        <v>Pas de correspondance</v>
      </c>
      <c r="J121" t="str">
        <f>_xlfn.XLOOKUP(Logs__2[[#This Row],[Cell_ID]],'Registre_Maintenance'!B:B,'Registre_Maintenance'!F:F,"Pas de correspondance")</f>
        <v>Pas de correspondance</v>
      </c>
      <c r="K121" t="str">
        <f>_xlfn.XLOOKUP(Logs__2[[#This Row],[Cell_ID]],'Registre_Maintenance'!B:B,'Registre_Maintenance'!G:G,"Pas de correspondance")</f>
        <v>Pas de correspondance</v>
      </c>
    </row>
    <row r="122" spans="1:11" hidden="1" x14ac:dyDescent="0.25">
      <c r="A122" s="1" t="s">
        <v>897</v>
      </c>
      <c r="B122" s="2">
        <v>45221</v>
      </c>
      <c r="C122" s="3">
        <v>0.99791666666666667</v>
      </c>
      <c r="D122" s="1" t="s">
        <v>919</v>
      </c>
      <c r="E122">
        <v>59</v>
      </c>
      <c r="F122" s="1" t="s">
        <v>806</v>
      </c>
      <c r="G122" t="str">
        <f>_xlfn.XLOOKUP(Logs__2[[#This Row],[Cell_ID]],'Registre_Maintenance'!B:B,'Registre_Maintenance'!C:C,"Pas de correspondance")</f>
        <v>Pas de correspondance</v>
      </c>
      <c r="H122" t="str">
        <f>_xlfn.XLOOKUP(Logs__2[[#This Row],[Cell_ID]],'Registre_Maintenance'!B:B,'Registre_Maintenance'!D:D,"Pas de correspondance")</f>
        <v>Pas de correspondance</v>
      </c>
      <c r="I122" t="str">
        <f>_xlfn.XLOOKUP(Logs__2[[#This Row],[Cell_ID]],'Registre_Maintenance'!B:B,'Registre_Maintenance'!E:E,"Pas de correspondance")</f>
        <v>Pas de correspondance</v>
      </c>
      <c r="J122" t="str">
        <f>_xlfn.XLOOKUP(Logs__2[[#This Row],[Cell_ID]],'Registre_Maintenance'!B:B,'Registre_Maintenance'!F:F,"Pas de correspondance")</f>
        <v>Pas de correspondance</v>
      </c>
      <c r="K122" t="str">
        <f>_xlfn.XLOOKUP(Logs__2[[#This Row],[Cell_ID]],'Registre_Maintenance'!B:B,'Registre_Maintenance'!G:G,"Pas de correspondance")</f>
        <v>Pas de correspondance</v>
      </c>
    </row>
    <row r="123" spans="1:11" hidden="1" x14ac:dyDescent="0.25">
      <c r="A123" s="1" t="s">
        <v>897</v>
      </c>
      <c r="B123" s="2">
        <v>45205</v>
      </c>
      <c r="C123" s="3">
        <v>0.81666666666666665</v>
      </c>
      <c r="D123" s="1" t="s">
        <v>920</v>
      </c>
      <c r="E123">
        <v>33</v>
      </c>
      <c r="F123" s="1" t="s">
        <v>811</v>
      </c>
      <c r="G123" t="str">
        <f>_xlfn.XLOOKUP(Logs__2[[#This Row],[Cell_ID]],'Registre_Maintenance'!B:B,'Registre_Maintenance'!C:C,"Pas de correspondance")</f>
        <v>Pas de correspondance</v>
      </c>
      <c r="H123" t="str">
        <f>_xlfn.XLOOKUP(Logs__2[[#This Row],[Cell_ID]],'Registre_Maintenance'!B:B,'Registre_Maintenance'!D:D,"Pas de correspondance")</f>
        <v>Pas de correspondance</v>
      </c>
      <c r="I123" t="str">
        <f>_xlfn.XLOOKUP(Logs__2[[#This Row],[Cell_ID]],'Registre_Maintenance'!B:B,'Registre_Maintenance'!E:E,"Pas de correspondance")</f>
        <v>Pas de correspondance</v>
      </c>
      <c r="J123" t="str">
        <f>_xlfn.XLOOKUP(Logs__2[[#This Row],[Cell_ID]],'Registre_Maintenance'!B:B,'Registre_Maintenance'!F:F,"Pas de correspondance")</f>
        <v>Pas de correspondance</v>
      </c>
      <c r="K123" t="str">
        <f>_xlfn.XLOOKUP(Logs__2[[#This Row],[Cell_ID]],'Registre_Maintenance'!B:B,'Registre_Maintenance'!G:G,"Pas de correspondance")</f>
        <v>Pas de correspondance</v>
      </c>
    </row>
    <row r="124" spans="1:11" hidden="1" x14ac:dyDescent="0.25">
      <c r="A124" s="1" t="s">
        <v>897</v>
      </c>
      <c r="B124" s="2">
        <v>45209</v>
      </c>
      <c r="C124" s="3">
        <v>0.52430555555555558</v>
      </c>
      <c r="D124" s="1" t="s">
        <v>921</v>
      </c>
      <c r="E124">
        <v>27</v>
      </c>
      <c r="F124" s="1" t="s">
        <v>811</v>
      </c>
      <c r="G124" t="str">
        <f>_xlfn.XLOOKUP(Logs__2[[#This Row],[Cell_ID]],'Registre_Maintenance'!B:B,'Registre_Maintenance'!C:C,"Pas de correspondance")</f>
        <v>Pas de correspondance</v>
      </c>
      <c r="H124" t="str">
        <f>_xlfn.XLOOKUP(Logs__2[[#This Row],[Cell_ID]],'Registre_Maintenance'!B:B,'Registre_Maintenance'!D:D,"Pas de correspondance")</f>
        <v>Pas de correspondance</v>
      </c>
      <c r="I124" t="str">
        <f>_xlfn.XLOOKUP(Logs__2[[#This Row],[Cell_ID]],'Registre_Maintenance'!B:B,'Registre_Maintenance'!E:E,"Pas de correspondance")</f>
        <v>Pas de correspondance</v>
      </c>
      <c r="J124" t="str">
        <f>_xlfn.XLOOKUP(Logs__2[[#This Row],[Cell_ID]],'Registre_Maintenance'!B:B,'Registre_Maintenance'!F:F,"Pas de correspondance")</f>
        <v>Pas de correspondance</v>
      </c>
      <c r="K124" t="str">
        <f>_xlfn.XLOOKUP(Logs__2[[#This Row],[Cell_ID]],'Registre_Maintenance'!B:B,'Registre_Maintenance'!G:G,"Pas de correspondance")</f>
        <v>Pas de correspondance</v>
      </c>
    </row>
    <row r="125" spans="1:11" hidden="1" x14ac:dyDescent="0.25">
      <c r="A125" s="1" t="s">
        <v>897</v>
      </c>
      <c r="B125" s="2">
        <v>45226</v>
      </c>
      <c r="C125" s="3">
        <v>1.3194444444444444E-2</v>
      </c>
      <c r="D125" s="1" t="s">
        <v>922</v>
      </c>
      <c r="E125">
        <v>107</v>
      </c>
      <c r="F125" s="1" t="s">
        <v>809</v>
      </c>
      <c r="G125" t="str">
        <f>_xlfn.XLOOKUP(Logs__2[[#This Row],[Cell_ID]],'Registre_Maintenance'!B:B,'Registre_Maintenance'!C:C,"Pas de correspondance")</f>
        <v>Pas de correspondance</v>
      </c>
      <c r="H125" t="str">
        <f>_xlfn.XLOOKUP(Logs__2[[#This Row],[Cell_ID]],'Registre_Maintenance'!B:B,'Registre_Maintenance'!D:D,"Pas de correspondance")</f>
        <v>Pas de correspondance</v>
      </c>
      <c r="I125" t="str">
        <f>_xlfn.XLOOKUP(Logs__2[[#This Row],[Cell_ID]],'Registre_Maintenance'!B:B,'Registre_Maintenance'!E:E,"Pas de correspondance")</f>
        <v>Pas de correspondance</v>
      </c>
      <c r="J125" t="str">
        <f>_xlfn.XLOOKUP(Logs__2[[#This Row],[Cell_ID]],'Registre_Maintenance'!B:B,'Registre_Maintenance'!F:F,"Pas de correspondance")</f>
        <v>Pas de correspondance</v>
      </c>
      <c r="K125" t="str">
        <f>_xlfn.XLOOKUP(Logs__2[[#This Row],[Cell_ID]],'Registre_Maintenance'!B:B,'Registre_Maintenance'!G:G,"Pas de correspondance")</f>
        <v>Pas de correspondance</v>
      </c>
    </row>
    <row r="126" spans="1:11" hidden="1" x14ac:dyDescent="0.25">
      <c r="A126" s="1" t="s">
        <v>897</v>
      </c>
      <c r="B126" s="2">
        <v>45209</v>
      </c>
      <c r="C126" s="3">
        <v>0.26874999999999999</v>
      </c>
      <c r="D126" s="1" t="s">
        <v>923</v>
      </c>
      <c r="E126">
        <v>94</v>
      </c>
      <c r="F126" s="1" t="s">
        <v>809</v>
      </c>
      <c r="G126" t="str">
        <f>_xlfn.XLOOKUP(Logs__2[[#This Row],[Cell_ID]],'Registre_Maintenance'!B:B,'Registre_Maintenance'!C:C,"Pas de correspondance")</f>
        <v>Pas de correspondance</v>
      </c>
      <c r="H126" t="str">
        <f>_xlfn.XLOOKUP(Logs__2[[#This Row],[Cell_ID]],'Registre_Maintenance'!B:B,'Registre_Maintenance'!D:D,"Pas de correspondance")</f>
        <v>Pas de correspondance</v>
      </c>
      <c r="I126" t="str">
        <f>_xlfn.XLOOKUP(Logs__2[[#This Row],[Cell_ID]],'Registre_Maintenance'!B:B,'Registre_Maintenance'!E:E,"Pas de correspondance")</f>
        <v>Pas de correspondance</v>
      </c>
      <c r="J126" t="str">
        <f>_xlfn.XLOOKUP(Logs__2[[#This Row],[Cell_ID]],'Registre_Maintenance'!B:B,'Registre_Maintenance'!F:F,"Pas de correspondance")</f>
        <v>Pas de correspondance</v>
      </c>
      <c r="K126" t="str">
        <f>_xlfn.XLOOKUP(Logs__2[[#This Row],[Cell_ID]],'Registre_Maintenance'!B:B,'Registre_Maintenance'!G:G,"Pas de correspondance")</f>
        <v>Pas de correspondance</v>
      </c>
    </row>
    <row r="127" spans="1:11" x14ac:dyDescent="0.25">
      <c r="A127" s="1" t="s">
        <v>897</v>
      </c>
      <c r="B127" s="2">
        <v>45225</v>
      </c>
      <c r="C127" s="3">
        <v>0.77638888888888891</v>
      </c>
      <c r="D127" s="1" t="s">
        <v>871</v>
      </c>
      <c r="E127">
        <v>71</v>
      </c>
      <c r="F127" s="1" t="s">
        <v>806</v>
      </c>
      <c r="G127" t="str">
        <f>_xlfn.XLOOKUP(Logs__2[[#This Row],[Cell_ID]],'Registre_Maintenance'!B:B,'Registre_Maintenance'!C:C,"Pas de correspondance")</f>
        <v>Nord-Kivu</v>
      </c>
      <c r="H127">
        <f>_xlfn.XLOOKUP(Logs__2[[#This Row],[Cell_ID]],'Registre_Maintenance'!B:B,'Registre_Maintenance'!D:D,"Pas de correspondance")</f>
        <v>0.82868600000000003</v>
      </c>
      <c r="I127">
        <f>_xlfn.XLOOKUP(Logs__2[[#This Row],[Cell_ID]],'Registre_Maintenance'!B:B,'Registre_Maintenance'!E:E,"Pas de correspondance")</f>
        <v>26.958843999999999</v>
      </c>
      <c r="J127" t="str">
        <f>_xlfn.XLOOKUP(Logs__2[[#This Row],[Cell_ID]],'Registre_Maintenance'!B:B,'Registre_Maintenance'!F:F,"Pas de correspondance")</f>
        <v>5G</v>
      </c>
      <c r="K127" t="str">
        <f>_xlfn.XLOOKUP(Logs__2[[#This Row],[Cell_ID]],'Registre_Maintenance'!B:B,'Registre_Maintenance'!G:G,"Pas de correspondance")</f>
        <v>ZTE</v>
      </c>
    </row>
    <row r="128" spans="1:11" hidden="1" x14ac:dyDescent="0.25">
      <c r="A128" s="1" t="s">
        <v>897</v>
      </c>
      <c r="B128" s="2">
        <v>45220</v>
      </c>
      <c r="C128" s="3">
        <v>0.43680555555555556</v>
      </c>
      <c r="D128" s="1" t="s">
        <v>866</v>
      </c>
      <c r="E128">
        <v>64</v>
      </c>
      <c r="F128" s="1" t="s">
        <v>809</v>
      </c>
      <c r="G128" t="str">
        <f>_xlfn.XLOOKUP(Logs__2[[#This Row],[Cell_ID]],'Registre_Maintenance'!B:B,'Registre_Maintenance'!C:C,"Pas de correspondance")</f>
        <v>Pas de correspondance</v>
      </c>
      <c r="H128" t="str">
        <f>_xlfn.XLOOKUP(Logs__2[[#This Row],[Cell_ID]],'Registre_Maintenance'!B:B,'Registre_Maintenance'!D:D,"Pas de correspondance")</f>
        <v>Pas de correspondance</v>
      </c>
      <c r="I128" t="str">
        <f>_xlfn.XLOOKUP(Logs__2[[#This Row],[Cell_ID]],'Registre_Maintenance'!B:B,'Registre_Maintenance'!E:E,"Pas de correspondance")</f>
        <v>Pas de correspondance</v>
      </c>
      <c r="J128" t="str">
        <f>_xlfn.XLOOKUP(Logs__2[[#This Row],[Cell_ID]],'Registre_Maintenance'!B:B,'Registre_Maintenance'!F:F,"Pas de correspondance")</f>
        <v>Pas de correspondance</v>
      </c>
      <c r="K128" t="str">
        <f>_xlfn.XLOOKUP(Logs__2[[#This Row],[Cell_ID]],'Registre_Maintenance'!B:B,'Registre_Maintenance'!G:G,"Pas de correspondance")</f>
        <v>Pas de correspondance</v>
      </c>
    </row>
    <row r="129" spans="1:11" hidden="1" x14ac:dyDescent="0.25">
      <c r="A129" s="1" t="s">
        <v>897</v>
      </c>
      <c r="B129" s="2">
        <v>45214</v>
      </c>
      <c r="C129" s="3">
        <v>0.61319444444444449</v>
      </c>
      <c r="D129" s="1" t="s">
        <v>924</v>
      </c>
      <c r="E129">
        <v>11</v>
      </c>
      <c r="F129" s="1" t="s">
        <v>811</v>
      </c>
      <c r="G129" t="str">
        <f>_xlfn.XLOOKUP(Logs__2[[#This Row],[Cell_ID]],'Registre_Maintenance'!B:B,'Registre_Maintenance'!C:C,"Pas de correspondance")</f>
        <v>Pas de correspondance</v>
      </c>
      <c r="H129" t="str">
        <f>_xlfn.XLOOKUP(Logs__2[[#This Row],[Cell_ID]],'Registre_Maintenance'!B:B,'Registre_Maintenance'!D:D,"Pas de correspondance")</f>
        <v>Pas de correspondance</v>
      </c>
      <c r="I129" t="str">
        <f>_xlfn.XLOOKUP(Logs__2[[#This Row],[Cell_ID]],'Registre_Maintenance'!B:B,'Registre_Maintenance'!E:E,"Pas de correspondance")</f>
        <v>Pas de correspondance</v>
      </c>
      <c r="J129" t="str">
        <f>_xlfn.XLOOKUP(Logs__2[[#This Row],[Cell_ID]],'Registre_Maintenance'!B:B,'Registre_Maintenance'!F:F,"Pas de correspondance")</f>
        <v>Pas de correspondance</v>
      </c>
      <c r="K129" t="str">
        <f>_xlfn.XLOOKUP(Logs__2[[#This Row],[Cell_ID]],'Registre_Maintenance'!B:B,'Registre_Maintenance'!G:G,"Pas de correspondance")</f>
        <v>Pas de correspondance</v>
      </c>
    </row>
    <row r="130" spans="1:11" x14ac:dyDescent="0.25">
      <c r="A130" s="1" t="s">
        <v>897</v>
      </c>
      <c r="B130" s="2">
        <v>45206</v>
      </c>
      <c r="C130" s="3">
        <v>0.6875</v>
      </c>
      <c r="D130" s="1" t="s">
        <v>925</v>
      </c>
      <c r="E130">
        <v>76</v>
      </c>
      <c r="F130" s="1" t="s">
        <v>811</v>
      </c>
      <c r="G130" t="str">
        <f>_xlfn.XLOOKUP(Logs__2[[#This Row],[Cell_ID]],'Registre_Maintenance'!B:B,'Registre_Maintenance'!C:C,"Pas de correspondance")</f>
        <v>Haut-Uele</v>
      </c>
      <c r="H130">
        <f>_xlfn.XLOOKUP(Logs__2[[#This Row],[Cell_ID]],'Registre_Maintenance'!B:B,'Registre_Maintenance'!D:D,"Pas de correspondance")</f>
        <v>-12.100756000000001</v>
      </c>
      <c r="I130">
        <f>_xlfn.XLOOKUP(Logs__2[[#This Row],[Cell_ID]],'Registre_Maintenance'!B:B,'Registre_Maintenance'!E:E,"Pas de correspondance")</f>
        <v>21.938649999999999</v>
      </c>
      <c r="J130" t="str">
        <f>_xlfn.XLOOKUP(Logs__2[[#This Row],[Cell_ID]],'Registre_Maintenance'!B:B,'Registre_Maintenance'!F:F,"Pas de correspondance")</f>
        <v>4G</v>
      </c>
      <c r="K130" t="str">
        <f>_xlfn.XLOOKUP(Logs__2[[#This Row],[Cell_ID]],'Registre_Maintenance'!B:B,'Registre_Maintenance'!G:G,"Pas de correspondance")</f>
        <v>Huawei</v>
      </c>
    </row>
    <row r="131" spans="1:11" x14ac:dyDescent="0.25">
      <c r="A131" s="1" t="s">
        <v>897</v>
      </c>
      <c r="B131" s="2">
        <v>45225</v>
      </c>
      <c r="C131" s="3">
        <v>0.96527777777777779</v>
      </c>
      <c r="D131" s="1" t="s">
        <v>926</v>
      </c>
      <c r="E131">
        <v>36</v>
      </c>
      <c r="F131" s="1" t="s">
        <v>806</v>
      </c>
      <c r="G131" t="str">
        <f>_xlfn.XLOOKUP(Logs__2[[#This Row],[Cell_ID]],'Registre_Maintenance'!B:B,'Registre_Maintenance'!C:C,"Pas de correspondance")</f>
        <v>Tanganyika</v>
      </c>
      <c r="H131">
        <f>_xlfn.XLOOKUP(Logs__2[[#This Row],[Cell_ID]],'Registre_Maintenance'!B:B,'Registre_Maintenance'!D:D,"Pas de correspondance")</f>
        <v>-9.002459</v>
      </c>
      <c r="I131">
        <f>_xlfn.XLOOKUP(Logs__2[[#This Row],[Cell_ID]],'Registre_Maintenance'!B:B,'Registre_Maintenance'!E:E,"Pas de correspondance")</f>
        <v>25.182109000000001</v>
      </c>
      <c r="J131" t="str">
        <f>_xlfn.XLOOKUP(Logs__2[[#This Row],[Cell_ID]],'Registre_Maintenance'!B:B,'Registre_Maintenance'!F:F,"Pas de correspondance")</f>
        <v>5G</v>
      </c>
      <c r="K131" t="str">
        <f>_xlfn.XLOOKUP(Logs__2[[#This Row],[Cell_ID]],'Registre_Maintenance'!B:B,'Registre_Maintenance'!G:G,"Pas de correspondance")</f>
        <v>Huawei</v>
      </c>
    </row>
    <row r="132" spans="1:11" hidden="1" x14ac:dyDescent="0.25">
      <c r="A132" s="1" t="s">
        <v>897</v>
      </c>
      <c r="B132" s="2">
        <v>45221</v>
      </c>
      <c r="C132" s="3">
        <v>9.583333333333334E-2</v>
      </c>
      <c r="D132" s="1" t="s">
        <v>927</v>
      </c>
      <c r="E132">
        <v>113</v>
      </c>
      <c r="F132" s="1" t="s">
        <v>811</v>
      </c>
      <c r="G132" t="str">
        <f>_xlfn.XLOOKUP(Logs__2[[#This Row],[Cell_ID]],'Registre_Maintenance'!B:B,'Registre_Maintenance'!C:C,"Pas de correspondance")</f>
        <v>Pas de correspondance</v>
      </c>
      <c r="H132" t="str">
        <f>_xlfn.XLOOKUP(Logs__2[[#This Row],[Cell_ID]],'Registre_Maintenance'!B:B,'Registre_Maintenance'!D:D,"Pas de correspondance")</f>
        <v>Pas de correspondance</v>
      </c>
      <c r="I132" t="str">
        <f>_xlfn.XLOOKUP(Logs__2[[#This Row],[Cell_ID]],'Registre_Maintenance'!B:B,'Registre_Maintenance'!E:E,"Pas de correspondance")</f>
        <v>Pas de correspondance</v>
      </c>
      <c r="J132" t="str">
        <f>_xlfn.XLOOKUP(Logs__2[[#This Row],[Cell_ID]],'Registre_Maintenance'!B:B,'Registre_Maintenance'!F:F,"Pas de correspondance")</f>
        <v>Pas de correspondance</v>
      </c>
      <c r="K132" t="str">
        <f>_xlfn.XLOOKUP(Logs__2[[#This Row],[Cell_ID]],'Registre_Maintenance'!B:B,'Registre_Maintenance'!G:G,"Pas de correspondance")</f>
        <v>Pas de correspondance</v>
      </c>
    </row>
    <row r="133" spans="1:11" x14ac:dyDescent="0.25">
      <c r="A133" s="1" t="s">
        <v>897</v>
      </c>
      <c r="B133" s="2">
        <v>45216</v>
      </c>
      <c r="C133" s="3">
        <v>0.90277777777777779</v>
      </c>
      <c r="D133" s="1" t="s">
        <v>928</v>
      </c>
      <c r="E133">
        <v>20</v>
      </c>
      <c r="F133" s="1" t="s">
        <v>811</v>
      </c>
      <c r="G133" t="str">
        <f>_xlfn.XLOOKUP(Logs__2[[#This Row],[Cell_ID]],'Registre_Maintenance'!B:B,'Registre_Maintenance'!C:C,"Pas de correspondance")</f>
        <v>Kwilu</v>
      </c>
      <c r="H133">
        <f>_xlfn.XLOOKUP(Logs__2[[#This Row],[Cell_ID]],'Registre_Maintenance'!B:B,'Registre_Maintenance'!D:D,"Pas de correspondance")</f>
        <v>-4.2408359999999998</v>
      </c>
      <c r="I133">
        <f>_xlfn.XLOOKUP(Logs__2[[#This Row],[Cell_ID]],'Registre_Maintenance'!B:B,'Registre_Maintenance'!E:E,"Pas de correspondance")</f>
        <v>26.210014000000001</v>
      </c>
      <c r="J133" t="str">
        <f>_xlfn.XLOOKUP(Logs__2[[#This Row],[Cell_ID]],'Registre_Maintenance'!B:B,'Registre_Maintenance'!F:F,"Pas de correspondance")</f>
        <v>4G</v>
      </c>
      <c r="K133" t="str">
        <f>_xlfn.XLOOKUP(Logs__2[[#This Row],[Cell_ID]],'Registre_Maintenance'!B:B,'Registre_Maintenance'!G:G,"Pas de correspondance")</f>
        <v>Huawei</v>
      </c>
    </row>
    <row r="134" spans="1:11" x14ac:dyDescent="0.25">
      <c r="A134" s="1" t="s">
        <v>897</v>
      </c>
      <c r="B134" s="2">
        <v>45219</v>
      </c>
      <c r="C134" s="3">
        <v>0.4201388888888889</v>
      </c>
      <c r="D134" s="1" t="s">
        <v>929</v>
      </c>
      <c r="E134">
        <v>63</v>
      </c>
      <c r="F134" s="1" t="s">
        <v>811</v>
      </c>
      <c r="G134" t="str">
        <f>_xlfn.XLOOKUP(Logs__2[[#This Row],[Cell_ID]],'Registre_Maintenance'!B:B,'Registre_Maintenance'!C:C,"Pas de correspondance")</f>
        <v>Lomami</v>
      </c>
      <c r="H134">
        <f>_xlfn.XLOOKUP(Logs__2[[#This Row],[Cell_ID]],'Registre_Maintenance'!B:B,'Registre_Maintenance'!D:D,"Pas de correspondance")</f>
        <v>-9.9875139999999991</v>
      </c>
      <c r="I134">
        <f>_xlfn.XLOOKUP(Logs__2[[#This Row],[Cell_ID]],'Registre_Maintenance'!B:B,'Registre_Maintenance'!E:E,"Pas de correspondance")</f>
        <v>12.013676999999999</v>
      </c>
      <c r="J134" t="str">
        <f>_xlfn.XLOOKUP(Logs__2[[#This Row],[Cell_ID]],'Registre_Maintenance'!B:B,'Registre_Maintenance'!F:F,"Pas de correspondance")</f>
        <v>3G</v>
      </c>
      <c r="K134" t="str">
        <f>_xlfn.XLOOKUP(Logs__2[[#This Row],[Cell_ID]],'Registre_Maintenance'!B:B,'Registre_Maintenance'!G:G,"Pas de correspondance")</f>
        <v>ZTE</v>
      </c>
    </row>
    <row r="135" spans="1:11" hidden="1" x14ac:dyDescent="0.25">
      <c r="A135" s="1" t="s">
        <v>897</v>
      </c>
      <c r="B135" s="2">
        <v>45226</v>
      </c>
      <c r="C135" s="3">
        <v>0.3215277777777778</v>
      </c>
      <c r="D135" s="1" t="s">
        <v>930</v>
      </c>
      <c r="E135">
        <v>22</v>
      </c>
      <c r="F135" s="1" t="s">
        <v>811</v>
      </c>
      <c r="G135" t="str">
        <f>_xlfn.XLOOKUP(Logs__2[[#This Row],[Cell_ID]],'Registre_Maintenance'!B:B,'Registre_Maintenance'!C:C,"Pas de correspondance")</f>
        <v>Pas de correspondance</v>
      </c>
      <c r="H135" t="str">
        <f>_xlfn.XLOOKUP(Logs__2[[#This Row],[Cell_ID]],'Registre_Maintenance'!B:B,'Registre_Maintenance'!D:D,"Pas de correspondance")</f>
        <v>Pas de correspondance</v>
      </c>
      <c r="I135" t="str">
        <f>_xlfn.XLOOKUP(Logs__2[[#This Row],[Cell_ID]],'Registre_Maintenance'!B:B,'Registre_Maintenance'!E:E,"Pas de correspondance")</f>
        <v>Pas de correspondance</v>
      </c>
      <c r="J135" t="str">
        <f>_xlfn.XLOOKUP(Logs__2[[#This Row],[Cell_ID]],'Registre_Maintenance'!B:B,'Registre_Maintenance'!F:F,"Pas de correspondance")</f>
        <v>Pas de correspondance</v>
      </c>
      <c r="K135" t="str">
        <f>_xlfn.XLOOKUP(Logs__2[[#This Row],[Cell_ID]],'Registre_Maintenance'!B:B,'Registre_Maintenance'!G:G,"Pas de correspondance")</f>
        <v>Pas de correspondance</v>
      </c>
    </row>
    <row r="136" spans="1:11" x14ac:dyDescent="0.25">
      <c r="A136" s="1" t="s">
        <v>897</v>
      </c>
      <c r="B136" s="2">
        <v>45209</v>
      </c>
      <c r="C136" s="3">
        <v>0.32708333333333334</v>
      </c>
      <c r="D136" s="1" t="s">
        <v>931</v>
      </c>
      <c r="E136">
        <v>107</v>
      </c>
      <c r="F136" s="1" t="s">
        <v>809</v>
      </c>
      <c r="G136" t="str">
        <f>_xlfn.XLOOKUP(Logs__2[[#This Row],[Cell_ID]],'Registre_Maintenance'!B:B,'Registre_Maintenance'!C:C,"Pas de correspondance")</f>
        <v>Equateur</v>
      </c>
      <c r="H136">
        <f>_xlfn.XLOOKUP(Logs__2[[#This Row],[Cell_ID]],'Registre_Maintenance'!B:B,'Registre_Maintenance'!D:D,"Pas de correspondance")</f>
        <v>-5.0402180000000003</v>
      </c>
      <c r="I136">
        <f>_xlfn.XLOOKUP(Logs__2[[#This Row],[Cell_ID]],'Registre_Maintenance'!B:B,'Registre_Maintenance'!E:E,"Pas de correspondance")</f>
        <v>13.892471</v>
      </c>
      <c r="J136" t="str">
        <f>_xlfn.XLOOKUP(Logs__2[[#This Row],[Cell_ID]],'Registre_Maintenance'!B:B,'Registre_Maintenance'!F:F,"Pas de correspondance")</f>
        <v>3G</v>
      </c>
      <c r="K136" t="str">
        <f>_xlfn.XLOOKUP(Logs__2[[#This Row],[Cell_ID]],'Registre_Maintenance'!B:B,'Registre_Maintenance'!G:G,"Pas de correspondance")</f>
        <v>ZTE</v>
      </c>
    </row>
    <row r="137" spans="1:11" x14ac:dyDescent="0.25">
      <c r="A137" s="1" t="s">
        <v>897</v>
      </c>
      <c r="B137" s="2">
        <v>45206</v>
      </c>
      <c r="C137" s="3">
        <v>0.1673611111111111</v>
      </c>
      <c r="D137" s="1" t="s">
        <v>932</v>
      </c>
      <c r="E137">
        <v>64</v>
      </c>
      <c r="F137" s="1" t="s">
        <v>809</v>
      </c>
      <c r="G137" t="str">
        <f>_xlfn.XLOOKUP(Logs__2[[#This Row],[Cell_ID]],'Registre_Maintenance'!B:B,'Registre_Maintenance'!C:C,"Pas de correspondance")</f>
        <v>Ituri</v>
      </c>
      <c r="H137">
        <f>_xlfn.XLOOKUP(Logs__2[[#This Row],[Cell_ID]],'Registre_Maintenance'!B:B,'Registre_Maintenance'!D:D,"Pas de correspondance")</f>
        <v>0.24202000000000001</v>
      </c>
      <c r="I137">
        <f>_xlfn.XLOOKUP(Logs__2[[#This Row],[Cell_ID]],'Registre_Maintenance'!B:B,'Registre_Maintenance'!E:E,"Pas de correspondance")</f>
        <v>17.396256999999999</v>
      </c>
      <c r="J137" t="str">
        <f>_xlfn.XLOOKUP(Logs__2[[#This Row],[Cell_ID]],'Registre_Maintenance'!B:B,'Registre_Maintenance'!F:F,"Pas de correspondance")</f>
        <v>4G</v>
      </c>
      <c r="K137" t="str">
        <f>_xlfn.XLOOKUP(Logs__2[[#This Row],[Cell_ID]],'Registre_Maintenance'!B:B,'Registre_Maintenance'!G:G,"Pas de correspondance")</f>
        <v>Huawei</v>
      </c>
    </row>
    <row r="138" spans="1:11" x14ac:dyDescent="0.25">
      <c r="A138" s="1" t="s">
        <v>897</v>
      </c>
      <c r="B138" s="2">
        <v>45201</v>
      </c>
      <c r="C138" s="3">
        <v>0.3125</v>
      </c>
      <c r="D138" s="1" t="s">
        <v>933</v>
      </c>
      <c r="E138">
        <v>90</v>
      </c>
      <c r="F138" s="1" t="s">
        <v>809</v>
      </c>
      <c r="G138" t="str">
        <f>_xlfn.XLOOKUP(Logs__2[[#This Row],[Cell_ID]],'Registre_Maintenance'!B:B,'Registre_Maintenance'!C:C,"Pas de correspondance")</f>
        <v>Kasaï-Oriental</v>
      </c>
      <c r="H138">
        <f>_xlfn.XLOOKUP(Logs__2[[#This Row],[Cell_ID]],'Registre_Maintenance'!B:B,'Registre_Maintenance'!D:D,"Pas de correspondance")</f>
        <v>-12.333232000000001</v>
      </c>
      <c r="I138">
        <f>_xlfn.XLOOKUP(Logs__2[[#This Row],[Cell_ID]],'Registre_Maintenance'!B:B,'Registre_Maintenance'!E:E,"Pas de correspondance")</f>
        <v>25.229620000000001</v>
      </c>
      <c r="J138" t="str">
        <f>_xlfn.XLOOKUP(Logs__2[[#This Row],[Cell_ID]],'Registre_Maintenance'!B:B,'Registre_Maintenance'!F:F,"Pas de correspondance")</f>
        <v>5G</v>
      </c>
      <c r="K138" t="str">
        <f>_xlfn.XLOOKUP(Logs__2[[#This Row],[Cell_ID]],'Registre_Maintenance'!B:B,'Registre_Maintenance'!G:G,"Pas de correspondance")</f>
        <v>Nokia</v>
      </c>
    </row>
    <row r="139" spans="1:11" x14ac:dyDescent="0.25">
      <c r="A139" s="1" t="s">
        <v>897</v>
      </c>
      <c r="B139" s="2">
        <v>45219</v>
      </c>
      <c r="C139" s="3">
        <v>0.10347222222222222</v>
      </c>
      <c r="D139" s="1" t="s">
        <v>934</v>
      </c>
      <c r="E139">
        <v>72</v>
      </c>
      <c r="F139" s="1" t="s">
        <v>809</v>
      </c>
      <c r="G139" t="str">
        <f>_xlfn.XLOOKUP(Logs__2[[#This Row],[Cell_ID]],'Registre_Maintenance'!B:B,'Registre_Maintenance'!C:C,"Pas de correspondance")</f>
        <v>Lomami</v>
      </c>
      <c r="H139">
        <f>_xlfn.XLOOKUP(Logs__2[[#This Row],[Cell_ID]],'Registre_Maintenance'!B:B,'Registre_Maintenance'!D:D,"Pas de correspondance")</f>
        <v>-5.7035130000000001</v>
      </c>
      <c r="I139">
        <f>_xlfn.XLOOKUP(Logs__2[[#This Row],[Cell_ID]],'Registre_Maintenance'!B:B,'Registre_Maintenance'!E:E,"Pas de correspondance")</f>
        <v>14.331479</v>
      </c>
      <c r="J139" t="str">
        <f>_xlfn.XLOOKUP(Logs__2[[#This Row],[Cell_ID]],'Registre_Maintenance'!B:B,'Registre_Maintenance'!F:F,"Pas de correspondance")</f>
        <v>5G</v>
      </c>
      <c r="K139" t="str">
        <f>_xlfn.XLOOKUP(Logs__2[[#This Row],[Cell_ID]],'Registre_Maintenance'!B:B,'Registre_Maintenance'!G:G,"Pas de correspondance")</f>
        <v>Nokia</v>
      </c>
    </row>
    <row r="140" spans="1:11" hidden="1" x14ac:dyDescent="0.25">
      <c r="A140" s="1" t="s">
        <v>935</v>
      </c>
      <c r="B140" s="2">
        <v>45200</v>
      </c>
      <c r="C140" s="3">
        <v>0.51458333333333328</v>
      </c>
      <c r="D140" s="1" t="s">
        <v>936</v>
      </c>
      <c r="E140">
        <v>24</v>
      </c>
      <c r="F140" s="1" t="s">
        <v>811</v>
      </c>
      <c r="G140" t="str">
        <f>_xlfn.XLOOKUP(Logs__2[[#This Row],[Cell_ID]],'Registre_Maintenance'!B:B,'Registre_Maintenance'!C:C,"Pas de correspondance")</f>
        <v>Pas de correspondance</v>
      </c>
      <c r="H140" t="str">
        <f>_xlfn.XLOOKUP(Logs__2[[#This Row],[Cell_ID]],'Registre_Maintenance'!B:B,'Registre_Maintenance'!D:D,"Pas de correspondance")</f>
        <v>Pas de correspondance</v>
      </c>
      <c r="I140" t="str">
        <f>_xlfn.XLOOKUP(Logs__2[[#This Row],[Cell_ID]],'Registre_Maintenance'!B:B,'Registre_Maintenance'!E:E,"Pas de correspondance")</f>
        <v>Pas de correspondance</v>
      </c>
      <c r="J140" t="str">
        <f>_xlfn.XLOOKUP(Logs__2[[#This Row],[Cell_ID]],'Registre_Maintenance'!B:B,'Registre_Maintenance'!F:F,"Pas de correspondance")</f>
        <v>Pas de correspondance</v>
      </c>
      <c r="K140" t="str">
        <f>_xlfn.XLOOKUP(Logs__2[[#This Row],[Cell_ID]],'Registre_Maintenance'!B:B,'Registre_Maintenance'!G:G,"Pas de correspondance")</f>
        <v>Pas de correspondance</v>
      </c>
    </row>
    <row r="141" spans="1:11" hidden="1" x14ac:dyDescent="0.25">
      <c r="A141" s="1" t="s">
        <v>935</v>
      </c>
      <c r="B141" s="2">
        <v>45221</v>
      </c>
      <c r="C141" s="3">
        <v>0.91041666666666665</v>
      </c>
      <c r="D141" s="1" t="s">
        <v>937</v>
      </c>
      <c r="E141">
        <v>60</v>
      </c>
      <c r="F141" s="1" t="s">
        <v>809</v>
      </c>
      <c r="G141" t="str">
        <f>_xlfn.XLOOKUP(Logs__2[[#This Row],[Cell_ID]],'Registre_Maintenance'!B:B,'Registre_Maintenance'!C:C,"Pas de correspondance")</f>
        <v>Pas de correspondance</v>
      </c>
      <c r="H141" t="str">
        <f>_xlfn.XLOOKUP(Logs__2[[#This Row],[Cell_ID]],'Registre_Maintenance'!B:B,'Registre_Maintenance'!D:D,"Pas de correspondance")</f>
        <v>Pas de correspondance</v>
      </c>
      <c r="I141" t="str">
        <f>_xlfn.XLOOKUP(Logs__2[[#This Row],[Cell_ID]],'Registre_Maintenance'!B:B,'Registre_Maintenance'!E:E,"Pas de correspondance")</f>
        <v>Pas de correspondance</v>
      </c>
      <c r="J141" t="str">
        <f>_xlfn.XLOOKUP(Logs__2[[#This Row],[Cell_ID]],'Registre_Maintenance'!B:B,'Registre_Maintenance'!F:F,"Pas de correspondance")</f>
        <v>Pas de correspondance</v>
      </c>
      <c r="K141" t="str">
        <f>_xlfn.XLOOKUP(Logs__2[[#This Row],[Cell_ID]],'Registre_Maintenance'!B:B,'Registre_Maintenance'!G:G,"Pas de correspondance")</f>
        <v>Pas de correspondance</v>
      </c>
    </row>
    <row r="142" spans="1:11" x14ac:dyDescent="0.25">
      <c r="A142" s="1" t="s">
        <v>935</v>
      </c>
      <c r="B142" s="2">
        <v>45212</v>
      </c>
      <c r="C142" s="3">
        <v>0.96527777777777779</v>
      </c>
      <c r="D142" s="1" t="s">
        <v>938</v>
      </c>
      <c r="E142">
        <v>27</v>
      </c>
      <c r="F142" s="1" t="s">
        <v>811</v>
      </c>
      <c r="G142" t="str">
        <f>_xlfn.XLOOKUP(Logs__2[[#This Row],[Cell_ID]],'Registre_Maintenance'!B:B,'Registre_Maintenance'!C:C,"Pas de correspondance")</f>
        <v>Kongo-Central</v>
      </c>
      <c r="H142">
        <f>_xlfn.XLOOKUP(Logs__2[[#This Row],[Cell_ID]],'Registre_Maintenance'!B:B,'Registre_Maintenance'!D:D,"Pas de correspondance")</f>
        <v>0.79124300000000003</v>
      </c>
      <c r="I142">
        <f>_xlfn.XLOOKUP(Logs__2[[#This Row],[Cell_ID]],'Registre_Maintenance'!B:B,'Registre_Maintenance'!E:E,"Pas de correspondance")</f>
        <v>25.273389000000002</v>
      </c>
      <c r="J142" t="str">
        <f>_xlfn.XLOOKUP(Logs__2[[#This Row],[Cell_ID]],'Registre_Maintenance'!B:B,'Registre_Maintenance'!F:F,"Pas de correspondance")</f>
        <v>4G</v>
      </c>
      <c r="K142" t="str">
        <f>_xlfn.XLOOKUP(Logs__2[[#This Row],[Cell_ID]],'Registre_Maintenance'!B:B,'Registre_Maintenance'!G:G,"Pas de correspondance")</f>
        <v>Nokia</v>
      </c>
    </row>
    <row r="143" spans="1:11" x14ac:dyDescent="0.25">
      <c r="A143" s="1" t="s">
        <v>935</v>
      </c>
      <c r="B143" s="2">
        <v>45226</v>
      </c>
      <c r="C143" s="3">
        <v>0.62361111111111112</v>
      </c>
      <c r="D143" s="1" t="s">
        <v>939</v>
      </c>
      <c r="E143">
        <v>98</v>
      </c>
      <c r="F143" s="1" t="s">
        <v>811</v>
      </c>
      <c r="G143" t="str">
        <f>_xlfn.XLOOKUP(Logs__2[[#This Row],[Cell_ID]],'Registre_Maintenance'!B:B,'Registre_Maintenance'!C:C,"Pas de correspondance")</f>
        <v>Nord-Ubangi</v>
      </c>
      <c r="H143">
        <f>_xlfn.XLOOKUP(Logs__2[[#This Row],[Cell_ID]],'Registre_Maintenance'!B:B,'Registre_Maintenance'!D:D,"Pas de correspondance")</f>
        <v>-7.9987219999999999</v>
      </c>
      <c r="I143">
        <f>_xlfn.XLOOKUP(Logs__2[[#This Row],[Cell_ID]],'Registre_Maintenance'!B:B,'Registre_Maintenance'!E:E,"Pas de correspondance")</f>
        <v>12.779335</v>
      </c>
      <c r="J143" t="str">
        <f>_xlfn.XLOOKUP(Logs__2[[#This Row],[Cell_ID]],'Registre_Maintenance'!B:B,'Registre_Maintenance'!F:F,"Pas de correspondance")</f>
        <v>5G</v>
      </c>
      <c r="K143" t="str">
        <f>_xlfn.XLOOKUP(Logs__2[[#This Row],[Cell_ID]],'Registre_Maintenance'!B:B,'Registre_Maintenance'!G:G,"Pas de correspondance")</f>
        <v>Nokia</v>
      </c>
    </row>
    <row r="144" spans="1:11" hidden="1" x14ac:dyDescent="0.25">
      <c r="A144" s="1" t="s">
        <v>935</v>
      </c>
      <c r="B144" s="2">
        <v>45204</v>
      </c>
      <c r="C144" s="3">
        <v>0.81527777777777777</v>
      </c>
      <c r="D144" s="1" t="s">
        <v>937</v>
      </c>
      <c r="E144">
        <v>71</v>
      </c>
      <c r="F144" s="1" t="s">
        <v>811</v>
      </c>
      <c r="G144" t="str">
        <f>_xlfn.XLOOKUP(Logs__2[[#This Row],[Cell_ID]],'Registre_Maintenance'!B:B,'Registre_Maintenance'!C:C,"Pas de correspondance")</f>
        <v>Pas de correspondance</v>
      </c>
      <c r="H144" t="str">
        <f>_xlfn.XLOOKUP(Logs__2[[#This Row],[Cell_ID]],'Registre_Maintenance'!B:B,'Registre_Maintenance'!D:D,"Pas de correspondance")</f>
        <v>Pas de correspondance</v>
      </c>
      <c r="I144" t="str">
        <f>_xlfn.XLOOKUP(Logs__2[[#This Row],[Cell_ID]],'Registre_Maintenance'!B:B,'Registre_Maintenance'!E:E,"Pas de correspondance")</f>
        <v>Pas de correspondance</v>
      </c>
      <c r="J144" t="str">
        <f>_xlfn.XLOOKUP(Logs__2[[#This Row],[Cell_ID]],'Registre_Maintenance'!B:B,'Registre_Maintenance'!F:F,"Pas de correspondance")</f>
        <v>Pas de correspondance</v>
      </c>
      <c r="K144" t="str">
        <f>_xlfn.XLOOKUP(Logs__2[[#This Row],[Cell_ID]],'Registre_Maintenance'!B:B,'Registre_Maintenance'!G:G,"Pas de correspondance")</f>
        <v>Pas de correspondance</v>
      </c>
    </row>
    <row r="145" spans="1:11" x14ac:dyDescent="0.25">
      <c r="A145" s="1" t="s">
        <v>935</v>
      </c>
      <c r="B145" s="2">
        <v>45200</v>
      </c>
      <c r="C145" s="3">
        <v>0.52569444444444446</v>
      </c>
      <c r="D145" s="1" t="s">
        <v>940</v>
      </c>
      <c r="E145">
        <v>88</v>
      </c>
      <c r="F145" s="1" t="s">
        <v>811</v>
      </c>
      <c r="G145" t="str">
        <f>_xlfn.XLOOKUP(Logs__2[[#This Row],[Cell_ID]],'Registre_Maintenance'!B:B,'Registre_Maintenance'!C:C,"Pas de correspondance")</f>
        <v>Kinshasa</v>
      </c>
      <c r="H145">
        <f>_xlfn.XLOOKUP(Logs__2[[#This Row],[Cell_ID]],'Registre_Maintenance'!B:B,'Registre_Maintenance'!D:D,"Pas de correspondance")</f>
        <v>-1.6097570000000001</v>
      </c>
      <c r="I145">
        <f>_xlfn.XLOOKUP(Logs__2[[#This Row],[Cell_ID]],'Registre_Maintenance'!B:B,'Registre_Maintenance'!E:E,"Pas de correspondance")</f>
        <v>30.661662</v>
      </c>
      <c r="J145" t="str">
        <f>_xlfn.XLOOKUP(Logs__2[[#This Row],[Cell_ID]],'Registre_Maintenance'!B:B,'Registre_Maintenance'!F:F,"Pas de correspondance")</f>
        <v>4G</v>
      </c>
      <c r="K145" t="str">
        <f>_xlfn.XLOOKUP(Logs__2[[#This Row],[Cell_ID]],'Registre_Maintenance'!B:B,'Registre_Maintenance'!G:G,"Pas de correspondance")</f>
        <v>Ericsson</v>
      </c>
    </row>
    <row r="146" spans="1:11" hidden="1" x14ac:dyDescent="0.25">
      <c r="A146" s="1" t="s">
        <v>935</v>
      </c>
      <c r="B146" s="2">
        <v>45218</v>
      </c>
      <c r="C146" s="3">
        <v>0.87569444444444444</v>
      </c>
      <c r="D146" s="1" t="s">
        <v>941</v>
      </c>
      <c r="E146">
        <v>39</v>
      </c>
      <c r="F146" s="1" t="s">
        <v>806</v>
      </c>
      <c r="G146" t="str">
        <f>_xlfn.XLOOKUP(Logs__2[[#This Row],[Cell_ID]],'Registre_Maintenance'!B:B,'Registre_Maintenance'!C:C,"Pas de correspondance")</f>
        <v>Pas de correspondance</v>
      </c>
      <c r="H146" t="str">
        <f>_xlfn.XLOOKUP(Logs__2[[#This Row],[Cell_ID]],'Registre_Maintenance'!B:B,'Registre_Maintenance'!D:D,"Pas de correspondance")</f>
        <v>Pas de correspondance</v>
      </c>
      <c r="I146" t="str">
        <f>_xlfn.XLOOKUP(Logs__2[[#This Row],[Cell_ID]],'Registre_Maintenance'!B:B,'Registre_Maintenance'!E:E,"Pas de correspondance")</f>
        <v>Pas de correspondance</v>
      </c>
      <c r="J146" t="str">
        <f>_xlfn.XLOOKUP(Logs__2[[#This Row],[Cell_ID]],'Registre_Maintenance'!B:B,'Registre_Maintenance'!F:F,"Pas de correspondance")</f>
        <v>Pas de correspondance</v>
      </c>
      <c r="K146" t="str">
        <f>_xlfn.XLOOKUP(Logs__2[[#This Row],[Cell_ID]],'Registre_Maintenance'!B:B,'Registre_Maintenance'!G:G,"Pas de correspondance")</f>
        <v>Pas de correspondance</v>
      </c>
    </row>
    <row r="147" spans="1:11" x14ac:dyDescent="0.25">
      <c r="A147" s="1" t="s">
        <v>935</v>
      </c>
      <c r="B147" s="2">
        <v>45202</v>
      </c>
      <c r="C147" s="3">
        <v>0.8520833333333333</v>
      </c>
      <c r="D147" s="1" t="s">
        <v>942</v>
      </c>
      <c r="E147">
        <v>83</v>
      </c>
      <c r="F147" s="1" t="s">
        <v>806</v>
      </c>
      <c r="G147" t="str">
        <f>_xlfn.XLOOKUP(Logs__2[[#This Row],[Cell_ID]],'Registre_Maintenance'!B:B,'Registre_Maintenance'!C:C,"Pas de correspondance")</f>
        <v>Mai-Ndombe</v>
      </c>
      <c r="H147">
        <f>_xlfn.XLOOKUP(Logs__2[[#This Row],[Cell_ID]],'Registre_Maintenance'!B:B,'Registre_Maintenance'!D:D,"Pas de correspondance")</f>
        <v>-1.607639</v>
      </c>
      <c r="I147">
        <f>_xlfn.XLOOKUP(Logs__2[[#This Row],[Cell_ID]],'Registre_Maintenance'!B:B,'Registre_Maintenance'!E:E,"Pas de correspondance")</f>
        <v>17.003636</v>
      </c>
      <c r="J147" t="str">
        <f>_xlfn.XLOOKUP(Logs__2[[#This Row],[Cell_ID]],'Registre_Maintenance'!B:B,'Registre_Maintenance'!F:F,"Pas de correspondance")</f>
        <v>4G</v>
      </c>
      <c r="K147" t="str">
        <f>_xlfn.XLOOKUP(Logs__2[[#This Row],[Cell_ID]],'Registre_Maintenance'!B:B,'Registre_Maintenance'!G:G,"Pas de correspondance")</f>
        <v>Ericsson</v>
      </c>
    </row>
    <row r="148" spans="1:11" x14ac:dyDescent="0.25">
      <c r="A148" s="1" t="s">
        <v>935</v>
      </c>
      <c r="B148" s="2">
        <v>45204</v>
      </c>
      <c r="C148" s="3">
        <v>0.59097222222222223</v>
      </c>
      <c r="D148" s="1" t="s">
        <v>943</v>
      </c>
      <c r="E148">
        <v>108</v>
      </c>
      <c r="F148" s="1" t="s">
        <v>809</v>
      </c>
      <c r="G148" t="str">
        <f>_xlfn.XLOOKUP(Logs__2[[#This Row],[Cell_ID]],'Registre_Maintenance'!B:B,'Registre_Maintenance'!C:C,"Pas de correspondance")</f>
        <v>Kwilu</v>
      </c>
      <c r="H148">
        <f>_xlfn.XLOOKUP(Logs__2[[#This Row],[Cell_ID]],'Registre_Maintenance'!B:B,'Registre_Maintenance'!D:D,"Pas de correspondance")</f>
        <v>-8.5675749999999997</v>
      </c>
      <c r="I148">
        <f>_xlfn.XLOOKUP(Logs__2[[#This Row],[Cell_ID]],'Registre_Maintenance'!B:B,'Registre_Maintenance'!E:E,"Pas de correspondance")</f>
        <v>26.994581</v>
      </c>
      <c r="J148" t="str">
        <f>_xlfn.XLOOKUP(Logs__2[[#This Row],[Cell_ID]],'Registre_Maintenance'!B:B,'Registre_Maintenance'!F:F,"Pas de correspondance")</f>
        <v>3G</v>
      </c>
      <c r="K148" t="str">
        <f>_xlfn.XLOOKUP(Logs__2[[#This Row],[Cell_ID]],'Registre_Maintenance'!B:B,'Registre_Maintenance'!G:G,"Pas de correspondance")</f>
        <v>Nokia</v>
      </c>
    </row>
    <row r="149" spans="1:11" hidden="1" x14ac:dyDescent="0.25">
      <c r="A149" s="1" t="s">
        <v>935</v>
      </c>
      <c r="B149" s="2">
        <v>45201</v>
      </c>
      <c r="C149" s="3">
        <v>0.35</v>
      </c>
      <c r="D149" s="1" t="s">
        <v>944</v>
      </c>
      <c r="E149">
        <v>73</v>
      </c>
      <c r="F149" s="1" t="s">
        <v>806</v>
      </c>
      <c r="G149" t="str">
        <f>_xlfn.XLOOKUP(Logs__2[[#This Row],[Cell_ID]],'Registre_Maintenance'!B:B,'Registre_Maintenance'!C:C,"Pas de correspondance")</f>
        <v>Pas de correspondance</v>
      </c>
      <c r="H149" t="str">
        <f>_xlfn.XLOOKUP(Logs__2[[#This Row],[Cell_ID]],'Registre_Maintenance'!B:B,'Registre_Maintenance'!D:D,"Pas de correspondance")</f>
        <v>Pas de correspondance</v>
      </c>
      <c r="I149" t="str">
        <f>_xlfn.XLOOKUP(Logs__2[[#This Row],[Cell_ID]],'Registre_Maintenance'!B:B,'Registre_Maintenance'!E:E,"Pas de correspondance")</f>
        <v>Pas de correspondance</v>
      </c>
      <c r="J149" t="str">
        <f>_xlfn.XLOOKUP(Logs__2[[#This Row],[Cell_ID]],'Registre_Maintenance'!B:B,'Registre_Maintenance'!F:F,"Pas de correspondance")</f>
        <v>Pas de correspondance</v>
      </c>
      <c r="K149" t="str">
        <f>_xlfn.XLOOKUP(Logs__2[[#This Row],[Cell_ID]],'Registre_Maintenance'!B:B,'Registre_Maintenance'!G:G,"Pas de correspondance")</f>
        <v>Pas de correspondance</v>
      </c>
    </row>
    <row r="150" spans="1:11" hidden="1" x14ac:dyDescent="0.25">
      <c r="A150" s="1" t="s">
        <v>935</v>
      </c>
      <c r="B150" s="2">
        <v>45210</v>
      </c>
      <c r="C150" s="3">
        <v>0.27013888888888887</v>
      </c>
      <c r="D150" s="1" t="s">
        <v>945</v>
      </c>
      <c r="E150">
        <v>104</v>
      </c>
      <c r="F150" s="1" t="s">
        <v>811</v>
      </c>
      <c r="G150" t="str">
        <f>_xlfn.XLOOKUP(Logs__2[[#This Row],[Cell_ID]],'Registre_Maintenance'!B:B,'Registre_Maintenance'!C:C,"Pas de correspondance")</f>
        <v>Pas de correspondance</v>
      </c>
      <c r="H150" t="str">
        <f>_xlfn.XLOOKUP(Logs__2[[#This Row],[Cell_ID]],'Registre_Maintenance'!B:B,'Registre_Maintenance'!D:D,"Pas de correspondance")</f>
        <v>Pas de correspondance</v>
      </c>
      <c r="I150" t="str">
        <f>_xlfn.XLOOKUP(Logs__2[[#This Row],[Cell_ID]],'Registre_Maintenance'!B:B,'Registre_Maintenance'!E:E,"Pas de correspondance")</f>
        <v>Pas de correspondance</v>
      </c>
      <c r="J150" t="str">
        <f>_xlfn.XLOOKUP(Logs__2[[#This Row],[Cell_ID]],'Registre_Maintenance'!B:B,'Registre_Maintenance'!F:F,"Pas de correspondance")</f>
        <v>Pas de correspondance</v>
      </c>
      <c r="K150" t="str">
        <f>_xlfn.XLOOKUP(Logs__2[[#This Row],[Cell_ID]],'Registre_Maintenance'!B:B,'Registre_Maintenance'!G:G,"Pas de correspondance")</f>
        <v>Pas de correspondance</v>
      </c>
    </row>
    <row r="151" spans="1:11" x14ac:dyDescent="0.25">
      <c r="A151" s="1" t="s">
        <v>935</v>
      </c>
      <c r="B151" s="2">
        <v>45210</v>
      </c>
      <c r="C151" s="3">
        <v>0.45</v>
      </c>
      <c r="D151" s="1" t="s">
        <v>946</v>
      </c>
      <c r="E151">
        <v>66</v>
      </c>
      <c r="F151" s="1" t="s">
        <v>806</v>
      </c>
      <c r="G151" t="str">
        <f>_xlfn.XLOOKUP(Logs__2[[#This Row],[Cell_ID]],'Registre_Maintenance'!B:B,'Registre_Maintenance'!C:C,"Pas de correspondance")</f>
        <v>Lualaba</v>
      </c>
      <c r="H151">
        <f>_xlfn.XLOOKUP(Logs__2[[#This Row],[Cell_ID]],'Registre_Maintenance'!B:B,'Registre_Maintenance'!D:D,"Pas de correspondance")</f>
        <v>-9.7803979999999999</v>
      </c>
      <c r="I151">
        <f>_xlfn.XLOOKUP(Logs__2[[#This Row],[Cell_ID]],'Registre_Maintenance'!B:B,'Registre_Maintenance'!E:E,"Pas de correspondance")</f>
        <v>17.686595000000001</v>
      </c>
      <c r="J151" t="str">
        <f>_xlfn.XLOOKUP(Logs__2[[#This Row],[Cell_ID]],'Registre_Maintenance'!B:B,'Registre_Maintenance'!F:F,"Pas de correspondance")</f>
        <v>4G</v>
      </c>
      <c r="K151" t="str">
        <f>_xlfn.XLOOKUP(Logs__2[[#This Row],[Cell_ID]],'Registre_Maintenance'!B:B,'Registre_Maintenance'!G:G,"Pas de correspondance")</f>
        <v>Ericsson</v>
      </c>
    </row>
    <row r="152" spans="1:11" hidden="1" x14ac:dyDescent="0.25">
      <c r="A152" s="1" t="s">
        <v>935</v>
      </c>
      <c r="B152" s="2">
        <v>45228</v>
      </c>
      <c r="C152" s="3">
        <v>0.51180555555555551</v>
      </c>
      <c r="D152" s="1" t="s">
        <v>947</v>
      </c>
      <c r="E152">
        <v>64</v>
      </c>
      <c r="F152" s="1" t="s">
        <v>809</v>
      </c>
      <c r="G152" t="str">
        <f>_xlfn.XLOOKUP(Logs__2[[#This Row],[Cell_ID]],'Registre_Maintenance'!B:B,'Registre_Maintenance'!C:C,"Pas de correspondance")</f>
        <v>Pas de correspondance</v>
      </c>
      <c r="H152" t="str">
        <f>_xlfn.XLOOKUP(Logs__2[[#This Row],[Cell_ID]],'Registre_Maintenance'!B:B,'Registre_Maintenance'!D:D,"Pas de correspondance")</f>
        <v>Pas de correspondance</v>
      </c>
      <c r="I152" t="str">
        <f>_xlfn.XLOOKUP(Logs__2[[#This Row],[Cell_ID]],'Registre_Maintenance'!B:B,'Registre_Maintenance'!E:E,"Pas de correspondance")</f>
        <v>Pas de correspondance</v>
      </c>
      <c r="J152" t="str">
        <f>_xlfn.XLOOKUP(Logs__2[[#This Row],[Cell_ID]],'Registre_Maintenance'!B:B,'Registre_Maintenance'!F:F,"Pas de correspondance")</f>
        <v>Pas de correspondance</v>
      </c>
      <c r="K152" t="str">
        <f>_xlfn.XLOOKUP(Logs__2[[#This Row],[Cell_ID]],'Registre_Maintenance'!B:B,'Registre_Maintenance'!G:G,"Pas de correspondance")</f>
        <v>Pas de correspondance</v>
      </c>
    </row>
    <row r="153" spans="1:11" x14ac:dyDescent="0.25">
      <c r="A153" s="1" t="s">
        <v>935</v>
      </c>
      <c r="B153" s="2">
        <v>45224</v>
      </c>
      <c r="C153" s="3">
        <v>0.55277777777777781</v>
      </c>
      <c r="D153" s="1" t="s">
        <v>948</v>
      </c>
      <c r="E153">
        <v>60</v>
      </c>
      <c r="F153" s="1" t="s">
        <v>809</v>
      </c>
      <c r="G153" t="str">
        <f>_xlfn.XLOOKUP(Logs__2[[#This Row],[Cell_ID]],'Registre_Maintenance'!B:B,'Registre_Maintenance'!C:C,"Pas de correspondance")</f>
        <v>Tanganyika</v>
      </c>
      <c r="H153">
        <f>_xlfn.XLOOKUP(Logs__2[[#This Row],[Cell_ID]],'Registre_Maintenance'!B:B,'Registre_Maintenance'!D:D,"Pas de correspondance")</f>
        <v>-10.439686999999999</v>
      </c>
      <c r="I153">
        <f>_xlfn.XLOOKUP(Logs__2[[#This Row],[Cell_ID]],'Registre_Maintenance'!B:B,'Registre_Maintenance'!E:E,"Pas de correspondance")</f>
        <v>20.714210000000001</v>
      </c>
      <c r="J153" t="str">
        <f>_xlfn.XLOOKUP(Logs__2[[#This Row],[Cell_ID]],'Registre_Maintenance'!B:B,'Registre_Maintenance'!F:F,"Pas de correspondance")</f>
        <v>4G</v>
      </c>
      <c r="K153" t="str">
        <f>_xlfn.XLOOKUP(Logs__2[[#This Row],[Cell_ID]],'Registre_Maintenance'!B:B,'Registre_Maintenance'!G:G,"Pas de correspondance")</f>
        <v>ZTE</v>
      </c>
    </row>
    <row r="154" spans="1:11" hidden="1" x14ac:dyDescent="0.25">
      <c r="A154" s="1" t="s">
        <v>935</v>
      </c>
      <c r="B154" s="2">
        <v>45226</v>
      </c>
      <c r="C154" s="3">
        <v>0.10416666666666667</v>
      </c>
      <c r="D154" s="1" t="s">
        <v>949</v>
      </c>
      <c r="E154">
        <v>110</v>
      </c>
      <c r="F154" s="1" t="s">
        <v>809</v>
      </c>
      <c r="G154" t="str">
        <f>_xlfn.XLOOKUP(Logs__2[[#This Row],[Cell_ID]],'Registre_Maintenance'!B:B,'Registre_Maintenance'!C:C,"Pas de correspondance")</f>
        <v>Pas de correspondance</v>
      </c>
      <c r="H154" t="str">
        <f>_xlfn.XLOOKUP(Logs__2[[#This Row],[Cell_ID]],'Registre_Maintenance'!B:B,'Registre_Maintenance'!D:D,"Pas de correspondance")</f>
        <v>Pas de correspondance</v>
      </c>
      <c r="I154" t="str">
        <f>_xlfn.XLOOKUP(Logs__2[[#This Row],[Cell_ID]],'Registre_Maintenance'!B:B,'Registre_Maintenance'!E:E,"Pas de correspondance")</f>
        <v>Pas de correspondance</v>
      </c>
      <c r="J154" t="str">
        <f>_xlfn.XLOOKUP(Logs__2[[#This Row],[Cell_ID]],'Registre_Maintenance'!B:B,'Registre_Maintenance'!F:F,"Pas de correspondance")</f>
        <v>Pas de correspondance</v>
      </c>
      <c r="K154" t="str">
        <f>_xlfn.XLOOKUP(Logs__2[[#This Row],[Cell_ID]],'Registre_Maintenance'!B:B,'Registre_Maintenance'!G:G,"Pas de correspondance")</f>
        <v>Pas de correspondance</v>
      </c>
    </row>
    <row r="155" spans="1:11" hidden="1" x14ac:dyDescent="0.25">
      <c r="A155" s="1" t="s">
        <v>935</v>
      </c>
      <c r="B155" s="2">
        <v>45200</v>
      </c>
      <c r="C155" s="3">
        <v>0.9819444444444444</v>
      </c>
      <c r="D155" s="1" t="s">
        <v>840</v>
      </c>
      <c r="E155">
        <v>98</v>
      </c>
      <c r="F155" s="1" t="s">
        <v>806</v>
      </c>
      <c r="G155" t="str">
        <f>_xlfn.XLOOKUP(Logs__2[[#This Row],[Cell_ID]],'Registre_Maintenance'!B:B,'Registre_Maintenance'!C:C,"Pas de correspondance")</f>
        <v>Pas de correspondance</v>
      </c>
      <c r="H155" t="str">
        <f>_xlfn.XLOOKUP(Logs__2[[#This Row],[Cell_ID]],'Registre_Maintenance'!B:B,'Registre_Maintenance'!D:D,"Pas de correspondance")</f>
        <v>Pas de correspondance</v>
      </c>
      <c r="I155" t="str">
        <f>_xlfn.XLOOKUP(Logs__2[[#This Row],[Cell_ID]],'Registre_Maintenance'!B:B,'Registre_Maintenance'!E:E,"Pas de correspondance")</f>
        <v>Pas de correspondance</v>
      </c>
      <c r="J155" t="str">
        <f>_xlfn.XLOOKUP(Logs__2[[#This Row],[Cell_ID]],'Registre_Maintenance'!B:B,'Registre_Maintenance'!F:F,"Pas de correspondance")</f>
        <v>Pas de correspondance</v>
      </c>
      <c r="K155" t="str">
        <f>_xlfn.XLOOKUP(Logs__2[[#This Row],[Cell_ID]],'Registre_Maintenance'!B:B,'Registre_Maintenance'!G:G,"Pas de correspondance")</f>
        <v>Pas de correspondance</v>
      </c>
    </row>
    <row r="156" spans="1:11" x14ac:dyDescent="0.25">
      <c r="A156" s="1" t="s">
        <v>935</v>
      </c>
      <c r="B156" s="2">
        <v>45201</v>
      </c>
      <c r="C156" s="3">
        <v>0.46805555555555556</v>
      </c>
      <c r="D156" s="1" t="s">
        <v>950</v>
      </c>
      <c r="E156">
        <v>80</v>
      </c>
      <c r="F156" s="1" t="s">
        <v>806</v>
      </c>
      <c r="G156" t="str">
        <f>_xlfn.XLOOKUP(Logs__2[[#This Row],[Cell_ID]],'Registre_Maintenance'!B:B,'Registre_Maintenance'!C:C,"Pas de correspondance")</f>
        <v>Haut-Katanga</v>
      </c>
      <c r="H156">
        <f>_xlfn.XLOOKUP(Logs__2[[#This Row],[Cell_ID]],'Registre_Maintenance'!B:B,'Registre_Maintenance'!D:D,"Pas de correspondance")</f>
        <v>-3.3890790000000002</v>
      </c>
      <c r="I156">
        <f>_xlfn.XLOOKUP(Logs__2[[#This Row],[Cell_ID]],'Registre_Maintenance'!B:B,'Registre_Maintenance'!E:E,"Pas de correspondance")</f>
        <v>18.374571</v>
      </c>
      <c r="J156" t="str">
        <f>_xlfn.XLOOKUP(Logs__2[[#This Row],[Cell_ID]],'Registre_Maintenance'!B:B,'Registre_Maintenance'!F:F,"Pas de correspondance")</f>
        <v>5G</v>
      </c>
      <c r="K156" t="str">
        <f>_xlfn.XLOOKUP(Logs__2[[#This Row],[Cell_ID]],'Registre_Maintenance'!B:B,'Registre_Maintenance'!G:G,"Pas de correspondance")</f>
        <v>ZTE</v>
      </c>
    </row>
    <row r="157" spans="1:11" hidden="1" x14ac:dyDescent="0.25">
      <c r="A157" s="1" t="s">
        <v>935</v>
      </c>
      <c r="B157" s="2">
        <v>45220</v>
      </c>
      <c r="C157" s="3">
        <v>0.11736111111111111</v>
      </c>
      <c r="D157" s="1" t="s">
        <v>951</v>
      </c>
      <c r="E157">
        <v>39</v>
      </c>
      <c r="F157" s="1" t="s">
        <v>806</v>
      </c>
      <c r="G157" t="str">
        <f>_xlfn.XLOOKUP(Logs__2[[#This Row],[Cell_ID]],'Registre_Maintenance'!B:B,'Registre_Maintenance'!C:C,"Pas de correspondance")</f>
        <v>Pas de correspondance</v>
      </c>
      <c r="H157" t="str">
        <f>_xlfn.XLOOKUP(Logs__2[[#This Row],[Cell_ID]],'Registre_Maintenance'!B:B,'Registre_Maintenance'!D:D,"Pas de correspondance")</f>
        <v>Pas de correspondance</v>
      </c>
      <c r="I157" t="str">
        <f>_xlfn.XLOOKUP(Logs__2[[#This Row],[Cell_ID]],'Registre_Maintenance'!B:B,'Registre_Maintenance'!E:E,"Pas de correspondance")</f>
        <v>Pas de correspondance</v>
      </c>
      <c r="J157" t="str">
        <f>_xlfn.XLOOKUP(Logs__2[[#This Row],[Cell_ID]],'Registre_Maintenance'!B:B,'Registre_Maintenance'!F:F,"Pas de correspondance")</f>
        <v>Pas de correspondance</v>
      </c>
      <c r="K157" t="str">
        <f>_xlfn.XLOOKUP(Logs__2[[#This Row],[Cell_ID]],'Registre_Maintenance'!B:B,'Registre_Maintenance'!G:G,"Pas de correspondance")</f>
        <v>Pas de correspondance</v>
      </c>
    </row>
    <row r="158" spans="1:11" hidden="1" x14ac:dyDescent="0.25">
      <c r="A158" s="1" t="s">
        <v>935</v>
      </c>
      <c r="B158" s="2">
        <v>45230</v>
      </c>
      <c r="C158" s="3">
        <v>0.83472222222222225</v>
      </c>
      <c r="D158" s="1" t="s">
        <v>850</v>
      </c>
      <c r="E158">
        <v>46</v>
      </c>
      <c r="F158" s="1" t="s">
        <v>809</v>
      </c>
      <c r="G158" t="str">
        <f>_xlfn.XLOOKUP(Logs__2[[#This Row],[Cell_ID]],'Registre_Maintenance'!B:B,'Registre_Maintenance'!C:C,"Pas de correspondance")</f>
        <v>Pas de correspondance</v>
      </c>
      <c r="H158" t="str">
        <f>_xlfn.XLOOKUP(Logs__2[[#This Row],[Cell_ID]],'Registre_Maintenance'!B:B,'Registre_Maintenance'!D:D,"Pas de correspondance")</f>
        <v>Pas de correspondance</v>
      </c>
      <c r="I158" t="str">
        <f>_xlfn.XLOOKUP(Logs__2[[#This Row],[Cell_ID]],'Registre_Maintenance'!B:B,'Registre_Maintenance'!E:E,"Pas de correspondance")</f>
        <v>Pas de correspondance</v>
      </c>
      <c r="J158" t="str">
        <f>_xlfn.XLOOKUP(Logs__2[[#This Row],[Cell_ID]],'Registre_Maintenance'!B:B,'Registre_Maintenance'!F:F,"Pas de correspondance")</f>
        <v>Pas de correspondance</v>
      </c>
      <c r="K158" t="str">
        <f>_xlfn.XLOOKUP(Logs__2[[#This Row],[Cell_ID]],'Registre_Maintenance'!B:B,'Registre_Maintenance'!G:G,"Pas de correspondance")</f>
        <v>Pas de correspondance</v>
      </c>
    </row>
    <row r="159" spans="1:11" hidden="1" x14ac:dyDescent="0.25">
      <c r="A159" s="1" t="s">
        <v>935</v>
      </c>
      <c r="B159" s="2">
        <v>45224</v>
      </c>
      <c r="C159" s="3">
        <v>1.0416666666666666E-2</v>
      </c>
      <c r="D159" s="1" t="s">
        <v>883</v>
      </c>
      <c r="E159">
        <v>114</v>
      </c>
      <c r="F159" s="1" t="s">
        <v>811</v>
      </c>
      <c r="G159" t="str">
        <f>_xlfn.XLOOKUP(Logs__2[[#This Row],[Cell_ID]],'Registre_Maintenance'!B:B,'Registre_Maintenance'!C:C,"Pas de correspondance")</f>
        <v>Pas de correspondance</v>
      </c>
      <c r="H159" t="str">
        <f>_xlfn.XLOOKUP(Logs__2[[#This Row],[Cell_ID]],'Registre_Maintenance'!B:B,'Registre_Maintenance'!D:D,"Pas de correspondance")</f>
        <v>Pas de correspondance</v>
      </c>
      <c r="I159" t="str">
        <f>_xlfn.XLOOKUP(Logs__2[[#This Row],[Cell_ID]],'Registre_Maintenance'!B:B,'Registre_Maintenance'!E:E,"Pas de correspondance")</f>
        <v>Pas de correspondance</v>
      </c>
      <c r="J159" t="str">
        <f>_xlfn.XLOOKUP(Logs__2[[#This Row],[Cell_ID]],'Registre_Maintenance'!B:B,'Registre_Maintenance'!F:F,"Pas de correspondance")</f>
        <v>Pas de correspondance</v>
      </c>
      <c r="K159" t="str">
        <f>_xlfn.XLOOKUP(Logs__2[[#This Row],[Cell_ID]],'Registre_Maintenance'!B:B,'Registre_Maintenance'!G:G,"Pas de correspondance")</f>
        <v>Pas de correspondance</v>
      </c>
    </row>
    <row r="160" spans="1:11" x14ac:dyDescent="0.25">
      <c r="A160" s="1" t="s">
        <v>935</v>
      </c>
      <c r="B160" s="2">
        <v>45206</v>
      </c>
      <c r="C160" s="3">
        <v>2.7083333333333334E-2</v>
      </c>
      <c r="D160" s="1" t="s">
        <v>952</v>
      </c>
      <c r="E160">
        <v>36</v>
      </c>
      <c r="F160" s="1" t="s">
        <v>811</v>
      </c>
      <c r="G160" t="str">
        <f>_xlfn.XLOOKUP(Logs__2[[#This Row],[Cell_ID]],'Registre_Maintenance'!B:B,'Registre_Maintenance'!C:C,"Pas de correspondance")</f>
        <v>Kasaï-Central</v>
      </c>
      <c r="H160">
        <f>_xlfn.XLOOKUP(Logs__2[[#This Row],[Cell_ID]],'Registre_Maintenance'!B:B,'Registre_Maintenance'!D:D,"Pas de correspondance")</f>
        <v>-3.111418</v>
      </c>
      <c r="I160">
        <f>_xlfn.XLOOKUP(Logs__2[[#This Row],[Cell_ID]],'Registre_Maintenance'!B:B,'Registre_Maintenance'!E:E,"Pas de correspondance")</f>
        <v>14.144854</v>
      </c>
      <c r="J160" t="str">
        <f>_xlfn.XLOOKUP(Logs__2[[#This Row],[Cell_ID]],'Registre_Maintenance'!B:B,'Registre_Maintenance'!F:F,"Pas de correspondance")</f>
        <v>4G</v>
      </c>
      <c r="K160" t="str">
        <f>_xlfn.XLOOKUP(Logs__2[[#This Row],[Cell_ID]],'Registre_Maintenance'!B:B,'Registre_Maintenance'!G:G,"Pas de correspondance")</f>
        <v>ZTE</v>
      </c>
    </row>
    <row r="161" spans="1:11" x14ac:dyDescent="0.25">
      <c r="A161" s="1" t="s">
        <v>935</v>
      </c>
      <c r="B161" s="2">
        <v>45204</v>
      </c>
      <c r="C161" s="3">
        <v>0.29722222222222222</v>
      </c>
      <c r="D161" s="1" t="s">
        <v>953</v>
      </c>
      <c r="E161">
        <v>111</v>
      </c>
      <c r="F161" s="1" t="s">
        <v>809</v>
      </c>
      <c r="G161" t="str">
        <f>_xlfn.XLOOKUP(Logs__2[[#This Row],[Cell_ID]],'Registre_Maintenance'!B:B,'Registre_Maintenance'!C:C,"Pas de correspondance")</f>
        <v>Nord-Ubangi</v>
      </c>
      <c r="H161">
        <f>_xlfn.XLOOKUP(Logs__2[[#This Row],[Cell_ID]],'Registre_Maintenance'!B:B,'Registre_Maintenance'!D:D,"Pas de correspondance")</f>
        <v>-1.342476</v>
      </c>
      <c r="I161">
        <f>_xlfn.XLOOKUP(Logs__2[[#This Row],[Cell_ID]],'Registre_Maintenance'!B:B,'Registre_Maintenance'!E:E,"Pas de correspondance")</f>
        <v>15.986086</v>
      </c>
      <c r="J161" t="str">
        <f>_xlfn.XLOOKUP(Logs__2[[#This Row],[Cell_ID]],'Registre_Maintenance'!B:B,'Registre_Maintenance'!F:F,"Pas de correspondance")</f>
        <v>4G</v>
      </c>
      <c r="K161" t="str">
        <f>_xlfn.XLOOKUP(Logs__2[[#This Row],[Cell_ID]],'Registre_Maintenance'!B:B,'Registre_Maintenance'!G:G,"Pas de correspondance")</f>
        <v>Ericsson</v>
      </c>
    </row>
    <row r="162" spans="1:11" hidden="1" x14ac:dyDescent="0.25">
      <c r="A162" s="1" t="s">
        <v>935</v>
      </c>
      <c r="B162" s="2">
        <v>45215</v>
      </c>
      <c r="C162" s="3">
        <v>0.87986111111111109</v>
      </c>
      <c r="D162" s="1" t="s">
        <v>954</v>
      </c>
      <c r="E162">
        <v>16</v>
      </c>
      <c r="F162" s="1" t="s">
        <v>809</v>
      </c>
      <c r="G162" t="str">
        <f>_xlfn.XLOOKUP(Logs__2[[#This Row],[Cell_ID]],'Registre_Maintenance'!B:B,'Registre_Maintenance'!C:C,"Pas de correspondance")</f>
        <v>Pas de correspondance</v>
      </c>
      <c r="H162" t="str">
        <f>_xlfn.XLOOKUP(Logs__2[[#This Row],[Cell_ID]],'Registre_Maintenance'!B:B,'Registre_Maintenance'!D:D,"Pas de correspondance")</f>
        <v>Pas de correspondance</v>
      </c>
      <c r="I162" t="str">
        <f>_xlfn.XLOOKUP(Logs__2[[#This Row],[Cell_ID]],'Registre_Maintenance'!B:B,'Registre_Maintenance'!E:E,"Pas de correspondance")</f>
        <v>Pas de correspondance</v>
      </c>
      <c r="J162" t="str">
        <f>_xlfn.XLOOKUP(Logs__2[[#This Row],[Cell_ID]],'Registre_Maintenance'!B:B,'Registre_Maintenance'!F:F,"Pas de correspondance")</f>
        <v>Pas de correspondance</v>
      </c>
      <c r="K162" t="str">
        <f>_xlfn.XLOOKUP(Logs__2[[#This Row],[Cell_ID]],'Registre_Maintenance'!B:B,'Registre_Maintenance'!G:G,"Pas de correspondance")</f>
        <v>Pas de correspondance</v>
      </c>
    </row>
    <row r="163" spans="1:11" hidden="1" x14ac:dyDescent="0.25">
      <c r="A163" s="1" t="s">
        <v>935</v>
      </c>
      <c r="B163" s="2">
        <v>45218</v>
      </c>
      <c r="C163" s="3">
        <v>0.27013888888888887</v>
      </c>
      <c r="D163" s="1" t="s">
        <v>955</v>
      </c>
      <c r="E163">
        <v>40</v>
      </c>
      <c r="F163" s="1" t="s">
        <v>809</v>
      </c>
      <c r="G163" t="str">
        <f>_xlfn.XLOOKUP(Logs__2[[#This Row],[Cell_ID]],'Registre_Maintenance'!B:B,'Registre_Maintenance'!C:C,"Pas de correspondance")</f>
        <v>Pas de correspondance</v>
      </c>
      <c r="H163" t="str">
        <f>_xlfn.XLOOKUP(Logs__2[[#This Row],[Cell_ID]],'Registre_Maintenance'!B:B,'Registre_Maintenance'!D:D,"Pas de correspondance")</f>
        <v>Pas de correspondance</v>
      </c>
      <c r="I163" t="str">
        <f>_xlfn.XLOOKUP(Logs__2[[#This Row],[Cell_ID]],'Registre_Maintenance'!B:B,'Registre_Maintenance'!E:E,"Pas de correspondance")</f>
        <v>Pas de correspondance</v>
      </c>
      <c r="J163" t="str">
        <f>_xlfn.XLOOKUP(Logs__2[[#This Row],[Cell_ID]],'Registre_Maintenance'!B:B,'Registre_Maintenance'!F:F,"Pas de correspondance")</f>
        <v>Pas de correspondance</v>
      </c>
      <c r="K163" t="str">
        <f>_xlfn.XLOOKUP(Logs__2[[#This Row],[Cell_ID]],'Registre_Maintenance'!B:B,'Registre_Maintenance'!G:G,"Pas de correspondance")</f>
        <v>Pas de correspondance</v>
      </c>
    </row>
    <row r="164" spans="1:11" hidden="1" x14ac:dyDescent="0.25">
      <c r="A164" s="1" t="s">
        <v>935</v>
      </c>
      <c r="B164" s="2">
        <v>45222</v>
      </c>
      <c r="C164" s="3">
        <v>0.36736111111111114</v>
      </c>
      <c r="D164" s="1" t="s">
        <v>956</v>
      </c>
      <c r="E164">
        <v>117</v>
      </c>
      <c r="F164" s="1" t="s">
        <v>809</v>
      </c>
      <c r="G164" t="str">
        <f>_xlfn.XLOOKUP(Logs__2[[#This Row],[Cell_ID]],'Registre_Maintenance'!B:B,'Registre_Maintenance'!C:C,"Pas de correspondance")</f>
        <v>Pas de correspondance</v>
      </c>
      <c r="H164" t="str">
        <f>_xlfn.XLOOKUP(Logs__2[[#This Row],[Cell_ID]],'Registre_Maintenance'!B:B,'Registre_Maintenance'!D:D,"Pas de correspondance")</f>
        <v>Pas de correspondance</v>
      </c>
      <c r="I164" t="str">
        <f>_xlfn.XLOOKUP(Logs__2[[#This Row],[Cell_ID]],'Registre_Maintenance'!B:B,'Registre_Maintenance'!E:E,"Pas de correspondance")</f>
        <v>Pas de correspondance</v>
      </c>
      <c r="J164" t="str">
        <f>_xlfn.XLOOKUP(Logs__2[[#This Row],[Cell_ID]],'Registre_Maintenance'!B:B,'Registre_Maintenance'!F:F,"Pas de correspondance")</f>
        <v>Pas de correspondance</v>
      </c>
      <c r="K164" t="str">
        <f>_xlfn.XLOOKUP(Logs__2[[#This Row],[Cell_ID]],'Registre_Maintenance'!B:B,'Registre_Maintenance'!G:G,"Pas de correspondance")</f>
        <v>Pas de correspondance</v>
      </c>
    </row>
    <row r="165" spans="1:11" x14ac:dyDescent="0.25">
      <c r="A165" s="1" t="s">
        <v>935</v>
      </c>
      <c r="B165" s="2">
        <v>45211</v>
      </c>
      <c r="C165" s="3">
        <v>0.23472222222222222</v>
      </c>
      <c r="D165" s="1" t="s">
        <v>957</v>
      </c>
      <c r="E165">
        <v>62</v>
      </c>
      <c r="F165" s="1" t="s">
        <v>811</v>
      </c>
      <c r="G165" t="str">
        <f>_xlfn.XLOOKUP(Logs__2[[#This Row],[Cell_ID]],'Registre_Maintenance'!B:B,'Registre_Maintenance'!C:C,"Pas de correspondance")</f>
        <v>Nord-Kivu</v>
      </c>
      <c r="H165">
        <f>_xlfn.XLOOKUP(Logs__2[[#This Row],[Cell_ID]],'Registre_Maintenance'!B:B,'Registre_Maintenance'!D:D,"Pas de correspondance")</f>
        <v>-2.3102109999999998</v>
      </c>
      <c r="I165">
        <f>_xlfn.XLOOKUP(Logs__2[[#This Row],[Cell_ID]],'Registre_Maintenance'!B:B,'Registre_Maintenance'!E:E,"Pas de correspondance")</f>
        <v>12.362488000000001</v>
      </c>
      <c r="J165" t="str">
        <f>_xlfn.XLOOKUP(Logs__2[[#This Row],[Cell_ID]],'Registre_Maintenance'!B:B,'Registre_Maintenance'!F:F,"Pas de correspondance")</f>
        <v>5G</v>
      </c>
      <c r="K165" t="str">
        <f>_xlfn.XLOOKUP(Logs__2[[#This Row],[Cell_ID]],'Registre_Maintenance'!B:B,'Registre_Maintenance'!G:G,"Pas de correspondance")</f>
        <v>Nokia</v>
      </c>
    </row>
    <row r="166" spans="1:11" hidden="1" x14ac:dyDescent="0.25">
      <c r="A166" s="1" t="s">
        <v>935</v>
      </c>
      <c r="B166" s="2">
        <v>45219</v>
      </c>
      <c r="C166" s="3">
        <v>0.98958333333333337</v>
      </c>
      <c r="D166" s="1" t="s">
        <v>958</v>
      </c>
      <c r="E166">
        <v>36</v>
      </c>
      <c r="F166" s="1" t="s">
        <v>806</v>
      </c>
      <c r="G166" t="str">
        <f>_xlfn.XLOOKUP(Logs__2[[#This Row],[Cell_ID]],'Registre_Maintenance'!B:B,'Registre_Maintenance'!C:C,"Pas de correspondance")</f>
        <v>Pas de correspondance</v>
      </c>
      <c r="H166" t="str">
        <f>_xlfn.XLOOKUP(Logs__2[[#This Row],[Cell_ID]],'Registre_Maintenance'!B:B,'Registre_Maintenance'!D:D,"Pas de correspondance")</f>
        <v>Pas de correspondance</v>
      </c>
      <c r="I166" t="str">
        <f>_xlfn.XLOOKUP(Logs__2[[#This Row],[Cell_ID]],'Registre_Maintenance'!B:B,'Registre_Maintenance'!E:E,"Pas de correspondance")</f>
        <v>Pas de correspondance</v>
      </c>
      <c r="J166" t="str">
        <f>_xlfn.XLOOKUP(Logs__2[[#This Row],[Cell_ID]],'Registre_Maintenance'!B:B,'Registre_Maintenance'!F:F,"Pas de correspondance")</f>
        <v>Pas de correspondance</v>
      </c>
      <c r="K166" t="str">
        <f>_xlfn.XLOOKUP(Logs__2[[#This Row],[Cell_ID]],'Registre_Maintenance'!B:B,'Registre_Maintenance'!G:G,"Pas de correspondance")</f>
        <v>Pas de correspondance</v>
      </c>
    </row>
    <row r="167" spans="1:11" x14ac:dyDescent="0.25">
      <c r="A167" s="1" t="s">
        <v>935</v>
      </c>
      <c r="B167" s="2">
        <v>45203</v>
      </c>
      <c r="C167" s="3">
        <v>0.22152777777777777</v>
      </c>
      <c r="D167" s="1" t="s">
        <v>959</v>
      </c>
      <c r="E167">
        <v>101</v>
      </c>
      <c r="F167" s="1" t="s">
        <v>806</v>
      </c>
      <c r="G167" t="str">
        <f>_xlfn.XLOOKUP(Logs__2[[#This Row],[Cell_ID]],'Registre_Maintenance'!B:B,'Registre_Maintenance'!C:C,"Pas de correspondance")</f>
        <v>Tshopo</v>
      </c>
      <c r="H167">
        <f>_xlfn.XLOOKUP(Logs__2[[#This Row],[Cell_ID]],'Registre_Maintenance'!B:B,'Registre_Maintenance'!D:D,"Pas de correspondance")</f>
        <v>3.0603760000000002</v>
      </c>
      <c r="I167">
        <f>_xlfn.XLOOKUP(Logs__2[[#This Row],[Cell_ID]],'Registre_Maintenance'!B:B,'Registre_Maintenance'!E:E,"Pas de correspondance")</f>
        <v>19.708034000000001</v>
      </c>
      <c r="J167" t="str">
        <f>_xlfn.XLOOKUP(Logs__2[[#This Row],[Cell_ID]],'Registre_Maintenance'!B:B,'Registre_Maintenance'!F:F,"Pas de correspondance")</f>
        <v>3G</v>
      </c>
      <c r="K167" t="str">
        <f>_xlfn.XLOOKUP(Logs__2[[#This Row],[Cell_ID]],'Registre_Maintenance'!B:B,'Registre_Maintenance'!G:G,"Pas de correspondance")</f>
        <v>ZTE</v>
      </c>
    </row>
    <row r="168" spans="1:11" hidden="1" x14ac:dyDescent="0.25">
      <c r="A168" s="1" t="s">
        <v>935</v>
      </c>
      <c r="B168" s="2">
        <v>45203</v>
      </c>
      <c r="C168" s="3">
        <v>0.75069444444444444</v>
      </c>
      <c r="D168" s="1" t="s">
        <v>960</v>
      </c>
      <c r="E168">
        <v>64</v>
      </c>
      <c r="F168" s="1" t="s">
        <v>811</v>
      </c>
      <c r="G168" t="str">
        <f>_xlfn.XLOOKUP(Logs__2[[#This Row],[Cell_ID]],'Registre_Maintenance'!B:B,'Registre_Maintenance'!C:C,"Pas de correspondance")</f>
        <v>Pas de correspondance</v>
      </c>
      <c r="H168" t="str">
        <f>_xlfn.XLOOKUP(Logs__2[[#This Row],[Cell_ID]],'Registre_Maintenance'!B:B,'Registre_Maintenance'!D:D,"Pas de correspondance")</f>
        <v>Pas de correspondance</v>
      </c>
      <c r="I168" t="str">
        <f>_xlfn.XLOOKUP(Logs__2[[#This Row],[Cell_ID]],'Registre_Maintenance'!B:B,'Registre_Maintenance'!E:E,"Pas de correspondance")</f>
        <v>Pas de correspondance</v>
      </c>
      <c r="J168" t="str">
        <f>_xlfn.XLOOKUP(Logs__2[[#This Row],[Cell_ID]],'Registre_Maintenance'!B:B,'Registre_Maintenance'!F:F,"Pas de correspondance")</f>
        <v>Pas de correspondance</v>
      </c>
      <c r="K168" t="str">
        <f>_xlfn.XLOOKUP(Logs__2[[#This Row],[Cell_ID]],'Registre_Maintenance'!B:B,'Registre_Maintenance'!G:G,"Pas de correspondance")</f>
        <v>Pas de correspondance</v>
      </c>
    </row>
    <row r="169" spans="1:11" hidden="1" x14ac:dyDescent="0.25">
      <c r="A169" s="1" t="s">
        <v>935</v>
      </c>
      <c r="B169" s="2">
        <v>45229</v>
      </c>
      <c r="C169" s="3">
        <v>0.4</v>
      </c>
      <c r="D169" s="1" t="s">
        <v>961</v>
      </c>
      <c r="E169">
        <v>77</v>
      </c>
      <c r="F169" s="1" t="s">
        <v>806</v>
      </c>
      <c r="G169" t="str">
        <f>_xlfn.XLOOKUP(Logs__2[[#This Row],[Cell_ID]],'Registre_Maintenance'!B:B,'Registre_Maintenance'!C:C,"Pas de correspondance")</f>
        <v>Pas de correspondance</v>
      </c>
      <c r="H169" t="str">
        <f>_xlfn.XLOOKUP(Logs__2[[#This Row],[Cell_ID]],'Registre_Maintenance'!B:B,'Registre_Maintenance'!D:D,"Pas de correspondance")</f>
        <v>Pas de correspondance</v>
      </c>
      <c r="I169" t="str">
        <f>_xlfn.XLOOKUP(Logs__2[[#This Row],[Cell_ID]],'Registre_Maintenance'!B:B,'Registre_Maintenance'!E:E,"Pas de correspondance")</f>
        <v>Pas de correspondance</v>
      </c>
      <c r="J169" t="str">
        <f>_xlfn.XLOOKUP(Logs__2[[#This Row],[Cell_ID]],'Registre_Maintenance'!B:B,'Registre_Maintenance'!F:F,"Pas de correspondance")</f>
        <v>Pas de correspondance</v>
      </c>
      <c r="K169" t="str">
        <f>_xlfn.XLOOKUP(Logs__2[[#This Row],[Cell_ID]],'Registre_Maintenance'!B:B,'Registre_Maintenance'!G:G,"Pas de correspondance")</f>
        <v>Pas de correspondance</v>
      </c>
    </row>
    <row r="170" spans="1:11" x14ac:dyDescent="0.25">
      <c r="A170" s="1" t="s">
        <v>935</v>
      </c>
      <c r="B170" s="2">
        <v>45221</v>
      </c>
      <c r="C170" s="3">
        <v>0.51736111111111116</v>
      </c>
      <c r="D170" s="1" t="s">
        <v>962</v>
      </c>
      <c r="E170">
        <v>83</v>
      </c>
      <c r="F170" s="1" t="s">
        <v>811</v>
      </c>
      <c r="G170" t="str">
        <f>_xlfn.XLOOKUP(Logs__2[[#This Row],[Cell_ID]],'Registre_Maintenance'!B:B,'Registre_Maintenance'!C:C,"Pas de correspondance")</f>
        <v>Sud-Kivu</v>
      </c>
      <c r="H170">
        <f>_xlfn.XLOOKUP(Logs__2[[#This Row],[Cell_ID]],'Registre_Maintenance'!B:B,'Registre_Maintenance'!D:D,"Pas de correspondance")</f>
        <v>-2.9651529999999999</v>
      </c>
      <c r="I170">
        <f>_xlfn.XLOOKUP(Logs__2[[#This Row],[Cell_ID]],'Registre_Maintenance'!B:B,'Registre_Maintenance'!E:E,"Pas de correspondance")</f>
        <v>29.79908</v>
      </c>
      <c r="J170" t="str">
        <f>_xlfn.XLOOKUP(Logs__2[[#This Row],[Cell_ID]],'Registre_Maintenance'!B:B,'Registre_Maintenance'!F:F,"Pas de correspondance")</f>
        <v>4G</v>
      </c>
      <c r="K170" t="str">
        <f>_xlfn.XLOOKUP(Logs__2[[#This Row],[Cell_ID]],'Registre_Maintenance'!B:B,'Registre_Maintenance'!G:G,"Pas de correspondance")</f>
        <v>Ericsson</v>
      </c>
    </row>
    <row r="171" spans="1:11" hidden="1" x14ac:dyDescent="0.25">
      <c r="A171" s="1" t="s">
        <v>935</v>
      </c>
      <c r="B171" s="2">
        <v>45230</v>
      </c>
      <c r="C171" s="3">
        <v>0.92500000000000004</v>
      </c>
      <c r="D171" s="1" t="s">
        <v>963</v>
      </c>
      <c r="E171">
        <v>90</v>
      </c>
      <c r="F171" s="1" t="s">
        <v>806</v>
      </c>
      <c r="G171" t="str">
        <f>_xlfn.XLOOKUP(Logs__2[[#This Row],[Cell_ID]],'Registre_Maintenance'!B:B,'Registre_Maintenance'!C:C,"Pas de correspondance")</f>
        <v>Pas de correspondance</v>
      </c>
      <c r="H171" t="str">
        <f>_xlfn.XLOOKUP(Logs__2[[#This Row],[Cell_ID]],'Registre_Maintenance'!B:B,'Registre_Maintenance'!D:D,"Pas de correspondance")</f>
        <v>Pas de correspondance</v>
      </c>
      <c r="I171" t="str">
        <f>_xlfn.XLOOKUP(Logs__2[[#This Row],[Cell_ID]],'Registre_Maintenance'!B:B,'Registre_Maintenance'!E:E,"Pas de correspondance")</f>
        <v>Pas de correspondance</v>
      </c>
      <c r="J171" t="str">
        <f>_xlfn.XLOOKUP(Logs__2[[#This Row],[Cell_ID]],'Registre_Maintenance'!B:B,'Registre_Maintenance'!F:F,"Pas de correspondance")</f>
        <v>Pas de correspondance</v>
      </c>
      <c r="K171" t="str">
        <f>_xlfn.XLOOKUP(Logs__2[[#This Row],[Cell_ID]],'Registre_Maintenance'!B:B,'Registre_Maintenance'!G:G,"Pas de correspondance")</f>
        <v>Pas de correspondance</v>
      </c>
    </row>
    <row r="172" spans="1:11" x14ac:dyDescent="0.25">
      <c r="A172" s="1" t="s">
        <v>935</v>
      </c>
      <c r="B172" s="2">
        <v>45202</v>
      </c>
      <c r="C172" s="3">
        <v>0.78055555555555556</v>
      </c>
      <c r="D172" s="1" t="s">
        <v>964</v>
      </c>
      <c r="E172">
        <v>53</v>
      </c>
      <c r="F172" s="1" t="s">
        <v>811</v>
      </c>
      <c r="G172" t="str">
        <f>_xlfn.XLOOKUP(Logs__2[[#This Row],[Cell_ID]],'Registre_Maintenance'!B:B,'Registre_Maintenance'!C:C,"Pas de correspondance")</f>
        <v>Maniema</v>
      </c>
      <c r="H172">
        <f>_xlfn.XLOOKUP(Logs__2[[#This Row],[Cell_ID]],'Registre_Maintenance'!B:B,'Registre_Maintenance'!D:D,"Pas de correspondance")</f>
        <v>-2.3743210000000001</v>
      </c>
      <c r="I172">
        <f>_xlfn.XLOOKUP(Logs__2[[#This Row],[Cell_ID]],'Registre_Maintenance'!B:B,'Registre_Maintenance'!E:E,"Pas de correspondance")</f>
        <v>22.399491000000001</v>
      </c>
      <c r="J172" t="str">
        <f>_xlfn.XLOOKUP(Logs__2[[#This Row],[Cell_ID]],'Registre_Maintenance'!B:B,'Registre_Maintenance'!F:F,"Pas de correspondance")</f>
        <v>5G</v>
      </c>
      <c r="K172" t="str">
        <f>_xlfn.XLOOKUP(Logs__2[[#This Row],[Cell_ID]],'Registre_Maintenance'!B:B,'Registre_Maintenance'!G:G,"Pas de correspondance")</f>
        <v>Ericsson</v>
      </c>
    </row>
    <row r="173" spans="1:11" hidden="1" x14ac:dyDescent="0.25">
      <c r="A173" s="1" t="s">
        <v>935</v>
      </c>
      <c r="B173" s="2">
        <v>45226</v>
      </c>
      <c r="C173" s="3">
        <v>0.84375</v>
      </c>
      <c r="D173" s="1" t="s">
        <v>965</v>
      </c>
      <c r="E173">
        <v>48</v>
      </c>
      <c r="F173" s="1" t="s">
        <v>806</v>
      </c>
      <c r="G173" t="str">
        <f>_xlfn.XLOOKUP(Logs__2[[#This Row],[Cell_ID]],'Registre_Maintenance'!B:B,'Registre_Maintenance'!C:C,"Pas de correspondance")</f>
        <v>Pas de correspondance</v>
      </c>
      <c r="H173" t="str">
        <f>_xlfn.XLOOKUP(Logs__2[[#This Row],[Cell_ID]],'Registre_Maintenance'!B:B,'Registre_Maintenance'!D:D,"Pas de correspondance")</f>
        <v>Pas de correspondance</v>
      </c>
      <c r="I173" t="str">
        <f>_xlfn.XLOOKUP(Logs__2[[#This Row],[Cell_ID]],'Registre_Maintenance'!B:B,'Registre_Maintenance'!E:E,"Pas de correspondance")</f>
        <v>Pas de correspondance</v>
      </c>
      <c r="J173" t="str">
        <f>_xlfn.XLOOKUP(Logs__2[[#This Row],[Cell_ID]],'Registre_Maintenance'!B:B,'Registre_Maintenance'!F:F,"Pas de correspondance")</f>
        <v>Pas de correspondance</v>
      </c>
      <c r="K173" t="str">
        <f>_xlfn.XLOOKUP(Logs__2[[#This Row],[Cell_ID]],'Registre_Maintenance'!B:B,'Registre_Maintenance'!G:G,"Pas de correspondance")</f>
        <v>Pas de correspondance</v>
      </c>
    </row>
    <row r="174" spans="1:11" hidden="1" x14ac:dyDescent="0.25">
      <c r="A174" s="1" t="s">
        <v>935</v>
      </c>
      <c r="B174" s="2">
        <v>45203</v>
      </c>
      <c r="C174" s="3">
        <v>0.9506944444444444</v>
      </c>
      <c r="D174" s="1" t="s">
        <v>966</v>
      </c>
      <c r="E174">
        <v>8</v>
      </c>
      <c r="F174" s="1" t="s">
        <v>809</v>
      </c>
      <c r="G174" t="str">
        <f>_xlfn.XLOOKUP(Logs__2[[#This Row],[Cell_ID]],'Registre_Maintenance'!B:B,'Registre_Maintenance'!C:C,"Pas de correspondance")</f>
        <v>Pas de correspondance</v>
      </c>
      <c r="H174" t="str">
        <f>_xlfn.XLOOKUP(Logs__2[[#This Row],[Cell_ID]],'Registre_Maintenance'!B:B,'Registre_Maintenance'!D:D,"Pas de correspondance")</f>
        <v>Pas de correspondance</v>
      </c>
      <c r="I174" t="str">
        <f>_xlfn.XLOOKUP(Logs__2[[#This Row],[Cell_ID]],'Registre_Maintenance'!B:B,'Registre_Maintenance'!E:E,"Pas de correspondance")</f>
        <v>Pas de correspondance</v>
      </c>
      <c r="J174" t="str">
        <f>_xlfn.XLOOKUP(Logs__2[[#This Row],[Cell_ID]],'Registre_Maintenance'!B:B,'Registre_Maintenance'!F:F,"Pas de correspondance")</f>
        <v>Pas de correspondance</v>
      </c>
      <c r="K174" t="str">
        <f>_xlfn.XLOOKUP(Logs__2[[#This Row],[Cell_ID]],'Registre_Maintenance'!B:B,'Registre_Maintenance'!G:G,"Pas de correspondance")</f>
        <v>Pas de correspondance</v>
      </c>
    </row>
    <row r="175" spans="1:11" x14ac:dyDescent="0.25">
      <c r="A175" s="1" t="s">
        <v>935</v>
      </c>
      <c r="B175" s="2">
        <v>45209</v>
      </c>
      <c r="C175" s="3">
        <v>0.90138888888888891</v>
      </c>
      <c r="D175" s="1" t="s">
        <v>967</v>
      </c>
      <c r="E175">
        <v>68</v>
      </c>
      <c r="F175" s="1" t="s">
        <v>809</v>
      </c>
      <c r="G175" t="str">
        <f>_xlfn.XLOOKUP(Logs__2[[#This Row],[Cell_ID]],'Registre_Maintenance'!B:B,'Registre_Maintenance'!C:C,"Pas de correspondance")</f>
        <v>Sud-Ubangi</v>
      </c>
      <c r="H175">
        <f>_xlfn.XLOOKUP(Logs__2[[#This Row],[Cell_ID]],'Registre_Maintenance'!B:B,'Registre_Maintenance'!D:D,"Pas de correspondance")</f>
        <v>-8.3241560000000003</v>
      </c>
      <c r="I175">
        <f>_xlfn.XLOOKUP(Logs__2[[#This Row],[Cell_ID]],'Registre_Maintenance'!B:B,'Registre_Maintenance'!E:E,"Pas de correspondance")</f>
        <v>19.543866000000001</v>
      </c>
      <c r="J175" t="str">
        <f>_xlfn.XLOOKUP(Logs__2[[#This Row],[Cell_ID]],'Registre_Maintenance'!B:B,'Registre_Maintenance'!F:F,"Pas de correspondance")</f>
        <v>4G</v>
      </c>
      <c r="K175" t="str">
        <f>_xlfn.XLOOKUP(Logs__2[[#This Row],[Cell_ID]],'Registre_Maintenance'!B:B,'Registre_Maintenance'!G:G,"Pas de correspondance")</f>
        <v>ZTE</v>
      </c>
    </row>
    <row r="176" spans="1:11" hidden="1" x14ac:dyDescent="0.25">
      <c r="A176" s="1" t="s">
        <v>935</v>
      </c>
      <c r="B176" s="2">
        <v>45225</v>
      </c>
      <c r="C176" s="3">
        <v>0.15972222222222221</v>
      </c>
      <c r="D176" s="1" t="s">
        <v>968</v>
      </c>
      <c r="E176">
        <v>113</v>
      </c>
      <c r="F176" s="1" t="s">
        <v>806</v>
      </c>
      <c r="G176" t="str">
        <f>_xlfn.XLOOKUP(Logs__2[[#This Row],[Cell_ID]],'Registre_Maintenance'!B:B,'Registre_Maintenance'!C:C,"Pas de correspondance")</f>
        <v>Pas de correspondance</v>
      </c>
      <c r="H176" t="str">
        <f>_xlfn.XLOOKUP(Logs__2[[#This Row],[Cell_ID]],'Registre_Maintenance'!B:B,'Registre_Maintenance'!D:D,"Pas de correspondance")</f>
        <v>Pas de correspondance</v>
      </c>
      <c r="I176" t="str">
        <f>_xlfn.XLOOKUP(Logs__2[[#This Row],[Cell_ID]],'Registre_Maintenance'!B:B,'Registre_Maintenance'!E:E,"Pas de correspondance")</f>
        <v>Pas de correspondance</v>
      </c>
      <c r="J176" t="str">
        <f>_xlfn.XLOOKUP(Logs__2[[#This Row],[Cell_ID]],'Registre_Maintenance'!B:B,'Registre_Maintenance'!F:F,"Pas de correspondance")</f>
        <v>Pas de correspondance</v>
      </c>
      <c r="K176" t="str">
        <f>_xlfn.XLOOKUP(Logs__2[[#This Row],[Cell_ID]],'Registre_Maintenance'!B:B,'Registre_Maintenance'!G:G,"Pas de correspondance")</f>
        <v>Pas de correspondance</v>
      </c>
    </row>
    <row r="177" spans="1:11" hidden="1" x14ac:dyDescent="0.25">
      <c r="A177" s="1" t="s">
        <v>935</v>
      </c>
      <c r="B177" s="2">
        <v>45218</v>
      </c>
      <c r="C177" s="3">
        <v>5.6944444444444443E-2</v>
      </c>
      <c r="D177" s="1" t="s">
        <v>969</v>
      </c>
      <c r="E177">
        <v>46</v>
      </c>
      <c r="F177" s="1" t="s">
        <v>811</v>
      </c>
      <c r="G177" t="str">
        <f>_xlfn.XLOOKUP(Logs__2[[#This Row],[Cell_ID]],'Registre_Maintenance'!B:B,'Registre_Maintenance'!C:C,"Pas de correspondance")</f>
        <v>Pas de correspondance</v>
      </c>
      <c r="H177" t="str">
        <f>_xlfn.XLOOKUP(Logs__2[[#This Row],[Cell_ID]],'Registre_Maintenance'!B:B,'Registre_Maintenance'!D:D,"Pas de correspondance")</f>
        <v>Pas de correspondance</v>
      </c>
      <c r="I177" t="str">
        <f>_xlfn.XLOOKUP(Logs__2[[#This Row],[Cell_ID]],'Registre_Maintenance'!B:B,'Registre_Maintenance'!E:E,"Pas de correspondance")</f>
        <v>Pas de correspondance</v>
      </c>
      <c r="J177" t="str">
        <f>_xlfn.XLOOKUP(Logs__2[[#This Row],[Cell_ID]],'Registre_Maintenance'!B:B,'Registre_Maintenance'!F:F,"Pas de correspondance")</f>
        <v>Pas de correspondance</v>
      </c>
      <c r="K177" t="str">
        <f>_xlfn.XLOOKUP(Logs__2[[#This Row],[Cell_ID]],'Registre_Maintenance'!B:B,'Registre_Maintenance'!G:G,"Pas de correspondance")</f>
        <v>Pas de correspondance</v>
      </c>
    </row>
    <row r="178" spans="1:11" hidden="1" x14ac:dyDescent="0.25">
      <c r="A178" s="1" t="s">
        <v>935</v>
      </c>
      <c r="B178" s="2">
        <v>45217</v>
      </c>
      <c r="C178" s="3">
        <v>0.5708333333333333</v>
      </c>
      <c r="D178" s="1" t="s">
        <v>970</v>
      </c>
      <c r="E178">
        <v>28</v>
      </c>
      <c r="F178" s="1" t="s">
        <v>806</v>
      </c>
      <c r="G178" t="str">
        <f>_xlfn.XLOOKUP(Logs__2[[#This Row],[Cell_ID]],'Registre_Maintenance'!B:B,'Registre_Maintenance'!C:C,"Pas de correspondance")</f>
        <v>Pas de correspondance</v>
      </c>
      <c r="H178" t="str">
        <f>_xlfn.XLOOKUP(Logs__2[[#This Row],[Cell_ID]],'Registre_Maintenance'!B:B,'Registre_Maintenance'!D:D,"Pas de correspondance")</f>
        <v>Pas de correspondance</v>
      </c>
      <c r="I178" t="str">
        <f>_xlfn.XLOOKUP(Logs__2[[#This Row],[Cell_ID]],'Registre_Maintenance'!B:B,'Registre_Maintenance'!E:E,"Pas de correspondance")</f>
        <v>Pas de correspondance</v>
      </c>
      <c r="J178" t="str">
        <f>_xlfn.XLOOKUP(Logs__2[[#This Row],[Cell_ID]],'Registre_Maintenance'!B:B,'Registre_Maintenance'!F:F,"Pas de correspondance")</f>
        <v>Pas de correspondance</v>
      </c>
      <c r="K178" t="str">
        <f>_xlfn.XLOOKUP(Logs__2[[#This Row],[Cell_ID]],'Registre_Maintenance'!B:B,'Registre_Maintenance'!G:G,"Pas de correspondance")</f>
        <v>Pas de correspondance</v>
      </c>
    </row>
    <row r="179" spans="1:11" hidden="1" x14ac:dyDescent="0.25">
      <c r="A179" s="1" t="s">
        <v>935</v>
      </c>
      <c r="B179" s="2">
        <v>45211</v>
      </c>
      <c r="C179" s="3">
        <v>0.10555555555555556</v>
      </c>
      <c r="D179" s="1" t="s">
        <v>835</v>
      </c>
      <c r="E179">
        <v>67</v>
      </c>
      <c r="F179" s="1" t="s">
        <v>806</v>
      </c>
      <c r="G179" t="str">
        <f>_xlfn.XLOOKUP(Logs__2[[#This Row],[Cell_ID]],'Registre_Maintenance'!B:B,'Registre_Maintenance'!C:C,"Pas de correspondance")</f>
        <v>Pas de correspondance</v>
      </c>
      <c r="H179" t="str">
        <f>_xlfn.XLOOKUP(Logs__2[[#This Row],[Cell_ID]],'Registre_Maintenance'!B:B,'Registre_Maintenance'!D:D,"Pas de correspondance")</f>
        <v>Pas de correspondance</v>
      </c>
      <c r="I179" t="str">
        <f>_xlfn.XLOOKUP(Logs__2[[#This Row],[Cell_ID]],'Registre_Maintenance'!B:B,'Registre_Maintenance'!E:E,"Pas de correspondance")</f>
        <v>Pas de correspondance</v>
      </c>
      <c r="J179" t="str">
        <f>_xlfn.XLOOKUP(Logs__2[[#This Row],[Cell_ID]],'Registre_Maintenance'!B:B,'Registre_Maintenance'!F:F,"Pas de correspondance")</f>
        <v>Pas de correspondance</v>
      </c>
      <c r="K179" t="str">
        <f>_xlfn.XLOOKUP(Logs__2[[#This Row],[Cell_ID]],'Registre_Maintenance'!B:B,'Registre_Maintenance'!G:G,"Pas de correspondance")</f>
        <v>Pas de correspondance</v>
      </c>
    </row>
    <row r="180" spans="1:11" x14ac:dyDescent="0.25">
      <c r="A180" s="1" t="s">
        <v>935</v>
      </c>
      <c r="B180" s="2">
        <v>45220</v>
      </c>
      <c r="C180" s="3">
        <v>0.41666666666666669</v>
      </c>
      <c r="D180" s="1" t="s">
        <v>971</v>
      </c>
      <c r="E180">
        <v>32</v>
      </c>
      <c r="F180" s="1" t="s">
        <v>809</v>
      </c>
      <c r="G180" t="str">
        <f>_xlfn.XLOOKUP(Logs__2[[#This Row],[Cell_ID]],'Registre_Maintenance'!B:B,'Registre_Maintenance'!C:C,"Pas de correspondance")</f>
        <v>Kinshasa</v>
      </c>
      <c r="H180">
        <f>_xlfn.XLOOKUP(Logs__2[[#This Row],[Cell_ID]],'Registre_Maintenance'!B:B,'Registre_Maintenance'!D:D,"Pas de correspondance")</f>
        <v>-11.991020000000001</v>
      </c>
      <c r="I180">
        <f>_xlfn.XLOOKUP(Logs__2[[#This Row],[Cell_ID]],'Registre_Maintenance'!B:B,'Registre_Maintenance'!E:E,"Pas de correspondance")</f>
        <v>22.514747</v>
      </c>
      <c r="J180" t="str">
        <f>_xlfn.XLOOKUP(Logs__2[[#This Row],[Cell_ID]],'Registre_Maintenance'!B:B,'Registre_Maintenance'!F:F,"Pas de correspondance")</f>
        <v>5G</v>
      </c>
      <c r="K180" t="str">
        <f>_xlfn.XLOOKUP(Logs__2[[#This Row],[Cell_ID]],'Registre_Maintenance'!B:B,'Registre_Maintenance'!G:G,"Pas de correspondance")</f>
        <v>ZTE</v>
      </c>
    </row>
    <row r="181" spans="1:11" x14ac:dyDescent="0.25">
      <c r="A181" s="1" t="s">
        <v>935</v>
      </c>
      <c r="B181" s="2">
        <v>45227</v>
      </c>
      <c r="C181" s="3">
        <v>0.57777777777777772</v>
      </c>
      <c r="D181" s="1" t="s">
        <v>972</v>
      </c>
      <c r="E181">
        <v>50</v>
      </c>
      <c r="F181" s="1" t="s">
        <v>811</v>
      </c>
      <c r="G181" t="str">
        <f>_xlfn.XLOOKUP(Logs__2[[#This Row],[Cell_ID]],'Registre_Maintenance'!B:B,'Registre_Maintenance'!C:C,"Pas de correspondance")</f>
        <v>Tshopo</v>
      </c>
      <c r="H181">
        <f>_xlfn.XLOOKUP(Logs__2[[#This Row],[Cell_ID]],'Registre_Maintenance'!B:B,'Registre_Maintenance'!D:D,"Pas de correspondance")</f>
        <v>-4.5603610000000003</v>
      </c>
      <c r="I181">
        <f>_xlfn.XLOOKUP(Logs__2[[#This Row],[Cell_ID]],'Registre_Maintenance'!B:B,'Registre_Maintenance'!E:E,"Pas de correspondance")</f>
        <v>24.113918999999999</v>
      </c>
      <c r="J181" t="str">
        <f>_xlfn.XLOOKUP(Logs__2[[#This Row],[Cell_ID]],'Registre_Maintenance'!B:B,'Registre_Maintenance'!F:F,"Pas de correspondance")</f>
        <v>5G</v>
      </c>
      <c r="K181" t="str">
        <f>_xlfn.XLOOKUP(Logs__2[[#This Row],[Cell_ID]],'Registre_Maintenance'!B:B,'Registre_Maintenance'!G:G,"Pas de correspondance")</f>
        <v>ZTE</v>
      </c>
    </row>
    <row r="182" spans="1:11" hidden="1" x14ac:dyDescent="0.25">
      <c r="A182" s="1" t="s">
        <v>935</v>
      </c>
      <c r="B182" s="2">
        <v>45215</v>
      </c>
      <c r="C182" s="3">
        <v>0.14374999999999999</v>
      </c>
      <c r="D182" s="1" t="s">
        <v>973</v>
      </c>
      <c r="E182">
        <v>107</v>
      </c>
      <c r="F182" s="1" t="s">
        <v>809</v>
      </c>
      <c r="G182" t="str">
        <f>_xlfn.XLOOKUP(Logs__2[[#This Row],[Cell_ID]],'Registre_Maintenance'!B:B,'Registre_Maintenance'!C:C,"Pas de correspondance")</f>
        <v>Pas de correspondance</v>
      </c>
      <c r="H182" t="str">
        <f>_xlfn.XLOOKUP(Logs__2[[#This Row],[Cell_ID]],'Registre_Maintenance'!B:B,'Registre_Maintenance'!D:D,"Pas de correspondance")</f>
        <v>Pas de correspondance</v>
      </c>
      <c r="I182" t="str">
        <f>_xlfn.XLOOKUP(Logs__2[[#This Row],[Cell_ID]],'Registre_Maintenance'!B:B,'Registre_Maintenance'!E:E,"Pas de correspondance")</f>
        <v>Pas de correspondance</v>
      </c>
      <c r="J182" t="str">
        <f>_xlfn.XLOOKUP(Logs__2[[#This Row],[Cell_ID]],'Registre_Maintenance'!B:B,'Registre_Maintenance'!F:F,"Pas de correspondance")</f>
        <v>Pas de correspondance</v>
      </c>
      <c r="K182" t="str">
        <f>_xlfn.XLOOKUP(Logs__2[[#This Row],[Cell_ID]],'Registre_Maintenance'!B:B,'Registre_Maintenance'!G:G,"Pas de correspondance")</f>
        <v>Pas de correspondance</v>
      </c>
    </row>
    <row r="183" spans="1:11" x14ac:dyDescent="0.25">
      <c r="A183" s="1" t="s">
        <v>935</v>
      </c>
      <c r="B183" s="2">
        <v>45230</v>
      </c>
      <c r="C183" s="3">
        <v>0.4861111111111111</v>
      </c>
      <c r="D183" s="1" t="s">
        <v>974</v>
      </c>
      <c r="E183">
        <v>38</v>
      </c>
      <c r="F183" s="1" t="s">
        <v>806</v>
      </c>
      <c r="G183" t="str">
        <f>_xlfn.XLOOKUP(Logs__2[[#This Row],[Cell_ID]],'Registre_Maintenance'!B:B,'Registre_Maintenance'!C:C,"Pas de correspondance")</f>
        <v>Nord-Kivu</v>
      </c>
      <c r="H183">
        <f>_xlfn.XLOOKUP(Logs__2[[#This Row],[Cell_ID]],'Registre_Maintenance'!B:B,'Registre_Maintenance'!D:D,"Pas de correspondance")</f>
        <v>-12.336202</v>
      </c>
      <c r="I183">
        <f>_xlfn.XLOOKUP(Logs__2[[#This Row],[Cell_ID]],'Registre_Maintenance'!B:B,'Registre_Maintenance'!E:E,"Pas de correspondance")</f>
        <v>13.693683999999999</v>
      </c>
      <c r="J183" t="str">
        <f>_xlfn.XLOOKUP(Logs__2[[#This Row],[Cell_ID]],'Registre_Maintenance'!B:B,'Registre_Maintenance'!F:F,"Pas de correspondance")</f>
        <v>5G</v>
      </c>
      <c r="K183" t="str">
        <f>_xlfn.XLOOKUP(Logs__2[[#This Row],[Cell_ID]],'Registre_Maintenance'!B:B,'Registre_Maintenance'!G:G,"Pas de correspondance")</f>
        <v>Huawei</v>
      </c>
    </row>
    <row r="184" spans="1:11" x14ac:dyDescent="0.25">
      <c r="A184" s="1" t="s">
        <v>935</v>
      </c>
      <c r="B184" s="2">
        <v>45228</v>
      </c>
      <c r="C184" s="3">
        <v>0.61458333333333337</v>
      </c>
      <c r="D184" s="1" t="s">
        <v>975</v>
      </c>
      <c r="E184">
        <v>48</v>
      </c>
      <c r="F184" s="1" t="s">
        <v>809</v>
      </c>
      <c r="G184" t="str">
        <f>_xlfn.XLOOKUP(Logs__2[[#This Row],[Cell_ID]],'Registre_Maintenance'!B:B,'Registre_Maintenance'!C:C,"Pas de correspondance")</f>
        <v>Bas-Uele</v>
      </c>
      <c r="H184">
        <f>_xlfn.XLOOKUP(Logs__2[[#This Row],[Cell_ID]],'Registre_Maintenance'!B:B,'Registre_Maintenance'!D:D,"Pas de correspondance")</f>
        <v>-3.6945459999999999</v>
      </c>
      <c r="I184">
        <f>_xlfn.XLOOKUP(Logs__2[[#This Row],[Cell_ID]],'Registre_Maintenance'!B:B,'Registre_Maintenance'!E:E,"Pas de correspondance")</f>
        <v>16.809108999999999</v>
      </c>
      <c r="J184" t="str">
        <f>_xlfn.XLOOKUP(Logs__2[[#This Row],[Cell_ID]],'Registre_Maintenance'!B:B,'Registre_Maintenance'!F:F,"Pas de correspondance")</f>
        <v>5G</v>
      </c>
      <c r="K184" t="str">
        <f>_xlfn.XLOOKUP(Logs__2[[#This Row],[Cell_ID]],'Registre_Maintenance'!B:B,'Registre_Maintenance'!G:G,"Pas de correspondance")</f>
        <v>ZTE</v>
      </c>
    </row>
    <row r="185" spans="1:11" hidden="1" x14ac:dyDescent="0.25">
      <c r="A185" s="1" t="s">
        <v>976</v>
      </c>
      <c r="B185" s="2">
        <v>45215</v>
      </c>
      <c r="C185" s="3">
        <v>0.59791666666666665</v>
      </c>
      <c r="D185" s="1" t="s">
        <v>977</v>
      </c>
      <c r="E185">
        <v>7</v>
      </c>
      <c r="F185" s="1" t="s">
        <v>811</v>
      </c>
      <c r="G185" t="str">
        <f>_xlfn.XLOOKUP(Logs__2[[#This Row],[Cell_ID]],'Registre_Maintenance'!B:B,'Registre_Maintenance'!C:C,"Pas de correspondance")</f>
        <v>Pas de correspondance</v>
      </c>
      <c r="H185" t="str">
        <f>_xlfn.XLOOKUP(Logs__2[[#This Row],[Cell_ID]],'Registre_Maintenance'!B:B,'Registre_Maintenance'!D:D,"Pas de correspondance")</f>
        <v>Pas de correspondance</v>
      </c>
      <c r="I185" t="str">
        <f>_xlfn.XLOOKUP(Logs__2[[#This Row],[Cell_ID]],'Registre_Maintenance'!B:B,'Registre_Maintenance'!E:E,"Pas de correspondance")</f>
        <v>Pas de correspondance</v>
      </c>
      <c r="J185" t="str">
        <f>_xlfn.XLOOKUP(Logs__2[[#This Row],[Cell_ID]],'Registre_Maintenance'!B:B,'Registre_Maintenance'!F:F,"Pas de correspondance")</f>
        <v>Pas de correspondance</v>
      </c>
      <c r="K185" t="str">
        <f>_xlfn.XLOOKUP(Logs__2[[#This Row],[Cell_ID]],'Registre_Maintenance'!B:B,'Registre_Maintenance'!G:G,"Pas de correspondance")</f>
        <v>Pas de correspondance</v>
      </c>
    </row>
    <row r="186" spans="1:11" x14ac:dyDescent="0.25">
      <c r="A186" s="1" t="s">
        <v>976</v>
      </c>
      <c r="B186" s="2">
        <v>45205</v>
      </c>
      <c r="C186" s="3">
        <v>5.2777777777777778E-2</v>
      </c>
      <c r="D186" s="1" t="s">
        <v>839</v>
      </c>
      <c r="E186">
        <v>102</v>
      </c>
      <c r="F186" s="1" t="s">
        <v>809</v>
      </c>
      <c r="G186" t="str">
        <f>_xlfn.XLOOKUP(Logs__2[[#This Row],[Cell_ID]],'Registre_Maintenance'!B:B,'Registre_Maintenance'!C:C,"Pas de correspondance")</f>
        <v>Kasaï</v>
      </c>
      <c r="H186">
        <f>_xlfn.XLOOKUP(Logs__2[[#This Row],[Cell_ID]],'Registre_Maintenance'!B:B,'Registre_Maintenance'!D:D,"Pas de correspondance")</f>
        <v>-4.9789079999999997</v>
      </c>
      <c r="I186">
        <f>_xlfn.XLOOKUP(Logs__2[[#This Row],[Cell_ID]],'Registre_Maintenance'!B:B,'Registre_Maintenance'!E:E,"Pas de correspondance")</f>
        <v>28.506295000000001</v>
      </c>
      <c r="J186" t="str">
        <f>_xlfn.XLOOKUP(Logs__2[[#This Row],[Cell_ID]],'Registre_Maintenance'!B:B,'Registre_Maintenance'!F:F,"Pas de correspondance")</f>
        <v>4G</v>
      </c>
      <c r="K186" t="str">
        <f>_xlfn.XLOOKUP(Logs__2[[#This Row],[Cell_ID]],'Registre_Maintenance'!B:B,'Registre_Maintenance'!G:G,"Pas de correspondance")</f>
        <v>Huawei</v>
      </c>
    </row>
    <row r="187" spans="1:11" hidden="1" x14ac:dyDescent="0.25">
      <c r="A187" s="1" t="s">
        <v>976</v>
      </c>
      <c r="B187" s="2">
        <v>45230</v>
      </c>
      <c r="C187" s="3">
        <v>0.62986111111111109</v>
      </c>
      <c r="D187" s="1" t="s">
        <v>978</v>
      </c>
      <c r="E187">
        <v>91</v>
      </c>
      <c r="F187" s="1" t="s">
        <v>806</v>
      </c>
      <c r="G187" t="str">
        <f>_xlfn.XLOOKUP(Logs__2[[#This Row],[Cell_ID]],'Registre_Maintenance'!B:B,'Registre_Maintenance'!C:C,"Pas de correspondance")</f>
        <v>Pas de correspondance</v>
      </c>
      <c r="H187" t="str">
        <f>_xlfn.XLOOKUP(Logs__2[[#This Row],[Cell_ID]],'Registre_Maintenance'!B:B,'Registre_Maintenance'!D:D,"Pas de correspondance")</f>
        <v>Pas de correspondance</v>
      </c>
      <c r="I187" t="str">
        <f>_xlfn.XLOOKUP(Logs__2[[#This Row],[Cell_ID]],'Registre_Maintenance'!B:B,'Registre_Maintenance'!E:E,"Pas de correspondance")</f>
        <v>Pas de correspondance</v>
      </c>
      <c r="J187" t="str">
        <f>_xlfn.XLOOKUP(Logs__2[[#This Row],[Cell_ID]],'Registre_Maintenance'!B:B,'Registre_Maintenance'!F:F,"Pas de correspondance")</f>
        <v>Pas de correspondance</v>
      </c>
      <c r="K187" t="str">
        <f>_xlfn.XLOOKUP(Logs__2[[#This Row],[Cell_ID]],'Registre_Maintenance'!B:B,'Registre_Maintenance'!G:G,"Pas de correspondance")</f>
        <v>Pas de correspondance</v>
      </c>
    </row>
    <row r="188" spans="1:11" x14ac:dyDescent="0.25">
      <c r="A188" s="1" t="s">
        <v>976</v>
      </c>
      <c r="B188" s="2">
        <v>45226</v>
      </c>
      <c r="C188" s="3">
        <v>0.10069444444444445</v>
      </c>
      <c r="D188" s="1" t="s">
        <v>979</v>
      </c>
      <c r="E188">
        <v>110</v>
      </c>
      <c r="F188" s="1" t="s">
        <v>809</v>
      </c>
      <c r="G188" t="str">
        <f>_xlfn.XLOOKUP(Logs__2[[#This Row],[Cell_ID]],'Registre_Maintenance'!B:B,'Registre_Maintenance'!C:C,"Pas de correspondance")</f>
        <v>Lomami</v>
      </c>
      <c r="H188">
        <f>_xlfn.XLOOKUP(Logs__2[[#This Row],[Cell_ID]],'Registre_Maintenance'!B:B,'Registre_Maintenance'!D:D,"Pas de correspondance")</f>
        <v>-2.2681789999999999</v>
      </c>
      <c r="I188">
        <f>_xlfn.XLOOKUP(Logs__2[[#This Row],[Cell_ID]],'Registre_Maintenance'!B:B,'Registre_Maintenance'!E:E,"Pas de correspondance")</f>
        <v>25.699068</v>
      </c>
      <c r="J188" t="str">
        <f>_xlfn.XLOOKUP(Logs__2[[#This Row],[Cell_ID]],'Registre_Maintenance'!B:B,'Registre_Maintenance'!F:F,"Pas de correspondance")</f>
        <v>3G</v>
      </c>
      <c r="K188" t="str">
        <f>_xlfn.XLOOKUP(Logs__2[[#This Row],[Cell_ID]],'Registre_Maintenance'!B:B,'Registre_Maintenance'!G:G,"Pas de correspondance")</f>
        <v>ZTE</v>
      </c>
    </row>
    <row r="189" spans="1:11" hidden="1" x14ac:dyDescent="0.25">
      <c r="A189" s="1" t="s">
        <v>976</v>
      </c>
      <c r="B189" s="2">
        <v>45215</v>
      </c>
      <c r="C189" s="3">
        <v>0.10833333333333334</v>
      </c>
      <c r="D189" s="1" t="s">
        <v>980</v>
      </c>
      <c r="E189">
        <v>39</v>
      </c>
      <c r="F189" s="1" t="s">
        <v>811</v>
      </c>
      <c r="G189" t="str">
        <f>_xlfn.XLOOKUP(Logs__2[[#This Row],[Cell_ID]],'Registre_Maintenance'!B:B,'Registre_Maintenance'!C:C,"Pas de correspondance")</f>
        <v>Pas de correspondance</v>
      </c>
      <c r="H189" t="str">
        <f>_xlfn.XLOOKUP(Logs__2[[#This Row],[Cell_ID]],'Registre_Maintenance'!B:B,'Registre_Maintenance'!D:D,"Pas de correspondance")</f>
        <v>Pas de correspondance</v>
      </c>
      <c r="I189" t="str">
        <f>_xlfn.XLOOKUP(Logs__2[[#This Row],[Cell_ID]],'Registre_Maintenance'!B:B,'Registre_Maintenance'!E:E,"Pas de correspondance")</f>
        <v>Pas de correspondance</v>
      </c>
      <c r="J189" t="str">
        <f>_xlfn.XLOOKUP(Logs__2[[#This Row],[Cell_ID]],'Registre_Maintenance'!B:B,'Registre_Maintenance'!F:F,"Pas de correspondance")</f>
        <v>Pas de correspondance</v>
      </c>
      <c r="K189" t="str">
        <f>_xlfn.XLOOKUP(Logs__2[[#This Row],[Cell_ID]],'Registre_Maintenance'!B:B,'Registre_Maintenance'!G:G,"Pas de correspondance")</f>
        <v>Pas de correspondance</v>
      </c>
    </row>
    <row r="190" spans="1:11" hidden="1" x14ac:dyDescent="0.25">
      <c r="A190" s="1" t="s">
        <v>976</v>
      </c>
      <c r="B190" s="2">
        <v>45220</v>
      </c>
      <c r="C190" s="3">
        <v>0.87708333333333333</v>
      </c>
      <c r="D190" s="1" t="s">
        <v>981</v>
      </c>
      <c r="E190">
        <v>78</v>
      </c>
      <c r="F190" s="1" t="s">
        <v>806</v>
      </c>
      <c r="G190" t="str">
        <f>_xlfn.XLOOKUP(Logs__2[[#This Row],[Cell_ID]],'Registre_Maintenance'!B:B,'Registre_Maintenance'!C:C,"Pas de correspondance")</f>
        <v>Pas de correspondance</v>
      </c>
      <c r="H190" t="str">
        <f>_xlfn.XLOOKUP(Logs__2[[#This Row],[Cell_ID]],'Registre_Maintenance'!B:B,'Registre_Maintenance'!D:D,"Pas de correspondance")</f>
        <v>Pas de correspondance</v>
      </c>
      <c r="I190" t="str">
        <f>_xlfn.XLOOKUP(Logs__2[[#This Row],[Cell_ID]],'Registre_Maintenance'!B:B,'Registre_Maintenance'!E:E,"Pas de correspondance")</f>
        <v>Pas de correspondance</v>
      </c>
      <c r="J190" t="str">
        <f>_xlfn.XLOOKUP(Logs__2[[#This Row],[Cell_ID]],'Registre_Maintenance'!B:B,'Registre_Maintenance'!F:F,"Pas de correspondance")</f>
        <v>Pas de correspondance</v>
      </c>
      <c r="K190" t="str">
        <f>_xlfn.XLOOKUP(Logs__2[[#This Row],[Cell_ID]],'Registre_Maintenance'!B:B,'Registre_Maintenance'!G:G,"Pas de correspondance")</f>
        <v>Pas de correspondance</v>
      </c>
    </row>
    <row r="191" spans="1:11" hidden="1" x14ac:dyDescent="0.25">
      <c r="A191" s="1" t="s">
        <v>976</v>
      </c>
      <c r="B191" s="2">
        <v>45204</v>
      </c>
      <c r="C191" s="3">
        <v>0.20208333333333334</v>
      </c>
      <c r="D191" s="1" t="s">
        <v>982</v>
      </c>
      <c r="E191">
        <v>10</v>
      </c>
      <c r="F191" s="1" t="s">
        <v>806</v>
      </c>
      <c r="G191" t="str">
        <f>_xlfn.XLOOKUP(Logs__2[[#This Row],[Cell_ID]],'Registre_Maintenance'!B:B,'Registre_Maintenance'!C:C,"Pas de correspondance")</f>
        <v>Pas de correspondance</v>
      </c>
      <c r="H191" t="str">
        <f>_xlfn.XLOOKUP(Logs__2[[#This Row],[Cell_ID]],'Registre_Maintenance'!B:B,'Registre_Maintenance'!D:D,"Pas de correspondance")</f>
        <v>Pas de correspondance</v>
      </c>
      <c r="I191" t="str">
        <f>_xlfn.XLOOKUP(Logs__2[[#This Row],[Cell_ID]],'Registre_Maintenance'!B:B,'Registre_Maintenance'!E:E,"Pas de correspondance")</f>
        <v>Pas de correspondance</v>
      </c>
      <c r="J191" t="str">
        <f>_xlfn.XLOOKUP(Logs__2[[#This Row],[Cell_ID]],'Registre_Maintenance'!B:B,'Registre_Maintenance'!F:F,"Pas de correspondance")</f>
        <v>Pas de correspondance</v>
      </c>
      <c r="K191" t="str">
        <f>_xlfn.XLOOKUP(Logs__2[[#This Row],[Cell_ID]],'Registre_Maintenance'!B:B,'Registre_Maintenance'!G:G,"Pas de correspondance")</f>
        <v>Pas de correspondance</v>
      </c>
    </row>
    <row r="192" spans="1:11" x14ac:dyDescent="0.25">
      <c r="A192" s="1" t="s">
        <v>976</v>
      </c>
      <c r="B192" s="2">
        <v>45218</v>
      </c>
      <c r="C192" s="3">
        <v>0.37847222222222221</v>
      </c>
      <c r="D192" s="1" t="s">
        <v>983</v>
      </c>
      <c r="E192">
        <v>102</v>
      </c>
      <c r="F192" s="1" t="s">
        <v>806</v>
      </c>
      <c r="G192" t="str">
        <f>_xlfn.XLOOKUP(Logs__2[[#This Row],[Cell_ID]],'Registre_Maintenance'!B:B,'Registre_Maintenance'!C:C,"Pas de correspondance")</f>
        <v>Kasaï-Central</v>
      </c>
      <c r="H192">
        <f>_xlfn.XLOOKUP(Logs__2[[#This Row],[Cell_ID]],'Registre_Maintenance'!B:B,'Registre_Maintenance'!D:D,"Pas de correspondance")</f>
        <v>-4.4451280000000004</v>
      </c>
      <c r="I192">
        <f>_xlfn.XLOOKUP(Logs__2[[#This Row],[Cell_ID]],'Registre_Maintenance'!B:B,'Registre_Maintenance'!E:E,"Pas de correspondance")</f>
        <v>16.536944999999999</v>
      </c>
      <c r="J192" t="str">
        <f>_xlfn.XLOOKUP(Logs__2[[#This Row],[Cell_ID]],'Registre_Maintenance'!B:B,'Registre_Maintenance'!F:F,"Pas de correspondance")</f>
        <v>4G</v>
      </c>
      <c r="K192" t="str">
        <f>_xlfn.XLOOKUP(Logs__2[[#This Row],[Cell_ID]],'Registre_Maintenance'!B:B,'Registre_Maintenance'!G:G,"Pas de correspondance")</f>
        <v>Ericsson</v>
      </c>
    </row>
    <row r="193" spans="1:11" x14ac:dyDescent="0.25">
      <c r="A193" s="1" t="s">
        <v>976</v>
      </c>
      <c r="B193" s="2">
        <v>45207</v>
      </c>
      <c r="C193" s="3">
        <v>0.14930555555555555</v>
      </c>
      <c r="D193" s="1" t="s">
        <v>984</v>
      </c>
      <c r="E193">
        <v>101</v>
      </c>
      <c r="F193" s="1" t="s">
        <v>811</v>
      </c>
      <c r="G193" t="str">
        <f>_xlfn.XLOOKUP(Logs__2[[#This Row],[Cell_ID]],'Registre_Maintenance'!B:B,'Registre_Maintenance'!C:C,"Pas de correspondance")</f>
        <v>Lualaba</v>
      </c>
      <c r="H193">
        <f>_xlfn.XLOOKUP(Logs__2[[#This Row],[Cell_ID]],'Registre_Maintenance'!B:B,'Registre_Maintenance'!D:D,"Pas de correspondance")</f>
        <v>-10.872631999999999</v>
      </c>
      <c r="I193">
        <f>_xlfn.XLOOKUP(Logs__2[[#This Row],[Cell_ID]],'Registre_Maintenance'!B:B,'Registre_Maintenance'!E:E,"Pas de correspondance")</f>
        <v>12.773279</v>
      </c>
      <c r="J193" t="str">
        <f>_xlfn.XLOOKUP(Logs__2[[#This Row],[Cell_ID]],'Registre_Maintenance'!B:B,'Registre_Maintenance'!F:F,"Pas de correspondance")</f>
        <v>3G</v>
      </c>
      <c r="K193" t="str">
        <f>_xlfn.XLOOKUP(Logs__2[[#This Row],[Cell_ID]],'Registre_Maintenance'!B:B,'Registre_Maintenance'!G:G,"Pas de correspondance")</f>
        <v>ZTE</v>
      </c>
    </row>
    <row r="194" spans="1:11" x14ac:dyDescent="0.25">
      <c r="A194" s="1" t="s">
        <v>976</v>
      </c>
      <c r="B194" s="2">
        <v>45224</v>
      </c>
      <c r="C194" s="3">
        <v>0.56805555555555554</v>
      </c>
      <c r="D194" s="1" t="s">
        <v>985</v>
      </c>
      <c r="E194">
        <v>27</v>
      </c>
      <c r="F194" s="1" t="s">
        <v>806</v>
      </c>
      <c r="G194" t="str">
        <f>_xlfn.XLOOKUP(Logs__2[[#This Row],[Cell_ID]],'Registre_Maintenance'!B:B,'Registre_Maintenance'!C:C,"Pas de correspondance")</f>
        <v>Mai-Ndombe</v>
      </c>
      <c r="H194">
        <f>_xlfn.XLOOKUP(Logs__2[[#This Row],[Cell_ID]],'Registre_Maintenance'!B:B,'Registre_Maintenance'!D:D,"Pas de correspondance")</f>
        <v>-10.442425</v>
      </c>
      <c r="I194">
        <f>_xlfn.XLOOKUP(Logs__2[[#This Row],[Cell_ID]],'Registre_Maintenance'!B:B,'Registre_Maintenance'!E:E,"Pas de correspondance")</f>
        <v>23.243632000000002</v>
      </c>
      <c r="J194" t="str">
        <f>_xlfn.XLOOKUP(Logs__2[[#This Row],[Cell_ID]],'Registre_Maintenance'!B:B,'Registre_Maintenance'!F:F,"Pas de correspondance")</f>
        <v>4G</v>
      </c>
      <c r="K194" t="str">
        <f>_xlfn.XLOOKUP(Logs__2[[#This Row],[Cell_ID]],'Registre_Maintenance'!B:B,'Registre_Maintenance'!G:G,"Pas de correspondance")</f>
        <v>Nokia</v>
      </c>
    </row>
    <row r="195" spans="1:11" hidden="1" x14ac:dyDescent="0.25">
      <c r="A195" s="1" t="s">
        <v>976</v>
      </c>
      <c r="B195" s="2">
        <v>45219</v>
      </c>
      <c r="C195" s="3">
        <v>0.80138888888888893</v>
      </c>
      <c r="D195" s="1" t="s">
        <v>986</v>
      </c>
      <c r="E195">
        <v>65</v>
      </c>
      <c r="F195" s="1" t="s">
        <v>809</v>
      </c>
      <c r="G195" t="str">
        <f>_xlfn.XLOOKUP(Logs__2[[#This Row],[Cell_ID]],'Registre_Maintenance'!B:B,'Registre_Maintenance'!C:C,"Pas de correspondance")</f>
        <v>Pas de correspondance</v>
      </c>
      <c r="H195" t="str">
        <f>_xlfn.XLOOKUP(Logs__2[[#This Row],[Cell_ID]],'Registre_Maintenance'!B:B,'Registre_Maintenance'!D:D,"Pas de correspondance")</f>
        <v>Pas de correspondance</v>
      </c>
      <c r="I195" t="str">
        <f>_xlfn.XLOOKUP(Logs__2[[#This Row],[Cell_ID]],'Registre_Maintenance'!B:B,'Registre_Maintenance'!E:E,"Pas de correspondance")</f>
        <v>Pas de correspondance</v>
      </c>
      <c r="J195" t="str">
        <f>_xlfn.XLOOKUP(Logs__2[[#This Row],[Cell_ID]],'Registre_Maintenance'!B:B,'Registre_Maintenance'!F:F,"Pas de correspondance")</f>
        <v>Pas de correspondance</v>
      </c>
      <c r="K195" t="str">
        <f>_xlfn.XLOOKUP(Logs__2[[#This Row],[Cell_ID]],'Registre_Maintenance'!B:B,'Registre_Maintenance'!G:G,"Pas de correspondance")</f>
        <v>Pas de correspondance</v>
      </c>
    </row>
    <row r="196" spans="1:11" hidden="1" x14ac:dyDescent="0.25">
      <c r="A196" s="1" t="s">
        <v>976</v>
      </c>
      <c r="B196" s="2">
        <v>45224</v>
      </c>
      <c r="C196" s="3">
        <v>0.68333333333333335</v>
      </c>
      <c r="D196" s="1" t="s">
        <v>987</v>
      </c>
      <c r="E196">
        <v>71</v>
      </c>
      <c r="F196" s="1" t="s">
        <v>806</v>
      </c>
      <c r="G196" t="str">
        <f>_xlfn.XLOOKUP(Logs__2[[#This Row],[Cell_ID]],'Registre_Maintenance'!B:B,'Registre_Maintenance'!C:C,"Pas de correspondance")</f>
        <v>Pas de correspondance</v>
      </c>
      <c r="H196" t="str">
        <f>_xlfn.XLOOKUP(Logs__2[[#This Row],[Cell_ID]],'Registre_Maintenance'!B:B,'Registre_Maintenance'!D:D,"Pas de correspondance")</f>
        <v>Pas de correspondance</v>
      </c>
      <c r="I196" t="str">
        <f>_xlfn.XLOOKUP(Logs__2[[#This Row],[Cell_ID]],'Registre_Maintenance'!B:B,'Registre_Maintenance'!E:E,"Pas de correspondance")</f>
        <v>Pas de correspondance</v>
      </c>
      <c r="J196" t="str">
        <f>_xlfn.XLOOKUP(Logs__2[[#This Row],[Cell_ID]],'Registre_Maintenance'!B:B,'Registre_Maintenance'!F:F,"Pas de correspondance")</f>
        <v>Pas de correspondance</v>
      </c>
      <c r="K196" t="str">
        <f>_xlfn.XLOOKUP(Logs__2[[#This Row],[Cell_ID]],'Registre_Maintenance'!B:B,'Registre_Maintenance'!G:G,"Pas de correspondance")</f>
        <v>Pas de correspondance</v>
      </c>
    </row>
    <row r="197" spans="1:11" hidden="1" x14ac:dyDescent="0.25">
      <c r="A197" s="1" t="s">
        <v>976</v>
      </c>
      <c r="B197" s="2">
        <v>45214</v>
      </c>
      <c r="C197" s="3">
        <v>0.59652777777777777</v>
      </c>
      <c r="D197" s="1" t="s">
        <v>988</v>
      </c>
      <c r="E197">
        <v>88</v>
      </c>
      <c r="F197" s="1" t="s">
        <v>811</v>
      </c>
      <c r="G197" t="str">
        <f>_xlfn.XLOOKUP(Logs__2[[#This Row],[Cell_ID]],'Registre_Maintenance'!B:B,'Registre_Maintenance'!C:C,"Pas de correspondance")</f>
        <v>Pas de correspondance</v>
      </c>
      <c r="H197" t="str">
        <f>_xlfn.XLOOKUP(Logs__2[[#This Row],[Cell_ID]],'Registre_Maintenance'!B:B,'Registre_Maintenance'!D:D,"Pas de correspondance")</f>
        <v>Pas de correspondance</v>
      </c>
      <c r="I197" t="str">
        <f>_xlfn.XLOOKUP(Logs__2[[#This Row],[Cell_ID]],'Registre_Maintenance'!B:B,'Registre_Maintenance'!E:E,"Pas de correspondance")</f>
        <v>Pas de correspondance</v>
      </c>
      <c r="J197" t="str">
        <f>_xlfn.XLOOKUP(Logs__2[[#This Row],[Cell_ID]],'Registre_Maintenance'!B:B,'Registre_Maintenance'!F:F,"Pas de correspondance")</f>
        <v>Pas de correspondance</v>
      </c>
      <c r="K197" t="str">
        <f>_xlfn.XLOOKUP(Logs__2[[#This Row],[Cell_ID]],'Registre_Maintenance'!B:B,'Registre_Maintenance'!G:G,"Pas de correspondance")</f>
        <v>Pas de correspondance</v>
      </c>
    </row>
    <row r="198" spans="1:11" hidden="1" x14ac:dyDescent="0.25">
      <c r="A198" s="1" t="s">
        <v>976</v>
      </c>
      <c r="B198" s="2">
        <v>45227</v>
      </c>
      <c r="C198" s="3">
        <v>0.76875000000000004</v>
      </c>
      <c r="D198" s="1" t="s">
        <v>989</v>
      </c>
      <c r="E198">
        <v>61</v>
      </c>
      <c r="F198" s="1" t="s">
        <v>809</v>
      </c>
      <c r="G198" t="str">
        <f>_xlfn.XLOOKUP(Logs__2[[#This Row],[Cell_ID]],'Registre_Maintenance'!B:B,'Registre_Maintenance'!C:C,"Pas de correspondance")</f>
        <v>Pas de correspondance</v>
      </c>
      <c r="H198" t="str">
        <f>_xlfn.XLOOKUP(Logs__2[[#This Row],[Cell_ID]],'Registre_Maintenance'!B:B,'Registre_Maintenance'!D:D,"Pas de correspondance")</f>
        <v>Pas de correspondance</v>
      </c>
      <c r="I198" t="str">
        <f>_xlfn.XLOOKUP(Logs__2[[#This Row],[Cell_ID]],'Registre_Maintenance'!B:B,'Registre_Maintenance'!E:E,"Pas de correspondance")</f>
        <v>Pas de correspondance</v>
      </c>
      <c r="J198" t="str">
        <f>_xlfn.XLOOKUP(Logs__2[[#This Row],[Cell_ID]],'Registre_Maintenance'!B:B,'Registre_Maintenance'!F:F,"Pas de correspondance")</f>
        <v>Pas de correspondance</v>
      </c>
      <c r="K198" t="str">
        <f>_xlfn.XLOOKUP(Logs__2[[#This Row],[Cell_ID]],'Registre_Maintenance'!B:B,'Registre_Maintenance'!G:G,"Pas de correspondance")</f>
        <v>Pas de correspondance</v>
      </c>
    </row>
    <row r="199" spans="1:11" x14ac:dyDescent="0.25">
      <c r="A199" s="1" t="s">
        <v>976</v>
      </c>
      <c r="B199" s="2">
        <v>45209</v>
      </c>
      <c r="C199" s="3">
        <v>0.77708333333333335</v>
      </c>
      <c r="D199" s="1" t="s">
        <v>990</v>
      </c>
      <c r="E199">
        <v>40</v>
      </c>
      <c r="F199" s="1" t="s">
        <v>811</v>
      </c>
      <c r="G199" t="str">
        <f>_xlfn.XLOOKUP(Logs__2[[#This Row],[Cell_ID]],'Registre_Maintenance'!B:B,'Registre_Maintenance'!C:C,"Pas de correspondance")</f>
        <v>Lualaba</v>
      </c>
      <c r="H199">
        <f>_xlfn.XLOOKUP(Logs__2[[#This Row],[Cell_ID]],'Registre_Maintenance'!B:B,'Registre_Maintenance'!D:D,"Pas de correspondance")</f>
        <v>-9.5243310000000001</v>
      </c>
      <c r="I199">
        <f>_xlfn.XLOOKUP(Logs__2[[#This Row],[Cell_ID]],'Registre_Maintenance'!B:B,'Registre_Maintenance'!E:E,"Pas de correspondance")</f>
        <v>30.541212000000002</v>
      </c>
      <c r="J199" t="str">
        <f>_xlfn.XLOOKUP(Logs__2[[#This Row],[Cell_ID]],'Registre_Maintenance'!B:B,'Registre_Maintenance'!F:F,"Pas de correspondance")</f>
        <v>3G</v>
      </c>
      <c r="K199" t="str">
        <f>_xlfn.XLOOKUP(Logs__2[[#This Row],[Cell_ID]],'Registre_Maintenance'!B:B,'Registre_Maintenance'!G:G,"Pas de correspondance")</f>
        <v>Ericsson</v>
      </c>
    </row>
    <row r="200" spans="1:11" hidden="1" x14ac:dyDescent="0.25">
      <c r="A200" s="1" t="s">
        <v>976</v>
      </c>
      <c r="B200" s="2">
        <v>45201</v>
      </c>
      <c r="C200" s="3">
        <v>0.82430555555555551</v>
      </c>
      <c r="D200" s="1" t="s">
        <v>991</v>
      </c>
      <c r="E200">
        <v>28</v>
      </c>
      <c r="F200" s="1" t="s">
        <v>809</v>
      </c>
      <c r="G200" t="str">
        <f>_xlfn.XLOOKUP(Logs__2[[#This Row],[Cell_ID]],'Registre_Maintenance'!B:B,'Registre_Maintenance'!C:C,"Pas de correspondance")</f>
        <v>Pas de correspondance</v>
      </c>
      <c r="H200" t="str">
        <f>_xlfn.XLOOKUP(Logs__2[[#This Row],[Cell_ID]],'Registre_Maintenance'!B:B,'Registre_Maintenance'!D:D,"Pas de correspondance")</f>
        <v>Pas de correspondance</v>
      </c>
      <c r="I200" t="str">
        <f>_xlfn.XLOOKUP(Logs__2[[#This Row],[Cell_ID]],'Registre_Maintenance'!B:B,'Registre_Maintenance'!E:E,"Pas de correspondance")</f>
        <v>Pas de correspondance</v>
      </c>
      <c r="J200" t="str">
        <f>_xlfn.XLOOKUP(Logs__2[[#This Row],[Cell_ID]],'Registre_Maintenance'!B:B,'Registre_Maintenance'!F:F,"Pas de correspondance")</f>
        <v>Pas de correspondance</v>
      </c>
      <c r="K200" t="str">
        <f>_xlfn.XLOOKUP(Logs__2[[#This Row],[Cell_ID]],'Registre_Maintenance'!B:B,'Registre_Maintenance'!G:G,"Pas de correspondance")</f>
        <v>Pas de correspondance</v>
      </c>
    </row>
    <row r="201" spans="1:11" hidden="1" x14ac:dyDescent="0.25">
      <c r="A201" s="1" t="s">
        <v>976</v>
      </c>
      <c r="B201" s="2">
        <v>45203</v>
      </c>
      <c r="C201" s="3">
        <v>0.27777777777777779</v>
      </c>
      <c r="D201" s="1" t="s">
        <v>992</v>
      </c>
      <c r="E201">
        <v>79</v>
      </c>
      <c r="F201" s="1" t="s">
        <v>809</v>
      </c>
      <c r="G201" t="str">
        <f>_xlfn.XLOOKUP(Logs__2[[#This Row],[Cell_ID]],'Registre_Maintenance'!B:B,'Registre_Maintenance'!C:C,"Pas de correspondance")</f>
        <v>Pas de correspondance</v>
      </c>
      <c r="H201" t="str">
        <f>_xlfn.XLOOKUP(Logs__2[[#This Row],[Cell_ID]],'Registre_Maintenance'!B:B,'Registre_Maintenance'!D:D,"Pas de correspondance")</f>
        <v>Pas de correspondance</v>
      </c>
      <c r="I201" t="str">
        <f>_xlfn.XLOOKUP(Logs__2[[#This Row],[Cell_ID]],'Registre_Maintenance'!B:B,'Registre_Maintenance'!E:E,"Pas de correspondance")</f>
        <v>Pas de correspondance</v>
      </c>
      <c r="J201" t="str">
        <f>_xlfn.XLOOKUP(Logs__2[[#This Row],[Cell_ID]],'Registre_Maintenance'!B:B,'Registre_Maintenance'!F:F,"Pas de correspondance")</f>
        <v>Pas de correspondance</v>
      </c>
      <c r="K201" t="str">
        <f>_xlfn.XLOOKUP(Logs__2[[#This Row],[Cell_ID]],'Registre_Maintenance'!B:B,'Registre_Maintenance'!G:G,"Pas de correspondance")</f>
        <v>Pas de correspondance</v>
      </c>
    </row>
    <row r="202" spans="1:11" x14ac:dyDescent="0.25">
      <c r="A202" s="1" t="s">
        <v>976</v>
      </c>
      <c r="B202" s="2">
        <v>45206</v>
      </c>
      <c r="C202" s="3">
        <v>0.36249999999999999</v>
      </c>
      <c r="D202" s="1" t="s">
        <v>993</v>
      </c>
      <c r="E202">
        <v>60</v>
      </c>
      <c r="F202" s="1" t="s">
        <v>811</v>
      </c>
      <c r="G202" t="str">
        <f>_xlfn.XLOOKUP(Logs__2[[#This Row],[Cell_ID]],'Registre_Maintenance'!B:B,'Registre_Maintenance'!C:C,"Pas de correspondance")</f>
        <v>Maniema</v>
      </c>
      <c r="H202">
        <f>_xlfn.XLOOKUP(Logs__2[[#This Row],[Cell_ID]],'Registre_Maintenance'!B:B,'Registre_Maintenance'!D:D,"Pas de correspondance")</f>
        <v>-4.2645619999999997</v>
      </c>
      <c r="I202">
        <f>_xlfn.XLOOKUP(Logs__2[[#This Row],[Cell_ID]],'Registre_Maintenance'!B:B,'Registre_Maintenance'!E:E,"Pas de correspondance")</f>
        <v>18.960726000000001</v>
      </c>
      <c r="J202" t="str">
        <f>_xlfn.XLOOKUP(Logs__2[[#This Row],[Cell_ID]],'Registre_Maintenance'!B:B,'Registre_Maintenance'!F:F,"Pas de correspondance")</f>
        <v>4G</v>
      </c>
      <c r="K202" t="str">
        <f>_xlfn.XLOOKUP(Logs__2[[#This Row],[Cell_ID]],'Registre_Maintenance'!B:B,'Registre_Maintenance'!G:G,"Pas de correspondance")</f>
        <v>Huawei</v>
      </c>
    </row>
    <row r="203" spans="1:11" x14ac:dyDescent="0.25">
      <c r="A203" s="1" t="s">
        <v>976</v>
      </c>
      <c r="B203" s="2">
        <v>45202</v>
      </c>
      <c r="C203" s="3">
        <v>0.21875</v>
      </c>
      <c r="D203" s="1" t="s">
        <v>994</v>
      </c>
      <c r="E203">
        <v>86</v>
      </c>
      <c r="F203" s="1" t="s">
        <v>811</v>
      </c>
      <c r="G203" t="str">
        <f>_xlfn.XLOOKUP(Logs__2[[#This Row],[Cell_ID]],'Registre_Maintenance'!B:B,'Registre_Maintenance'!C:C,"Pas de correspondance")</f>
        <v>Haut-Lomami</v>
      </c>
      <c r="H203">
        <f>_xlfn.XLOOKUP(Logs__2[[#This Row],[Cell_ID]],'Registre_Maintenance'!B:B,'Registre_Maintenance'!D:D,"Pas de correspondance")</f>
        <v>-12.112682</v>
      </c>
      <c r="I203">
        <f>_xlfn.XLOOKUP(Logs__2[[#This Row],[Cell_ID]],'Registre_Maintenance'!B:B,'Registre_Maintenance'!E:E,"Pas de correspondance")</f>
        <v>19.972052000000001</v>
      </c>
      <c r="J203" t="str">
        <f>_xlfn.XLOOKUP(Logs__2[[#This Row],[Cell_ID]],'Registre_Maintenance'!B:B,'Registre_Maintenance'!F:F,"Pas de correspondance")</f>
        <v>4G</v>
      </c>
      <c r="K203" t="str">
        <f>_xlfn.XLOOKUP(Logs__2[[#This Row],[Cell_ID]],'Registre_Maintenance'!B:B,'Registre_Maintenance'!G:G,"Pas de correspondance")</f>
        <v>Huawei</v>
      </c>
    </row>
    <row r="204" spans="1:11" hidden="1" x14ac:dyDescent="0.25">
      <c r="A204" s="1" t="s">
        <v>976</v>
      </c>
      <c r="B204" s="2">
        <v>45205</v>
      </c>
      <c r="C204" s="3">
        <v>0.71111111111111114</v>
      </c>
      <c r="D204" s="1" t="s">
        <v>995</v>
      </c>
      <c r="E204">
        <v>109</v>
      </c>
      <c r="F204" s="1" t="s">
        <v>811</v>
      </c>
      <c r="G204" t="str">
        <f>_xlfn.XLOOKUP(Logs__2[[#This Row],[Cell_ID]],'Registre_Maintenance'!B:B,'Registre_Maintenance'!C:C,"Pas de correspondance")</f>
        <v>Pas de correspondance</v>
      </c>
      <c r="H204" t="str">
        <f>_xlfn.XLOOKUP(Logs__2[[#This Row],[Cell_ID]],'Registre_Maintenance'!B:B,'Registre_Maintenance'!D:D,"Pas de correspondance")</f>
        <v>Pas de correspondance</v>
      </c>
      <c r="I204" t="str">
        <f>_xlfn.XLOOKUP(Logs__2[[#This Row],[Cell_ID]],'Registre_Maintenance'!B:B,'Registre_Maintenance'!E:E,"Pas de correspondance")</f>
        <v>Pas de correspondance</v>
      </c>
      <c r="J204" t="str">
        <f>_xlfn.XLOOKUP(Logs__2[[#This Row],[Cell_ID]],'Registre_Maintenance'!B:B,'Registre_Maintenance'!F:F,"Pas de correspondance")</f>
        <v>Pas de correspondance</v>
      </c>
      <c r="K204" t="str">
        <f>_xlfn.XLOOKUP(Logs__2[[#This Row],[Cell_ID]],'Registre_Maintenance'!B:B,'Registre_Maintenance'!G:G,"Pas de correspondance")</f>
        <v>Pas de correspondance</v>
      </c>
    </row>
    <row r="205" spans="1:11" x14ac:dyDescent="0.25">
      <c r="A205" s="1" t="s">
        <v>976</v>
      </c>
      <c r="B205" s="2">
        <v>45205</v>
      </c>
      <c r="C205" s="3">
        <v>1.8055555555555554E-2</v>
      </c>
      <c r="D205" s="1" t="s">
        <v>996</v>
      </c>
      <c r="E205">
        <v>67</v>
      </c>
      <c r="F205" s="1" t="s">
        <v>811</v>
      </c>
      <c r="G205" t="str">
        <f>_xlfn.XLOOKUP(Logs__2[[#This Row],[Cell_ID]],'Registre_Maintenance'!B:B,'Registre_Maintenance'!C:C,"Pas de correspondance")</f>
        <v>Bas-Uele</v>
      </c>
      <c r="H205">
        <f>_xlfn.XLOOKUP(Logs__2[[#This Row],[Cell_ID]],'Registre_Maintenance'!B:B,'Registre_Maintenance'!D:D,"Pas de correspondance")</f>
        <v>1.5278670000000001</v>
      </c>
      <c r="I205">
        <f>_xlfn.XLOOKUP(Logs__2[[#This Row],[Cell_ID]],'Registre_Maintenance'!B:B,'Registre_Maintenance'!E:E,"Pas de correspondance")</f>
        <v>13.899388999999999</v>
      </c>
      <c r="J205" t="str">
        <f>_xlfn.XLOOKUP(Logs__2[[#This Row],[Cell_ID]],'Registre_Maintenance'!B:B,'Registre_Maintenance'!F:F,"Pas de correspondance")</f>
        <v>3G</v>
      </c>
      <c r="K205" t="str">
        <f>_xlfn.XLOOKUP(Logs__2[[#This Row],[Cell_ID]],'Registre_Maintenance'!B:B,'Registre_Maintenance'!G:G,"Pas de correspondance")</f>
        <v>Huawei</v>
      </c>
    </row>
    <row r="206" spans="1:11" hidden="1" x14ac:dyDescent="0.25">
      <c r="A206" s="1" t="s">
        <v>976</v>
      </c>
      <c r="B206" s="2">
        <v>45214</v>
      </c>
      <c r="C206" s="3">
        <v>0.94305555555555554</v>
      </c>
      <c r="D206" s="1" t="s">
        <v>997</v>
      </c>
      <c r="E206">
        <v>16</v>
      </c>
      <c r="F206" s="1" t="s">
        <v>806</v>
      </c>
      <c r="G206" t="str">
        <f>_xlfn.XLOOKUP(Logs__2[[#This Row],[Cell_ID]],'Registre_Maintenance'!B:B,'Registre_Maintenance'!C:C,"Pas de correspondance")</f>
        <v>Pas de correspondance</v>
      </c>
      <c r="H206" t="str">
        <f>_xlfn.XLOOKUP(Logs__2[[#This Row],[Cell_ID]],'Registre_Maintenance'!B:B,'Registre_Maintenance'!D:D,"Pas de correspondance")</f>
        <v>Pas de correspondance</v>
      </c>
      <c r="I206" t="str">
        <f>_xlfn.XLOOKUP(Logs__2[[#This Row],[Cell_ID]],'Registre_Maintenance'!B:B,'Registre_Maintenance'!E:E,"Pas de correspondance")</f>
        <v>Pas de correspondance</v>
      </c>
      <c r="J206" t="str">
        <f>_xlfn.XLOOKUP(Logs__2[[#This Row],[Cell_ID]],'Registre_Maintenance'!B:B,'Registre_Maintenance'!F:F,"Pas de correspondance")</f>
        <v>Pas de correspondance</v>
      </c>
      <c r="K206" t="str">
        <f>_xlfn.XLOOKUP(Logs__2[[#This Row],[Cell_ID]],'Registre_Maintenance'!B:B,'Registre_Maintenance'!G:G,"Pas de correspondance")</f>
        <v>Pas de correspondance</v>
      </c>
    </row>
    <row r="207" spans="1:11" hidden="1" x14ac:dyDescent="0.25">
      <c r="A207" s="1" t="s">
        <v>976</v>
      </c>
      <c r="B207" s="2">
        <v>45215</v>
      </c>
      <c r="C207" s="3">
        <v>0.37638888888888888</v>
      </c>
      <c r="D207" s="1" t="s">
        <v>823</v>
      </c>
      <c r="E207">
        <v>65</v>
      </c>
      <c r="F207" s="1" t="s">
        <v>811</v>
      </c>
      <c r="G207" t="str">
        <f>_xlfn.XLOOKUP(Logs__2[[#This Row],[Cell_ID]],'Registre_Maintenance'!B:B,'Registre_Maintenance'!C:C,"Pas de correspondance")</f>
        <v>Pas de correspondance</v>
      </c>
      <c r="H207" t="str">
        <f>_xlfn.XLOOKUP(Logs__2[[#This Row],[Cell_ID]],'Registre_Maintenance'!B:B,'Registre_Maintenance'!D:D,"Pas de correspondance")</f>
        <v>Pas de correspondance</v>
      </c>
      <c r="I207" t="str">
        <f>_xlfn.XLOOKUP(Logs__2[[#This Row],[Cell_ID]],'Registre_Maintenance'!B:B,'Registre_Maintenance'!E:E,"Pas de correspondance")</f>
        <v>Pas de correspondance</v>
      </c>
      <c r="J207" t="str">
        <f>_xlfn.XLOOKUP(Logs__2[[#This Row],[Cell_ID]],'Registre_Maintenance'!B:B,'Registre_Maintenance'!F:F,"Pas de correspondance")</f>
        <v>Pas de correspondance</v>
      </c>
      <c r="K207" t="str">
        <f>_xlfn.XLOOKUP(Logs__2[[#This Row],[Cell_ID]],'Registre_Maintenance'!B:B,'Registre_Maintenance'!G:G,"Pas de correspondance")</f>
        <v>Pas de correspondance</v>
      </c>
    </row>
    <row r="208" spans="1:11" hidden="1" x14ac:dyDescent="0.25">
      <c r="A208" s="1" t="s">
        <v>976</v>
      </c>
      <c r="B208" s="2">
        <v>45207</v>
      </c>
      <c r="C208" s="3">
        <v>0.40625</v>
      </c>
      <c r="D208" s="1" t="s">
        <v>874</v>
      </c>
      <c r="E208">
        <v>49</v>
      </c>
      <c r="F208" s="1" t="s">
        <v>809</v>
      </c>
      <c r="G208" t="str">
        <f>_xlfn.XLOOKUP(Logs__2[[#This Row],[Cell_ID]],'Registre_Maintenance'!B:B,'Registre_Maintenance'!C:C,"Pas de correspondance")</f>
        <v>Pas de correspondance</v>
      </c>
      <c r="H208" t="str">
        <f>_xlfn.XLOOKUP(Logs__2[[#This Row],[Cell_ID]],'Registre_Maintenance'!B:B,'Registre_Maintenance'!D:D,"Pas de correspondance")</f>
        <v>Pas de correspondance</v>
      </c>
      <c r="I208" t="str">
        <f>_xlfn.XLOOKUP(Logs__2[[#This Row],[Cell_ID]],'Registre_Maintenance'!B:B,'Registre_Maintenance'!E:E,"Pas de correspondance")</f>
        <v>Pas de correspondance</v>
      </c>
      <c r="J208" t="str">
        <f>_xlfn.XLOOKUP(Logs__2[[#This Row],[Cell_ID]],'Registre_Maintenance'!B:B,'Registre_Maintenance'!F:F,"Pas de correspondance")</f>
        <v>Pas de correspondance</v>
      </c>
      <c r="K208" t="str">
        <f>_xlfn.XLOOKUP(Logs__2[[#This Row],[Cell_ID]],'Registre_Maintenance'!B:B,'Registre_Maintenance'!G:G,"Pas de correspondance")</f>
        <v>Pas de correspondance</v>
      </c>
    </row>
    <row r="209" spans="1:11" hidden="1" x14ac:dyDescent="0.25">
      <c r="A209" s="1" t="s">
        <v>976</v>
      </c>
      <c r="B209" s="2">
        <v>45209</v>
      </c>
      <c r="C209" s="3">
        <v>0.95486111111111116</v>
      </c>
      <c r="D209" s="1" t="s">
        <v>998</v>
      </c>
      <c r="E209">
        <v>57</v>
      </c>
      <c r="F209" s="1" t="s">
        <v>806</v>
      </c>
      <c r="G209" t="str">
        <f>_xlfn.XLOOKUP(Logs__2[[#This Row],[Cell_ID]],'Registre_Maintenance'!B:B,'Registre_Maintenance'!C:C,"Pas de correspondance")</f>
        <v>Pas de correspondance</v>
      </c>
      <c r="H209" t="str">
        <f>_xlfn.XLOOKUP(Logs__2[[#This Row],[Cell_ID]],'Registre_Maintenance'!B:B,'Registre_Maintenance'!D:D,"Pas de correspondance")</f>
        <v>Pas de correspondance</v>
      </c>
      <c r="I209" t="str">
        <f>_xlfn.XLOOKUP(Logs__2[[#This Row],[Cell_ID]],'Registre_Maintenance'!B:B,'Registre_Maintenance'!E:E,"Pas de correspondance")</f>
        <v>Pas de correspondance</v>
      </c>
      <c r="J209" t="str">
        <f>_xlfn.XLOOKUP(Logs__2[[#This Row],[Cell_ID]],'Registre_Maintenance'!B:B,'Registre_Maintenance'!F:F,"Pas de correspondance")</f>
        <v>Pas de correspondance</v>
      </c>
      <c r="K209" t="str">
        <f>_xlfn.XLOOKUP(Logs__2[[#This Row],[Cell_ID]],'Registre_Maintenance'!B:B,'Registre_Maintenance'!G:G,"Pas de correspondance")</f>
        <v>Pas de correspondance</v>
      </c>
    </row>
    <row r="210" spans="1:11" hidden="1" x14ac:dyDescent="0.25">
      <c r="A210" s="1" t="s">
        <v>976</v>
      </c>
      <c r="B210" s="2">
        <v>45214</v>
      </c>
      <c r="C210" s="3">
        <v>0.11319444444444444</v>
      </c>
      <c r="D210" s="1" t="s">
        <v>862</v>
      </c>
      <c r="E210">
        <v>47</v>
      </c>
      <c r="F210" s="1" t="s">
        <v>811</v>
      </c>
      <c r="G210" t="str">
        <f>_xlfn.XLOOKUP(Logs__2[[#This Row],[Cell_ID]],'Registre_Maintenance'!B:B,'Registre_Maintenance'!C:C,"Pas de correspondance")</f>
        <v>Pas de correspondance</v>
      </c>
      <c r="H210" t="str">
        <f>_xlfn.XLOOKUP(Logs__2[[#This Row],[Cell_ID]],'Registre_Maintenance'!B:B,'Registre_Maintenance'!D:D,"Pas de correspondance")</f>
        <v>Pas de correspondance</v>
      </c>
      <c r="I210" t="str">
        <f>_xlfn.XLOOKUP(Logs__2[[#This Row],[Cell_ID]],'Registre_Maintenance'!B:B,'Registre_Maintenance'!E:E,"Pas de correspondance")</f>
        <v>Pas de correspondance</v>
      </c>
      <c r="J210" t="str">
        <f>_xlfn.XLOOKUP(Logs__2[[#This Row],[Cell_ID]],'Registre_Maintenance'!B:B,'Registre_Maintenance'!F:F,"Pas de correspondance")</f>
        <v>Pas de correspondance</v>
      </c>
      <c r="K210" t="str">
        <f>_xlfn.XLOOKUP(Logs__2[[#This Row],[Cell_ID]],'Registre_Maintenance'!B:B,'Registre_Maintenance'!G:G,"Pas de correspondance")</f>
        <v>Pas de correspondance</v>
      </c>
    </row>
    <row r="211" spans="1:11" x14ac:dyDescent="0.25">
      <c r="A211" s="1" t="s">
        <v>976</v>
      </c>
      <c r="B211" s="2">
        <v>45207</v>
      </c>
      <c r="C211" s="3">
        <v>0.36805555555555558</v>
      </c>
      <c r="D211" s="1" t="s">
        <v>999</v>
      </c>
      <c r="E211">
        <v>46</v>
      </c>
      <c r="F211" s="1" t="s">
        <v>806</v>
      </c>
      <c r="G211" t="str">
        <f>_xlfn.XLOOKUP(Logs__2[[#This Row],[Cell_ID]],'Registre_Maintenance'!B:B,'Registre_Maintenance'!C:C,"Pas de correspondance")</f>
        <v>Tanganyika</v>
      </c>
      <c r="H211">
        <f>_xlfn.XLOOKUP(Logs__2[[#This Row],[Cell_ID]],'Registre_Maintenance'!B:B,'Registre_Maintenance'!D:D,"Pas de correspondance")</f>
        <v>-10.481026999999999</v>
      </c>
      <c r="I211">
        <f>_xlfn.XLOOKUP(Logs__2[[#This Row],[Cell_ID]],'Registre_Maintenance'!B:B,'Registre_Maintenance'!E:E,"Pas de correspondance")</f>
        <v>18.160464000000001</v>
      </c>
      <c r="J211" t="str">
        <f>_xlfn.XLOOKUP(Logs__2[[#This Row],[Cell_ID]],'Registre_Maintenance'!B:B,'Registre_Maintenance'!F:F,"Pas de correspondance")</f>
        <v>5G</v>
      </c>
      <c r="K211" t="str">
        <f>_xlfn.XLOOKUP(Logs__2[[#This Row],[Cell_ID]],'Registre_Maintenance'!B:B,'Registre_Maintenance'!G:G,"Pas de correspondance")</f>
        <v>Huawei</v>
      </c>
    </row>
    <row r="212" spans="1:11" hidden="1" x14ac:dyDescent="0.25">
      <c r="A212" s="1" t="s">
        <v>976</v>
      </c>
      <c r="B212" s="2">
        <v>45225</v>
      </c>
      <c r="C212" s="3">
        <v>0.85902777777777772</v>
      </c>
      <c r="D212" s="1" t="s">
        <v>1000</v>
      </c>
      <c r="E212">
        <v>90</v>
      </c>
      <c r="F212" s="1" t="s">
        <v>809</v>
      </c>
      <c r="G212" t="str">
        <f>_xlfn.XLOOKUP(Logs__2[[#This Row],[Cell_ID]],'Registre_Maintenance'!B:B,'Registre_Maintenance'!C:C,"Pas de correspondance")</f>
        <v>Pas de correspondance</v>
      </c>
      <c r="H212" t="str">
        <f>_xlfn.XLOOKUP(Logs__2[[#This Row],[Cell_ID]],'Registre_Maintenance'!B:B,'Registre_Maintenance'!D:D,"Pas de correspondance")</f>
        <v>Pas de correspondance</v>
      </c>
      <c r="I212" t="str">
        <f>_xlfn.XLOOKUP(Logs__2[[#This Row],[Cell_ID]],'Registre_Maintenance'!B:B,'Registre_Maintenance'!E:E,"Pas de correspondance")</f>
        <v>Pas de correspondance</v>
      </c>
      <c r="J212" t="str">
        <f>_xlfn.XLOOKUP(Logs__2[[#This Row],[Cell_ID]],'Registre_Maintenance'!B:B,'Registre_Maintenance'!F:F,"Pas de correspondance")</f>
        <v>Pas de correspondance</v>
      </c>
      <c r="K212" t="str">
        <f>_xlfn.XLOOKUP(Logs__2[[#This Row],[Cell_ID]],'Registre_Maintenance'!B:B,'Registre_Maintenance'!G:G,"Pas de correspondance")</f>
        <v>Pas de correspondance</v>
      </c>
    </row>
    <row r="213" spans="1:11" x14ac:dyDescent="0.25">
      <c r="A213" s="1" t="s">
        <v>976</v>
      </c>
      <c r="B213" s="2">
        <v>45221</v>
      </c>
      <c r="C213" s="3">
        <v>0.26874999999999999</v>
      </c>
      <c r="D213" s="1" t="s">
        <v>1001</v>
      </c>
      <c r="E213">
        <v>18</v>
      </c>
      <c r="F213" s="1" t="s">
        <v>809</v>
      </c>
      <c r="G213" t="str">
        <f>_xlfn.XLOOKUP(Logs__2[[#This Row],[Cell_ID]],'Registre_Maintenance'!B:B,'Registre_Maintenance'!C:C,"Pas de correspondance")</f>
        <v>Nord-Kivu</v>
      </c>
      <c r="H213">
        <f>_xlfn.XLOOKUP(Logs__2[[#This Row],[Cell_ID]],'Registre_Maintenance'!B:B,'Registre_Maintenance'!D:D,"Pas de correspondance")</f>
        <v>-1.8555980000000001</v>
      </c>
      <c r="I213">
        <f>_xlfn.XLOOKUP(Logs__2[[#This Row],[Cell_ID]],'Registre_Maintenance'!B:B,'Registre_Maintenance'!E:E,"Pas de correspondance")</f>
        <v>30.421918000000002</v>
      </c>
      <c r="J213" t="str">
        <f>_xlfn.XLOOKUP(Logs__2[[#This Row],[Cell_ID]],'Registre_Maintenance'!B:B,'Registre_Maintenance'!F:F,"Pas de correspondance")</f>
        <v>3G</v>
      </c>
      <c r="K213" t="str">
        <f>_xlfn.XLOOKUP(Logs__2[[#This Row],[Cell_ID]],'Registre_Maintenance'!B:B,'Registre_Maintenance'!G:G,"Pas de correspondance")</f>
        <v>ZTE</v>
      </c>
    </row>
    <row r="214" spans="1:11" hidden="1" x14ac:dyDescent="0.25">
      <c r="A214" s="1" t="s">
        <v>976</v>
      </c>
      <c r="B214" s="2">
        <v>45203</v>
      </c>
      <c r="C214" s="3">
        <v>0.71805555555555556</v>
      </c>
      <c r="D214" s="1" t="s">
        <v>1002</v>
      </c>
      <c r="E214">
        <v>114</v>
      </c>
      <c r="F214" s="1" t="s">
        <v>809</v>
      </c>
      <c r="G214" t="str">
        <f>_xlfn.XLOOKUP(Logs__2[[#This Row],[Cell_ID]],'Registre_Maintenance'!B:B,'Registre_Maintenance'!C:C,"Pas de correspondance")</f>
        <v>Pas de correspondance</v>
      </c>
      <c r="H214" t="str">
        <f>_xlfn.XLOOKUP(Logs__2[[#This Row],[Cell_ID]],'Registre_Maintenance'!B:B,'Registre_Maintenance'!D:D,"Pas de correspondance")</f>
        <v>Pas de correspondance</v>
      </c>
      <c r="I214" t="str">
        <f>_xlfn.XLOOKUP(Logs__2[[#This Row],[Cell_ID]],'Registre_Maintenance'!B:B,'Registre_Maintenance'!E:E,"Pas de correspondance")</f>
        <v>Pas de correspondance</v>
      </c>
      <c r="J214" t="str">
        <f>_xlfn.XLOOKUP(Logs__2[[#This Row],[Cell_ID]],'Registre_Maintenance'!B:B,'Registre_Maintenance'!F:F,"Pas de correspondance")</f>
        <v>Pas de correspondance</v>
      </c>
      <c r="K214" t="str">
        <f>_xlfn.XLOOKUP(Logs__2[[#This Row],[Cell_ID]],'Registre_Maintenance'!B:B,'Registre_Maintenance'!G:G,"Pas de correspondance")</f>
        <v>Pas de correspondance</v>
      </c>
    </row>
    <row r="215" spans="1:11" x14ac:dyDescent="0.25">
      <c r="A215" s="1" t="s">
        <v>976</v>
      </c>
      <c r="B215" s="2">
        <v>45220</v>
      </c>
      <c r="C215" s="3">
        <v>0.20694444444444443</v>
      </c>
      <c r="D215" s="1" t="s">
        <v>1003</v>
      </c>
      <c r="E215">
        <v>25</v>
      </c>
      <c r="F215" s="1" t="s">
        <v>806</v>
      </c>
      <c r="G215" t="str">
        <f>_xlfn.XLOOKUP(Logs__2[[#This Row],[Cell_ID]],'Registre_Maintenance'!B:B,'Registre_Maintenance'!C:C,"Pas de correspondance")</f>
        <v>Equateur</v>
      </c>
      <c r="H215">
        <f>_xlfn.XLOOKUP(Logs__2[[#This Row],[Cell_ID]],'Registre_Maintenance'!B:B,'Registre_Maintenance'!D:D,"Pas de correspondance")</f>
        <v>3.3289240000000002</v>
      </c>
      <c r="I215">
        <f>_xlfn.XLOOKUP(Logs__2[[#This Row],[Cell_ID]],'Registre_Maintenance'!B:B,'Registre_Maintenance'!E:E,"Pas de correspondance")</f>
        <v>24.412261000000001</v>
      </c>
      <c r="J215" t="str">
        <f>_xlfn.XLOOKUP(Logs__2[[#This Row],[Cell_ID]],'Registre_Maintenance'!B:B,'Registre_Maintenance'!F:F,"Pas de correspondance")</f>
        <v>5G</v>
      </c>
      <c r="K215" t="str">
        <f>_xlfn.XLOOKUP(Logs__2[[#This Row],[Cell_ID]],'Registre_Maintenance'!B:B,'Registre_Maintenance'!G:G,"Pas de correspondance")</f>
        <v>Nokia</v>
      </c>
    </row>
    <row r="216" spans="1:11" hidden="1" x14ac:dyDescent="0.25">
      <c r="A216" s="1" t="s">
        <v>976</v>
      </c>
      <c r="B216" s="2">
        <v>45208</v>
      </c>
      <c r="C216" s="3">
        <v>0.16944444444444445</v>
      </c>
      <c r="D216" s="1" t="s">
        <v>1004</v>
      </c>
      <c r="E216">
        <v>47</v>
      </c>
      <c r="F216" s="1" t="s">
        <v>806</v>
      </c>
      <c r="G216" t="str">
        <f>_xlfn.XLOOKUP(Logs__2[[#This Row],[Cell_ID]],'Registre_Maintenance'!B:B,'Registre_Maintenance'!C:C,"Pas de correspondance")</f>
        <v>Pas de correspondance</v>
      </c>
      <c r="H216" t="str">
        <f>_xlfn.XLOOKUP(Logs__2[[#This Row],[Cell_ID]],'Registre_Maintenance'!B:B,'Registre_Maintenance'!D:D,"Pas de correspondance")</f>
        <v>Pas de correspondance</v>
      </c>
      <c r="I216" t="str">
        <f>_xlfn.XLOOKUP(Logs__2[[#This Row],[Cell_ID]],'Registre_Maintenance'!B:B,'Registre_Maintenance'!E:E,"Pas de correspondance")</f>
        <v>Pas de correspondance</v>
      </c>
      <c r="J216" t="str">
        <f>_xlfn.XLOOKUP(Logs__2[[#This Row],[Cell_ID]],'Registre_Maintenance'!B:B,'Registre_Maintenance'!F:F,"Pas de correspondance")</f>
        <v>Pas de correspondance</v>
      </c>
      <c r="K216" t="str">
        <f>_xlfn.XLOOKUP(Logs__2[[#This Row],[Cell_ID]],'Registre_Maintenance'!B:B,'Registre_Maintenance'!G:G,"Pas de correspondance")</f>
        <v>Pas de correspondance</v>
      </c>
    </row>
    <row r="217" spans="1:11" hidden="1" x14ac:dyDescent="0.25">
      <c r="A217" s="1" t="s">
        <v>976</v>
      </c>
      <c r="B217" s="2">
        <v>45201</v>
      </c>
      <c r="C217" s="3">
        <v>0.24305555555555555</v>
      </c>
      <c r="D217" s="1" t="s">
        <v>1005</v>
      </c>
      <c r="E217">
        <v>57</v>
      </c>
      <c r="F217" s="1" t="s">
        <v>811</v>
      </c>
      <c r="G217" t="str">
        <f>_xlfn.XLOOKUP(Logs__2[[#This Row],[Cell_ID]],'Registre_Maintenance'!B:B,'Registre_Maintenance'!C:C,"Pas de correspondance")</f>
        <v>Pas de correspondance</v>
      </c>
      <c r="H217" t="str">
        <f>_xlfn.XLOOKUP(Logs__2[[#This Row],[Cell_ID]],'Registre_Maintenance'!B:B,'Registre_Maintenance'!D:D,"Pas de correspondance")</f>
        <v>Pas de correspondance</v>
      </c>
      <c r="I217" t="str">
        <f>_xlfn.XLOOKUP(Logs__2[[#This Row],[Cell_ID]],'Registre_Maintenance'!B:B,'Registre_Maintenance'!E:E,"Pas de correspondance")</f>
        <v>Pas de correspondance</v>
      </c>
      <c r="J217" t="str">
        <f>_xlfn.XLOOKUP(Logs__2[[#This Row],[Cell_ID]],'Registre_Maintenance'!B:B,'Registre_Maintenance'!F:F,"Pas de correspondance")</f>
        <v>Pas de correspondance</v>
      </c>
      <c r="K217" t="str">
        <f>_xlfn.XLOOKUP(Logs__2[[#This Row],[Cell_ID]],'Registre_Maintenance'!B:B,'Registre_Maintenance'!G:G,"Pas de correspondance")</f>
        <v>Pas de correspondance</v>
      </c>
    </row>
    <row r="218" spans="1:11" hidden="1" x14ac:dyDescent="0.25">
      <c r="A218" s="1" t="s">
        <v>976</v>
      </c>
      <c r="B218" s="2">
        <v>45209</v>
      </c>
      <c r="C218" s="3">
        <v>0.82430555555555551</v>
      </c>
      <c r="D218" s="1" t="s">
        <v>937</v>
      </c>
      <c r="E218">
        <v>93</v>
      </c>
      <c r="F218" s="1" t="s">
        <v>811</v>
      </c>
      <c r="G218" t="str">
        <f>_xlfn.XLOOKUP(Logs__2[[#This Row],[Cell_ID]],'Registre_Maintenance'!B:B,'Registre_Maintenance'!C:C,"Pas de correspondance")</f>
        <v>Pas de correspondance</v>
      </c>
      <c r="H218" t="str">
        <f>_xlfn.XLOOKUP(Logs__2[[#This Row],[Cell_ID]],'Registre_Maintenance'!B:B,'Registre_Maintenance'!D:D,"Pas de correspondance")</f>
        <v>Pas de correspondance</v>
      </c>
      <c r="I218" t="str">
        <f>_xlfn.XLOOKUP(Logs__2[[#This Row],[Cell_ID]],'Registre_Maintenance'!B:B,'Registre_Maintenance'!E:E,"Pas de correspondance")</f>
        <v>Pas de correspondance</v>
      </c>
      <c r="J218" t="str">
        <f>_xlfn.XLOOKUP(Logs__2[[#This Row],[Cell_ID]],'Registre_Maintenance'!B:B,'Registre_Maintenance'!F:F,"Pas de correspondance")</f>
        <v>Pas de correspondance</v>
      </c>
      <c r="K218" t="str">
        <f>_xlfn.XLOOKUP(Logs__2[[#This Row],[Cell_ID]],'Registre_Maintenance'!B:B,'Registre_Maintenance'!G:G,"Pas de correspondance")</f>
        <v>Pas de correspondance</v>
      </c>
    </row>
    <row r="219" spans="1:11" x14ac:dyDescent="0.25">
      <c r="A219" s="1" t="s">
        <v>976</v>
      </c>
      <c r="B219" s="2">
        <v>45226</v>
      </c>
      <c r="C219" s="3">
        <v>0.79027777777777775</v>
      </c>
      <c r="D219" s="1" t="s">
        <v>1006</v>
      </c>
      <c r="E219">
        <v>68</v>
      </c>
      <c r="F219" s="1" t="s">
        <v>811</v>
      </c>
      <c r="G219" t="str">
        <f>_xlfn.XLOOKUP(Logs__2[[#This Row],[Cell_ID]],'Registre_Maintenance'!B:B,'Registre_Maintenance'!C:C,"Pas de correspondance")</f>
        <v>Equateur</v>
      </c>
      <c r="H219">
        <f>_xlfn.XLOOKUP(Logs__2[[#This Row],[Cell_ID]],'Registre_Maintenance'!B:B,'Registre_Maintenance'!D:D,"Pas de correspondance")</f>
        <v>-0.37665700000000002</v>
      </c>
      <c r="I219">
        <f>_xlfn.XLOOKUP(Logs__2[[#This Row],[Cell_ID]],'Registre_Maintenance'!B:B,'Registre_Maintenance'!E:E,"Pas de correspondance")</f>
        <v>25.154807999999999</v>
      </c>
      <c r="J219" t="str">
        <f>_xlfn.XLOOKUP(Logs__2[[#This Row],[Cell_ID]],'Registre_Maintenance'!B:B,'Registre_Maintenance'!F:F,"Pas de correspondance")</f>
        <v>3G</v>
      </c>
      <c r="K219" t="str">
        <f>_xlfn.XLOOKUP(Logs__2[[#This Row],[Cell_ID]],'Registre_Maintenance'!B:B,'Registre_Maintenance'!G:G,"Pas de correspondance")</f>
        <v>Nokia</v>
      </c>
    </row>
    <row r="220" spans="1:11" hidden="1" x14ac:dyDescent="0.25">
      <c r="A220" s="1" t="s">
        <v>976</v>
      </c>
      <c r="B220" s="2">
        <v>45209</v>
      </c>
      <c r="C220" s="3">
        <v>0.58819444444444446</v>
      </c>
      <c r="D220" s="1" t="s">
        <v>927</v>
      </c>
      <c r="E220">
        <v>41</v>
      </c>
      <c r="F220" s="1" t="s">
        <v>809</v>
      </c>
      <c r="G220" t="str">
        <f>_xlfn.XLOOKUP(Logs__2[[#This Row],[Cell_ID]],'Registre_Maintenance'!B:B,'Registre_Maintenance'!C:C,"Pas de correspondance")</f>
        <v>Pas de correspondance</v>
      </c>
      <c r="H220" t="str">
        <f>_xlfn.XLOOKUP(Logs__2[[#This Row],[Cell_ID]],'Registre_Maintenance'!B:B,'Registre_Maintenance'!D:D,"Pas de correspondance")</f>
        <v>Pas de correspondance</v>
      </c>
      <c r="I220" t="str">
        <f>_xlfn.XLOOKUP(Logs__2[[#This Row],[Cell_ID]],'Registre_Maintenance'!B:B,'Registre_Maintenance'!E:E,"Pas de correspondance")</f>
        <v>Pas de correspondance</v>
      </c>
      <c r="J220" t="str">
        <f>_xlfn.XLOOKUP(Logs__2[[#This Row],[Cell_ID]],'Registre_Maintenance'!B:B,'Registre_Maintenance'!F:F,"Pas de correspondance")</f>
        <v>Pas de correspondance</v>
      </c>
      <c r="K220" t="str">
        <f>_xlfn.XLOOKUP(Logs__2[[#This Row],[Cell_ID]],'Registre_Maintenance'!B:B,'Registre_Maintenance'!G:G,"Pas de correspondance")</f>
        <v>Pas de correspondance</v>
      </c>
    </row>
    <row r="221" spans="1:11" hidden="1" x14ac:dyDescent="0.25">
      <c r="A221" s="1" t="s">
        <v>976</v>
      </c>
      <c r="B221" s="2">
        <v>45214</v>
      </c>
      <c r="C221" s="3">
        <v>0.92986111111111114</v>
      </c>
      <c r="D221" s="1" t="s">
        <v>1007</v>
      </c>
      <c r="E221">
        <v>89</v>
      </c>
      <c r="F221" s="1" t="s">
        <v>811</v>
      </c>
      <c r="G221" t="str">
        <f>_xlfn.XLOOKUP(Logs__2[[#This Row],[Cell_ID]],'Registre_Maintenance'!B:B,'Registre_Maintenance'!C:C,"Pas de correspondance")</f>
        <v>Pas de correspondance</v>
      </c>
      <c r="H221" t="str">
        <f>_xlfn.XLOOKUP(Logs__2[[#This Row],[Cell_ID]],'Registre_Maintenance'!B:B,'Registre_Maintenance'!D:D,"Pas de correspondance")</f>
        <v>Pas de correspondance</v>
      </c>
      <c r="I221" t="str">
        <f>_xlfn.XLOOKUP(Logs__2[[#This Row],[Cell_ID]],'Registre_Maintenance'!B:B,'Registre_Maintenance'!E:E,"Pas de correspondance")</f>
        <v>Pas de correspondance</v>
      </c>
      <c r="J221" t="str">
        <f>_xlfn.XLOOKUP(Logs__2[[#This Row],[Cell_ID]],'Registre_Maintenance'!B:B,'Registre_Maintenance'!F:F,"Pas de correspondance")</f>
        <v>Pas de correspondance</v>
      </c>
      <c r="K221" t="str">
        <f>_xlfn.XLOOKUP(Logs__2[[#This Row],[Cell_ID]],'Registre_Maintenance'!B:B,'Registre_Maintenance'!G:G,"Pas de correspondance")</f>
        <v>Pas de correspondance</v>
      </c>
    </row>
    <row r="222" spans="1:11" hidden="1" x14ac:dyDescent="0.25">
      <c r="A222" s="1" t="s">
        <v>976</v>
      </c>
      <c r="B222" s="2">
        <v>45222</v>
      </c>
      <c r="C222" s="3">
        <v>0.51180555555555551</v>
      </c>
      <c r="D222" s="1" t="s">
        <v>1008</v>
      </c>
      <c r="E222">
        <v>56</v>
      </c>
      <c r="F222" s="1" t="s">
        <v>806</v>
      </c>
      <c r="G222" t="str">
        <f>_xlfn.XLOOKUP(Logs__2[[#This Row],[Cell_ID]],'Registre_Maintenance'!B:B,'Registre_Maintenance'!C:C,"Pas de correspondance")</f>
        <v>Pas de correspondance</v>
      </c>
      <c r="H222" t="str">
        <f>_xlfn.XLOOKUP(Logs__2[[#This Row],[Cell_ID]],'Registre_Maintenance'!B:B,'Registre_Maintenance'!D:D,"Pas de correspondance")</f>
        <v>Pas de correspondance</v>
      </c>
      <c r="I222" t="str">
        <f>_xlfn.XLOOKUP(Logs__2[[#This Row],[Cell_ID]],'Registre_Maintenance'!B:B,'Registre_Maintenance'!E:E,"Pas de correspondance")</f>
        <v>Pas de correspondance</v>
      </c>
      <c r="J222" t="str">
        <f>_xlfn.XLOOKUP(Logs__2[[#This Row],[Cell_ID]],'Registre_Maintenance'!B:B,'Registre_Maintenance'!F:F,"Pas de correspondance")</f>
        <v>Pas de correspondance</v>
      </c>
      <c r="K222" t="str">
        <f>_xlfn.XLOOKUP(Logs__2[[#This Row],[Cell_ID]],'Registre_Maintenance'!B:B,'Registre_Maintenance'!G:G,"Pas de correspondance")</f>
        <v>Pas de correspondance</v>
      </c>
    </row>
    <row r="223" spans="1:11" x14ac:dyDescent="0.25">
      <c r="A223" s="1" t="s">
        <v>976</v>
      </c>
      <c r="B223" s="2">
        <v>45216</v>
      </c>
      <c r="C223" s="3">
        <v>0.72986111111111107</v>
      </c>
      <c r="D223" s="1" t="s">
        <v>1009</v>
      </c>
      <c r="E223">
        <v>109</v>
      </c>
      <c r="F223" s="1" t="s">
        <v>811</v>
      </c>
      <c r="G223" t="str">
        <f>_xlfn.XLOOKUP(Logs__2[[#This Row],[Cell_ID]],'Registre_Maintenance'!B:B,'Registre_Maintenance'!C:C,"Pas de correspondance")</f>
        <v>Kasaï-Oriental</v>
      </c>
      <c r="H223">
        <f>_xlfn.XLOOKUP(Logs__2[[#This Row],[Cell_ID]],'Registre_Maintenance'!B:B,'Registre_Maintenance'!D:D,"Pas de correspondance")</f>
        <v>0.639208</v>
      </c>
      <c r="I223">
        <f>_xlfn.XLOOKUP(Logs__2[[#This Row],[Cell_ID]],'Registre_Maintenance'!B:B,'Registre_Maintenance'!E:E,"Pas de correspondance")</f>
        <v>20.701739</v>
      </c>
      <c r="J223" t="str">
        <f>_xlfn.XLOOKUP(Logs__2[[#This Row],[Cell_ID]],'Registre_Maintenance'!B:B,'Registre_Maintenance'!F:F,"Pas de correspondance")</f>
        <v>4G</v>
      </c>
      <c r="K223" t="str">
        <f>_xlfn.XLOOKUP(Logs__2[[#This Row],[Cell_ID]],'Registre_Maintenance'!B:B,'Registre_Maintenance'!G:G,"Pas de correspondance")</f>
        <v>Huawei</v>
      </c>
    </row>
    <row r="224" spans="1:11" hidden="1" x14ac:dyDescent="0.25">
      <c r="A224" s="1" t="s">
        <v>976</v>
      </c>
      <c r="B224" s="2">
        <v>45214</v>
      </c>
      <c r="C224" s="3">
        <v>0.10972222222222222</v>
      </c>
      <c r="D224" s="1" t="s">
        <v>1010</v>
      </c>
      <c r="E224">
        <v>102</v>
      </c>
      <c r="F224" s="1" t="s">
        <v>809</v>
      </c>
      <c r="G224" t="str">
        <f>_xlfn.XLOOKUP(Logs__2[[#This Row],[Cell_ID]],'Registre_Maintenance'!B:B,'Registre_Maintenance'!C:C,"Pas de correspondance")</f>
        <v>Pas de correspondance</v>
      </c>
      <c r="H224" t="str">
        <f>_xlfn.XLOOKUP(Logs__2[[#This Row],[Cell_ID]],'Registre_Maintenance'!B:B,'Registre_Maintenance'!D:D,"Pas de correspondance")</f>
        <v>Pas de correspondance</v>
      </c>
      <c r="I224" t="str">
        <f>_xlfn.XLOOKUP(Logs__2[[#This Row],[Cell_ID]],'Registre_Maintenance'!B:B,'Registre_Maintenance'!E:E,"Pas de correspondance")</f>
        <v>Pas de correspondance</v>
      </c>
      <c r="J224" t="str">
        <f>_xlfn.XLOOKUP(Logs__2[[#This Row],[Cell_ID]],'Registre_Maintenance'!B:B,'Registre_Maintenance'!F:F,"Pas de correspondance")</f>
        <v>Pas de correspondance</v>
      </c>
      <c r="K224" t="str">
        <f>_xlfn.XLOOKUP(Logs__2[[#This Row],[Cell_ID]],'Registre_Maintenance'!B:B,'Registre_Maintenance'!G:G,"Pas de correspondance")</f>
        <v>Pas de correspondance</v>
      </c>
    </row>
    <row r="225" spans="1:11" x14ac:dyDescent="0.25">
      <c r="A225" s="1" t="s">
        <v>976</v>
      </c>
      <c r="B225" s="2">
        <v>45201</v>
      </c>
      <c r="C225" s="3">
        <v>0.57430555555555551</v>
      </c>
      <c r="D225" s="1" t="s">
        <v>827</v>
      </c>
      <c r="E225">
        <v>75</v>
      </c>
      <c r="F225" s="1" t="s">
        <v>811</v>
      </c>
      <c r="G225" t="str">
        <f>_xlfn.XLOOKUP(Logs__2[[#This Row],[Cell_ID]],'Registre_Maintenance'!B:B,'Registre_Maintenance'!C:C,"Pas de correspondance")</f>
        <v>Haut-Katanga</v>
      </c>
      <c r="H225">
        <f>_xlfn.XLOOKUP(Logs__2[[#This Row],[Cell_ID]],'Registre_Maintenance'!B:B,'Registre_Maintenance'!D:D,"Pas de correspondance")</f>
        <v>0.172153</v>
      </c>
      <c r="I225">
        <f>_xlfn.XLOOKUP(Logs__2[[#This Row],[Cell_ID]],'Registre_Maintenance'!B:B,'Registre_Maintenance'!E:E,"Pas de correspondance")</f>
        <v>21.091376</v>
      </c>
      <c r="J225" t="str">
        <f>_xlfn.XLOOKUP(Logs__2[[#This Row],[Cell_ID]],'Registre_Maintenance'!B:B,'Registre_Maintenance'!F:F,"Pas de correspondance")</f>
        <v>3G</v>
      </c>
      <c r="K225" t="str">
        <f>_xlfn.XLOOKUP(Logs__2[[#This Row],[Cell_ID]],'Registre_Maintenance'!B:B,'Registre_Maintenance'!G:G,"Pas de correspondance")</f>
        <v>Ericsson</v>
      </c>
    </row>
    <row r="226" spans="1:11" hidden="1" x14ac:dyDescent="0.25">
      <c r="A226" s="1" t="s">
        <v>976</v>
      </c>
      <c r="B226" s="2">
        <v>45210</v>
      </c>
      <c r="C226" s="3">
        <v>0.80277777777777781</v>
      </c>
      <c r="D226" s="1" t="s">
        <v>1011</v>
      </c>
      <c r="E226">
        <v>9</v>
      </c>
      <c r="F226" s="1" t="s">
        <v>809</v>
      </c>
      <c r="G226" t="str">
        <f>_xlfn.XLOOKUP(Logs__2[[#This Row],[Cell_ID]],'Registre_Maintenance'!B:B,'Registre_Maintenance'!C:C,"Pas de correspondance")</f>
        <v>Pas de correspondance</v>
      </c>
      <c r="H226" t="str">
        <f>_xlfn.XLOOKUP(Logs__2[[#This Row],[Cell_ID]],'Registre_Maintenance'!B:B,'Registre_Maintenance'!D:D,"Pas de correspondance")</f>
        <v>Pas de correspondance</v>
      </c>
      <c r="I226" t="str">
        <f>_xlfn.XLOOKUP(Logs__2[[#This Row],[Cell_ID]],'Registre_Maintenance'!B:B,'Registre_Maintenance'!E:E,"Pas de correspondance")</f>
        <v>Pas de correspondance</v>
      </c>
      <c r="J226" t="str">
        <f>_xlfn.XLOOKUP(Logs__2[[#This Row],[Cell_ID]],'Registre_Maintenance'!B:B,'Registre_Maintenance'!F:F,"Pas de correspondance")</f>
        <v>Pas de correspondance</v>
      </c>
      <c r="K226" t="str">
        <f>_xlfn.XLOOKUP(Logs__2[[#This Row],[Cell_ID]],'Registre_Maintenance'!B:B,'Registre_Maintenance'!G:G,"Pas de correspondance")</f>
        <v>Pas de correspondance</v>
      </c>
    </row>
    <row r="227" spans="1:11" hidden="1" x14ac:dyDescent="0.25">
      <c r="A227" s="1" t="s">
        <v>976</v>
      </c>
      <c r="B227" s="2">
        <v>45200</v>
      </c>
      <c r="C227" s="3">
        <v>9.3055555555555558E-2</v>
      </c>
      <c r="D227" s="1" t="s">
        <v>848</v>
      </c>
      <c r="E227">
        <v>63</v>
      </c>
      <c r="F227" s="1" t="s">
        <v>809</v>
      </c>
      <c r="G227" t="str">
        <f>_xlfn.XLOOKUP(Logs__2[[#This Row],[Cell_ID]],'Registre_Maintenance'!B:B,'Registre_Maintenance'!C:C,"Pas de correspondance")</f>
        <v>Pas de correspondance</v>
      </c>
      <c r="H227" t="str">
        <f>_xlfn.XLOOKUP(Logs__2[[#This Row],[Cell_ID]],'Registre_Maintenance'!B:B,'Registre_Maintenance'!D:D,"Pas de correspondance")</f>
        <v>Pas de correspondance</v>
      </c>
      <c r="I227" t="str">
        <f>_xlfn.XLOOKUP(Logs__2[[#This Row],[Cell_ID]],'Registre_Maintenance'!B:B,'Registre_Maintenance'!E:E,"Pas de correspondance")</f>
        <v>Pas de correspondance</v>
      </c>
      <c r="J227" t="str">
        <f>_xlfn.XLOOKUP(Logs__2[[#This Row],[Cell_ID]],'Registre_Maintenance'!B:B,'Registre_Maintenance'!F:F,"Pas de correspondance")</f>
        <v>Pas de correspondance</v>
      </c>
      <c r="K227" t="str">
        <f>_xlfn.XLOOKUP(Logs__2[[#This Row],[Cell_ID]],'Registre_Maintenance'!B:B,'Registre_Maintenance'!G:G,"Pas de correspondance")</f>
        <v>Pas de correspondance</v>
      </c>
    </row>
    <row r="228" spans="1:11" hidden="1" x14ac:dyDescent="0.25">
      <c r="A228" s="1" t="s">
        <v>976</v>
      </c>
      <c r="B228" s="2">
        <v>45230</v>
      </c>
      <c r="C228" s="3">
        <v>0.91180555555555554</v>
      </c>
      <c r="D228" s="1" t="s">
        <v>1012</v>
      </c>
      <c r="E228">
        <v>16</v>
      </c>
      <c r="F228" s="1" t="s">
        <v>809</v>
      </c>
      <c r="G228" t="str">
        <f>_xlfn.XLOOKUP(Logs__2[[#This Row],[Cell_ID]],'Registre_Maintenance'!B:B,'Registre_Maintenance'!C:C,"Pas de correspondance")</f>
        <v>Pas de correspondance</v>
      </c>
      <c r="H228" t="str">
        <f>_xlfn.XLOOKUP(Logs__2[[#This Row],[Cell_ID]],'Registre_Maintenance'!B:B,'Registre_Maintenance'!D:D,"Pas de correspondance")</f>
        <v>Pas de correspondance</v>
      </c>
      <c r="I228" t="str">
        <f>_xlfn.XLOOKUP(Logs__2[[#This Row],[Cell_ID]],'Registre_Maintenance'!B:B,'Registre_Maintenance'!E:E,"Pas de correspondance")</f>
        <v>Pas de correspondance</v>
      </c>
      <c r="J228" t="str">
        <f>_xlfn.XLOOKUP(Logs__2[[#This Row],[Cell_ID]],'Registre_Maintenance'!B:B,'Registre_Maintenance'!F:F,"Pas de correspondance")</f>
        <v>Pas de correspondance</v>
      </c>
      <c r="K228" t="str">
        <f>_xlfn.XLOOKUP(Logs__2[[#This Row],[Cell_ID]],'Registre_Maintenance'!B:B,'Registre_Maintenance'!G:G,"Pas de correspondance")</f>
        <v>Pas de correspondance</v>
      </c>
    </row>
    <row r="229" spans="1:11" hidden="1" x14ac:dyDescent="0.25">
      <c r="A229" s="1" t="s">
        <v>976</v>
      </c>
      <c r="B229" s="2">
        <v>45227</v>
      </c>
      <c r="C229" s="3">
        <v>0.77569444444444446</v>
      </c>
      <c r="D229" s="1" t="s">
        <v>915</v>
      </c>
      <c r="E229">
        <v>45</v>
      </c>
      <c r="F229" s="1" t="s">
        <v>811</v>
      </c>
      <c r="G229" t="str">
        <f>_xlfn.XLOOKUP(Logs__2[[#This Row],[Cell_ID]],'Registre_Maintenance'!B:B,'Registre_Maintenance'!C:C,"Pas de correspondance")</f>
        <v>Pas de correspondance</v>
      </c>
      <c r="H229" t="str">
        <f>_xlfn.XLOOKUP(Logs__2[[#This Row],[Cell_ID]],'Registre_Maintenance'!B:B,'Registre_Maintenance'!D:D,"Pas de correspondance")</f>
        <v>Pas de correspondance</v>
      </c>
      <c r="I229" t="str">
        <f>_xlfn.XLOOKUP(Logs__2[[#This Row],[Cell_ID]],'Registre_Maintenance'!B:B,'Registre_Maintenance'!E:E,"Pas de correspondance")</f>
        <v>Pas de correspondance</v>
      </c>
      <c r="J229" t="str">
        <f>_xlfn.XLOOKUP(Logs__2[[#This Row],[Cell_ID]],'Registre_Maintenance'!B:B,'Registre_Maintenance'!F:F,"Pas de correspondance")</f>
        <v>Pas de correspondance</v>
      </c>
      <c r="K229" t="str">
        <f>_xlfn.XLOOKUP(Logs__2[[#This Row],[Cell_ID]],'Registre_Maintenance'!B:B,'Registre_Maintenance'!G:G,"Pas de correspondance")</f>
        <v>Pas de correspondance</v>
      </c>
    </row>
    <row r="230" spans="1:11" hidden="1" x14ac:dyDescent="0.25">
      <c r="A230" s="1" t="s">
        <v>1013</v>
      </c>
      <c r="B230" s="2">
        <v>45212</v>
      </c>
      <c r="C230" s="3">
        <v>0.62430555555555556</v>
      </c>
      <c r="D230" s="1" t="s">
        <v>1014</v>
      </c>
      <c r="E230">
        <v>113</v>
      </c>
      <c r="F230" s="1" t="s">
        <v>811</v>
      </c>
      <c r="G230" t="str">
        <f>_xlfn.XLOOKUP(Logs__2[[#This Row],[Cell_ID]],'Registre_Maintenance'!B:B,'Registre_Maintenance'!C:C,"Pas de correspondance")</f>
        <v>Pas de correspondance</v>
      </c>
      <c r="H230" t="str">
        <f>_xlfn.XLOOKUP(Logs__2[[#This Row],[Cell_ID]],'Registre_Maintenance'!B:B,'Registre_Maintenance'!D:D,"Pas de correspondance")</f>
        <v>Pas de correspondance</v>
      </c>
      <c r="I230" t="str">
        <f>_xlfn.XLOOKUP(Logs__2[[#This Row],[Cell_ID]],'Registre_Maintenance'!B:B,'Registre_Maintenance'!E:E,"Pas de correspondance")</f>
        <v>Pas de correspondance</v>
      </c>
      <c r="J230" t="str">
        <f>_xlfn.XLOOKUP(Logs__2[[#This Row],[Cell_ID]],'Registre_Maintenance'!B:B,'Registre_Maintenance'!F:F,"Pas de correspondance")</f>
        <v>Pas de correspondance</v>
      </c>
      <c r="K230" t="str">
        <f>_xlfn.XLOOKUP(Logs__2[[#This Row],[Cell_ID]],'Registre_Maintenance'!B:B,'Registre_Maintenance'!G:G,"Pas de correspondance")</f>
        <v>Pas de correspondance</v>
      </c>
    </row>
    <row r="231" spans="1:11" x14ac:dyDescent="0.25">
      <c r="A231" s="1" t="s">
        <v>1013</v>
      </c>
      <c r="B231" s="2">
        <v>45210</v>
      </c>
      <c r="C231" s="3">
        <v>0.28055555555555556</v>
      </c>
      <c r="D231" s="1" t="s">
        <v>1015</v>
      </c>
      <c r="E231">
        <v>43</v>
      </c>
      <c r="F231" s="1" t="s">
        <v>809</v>
      </c>
      <c r="G231" t="str">
        <f>_xlfn.XLOOKUP(Logs__2[[#This Row],[Cell_ID]],'Registre_Maintenance'!B:B,'Registre_Maintenance'!C:C,"Pas de correspondance")</f>
        <v>Sud-Ubangi</v>
      </c>
      <c r="H231">
        <f>_xlfn.XLOOKUP(Logs__2[[#This Row],[Cell_ID]],'Registre_Maintenance'!B:B,'Registre_Maintenance'!D:D,"Pas de correspondance")</f>
        <v>-12.342053999999999</v>
      </c>
      <c r="I231">
        <f>_xlfn.XLOOKUP(Logs__2[[#This Row],[Cell_ID]],'Registre_Maintenance'!B:B,'Registre_Maintenance'!E:E,"Pas de correspondance")</f>
        <v>18.756862000000002</v>
      </c>
      <c r="J231" t="str">
        <f>_xlfn.XLOOKUP(Logs__2[[#This Row],[Cell_ID]],'Registre_Maintenance'!B:B,'Registre_Maintenance'!F:F,"Pas de correspondance")</f>
        <v>3G</v>
      </c>
      <c r="K231" t="str">
        <f>_xlfn.XLOOKUP(Logs__2[[#This Row],[Cell_ID]],'Registre_Maintenance'!B:B,'Registre_Maintenance'!G:G,"Pas de correspondance")</f>
        <v>Ericsson</v>
      </c>
    </row>
    <row r="232" spans="1:11" hidden="1" x14ac:dyDescent="0.25">
      <c r="A232" s="1" t="s">
        <v>1013</v>
      </c>
      <c r="B232" s="2">
        <v>45207</v>
      </c>
      <c r="C232" s="3">
        <v>0.54305555555555551</v>
      </c>
      <c r="D232" s="1" t="s">
        <v>1016</v>
      </c>
      <c r="E232">
        <v>54</v>
      </c>
      <c r="F232" s="1" t="s">
        <v>806</v>
      </c>
      <c r="G232" t="str">
        <f>_xlfn.XLOOKUP(Logs__2[[#This Row],[Cell_ID]],'Registre_Maintenance'!B:B,'Registre_Maintenance'!C:C,"Pas de correspondance")</f>
        <v>Pas de correspondance</v>
      </c>
      <c r="H232" t="str">
        <f>_xlfn.XLOOKUP(Logs__2[[#This Row],[Cell_ID]],'Registre_Maintenance'!B:B,'Registre_Maintenance'!D:D,"Pas de correspondance")</f>
        <v>Pas de correspondance</v>
      </c>
      <c r="I232" t="str">
        <f>_xlfn.XLOOKUP(Logs__2[[#This Row],[Cell_ID]],'Registre_Maintenance'!B:B,'Registre_Maintenance'!E:E,"Pas de correspondance")</f>
        <v>Pas de correspondance</v>
      </c>
      <c r="J232" t="str">
        <f>_xlfn.XLOOKUP(Logs__2[[#This Row],[Cell_ID]],'Registre_Maintenance'!B:B,'Registre_Maintenance'!F:F,"Pas de correspondance")</f>
        <v>Pas de correspondance</v>
      </c>
      <c r="K232" t="str">
        <f>_xlfn.XLOOKUP(Logs__2[[#This Row],[Cell_ID]],'Registre_Maintenance'!B:B,'Registre_Maintenance'!G:G,"Pas de correspondance")</f>
        <v>Pas de correspondance</v>
      </c>
    </row>
    <row r="233" spans="1:11" hidden="1" x14ac:dyDescent="0.25">
      <c r="A233" s="1" t="s">
        <v>1013</v>
      </c>
      <c r="B233" s="2">
        <v>45210</v>
      </c>
      <c r="C233" s="3">
        <v>0.97916666666666663</v>
      </c>
      <c r="D233" s="1" t="s">
        <v>1017</v>
      </c>
      <c r="E233">
        <v>114</v>
      </c>
      <c r="F233" s="1" t="s">
        <v>811</v>
      </c>
      <c r="G233" t="str">
        <f>_xlfn.XLOOKUP(Logs__2[[#This Row],[Cell_ID]],'Registre_Maintenance'!B:B,'Registre_Maintenance'!C:C,"Pas de correspondance")</f>
        <v>Pas de correspondance</v>
      </c>
      <c r="H233" t="str">
        <f>_xlfn.XLOOKUP(Logs__2[[#This Row],[Cell_ID]],'Registre_Maintenance'!B:B,'Registre_Maintenance'!D:D,"Pas de correspondance")</f>
        <v>Pas de correspondance</v>
      </c>
      <c r="I233" t="str">
        <f>_xlfn.XLOOKUP(Logs__2[[#This Row],[Cell_ID]],'Registre_Maintenance'!B:B,'Registre_Maintenance'!E:E,"Pas de correspondance")</f>
        <v>Pas de correspondance</v>
      </c>
      <c r="J233" t="str">
        <f>_xlfn.XLOOKUP(Logs__2[[#This Row],[Cell_ID]],'Registre_Maintenance'!B:B,'Registre_Maintenance'!F:F,"Pas de correspondance")</f>
        <v>Pas de correspondance</v>
      </c>
      <c r="K233" t="str">
        <f>_xlfn.XLOOKUP(Logs__2[[#This Row],[Cell_ID]],'Registre_Maintenance'!B:B,'Registre_Maintenance'!G:G,"Pas de correspondance")</f>
        <v>Pas de correspondance</v>
      </c>
    </row>
    <row r="234" spans="1:11" hidden="1" x14ac:dyDescent="0.25">
      <c r="A234" s="1" t="s">
        <v>1013</v>
      </c>
      <c r="B234" s="2">
        <v>45222</v>
      </c>
      <c r="C234" s="3">
        <v>0.51666666666666672</v>
      </c>
      <c r="D234" s="1" t="s">
        <v>1018</v>
      </c>
      <c r="E234">
        <v>66</v>
      </c>
      <c r="F234" s="1" t="s">
        <v>806</v>
      </c>
      <c r="G234" t="str">
        <f>_xlfn.XLOOKUP(Logs__2[[#This Row],[Cell_ID]],'Registre_Maintenance'!B:B,'Registre_Maintenance'!C:C,"Pas de correspondance")</f>
        <v>Pas de correspondance</v>
      </c>
      <c r="H234" t="str">
        <f>_xlfn.XLOOKUP(Logs__2[[#This Row],[Cell_ID]],'Registre_Maintenance'!B:B,'Registre_Maintenance'!D:D,"Pas de correspondance")</f>
        <v>Pas de correspondance</v>
      </c>
      <c r="I234" t="str">
        <f>_xlfn.XLOOKUP(Logs__2[[#This Row],[Cell_ID]],'Registre_Maintenance'!B:B,'Registre_Maintenance'!E:E,"Pas de correspondance")</f>
        <v>Pas de correspondance</v>
      </c>
      <c r="J234" t="str">
        <f>_xlfn.XLOOKUP(Logs__2[[#This Row],[Cell_ID]],'Registre_Maintenance'!B:B,'Registre_Maintenance'!F:F,"Pas de correspondance")</f>
        <v>Pas de correspondance</v>
      </c>
      <c r="K234" t="str">
        <f>_xlfn.XLOOKUP(Logs__2[[#This Row],[Cell_ID]],'Registre_Maintenance'!B:B,'Registre_Maintenance'!G:G,"Pas de correspondance")</f>
        <v>Pas de correspondance</v>
      </c>
    </row>
    <row r="235" spans="1:11" hidden="1" x14ac:dyDescent="0.25">
      <c r="A235" s="1" t="s">
        <v>1013</v>
      </c>
      <c r="B235" s="2">
        <v>45221</v>
      </c>
      <c r="C235" s="3">
        <v>0.83958333333333335</v>
      </c>
      <c r="D235" s="1" t="s">
        <v>1019</v>
      </c>
      <c r="E235">
        <v>18</v>
      </c>
      <c r="F235" s="1" t="s">
        <v>806</v>
      </c>
      <c r="G235" t="str">
        <f>_xlfn.XLOOKUP(Logs__2[[#This Row],[Cell_ID]],'Registre_Maintenance'!B:B,'Registre_Maintenance'!C:C,"Pas de correspondance")</f>
        <v>Pas de correspondance</v>
      </c>
      <c r="H235" t="str">
        <f>_xlfn.XLOOKUP(Logs__2[[#This Row],[Cell_ID]],'Registre_Maintenance'!B:B,'Registre_Maintenance'!D:D,"Pas de correspondance")</f>
        <v>Pas de correspondance</v>
      </c>
      <c r="I235" t="str">
        <f>_xlfn.XLOOKUP(Logs__2[[#This Row],[Cell_ID]],'Registre_Maintenance'!B:B,'Registre_Maintenance'!E:E,"Pas de correspondance")</f>
        <v>Pas de correspondance</v>
      </c>
      <c r="J235" t="str">
        <f>_xlfn.XLOOKUP(Logs__2[[#This Row],[Cell_ID]],'Registre_Maintenance'!B:B,'Registre_Maintenance'!F:F,"Pas de correspondance")</f>
        <v>Pas de correspondance</v>
      </c>
      <c r="K235" t="str">
        <f>_xlfn.XLOOKUP(Logs__2[[#This Row],[Cell_ID]],'Registre_Maintenance'!B:B,'Registre_Maintenance'!G:G,"Pas de correspondance")</f>
        <v>Pas de correspondance</v>
      </c>
    </row>
    <row r="236" spans="1:11" hidden="1" x14ac:dyDescent="0.25">
      <c r="A236" s="1" t="s">
        <v>1013</v>
      </c>
      <c r="B236" s="2">
        <v>45215</v>
      </c>
      <c r="C236" s="3">
        <v>4.7222222222222221E-2</v>
      </c>
      <c r="D236" s="1" t="s">
        <v>1020</v>
      </c>
      <c r="E236">
        <v>35</v>
      </c>
      <c r="F236" s="1" t="s">
        <v>806</v>
      </c>
      <c r="G236" t="str">
        <f>_xlfn.XLOOKUP(Logs__2[[#This Row],[Cell_ID]],'Registre_Maintenance'!B:B,'Registre_Maintenance'!C:C,"Pas de correspondance")</f>
        <v>Pas de correspondance</v>
      </c>
      <c r="H236" t="str">
        <f>_xlfn.XLOOKUP(Logs__2[[#This Row],[Cell_ID]],'Registre_Maintenance'!B:B,'Registre_Maintenance'!D:D,"Pas de correspondance")</f>
        <v>Pas de correspondance</v>
      </c>
      <c r="I236" t="str">
        <f>_xlfn.XLOOKUP(Logs__2[[#This Row],[Cell_ID]],'Registre_Maintenance'!B:B,'Registre_Maintenance'!E:E,"Pas de correspondance")</f>
        <v>Pas de correspondance</v>
      </c>
      <c r="J236" t="str">
        <f>_xlfn.XLOOKUP(Logs__2[[#This Row],[Cell_ID]],'Registre_Maintenance'!B:B,'Registre_Maintenance'!F:F,"Pas de correspondance")</f>
        <v>Pas de correspondance</v>
      </c>
      <c r="K236" t="str">
        <f>_xlfn.XLOOKUP(Logs__2[[#This Row],[Cell_ID]],'Registre_Maintenance'!B:B,'Registre_Maintenance'!G:G,"Pas de correspondance")</f>
        <v>Pas de correspondance</v>
      </c>
    </row>
    <row r="237" spans="1:11" x14ac:dyDescent="0.25">
      <c r="A237" s="1" t="s">
        <v>1013</v>
      </c>
      <c r="B237" s="2">
        <v>45216</v>
      </c>
      <c r="C237" s="3">
        <v>0.76458333333333328</v>
      </c>
      <c r="D237" s="1" t="s">
        <v>884</v>
      </c>
      <c r="E237">
        <v>53</v>
      </c>
      <c r="F237" s="1" t="s">
        <v>809</v>
      </c>
      <c r="G237" t="str">
        <f>_xlfn.XLOOKUP(Logs__2[[#This Row],[Cell_ID]],'Registre_Maintenance'!B:B,'Registre_Maintenance'!C:C,"Pas de correspondance")</f>
        <v>Sud-Ubangi</v>
      </c>
      <c r="H237">
        <f>_xlfn.XLOOKUP(Logs__2[[#This Row],[Cell_ID]],'Registre_Maintenance'!B:B,'Registre_Maintenance'!D:D,"Pas de correspondance")</f>
        <v>-10.914952</v>
      </c>
      <c r="I237">
        <f>_xlfn.XLOOKUP(Logs__2[[#This Row],[Cell_ID]],'Registre_Maintenance'!B:B,'Registre_Maintenance'!E:E,"Pas de correspondance")</f>
        <v>26.409648000000001</v>
      </c>
      <c r="J237" t="str">
        <f>_xlfn.XLOOKUP(Logs__2[[#This Row],[Cell_ID]],'Registre_Maintenance'!B:B,'Registre_Maintenance'!F:F,"Pas de correspondance")</f>
        <v>4G</v>
      </c>
      <c r="K237" t="str">
        <f>_xlfn.XLOOKUP(Logs__2[[#This Row],[Cell_ID]],'Registre_Maintenance'!B:B,'Registre_Maintenance'!G:G,"Pas de correspondance")</f>
        <v>Huawei</v>
      </c>
    </row>
    <row r="238" spans="1:11" hidden="1" x14ac:dyDescent="0.25">
      <c r="A238" s="1" t="s">
        <v>1013</v>
      </c>
      <c r="B238" s="2">
        <v>45227</v>
      </c>
      <c r="C238" s="3">
        <v>0.16319444444444445</v>
      </c>
      <c r="D238" s="1" t="s">
        <v>1021</v>
      </c>
      <c r="E238">
        <v>78</v>
      </c>
      <c r="F238" s="1" t="s">
        <v>809</v>
      </c>
      <c r="G238" t="str">
        <f>_xlfn.XLOOKUP(Logs__2[[#This Row],[Cell_ID]],'Registre_Maintenance'!B:B,'Registre_Maintenance'!C:C,"Pas de correspondance")</f>
        <v>Pas de correspondance</v>
      </c>
      <c r="H238" t="str">
        <f>_xlfn.XLOOKUP(Logs__2[[#This Row],[Cell_ID]],'Registre_Maintenance'!B:B,'Registre_Maintenance'!D:D,"Pas de correspondance")</f>
        <v>Pas de correspondance</v>
      </c>
      <c r="I238" t="str">
        <f>_xlfn.XLOOKUP(Logs__2[[#This Row],[Cell_ID]],'Registre_Maintenance'!B:B,'Registre_Maintenance'!E:E,"Pas de correspondance")</f>
        <v>Pas de correspondance</v>
      </c>
      <c r="J238" t="str">
        <f>_xlfn.XLOOKUP(Logs__2[[#This Row],[Cell_ID]],'Registre_Maintenance'!B:B,'Registre_Maintenance'!F:F,"Pas de correspondance")</f>
        <v>Pas de correspondance</v>
      </c>
      <c r="K238" t="str">
        <f>_xlfn.XLOOKUP(Logs__2[[#This Row],[Cell_ID]],'Registre_Maintenance'!B:B,'Registre_Maintenance'!G:G,"Pas de correspondance")</f>
        <v>Pas de correspondance</v>
      </c>
    </row>
    <row r="239" spans="1:11" x14ac:dyDescent="0.25">
      <c r="A239" s="1" t="s">
        <v>1013</v>
      </c>
      <c r="B239" s="2">
        <v>45227</v>
      </c>
      <c r="C239" s="3">
        <v>0.58750000000000002</v>
      </c>
      <c r="D239" s="1" t="s">
        <v>953</v>
      </c>
      <c r="E239">
        <v>50</v>
      </c>
      <c r="F239" s="1" t="s">
        <v>809</v>
      </c>
      <c r="G239" t="str">
        <f>_xlfn.XLOOKUP(Logs__2[[#This Row],[Cell_ID]],'Registre_Maintenance'!B:B,'Registre_Maintenance'!C:C,"Pas de correspondance")</f>
        <v>Nord-Ubangi</v>
      </c>
      <c r="H239">
        <f>_xlfn.XLOOKUP(Logs__2[[#This Row],[Cell_ID]],'Registre_Maintenance'!B:B,'Registre_Maintenance'!D:D,"Pas de correspondance")</f>
        <v>-1.342476</v>
      </c>
      <c r="I239">
        <f>_xlfn.XLOOKUP(Logs__2[[#This Row],[Cell_ID]],'Registre_Maintenance'!B:B,'Registre_Maintenance'!E:E,"Pas de correspondance")</f>
        <v>15.986086</v>
      </c>
      <c r="J239" t="str">
        <f>_xlfn.XLOOKUP(Logs__2[[#This Row],[Cell_ID]],'Registre_Maintenance'!B:B,'Registre_Maintenance'!F:F,"Pas de correspondance")</f>
        <v>4G</v>
      </c>
      <c r="K239" t="str">
        <f>_xlfn.XLOOKUP(Logs__2[[#This Row],[Cell_ID]],'Registre_Maintenance'!B:B,'Registre_Maintenance'!G:G,"Pas de correspondance")</f>
        <v>Ericsson</v>
      </c>
    </row>
    <row r="240" spans="1:11" x14ac:dyDescent="0.25">
      <c r="A240" s="1" t="s">
        <v>1013</v>
      </c>
      <c r="B240" s="2">
        <v>45216</v>
      </c>
      <c r="C240" s="3">
        <v>0.58333333333333337</v>
      </c>
      <c r="D240" s="1" t="s">
        <v>1022</v>
      </c>
      <c r="E240">
        <v>78</v>
      </c>
      <c r="F240" s="1" t="s">
        <v>811</v>
      </c>
      <c r="G240" t="str">
        <f>_xlfn.XLOOKUP(Logs__2[[#This Row],[Cell_ID]],'Registre_Maintenance'!B:B,'Registre_Maintenance'!C:C,"Pas de correspondance")</f>
        <v>Haut-Katanga</v>
      </c>
      <c r="H240">
        <f>_xlfn.XLOOKUP(Logs__2[[#This Row],[Cell_ID]],'Registre_Maintenance'!B:B,'Registre_Maintenance'!D:D,"Pas de correspondance")</f>
        <v>0.16841400000000001</v>
      </c>
      <c r="I240">
        <f>_xlfn.XLOOKUP(Logs__2[[#This Row],[Cell_ID]],'Registre_Maintenance'!B:B,'Registre_Maintenance'!E:E,"Pas de correspondance")</f>
        <v>30.029876999999999</v>
      </c>
      <c r="J240" t="str">
        <f>_xlfn.XLOOKUP(Logs__2[[#This Row],[Cell_ID]],'Registre_Maintenance'!B:B,'Registre_Maintenance'!F:F,"Pas de correspondance")</f>
        <v>5G</v>
      </c>
      <c r="K240" t="str">
        <f>_xlfn.XLOOKUP(Logs__2[[#This Row],[Cell_ID]],'Registre_Maintenance'!B:B,'Registre_Maintenance'!G:G,"Pas de correspondance")</f>
        <v>Huawei</v>
      </c>
    </row>
    <row r="241" spans="1:11" hidden="1" x14ac:dyDescent="0.25">
      <c r="A241" s="1" t="s">
        <v>1013</v>
      </c>
      <c r="B241" s="2">
        <v>45223</v>
      </c>
      <c r="C241" s="3">
        <v>0.18472222222222223</v>
      </c>
      <c r="D241" s="1" t="s">
        <v>1023</v>
      </c>
      <c r="E241">
        <v>42</v>
      </c>
      <c r="F241" s="1" t="s">
        <v>809</v>
      </c>
      <c r="G241" t="str">
        <f>_xlfn.XLOOKUP(Logs__2[[#This Row],[Cell_ID]],'Registre_Maintenance'!B:B,'Registre_Maintenance'!C:C,"Pas de correspondance")</f>
        <v>Pas de correspondance</v>
      </c>
      <c r="H241" t="str">
        <f>_xlfn.XLOOKUP(Logs__2[[#This Row],[Cell_ID]],'Registre_Maintenance'!B:B,'Registre_Maintenance'!D:D,"Pas de correspondance")</f>
        <v>Pas de correspondance</v>
      </c>
      <c r="I241" t="str">
        <f>_xlfn.XLOOKUP(Logs__2[[#This Row],[Cell_ID]],'Registre_Maintenance'!B:B,'Registre_Maintenance'!E:E,"Pas de correspondance")</f>
        <v>Pas de correspondance</v>
      </c>
      <c r="J241" t="str">
        <f>_xlfn.XLOOKUP(Logs__2[[#This Row],[Cell_ID]],'Registre_Maintenance'!B:B,'Registre_Maintenance'!F:F,"Pas de correspondance")</f>
        <v>Pas de correspondance</v>
      </c>
      <c r="K241" t="str">
        <f>_xlfn.XLOOKUP(Logs__2[[#This Row],[Cell_ID]],'Registre_Maintenance'!B:B,'Registre_Maintenance'!G:G,"Pas de correspondance")</f>
        <v>Pas de correspondance</v>
      </c>
    </row>
    <row r="242" spans="1:11" hidden="1" x14ac:dyDescent="0.25">
      <c r="A242" s="1" t="s">
        <v>1013</v>
      </c>
      <c r="B242" s="2">
        <v>45227</v>
      </c>
      <c r="C242" s="3">
        <v>0.83958333333333335</v>
      </c>
      <c r="D242" s="1" t="s">
        <v>1024</v>
      </c>
      <c r="E242">
        <v>94</v>
      </c>
      <c r="F242" s="1" t="s">
        <v>811</v>
      </c>
      <c r="G242" t="str">
        <f>_xlfn.XLOOKUP(Logs__2[[#This Row],[Cell_ID]],'Registre_Maintenance'!B:B,'Registre_Maintenance'!C:C,"Pas de correspondance")</f>
        <v>Pas de correspondance</v>
      </c>
      <c r="H242" t="str">
        <f>_xlfn.XLOOKUP(Logs__2[[#This Row],[Cell_ID]],'Registre_Maintenance'!B:B,'Registre_Maintenance'!D:D,"Pas de correspondance")</f>
        <v>Pas de correspondance</v>
      </c>
      <c r="I242" t="str">
        <f>_xlfn.XLOOKUP(Logs__2[[#This Row],[Cell_ID]],'Registre_Maintenance'!B:B,'Registre_Maintenance'!E:E,"Pas de correspondance")</f>
        <v>Pas de correspondance</v>
      </c>
      <c r="J242" t="str">
        <f>_xlfn.XLOOKUP(Logs__2[[#This Row],[Cell_ID]],'Registre_Maintenance'!B:B,'Registre_Maintenance'!F:F,"Pas de correspondance")</f>
        <v>Pas de correspondance</v>
      </c>
      <c r="K242" t="str">
        <f>_xlfn.XLOOKUP(Logs__2[[#This Row],[Cell_ID]],'Registre_Maintenance'!B:B,'Registre_Maintenance'!G:G,"Pas de correspondance")</f>
        <v>Pas de correspondance</v>
      </c>
    </row>
    <row r="243" spans="1:11" hidden="1" x14ac:dyDescent="0.25">
      <c r="A243" s="1" t="s">
        <v>1013</v>
      </c>
      <c r="B243" s="2">
        <v>45202</v>
      </c>
      <c r="C243" s="3">
        <v>0.65972222222222221</v>
      </c>
      <c r="D243" s="1" t="s">
        <v>1025</v>
      </c>
      <c r="E243">
        <v>42</v>
      </c>
      <c r="F243" s="1" t="s">
        <v>806</v>
      </c>
      <c r="G243" t="str">
        <f>_xlfn.XLOOKUP(Logs__2[[#This Row],[Cell_ID]],'Registre_Maintenance'!B:B,'Registre_Maintenance'!C:C,"Pas de correspondance")</f>
        <v>Pas de correspondance</v>
      </c>
      <c r="H243" t="str">
        <f>_xlfn.XLOOKUP(Logs__2[[#This Row],[Cell_ID]],'Registre_Maintenance'!B:B,'Registre_Maintenance'!D:D,"Pas de correspondance")</f>
        <v>Pas de correspondance</v>
      </c>
      <c r="I243" t="str">
        <f>_xlfn.XLOOKUP(Logs__2[[#This Row],[Cell_ID]],'Registre_Maintenance'!B:B,'Registre_Maintenance'!E:E,"Pas de correspondance")</f>
        <v>Pas de correspondance</v>
      </c>
      <c r="J243" t="str">
        <f>_xlfn.XLOOKUP(Logs__2[[#This Row],[Cell_ID]],'Registre_Maintenance'!B:B,'Registre_Maintenance'!F:F,"Pas de correspondance")</f>
        <v>Pas de correspondance</v>
      </c>
      <c r="K243" t="str">
        <f>_xlfn.XLOOKUP(Logs__2[[#This Row],[Cell_ID]],'Registre_Maintenance'!B:B,'Registre_Maintenance'!G:G,"Pas de correspondance")</f>
        <v>Pas de correspondance</v>
      </c>
    </row>
    <row r="244" spans="1:11" x14ac:dyDescent="0.25">
      <c r="A244" s="1" t="s">
        <v>1013</v>
      </c>
      <c r="B244" s="2">
        <v>45208</v>
      </c>
      <c r="C244" s="3">
        <v>0.44374999999999998</v>
      </c>
      <c r="D244" s="1" t="s">
        <v>1026</v>
      </c>
      <c r="E244">
        <v>7</v>
      </c>
      <c r="F244" s="1" t="s">
        <v>811</v>
      </c>
      <c r="G244" t="str">
        <f>_xlfn.XLOOKUP(Logs__2[[#This Row],[Cell_ID]],'Registre_Maintenance'!B:B,'Registre_Maintenance'!C:C,"Pas de correspondance")</f>
        <v>Haut-Lomami</v>
      </c>
      <c r="H244">
        <f>_xlfn.XLOOKUP(Logs__2[[#This Row],[Cell_ID]],'Registre_Maintenance'!B:B,'Registre_Maintenance'!D:D,"Pas de correspondance")</f>
        <v>-6.3324319999999998</v>
      </c>
      <c r="I244">
        <f>_xlfn.XLOOKUP(Logs__2[[#This Row],[Cell_ID]],'Registre_Maintenance'!B:B,'Registre_Maintenance'!E:E,"Pas de correspondance")</f>
        <v>24.887858000000001</v>
      </c>
      <c r="J244" t="str">
        <f>_xlfn.XLOOKUP(Logs__2[[#This Row],[Cell_ID]],'Registre_Maintenance'!B:B,'Registre_Maintenance'!F:F,"Pas de correspondance")</f>
        <v>4G</v>
      </c>
      <c r="K244" t="str">
        <f>_xlfn.XLOOKUP(Logs__2[[#This Row],[Cell_ID]],'Registre_Maintenance'!B:B,'Registre_Maintenance'!G:G,"Pas de correspondance")</f>
        <v>ZTE</v>
      </c>
    </row>
    <row r="245" spans="1:11" hidden="1" x14ac:dyDescent="0.25">
      <c r="A245" s="1" t="s">
        <v>1013</v>
      </c>
      <c r="B245" s="2">
        <v>45222</v>
      </c>
      <c r="C245" s="3">
        <v>0.52847222222222223</v>
      </c>
      <c r="D245" s="1" t="s">
        <v>1027</v>
      </c>
      <c r="E245">
        <v>111</v>
      </c>
      <c r="F245" s="1" t="s">
        <v>806</v>
      </c>
      <c r="G245" t="str">
        <f>_xlfn.XLOOKUP(Logs__2[[#This Row],[Cell_ID]],'Registre_Maintenance'!B:B,'Registre_Maintenance'!C:C,"Pas de correspondance")</f>
        <v>Pas de correspondance</v>
      </c>
      <c r="H245" t="str">
        <f>_xlfn.XLOOKUP(Logs__2[[#This Row],[Cell_ID]],'Registre_Maintenance'!B:B,'Registre_Maintenance'!D:D,"Pas de correspondance")</f>
        <v>Pas de correspondance</v>
      </c>
      <c r="I245" t="str">
        <f>_xlfn.XLOOKUP(Logs__2[[#This Row],[Cell_ID]],'Registre_Maintenance'!B:B,'Registre_Maintenance'!E:E,"Pas de correspondance")</f>
        <v>Pas de correspondance</v>
      </c>
      <c r="J245" t="str">
        <f>_xlfn.XLOOKUP(Logs__2[[#This Row],[Cell_ID]],'Registre_Maintenance'!B:B,'Registre_Maintenance'!F:F,"Pas de correspondance")</f>
        <v>Pas de correspondance</v>
      </c>
      <c r="K245" t="str">
        <f>_xlfn.XLOOKUP(Logs__2[[#This Row],[Cell_ID]],'Registre_Maintenance'!B:B,'Registre_Maintenance'!G:G,"Pas de correspondance")</f>
        <v>Pas de correspondance</v>
      </c>
    </row>
    <row r="246" spans="1:11" hidden="1" x14ac:dyDescent="0.25">
      <c r="A246" s="1" t="s">
        <v>1013</v>
      </c>
      <c r="B246" s="2">
        <v>45202</v>
      </c>
      <c r="C246" s="3">
        <v>0.45416666666666666</v>
      </c>
      <c r="D246" s="1" t="s">
        <v>1028</v>
      </c>
      <c r="E246">
        <v>89</v>
      </c>
      <c r="F246" s="1" t="s">
        <v>811</v>
      </c>
      <c r="G246" t="str">
        <f>_xlfn.XLOOKUP(Logs__2[[#This Row],[Cell_ID]],'Registre_Maintenance'!B:B,'Registre_Maintenance'!C:C,"Pas de correspondance")</f>
        <v>Pas de correspondance</v>
      </c>
      <c r="H246" t="str">
        <f>_xlfn.XLOOKUP(Logs__2[[#This Row],[Cell_ID]],'Registre_Maintenance'!B:B,'Registre_Maintenance'!D:D,"Pas de correspondance")</f>
        <v>Pas de correspondance</v>
      </c>
      <c r="I246" t="str">
        <f>_xlfn.XLOOKUP(Logs__2[[#This Row],[Cell_ID]],'Registre_Maintenance'!B:B,'Registre_Maintenance'!E:E,"Pas de correspondance")</f>
        <v>Pas de correspondance</v>
      </c>
      <c r="J246" t="str">
        <f>_xlfn.XLOOKUP(Logs__2[[#This Row],[Cell_ID]],'Registre_Maintenance'!B:B,'Registre_Maintenance'!F:F,"Pas de correspondance")</f>
        <v>Pas de correspondance</v>
      </c>
      <c r="K246" t="str">
        <f>_xlfn.XLOOKUP(Logs__2[[#This Row],[Cell_ID]],'Registre_Maintenance'!B:B,'Registre_Maintenance'!G:G,"Pas de correspondance")</f>
        <v>Pas de correspondance</v>
      </c>
    </row>
    <row r="247" spans="1:11" x14ac:dyDescent="0.25">
      <c r="A247" s="1" t="s">
        <v>1013</v>
      </c>
      <c r="B247" s="2">
        <v>45221</v>
      </c>
      <c r="C247" s="3">
        <v>0.72499999999999998</v>
      </c>
      <c r="D247" s="1" t="s">
        <v>1029</v>
      </c>
      <c r="E247">
        <v>55</v>
      </c>
      <c r="F247" s="1" t="s">
        <v>809</v>
      </c>
      <c r="G247" t="str">
        <f>_xlfn.XLOOKUP(Logs__2[[#This Row],[Cell_ID]],'Registre_Maintenance'!B:B,'Registre_Maintenance'!C:C,"Pas de correspondance")</f>
        <v>Kasaï-Oriental</v>
      </c>
      <c r="H247">
        <f>_xlfn.XLOOKUP(Logs__2[[#This Row],[Cell_ID]],'Registre_Maintenance'!B:B,'Registre_Maintenance'!D:D,"Pas de correspondance")</f>
        <v>-1.3976519999999999</v>
      </c>
      <c r="I247">
        <f>_xlfn.XLOOKUP(Logs__2[[#This Row],[Cell_ID]],'Registre_Maintenance'!B:B,'Registre_Maintenance'!E:E,"Pas de correspondance")</f>
        <v>14.098819000000001</v>
      </c>
      <c r="J247" t="str">
        <f>_xlfn.XLOOKUP(Logs__2[[#This Row],[Cell_ID]],'Registre_Maintenance'!B:B,'Registre_Maintenance'!F:F,"Pas de correspondance")</f>
        <v>3G</v>
      </c>
      <c r="K247" t="str">
        <f>_xlfn.XLOOKUP(Logs__2[[#This Row],[Cell_ID]],'Registre_Maintenance'!B:B,'Registre_Maintenance'!G:G,"Pas de correspondance")</f>
        <v>Ericsson</v>
      </c>
    </row>
    <row r="248" spans="1:11" hidden="1" x14ac:dyDescent="0.25">
      <c r="A248" s="1" t="s">
        <v>1013</v>
      </c>
      <c r="B248" s="2">
        <v>45230</v>
      </c>
      <c r="C248" s="3">
        <v>0.44444444444444442</v>
      </c>
      <c r="D248" s="1" t="s">
        <v>1002</v>
      </c>
      <c r="E248">
        <v>40</v>
      </c>
      <c r="F248" s="1" t="s">
        <v>806</v>
      </c>
      <c r="G248" t="str">
        <f>_xlfn.XLOOKUP(Logs__2[[#This Row],[Cell_ID]],'Registre_Maintenance'!B:B,'Registre_Maintenance'!C:C,"Pas de correspondance")</f>
        <v>Pas de correspondance</v>
      </c>
      <c r="H248" t="str">
        <f>_xlfn.XLOOKUP(Logs__2[[#This Row],[Cell_ID]],'Registre_Maintenance'!B:B,'Registre_Maintenance'!D:D,"Pas de correspondance")</f>
        <v>Pas de correspondance</v>
      </c>
      <c r="I248" t="str">
        <f>_xlfn.XLOOKUP(Logs__2[[#This Row],[Cell_ID]],'Registre_Maintenance'!B:B,'Registre_Maintenance'!E:E,"Pas de correspondance")</f>
        <v>Pas de correspondance</v>
      </c>
      <c r="J248" t="str">
        <f>_xlfn.XLOOKUP(Logs__2[[#This Row],[Cell_ID]],'Registre_Maintenance'!B:B,'Registre_Maintenance'!F:F,"Pas de correspondance")</f>
        <v>Pas de correspondance</v>
      </c>
      <c r="K248" t="str">
        <f>_xlfn.XLOOKUP(Logs__2[[#This Row],[Cell_ID]],'Registre_Maintenance'!B:B,'Registre_Maintenance'!G:G,"Pas de correspondance")</f>
        <v>Pas de correspondance</v>
      </c>
    </row>
    <row r="249" spans="1:11" x14ac:dyDescent="0.25">
      <c r="A249" s="1" t="s">
        <v>1013</v>
      </c>
      <c r="B249" s="2">
        <v>45222</v>
      </c>
      <c r="C249" s="3">
        <v>0.66319444444444442</v>
      </c>
      <c r="D249" s="1" t="s">
        <v>1030</v>
      </c>
      <c r="E249">
        <v>6</v>
      </c>
      <c r="F249" s="1" t="s">
        <v>811</v>
      </c>
      <c r="G249" t="str">
        <f>_xlfn.XLOOKUP(Logs__2[[#This Row],[Cell_ID]],'Registre_Maintenance'!B:B,'Registre_Maintenance'!C:C,"Pas de correspondance")</f>
        <v>Kongo-Central</v>
      </c>
      <c r="H249">
        <f>_xlfn.XLOOKUP(Logs__2[[#This Row],[Cell_ID]],'Registre_Maintenance'!B:B,'Registre_Maintenance'!D:D,"Pas de correspondance")</f>
        <v>2.975352</v>
      </c>
      <c r="I249">
        <f>_xlfn.XLOOKUP(Logs__2[[#This Row],[Cell_ID]],'Registre_Maintenance'!B:B,'Registre_Maintenance'!E:E,"Pas de correspondance")</f>
        <v>22.535886000000001</v>
      </c>
      <c r="J249" t="str">
        <f>_xlfn.XLOOKUP(Logs__2[[#This Row],[Cell_ID]],'Registre_Maintenance'!B:B,'Registre_Maintenance'!F:F,"Pas de correspondance")</f>
        <v>4G</v>
      </c>
      <c r="K249" t="str">
        <f>_xlfn.XLOOKUP(Logs__2[[#This Row],[Cell_ID]],'Registre_Maintenance'!B:B,'Registre_Maintenance'!G:G,"Pas de correspondance")</f>
        <v>Huawei</v>
      </c>
    </row>
    <row r="250" spans="1:11" hidden="1" x14ac:dyDescent="0.25">
      <c r="A250" s="1" t="s">
        <v>1013</v>
      </c>
      <c r="B250" s="2">
        <v>45217</v>
      </c>
      <c r="C250" s="3">
        <v>6.8750000000000006E-2</v>
      </c>
      <c r="D250" s="1" t="s">
        <v>1031</v>
      </c>
      <c r="E250">
        <v>77</v>
      </c>
      <c r="F250" s="1" t="s">
        <v>811</v>
      </c>
      <c r="G250" t="str">
        <f>_xlfn.XLOOKUP(Logs__2[[#This Row],[Cell_ID]],'Registre_Maintenance'!B:B,'Registre_Maintenance'!C:C,"Pas de correspondance")</f>
        <v>Pas de correspondance</v>
      </c>
      <c r="H250" t="str">
        <f>_xlfn.XLOOKUP(Logs__2[[#This Row],[Cell_ID]],'Registre_Maintenance'!B:B,'Registre_Maintenance'!D:D,"Pas de correspondance")</f>
        <v>Pas de correspondance</v>
      </c>
      <c r="I250" t="str">
        <f>_xlfn.XLOOKUP(Logs__2[[#This Row],[Cell_ID]],'Registre_Maintenance'!B:B,'Registre_Maintenance'!E:E,"Pas de correspondance")</f>
        <v>Pas de correspondance</v>
      </c>
      <c r="J250" t="str">
        <f>_xlfn.XLOOKUP(Logs__2[[#This Row],[Cell_ID]],'Registre_Maintenance'!B:B,'Registre_Maintenance'!F:F,"Pas de correspondance")</f>
        <v>Pas de correspondance</v>
      </c>
      <c r="K250" t="str">
        <f>_xlfn.XLOOKUP(Logs__2[[#This Row],[Cell_ID]],'Registre_Maintenance'!B:B,'Registre_Maintenance'!G:G,"Pas de correspondance")</f>
        <v>Pas de correspondance</v>
      </c>
    </row>
    <row r="251" spans="1:11" hidden="1" x14ac:dyDescent="0.25">
      <c r="A251" s="1" t="s">
        <v>1013</v>
      </c>
      <c r="B251" s="2">
        <v>45202</v>
      </c>
      <c r="C251" s="3">
        <v>0.31944444444444442</v>
      </c>
      <c r="D251" s="1" t="s">
        <v>1032</v>
      </c>
      <c r="E251">
        <v>115</v>
      </c>
      <c r="F251" s="1" t="s">
        <v>809</v>
      </c>
      <c r="G251" t="str">
        <f>_xlfn.XLOOKUP(Logs__2[[#This Row],[Cell_ID]],'Registre_Maintenance'!B:B,'Registre_Maintenance'!C:C,"Pas de correspondance")</f>
        <v>Pas de correspondance</v>
      </c>
      <c r="H251" t="str">
        <f>_xlfn.XLOOKUP(Logs__2[[#This Row],[Cell_ID]],'Registre_Maintenance'!B:B,'Registre_Maintenance'!D:D,"Pas de correspondance")</f>
        <v>Pas de correspondance</v>
      </c>
      <c r="I251" t="str">
        <f>_xlfn.XLOOKUP(Logs__2[[#This Row],[Cell_ID]],'Registre_Maintenance'!B:B,'Registre_Maintenance'!E:E,"Pas de correspondance")</f>
        <v>Pas de correspondance</v>
      </c>
      <c r="J251" t="str">
        <f>_xlfn.XLOOKUP(Logs__2[[#This Row],[Cell_ID]],'Registre_Maintenance'!B:B,'Registre_Maintenance'!F:F,"Pas de correspondance")</f>
        <v>Pas de correspondance</v>
      </c>
      <c r="K251" t="str">
        <f>_xlfn.XLOOKUP(Logs__2[[#This Row],[Cell_ID]],'Registre_Maintenance'!B:B,'Registre_Maintenance'!G:G,"Pas de correspondance")</f>
        <v>Pas de correspondance</v>
      </c>
    </row>
    <row r="252" spans="1:11" hidden="1" x14ac:dyDescent="0.25">
      <c r="A252" s="1" t="s">
        <v>1013</v>
      </c>
      <c r="B252" s="2">
        <v>45221</v>
      </c>
      <c r="C252" s="3">
        <v>0.38472222222222224</v>
      </c>
      <c r="D252" s="1" t="s">
        <v>1033</v>
      </c>
      <c r="E252">
        <v>92</v>
      </c>
      <c r="F252" s="1" t="s">
        <v>809</v>
      </c>
      <c r="G252" t="str">
        <f>_xlfn.XLOOKUP(Logs__2[[#This Row],[Cell_ID]],'Registre_Maintenance'!B:B,'Registre_Maintenance'!C:C,"Pas de correspondance")</f>
        <v>Pas de correspondance</v>
      </c>
      <c r="H252" t="str">
        <f>_xlfn.XLOOKUP(Logs__2[[#This Row],[Cell_ID]],'Registre_Maintenance'!B:B,'Registre_Maintenance'!D:D,"Pas de correspondance")</f>
        <v>Pas de correspondance</v>
      </c>
      <c r="I252" t="str">
        <f>_xlfn.XLOOKUP(Logs__2[[#This Row],[Cell_ID]],'Registre_Maintenance'!B:B,'Registre_Maintenance'!E:E,"Pas de correspondance")</f>
        <v>Pas de correspondance</v>
      </c>
      <c r="J252" t="str">
        <f>_xlfn.XLOOKUP(Logs__2[[#This Row],[Cell_ID]],'Registre_Maintenance'!B:B,'Registre_Maintenance'!F:F,"Pas de correspondance")</f>
        <v>Pas de correspondance</v>
      </c>
      <c r="K252" t="str">
        <f>_xlfn.XLOOKUP(Logs__2[[#This Row],[Cell_ID]],'Registre_Maintenance'!B:B,'Registre_Maintenance'!G:G,"Pas de correspondance")</f>
        <v>Pas de correspondance</v>
      </c>
    </row>
    <row r="253" spans="1:11" hidden="1" x14ac:dyDescent="0.25">
      <c r="A253" s="1" t="s">
        <v>1013</v>
      </c>
      <c r="B253" s="2">
        <v>45223</v>
      </c>
      <c r="C253" s="3">
        <v>0.10208333333333333</v>
      </c>
      <c r="D253" s="1" t="s">
        <v>1034</v>
      </c>
      <c r="E253">
        <v>104</v>
      </c>
      <c r="F253" s="1" t="s">
        <v>809</v>
      </c>
      <c r="G253" t="str">
        <f>_xlfn.XLOOKUP(Logs__2[[#This Row],[Cell_ID]],'Registre_Maintenance'!B:B,'Registre_Maintenance'!C:C,"Pas de correspondance")</f>
        <v>Pas de correspondance</v>
      </c>
      <c r="H253" t="str">
        <f>_xlfn.XLOOKUP(Logs__2[[#This Row],[Cell_ID]],'Registre_Maintenance'!B:B,'Registre_Maintenance'!D:D,"Pas de correspondance")</f>
        <v>Pas de correspondance</v>
      </c>
      <c r="I253" t="str">
        <f>_xlfn.XLOOKUP(Logs__2[[#This Row],[Cell_ID]],'Registre_Maintenance'!B:B,'Registre_Maintenance'!E:E,"Pas de correspondance")</f>
        <v>Pas de correspondance</v>
      </c>
      <c r="J253" t="str">
        <f>_xlfn.XLOOKUP(Logs__2[[#This Row],[Cell_ID]],'Registre_Maintenance'!B:B,'Registre_Maintenance'!F:F,"Pas de correspondance")</f>
        <v>Pas de correspondance</v>
      </c>
      <c r="K253" t="str">
        <f>_xlfn.XLOOKUP(Logs__2[[#This Row],[Cell_ID]],'Registre_Maintenance'!B:B,'Registre_Maintenance'!G:G,"Pas de correspondance")</f>
        <v>Pas de correspondance</v>
      </c>
    </row>
    <row r="254" spans="1:11" hidden="1" x14ac:dyDescent="0.25">
      <c r="A254" s="1" t="s">
        <v>1013</v>
      </c>
      <c r="B254" s="2">
        <v>45203</v>
      </c>
      <c r="C254" s="3">
        <v>0.86458333333333337</v>
      </c>
      <c r="D254" s="1" t="s">
        <v>1035</v>
      </c>
      <c r="E254">
        <v>100</v>
      </c>
      <c r="F254" s="1" t="s">
        <v>811</v>
      </c>
      <c r="G254" t="str">
        <f>_xlfn.XLOOKUP(Logs__2[[#This Row],[Cell_ID]],'Registre_Maintenance'!B:B,'Registre_Maintenance'!C:C,"Pas de correspondance")</f>
        <v>Pas de correspondance</v>
      </c>
      <c r="H254" t="str">
        <f>_xlfn.XLOOKUP(Logs__2[[#This Row],[Cell_ID]],'Registre_Maintenance'!B:B,'Registre_Maintenance'!D:D,"Pas de correspondance")</f>
        <v>Pas de correspondance</v>
      </c>
      <c r="I254" t="str">
        <f>_xlfn.XLOOKUP(Logs__2[[#This Row],[Cell_ID]],'Registre_Maintenance'!B:B,'Registre_Maintenance'!E:E,"Pas de correspondance")</f>
        <v>Pas de correspondance</v>
      </c>
      <c r="J254" t="str">
        <f>_xlfn.XLOOKUP(Logs__2[[#This Row],[Cell_ID]],'Registre_Maintenance'!B:B,'Registre_Maintenance'!F:F,"Pas de correspondance")</f>
        <v>Pas de correspondance</v>
      </c>
      <c r="K254" t="str">
        <f>_xlfn.XLOOKUP(Logs__2[[#This Row],[Cell_ID]],'Registre_Maintenance'!B:B,'Registre_Maintenance'!G:G,"Pas de correspondance")</f>
        <v>Pas de correspondance</v>
      </c>
    </row>
    <row r="255" spans="1:11" x14ac:dyDescent="0.25">
      <c r="A255" s="1" t="s">
        <v>1013</v>
      </c>
      <c r="B255" s="2">
        <v>45227</v>
      </c>
      <c r="C255" s="3">
        <v>0.14444444444444443</v>
      </c>
      <c r="D255" s="1" t="s">
        <v>1036</v>
      </c>
      <c r="E255">
        <v>11</v>
      </c>
      <c r="F255" s="1" t="s">
        <v>809</v>
      </c>
      <c r="G255" t="str">
        <f>_xlfn.XLOOKUP(Logs__2[[#This Row],[Cell_ID]],'Registre_Maintenance'!B:B,'Registre_Maintenance'!C:C,"Pas de correspondance")</f>
        <v>Tshopo</v>
      </c>
      <c r="H255">
        <f>_xlfn.XLOOKUP(Logs__2[[#This Row],[Cell_ID]],'Registre_Maintenance'!B:B,'Registre_Maintenance'!D:D,"Pas de correspondance")</f>
        <v>2.4425979999999998</v>
      </c>
      <c r="I255">
        <f>_xlfn.XLOOKUP(Logs__2[[#This Row],[Cell_ID]],'Registre_Maintenance'!B:B,'Registre_Maintenance'!E:E,"Pas de correspondance")</f>
        <v>24.924308</v>
      </c>
      <c r="J255" t="str">
        <f>_xlfn.XLOOKUP(Logs__2[[#This Row],[Cell_ID]],'Registre_Maintenance'!B:B,'Registre_Maintenance'!F:F,"Pas de correspondance")</f>
        <v>5G</v>
      </c>
      <c r="K255" t="str">
        <f>_xlfn.XLOOKUP(Logs__2[[#This Row],[Cell_ID]],'Registre_Maintenance'!B:B,'Registre_Maintenance'!G:G,"Pas de correspondance")</f>
        <v>Ericsson</v>
      </c>
    </row>
    <row r="256" spans="1:11" x14ac:dyDescent="0.25">
      <c r="A256" s="1" t="s">
        <v>1013</v>
      </c>
      <c r="B256" s="2">
        <v>45205</v>
      </c>
      <c r="C256" s="3">
        <v>0.92986111111111114</v>
      </c>
      <c r="D256" s="1" t="s">
        <v>1037</v>
      </c>
      <c r="E256">
        <v>82</v>
      </c>
      <c r="F256" s="1" t="s">
        <v>811</v>
      </c>
      <c r="G256" t="str">
        <f>_xlfn.XLOOKUP(Logs__2[[#This Row],[Cell_ID]],'Registre_Maintenance'!B:B,'Registre_Maintenance'!C:C,"Pas de correspondance")</f>
        <v>Lualaba</v>
      </c>
      <c r="H256">
        <f>_xlfn.XLOOKUP(Logs__2[[#This Row],[Cell_ID]],'Registre_Maintenance'!B:B,'Registre_Maintenance'!D:D,"Pas de correspondance")</f>
        <v>4.0157999999999996</v>
      </c>
      <c r="I256">
        <f>_xlfn.XLOOKUP(Logs__2[[#This Row],[Cell_ID]],'Registre_Maintenance'!B:B,'Registre_Maintenance'!E:E,"Pas de correspondance")</f>
        <v>21.430246</v>
      </c>
      <c r="J256" t="str">
        <f>_xlfn.XLOOKUP(Logs__2[[#This Row],[Cell_ID]],'Registre_Maintenance'!B:B,'Registre_Maintenance'!F:F,"Pas de correspondance")</f>
        <v>5G</v>
      </c>
      <c r="K256" t="str">
        <f>_xlfn.XLOOKUP(Logs__2[[#This Row],[Cell_ID]],'Registre_Maintenance'!B:B,'Registre_Maintenance'!G:G,"Pas de correspondance")</f>
        <v>Nokia</v>
      </c>
    </row>
    <row r="257" spans="1:11" x14ac:dyDescent="0.25">
      <c r="A257" s="1" t="s">
        <v>1013</v>
      </c>
      <c r="B257" s="2">
        <v>45228</v>
      </c>
      <c r="C257" s="3">
        <v>1.3888888888888889E-3</v>
      </c>
      <c r="D257" s="1" t="s">
        <v>1038</v>
      </c>
      <c r="E257">
        <v>100</v>
      </c>
      <c r="F257" s="1" t="s">
        <v>809</v>
      </c>
      <c r="G257" t="str">
        <f>_xlfn.XLOOKUP(Logs__2[[#This Row],[Cell_ID]],'Registre_Maintenance'!B:B,'Registre_Maintenance'!C:C,"Pas de correspondance")</f>
        <v>Sud-Kivu</v>
      </c>
      <c r="H257">
        <f>_xlfn.XLOOKUP(Logs__2[[#This Row],[Cell_ID]],'Registre_Maintenance'!B:B,'Registre_Maintenance'!D:D,"Pas de correspondance")</f>
        <v>-9.3900009999999998</v>
      </c>
      <c r="I257">
        <f>_xlfn.XLOOKUP(Logs__2[[#This Row],[Cell_ID]],'Registre_Maintenance'!B:B,'Registre_Maintenance'!E:E,"Pas de correspondance")</f>
        <v>30.001517</v>
      </c>
      <c r="J257" t="str">
        <f>_xlfn.XLOOKUP(Logs__2[[#This Row],[Cell_ID]],'Registre_Maintenance'!B:B,'Registre_Maintenance'!F:F,"Pas de correspondance")</f>
        <v>3G</v>
      </c>
      <c r="K257" t="str">
        <f>_xlfn.XLOOKUP(Logs__2[[#This Row],[Cell_ID]],'Registre_Maintenance'!B:B,'Registre_Maintenance'!G:G,"Pas de correspondance")</f>
        <v>Nokia</v>
      </c>
    </row>
    <row r="258" spans="1:11" hidden="1" x14ac:dyDescent="0.25">
      <c r="A258" s="1" t="s">
        <v>1013</v>
      </c>
      <c r="B258" s="2">
        <v>45210</v>
      </c>
      <c r="C258" s="3">
        <v>5.4166666666666669E-2</v>
      </c>
      <c r="D258" s="1" t="s">
        <v>1039</v>
      </c>
      <c r="E258">
        <v>68</v>
      </c>
      <c r="F258" s="1" t="s">
        <v>811</v>
      </c>
      <c r="G258" t="str">
        <f>_xlfn.XLOOKUP(Logs__2[[#This Row],[Cell_ID]],'Registre_Maintenance'!B:B,'Registre_Maintenance'!C:C,"Pas de correspondance")</f>
        <v>Pas de correspondance</v>
      </c>
      <c r="H258" t="str">
        <f>_xlfn.XLOOKUP(Logs__2[[#This Row],[Cell_ID]],'Registre_Maintenance'!B:B,'Registre_Maintenance'!D:D,"Pas de correspondance")</f>
        <v>Pas de correspondance</v>
      </c>
      <c r="I258" t="str">
        <f>_xlfn.XLOOKUP(Logs__2[[#This Row],[Cell_ID]],'Registre_Maintenance'!B:B,'Registre_Maintenance'!E:E,"Pas de correspondance")</f>
        <v>Pas de correspondance</v>
      </c>
      <c r="J258" t="str">
        <f>_xlfn.XLOOKUP(Logs__2[[#This Row],[Cell_ID]],'Registre_Maintenance'!B:B,'Registre_Maintenance'!F:F,"Pas de correspondance")</f>
        <v>Pas de correspondance</v>
      </c>
      <c r="K258" t="str">
        <f>_xlfn.XLOOKUP(Logs__2[[#This Row],[Cell_ID]],'Registre_Maintenance'!B:B,'Registre_Maintenance'!G:G,"Pas de correspondance")</f>
        <v>Pas de correspondance</v>
      </c>
    </row>
    <row r="259" spans="1:11" x14ac:dyDescent="0.25">
      <c r="A259" s="1" t="s">
        <v>1013</v>
      </c>
      <c r="B259" s="2">
        <v>45211</v>
      </c>
      <c r="C259" s="3">
        <v>0.47708333333333336</v>
      </c>
      <c r="D259" s="1" t="s">
        <v>832</v>
      </c>
      <c r="E259">
        <v>111</v>
      </c>
      <c r="F259" s="1" t="s">
        <v>806</v>
      </c>
      <c r="G259" t="str">
        <f>_xlfn.XLOOKUP(Logs__2[[#This Row],[Cell_ID]],'Registre_Maintenance'!B:B,'Registre_Maintenance'!C:C,"Pas de correspondance")</f>
        <v>Nord-Kivu</v>
      </c>
      <c r="H259">
        <f>_xlfn.XLOOKUP(Logs__2[[#This Row],[Cell_ID]],'Registre_Maintenance'!B:B,'Registre_Maintenance'!D:D,"Pas de correspondance")</f>
        <v>4.6287159999999998</v>
      </c>
      <c r="I259">
        <f>_xlfn.XLOOKUP(Logs__2[[#This Row],[Cell_ID]],'Registre_Maintenance'!B:B,'Registre_Maintenance'!E:E,"Pas de correspondance")</f>
        <v>19.407077999999998</v>
      </c>
      <c r="J259" t="str">
        <f>_xlfn.XLOOKUP(Logs__2[[#This Row],[Cell_ID]],'Registre_Maintenance'!B:B,'Registre_Maintenance'!F:F,"Pas de correspondance")</f>
        <v>4G</v>
      </c>
      <c r="K259" t="str">
        <f>_xlfn.XLOOKUP(Logs__2[[#This Row],[Cell_ID]],'Registre_Maintenance'!B:B,'Registre_Maintenance'!G:G,"Pas de correspondance")</f>
        <v>Ericsson</v>
      </c>
    </row>
    <row r="260" spans="1:11" hidden="1" x14ac:dyDescent="0.25">
      <c r="A260" s="1" t="s">
        <v>1013</v>
      </c>
      <c r="B260" s="2">
        <v>45204</v>
      </c>
      <c r="C260" s="3">
        <v>0.31458333333333333</v>
      </c>
      <c r="D260" s="1" t="s">
        <v>1040</v>
      </c>
      <c r="E260">
        <v>120</v>
      </c>
      <c r="F260" s="1" t="s">
        <v>809</v>
      </c>
      <c r="G260" t="str">
        <f>_xlfn.XLOOKUP(Logs__2[[#This Row],[Cell_ID]],'Registre_Maintenance'!B:B,'Registre_Maintenance'!C:C,"Pas de correspondance")</f>
        <v>Pas de correspondance</v>
      </c>
      <c r="H260" t="str">
        <f>_xlfn.XLOOKUP(Logs__2[[#This Row],[Cell_ID]],'Registre_Maintenance'!B:B,'Registre_Maintenance'!D:D,"Pas de correspondance")</f>
        <v>Pas de correspondance</v>
      </c>
      <c r="I260" t="str">
        <f>_xlfn.XLOOKUP(Logs__2[[#This Row],[Cell_ID]],'Registre_Maintenance'!B:B,'Registre_Maintenance'!E:E,"Pas de correspondance")</f>
        <v>Pas de correspondance</v>
      </c>
      <c r="J260" t="str">
        <f>_xlfn.XLOOKUP(Logs__2[[#This Row],[Cell_ID]],'Registre_Maintenance'!B:B,'Registre_Maintenance'!F:F,"Pas de correspondance")</f>
        <v>Pas de correspondance</v>
      </c>
      <c r="K260" t="str">
        <f>_xlfn.XLOOKUP(Logs__2[[#This Row],[Cell_ID]],'Registre_Maintenance'!B:B,'Registre_Maintenance'!G:G,"Pas de correspondance")</f>
        <v>Pas de correspondance</v>
      </c>
    </row>
    <row r="261" spans="1:11" hidden="1" x14ac:dyDescent="0.25">
      <c r="A261" s="1" t="s">
        <v>1013</v>
      </c>
      <c r="B261" s="2">
        <v>45213</v>
      </c>
      <c r="C261" s="3">
        <v>0.77986111111111112</v>
      </c>
      <c r="D261" s="1" t="s">
        <v>1041</v>
      </c>
      <c r="E261">
        <v>120</v>
      </c>
      <c r="F261" s="1" t="s">
        <v>806</v>
      </c>
      <c r="G261" t="str">
        <f>_xlfn.XLOOKUP(Logs__2[[#This Row],[Cell_ID]],'Registre_Maintenance'!B:B,'Registre_Maintenance'!C:C,"Pas de correspondance")</f>
        <v>Pas de correspondance</v>
      </c>
      <c r="H261" t="str">
        <f>_xlfn.XLOOKUP(Logs__2[[#This Row],[Cell_ID]],'Registre_Maintenance'!B:B,'Registre_Maintenance'!D:D,"Pas de correspondance")</f>
        <v>Pas de correspondance</v>
      </c>
      <c r="I261" t="str">
        <f>_xlfn.XLOOKUP(Logs__2[[#This Row],[Cell_ID]],'Registre_Maintenance'!B:B,'Registre_Maintenance'!E:E,"Pas de correspondance")</f>
        <v>Pas de correspondance</v>
      </c>
      <c r="J261" t="str">
        <f>_xlfn.XLOOKUP(Logs__2[[#This Row],[Cell_ID]],'Registre_Maintenance'!B:B,'Registre_Maintenance'!F:F,"Pas de correspondance")</f>
        <v>Pas de correspondance</v>
      </c>
      <c r="K261" t="str">
        <f>_xlfn.XLOOKUP(Logs__2[[#This Row],[Cell_ID]],'Registre_Maintenance'!B:B,'Registre_Maintenance'!G:G,"Pas de correspondance")</f>
        <v>Pas de correspondance</v>
      </c>
    </row>
    <row r="262" spans="1:11" x14ac:dyDescent="0.25">
      <c r="A262" s="1" t="s">
        <v>1013</v>
      </c>
      <c r="B262" s="2">
        <v>45225</v>
      </c>
      <c r="C262" s="3">
        <v>0.21527777777777779</v>
      </c>
      <c r="D262" s="1" t="s">
        <v>1042</v>
      </c>
      <c r="E262">
        <v>41</v>
      </c>
      <c r="F262" s="1" t="s">
        <v>811</v>
      </c>
      <c r="G262" t="str">
        <f>_xlfn.XLOOKUP(Logs__2[[#This Row],[Cell_ID]],'Registre_Maintenance'!B:B,'Registre_Maintenance'!C:C,"Pas de correspondance")</f>
        <v>Mai-Ndombe</v>
      </c>
      <c r="H262">
        <f>_xlfn.XLOOKUP(Logs__2[[#This Row],[Cell_ID]],'Registre_Maintenance'!B:B,'Registre_Maintenance'!D:D,"Pas de correspondance")</f>
        <v>-4.9552579999999997</v>
      </c>
      <c r="I262">
        <f>_xlfn.XLOOKUP(Logs__2[[#This Row],[Cell_ID]],'Registre_Maintenance'!B:B,'Registre_Maintenance'!E:E,"Pas de correspondance")</f>
        <v>22.008103999999999</v>
      </c>
      <c r="J262" t="str">
        <f>_xlfn.XLOOKUP(Logs__2[[#This Row],[Cell_ID]],'Registre_Maintenance'!B:B,'Registre_Maintenance'!F:F,"Pas de correspondance")</f>
        <v>4G</v>
      </c>
      <c r="K262" t="str">
        <f>_xlfn.XLOOKUP(Logs__2[[#This Row],[Cell_ID]],'Registre_Maintenance'!B:B,'Registre_Maintenance'!G:G,"Pas de correspondance")</f>
        <v>Huawei</v>
      </c>
    </row>
    <row r="263" spans="1:11" hidden="1" x14ac:dyDescent="0.25">
      <c r="A263" s="1" t="s">
        <v>1013</v>
      </c>
      <c r="B263" s="2">
        <v>45205</v>
      </c>
      <c r="C263" s="3">
        <v>0.11041666666666666</v>
      </c>
      <c r="D263" s="1" t="s">
        <v>835</v>
      </c>
      <c r="E263">
        <v>104</v>
      </c>
      <c r="F263" s="1" t="s">
        <v>806</v>
      </c>
      <c r="G263" t="str">
        <f>_xlfn.XLOOKUP(Logs__2[[#This Row],[Cell_ID]],'Registre_Maintenance'!B:B,'Registre_Maintenance'!C:C,"Pas de correspondance")</f>
        <v>Pas de correspondance</v>
      </c>
      <c r="H263" t="str">
        <f>_xlfn.XLOOKUP(Logs__2[[#This Row],[Cell_ID]],'Registre_Maintenance'!B:B,'Registre_Maintenance'!D:D,"Pas de correspondance")</f>
        <v>Pas de correspondance</v>
      </c>
      <c r="I263" t="str">
        <f>_xlfn.XLOOKUP(Logs__2[[#This Row],[Cell_ID]],'Registre_Maintenance'!B:B,'Registre_Maintenance'!E:E,"Pas de correspondance")</f>
        <v>Pas de correspondance</v>
      </c>
      <c r="J263" t="str">
        <f>_xlfn.XLOOKUP(Logs__2[[#This Row],[Cell_ID]],'Registre_Maintenance'!B:B,'Registre_Maintenance'!F:F,"Pas de correspondance")</f>
        <v>Pas de correspondance</v>
      </c>
      <c r="K263" t="str">
        <f>_xlfn.XLOOKUP(Logs__2[[#This Row],[Cell_ID]],'Registre_Maintenance'!B:B,'Registre_Maintenance'!G:G,"Pas de correspondance")</f>
        <v>Pas de correspondance</v>
      </c>
    </row>
    <row r="264" spans="1:11" x14ac:dyDescent="0.25">
      <c r="A264" s="1" t="s">
        <v>1013</v>
      </c>
      <c r="B264" s="2">
        <v>45227</v>
      </c>
      <c r="C264" s="3">
        <v>0.52708333333333335</v>
      </c>
      <c r="D264" s="1" t="s">
        <v>1043</v>
      </c>
      <c r="E264">
        <v>107</v>
      </c>
      <c r="F264" s="1" t="s">
        <v>809</v>
      </c>
      <c r="G264" t="str">
        <f>_xlfn.XLOOKUP(Logs__2[[#This Row],[Cell_ID]],'Registre_Maintenance'!B:B,'Registre_Maintenance'!C:C,"Pas de correspondance")</f>
        <v>Tanganyika</v>
      </c>
      <c r="H264">
        <f>_xlfn.XLOOKUP(Logs__2[[#This Row],[Cell_ID]],'Registre_Maintenance'!B:B,'Registre_Maintenance'!D:D,"Pas de correspondance")</f>
        <v>-1.50664</v>
      </c>
      <c r="I264">
        <f>_xlfn.XLOOKUP(Logs__2[[#This Row],[Cell_ID]],'Registre_Maintenance'!B:B,'Registre_Maintenance'!E:E,"Pas de correspondance")</f>
        <v>27.795642000000001</v>
      </c>
      <c r="J264" t="str">
        <f>_xlfn.XLOOKUP(Logs__2[[#This Row],[Cell_ID]],'Registre_Maintenance'!B:B,'Registre_Maintenance'!F:F,"Pas de correspondance")</f>
        <v>5G</v>
      </c>
      <c r="K264" t="str">
        <f>_xlfn.XLOOKUP(Logs__2[[#This Row],[Cell_ID]],'Registre_Maintenance'!B:B,'Registre_Maintenance'!G:G,"Pas de correspondance")</f>
        <v>ZTE</v>
      </c>
    </row>
    <row r="265" spans="1:11" x14ac:dyDescent="0.25">
      <c r="A265" s="1" t="s">
        <v>1013</v>
      </c>
      <c r="B265" s="2">
        <v>45221</v>
      </c>
      <c r="C265" s="3">
        <v>0.31319444444444444</v>
      </c>
      <c r="D265" s="1" t="s">
        <v>1044</v>
      </c>
      <c r="E265">
        <v>34</v>
      </c>
      <c r="F265" s="1" t="s">
        <v>809</v>
      </c>
      <c r="G265" t="str">
        <f>_xlfn.XLOOKUP(Logs__2[[#This Row],[Cell_ID]],'Registre_Maintenance'!B:B,'Registre_Maintenance'!C:C,"Pas de correspondance")</f>
        <v>Kasaï</v>
      </c>
      <c r="H265">
        <f>_xlfn.XLOOKUP(Logs__2[[#This Row],[Cell_ID]],'Registre_Maintenance'!B:B,'Registre_Maintenance'!D:D,"Pas de correspondance")</f>
        <v>-10.165072</v>
      </c>
      <c r="I265">
        <f>_xlfn.XLOOKUP(Logs__2[[#This Row],[Cell_ID]],'Registre_Maintenance'!B:B,'Registre_Maintenance'!E:E,"Pas de correspondance")</f>
        <v>29.428024000000001</v>
      </c>
      <c r="J265" t="str">
        <f>_xlfn.XLOOKUP(Logs__2[[#This Row],[Cell_ID]],'Registre_Maintenance'!B:B,'Registre_Maintenance'!F:F,"Pas de correspondance")</f>
        <v>5G</v>
      </c>
      <c r="K265" t="str">
        <f>_xlfn.XLOOKUP(Logs__2[[#This Row],[Cell_ID]],'Registre_Maintenance'!B:B,'Registre_Maintenance'!G:G,"Pas de correspondance")</f>
        <v>Huawei</v>
      </c>
    </row>
    <row r="266" spans="1:11" hidden="1" x14ac:dyDescent="0.25">
      <c r="A266" s="1" t="s">
        <v>1013</v>
      </c>
      <c r="B266" s="2">
        <v>45229</v>
      </c>
      <c r="C266" s="3">
        <v>0.75624999999999998</v>
      </c>
      <c r="D266" s="1" t="s">
        <v>1045</v>
      </c>
      <c r="E266">
        <v>82</v>
      </c>
      <c r="F266" s="1" t="s">
        <v>811</v>
      </c>
      <c r="G266" t="str">
        <f>_xlfn.XLOOKUP(Logs__2[[#This Row],[Cell_ID]],'Registre_Maintenance'!B:B,'Registre_Maintenance'!C:C,"Pas de correspondance")</f>
        <v>Pas de correspondance</v>
      </c>
      <c r="H266" t="str">
        <f>_xlfn.XLOOKUP(Logs__2[[#This Row],[Cell_ID]],'Registre_Maintenance'!B:B,'Registre_Maintenance'!D:D,"Pas de correspondance")</f>
        <v>Pas de correspondance</v>
      </c>
      <c r="I266" t="str">
        <f>_xlfn.XLOOKUP(Logs__2[[#This Row],[Cell_ID]],'Registre_Maintenance'!B:B,'Registre_Maintenance'!E:E,"Pas de correspondance")</f>
        <v>Pas de correspondance</v>
      </c>
      <c r="J266" t="str">
        <f>_xlfn.XLOOKUP(Logs__2[[#This Row],[Cell_ID]],'Registre_Maintenance'!B:B,'Registre_Maintenance'!F:F,"Pas de correspondance")</f>
        <v>Pas de correspondance</v>
      </c>
      <c r="K266" t="str">
        <f>_xlfn.XLOOKUP(Logs__2[[#This Row],[Cell_ID]],'Registre_Maintenance'!B:B,'Registre_Maintenance'!G:G,"Pas de correspondance")</f>
        <v>Pas de correspondance</v>
      </c>
    </row>
    <row r="267" spans="1:11" hidden="1" x14ac:dyDescent="0.25">
      <c r="A267" s="1" t="s">
        <v>1013</v>
      </c>
      <c r="B267" s="2">
        <v>45207</v>
      </c>
      <c r="C267" s="3">
        <v>0.61111111111111116</v>
      </c>
      <c r="D267" s="1" t="s">
        <v>910</v>
      </c>
      <c r="E267">
        <v>107</v>
      </c>
      <c r="F267" s="1" t="s">
        <v>809</v>
      </c>
      <c r="G267" t="str">
        <f>_xlfn.XLOOKUP(Logs__2[[#This Row],[Cell_ID]],'Registre_Maintenance'!B:B,'Registre_Maintenance'!C:C,"Pas de correspondance")</f>
        <v>Pas de correspondance</v>
      </c>
      <c r="H267" t="str">
        <f>_xlfn.XLOOKUP(Logs__2[[#This Row],[Cell_ID]],'Registre_Maintenance'!B:B,'Registre_Maintenance'!D:D,"Pas de correspondance")</f>
        <v>Pas de correspondance</v>
      </c>
      <c r="I267" t="str">
        <f>_xlfn.XLOOKUP(Logs__2[[#This Row],[Cell_ID]],'Registre_Maintenance'!B:B,'Registre_Maintenance'!E:E,"Pas de correspondance")</f>
        <v>Pas de correspondance</v>
      </c>
      <c r="J267" t="str">
        <f>_xlfn.XLOOKUP(Logs__2[[#This Row],[Cell_ID]],'Registre_Maintenance'!B:B,'Registre_Maintenance'!F:F,"Pas de correspondance")</f>
        <v>Pas de correspondance</v>
      </c>
      <c r="K267" t="str">
        <f>_xlfn.XLOOKUP(Logs__2[[#This Row],[Cell_ID]],'Registre_Maintenance'!B:B,'Registre_Maintenance'!G:G,"Pas de correspondance")</f>
        <v>Pas de correspondance</v>
      </c>
    </row>
    <row r="268" spans="1:11" hidden="1" x14ac:dyDescent="0.25">
      <c r="A268" s="1" t="s">
        <v>1013</v>
      </c>
      <c r="B268" s="2">
        <v>45208</v>
      </c>
      <c r="C268" s="3">
        <v>0.59444444444444444</v>
      </c>
      <c r="D268" s="1" t="s">
        <v>1046</v>
      </c>
      <c r="E268">
        <v>50</v>
      </c>
      <c r="F268" s="1" t="s">
        <v>806</v>
      </c>
      <c r="G268" t="str">
        <f>_xlfn.XLOOKUP(Logs__2[[#This Row],[Cell_ID]],'Registre_Maintenance'!B:B,'Registre_Maintenance'!C:C,"Pas de correspondance")</f>
        <v>Pas de correspondance</v>
      </c>
      <c r="H268" t="str">
        <f>_xlfn.XLOOKUP(Logs__2[[#This Row],[Cell_ID]],'Registre_Maintenance'!B:B,'Registre_Maintenance'!D:D,"Pas de correspondance")</f>
        <v>Pas de correspondance</v>
      </c>
      <c r="I268" t="str">
        <f>_xlfn.XLOOKUP(Logs__2[[#This Row],[Cell_ID]],'Registre_Maintenance'!B:B,'Registre_Maintenance'!E:E,"Pas de correspondance")</f>
        <v>Pas de correspondance</v>
      </c>
      <c r="J268" t="str">
        <f>_xlfn.XLOOKUP(Logs__2[[#This Row],[Cell_ID]],'Registre_Maintenance'!B:B,'Registre_Maintenance'!F:F,"Pas de correspondance")</f>
        <v>Pas de correspondance</v>
      </c>
      <c r="K268" t="str">
        <f>_xlfn.XLOOKUP(Logs__2[[#This Row],[Cell_ID]],'Registre_Maintenance'!B:B,'Registre_Maintenance'!G:G,"Pas de correspondance")</f>
        <v>Pas de correspondance</v>
      </c>
    </row>
    <row r="269" spans="1:11" x14ac:dyDescent="0.25">
      <c r="A269" s="1" t="s">
        <v>1013</v>
      </c>
      <c r="B269" s="2">
        <v>45221</v>
      </c>
      <c r="C269" s="3">
        <v>3.9583333333333331E-2</v>
      </c>
      <c r="D269" s="1" t="s">
        <v>1047</v>
      </c>
      <c r="E269">
        <v>33</v>
      </c>
      <c r="F269" s="1" t="s">
        <v>809</v>
      </c>
      <c r="G269" t="str">
        <f>_xlfn.XLOOKUP(Logs__2[[#This Row],[Cell_ID]],'Registre_Maintenance'!B:B,'Registre_Maintenance'!C:C,"Pas de correspondance")</f>
        <v>Kinshasa</v>
      </c>
      <c r="H269">
        <f>_xlfn.XLOOKUP(Logs__2[[#This Row],[Cell_ID]],'Registre_Maintenance'!B:B,'Registre_Maintenance'!D:D,"Pas de correspondance")</f>
        <v>0.48965500000000001</v>
      </c>
      <c r="I269">
        <f>_xlfn.XLOOKUP(Logs__2[[#This Row],[Cell_ID]],'Registre_Maintenance'!B:B,'Registre_Maintenance'!E:E,"Pas de correspondance")</f>
        <v>26.176860000000001</v>
      </c>
      <c r="J269" t="str">
        <f>_xlfn.XLOOKUP(Logs__2[[#This Row],[Cell_ID]],'Registre_Maintenance'!B:B,'Registre_Maintenance'!F:F,"Pas de correspondance")</f>
        <v>4G</v>
      </c>
      <c r="K269" t="str">
        <f>_xlfn.XLOOKUP(Logs__2[[#This Row],[Cell_ID]],'Registre_Maintenance'!B:B,'Registre_Maintenance'!G:G,"Pas de correspondance")</f>
        <v>Huawei</v>
      </c>
    </row>
    <row r="270" spans="1:11" x14ac:dyDescent="0.25">
      <c r="A270" s="1" t="s">
        <v>1013</v>
      </c>
      <c r="B270" s="2">
        <v>45225</v>
      </c>
      <c r="C270" s="3">
        <v>0.62291666666666667</v>
      </c>
      <c r="D270" s="1" t="s">
        <v>1044</v>
      </c>
      <c r="E270">
        <v>86</v>
      </c>
      <c r="F270" s="1" t="s">
        <v>806</v>
      </c>
      <c r="G270" t="str">
        <f>_xlfn.XLOOKUP(Logs__2[[#This Row],[Cell_ID]],'Registre_Maintenance'!B:B,'Registre_Maintenance'!C:C,"Pas de correspondance")</f>
        <v>Kasaï</v>
      </c>
      <c r="H270">
        <f>_xlfn.XLOOKUP(Logs__2[[#This Row],[Cell_ID]],'Registre_Maintenance'!B:B,'Registre_Maintenance'!D:D,"Pas de correspondance")</f>
        <v>-10.165072</v>
      </c>
      <c r="I270">
        <f>_xlfn.XLOOKUP(Logs__2[[#This Row],[Cell_ID]],'Registre_Maintenance'!B:B,'Registre_Maintenance'!E:E,"Pas de correspondance")</f>
        <v>29.428024000000001</v>
      </c>
      <c r="J270" t="str">
        <f>_xlfn.XLOOKUP(Logs__2[[#This Row],[Cell_ID]],'Registre_Maintenance'!B:B,'Registre_Maintenance'!F:F,"Pas de correspondance")</f>
        <v>5G</v>
      </c>
      <c r="K270" t="str">
        <f>_xlfn.XLOOKUP(Logs__2[[#This Row],[Cell_ID]],'Registre_Maintenance'!B:B,'Registre_Maintenance'!G:G,"Pas de correspondance")</f>
        <v>Huawei</v>
      </c>
    </row>
    <row r="271" spans="1:11" x14ac:dyDescent="0.25">
      <c r="A271" s="1" t="s">
        <v>1013</v>
      </c>
      <c r="B271" s="2">
        <v>45209</v>
      </c>
      <c r="C271" s="3">
        <v>0.89861111111111114</v>
      </c>
      <c r="D271" s="1" t="s">
        <v>984</v>
      </c>
      <c r="E271">
        <v>29</v>
      </c>
      <c r="F271" s="1" t="s">
        <v>809</v>
      </c>
      <c r="G271" t="str">
        <f>_xlfn.XLOOKUP(Logs__2[[#This Row],[Cell_ID]],'Registre_Maintenance'!B:B,'Registre_Maintenance'!C:C,"Pas de correspondance")</f>
        <v>Lualaba</v>
      </c>
      <c r="H271">
        <f>_xlfn.XLOOKUP(Logs__2[[#This Row],[Cell_ID]],'Registre_Maintenance'!B:B,'Registre_Maintenance'!D:D,"Pas de correspondance")</f>
        <v>-10.872631999999999</v>
      </c>
      <c r="I271">
        <f>_xlfn.XLOOKUP(Logs__2[[#This Row],[Cell_ID]],'Registre_Maintenance'!B:B,'Registre_Maintenance'!E:E,"Pas de correspondance")</f>
        <v>12.773279</v>
      </c>
      <c r="J271" t="str">
        <f>_xlfn.XLOOKUP(Logs__2[[#This Row],[Cell_ID]],'Registre_Maintenance'!B:B,'Registre_Maintenance'!F:F,"Pas de correspondance")</f>
        <v>3G</v>
      </c>
      <c r="K271" t="str">
        <f>_xlfn.XLOOKUP(Logs__2[[#This Row],[Cell_ID]],'Registre_Maintenance'!B:B,'Registre_Maintenance'!G:G,"Pas de correspondance")</f>
        <v>ZTE</v>
      </c>
    </row>
    <row r="272" spans="1:11" hidden="1" x14ac:dyDescent="0.25">
      <c r="A272" s="1" t="s">
        <v>1013</v>
      </c>
      <c r="B272" s="2">
        <v>45205</v>
      </c>
      <c r="C272" s="3">
        <v>0.10277777777777777</v>
      </c>
      <c r="D272" s="1" t="s">
        <v>1048</v>
      </c>
      <c r="E272">
        <v>84</v>
      </c>
      <c r="F272" s="1" t="s">
        <v>811</v>
      </c>
      <c r="G272" t="str">
        <f>_xlfn.XLOOKUP(Logs__2[[#This Row],[Cell_ID]],'Registre_Maintenance'!B:B,'Registre_Maintenance'!C:C,"Pas de correspondance")</f>
        <v>Pas de correspondance</v>
      </c>
      <c r="H272" t="str">
        <f>_xlfn.XLOOKUP(Logs__2[[#This Row],[Cell_ID]],'Registre_Maintenance'!B:B,'Registre_Maintenance'!D:D,"Pas de correspondance")</f>
        <v>Pas de correspondance</v>
      </c>
      <c r="I272" t="str">
        <f>_xlfn.XLOOKUP(Logs__2[[#This Row],[Cell_ID]],'Registre_Maintenance'!B:B,'Registre_Maintenance'!E:E,"Pas de correspondance")</f>
        <v>Pas de correspondance</v>
      </c>
      <c r="J272" t="str">
        <f>_xlfn.XLOOKUP(Logs__2[[#This Row],[Cell_ID]],'Registre_Maintenance'!B:B,'Registre_Maintenance'!F:F,"Pas de correspondance")</f>
        <v>Pas de correspondance</v>
      </c>
      <c r="K272" t="str">
        <f>_xlfn.XLOOKUP(Logs__2[[#This Row],[Cell_ID]],'Registre_Maintenance'!B:B,'Registre_Maintenance'!G:G,"Pas de correspondance")</f>
        <v>Pas de correspondance</v>
      </c>
    </row>
    <row r="273" spans="1:11" x14ac:dyDescent="0.25">
      <c r="A273" s="1" t="s">
        <v>1013</v>
      </c>
      <c r="B273" s="2">
        <v>45230</v>
      </c>
      <c r="C273" s="3">
        <v>0.48402777777777778</v>
      </c>
      <c r="D273" s="1" t="s">
        <v>1049</v>
      </c>
      <c r="E273">
        <v>37</v>
      </c>
      <c r="F273" s="1" t="s">
        <v>809</v>
      </c>
      <c r="G273" t="str">
        <f>_xlfn.XLOOKUP(Logs__2[[#This Row],[Cell_ID]],'Registre_Maintenance'!B:B,'Registre_Maintenance'!C:C,"Pas de correspondance")</f>
        <v>Kongo-Central</v>
      </c>
      <c r="H273">
        <f>_xlfn.XLOOKUP(Logs__2[[#This Row],[Cell_ID]],'Registre_Maintenance'!B:B,'Registre_Maintenance'!D:D,"Pas de correspondance")</f>
        <v>-12.564277000000001</v>
      </c>
      <c r="I273">
        <f>_xlfn.XLOOKUP(Logs__2[[#This Row],[Cell_ID]],'Registre_Maintenance'!B:B,'Registre_Maintenance'!E:E,"Pas de correspondance")</f>
        <v>28.480798</v>
      </c>
      <c r="J273" t="str">
        <f>_xlfn.XLOOKUP(Logs__2[[#This Row],[Cell_ID]],'Registre_Maintenance'!B:B,'Registre_Maintenance'!F:F,"Pas de correspondance")</f>
        <v>5G</v>
      </c>
      <c r="K273" t="str">
        <f>_xlfn.XLOOKUP(Logs__2[[#This Row],[Cell_ID]],'Registre_Maintenance'!B:B,'Registre_Maintenance'!G:G,"Pas de correspondance")</f>
        <v>ZTE</v>
      </c>
    </row>
    <row r="274" spans="1:11" hidden="1" x14ac:dyDescent="0.25">
      <c r="A274" s="1" t="s">
        <v>1013</v>
      </c>
      <c r="B274" s="2">
        <v>45209</v>
      </c>
      <c r="C274" s="3">
        <v>0.8520833333333333</v>
      </c>
      <c r="D274" s="1" t="s">
        <v>1050</v>
      </c>
      <c r="E274">
        <v>91</v>
      </c>
      <c r="F274" s="1" t="s">
        <v>811</v>
      </c>
      <c r="G274" t="str">
        <f>_xlfn.XLOOKUP(Logs__2[[#This Row],[Cell_ID]],'Registre_Maintenance'!B:B,'Registre_Maintenance'!C:C,"Pas de correspondance")</f>
        <v>Pas de correspondance</v>
      </c>
      <c r="H274" t="str">
        <f>_xlfn.XLOOKUP(Logs__2[[#This Row],[Cell_ID]],'Registre_Maintenance'!B:B,'Registre_Maintenance'!D:D,"Pas de correspondance")</f>
        <v>Pas de correspondance</v>
      </c>
      <c r="I274" t="str">
        <f>_xlfn.XLOOKUP(Logs__2[[#This Row],[Cell_ID]],'Registre_Maintenance'!B:B,'Registre_Maintenance'!E:E,"Pas de correspondance")</f>
        <v>Pas de correspondance</v>
      </c>
      <c r="J274" t="str">
        <f>_xlfn.XLOOKUP(Logs__2[[#This Row],[Cell_ID]],'Registre_Maintenance'!B:B,'Registre_Maintenance'!F:F,"Pas de correspondance")</f>
        <v>Pas de correspondance</v>
      </c>
      <c r="K274" t="str">
        <f>_xlfn.XLOOKUP(Logs__2[[#This Row],[Cell_ID]],'Registre_Maintenance'!B:B,'Registre_Maintenance'!G:G,"Pas de correspondance")</f>
        <v>Pas de correspondance</v>
      </c>
    </row>
    <row r="275" spans="1:11" x14ac:dyDescent="0.25">
      <c r="A275" s="1" t="s">
        <v>1013</v>
      </c>
      <c r="B275" s="2">
        <v>45222</v>
      </c>
      <c r="C275" s="3">
        <v>0.35347222222222224</v>
      </c>
      <c r="D275" s="1" t="s">
        <v>1051</v>
      </c>
      <c r="E275">
        <v>101</v>
      </c>
      <c r="F275" s="1" t="s">
        <v>809</v>
      </c>
      <c r="G275" t="str">
        <f>_xlfn.XLOOKUP(Logs__2[[#This Row],[Cell_ID]],'Registre_Maintenance'!B:B,'Registre_Maintenance'!C:C,"Pas de correspondance")</f>
        <v>Nord-Kivu</v>
      </c>
      <c r="H275">
        <f>_xlfn.XLOOKUP(Logs__2[[#This Row],[Cell_ID]],'Registre_Maintenance'!B:B,'Registre_Maintenance'!D:D,"Pas de correspondance")</f>
        <v>-10.846306999999999</v>
      </c>
      <c r="I275">
        <f>_xlfn.XLOOKUP(Logs__2[[#This Row],[Cell_ID]],'Registre_Maintenance'!B:B,'Registre_Maintenance'!E:E,"Pas de correspondance")</f>
        <v>19.201827999999999</v>
      </c>
      <c r="J275" t="str">
        <f>_xlfn.XLOOKUP(Logs__2[[#This Row],[Cell_ID]],'Registre_Maintenance'!B:B,'Registre_Maintenance'!F:F,"Pas de correspondance")</f>
        <v>4G</v>
      </c>
      <c r="K275" t="str">
        <f>_xlfn.XLOOKUP(Logs__2[[#This Row],[Cell_ID]],'Registre_Maintenance'!B:B,'Registre_Maintenance'!G:G,"Pas de correspondance")</f>
        <v>Ericsson</v>
      </c>
    </row>
    <row r="276" spans="1:11" hidden="1" x14ac:dyDescent="0.25">
      <c r="A276" s="1" t="s">
        <v>1052</v>
      </c>
      <c r="B276" s="2">
        <v>45207</v>
      </c>
      <c r="C276" s="3">
        <v>0.71388888888888891</v>
      </c>
      <c r="D276" s="1" t="s">
        <v>1053</v>
      </c>
      <c r="E276">
        <v>99</v>
      </c>
      <c r="F276" s="1" t="s">
        <v>809</v>
      </c>
      <c r="G276" t="str">
        <f>_xlfn.XLOOKUP(Logs__2[[#This Row],[Cell_ID]],'Registre_Maintenance'!B:B,'Registre_Maintenance'!C:C,"Pas de correspondance")</f>
        <v>Pas de correspondance</v>
      </c>
      <c r="H276" t="str">
        <f>_xlfn.XLOOKUP(Logs__2[[#This Row],[Cell_ID]],'Registre_Maintenance'!B:B,'Registre_Maintenance'!D:D,"Pas de correspondance")</f>
        <v>Pas de correspondance</v>
      </c>
      <c r="I276" t="str">
        <f>_xlfn.XLOOKUP(Logs__2[[#This Row],[Cell_ID]],'Registre_Maintenance'!B:B,'Registre_Maintenance'!E:E,"Pas de correspondance")</f>
        <v>Pas de correspondance</v>
      </c>
      <c r="J276" t="str">
        <f>_xlfn.XLOOKUP(Logs__2[[#This Row],[Cell_ID]],'Registre_Maintenance'!B:B,'Registre_Maintenance'!F:F,"Pas de correspondance")</f>
        <v>Pas de correspondance</v>
      </c>
      <c r="K276" t="str">
        <f>_xlfn.XLOOKUP(Logs__2[[#This Row],[Cell_ID]],'Registre_Maintenance'!B:B,'Registre_Maintenance'!G:G,"Pas de correspondance")</f>
        <v>Pas de correspondance</v>
      </c>
    </row>
    <row r="277" spans="1:11" hidden="1" x14ac:dyDescent="0.25">
      <c r="A277" s="1" t="s">
        <v>1052</v>
      </c>
      <c r="B277" s="2">
        <v>45212</v>
      </c>
      <c r="C277" s="3">
        <v>0.59930555555555554</v>
      </c>
      <c r="D277" s="1" t="s">
        <v>955</v>
      </c>
      <c r="E277">
        <v>58</v>
      </c>
      <c r="F277" s="1" t="s">
        <v>809</v>
      </c>
      <c r="G277" t="str">
        <f>_xlfn.XLOOKUP(Logs__2[[#This Row],[Cell_ID]],'Registre_Maintenance'!B:B,'Registre_Maintenance'!C:C,"Pas de correspondance")</f>
        <v>Pas de correspondance</v>
      </c>
      <c r="H277" t="str">
        <f>_xlfn.XLOOKUP(Logs__2[[#This Row],[Cell_ID]],'Registre_Maintenance'!B:B,'Registre_Maintenance'!D:D,"Pas de correspondance")</f>
        <v>Pas de correspondance</v>
      </c>
      <c r="I277" t="str">
        <f>_xlfn.XLOOKUP(Logs__2[[#This Row],[Cell_ID]],'Registre_Maintenance'!B:B,'Registre_Maintenance'!E:E,"Pas de correspondance")</f>
        <v>Pas de correspondance</v>
      </c>
      <c r="J277" t="str">
        <f>_xlfn.XLOOKUP(Logs__2[[#This Row],[Cell_ID]],'Registre_Maintenance'!B:B,'Registre_Maintenance'!F:F,"Pas de correspondance")</f>
        <v>Pas de correspondance</v>
      </c>
      <c r="K277" t="str">
        <f>_xlfn.XLOOKUP(Logs__2[[#This Row],[Cell_ID]],'Registre_Maintenance'!B:B,'Registre_Maintenance'!G:G,"Pas de correspondance")</f>
        <v>Pas de correspondance</v>
      </c>
    </row>
    <row r="278" spans="1:11" hidden="1" x14ac:dyDescent="0.25">
      <c r="A278" s="1" t="s">
        <v>1052</v>
      </c>
      <c r="B278" s="2">
        <v>45221</v>
      </c>
      <c r="C278" s="3">
        <v>0.98888888888888893</v>
      </c>
      <c r="D278" s="1" t="s">
        <v>1054</v>
      </c>
      <c r="E278">
        <v>72</v>
      </c>
      <c r="F278" s="1" t="s">
        <v>809</v>
      </c>
      <c r="G278" t="str">
        <f>_xlfn.XLOOKUP(Logs__2[[#This Row],[Cell_ID]],'Registre_Maintenance'!B:B,'Registre_Maintenance'!C:C,"Pas de correspondance")</f>
        <v>Pas de correspondance</v>
      </c>
      <c r="H278" t="str">
        <f>_xlfn.XLOOKUP(Logs__2[[#This Row],[Cell_ID]],'Registre_Maintenance'!B:B,'Registre_Maintenance'!D:D,"Pas de correspondance")</f>
        <v>Pas de correspondance</v>
      </c>
      <c r="I278" t="str">
        <f>_xlfn.XLOOKUP(Logs__2[[#This Row],[Cell_ID]],'Registre_Maintenance'!B:B,'Registre_Maintenance'!E:E,"Pas de correspondance")</f>
        <v>Pas de correspondance</v>
      </c>
      <c r="J278" t="str">
        <f>_xlfn.XLOOKUP(Logs__2[[#This Row],[Cell_ID]],'Registre_Maintenance'!B:B,'Registre_Maintenance'!F:F,"Pas de correspondance")</f>
        <v>Pas de correspondance</v>
      </c>
      <c r="K278" t="str">
        <f>_xlfn.XLOOKUP(Logs__2[[#This Row],[Cell_ID]],'Registre_Maintenance'!B:B,'Registre_Maintenance'!G:G,"Pas de correspondance")</f>
        <v>Pas de correspondance</v>
      </c>
    </row>
    <row r="279" spans="1:11" hidden="1" x14ac:dyDescent="0.25">
      <c r="A279" s="1" t="s">
        <v>1052</v>
      </c>
      <c r="B279" s="2">
        <v>45230</v>
      </c>
      <c r="C279" s="3">
        <v>0.72638888888888886</v>
      </c>
      <c r="D279" s="1" t="s">
        <v>1031</v>
      </c>
      <c r="E279">
        <v>19</v>
      </c>
      <c r="F279" s="1" t="s">
        <v>809</v>
      </c>
      <c r="G279" t="str">
        <f>_xlfn.XLOOKUP(Logs__2[[#This Row],[Cell_ID]],'Registre_Maintenance'!B:B,'Registre_Maintenance'!C:C,"Pas de correspondance")</f>
        <v>Pas de correspondance</v>
      </c>
      <c r="H279" t="str">
        <f>_xlfn.XLOOKUP(Logs__2[[#This Row],[Cell_ID]],'Registre_Maintenance'!B:B,'Registre_Maintenance'!D:D,"Pas de correspondance")</f>
        <v>Pas de correspondance</v>
      </c>
      <c r="I279" t="str">
        <f>_xlfn.XLOOKUP(Logs__2[[#This Row],[Cell_ID]],'Registre_Maintenance'!B:B,'Registre_Maintenance'!E:E,"Pas de correspondance")</f>
        <v>Pas de correspondance</v>
      </c>
      <c r="J279" t="str">
        <f>_xlfn.XLOOKUP(Logs__2[[#This Row],[Cell_ID]],'Registre_Maintenance'!B:B,'Registre_Maintenance'!F:F,"Pas de correspondance")</f>
        <v>Pas de correspondance</v>
      </c>
      <c r="K279" t="str">
        <f>_xlfn.XLOOKUP(Logs__2[[#This Row],[Cell_ID]],'Registre_Maintenance'!B:B,'Registre_Maintenance'!G:G,"Pas de correspondance")</f>
        <v>Pas de correspondance</v>
      </c>
    </row>
    <row r="280" spans="1:11" hidden="1" x14ac:dyDescent="0.25">
      <c r="A280" s="1" t="s">
        <v>1052</v>
      </c>
      <c r="B280" s="2">
        <v>45218</v>
      </c>
      <c r="C280" s="3">
        <v>0.99027777777777781</v>
      </c>
      <c r="D280" s="1" t="s">
        <v>1055</v>
      </c>
      <c r="E280">
        <v>100</v>
      </c>
      <c r="F280" s="1" t="s">
        <v>806</v>
      </c>
      <c r="G280" t="str">
        <f>_xlfn.XLOOKUP(Logs__2[[#This Row],[Cell_ID]],'Registre_Maintenance'!B:B,'Registre_Maintenance'!C:C,"Pas de correspondance")</f>
        <v>Pas de correspondance</v>
      </c>
      <c r="H280" t="str">
        <f>_xlfn.XLOOKUP(Logs__2[[#This Row],[Cell_ID]],'Registre_Maintenance'!B:B,'Registre_Maintenance'!D:D,"Pas de correspondance")</f>
        <v>Pas de correspondance</v>
      </c>
      <c r="I280" t="str">
        <f>_xlfn.XLOOKUP(Logs__2[[#This Row],[Cell_ID]],'Registre_Maintenance'!B:B,'Registre_Maintenance'!E:E,"Pas de correspondance")</f>
        <v>Pas de correspondance</v>
      </c>
      <c r="J280" t="str">
        <f>_xlfn.XLOOKUP(Logs__2[[#This Row],[Cell_ID]],'Registre_Maintenance'!B:B,'Registre_Maintenance'!F:F,"Pas de correspondance")</f>
        <v>Pas de correspondance</v>
      </c>
      <c r="K280" t="str">
        <f>_xlfn.XLOOKUP(Logs__2[[#This Row],[Cell_ID]],'Registre_Maintenance'!B:B,'Registre_Maintenance'!G:G,"Pas de correspondance")</f>
        <v>Pas de correspondance</v>
      </c>
    </row>
    <row r="281" spans="1:11" hidden="1" x14ac:dyDescent="0.25">
      <c r="A281" s="1" t="s">
        <v>1052</v>
      </c>
      <c r="B281" s="2">
        <v>45204</v>
      </c>
      <c r="C281" s="3">
        <v>0.57013888888888886</v>
      </c>
      <c r="D281" s="1" t="s">
        <v>1056</v>
      </c>
      <c r="E281">
        <v>13</v>
      </c>
      <c r="F281" s="1" t="s">
        <v>811</v>
      </c>
      <c r="G281" t="str">
        <f>_xlfn.XLOOKUP(Logs__2[[#This Row],[Cell_ID]],'Registre_Maintenance'!B:B,'Registre_Maintenance'!C:C,"Pas de correspondance")</f>
        <v>Pas de correspondance</v>
      </c>
      <c r="H281" t="str">
        <f>_xlfn.XLOOKUP(Logs__2[[#This Row],[Cell_ID]],'Registre_Maintenance'!B:B,'Registre_Maintenance'!D:D,"Pas de correspondance")</f>
        <v>Pas de correspondance</v>
      </c>
      <c r="I281" t="str">
        <f>_xlfn.XLOOKUP(Logs__2[[#This Row],[Cell_ID]],'Registre_Maintenance'!B:B,'Registre_Maintenance'!E:E,"Pas de correspondance")</f>
        <v>Pas de correspondance</v>
      </c>
      <c r="J281" t="str">
        <f>_xlfn.XLOOKUP(Logs__2[[#This Row],[Cell_ID]],'Registre_Maintenance'!B:B,'Registre_Maintenance'!F:F,"Pas de correspondance")</f>
        <v>Pas de correspondance</v>
      </c>
      <c r="K281" t="str">
        <f>_xlfn.XLOOKUP(Logs__2[[#This Row],[Cell_ID]],'Registre_Maintenance'!B:B,'Registre_Maintenance'!G:G,"Pas de correspondance")</f>
        <v>Pas de correspondance</v>
      </c>
    </row>
    <row r="282" spans="1:11" x14ac:dyDescent="0.25">
      <c r="A282" s="1" t="s">
        <v>1052</v>
      </c>
      <c r="B282" s="2">
        <v>45203</v>
      </c>
      <c r="C282" s="3">
        <v>0.65208333333333335</v>
      </c>
      <c r="D282" s="1" t="s">
        <v>1057</v>
      </c>
      <c r="E282">
        <v>65</v>
      </c>
      <c r="F282" s="1" t="s">
        <v>811</v>
      </c>
      <c r="G282" t="str">
        <f>_xlfn.XLOOKUP(Logs__2[[#This Row],[Cell_ID]],'Registre_Maintenance'!B:B,'Registre_Maintenance'!C:C,"Pas de correspondance")</f>
        <v>Haut-Katanga</v>
      </c>
      <c r="H282">
        <f>_xlfn.XLOOKUP(Logs__2[[#This Row],[Cell_ID]],'Registre_Maintenance'!B:B,'Registre_Maintenance'!D:D,"Pas de correspondance")</f>
        <v>2.016505</v>
      </c>
      <c r="I282">
        <f>_xlfn.XLOOKUP(Logs__2[[#This Row],[Cell_ID]],'Registre_Maintenance'!B:B,'Registre_Maintenance'!E:E,"Pas de correspondance")</f>
        <v>14.294164</v>
      </c>
      <c r="J282" t="str">
        <f>_xlfn.XLOOKUP(Logs__2[[#This Row],[Cell_ID]],'Registre_Maintenance'!B:B,'Registre_Maintenance'!F:F,"Pas de correspondance")</f>
        <v>5G</v>
      </c>
      <c r="K282" t="str">
        <f>_xlfn.XLOOKUP(Logs__2[[#This Row],[Cell_ID]],'Registre_Maintenance'!B:B,'Registre_Maintenance'!G:G,"Pas de correspondance")</f>
        <v>Huawei</v>
      </c>
    </row>
    <row r="283" spans="1:11" hidden="1" x14ac:dyDescent="0.25">
      <c r="A283" s="1" t="s">
        <v>1052</v>
      </c>
      <c r="B283" s="2">
        <v>45213</v>
      </c>
      <c r="C283" s="3">
        <v>0.3347222222222222</v>
      </c>
      <c r="D283" s="1" t="s">
        <v>1058</v>
      </c>
      <c r="E283">
        <v>62</v>
      </c>
      <c r="F283" s="1" t="s">
        <v>806</v>
      </c>
      <c r="G283" t="str">
        <f>_xlfn.XLOOKUP(Logs__2[[#This Row],[Cell_ID]],'Registre_Maintenance'!B:B,'Registre_Maintenance'!C:C,"Pas de correspondance")</f>
        <v>Pas de correspondance</v>
      </c>
      <c r="H283" t="str">
        <f>_xlfn.XLOOKUP(Logs__2[[#This Row],[Cell_ID]],'Registre_Maintenance'!B:B,'Registre_Maintenance'!D:D,"Pas de correspondance")</f>
        <v>Pas de correspondance</v>
      </c>
      <c r="I283" t="str">
        <f>_xlfn.XLOOKUP(Logs__2[[#This Row],[Cell_ID]],'Registre_Maintenance'!B:B,'Registre_Maintenance'!E:E,"Pas de correspondance")</f>
        <v>Pas de correspondance</v>
      </c>
      <c r="J283" t="str">
        <f>_xlfn.XLOOKUP(Logs__2[[#This Row],[Cell_ID]],'Registre_Maintenance'!B:B,'Registre_Maintenance'!F:F,"Pas de correspondance")</f>
        <v>Pas de correspondance</v>
      </c>
      <c r="K283" t="str">
        <f>_xlfn.XLOOKUP(Logs__2[[#This Row],[Cell_ID]],'Registre_Maintenance'!B:B,'Registre_Maintenance'!G:G,"Pas de correspondance")</f>
        <v>Pas de correspondance</v>
      </c>
    </row>
    <row r="284" spans="1:11" hidden="1" x14ac:dyDescent="0.25">
      <c r="A284" s="1" t="s">
        <v>1052</v>
      </c>
      <c r="B284" s="2">
        <v>45222</v>
      </c>
      <c r="C284" s="3">
        <v>0.46736111111111112</v>
      </c>
      <c r="D284" s="1" t="s">
        <v>1059</v>
      </c>
      <c r="E284">
        <v>104</v>
      </c>
      <c r="F284" s="1" t="s">
        <v>811</v>
      </c>
      <c r="G284" t="str">
        <f>_xlfn.XLOOKUP(Logs__2[[#This Row],[Cell_ID]],'Registre_Maintenance'!B:B,'Registre_Maintenance'!C:C,"Pas de correspondance")</f>
        <v>Pas de correspondance</v>
      </c>
      <c r="H284" t="str">
        <f>_xlfn.XLOOKUP(Logs__2[[#This Row],[Cell_ID]],'Registre_Maintenance'!B:B,'Registre_Maintenance'!D:D,"Pas de correspondance")</f>
        <v>Pas de correspondance</v>
      </c>
      <c r="I284" t="str">
        <f>_xlfn.XLOOKUP(Logs__2[[#This Row],[Cell_ID]],'Registre_Maintenance'!B:B,'Registre_Maintenance'!E:E,"Pas de correspondance")</f>
        <v>Pas de correspondance</v>
      </c>
      <c r="J284" t="str">
        <f>_xlfn.XLOOKUP(Logs__2[[#This Row],[Cell_ID]],'Registre_Maintenance'!B:B,'Registre_Maintenance'!F:F,"Pas de correspondance")</f>
        <v>Pas de correspondance</v>
      </c>
      <c r="K284" t="str">
        <f>_xlfn.XLOOKUP(Logs__2[[#This Row],[Cell_ID]],'Registre_Maintenance'!B:B,'Registre_Maintenance'!G:G,"Pas de correspondance")</f>
        <v>Pas de correspondance</v>
      </c>
    </row>
    <row r="285" spans="1:11" hidden="1" x14ac:dyDescent="0.25">
      <c r="A285" s="1" t="s">
        <v>1052</v>
      </c>
      <c r="B285" s="2">
        <v>45214</v>
      </c>
      <c r="C285" s="3">
        <v>0.59375</v>
      </c>
      <c r="D285" s="1" t="s">
        <v>1060</v>
      </c>
      <c r="E285">
        <v>51</v>
      </c>
      <c r="F285" s="1" t="s">
        <v>811</v>
      </c>
      <c r="G285" t="str">
        <f>_xlfn.XLOOKUP(Logs__2[[#This Row],[Cell_ID]],'Registre_Maintenance'!B:B,'Registre_Maintenance'!C:C,"Pas de correspondance")</f>
        <v>Pas de correspondance</v>
      </c>
      <c r="H285" t="str">
        <f>_xlfn.XLOOKUP(Logs__2[[#This Row],[Cell_ID]],'Registre_Maintenance'!B:B,'Registre_Maintenance'!D:D,"Pas de correspondance")</f>
        <v>Pas de correspondance</v>
      </c>
      <c r="I285" t="str">
        <f>_xlfn.XLOOKUP(Logs__2[[#This Row],[Cell_ID]],'Registre_Maintenance'!B:B,'Registre_Maintenance'!E:E,"Pas de correspondance")</f>
        <v>Pas de correspondance</v>
      </c>
      <c r="J285" t="str">
        <f>_xlfn.XLOOKUP(Logs__2[[#This Row],[Cell_ID]],'Registre_Maintenance'!B:B,'Registre_Maintenance'!F:F,"Pas de correspondance")</f>
        <v>Pas de correspondance</v>
      </c>
      <c r="K285" t="str">
        <f>_xlfn.XLOOKUP(Logs__2[[#This Row],[Cell_ID]],'Registre_Maintenance'!B:B,'Registre_Maintenance'!G:G,"Pas de correspondance")</f>
        <v>Pas de correspondance</v>
      </c>
    </row>
    <row r="286" spans="1:11" hidden="1" x14ac:dyDescent="0.25">
      <c r="A286" s="1" t="s">
        <v>1052</v>
      </c>
      <c r="B286" s="2">
        <v>45227</v>
      </c>
      <c r="C286" s="3">
        <v>0.46250000000000002</v>
      </c>
      <c r="D286" s="1" t="s">
        <v>892</v>
      </c>
      <c r="E286">
        <v>70</v>
      </c>
      <c r="F286" s="1" t="s">
        <v>811</v>
      </c>
      <c r="G286" t="str">
        <f>_xlfn.XLOOKUP(Logs__2[[#This Row],[Cell_ID]],'Registre_Maintenance'!B:B,'Registre_Maintenance'!C:C,"Pas de correspondance")</f>
        <v>Pas de correspondance</v>
      </c>
      <c r="H286" t="str">
        <f>_xlfn.XLOOKUP(Logs__2[[#This Row],[Cell_ID]],'Registre_Maintenance'!B:B,'Registre_Maintenance'!D:D,"Pas de correspondance")</f>
        <v>Pas de correspondance</v>
      </c>
      <c r="I286" t="str">
        <f>_xlfn.XLOOKUP(Logs__2[[#This Row],[Cell_ID]],'Registre_Maintenance'!B:B,'Registre_Maintenance'!E:E,"Pas de correspondance")</f>
        <v>Pas de correspondance</v>
      </c>
      <c r="J286" t="str">
        <f>_xlfn.XLOOKUP(Logs__2[[#This Row],[Cell_ID]],'Registre_Maintenance'!B:B,'Registre_Maintenance'!F:F,"Pas de correspondance")</f>
        <v>Pas de correspondance</v>
      </c>
      <c r="K286" t="str">
        <f>_xlfn.XLOOKUP(Logs__2[[#This Row],[Cell_ID]],'Registre_Maintenance'!B:B,'Registre_Maintenance'!G:G,"Pas de correspondance")</f>
        <v>Pas de correspondance</v>
      </c>
    </row>
    <row r="287" spans="1:11" hidden="1" x14ac:dyDescent="0.25">
      <c r="A287" s="1" t="s">
        <v>1052</v>
      </c>
      <c r="B287" s="2">
        <v>45221</v>
      </c>
      <c r="C287" s="3">
        <v>0.48194444444444445</v>
      </c>
      <c r="D287" s="1" t="s">
        <v>1061</v>
      </c>
      <c r="E287">
        <v>80</v>
      </c>
      <c r="F287" s="1" t="s">
        <v>811</v>
      </c>
      <c r="G287" t="str">
        <f>_xlfn.XLOOKUP(Logs__2[[#This Row],[Cell_ID]],'Registre_Maintenance'!B:B,'Registre_Maintenance'!C:C,"Pas de correspondance")</f>
        <v>Pas de correspondance</v>
      </c>
      <c r="H287" t="str">
        <f>_xlfn.XLOOKUP(Logs__2[[#This Row],[Cell_ID]],'Registre_Maintenance'!B:B,'Registre_Maintenance'!D:D,"Pas de correspondance")</f>
        <v>Pas de correspondance</v>
      </c>
      <c r="I287" t="str">
        <f>_xlfn.XLOOKUP(Logs__2[[#This Row],[Cell_ID]],'Registre_Maintenance'!B:B,'Registre_Maintenance'!E:E,"Pas de correspondance")</f>
        <v>Pas de correspondance</v>
      </c>
      <c r="J287" t="str">
        <f>_xlfn.XLOOKUP(Logs__2[[#This Row],[Cell_ID]],'Registre_Maintenance'!B:B,'Registre_Maintenance'!F:F,"Pas de correspondance")</f>
        <v>Pas de correspondance</v>
      </c>
      <c r="K287" t="str">
        <f>_xlfn.XLOOKUP(Logs__2[[#This Row],[Cell_ID]],'Registre_Maintenance'!B:B,'Registre_Maintenance'!G:G,"Pas de correspondance")</f>
        <v>Pas de correspondance</v>
      </c>
    </row>
    <row r="288" spans="1:11" hidden="1" x14ac:dyDescent="0.25">
      <c r="A288" s="1" t="s">
        <v>1052</v>
      </c>
      <c r="B288" s="2">
        <v>45228</v>
      </c>
      <c r="C288" s="3">
        <v>0.84861111111111109</v>
      </c>
      <c r="D288" s="1" t="s">
        <v>1062</v>
      </c>
      <c r="E288">
        <v>18</v>
      </c>
      <c r="F288" s="1" t="s">
        <v>811</v>
      </c>
      <c r="G288" t="str">
        <f>_xlfn.XLOOKUP(Logs__2[[#This Row],[Cell_ID]],'Registre_Maintenance'!B:B,'Registre_Maintenance'!C:C,"Pas de correspondance")</f>
        <v>Pas de correspondance</v>
      </c>
      <c r="H288" t="str">
        <f>_xlfn.XLOOKUP(Logs__2[[#This Row],[Cell_ID]],'Registre_Maintenance'!B:B,'Registre_Maintenance'!D:D,"Pas de correspondance")</f>
        <v>Pas de correspondance</v>
      </c>
      <c r="I288" t="str">
        <f>_xlfn.XLOOKUP(Logs__2[[#This Row],[Cell_ID]],'Registre_Maintenance'!B:B,'Registre_Maintenance'!E:E,"Pas de correspondance")</f>
        <v>Pas de correspondance</v>
      </c>
      <c r="J288" t="str">
        <f>_xlfn.XLOOKUP(Logs__2[[#This Row],[Cell_ID]],'Registre_Maintenance'!B:B,'Registre_Maintenance'!F:F,"Pas de correspondance")</f>
        <v>Pas de correspondance</v>
      </c>
      <c r="K288" t="str">
        <f>_xlfn.XLOOKUP(Logs__2[[#This Row],[Cell_ID]],'Registre_Maintenance'!B:B,'Registre_Maintenance'!G:G,"Pas de correspondance")</f>
        <v>Pas de correspondance</v>
      </c>
    </row>
    <row r="289" spans="1:11" hidden="1" x14ac:dyDescent="0.25">
      <c r="A289" s="1" t="s">
        <v>1052</v>
      </c>
      <c r="B289" s="2">
        <v>45201</v>
      </c>
      <c r="C289" s="3">
        <v>0.51180555555555551</v>
      </c>
      <c r="D289" s="1" t="s">
        <v>930</v>
      </c>
      <c r="E289">
        <v>62</v>
      </c>
      <c r="F289" s="1" t="s">
        <v>809</v>
      </c>
      <c r="G289" t="str">
        <f>_xlfn.XLOOKUP(Logs__2[[#This Row],[Cell_ID]],'Registre_Maintenance'!B:B,'Registre_Maintenance'!C:C,"Pas de correspondance")</f>
        <v>Pas de correspondance</v>
      </c>
      <c r="H289" t="str">
        <f>_xlfn.XLOOKUP(Logs__2[[#This Row],[Cell_ID]],'Registre_Maintenance'!B:B,'Registre_Maintenance'!D:D,"Pas de correspondance")</f>
        <v>Pas de correspondance</v>
      </c>
      <c r="I289" t="str">
        <f>_xlfn.XLOOKUP(Logs__2[[#This Row],[Cell_ID]],'Registre_Maintenance'!B:B,'Registre_Maintenance'!E:E,"Pas de correspondance")</f>
        <v>Pas de correspondance</v>
      </c>
      <c r="J289" t="str">
        <f>_xlfn.XLOOKUP(Logs__2[[#This Row],[Cell_ID]],'Registre_Maintenance'!B:B,'Registre_Maintenance'!F:F,"Pas de correspondance")</f>
        <v>Pas de correspondance</v>
      </c>
      <c r="K289" t="str">
        <f>_xlfn.XLOOKUP(Logs__2[[#This Row],[Cell_ID]],'Registre_Maintenance'!B:B,'Registre_Maintenance'!G:G,"Pas de correspondance")</f>
        <v>Pas de correspondance</v>
      </c>
    </row>
    <row r="290" spans="1:11" hidden="1" x14ac:dyDescent="0.25">
      <c r="A290" s="1" t="s">
        <v>1052</v>
      </c>
      <c r="B290" s="2">
        <v>45206</v>
      </c>
      <c r="C290" s="3">
        <v>0.16250000000000001</v>
      </c>
      <c r="D290" s="1" t="s">
        <v>1063</v>
      </c>
      <c r="E290">
        <v>69</v>
      </c>
      <c r="F290" s="1" t="s">
        <v>806</v>
      </c>
      <c r="G290" t="str">
        <f>_xlfn.XLOOKUP(Logs__2[[#This Row],[Cell_ID]],'Registre_Maintenance'!B:B,'Registre_Maintenance'!C:C,"Pas de correspondance")</f>
        <v>Pas de correspondance</v>
      </c>
      <c r="H290" t="str">
        <f>_xlfn.XLOOKUP(Logs__2[[#This Row],[Cell_ID]],'Registre_Maintenance'!B:B,'Registre_Maintenance'!D:D,"Pas de correspondance")</f>
        <v>Pas de correspondance</v>
      </c>
      <c r="I290" t="str">
        <f>_xlfn.XLOOKUP(Logs__2[[#This Row],[Cell_ID]],'Registre_Maintenance'!B:B,'Registre_Maintenance'!E:E,"Pas de correspondance")</f>
        <v>Pas de correspondance</v>
      </c>
      <c r="J290" t="str">
        <f>_xlfn.XLOOKUP(Logs__2[[#This Row],[Cell_ID]],'Registre_Maintenance'!B:B,'Registre_Maintenance'!F:F,"Pas de correspondance")</f>
        <v>Pas de correspondance</v>
      </c>
      <c r="K290" t="str">
        <f>_xlfn.XLOOKUP(Logs__2[[#This Row],[Cell_ID]],'Registre_Maintenance'!B:B,'Registre_Maintenance'!G:G,"Pas de correspondance")</f>
        <v>Pas de correspondance</v>
      </c>
    </row>
    <row r="291" spans="1:11" x14ac:dyDescent="0.25">
      <c r="A291" s="1" t="s">
        <v>1052</v>
      </c>
      <c r="B291" s="2">
        <v>45226</v>
      </c>
      <c r="C291" s="3">
        <v>0.58680555555555558</v>
      </c>
      <c r="D291" s="1" t="s">
        <v>1064</v>
      </c>
      <c r="E291">
        <v>33</v>
      </c>
      <c r="F291" s="1" t="s">
        <v>811</v>
      </c>
      <c r="G291" t="str">
        <f>_xlfn.XLOOKUP(Logs__2[[#This Row],[Cell_ID]],'Registre_Maintenance'!B:B,'Registre_Maintenance'!C:C,"Pas de correspondance")</f>
        <v>Nord-Ubangi</v>
      </c>
      <c r="H291">
        <f>_xlfn.XLOOKUP(Logs__2[[#This Row],[Cell_ID]],'Registre_Maintenance'!B:B,'Registre_Maintenance'!D:D,"Pas de correspondance")</f>
        <v>-7.7839049999999999</v>
      </c>
      <c r="I291">
        <f>_xlfn.XLOOKUP(Logs__2[[#This Row],[Cell_ID]],'Registre_Maintenance'!B:B,'Registre_Maintenance'!E:E,"Pas de correspondance")</f>
        <v>14.114281999999999</v>
      </c>
      <c r="J291" t="str">
        <f>_xlfn.XLOOKUP(Logs__2[[#This Row],[Cell_ID]],'Registre_Maintenance'!B:B,'Registre_Maintenance'!F:F,"Pas de correspondance")</f>
        <v>3G</v>
      </c>
      <c r="K291" t="str">
        <f>_xlfn.XLOOKUP(Logs__2[[#This Row],[Cell_ID]],'Registre_Maintenance'!B:B,'Registre_Maintenance'!G:G,"Pas de correspondance")</f>
        <v>ZTE</v>
      </c>
    </row>
    <row r="292" spans="1:11" x14ac:dyDescent="0.25">
      <c r="A292" s="1" t="s">
        <v>1052</v>
      </c>
      <c r="B292" s="2">
        <v>45221</v>
      </c>
      <c r="C292" s="3">
        <v>0.27847222222222223</v>
      </c>
      <c r="D292" s="1" t="s">
        <v>1065</v>
      </c>
      <c r="E292">
        <v>83</v>
      </c>
      <c r="F292" s="1" t="s">
        <v>811</v>
      </c>
      <c r="G292" t="str">
        <f>_xlfn.XLOOKUP(Logs__2[[#This Row],[Cell_ID]],'Registre_Maintenance'!B:B,'Registre_Maintenance'!C:C,"Pas de correspondance")</f>
        <v>Tshuapa</v>
      </c>
      <c r="H292">
        <f>_xlfn.XLOOKUP(Logs__2[[#This Row],[Cell_ID]],'Registre_Maintenance'!B:B,'Registre_Maintenance'!D:D,"Pas de correspondance")</f>
        <v>-12.292039000000001</v>
      </c>
      <c r="I292">
        <f>_xlfn.XLOOKUP(Logs__2[[#This Row],[Cell_ID]],'Registre_Maintenance'!B:B,'Registre_Maintenance'!E:E,"Pas de correspondance")</f>
        <v>27.538202999999999</v>
      </c>
      <c r="J292" t="str">
        <f>_xlfn.XLOOKUP(Logs__2[[#This Row],[Cell_ID]],'Registre_Maintenance'!B:B,'Registre_Maintenance'!F:F,"Pas de correspondance")</f>
        <v>3G</v>
      </c>
      <c r="K292" t="str">
        <f>_xlfn.XLOOKUP(Logs__2[[#This Row],[Cell_ID]],'Registre_Maintenance'!B:B,'Registre_Maintenance'!G:G,"Pas de correspondance")</f>
        <v>Huawei</v>
      </c>
    </row>
    <row r="293" spans="1:11" hidden="1" x14ac:dyDescent="0.25">
      <c r="A293" s="1" t="s">
        <v>1052</v>
      </c>
      <c r="B293" s="2">
        <v>45220</v>
      </c>
      <c r="C293" s="3">
        <v>0.79236111111111107</v>
      </c>
      <c r="D293" s="1" t="s">
        <v>912</v>
      </c>
      <c r="E293">
        <v>10</v>
      </c>
      <c r="F293" s="1" t="s">
        <v>811</v>
      </c>
      <c r="G293" t="str">
        <f>_xlfn.XLOOKUP(Logs__2[[#This Row],[Cell_ID]],'Registre_Maintenance'!B:B,'Registre_Maintenance'!C:C,"Pas de correspondance")</f>
        <v>Pas de correspondance</v>
      </c>
      <c r="H293" t="str">
        <f>_xlfn.XLOOKUP(Logs__2[[#This Row],[Cell_ID]],'Registre_Maintenance'!B:B,'Registre_Maintenance'!D:D,"Pas de correspondance")</f>
        <v>Pas de correspondance</v>
      </c>
      <c r="I293" t="str">
        <f>_xlfn.XLOOKUP(Logs__2[[#This Row],[Cell_ID]],'Registre_Maintenance'!B:B,'Registre_Maintenance'!E:E,"Pas de correspondance")</f>
        <v>Pas de correspondance</v>
      </c>
      <c r="J293" t="str">
        <f>_xlfn.XLOOKUP(Logs__2[[#This Row],[Cell_ID]],'Registre_Maintenance'!B:B,'Registre_Maintenance'!F:F,"Pas de correspondance")</f>
        <v>Pas de correspondance</v>
      </c>
      <c r="K293" t="str">
        <f>_xlfn.XLOOKUP(Logs__2[[#This Row],[Cell_ID]],'Registre_Maintenance'!B:B,'Registre_Maintenance'!G:G,"Pas de correspondance")</f>
        <v>Pas de correspondance</v>
      </c>
    </row>
    <row r="294" spans="1:11" hidden="1" x14ac:dyDescent="0.25">
      <c r="A294" s="1" t="s">
        <v>1052</v>
      </c>
      <c r="B294" s="2">
        <v>45201</v>
      </c>
      <c r="C294" s="3">
        <v>0.42708333333333331</v>
      </c>
      <c r="D294" s="1" t="s">
        <v>1054</v>
      </c>
      <c r="E294">
        <v>98</v>
      </c>
      <c r="F294" s="1" t="s">
        <v>809</v>
      </c>
      <c r="G294" t="str">
        <f>_xlfn.XLOOKUP(Logs__2[[#This Row],[Cell_ID]],'Registre_Maintenance'!B:B,'Registre_Maintenance'!C:C,"Pas de correspondance")</f>
        <v>Pas de correspondance</v>
      </c>
      <c r="H294" t="str">
        <f>_xlfn.XLOOKUP(Logs__2[[#This Row],[Cell_ID]],'Registre_Maintenance'!B:B,'Registre_Maintenance'!D:D,"Pas de correspondance")</f>
        <v>Pas de correspondance</v>
      </c>
      <c r="I294" t="str">
        <f>_xlfn.XLOOKUP(Logs__2[[#This Row],[Cell_ID]],'Registre_Maintenance'!B:B,'Registre_Maintenance'!E:E,"Pas de correspondance")</f>
        <v>Pas de correspondance</v>
      </c>
      <c r="J294" t="str">
        <f>_xlfn.XLOOKUP(Logs__2[[#This Row],[Cell_ID]],'Registre_Maintenance'!B:B,'Registre_Maintenance'!F:F,"Pas de correspondance")</f>
        <v>Pas de correspondance</v>
      </c>
      <c r="K294" t="str">
        <f>_xlfn.XLOOKUP(Logs__2[[#This Row],[Cell_ID]],'Registre_Maintenance'!B:B,'Registre_Maintenance'!G:G,"Pas de correspondance")</f>
        <v>Pas de correspondance</v>
      </c>
    </row>
    <row r="295" spans="1:11" hidden="1" x14ac:dyDescent="0.25">
      <c r="A295" s="1" t="s">
        <v>1052</v>
      </c>
      <c r="B295" s="2">
        <v>45204</v>
      </c>
      <c r="C295" s="3">
        <v>0.75902777777777775</v>
      </c>
      <c r="D295" s="1" t="s">
        <v>1066</v>
      </c>
      <c r="E295">
        <v>105</v>
      </c>
      <c r="F295" s="1" t="s">
        <v>811</v>
      </c>
      <c r="G295" t="str">
        <f>_xlfn.XLOOKUP(Logs__2[[#This Row],[Cell_ID]],'Registre_Maintenance'!B:B,'Registre_Maintenance'!C:C,"Pas de correspondance")</f>
        <v>Pas de correspondance</v>
      </c>
      <c r="H295" t="str">
        <f>_xlfn.XLOOKUP(Logs__2[[#This Row],[Cell_ID]],'Registre_Maintenance'!B:B,'Registre_Maintenance'!D:D,"Pas de correspondance")</f>
        <v>Pas de correspondance</v>
      </c>
      <c r="I295" t="str">
        <f>_xlfn.XLOOKUP(Logs__2[[#This Row],[Cell_ID]],'Registre_Maintenance'!B:B,'Registre_Maintenance'!E:E,"Pas de correspondance")</f>
        <v>Pas de correspondance</v>
      </c>
      <c r="J295" t="str">
        <f>_xlfn.XLOOKUP(Logs__2[[#This Row],[Cell_ID]],'Registre_Maintenance'!B:B,'Registre_Maintenance'!F:F,"Pas de correspondance")</f>
        <v>Pas de correspondance</v>
      </c>
      <c r="K295" t="str">
        <f>_xlfn.XLOOKUP(Logs__2[[#This Row],[Cell_ID]],'Registre_Maintenance'!B:B,'Registre_Maintenance'!G:G,"Pas de correspondance")</f>
        <v>Pas de correspondance</v>
      </c>
    </row>
    <row r="296" spans="1:11" x14ac:dyDescent="0.25">
      <c r="A296" s="1" t="s">
        <v>1052</v>
      </c>
      <c r="B296" s="2">
        <v>45202</v>
      </c>
      <c r="C296" s="3">
        <v>0.71736111111111112</v>
      </c>
      <c r="D296" s="1" t="s">
        <v>1067</v>
      </c>
      <c r="E296">
        <v>115</v>
      </c>
      <c r="F296" s="1" t="s">
        <v>811</v>
      </c>
      <c r="G296" t="str">
        <f>_xlfn.XLOOKUP(Logs__2[[#This Row],[Cell_ID]],'Registre_Maintenance'!B:B,'Registre_Maintenance'!C:C,"Pas de correspondance")</f>
        <v>Tanganyika</v>
      </c>
      <c r="H296">
        <f>_xlfn.XLOOKUP(Logs__2[[#This Row],[Cell_ID]],'Registre_Maintenance'!B:B,'Registre_Maintenance'!D:D,"Pas de correspondance")</f>
        <v>-1.5936220000000001</v>
      </c>
      <c r="I296">
        <f>_xlfn.XLOOKUP(Logs__2[[#This Row],[Cell_ID]],'Registre_Maintenance'!B:B,'Registre_Maintenance'!E:E,"Pas de correspondance")</f>
        <v>14.928856</v>
      </c>
      <c r="J296" t="str">
        <f>_xlfn.XLOOKUP(Logs__2[[#This Row],[Cell_ID]],'Registre_Maintenance'!B:B,'Registre_Maintenance'!F:F,"Pas de correspondance")</f>
        <v>5G</v>
      </c>
      <c r="K296" t="str">
        <f>_xlfn.XLOOKUP(Logs__2[[#This Row],[Cell_ID]],'Registre_Maintenance'!B:B,'Registre_Maintenance'!G:G,"Pas de correspondance")</f>
        <v>Ericsson</v>
      </c>
    </row>
    <row r="297" spans="1:11" x14ac:dyDescent="0.25">
      <c r="A297" s="1" t="s">
        <v>1052</v>
      </c>
      <c r="B297" s="2">
        <v>45218</v>
      </c>
      <c r="C297" s="3">
        <v>0.28611111111111109</v>
      </c>
      <c r="D297" s="1" t="s">
        <v>1068</v>
      </c>
      <c r="E297">
        <v>89</v>
      </c>
      <c r="F297" s="1" t="s">
        <v>806</v>
      </c>
      <c r="G297" t="str">
        <f>_xlfn.XLOOKUP(Logs__2[[#This Row],[Cell_ID]],'Registre_Maintenance'!B:B,'Registre_Maintenance'!C:C,"Pas de correspondance")</f>
        <v>Kwango</v>
      </c>
      <c r="H297">
        <f>_xlfn.XLOOKUP(Logs__2[[#This Row],[Cell_ID]],'Registre_Maintenance'!B:B,'Registre_Maintenance'!D:D,"Pas de correspondance")</f>
        <v>-7.5129409999999996</v>
      </c>
      <c r="I297">
        <f>_xlfn.XLOOKUP(Logs__2[[#This Row],[Cell_ID]],'Registre_Maintenance'!B:B,'Registre_Maintenance'!E:E,"Pas de correspondance")</f>
        <v>18.701522000000001</v>
      </c>
      <c r="J297" t="str">
        <f>_xlfn.XLOOKUP(Logs__2[[#This Row],[Cell_ID]],'Registre_Maintenance'!B:B,'Registre_Maintenance'!F:F,"Pas de correspondance")</f>
        <v>4G</v>
      </c>
      <c r="K297" t="str">
        <f>_xlfn.XLOOKUP(Logs__2[[#This Row],[Cell_ID]],'Registre_Maintenance'!B:B,'Registre_Maintenance'!G:G,"Pas de correspondance")</f>
        <v>Nokia</v>
      </c>
    </row>
    <row r="298" spans="1:11" hidden="1" x14ac:dyDescent="0.25">
      <c r="A298" s="1" t="s">
        <v>1052</v>
      </c>
      <c r="B298" s="2">
        <v>45227</v>
      </c>
      <c r="C298" s="3">
        <v>0.30625000000000002</v>
      </c>
      <c r="D298" s="1" t="s">
        <v>835</v>
      </c>
      <c r="E298">
        <v>71</v>
      </c>
      <c r="F298" s="1" t="s">
        <v>809</v>
      </c>
      <c r="G298" t="str">
        <f>_xlfn.XLOOKUP(Logs__2[[#This Row],[Cell_ID]],'Registre_Maintenance'!B:B,'Registre_Maintenance'!C:C,"Pas de correspondance")</f>
        <v>Pas de correspondance</v>
      </c>
      <c r="H298" t="str">
        <f>_xlfn.XLOOKUP(Logs__2[[#This Row],[Cell_ID]],'Registre_Maintenance'!B:B,'Registre_Maintenance'!D:D,"Pas de correspondance")</f>
        <v>Pas de correspondance</v>
      </c>
      <c r="I298" t="str">
        <f>_xlfn.XLOOKUP(Logs__2[[#This Row],[Cell_ID]],'Registre_Maintenance'!B:B,'Registre_Maintenance'!E:E,"Pas de correspondance")</f>
        <v>Pas de correspondance</v>
      </c>
      <c r="J298" t="str">
        <f>_xlfn.XLOOKUP(Logs__2[[#This Row],[Cell_ID]],'Registre_Maintenance'!B:B,'Registre_Maintenance'!F:F,"Pas de correspondance")</f>
        <v>Pas de correspondance</v>
      </c>
      <c r="K298" t="str">
        <f>_xlfn.XLOOKUP(Logs__2[[#This Row],[Cell_ID]],'Registre_Maintenance'!B:B,'Registre_Maintenance'!G:G,"Pas de correspondance")</f>
        <v>Pas de correspondance</v>
      </c>
    </row>
    <row r="299" spans="1:11" hidden="1" x14ac:dyDescent="0.25">
      <c r="A299" s="1" t="s">
        <v>1052</v>
      </c>
      <c r="B299" s="2">
        <v>45224</v>
      </c>
      <c r="C299" s="3">
        <v>0.2013888888888889</v>
      </c>
      <c r="D299" s="1" t="s">
        <v>960</v>
      </c>
      <c r="E299">
        <v>43</v>
      </c>
      <c r="F299" s="1" t="s">
        <v>811</v>
      </c>
      <c r="G299" t="str">
        <f>_xlfn.XLOOKUP(Logs__2[[#This Row],[Cell_ID]],'Registre_Maintenance'!B:B,'Registre_Maintenance'!C:C,"Pas de correspondance")</f>
        <v>Pas de correspondance</v>
      </c>
      <c r="H299" t="str">
        <f>_xlfn.XLOOKUP(Logs__2[[#This Row],[Cell_ID]],'Registre_Maintenance'!B:B,'Registre_Maintenance'!D:D,"Pas de correspondance")</f>
        <v>Pas de correspondance</v>
      </c>
      <c r="I299" t="str">
        <f>_xlfn.XLOOKUP(Logs__2[[#This Row],[Cell_ID]],'Registre_Maintenance'!B:B,'Registre_Maintenance'!E:E,"Pas de correspondance")</f>
        <v>Pas de correspondance</v>
      </c>
      <c r="J299" t="str">
        <f>_xlfn.XLOOKUP(Logs__2[[#This Row],[Cell_ID]],'Registre_Maintenance'!B:B,'Registre_Maintenance'!F:F,"Pas de correspondance")</f>
        <v>Pas de correspondance</v>
      </c>
      <c r="K299" t="str">
        <f>_xlfn.XLOOKUP(Logs__2[[#This Row],[Cell_ID]],'Registre_Maintenance'!B:B,'Registre_Maintenance'!G:G,"Pas de correspondance")</f>
        <v>Pas de correspondance</v>
      </c>
    </row>
    <row r="300" spans="1:11" x14ac:dyDescent="0.25">
      <c r="A300" s="1" t="s">
        <v>1052</v>
      </c>
      <c r="B300" s="2">
        <v>45228</v>
      </c>
      <c r="C300" s="3">
        <v>0.79166666666666663</v>
      </c>
      <c r="D300" s="1" t="s">
        <v>805</v>
      </c>
      <c r="E300">
        <v>63</v>
      </c>
      <c r="F300" s="1" t="s">
        <v>806</v>
      </c>
      <c r="G300" t="str">
        <f>_xlfn.XLOOKUP(Logs__2[[#This Row],[Cell_ID]],'Registre_Maintenance'!B:B,'Registre_Maintenance'!C:C,"Pas de correspondance")</f>
        <v>Tanganyika</v>
      </c>
      <c r="H300">
        <f>_xlfn.XLOOKUP(Logs__2[[#This Row],[Cell_ID]],'Registre_Maintenance'!B:B,'Registre_Maintenance'!D:D,"Pas de correspondance")</f>
        <v>-11.144149000000001</v>
      </c>
      <c r="I300">
        <f>_xlfn.XLOOKUP(Logs__2[[#This Row],[Cell_ID]],'Registre_Maintenance'!B:B,'Registre_Maintenance'!E:E,"Pas de correspondance")</f>
        <v>27.244658999999999</v>
      </c>
      <c r="J300" t="str">
        <f>_xlfn.XLOOKUP(Logs__2[[#This Row],[Cell_ID]],'Registre_Maintenance'!B:B,'Registre_Maintenance'!F:F,"Pas de correspondance")</f>
        <v>4G</v>
      </c>
      <c r="K300" t="str">
        <f>_xlfn.XLOOKUP(Logs__2[[#This Row],[Cell_ID]],'Registre_Maintenance'!B:B,'Registre_Maintenance'!G:G,"Pas de correspondance")</f>
        <v>Nokia</v>
      </c>
    </row>
    <row r="301" spans="1:11" hidden="1" x14ac:dyDescent="0.25">
      <c r="A301" s="1" t="s">
        <v>1052</v>
      </c>
      <c r="B301" s="2">
        <v>45208</v>
      </c>
      <c r="C301" s="3">
        <v>0.17222222222222222</v>
      </c>
      <c r="D301" s="1" t="s">
        <v>857</v>
      </c>
      <c r="E301">
        <v>87</v>
      </c>
      <c r="F301" s="1" t="s">
        <v>806</v>
      </c>
      <c r="G301" t="str">
        <f>_xlfn.XLOOKUP(Logs__2[[#This Row],[Cell_ID]],'Registre_Maintenance'!B:B,'Registre_Maintenance'!C:C,"Pas de correspondance")</f>
        <v>Pas de correspondance</v>
      </c>
      <c r="H301" t="str">
        <f>_xlfn.XLOOKUP(Logs__2[[#This Row],[Cell_ID]],'Registre_Maintenance'!B:B,'Registre_Maintenance'!D:D,"Pas de correspondance")</f>
        <v>Pas de correspondance</v>
      </c>
      <c r="I301" t="str">
        <f>_xlfn.XLOOKUP(Logs__2[[#This Row],[Cell_ID]],'Registre_Maintenance'!B:B,'Registre_Maintenance'!E:E,"Pas de correspondance")</f>
        <v>Pas de correspondance</v>
      </c>
      <c r="J301" t="str">
        <f>_xlfn.XLOOKUP(Logs__2[[#This Row],[Cell_ID]],'Registre_Maintenance'!B:B,'Registre_Maintenance'!F:F,"Pas de correspondance")</f>
        <v>Pas de correspondance</v>
      </c>
      <c r="K301" t="str">
        <f>_xlfn.XLOOKUP(Logs__2[[#This Row],[Cell_ID]],'Registre_Maintenance'!B:B,'Registre_Maintenance'!G:G,"Pas de correspondance")</f>
        <v>Pas de correspondance</v>
      </c>
    </row>
    <row r="302" spans="1:11" hidden="1" x14ac:dyDescent="0.25">
      <c r="A302" s="1" t="s">
        <v>1052</v>
      </c>
      <c r="B302" s="2">
        <v>45217</v>
      </c>
      <c r="C302" s="3">
        <v>0.36875000000000002</v>
      </c>
      <c r="D302" s="1" t="s">
        <v>1069</v>
      </c>
      <c r="E302">
        <v>8</v>
      </c>
      <c r="F302" s="1" t="s">
        <v>806</v>
      </c>
      <c r="G302" t="str">
        <f>_xlfn.XLOOKUP(Logs__2[[#This Row],[Cell_ID]],'Registre_Maintenance'!B:B,'Registre_Maintenance'!C:C,"Pas de correspondance")</f>
        <v>Pas de correspondance</v>
      </c>
      <c r="H302" t="str">
        <f>_xlfn.XLOOKUP(Logs__2[[#This Row],[Cell_ID]],'Registre_Maintenance'!B:B,'Registre_Maintenance'!D:D,"Pas de correspondance")</f>
        <v>Pas de correspondance</v>
      </c>
      <c r="I302" t="str">
        <f>_xlfn.XLOOKUP(Logs__2[[#This Row],[Cell_ID]],'Registre_Maintenance'!B:B,'Registre_Maintenance'!E:E,"Pas de correspondance")</f>
        <v>Pas de correspondance</v>
      </c>
      <c r="J302" t="str">
        <f>_xlfn.XLOOKUP(Logs__2[[#This Row],[Cell_ID]],'Registre_Maintenance'!B:B,'Registre_Maintenance'!F:F,"Pas de correspondance")</f>
        <v>Pas de correspondance</v>
      </c>
      <c r="K302" t="str">
        <f>_xlfn.XLOOKUP(Logs__2[[#This Row],[Cell_ID]],'Registre_Maintenance'!B:B,'Registre_Maintenance'!G:G,"Pas de correspondance")</f>
        <v>Pas de correspondance</v>
      </c>
    </row>
    <row r="303" spans="1:11" hidden="1" x14ac:dyDescent="0.25">
      <c r="A303" s="1" t="s">
        <v>1052</v>
      </c>
      <c r="B303" s="2">
        <v>45205</v>
      </c>
      <c r="C303" s="3">
        <v>0.15416666666666667</v>
      </c>
      <c r="D303" s="1" t="s">
        <v>893</v>
      </c>
      <c r="E303">
        <v>12</v>
      </c>
      <c r="F303" s="1" t="s">
        <v>806</v>
      </c>
      <c r="G303" t="str">
        <f>_xlfn.XLOOKUP(Logs__2[[#This Row],[Cell_ID]],'Registre_Maintenance'!B:B,'Registre_Maintenance'!C:C,"Pas de correspondance")</f>
        <v>Pas de correspondance</v>
      </c>
      <c r="H303" t="str">
        <f>_xlfn.XLOOKUP(Logs__2[[#This Row],[Cell_ID]],'Registre_Maintenance'!B:B,'Registre_Maintenance'!D:D,"Pas de correspondance")</f>
        <v>Pas de correspondance</v>
      </c>
      <c r="I303" t="str">
        <f>_xlfn.XLOOKUP(Logs__2[[#This Row],[Cell_ID]],'Registre_Maintenance'!B:B,'Registre_Maintenance'!E:E,"Pas de correspondance")</f>
        <v>Pas de correspondance</v>
      </c>
      <c r="J303" t="str">
        <f>_xlfn.XLOOKUP(Logs__2[[#This Row],[Cell_ID]],'Registre_Maintenance'!B:B,'Registre_Maintenance'!F:F,"Pas de correspondance")</f>
        <v>Pas de correspondance</v>
      </c>
      <c r="K303" t="str">
        <f>_xlfn.XLOOKUP(Logs__2[[#This Row],[Cell_ID]],'Registre_Maintenance'!B:B,'Registre_Maintenance'!G:G,"Pas de correspondance")</f>
        <v>Pas de correspondance</v>
      </c>
    </row>
    <row r="304" spans="1:11" hidden="1" x14ac:dyDescent="0.25">
      <c r="A304" s="1" t="s">
        <v>1052</v>
      </c>
      <c r="B304" s="2">
        <v>45227</v>
      </c>
      <c r="C304" s="3">
        <v>5.5555555555555558E-3</v>
      </c>
      <c r="D304" s="1" t="s">
        <v>1070</v>
      </c>
      <c r="E304">
        <v>66</v>
      </c>
      <c r="F304" s="1" t="s">
        <v>811</v>
      </c>
      <c r="G304" t="str">
        <f>_xlfn.XLOOKUP(Logs__2[[#This Row],[Cell_ID]],'Registre_Maintenance'!B:B,'Registre_Maintenance'!C:C,"Pas de correspondance")</f>
        <v>Pas de correspondance</v>
      </c>
      <c r="H304" t="str">
        <f>_xlfn.XLOOKUP(Logs__2[[#This Row],[Cell_ID]],'Registre_Maintenance'!B:B,'Registre_Maintenance'!D:D,"Pas de correspondance")</f>
        <v>Pas de correspondance</v>
      </c>
      <c r="I304" t="str">
        <f>_xlfn.XLOOKUP(Logs__2[[#This Row],[Cell_ID]],'Registre_Maintenance'!B:B,'Registre_Maintenance'!E:E,"Pas de correspondance")</f>
        <v>Pas de correspondance</v>
      </c>
      <c r="J304" t="str">
        <f>_xlfn.XLOOKUP(Logs__2[[#This Row],[Cell_ID]],'Registre_Maintenance'!B:B,'Registre_Maintenance'!F:F,"Pas de correspondance")</f>
        <v>Pas de correspondance</v>
      </c>
      <c r="K304" t="str">
        <f>_xlfn.XLOOKUP(Logs__2[[#This Row],[Cell_ID]],'Registre_Maintenance'!B:B,'Registre_Maintenance'!G:G,"Pas de correspondance")</f>
        <v>Pas de correspondance</v>
      </c>
    </row>
    <row r="305" spans="1:11" hidden="1" x14ac:dyDescent="0.25">
      <c r="A305" s="1" t="s">
        <v>1052</v>
      </c>
      <c r="B305" s="2">
        <v>45200</v>
      </c>
      <c r="C305" s="3">
        <v>0.49305555555555558</v>
      </c>
      <c r="D305" s="1" t="s">
        <v>1071</v>
      </c>
      <c r="E305">
        <v>113</v>
      </c>
      <c r="F305" s="1" t="s">
        <v>806</v>
      </c>
      <c r="G305" t="str">
        <f>_xlfn.XLOOKUP(Logs__2[[#This Row],[Cell_ID]],'Registre_Maintenance'!B:B,'Registre_Maintenance'!C:C,"Pas de correspondance")</f>
        <v>Pas de correspondance</v>
      </c>
      <c r="H305" t="str">
        <f>_xlfn.XLOOKUP(Logs__2[[#This Row],[Cell_ID]],'Registre_Maintenance'!B:B,'Registre_Maintenance'!D:D,"Pas de correspondance")</f>
        <v>Pas de correspondance</v>
      </c>
      <c r="I305" t="str">
        <f>_xlfn.XLOOKUP(Logs__2[[#This Row],[Cell_ID]],'Registre_Maintenance'!B:B,'Registre_Maintenance'!E:E,"Pas de correspondance")</f>
        <v>Pas de correspondance</v>
      </c>
      <c r="J305" t="str">
        <f>_xlfn.XLOOKUP(Logs__2[[#This Row],[Cell_ID]],'Registre_Maintenance'!B:B,'Registre_Maintenance'!F:F,"Pas de correspondance")</f>
        <v>Pas de correspondance</v>
      </c>
      <c r="K305" t="str">
        <f>_xlfn.XLOOKUP(Logs__2[[#This Row],[Cell_ID]],'Registre_Maintenance'!B:B,'Registre_Maintenance'!G:G,"Pas de correspondance")</f>
        <v>Pas de correspondance</v>
      </c>
    </row>
    <row r="306" spans="1:11" x14ac:dyDescent="0.25">
      <c r="A306" s="1" t="s">
        <v>1052</v>
      </c>
      <c r="B306" s="2">
        <v>45225</v>
      </c>
      <c r="C306" s="3">
        <v>0.31736111111111109</v>
      </c>
      <c r="D306" s="1" t="s">
        <v>939</v>
      </c>
      <c r="E306">
        <v>56</v>
      </c>
      <c r="F306" s="1" t="s">
        <v>809</v>
      </c>
      <c r="G306" t="str">
        <f>_xlfn.XLOOKUP(Logs__2[[#This Row],[Cell_ID]],'Registre_Maintenance'!B:B,'Registre_Maintenance'!C:C,"Pas de correspondance")</f>
        <v>Nord-Ubangi</v>
      </c>
      <c r="H306">
        <f>_xlfn.XLOOKUP(Logs__2[[#This Row],[Cell_ID]],'Registre_Maintenance'!B:B,'Registre_Maintenance'!D:D,"Pas de correspondance")</f>
        <v>-7.9987219999999999</v>
      </c>
      <c r="I306">
        <f>_xlfn.XLOOKUP(Logs__2[[#This Row],[Cell_ID]],'Registre_Maintenance'!B:B,'Registre_Maintenance'!E:E,"Pas de correspondance")</f>
        <v>12.779335</v>
      </c>
      <c r="J306" t="str">
        <f>_xlfn.XLOOKUP(Logs__2[[#This Row],[Cell_ID]],'Registre_Maintenance'!B:B,'Registre_Maintenance'!F:F,"Pas de correspondance")</f>
        <v>5G</v>
      </c>
      <c r="K306" t="str">
        <f>_xlfn.XLOOKUP(Logs__2[[#This Row],[Cell_ID]],'Registre_Maintenance'!B:B,'Registre_Maintenance'!G:G,"Pas de correspondance")</f>
        <v>Nokia</v>
      </c>
    </row>
    <row r="307" spans="1:11" hidden="1" x14ac:dyDescent="0.25">
      <c r="A307" s="1" t="s">
        <v>1052</v>
      </c>
      <c r="B307" s="2">
        <v>45210</v>
      </c>
      <c r="C307" s="3">
        <v>7.6388888888888886E-3</v>
      </c>
      <c r="D307" s="1" t="s">
        <v>1072</v>
      </c>
      <c r="E307">
        <v>59</v>
      </c>
      <c r="F307" s="1" t="s">
        <v>809</v>
      </c>
      <c r="G307" t="str">
        <f>_xlfn.XLOOKUP(Logs__2[[#This Row],[Cell_ID]],'Registre_Maintenance'!B:B,'Registre_Maintenance'!C:C,"Pas de correspondance")</f>
        <v>Pas de correspondance</v>
      </c>
      <c r="H307" t="str">
        <f>_xlfn.XLOOKUP(Logs__2[[#This Row],[Cell_ID]],'Registre_Maintenance'!B:B,'Registre_Maintenance'!D:D,"Pas de correspondance")</f>
        <v>Pas de correspondance</v>
      </c>
      <c r="I307" t="str">
        <f>_xlfn.XLOOKUP(Logs__2[[#This Row],[Cell_ID]],'Registre_Maintenance'!B:B,'Registre_Maintenance'!E:E,"Pas de correspondance")</f>
        <v>Pas de correspondance</v>
      </c>
      <c r="J307" t="str">
        <f>_xlfn.XLOOKUP(Logs__2[[#This Row],[Cell_ID]],'Registre_Maintenance'!B:B,'Registre_Maintenance'!F:F,"Pas de correspondance")</f>
        <v>Pas de correspondance</v>
      </c>
      <c r="K307" t="str">
        <f>_xlfn.XLOOKUP(Logs__2[[#This Row],[Cell_ID]],'Registre_Maintenance'!B:B,'Registre_Maintenance'!G:G,"Pas de correspondance")</f>
        <v>Pas de correspondance</v>
      </c>
    </row>
    <row r="308" spans="1:11" hidden="1" x14ac:dyDescent="0.25">
      <c r="A308" s="1" t="s">
        <v>1052</v>
      </c>
      <c r="B308" s="2">
        <v>45208</v>
      </c>
      <c r="C308" s="3">
        <v>4.7222222222222221E-2</v>
      </c>
      <c r="D308" s="1" t="s">
        <v>855</v>
      </c>
      <c r="E308">
        <v>92</v>
      </c>
      <c r="F308" s="1" t="s">
        <v>811</v>
      </c>
      <c r="G308" t="str">
        <f>_xlfn.XLOOKUP(Logs__2[[#This Row],[Cell_ID]],'Registre_Maintenance'!B:B,'Registre_Maintenance'!C:C,"Pas de correspondance")</f>
        <v>Pas de correspondance</v>
      </c>
      <c r="H308" t="str">
        <f>_xlfn.XLOOKUP(Logs__2[[#This Row],[Cell_ID]],'Registre_Maintenance'!B:B,'Registre_Maintenance'!D:D,"Pas de correspondance")</f>
        <v>Pas de correspondance</v>
      </c>
      <c r="I308" t="str">
        <f>_xlfn.XLOOKUP(Logs__2[[#This Row],[Cell_ID]],'Registre_Maintenance'!B:B,'Registre_Maintenance'!E:E,"Pas de correspondance")</f>
        <v>Pas de correspondance</v>
      </c>
      <c r="J308" t="str">
        <f>_xlfn.XLOOKUP(Logs__2[[#This Row],[Cell_ID]],'Registre_Maintenance'!B:B,'Registre_Maintenance'!F:F,"Pas de correspondance")</f>
        <v>Pas de correspondance</v>
      </c>
      <c r="K308" t="str">
        <f>_xlfn.XLOOKUP(Logs__2[[#This Row],[Cell_ID]],'Registre_Maintenance'!B:B,'Registre_Maintenance'!G:G,"Pas de correspondance")</f>
        <v>Pas de correspondance</v>
      </c>
    </row>
    <row r="309" spans="1:11" hidden="1" x14ac:dyDescent="0.25">
      <c r="A309" s="1" t="s">
        <v>1073</v>
      </c>
      <c r="B309" s="2">
        <v>45221</v>
      </c>
      <c r="C309" s="3">
        <v>0.14305555555555555</v>
      </c>
      <c r="D309" s="1" t="s">
        <v>1012</v>
      </c>
      <c r="E309">
        <v>43</v>
      </c>
      <c r="F309" s="1" t="s">
        <v>806</v>
      </c>
      <c r="G309" t="str">
        <f>_xlfn.XLOOKUP(Logs__2[[#This Row],[Cell_ID]],'Registre_Maintenance'!B:B,'Registre_Maintenance'!C:C,"Pas de correspondance")</f>
        <v>Pas de correspondance</v>
      </c>
      <c r="H309" t="str">
        <f>_xlfn.XLOOKUP(Logs__2[[#This Row],[Cell_ID]],'Registre_Maintenance'!B:B,'Registre_Maintenance'!D:D,"Pas de correspondance")</f>
        <v>Pas de correspondance</v>
      </c>
      <c r="I309" t="str">
        <f>_xlfn.XLOOKUP(Logs__2[[#This Row],[Cell_ID]],'Registre_Maintenance'!B:B,'Registre_Maintenance'!E:E,"Pas de correspondance")</f>
        <v>Pas de correspondance</v>
      </c>
      <c r="J309" t="str">
        <f>_xlfn.XLOOKUP(Logs__2[[#This Row],[Cell_ID]],'Registre_Maintenance'!B:B,'Registre_Maintenance'!F:F,"Pas de correspondance")</f>
        <v>Pas de correspondance</v>
      </c>
      <c r="K309" t="str">
        <f>_xlfn.XLOOKUP(Logs__2[[#This Row],[Cell_ID]],'Registre_Maintenance'!B:B,'Registre_Maintenance'!G:G,"Pas de correspondance")</f>
        <v>Pas de correspondance</v>
      </c>
    </row>
    <row r="310" spans="1:11" hidden="1" x14ac:dyDescent="0.25">
      <c r="A310" s="1" t="s">
        <v>1073</v>
      </c>
      <c r="B310" s="2">
        <v>45211</v>
      </c>
      <c r="C310" s="3">
        <v>0.90833333333333333</v>
      </c>
      <c r="D310" s="1" t="s">
        <v>1074</v>
      </c>
      <c r="E310">
        <v>32</v>
      </c>
      <c r="F310" s="1" t="s">
        <v>809</v>
      </c>
      <c r="G310" t="str">
        <f>_xlfn.XLOOKUP(Logs__2[[#This Row],[Cell_ID]],'Registre_Maintenance'!B:B,'Registre_Maintenance'!C:C,"Pas de correspondance")</f>
        <v>Pas de correspondance</v>
      </c>
      <c r="H310" t="str">
        <f>_xlfn.XLOOKUP(Logs__2[[#This Row],[Cell_ID]],'Registre_Maintenance'!B:B,'Registre_Maintenance'!D:D,"Pas de correspondance")</f>
        <v>Pas de correspondance</v>
      </c>
      <c r="I310" t="str">
        <f>_xlfn.XLOOKUP(Logs__2[[#This Row],[Cell_ID]],'Registre_Maintenance'!B:B,'Registre_Maintenance'!E:E,"Pas de correspondance")</f>
        <v>Pas de correspondance</v>
      </c>
      <c r="J310" t="str">
        <f>_xlfn.XLOOKUP(Logs__2[[#This Row],[Cell_ID]],'Registre_Maintenance'!B:B,'Registre_Maintenance'!F:F,"Pas de correspondance")</f>
        <v>Pas de correspondance</v>
      </c>
      <c r="K310" t="str">
        <f>_xlfn.XLOOKUP(Logs__2[[#This Row],[Cell_ID]],'Registre_Maintenance'!B:B,'Registre_Maintenance'!G:G,"Pas de correspondance")</f>
        <v>Pas de correspondance</v>
      </c>
    </row>
    <row r="311" spans="1:11" hidden="1" x14ac:dyDescent="0.25">
      <c r="A311" s="1" t="s">
        <v>1073</v>
      </c>
      <c r="B311" s="2">
        <v>45213</v>
      </c>
      <c r="C311" s="3">
        <v>0.9604166666666667</v>
      </c>
      <c r="D311" s="1" t="s">
        <v>1075</v>
      </c>
      <c r="E311">
        <v>103</v>
      </c>
      <c r="F311" s="1" t="s">
        <v>809</v>
      </c>
      <c r="G311" t="str">
        <f>_xlfn.XLOOKUP(Logs__2[[#This Row],[Cell_ID]],'Registre_Maintenance'!B:B,'Registre_Maintenance'!C:C,"Pas de correspondance")</f>
        <v>Pas de correspondance</v>
      </c>
      <c r="H311" t="str">
        <f>_xlfn.XLOOKUP(Logs__2[[#This Row],[Cell_ID]],'Registre_Maintenance'!B:B,'Registre_Maintenance'!D:D,"Pas de correspondance")</f>
        <v>Pas de correspondance</v>
      </c>
      <c r="I311" t="str">
        <f>_xlfn.XLOOKUP(Logs__2[[#This Row],[Cell_ID]],'Registre_Maintenance'!B:B,'Registre_Maintenance'!E:E,"Pas de correspondance")</f>
        <v>Pas de correspondance</v>
      </c>
      <c r="J311" t="str">
        <f>_xlfn.XLOOKUP(Logs__2[[#This Row],[Cell_ID]],'Registre_Maintenance'!B:B,'Registre_Maintenance'!F:F,"Pas de correspondance")</f>
        <v>Pas de correspondance</v>
      </c>
      <c r="K311" t="str">
        <f>_xlfn.XLOOKUP(Logs__2[[#This Row],[Cell_ID]],'Registre_Maintenance'!B:B,'Registre_Maintenance'!G:G,"Pas de correspondance")</f>
        <v>Pas de correspondance</v>
      </c>
    </row>
    <row r="312" spans="1:11" hidden="1" x14ac:dyDescent="0.25">
      <c r="A312" s="1" t="s">
        <v>1073</v>
      </c>
      <c r="B312" s="2">
        <v>45209</v>
      </c>
      <c r="C312" s="3">
        <v>0.46250000000000002</v>
      </c>
      <c r="D312" s="1" t="s">
        <v>1072</v>
      </c>
      <c r="E312">
        <v>102</v>
      </c>
      <c r="F312" s="1" t="s">
        <v>811</v>
      </c>
      <c r="G312" t="str">
        <f>_xlfn.XLOOKUP(Logs__2[[#This Row],[Cell_ID]],'Registre_Maintenance'!B:B,'Registre_Maintenance'!C:C,"Pas de correspondance")</f>
        <v>Pas de correspondance</v>
      </c>
      <c r="H312" t="str">
        <f>_xlfn.XLOOKUP(Logs__2[[#This Row],[Cell_ID]],'Registre_Maintenance'!B:B,'Registre_Maintenance'!D:D,"Pas de correspondance")</f>
        <v>Pas de correspondance</v>
      </c>
      <c r="I312" t="str">
        <f>_xlfn.XLOOKUP(Logs__2[[#This Row],[Cell_ID]],'Registre_Maintenance'!B:B,'Registre_Maintenance'!E:E,"Pas de correspondance")</f>
        <v>Pas de correspondance</v>
      </c>
      <c r="J312" t="str">
        <f>_xlfn.XLOOKUP(Logs__2[[#This Row],[Cell_ID]],'Registre_Maintenance'!B:B,'Registre_Maintenance'!F:F,"Pas de correspondance")</f>
        <v>Pas de correspondance</v>
      </c>
      <c r="K312" t="str">
        <f>_xlfn.XLOOKUP(Logs__2[[#This Row],[Cell_ID]],'Registre_Maintenance'!B:B,'Registre_Maintenance'!G:G,"Pas de correspondance")</f>
        <v>Pas de correspondance</v>
      </c>
    </row>
    <row r="313" spans="1:11" x14ac:dyDescent="0.25">
      <c r="A313" s="1" t="s">
        <v>1073</v>
      </c>
      <c r="B313" s="2">
        <v>45218</v>
      </c>
      <c r="C313" s="3">
        <v>0.67569444444444449</v>
      </c>
      <c r="D313" s="1" t="s">
        <v>962</v>
      </c>
      <c r="E313">
        <v>37</v>
      </c>
      <c r="F313" s="1" t="s">
        <v>811</v>
      </c>
      <c r="G313" t="str">
        <f>_xlfn.XLOOKUP(Logs__2[[#This Row],[Cell_ID]],'Registre_Maintenance'!B:B,'Registre_Maintenance'!C:C,"Pas de correspondance")</f>
        <v>Sud-Kivu</v>
      </c>
      <c r="H313">
        <f>_xlfn.XLOOKUP(Logs__2[[#This Row],[Cell_ID]],'Registre_Maintenance'!B:B,'Registre_Maintenance'!D:D,"Pas de correspondance")</f>
        <v>-2.9651529999999999</v>
      </c>
      <c r="I313">
        <f>_xlfn.XLOOKUP(Logs__2[[#This Row],[Cell_ID]],'Registre_Maintenance'!B:B,'Registre_Maintenance'!E:E,"Pas de correspondance")</f>
        <v>29.79908</v>
      </c>
      <c r="J313" t="str">
        <f>_xlfn.XLOOKUP(Logs__2[[#This Row],[Cell_ID]],'Registre_Maintenance'!B:B,'Registre_Maintenance'!F:F,"Pas de correspondance")</f>
        <v>4G</v>
      </c>
      <c r="K313" t="str">
        <f>_xlfn.XLOOKUP(Logs__2[[#This Row],[Cell_ID]],'Registre_Maintenance'!B:B,'Registre_Maintenance'!G:G,"Pas de correspondance")</f>
        <v>Ericsson</v>
      </c>
    </row>
    <row r="314" spans="1:11" hidden="1" x14ac:dyDescent="0.25">
      <c r="A314" s="1" t="s">
        <v>1073</v>
      </c>
      <c r="B314" s="2">
        <v>45204</v>
      </c>
      <c r="C314" s="3">
        <v>0.89583333333333337</v>
      </c>
      <c r="D314" s="1" t="s">
        <v>1076</v>
      </c>
      <c r="E314">
        <v>42</v>
      </c>
      <c r="F314" s="1" t="s">
        <v>809</v>
      </c>
      <c r="G314" t="str">
        <f>_xlfn.XLOOKUP(Logs__2[[#This Row],[Cell_ID]],'Registre_Maintenance'!B:B,'Registre_Maintenance'!C:C,"Pas de correspondance")</f>
        <v>Pas de correspondance</v>
      </c>
      <c r="H314" t="str">
        <f>_xlfn.XLOOKUP(Logs__2[[#This Row],[Cell_ID]],'Registre_Maintenance'!B:B,'Registre_Maintenance'!D:D,"Pas de correspondance")</f>
        <v>Pas de correspondance</v>
      </c>
      <c r="I314" t="str">
        <f>_xlfn.XLOOKUP(Logs__2[[#This Row],[Cell_ID]],'Registre_Maintenance'!B:B,'Registre_Maintenance'!E:E,"Pas de correspondance")</f>
        <v>Pas de correspondance</v>
      </c>
      <c r="J314" t="str">
        <f>_xlfn.XLOOKUP(Logs__2[[#This Row],[Cell_ID]],'Registre_Maintenance'!B:B,'Registre_Maintenance'!F:F,"Pas de correspondance")</f>
        <v>Pas de correspondance</v>
      </c>
      <c r="K314" t="str">
        <f>_xlfn.XLOOKUP(Logs__2[[#This Row],[Cell_ID]],'Registre_Maintenance'!B:B,'Registre_Maintenance'!G:G,"Pas de correspondance")</f>
        <v>Pas de correspondance</v>
      </c>
    </row>
    <row r="315" spans="1:11" x14ac:dyDescent="0.25">
      <c r="A315" s="1" t="s">
        <v>1073</v>
      </c>
      <c r="B315" s="2">
        <v>45207</v>
      </c>
      <c r="C315" s="3">
        <v>0.14027777777777778</v>
      </c>
      <c r="D315" s="1" t="s">
        <v>1077</v>
      </c>
      <c r="E315">
        <v>46</v>
      </c>
      <c r="F315" s="1" t="s">
        <v>809</v>
      </c>
      <c r="G315" t="str">
        <f>_xlfn.XLOOKUP(Logs__2[[#This Row],[Cell_ID]],'Registre_Maintenance'!B:B,'Registre_Maintenance'!C:C,"Pas de correspondance")</f>
        <v>Kongo-Central</v>
      </c>
      <c r="H315">
        <f>_xlfn.XLOOKUP(Logs__2[[#This Row],[Cell_ID]],'Registre_Maintenance'!B:B,'Registre_Maintenance'!D:D,"Pas de correspondance")</f>
        <v>-12.112399999999999</v>
      </c>
      <c r="I315">
        <f>_xlfn.XLOOKUP(Logs__2[[#This Row],[Cell_ID]],'Registre_Maintenance'!B:B,'Registre_Maintenance'!E:E,"Pas de correspondance")</f>
        <v>15.872226</v>
      </c>
      <c r="J315" t="str">
        <f>_xlfn.XLOOKUP(Logs__2[[#This Row],[Cell_ID]],'Registre_Maintenance'!B:B,'Registre_Maintenance'!F:F,"Pas de correspondance")</f>
        <v>4G</v>
      </c>
      <c r="K315" t="str">
        <f>_xlfn.XLOOKUP(Logs__2[[#This Row],[Cell_ID]],'Registre_Maintenance'!B:B,'Registre_Maintenance'!G:G,"Pas de correspondance")</f>
        <v>Nokia</v>
      </c>
    </row>
    <row r="316" spans="1:11" hidden="1" x14ac:dyDescent="0.25">
      <c r="A316" s="1" t="s">
        <v>1073</v>
      </c>
      <c r="B316" s="2">
        <v>45227</v>
      </c>
      <c r="C316" s="3">
        <v>0.72430555555555554</v>
      </c>
      <c r="D316" s="1" t="s">
        <v>1066</v>
      </c>
      <c r="E316">
        <v>20</v>
      </c>
      <c r="F316" s="1" t="s">
        <v>806</v>
      </c>
      <c r="G316" t="str">
        <f>_xlfn.XLOOKUP(Logs__2[[#This Row],[Cell_ID]],'Registre_Maintenance'!B:B,'Registre_Maintenance'!C:C,"Pas de correspondance")</f>
        <v>Pas de correspondance</v>
      </c>
      <c r="H316" t="str">
        <f>_xlfn.XLOOKUP(Logs__2[[#This Row],[Cell_ID]],'Registre_Maintenance'!B:B,'Registre_Maintenance'!D:D,"Pas de correspondance")</f>
        <v>Pas de correspondance</v>
      </c>
      <c r="I316" t="str">
        <f>_xlfn.XLOOKUP(Logs__2[[#This Row],[Cell_ID]],'Registre_Maintenance'!B:B,'Registre_Maintenance'!E:E,"Pas de correspondance")</f>
        <v>Pas de correspondance</v>
      </c>
      <c r="J316" t="str">
        <f>_xlfn.XLOOKUP(Logs__2[[#This Row],[Cell_ID]],'Registre_Maintenance'!B:B,'Registre_Maintenance'!F:F,"Pas de correspondance")</f>
        <v>Pas de correspondance</v>
      </c>
      <c r="K316" t="str">
        <f>_xlfn.XLOOKUP(Logs__2[[#This Row],[Cell_ID]],'Registre_Maintenance'!B:B,'Registre_Maintenance'!G:G,"Pas de correspondance")</f>
        <v>Pas de correspondance</v>
      </c>
    </row>
    <row r="317" spans="1:11" hidden="1" x14ac:dyDescent="0.25">
      <c r="A317" s="1" t="s">
        <v>1073</v>
      </c>
      <c r="B317" s="2">
        <v>45203</v>
      </c>
      <c r="C317" s="3">
        <v>0.35833333333333334</v>
      </c>
      <c r="D317" s="1" t="s">
        <v>1078</v>
      </c>
      <c r="E317">
        <v>5</v>
      </c>
      <c r="F317" s="1" t="s">
        <v>806</v>
      </c>
      <c r="G317" t="str">
        <f>_xlfn.XLOOKUP(Logs__2[[#This Row],[Cell_ID]],'Registre_Maintenance'!B:B,'Registre_Maintenance'!C:C,"Pas de correspondance")</f>
        <v>Pas de correspondance</v>
      </c>
      <c r="H317" t="str">
        <f>_xlfn.XLOOKUP(Logs__2[[#This Row],[Cell_ID]],'Registre_Maintenance'!B:B,'Registre_Maintenance'!D:D,"Pas de correspondance")</f>
        <v>Pas de correspondance</v>
      </c>
      <c r="I317" t="str">
        <f>_xlfn.XLOOKUP(Logs__2[[#This Row],[Cell_ID]],'Registre_Maintenance'!B:B,'Registre_Maintenance'!E:E,"Pas de correspondance")</f>
        <v>Pas de correspondance</v>
      </c>
      <c r="J317" t="str">
        <f>_xlfn.XLOOKUP(Logs__2[[#This Row],[Cell_ID]],'Registre_Maintenance'!B:B,'Registre_Maintenance'!F:F,"Pas de correspondance")</f>
        <v>Pas de correspondance</v>
      </c>
      <c r="K317" t="str">
        <f>_xlfn.XLOOKUP(Logs__2[[#This Row],[Cell_ID]],'Registre_Maintenance'!B:B,'Registre_Maintenance'!G:G,"Pas de correspondance")</f>
        <v>Pas de correspondance</v>
      </c>
    </row>
    <row r="318" spans="1:11" x14ac:dyDescent="0.25">
      <c r="A318" s="1" t="s">
        <v>1073</v>
      </c>
      <c r="B318" s="2">
        <v>45207</v>
      </c>
      <c r="C318" s="3">
        <v>0.57916666666666672</v>
      </c>
      <c r="D318" s="1" t="s">
        <v>1079</v>
      </c>
      <c r="E318">
        <v>68</v>
      </c>
      <c r="F318" s="1" t="s">
        <v>806</v>
      </c>
      <c r="G318" t="str">
        <f>_xlfn.XLOOKUP(Logs__2[[#This Row],[Cell_ID]],'Registre_Maintenance'!B:B,'Registre_Maintenance'!C:C,"Pas de correspondance")</f>
        <v>Ituri</v>
      </c>
      <c r="H318">
        <f>_xlfn.XLOOKUP(Logs__2[[#This Row],[Cell_ID]],'Registre_Maintenance'!B:B,'Registre_Maintenance'!D:D,"Pas de correspondance")</f>
        <v>-3.7720639999999999</v>
      </c>
      <c r="I318">
        <f>_xlfn.XLOOKUP(Logs__2[[#This Row],[Cell_ID]],'Registre_Maintenance'!B:B,'Registre_Maintenance'!E:E,"Pas de correspondance")</f>
        <v>16.006277999999998</v>
      </c>
      <c r="J318" t="str">
        <f>_xlfn.XLOOKUP(Logs__2[[#This Row],[Cell_ID]],'Registre_Maintenance'!B:B,'Registre_Maintenance'!F:F,"Pas de correspondance")</f>
        <v>5G</v>
      </c>
      <c r="K318" t="str">
        <f>_xlfn.XLOOKUP(Logs__2[[#This Row],[Cell_ID]],'Registre_Maintenance'!B:B,'Registre_Maintenance'!G:G,"Pas de correspondance")</f>
        <v>ZTE</v>
      </c>
    </row>
    <row r="319" spans="1:11" hidden="1" x14ac:dyDescent="0.25">
      <c r="A319" s="1" t="s">
        <v>1073</v>
      </c>
      <c r="B319" s="2">
        <v>45217</v>
      </c>
      <c r="C319" s="3">
        <v>0.81874999999999998</v>
      </c>
      <c r="D319" s="1" t="s">
        <v>944</v>
      </c>
      <c r="E319">
        <v>100</v>
      </c>
      <c r="F319" s="1" t="s">
        <v>806</v>
      </c>
      <c r="G319" t="str">
        <f>_xlfn.XLOOKUP(Logs__2[[#This Row],[Cell_ID]],'Registre_Maintenance'!B:B,'Registre_Maintenance'!C:C,"Pas de correspondance")</f>
        <v>Pas de correspondance</v>
      </c>
      <c r="H319" t="str">
        <f>_xlfn.XLOOKUP(Logs__2[[#This Row],[Cell_ID]],'Registre_Maintenance'!B:B,'Registre_Maintenance'!D:D,"Pas de correspondance")</f>
        <v>Pas de correspondance</v>
      </c>
      <c r="I319" t="str">
        <f>_xlfn.XLOOKUP(Logs__2[[#This Row],[Cell_ID]],'Registre_Maintenance'!B:B,'Registre_Maintenance'!E:E,"Pas de correspondance")</f>
        <v>Pas de correspondance</v>
      </c>
      <c r="J319" t="str">
        <f>_xlfn.XLOOKUP(Logs__2[[#This Row],[Cell_ID]],'Registre_Maintenance'!B:B,'Registre_Maintenance'!F:F,"Pas de correspondance")</f>
        <v>Pas de correspondance</v>
      </c>
      <c r="K319" t="str">
        <f>_xlfn.XLOOKUP(Logs__2[[#This Row],[Cell_ID]],'Registre_Maintenance'!B:B,'Registre_Maintenance'!G:G,"Pas de correspondance")</f>
        <v>Pas de correspondance</v>
      </c>
    </row>
    <row r="320" spans="1:11" hidden="1" x14ac:dyDescent="0.25">
      <c r="A320" s="1" t="s">
        <v>1073</v>
      </c>
      <c r="B320" s="2">
        <v>45221</v>
      </c>
      <c r="C320" s="3">
        <v>0.85763888888888884</v>
      </c>
      <c r="D320" s="1" t="s">
        <v>1080</v>
      </c>
      <c r="E320">
        <v>60</v>
      </c>
      <c r="F320" s="1" t="s">
        <v>811</v>
      </c>
      <c r="G320" t="str">
        <f>_xlfn.XLOOKUP(Logs__2[[#This Row],[Cell_ID]],'Registre_Maintenance'!B:B,'Registre_Maintenance'!C:C,"Pas de correspondance")</f>
        <v>Pas de correspondance</v>
      </c>
      <c r="H320" t="str">
        <f>_xlfn.XLOOKUP(Logs__2[[#This Row],[Cell_ID]],'Registre_Maintenance'!B:B,'Registre_Maintenance'!D:D,"Pas de correspondance")</f>
        <v>Pas de correspondance</v>
      </c>
      <c r="I320" t="str">
        <f>_xlfn.XLOOKUP(Logs__2[[#This Row],[Cell_ID]],'Registre_Maintenance'!B:B,'Registre_Maintenance'!E:E,"Pas de correspondance")</f>
        <v>Pas de correspondance</v>
      </c>
      <c r="J320" t="str">
        <f>_xlfn.XLOOKUP(Logs__2[[#This Row],[Cell_ID]],'Registre_Maintenance'!B:B,'Registre_Maintenance'!F:F,"Pas de correspondance")</f>
        <v>Pas de correspondance</v>
      </c>
      <c r="K320" t="str">
        <f>_xlfn.XLOOKUP(Logs__2[[#This Row],[Cell_ID]],'Registre_Maintenance'!B:B,'Registre_Maintenance'!G:G,"Pas de correspondance")</f>
        <v>Pas de correspondance</v>
      </c>
    </row>
    <row r="321" spans="1:11" hidden="1" x14ac:dyDescent="0.25">
      <c r="A321" s="1" t="s">
        <v>1073</v>
      </c>
      <c r="B321" s="2">
        <v>45200</v>
      </c>
      <c r="C321" s="3">
        <v>0.83263888888888893</v>
      </c>
      <c r="D321" s="1" t="s">
        <v>1081</v>
      </c>
      <c r="E321">
        <v>27</v>
      </c>
      <c r="F321" s="1" t="s">
        <v>806</v>
      </c>
      <c r="G321" t="str">
        <f>_xlfn.XLOOKUP(Logs__2[[#This Row],[Cell_ID]],'Registre_Maintenance'!B:B,'Registre_Maintenance'!C:C,"Pas de correspondance")</f>
        <v>Pas de correspondance</v>
      </c>
      <c r="H321" t="str">
        <f>_xlfn.XLOOKUP(Logs__2[[#This Row],[Cell_ID]],'Registre_Maintenance'!B:B,'Registre_Maintenance'!D:D,"Pas de correspondance")</f>
        <v>Pas de correspondance</v>
      </c>
      <c r="I321" t="str">
        <f>_xlfn.XLOOKUP(Logs__2[[#This Row],[Cell_ID]],'Registre_Maintenance'!B:B,'Registre_Maintenance'!E:E,"Pas de correspondance")</f>
        <v>Pas de correspondance</v>
      </c>
      <c r="J321" t="str">
        <f>_xlfn.XLOOKUP(Logs__2[[#This Row],[Cell_ID]],'Registre_Maintenance'!B:B,'Registre_Maintenance'!F:F,"Pas de correspondance")</f>
        <v>Pas de correspondance</v>
      </c>
      <c r="K321" t="str">
        <f>_xlfn.XLOOKUP(Logs__2[[#This Row],[Cell_ID]],'Registre_Maintenance'!B:B,'Registre_Maintenance'!G:G,"Pas de correspondance")</f>
        <v>Pas de correspondance</v>
      </c>
    </row>
    <row r="322" spans="1:11" x14ac:dyDescent="0.25">
      <c r="A322" s="1" t="s">
        <v>1073</v>
      </c>
      <c r="B322" s="2">
        <v>45221</v>
      </c>
      <c r="C322" s="3">
        <v>0.92847222222222225</v>
      </c>
      <c r="D322" s="1" t="s">
        <v>846</v>
      </c>
      <c r="E322">
        <v>21</v>
      </c>
      <c r="F322" s="1" t="s">
        <v>806</v>
      </c>
      <c r="G322" t="str">
        <f>_xlfn.XLOOKUP(Logs__2[[#This Row],[Cell_ID]],'Registre_Maintenance'!B:B,'Registre_Maintenance'!C:C,"Pas de correspondance")</f>
        <v>Sud-Kivu</v>
      </c>
      <c r="H322">
        <f>_xlfn.XLOOKUP(Logs__2[[#This Row],[Cell_ID]],'Registre_Maintenance'!B:B,'Registre_Maintenance'!D:D,"Pas de correspondance")</f>
        <v>4.2493650000000001</v>
      </c>
      <c r="I322">
        <f>_xlfn.XLOOKUP(Logs__2[[#This Row],[Cell_ID]],'Registre_Maintenance'!B:B,'Registre_Maintenance'!E:E,"Pas de correspondance")</f>
        <v>28.355039999999999</v>
      </c>
      <c r="J322" t="str">
        <f>_xlfn.XLOOKUP(Logs__2[[#This Row],[Cell_ID]],'Registre_Maintenance'!B:B,'Registre_Maintenance'!F:F,"Pas de correspondance")</f>
        <v>3G</v>
      </c>
      <c r="K322" t="str">
        <f>_xlfn.XLOOKUP(Logs__2[[#This Row],[Cell_ID]],'Registre_Maintenance'!B:B,'Registre_Maintenance'!G:G,"Pas de correspondance")</f>
        <v>ZTE</v>
      </c>
    </row>
    <row r="323" spans="1:11" hidden="1" x14ac:dyDescent="0.25">
      <c r="A323" s="1" t="s">
        <v>1073</v>
      </c>
      <c r="B323" s="2">
        <v>45200</v>
      </c>
      <c r="C323" s="3">
        <v>0.22013888888888888</v>
      </c>
      <c r="D323" s="1" t="s">
        <v>1082</v>
      </c>
      <c r="E323">
        <v>53</v>
      </c>
      <c r="F323" s="1" t="s">
        <v>809</v>
      </c>
      <c r="G323" t="str">
        <f>_xlfn.XLOOKUP(Logs__2[[#This Row],[Cell_ID]],'Registre_Maintenance'!B:B,'Registre_Maintenance'!C:C,"Pas de correspondance")</f>
        <v>Pas de correspondance</v>
      </c>
      <c r="H323" t="str">
        <f>_xlfn.XLOOKUP(Logs__2[[#This Row],[Cell_ID]],'Registre_Maintenance'!B:B,'Registre_Maintenance'!D:D,"Pas de correspondance")</f>
        <v>Pas de correspondance</v>
      </c>
      <c r="I323" t="str">
        <f>_xlfn.XLOOKUP(Logs__2[[#This Row],[Cell_ID]],'Registre_Maintenance'!B:B,'Registre_Maintenance'!E:E,"Pas de correspondance")</f>
        <v>Pas de correspondance</v>
      </c>
      <c r="J323" t="str">
        <f>_xlfn.XLOOKUP(Logs__2[[#This Row],[Cell_ID]],'Registre_Maintenance'!B:B,'Registre_Maintenance'!F:F,"Pas de correspondance")</f>
        <v>Pas de correspondance</v>
      </c>
      <c r="K323" t="str">
        <f>_xlfn.XLOOKUP(Logs__2[[#This Row],[Cell_ID]],'Registre_Maintenance'!B:B,'Registre_Maintenance'!G:G,"Pas de correspondance")</f>
        <v>Pas de correspondance</v>
      </c>
    </row>
    <row r="324" spans="1:11" x14ac:dyDescent="0.25">
      <c r="A324" s="1" t="s">
        <v>1073</v>
      </c>
      <c r="B324" s="2">
        <v>45222</v>
      </c>
      <c r="C324" s="3">
        <v>0.4152777777777778</v>
      </c>
      <c r="D324" s="1" t="s">
        <v>1083</v>
      </c>
      <c r="E324">
        <v>73</v>
      </c>
      <c r="F324" s="1" t="s">
        <v>806</v>
      </c>
      <c r="G324" t="str">
        <f>_xlfn.XLOOKUP(Logs__2[[#This Row],[Cell_ID]],'Registre_Maintenance'!B:B,'Registre_Maintenance'!C:C,"Pas de correspondance")</f>
        <v>Nord-Ubangi</v>
      </c>
      <c r="H324">
        <f>_xlfn.XLOOKUP(Logs__2[[#This Row],[Cell_ID]],'Registre_Maintenance'!B:B,'Registre_Maintenance'!D:D,"Pas de correspondance")</f>
        <v>-4.8128659999999996</v>
      </c>
      <c r="I324">
        <f>_xlfn.XLOOKUP(Logs__2[[#This Row],[Cell_ID]],'Registre_Maintenance'!B:B,'Registre_Maintenance'!E:E,"Pas de correspondance")</f>
        <v>18.559304999999998</v>
      </c>
      <c r="J324" t="str">
        <f>_xlfn.XLOOKUP(Logs__2[[#This Row],[Cell_ID]],'Registre_Maintenance'!B:B,'Registre_Maintenance'!F:F,"Pas de correspondance")</f>
        <v>5G</v>
      </c>
      <c r="K324" t="str">
        <f>_xlfn.XLOOKUP(Logs__2[[#This Row],[Cell_ID]],'Registre_Maintenance'!B:B,'Registre_Maintenance'!G:G,"Pas de correspondance")</f>
        <v>ZTE</v>
      </c>
    </row>
    <row r="325" spans="1:11" x14ac:dyDescent="0.25">
      <c r="A325" s="1" t="s">
        <v>1073</v>
      </c>
      <c r="B325" s="2">
        <v>45210</v>
      </c>
      <c r="C325" s="3">
        <v>0.45833333333333331</v>
      </c>
      <c r="D325" s="1" t="s">
        <v>994</v>
      </c>
      <c r="E325">
        <v>95</v>
      </c>
      <c r="F325" s="1" t="s">
        <v>809</v>
      </c>
      <c r="G325" t="str">
        <f>_xlfn.XLOOKUP(Logs__2[[#This Row],[Cell_ID]],'Registre_Maintenance'!B:B,'Registre_Maintenance'!C:C,"Pas de correspondance")</f>
        <v>Haut-Lomami</v>
      </c>
      <c r="H325">
        <f>_xlfn.XLOOKUP(Logs__2[[#This Row],[Cell_ID]],'Registre_Maintenance'!B:B,'Registre_Maintenance'!D:D,"Pas de correspondance")</f>
        <v>-12.112682</v>
      </c>
      <c r="I325">
        <f>_xlfn.XLOOKUP(Logs__2[[#This Row],[Cell_ID]],'Registre_Maintenance'!B:B,'Registre_Maintenance'!E:E,"Pas de correspondance")</f>
        <v>19.972052000000001</v>
      </c>
      <c r="J325" t="str">
        <f>_xlfn.XLOOKUP(Logs__2[[#This Row],[Cell_ID]],'Registre_Maintenance'!B:B,'Registre_Maintenance'!F:F,"Pas de correspondance")</f>
        <v>4G</v>
      </c>
      <c r="K325" t="str">
        <f>_xlfn.XLOOKUP(Logs__2[[#This Row],[Cell_ID]],'Registre_Maintenance'!B:B,'Registre_Maintenance'!G:G,"Pas de correspondance")</f>
        <v>Huawei</v>
      </c>
    </row>
    <row r="326" spans="1:11" x14ac:dyDescent="0.25">
      <c r="A326" s="1" t="s">
        <v>1073</v>
      </c>
      <c r="B326" s="2">
        <v>45205</v>
      </c>
      <c r="C326" s="3">
        <v>0.19166666666666668</v>
      </c>
      <c r="D326" s="1" t="s">
        <v>1084</v>
      </c>
      <c r="E326">
        <v>34</v>
      </c>
      <c r="F326" s="1" t="s">
        <v>806</v>
      </c>
      <c r="G326" t="str">
        <f>_xlfn.XLOOKUP(Logs__2[[#This Row],[Cell_ID]],'Registre_Maintenance'!B:B,'Registre_Maintenance'!C:C,"Pas de correspondance")</f>
        <v>Sankuru</v>
      </c>
      <c r="H326">
        <f>_xlfn.XLOOKUP(Logs__2[[#This Row],[Cell_ID]],'Registre_Maintenance'!B:B,'Registre_Maintenance'!D:D,"Pas de correspondance")</f>
        <v>-4.7886769999999999</v>
      </c>
      <c r="I326">
        <f>_xlfn.XLOOKUP(Logs__2[[#This Row],[Cell_ID]],'Registre_Maintenance'!B:B,'Registre_Maintenance'!E:E,"Pas de correspondance")</f>
        <v>23.600221999999999</v>
      </c>
      <c r="J326" t="str">
        <f>_xlfn.XLOOKUP(Logs__2[[#This Row],[Cell_ID]],'Registre_Maintenance'!B:B,'Registre_Maintenance'!F:F,"Pas de correspondance")</f>
        <v>3G</v>
      </c>
      <c r="K326" t="str">
        <f>_xlfn.XLOOKUP(Logs__2[[#This Row],[Cell_ID]],'Registre_Maintenance'!B:B,'Registre_Maintenance'!G:G,"Pas de correspondance")</f>
        <v>ZTE</v>
      </c>
    </row>
    <row r="327" spans="1:11" hidden="1" x14ac:dyDescent="0.25">
      <c r="A327" s="1" t="s">
        <v>1073</v>
      </c>
      <c r="B327" s="2">
        <v>45221</v>
      </c>
      <c r="C327" s="3">
        <v>0.50277777777777777</v>
      </c>
      <c r="D327" s="1" t="s">
        <v>1085</v>
      </c>
      <c r="E327">
        <v>69</v>
      </c>
      <c r="F327" s="1" t="s">
        <v>806</v>
      </c>
      <c r="G327" t="str">
        <f>_xlfn.XLOOKUP(Logs__2[[#This Row],[Cell_ID]],'Registre_Maintenance'!B:B,'Registre_Maintenance'!C:C,"Pas de correspondance")</f>
        <v>Pas de correspondance</v>
      </c>
      <c r="H327" t="str">
        <f>_xlfn.XLOOKUP(Logs__2[[#This Row],[Cell_ID]],'Registre_Maintenance'!B:B,'Registre_Maintenance'!D:D,"Pas de correspondance")</f>
        <v>Pas de correspondance</v>
      </c>
      <c r="I327" t="str">
        <f>_xlfn.XLOOKUP(Logs__2[[#This Row],[Cell_ID]],'Registre_Maintenance'!B:B,'Registre_Maintenance'!E:E,"Pas de correspondance")</f>
        <v>Pas de correspondance</v>
      </c>
      <c r="J327" t="str">
        <f>_xlfn.XLOOKUP(Logs__2[[#This Row],[Cell_ID]],'Registre_Maintenance'!B:B,'Registre_Maintenance'!F:F,"Pas de correspondance")</f>
        <v>Pas de correspondance</v>
      </c>
      <c r="K327" t="str">
        <f>_xlfn.XLOOKUP(Logs__2[[#This Row],[Cell_ID]],'Registre_Maintenance'!B:B,'Registre_Maintenance'!G:G,"Pas de correspondance")</f>
        <v>Pas de correspondance</v>
      </c>
    </row>
    <row r="328" spans="1:11" x14ac:dyDescent="0.25">
      <c r="A328" s="1" t="s">
        <v>1073</v>
      </c>
      <c r="B328" s="2">
        <v>45204</v>
      </c>
      <c r="C328" s="3">
        <v>0.98611111111111116</v>
      </c>
      <c r="D328" s="1" t="s">
        <v>1086</v>
      </c>
      <c r="E328">
        <v>76</v>
      </c>
      <c r="F328" s="1" t="s">
        <v>809</v>
      </c>
      <c r="G328" t="str">
        <f>_xlfn.XLOOKUP(Logs__2[[#This Row],[Cell_ID]],'Registre_Maintenance'!B:B,'Registre_Maintenance'!C:C,"Pas de correspondance")</f>
        <v>Haut-Uele</v>
      </c>
      <c r="H328">
        <f>_xlfn.XLOOKUP(Logs__2[[#This Row],[Cell_ID]],'Registre_Maintenance'!B:B,'Registre_Maintenance'!D:D,"Pas de correspondance")</f>
        <v>-4.869434</v>
      </c>
      <c r="I328">
        <f>_xlfn.XLOOKUP(Logs__2[[#This Row],[Cell_ID]],'Registre_Maintenance'!B:B,'Registre_Maintenance'!E:E,"Pas de correspondance")</f>
        <v>22.326522000000001</v>
      </c>
      <c r="J328" t="str">
        <f>_xlfn.XLOOKUP(Logs__2[[#This Row],[Cell_ID]],'Registre_Maintenance'!B:B,'Registre_Maintenance'!F:F,"Pas de correspondance")</f>
        <v>5G</v>
      </c>
      <c r="K328" t="str">
        <f>_xlfn.XLOOKUP(Logs__2[[#This Row],[Cell_ID]],'Registre_Maintenance'!B:B,'Registre_Maintenance'!G:G,"Pas de correspondance")</f>
        <v>Ericsson</v>
      </c>
    </row>
    <row r="329" spans="1:11" hidden="1" x14ac:dyDescent="0.25">
      <c r="A329" s="1" t="s">
        <v>1073</v>
      </c>
      <c r="B329" s="2">
        <v>45200</v>
      </c>
      <c r="C329" s="3">
        <v>0.11597222222222223</v>
      </c>
      <c r="D329" s="1" t="s">
        <v>821</v>
      </c>
      <c r="E329">
        <v>111</v>
      </c>
      <c r="F329" s="1" t="s">
        <v>811</v>
      </c>
      <c r="G329" t="str">
        <f>_xlfn.XLOOKUP(Logs__2[[#This Row],[Cell_ID]],'Registre_Maintenance'!B:B,'Registre_Maintenance'!C:C,"Pas de correspondance")</f>
        <v>Pas de correspondance</v>
      </c>
      <c r="H329" t="str">
        <f>_xlfn.XLOOKUP(Logs__2[[#This Row],[Cell_ID]],'Registre_Maintenance'!B:B,'Registre_Maintenance'!D:D,"Pas de correspondance")</f>
        <v>Pas de correspondance</v>
      </c>
      <c r="I329" t="str">
        <f>_xlfn.XLOOKUP(Logs__2[[#This Row],[Cell_ID]],'Registre_Maintenance'!B:B,'Registre_Maintenance'!E:E,"Pas de correspondance")</f>
        <v>Pas de correspondance</v>
      </c>
      <c r="J329" t="str">
        <f>_xlfn.XLOOKUP(Logs__2[[#This Row],[Cell_ID]],'Registre_Maintenance'!B:B,'Registre_Maintenance'!F:F,"Pas de correspondance")</f>
        <v>Pas de correspondance</v>
      </c>
      <c r="K329" t="str">
        <f>_xlfn.XLOOKUP(Logs__2[[#This Row],[Cell_ID]],'Registre_Maintenance'!B:B,'Registre_Maintenance'!G:G,"Pas de correspondance")</f>
        <v>Pas de correspondance</v>
      </c>
    </row>
    <row r="330" spans="1:11" x14ac:dyDescent="0.25">
      <c r="A330" s="1" t="s">
        <v>1073</v>
      </c>
      <c r="B330" s="2">
        <v>45216</v>
      </c>
      <c r="C330" s="3">
        <v>0.26666666666666666</v>
      </c>
      <c r="D330" s="1" t="s">
        <v>964</v>
      </c>
      <c r="E330">
        <v>90</v>
      </c>
      <c r="F330" s="1" t="s">
        <v>811</v>
      </c>
      <c r="G330" t="str">
        <f>_xlfn.XLOOKUP(Logs__2[[#This Row],[Cell_ID]],'Registre_Maintenance'!B:B,'Registre_Maintenance'!C:C,"Pas de correspondance")</f>
        <v>Maniema</v>
      </c>
      <c r="H330">
        <f>_xlfn.XLOOKUP(Logs__2[[#This Row],[Cell_ID]],'Registre_Maintenance'!B:B,'Registre_Maintenance'!D:D,"Pas de correspondance")</f>
        <v>-2.3743210000000001</v>
      </c>
      <c r="I330">
        <f>_xlfn.XLOOKUP(Logs__2[[#This Row],[Cell_ID]],'Registre_Maintenance'!B:B,'Registre_Maintenance'!E:E,"Pas de correspondance")</f>
        <v>22.399491000000001</v>
      </c>
      <c r="J330" t="str">
        <f>_xlfn.XLOOKUP(Logs__2[[#This Row],[Cell_ID]],'Registre_Maintenance'!B:B,'Registre_Maintenance'!F:F,"Pas de correspondance")</f>
        <v>5G</v>
      </c>
      <c r="K330" t="str">
        <f>_xlfn.XLOOKUP(Logs__2[[#This Row],[Cell_ID]],'Registre_Maintenance'!B:B,'Registre_Maintenance'!G:G,"Pas de correspondance")</f>
        <v>Ericsson</v>
      </c>
    </row>
    <row r="331" spans="1:11" hidden="1" x14ac:dyDescent="0.25">
      <c r="A331" s="1" t="s">
        <v>1073</v>
      </c>
      <c r="B331" s="2">
        <v>45213</v>
      </c>
      <c r="C331" s="3">
        <v>0.59791666666666665</v>
      </c>
      <c r="D331" s="1" t="s">
        <v>1087</v>
      </c>
      <c r="E331">
        <v>108</v>
      </c>
      <c r="F331" s="1" t="s">
        <v>809</v>
      </c>
      <c r="G331" t="str">
        <f>_xlfn.XLOOKUP(Logs__2[[#This Row],[Cell_ID]],'Registre_Maintenance'!B:B,'Registre_Maintenance'!C:C,"Pas de correspondance")</f>
        <v>Pas de correspondance</v>
      </c>
      <c r="H331" t="str">
        <f>_xlfn.XLOOKUP(Logs__2[[#This Row],[Cell_ID]],'Registre_Maintenance'!B:B,'Registre_Maintenance'!D:D,"Pas de correspondance")</f>
        <v>Pas de correspondance</v>
      </c>
      <c r="I331" t="str">
        <f>_xlfn.XLOOKUP(Logs__2[[#This Row],[Cell_ID]],'Registre_Maintenance'!B:B,'Registre_Maintenance'!E:E,"Pas de correspondance")</f>
        <v>Pas de correspondance</v>
      </c>
      <c r="J331" t="str">
        <f>_xlfn.XLOOKUP(Logs__2[[#This Row],[Cell_ID]],'Registre_Maintenance'!B:B,'Registre_Maintenance'!F:F,"Pas de correspondance")</f>
        <v>Pas de correspondance</v>
      </c>
      <c r="K331" t="str">
        <f>_xlfn.XLOOKUP(Logs__2[[#This Row],[Cell_ID]],'Registre_Maintenance'!B:B,'Registre_Maintenance'!G:G,"Pas de correspondance")</f>
        <v>Pas de correspondance</v>
      </c>
    </row>
    <row r="332" spans="1:11" x14ac:dyDescent="0.25">
      <c r="A332" s="1" t="s">
        <v>1073</v>
      </c>
      <c r="B332" s="2">
        <v>45205</v>
      </c>
      <c r="C332" s="3">
        <v>0.47152777777777777</v>
      </c>
      <c r="D332" s="1" t="s">
        <v>1088</v>
      </c>
      <c r="E332">
        <v>50</v>
      </c>
      <c r="F332" s="1" t="s">
        <v>809</v>
      </c>
      <c r="G332" t="str">
        <f>_xlfn.XLOOKUP(Logs__2[[#This Row],[Cell_ID]],'Registre_Maintenance'!B:B,'Registre_Maintenance'!C:C,"Pas de correspondance")</f>
        <v>Haut-Lomami</v>
      </c>
      <c r="H332">
        <f>_xlfn.XLOOKUP(Logs__2[[#This Row],[Cell_ID]],'Registre_Maintenance'!B:B,'Registre_Maintenance'!D:D,"Pas de correspondance")</f>
        <v>2.628638</v>
      </c>
      <c r="I332">
        <f>_xlfn.XLOOKUP(Logs__2[[#This Row],[Cell_ID]],'Registre_Maintenance'!B:B,'Registre_Maintenance'!E:E,"Pas de correspondance")</f>
        <v>28.420582</v>
      </c>
      <c r="J332" t="str">
        <f>_xlfn.XLOOKUP(Logs__2[[#This Row],[Cell_ID]],'Registre_Maintenance'!B:B,'Registre_Maintenance'!F:F,"Pas de correspondance")</f>
        <v>4G</v>
      </c>
      <c r="K332" t="str">
        <f>_xlfn.XLOOKUP(Logs__2[[#This Row],[Cell_ID]],'Registre_Maintenance'!B:B,'Registre_Maintenance'!G:G,"Pas de correspondance")</f>
        <v>Huawei</v>
      </c>
    </row>
    <row r="333" spans="1:11" x14ac:dyDescent="0.25">
      <c r="A333" s="1" t="s">
        <v>1073</v>
      </c>
      <c r="B333" s="2">
        <v>45223</v>
      </c>
      <c r="C333" s="3">
        <v>0.45069444444444445</v>
      </c>
      <c r="D333" s="1" t="s">
        <v>1089</v>
      </c>
      <c r="E333">
        <v>14</v>
      </c>
      <c r="F333" s="1" t="s">
        <v>811</v>
      </c>
      <c r="G333" t="str">
        <f>_xlfn.XLOOKUP(Logs__2[[#This Row],[Cell_ID]],'Registre_Maintenance'!B:B,'Registre_Maintenance'!C:C,"Pas de correspondance")</f>
        <v>Tshuapa</v>
      </c>
      <c r="H333">
        <f>_xlfn.XLOOKUP(Logs__2[[#This Row],[Cell_ID]],'Registre_Maintenance'!B:B,'Registre_Maintenance'!D:D,"Pas de correspondance")</f>
        <v>-2.571777</v>
      </c>
      <c r="I333">
        <f>_xlfn.XLOOKUP(Logs__2[[#This Row],[Cell_ID]],'Registre_Maintenance'!B:B,'Registre_Maintenance'!E:E,"Pas de correspondance")</f>
        <v>12.120642</v>
      </c>
      <c r="J333" t="str">
        <f>_xlfn.XLOOKUP(Logs__2[[#This Row],[Cell_ID]],'Registre_Maintenance'!B:B,'Registre_Maintenance'!F:F,"Pas de correspondance")</f>
        <v>3G</v>
      </c>
      <c r="K333" t="str">
        <f>_xlfn.XLOOKUP(Logs__2[[#This Row],[Cell_ID]],'Registre_Maintenance'!B:B,'Registre_Maintenance'!G:G,"Pas de correspondance")</f>
        <v>Huawei</v>
      </c>
    </row>
    <row r="334" spans="1:11" hidden="1" x14ac:dyDescent="0.25">
      <c r="A334" s="1" t="s">
        <v>1073</v>
      </c>
      <c r="B334" s="2">
        <v>45230</v>
      </c>
      <c r="C334" s="3">
        <v>0.77638888888888891</v>
      </c>
      <c r="D334" s="1" t="s">
        <v>1090</v>
      </c>
      <c r="E334">
        <v>55</v>
      </c>
      <c r="F334" s="1" t="s">
        <v>809</v>
      </c>
      <c r="G334" t="str">
        <f>_xlfn.XLOOKUP(Logs__2[[#This Row],[Cell_ID]],'Registre_Maintenance'!B:B,'Registre_Maintenance'!C:C,"Pas de correspondance")</f>
        <v>Pas de correspondance</v>
      </c>
      <c r="H334" t="str">
        <f>_xlfn.XLOOKUP(Logs__2[[#This Row],[Cell_ID]],'Registre_Maintenance'!B:B,'Registre_Maintenance'!D:D,"Pas de correspondance")</f>
        <v>Pas de correspondance</v>
      </c>
      <c r="I334" t="str">
        <f>_xlfn.XLOOKUP(Logs__2[[#This Row],[Cell_ID]],'Registre_Maintenance'!B:B,'Registre_Maintenance'!E:E,"Pas de correspondance")</f>
        <v>Pas de correspondance</v>
      </c>
      <c r="J334" t="str">
        <f>_xlfn.XLOOKUP(Logs__2[[#This Row],[Cell_ID]],'Registre_Maintenance'!B:B,'Registre_Maintenance'!F:F,"Pas de correspondance")</f>
        <v>Pas de correspondance</v>
      </c>
      <c r="K334" t="str">
        <f>_xlfn.XLOOKUP(Logs__2[[#This Row],[Cell_ID]],'Registre_Maintenance'!B:B,'Registre_Maintenance'!G:G,"Pas de correspondance")</f>
        <v>Pas de correspondance</v>
      </c>
    </row>
    <row r="335" spans="1:11" hidden="1" x14ac:dyDescent="0.25">
      <c r="A335" s="1" t="s">
        <v>1073</v>
      </c>
      <c r="B335" s="2">
        <v>45202</v>
      </c>
      <c r="C335" s="3">
        <v>4.791666666666667E-2</v>
      </c>
      <c r="D335" s="1" t="s">
        <v>1091</v>
      </c>
      <c r="E335">
        <v>115</v>
      </c>
      <c r="F335" s="1" t="s">
        <v>809</v>
      </c>
      <c r="G335" t="str">
        <f>_xlfn.XLOOKUP(Logs__2[[#This Row],[Cell_ID]],'Registre_Maintenance'!B:B,'Registre_Maintenance'!C:C,"Pas de correspondance")</f>
        <v>Pas de correspondance</v>
      </c>
      <c r="H335" t="str">
        <f>_xlfn.XLOOKUP(Logs__2[[#This Row],[Cell_ID]],'Registre_Maintenance'!B:B,'Registre_Maintenance'!D:D,"Pas de correspondance")</f>
        <v>Pas de correspondance</v>
      </c>
      <c r="I335" t="str">
        <f>_xlfn.XLOOKUP(Logs__2[[#This Row],[Cell_ID]],'Registre_Maintenance'!B:B,'Registre_Maintenance'!E:E,"Pas de correspondance")</f>
        <v>Pas de correspondance</v>
      </c>
      <c r="J335" t="str">
        <f>_xlfn.XLOOKUP(Logs__2[[#This Row],[Cell_ID]],'Registre_Maintenance'!B:B,'Registre_Maintenance'!F:F,"Pas de correspondance")</f>
        <v>Pas de correspondance</v>
      </c>
      <c r="K335" t="str">
        <f>_xlfn.XLOOKUP(Logs__2[[#This Row],[Cell_ID]],'Registre_Maintenance'!B:B,'Registre_Maintenance'!G:G,"Pas de correspondance")</f>
        <v>Pas de correspondance</v>
      </c>
    </row>
    <row r="336" spans="1:11" hidden="1" x14ac:dyDescent="0.25">
      <c r="A336" s="1" t="s">
        <v>1073</v>
      </c>
      <c r="B336" s="2">
        <v>45205</v>
      </c>
      <c r="C336" s="3">
        <v>0.79374999999999996</v>
      </c>
      <c r="D336" s="1" t="s">
        <v>1092</v>
      </c>
      <c r="E336">
        <v>99</v>
      </c>
      <c r="F336" s="1" t="s">
        <v>809</v>
      </c>
      <c r="G336" t="str">
        <f>_xlfn.XLOOKUP(Logs__2[[#This Row],[Cell_ID]],'Registre_Maintenance'!B:B,'Registre_Maintenance'!C:C,"Pas de correspondance")</f>
        <v>Pas de correspondance</v>
      </c>
      <c r="H336" t="str">
        <f>_xlfn.XLOOKUP(Logs__2[[#This Row],[Cell_ID]],'Registre_Maintenance'!B:B,'Registre_Maintenance'!D:D,"Pas de correspondance")</f>
        <v>Pas de correspondance</v>
      </c>
      <c r="I336" t="str">
        <f>_xlfn.XLOOKUP(Logs__2[[#This Row],[Cell_ID]],'Registre_Maintenance'!B:B,'Registre_Maintenance'!E:E,"Pas de correspondance")</f>
        <v>Pas de correspondance</v>
      </c>
      <c r="J336" t="str">
        <f>_xlfn.XLOOKUP(Logs__2[[#This Row],[Cell_ID]],'Registre_Maintenance'!B:B,'Registre_Maintenance'!F:F,"Pas de correspondance")</f>
        <v>Pas de correspondance</v>
      </c>
      <c r="K336" t="str">
        <f>_xlfn.XLOOKUP(Logs__2[[#This Row],[Cell_ID]],'Registre_Maintenance'!B:B,'Registre_Maintenance'!G:G,"Pas de correspondance")</f>
        <v>Pas de correspondance</v>
      </c>
    </row>
    <row r="337" spans="1:11" hidden="1" x14ac:dyDescent="0.25">
      <c r="A337" s="1" t="s">
        <v>1073</v>
      </c>
      <c r="B337" s="2">
        <v>45214</v>
      </c>
      <c r="C337" s="3">
        <v>0.89375000000000004</v>
      </c>
      <c r="D337" s="1" t="s">
        <v>1093</v>
      </c>
      <c r="E337">
        <v>60</v>
      </c>
      <c r="F337" s="1" t="s">
        <v>809</v>
      </c>
      <c r="G337" t="str">
        <f>_xlfn.XLOOKUP(Logs__2[[#This Row],[Cell_ID]],'Registre_Maintenance'!B:B,'Registre_Maintenance'!C:C,"Pas de correspondance")</f>
        <v>Pas de correspondance</v>
      </c>
      <c r="H337" t="str">
        <f>_xlfn.XLOOKUP(Logs__2[[#This Row],[Cell_ID]],'Registre_Maintenance'!B:B,'Registre_Maintenance'!D:D,"Pas de correspondance")</f>
        <v>Pas de correspondance</v>
      </c>
      <c r="I337" t="str">
        <f>_xlfn.XLOOKUP(Logs__2[[#This Row],[Cell_ID]],'Registre_Maintenance'!B:B,'Registre_Maintenance'!E:E,"Pas de correspondance")</f>
        <v>Pas de correspondance</v>
      </c>
      <c r="J337" t="str">
        <f>_xlfn.XLOOKUP(Logs__2[[#This Row],[Cell_ID]],'Registre_Maintenance'!B:B,'Registre_Maintenance'!F:F,"Pas de correspondance")</f>
        <v>Pas de correspondance</v>
      </c>
      <c r="K337" t="str">
        <f>_xlfn.XLOOKUP(Logs__2[[#This Row],[Cell_ID]],'Registre_Maintenance'!B:B,'Registre_Maintenance'!G:G,"Pas de correspondance")</f>
        <v>Pas de correspondance</v>
      </c>
    </row>
    <row r="338" spans="1:11" hidden="1" x14ac:dyDescent="0.25">
      <c r="A338" s="1" t="s">
        <v>1073</v>
      </c>
      <c r="B338" s="2">
        <v>45215</v>
      </c>
      <c r="C338" s="3">
        <v>0.81111111111111112</v>
      </c>
      <c r="D338" s="1" t="s">
        <v>973</v>
      </c>
      <c r="E338">
        <v>7</v>
      </c>
      <c r="F338" s="1" t="s">
        <v>811</v>
      </c>
      <c r="G338" t="str">
        <f>_xlfn.XLOOKUP(Logs__2[[#This Row],[Cell_ID]],'Registre_Maintenance'!B:B,'Registre_Maintenance'!C:C,"Pas de correspondance")</f>
        <v>Pas de correspondance</v>
      </c>
      <c r="H338" t="str">
        <f>_xlfn.XLOOKUP(Logs__2[[#This Row],[Cell_ID]],'Registre_Maintenance'!B:B,'Registre_Maintenance'!D:D,"Pas de correspondance")</f>
        <v>Pas de correspondance</v>
      </c>
      <c r="I338" t="str">
        <f>_xlfn.XLOOKUP(Logs__2[[#This Row],[Cell_ID]],'Registre_Maintenance'!B:B,'Registre_Maintenance'!E:E,"Pas de correspondance")</f>
        <v>Pas de correspondance</v>
      </c>
      <c r="J338" t="str">
        <f>_xlfn.XLOOKUP(Logs__2[[#This Row],[Cell_ID]],'Registre_Maintenance'!B:B,'Registre_Maintenance'!F:F,"Pas de correspondance")</f>
        <v>Pas de correspondance</v>
      </c>
      <c r="K338" t="str">
        <f>_xlfn.XLOOKUP(Logs__2[[#This Row],[Cell_ID]],'Registre_Maintenance'!B:B,'Registre_Maintenance'!G:G,"Pas de correspondance")</f>
        <v>Pas de correspondance</v>
      </c>
    </row>
    <row r="339" spans="1:11" hidden="1" x14ac:dyDescent="0.25">
      <c r="A339" s="1" t="s">
        <v>1073</v>
      </c>
      <c r="B339" s="2">
        <v>45213</v>
      </c>
      <c r="C339" s="3">
        <v>0.34236111111111112</v>
      </c>
      <c r="D339" s="1" t="s">
        <v>1094</v>
      </c>
      <c r="E339">
        <v>63</v>
      </c>
      <c r="F339" s="1" t="s">
        <v>809</v>
      </c>
      <c r="G339" t="str">
        <f>_xlfn.XLOOKUP(Logs__2[[#This Row],[Cell_ID]],'Registre_Maintenance'!B:B,'Registre_Maintenance'!C:C,"Pas de correspondance")</f>
        <v>Pas de correspondance</v>
      </c>
      <c r="H339" t="str">
        <f>_xlfn.XLOOKUP(Logs__2[[#This Row],[Cell_ID]],'Registre_Maintenance'!B:B,'Registre_Maintenance'!D:D,"Pas de correspondance")</f>
        <v>Pas de correspondance</v>
      </c>
      <c r="I339" t="str">
        <f>_xlfn.XLOOKUP(Logs__2[[#This Row],[Cell_ID]],'Registre_Maintenance'!B:B,'Registre_Maintenance'!E:E,"Pas de correspondance")</f>
        <v>Pas de correspondance</v>
      </c>
      <c r="J339" t="str">
        <f>_xlfn.XLOOKUP(Logs__2[[#This Row],[Cell_ID]],'Registre_Maintenance'!B:B,'Registre_Maintenance'!F:F,"Pas de correspondance")</f>
        <v>Pas de correspondance</v>
      </c>
      <c r="K339" t="str">
        <f>_xlfn.XLOOKUP(Logs__2[[#This Row],[Cell_ID]],'Registre_Maintenance'!B:B,'Registre_Maintenance'!G:G,"Pas de correspondance")</f>
        <v>Pas de correspondance</v>
      </c>
    </row>
    <row r="340" spans="1:11" hidden="1" x14ac:dyDescent="0.25">
      <c r="A340" s="1" t="s">
        <v>1073</v>
      </c>
      <c r="B340" s="2">
        <v>45224</v>
      </c>
      <c r="C340" s="3">
        <v>0.67152777777777772</v>
      </c>
      <c r="D340" s="1" t="s">
        <v>961</v>
      </c>
      <c r="E340">
        <v>14</v>
      </c>
      <c r="F340" s="1" t="s">
        <v>811</v>
      </c>
      <c r="G340" t="str">
        <f>_xlfn.XLOOKUP(Logs__2[[#This Row],[Cell_ID]],'Registre_Maintenance'!B:B,'Registre_Maintenance'!C:C,"Pas de correspondance")</f>
        <v>Pas de correspondance</v>
      </c>
      <c r="H340" t="str">
        <f>_xlfn.XLOOKUP(Logs__2[[#This Row],[Cell_ID]],'Registre_Maintenance'!B:B,'Registre_Maintenance'!D:D,"Pas de correspondance")</f>
        <v>Pas de correspondance</v>
      </c>
      <c r="I340" t="str">
        <f>_xlfn.XLOOKUP(Logs__2[[#This Row],[Cell_ID]],'Registre_Maintenance'!B:B,'Registre_Maintenance'!E:E,"Pas de correspondance")</f>
        <v>Pas de correspondance</v>
      </c>
      <c r="J340" t="str">
        <f>_xlfn.XLOOKUP(Logs__2[[#This Row],[Cell_ID]],'Registre_Maintenance'!B:B,'Registre_Maintenance'!F:F,"Pas de correspondance")</f>
        <v>Pas de correspondance</v>
      </c>
      <c r="K340" t="str">
        <f>_xlfn.XLOOKUP(Logs__2[[#This Row],[Cell_ID]],'Registre_Maintenance'!B:B,'Registre_Maintenance'!G:G,"Pas de correspondance")</f>
        <v>Pas de correspondance</v>
      </c>
    </row>
    <row r="341" spans="1:11" hidden="1" x14ac:dyDescent="0.25">
      <c r="A341" s="1" t="s">
        <v>1073</v>
      </c>
      <c r="B341" s="2">
        <v>45211</v>
      </c>
      <c r="C341" s="3">
        <v>0.54652777777777772</v>
      </c>
      <c r="D341" s="1" t="s">
        <v>868</v>
      </c>
      <c r="E341">
        <v>115</v>
      </c>
      <c r="F341" s="1" t="s">
        <v>806</v>
      </c>
      <c r="G341" t="str">
        <f>_xlfn.XLOOKUP(Logs__2[[#This Row],[Cell_ID]],'Registre_Maintenance'!B:B,'Registre_Maintenance'!C:C,"Pas de correspondance")</f>
        <v>Pas de correspondance</v>
      </c>
      <c r="H341" t="str">
        <f>_xlfn.XLOOKUP(Logs__2[[#This Row],[Cell_ID]],'Registre_Maintenance'!B:B,'Registre_Maintenance'!D:D,"Pas de correspondance")</f>
        <v>Pas de correspondance</v>
      </c>
      <c r="I341" t="str">
        <f>_xlfn.XLOOKUP(Logs__2[[#This Row],[Cell_ID]],'Registre_Maintenance'!B:B,'Registre_Maintenance'!E:E,"Pas de correspondance")</f>
        <v>Pas de correspondance</v>
      </c>
      <c r="J341" t="str">
        <f>_xlfn.XLOOKUP(Logs__2[[#This Row],[Cell_ID]],'Registre_Maintenance'!B:B,'Registre_Maintenance'!F:F,"Pas de correspondance")</f>
        <v>Pas de correspondance</v>
      </c>
      <c r="K341" t="str">
        <f>_xlfn.XLOOKUP(Logs__2[[#This Row],[Cell_ID]],'Registre_Maintenance'!B:B,'Registre_Maintenance'!G:G,"Pas de correspondance")</f>
        <v>Pas de correspondance</v>
      </c>
    </row>
    <row r="342" spans="1:11" hidden="1" x14ac:dyDescent="0.25">
      <c r="A342" s="1" t="s">
        <v>1073</v>
      </c>
      <c r="B342" s="2">
        <v>45209</v>
      </c>
      <c r="C342" s="3">
        <v>0.90486111111111112</v>
      </c>
      <c r="D342" s="1" t="s">
        <v>833</v>
      </c>
      <c r="E342">
        <v>45</v>
      </c>
      <c r="F342" s="1" t="s">
        <v>811</v>
      </c>
      <c r="G342" t="str">
        <f>_xlfn.XLOOKUP(Logs__2[[#This Row],[Cell_ID]],'Registre_Maintenance'!B:B,'Registre_Maintenance'!C:C,"Pas de correspondance")</f>
        <v>Pas de correspondance</v>
      </c>
      <c r="H342" t="str">
        <f>_xlfn.XLOOKUP(Logs__2[[#This Row],[Cell_ID]],'Registre_Maintenance'!B:B,'Registre_Maintenance'!D:D,"Pas de correspondance")</f>
        <v>Pas de correspondance</v>
      </c>
      <c r="I342" t="str">
        <f>_xlfn.XLOOKUP(Logs__2[[#This Row],[Cell_ID]],'Registre_Maintenance'!B:B,'Registre_Maintenance'!E:E,"Pas de correspondance")</f>
        <v>Pas de correspondance</v>
      </c>
      <c r="J342" t="str">
        <f>_xlfn.XLOOKUP(Logs__2[[#This Row],[Cell_ID]],'Registre_Maintenance'!B:B,'Registre_Maintenance'!F:F,"Pas de correspondance")</f>
        <v>Pas de correspondance</v>
      </c>
      <c r="K342" t="str">
        <f>_xlfn.XLOOKUP(Logs__2[[#This Row],[Cell_ID]],'Registre_Maintenance'!B:B,'Registre_Maintenance'!G:G,"Pas de correspondance")</f>
        <v>Pas de correspondance</v>
      </c>
    </row>
    <row r="343" spans="1:11" hidden="1" x14ac:dyDescent="0.25">
      <c r="A343" s="1" t="s">
        <v>1073</v>
      </c>
      <c r="B343" s="2">
        <v>45218</v>
      </c>
      <c r="C343" s="3">
        <v>0.6479166666666667</v>
      </c>
      <c r="D343" s="1" t="s">
        <v>1095</v>
      </c>
      <c r="E343">
        <v>78</v>
      </c>
      <c r="F343" s="1" t="s">
        <v>806</v>
      </c>
      <c r="G343" t="str">
        <f>_xlfn.XLOOKUP(Logs__2[[#This Row],[Cell_ID]],'Registre_Maintenance'!B:B,'Registre_Maintenance'!C:C,"Pas de correspondance")</f>
        <v>Pas de correspondance</v>
      </c>
      <c r="H343" t="str">
        <f>_xlfn.XLOOKUP(Logs__2[[#This Row],[Cell_ID]],'Registre_Maintenance'!B:B,'Registre_Maintenance'!D:D,"Pas de correspondance")</f>
        <v>Pas de correspondance</v>
      </c>
      <c r="I343" t="str">
        <f>_xlfn.XLOOKUP(Logs__2[[#This Row],[Cell_ID]],'Registre_Maintenance'!B:B,'Registre_Maintenance'!E:E,"Pas de correspondance")</f>
        <v>Pas de correspondance</v>
      </c>
      <c r="J343" t="str">
        <f>_xlfn.XLOOKUP(Logs__2[[#This Row],[Cell_ID]],'Registre_Maintenance'!B:B,'Registre_Maintenance'!F:F,"Pas de correspondance")</f>
        <v>Pas de correspondance</v>
      </c>
      <c r="K343" t="str">
        <f>_xlfn.XLOOKUP(Logs__2[[#This Row],[Cell_ID]],'Registre_Maintenance'!B:B,'Registre_Maintenance'!G:G,"Pas de correspondance")</f>
        <v>Pas de correspondance</v>
      </c>
    </row>
    <row r="344" spans="1:11" x14ac:dyDescent="0.25">
      <c r="A344" s="1" t="s">
        <v>1073</v>
      </c>
      <c r="B344" s="2">
        <v>45221</v>
      </c>
      <c r="C344" s="3">
        <v>0.37638888888888888</v>
      </c>
      <c r="D344" s="1" t="s">
        <v>1096</v>
      </c>
      <c r="E344">
        <v>59</v>
      </c>
      <c r="F344" s="1" t="s">
        <v>811</v>
      </c>
      <c r="G344" t="str">
        <f>_xlfn.XLOOKUP(Logs__2[[#This Row],[Cell_ID]],'Registre_Maintenance'!B:B,'Registre_Maintenance'!C:C,"Pas de correspondance")</f>
        <v>Maniema</v>
      </c>
      <c r="H344">
        <f>_xlfn.XLOOKUP(Logs__2[[#This Row],[Cell_ID]],'Registre_Maintenance'!B:B,'Registre_Maintenance'!D:D,"Pas de correspondance")</f>
        <v>-8.4824669999999998</v>
      </c>
      <c r="I344">
        <f>_xlfn.XLOOKUP(Logs__2[[#This Row],[Cell_ID]],'Registre_Maintenance'!B:B,'Registre_Maintenance'!E:E,"Pas de correspondance")</f>
        <v>21.897777999999999</v>
      </c>
      <c r="J344" t="str">
        <f>_xlfn.XLOOKUP(Logs__2[[#This Row],[Cell_ID]],'Registre_Maintenance'!B:B,'Registre_Maintenance'!F:F,"Pas de correspondance")</f>
        <v>5G</v>
      </c>
      <c r="K344" t="str">
        <f>_xlfn.XLOOKUP(Logs__2[[#This Row],[Cell_ID]],'Registre_Maintenance'!B:B,'Registre_Maintenance'!G:G,"Pas de correspondance")</f>
        <v>Ericsson</v>
      </c>
    </row>
    <row r="345" spans="1:11" x14ac:dyDescent="0.25">
      <c r="A345" s="1" t="s">
        <v>1073</v>
      </c>
      <c r="B345" s="2">
        <v>45207</v>
      </c>
      <c r="C345" s="3">
        <v>0.52638888888888891</v>
      </c>
      <c r="D345" s="1" t="s">
        <v>1097</v>
      </c>
      <c r="E345">
        <v>78</v>
      </c>
      <c r="F345" s="1" t="s">
        <v>811</v>
      </c>
      <c r="G345" t="str">
        <f>_xlfn.XLOOKUP(Logs__2[[#This Row],[Cell_ID]],'Registre_Maintenance'!B:B,'Registre_Maintenance'!C:C,"Pas de correspondance")</f>
        <v>Haut-Katanga</v>
      </c>
      <c r="H345">
        <f>_xlfn.XLOOKUP(Logs__2[[#This Row],[Cell_ID]],'Registre_Maintenance'!B:B,'Registre_Maintenance'!D:D,"Pas de correspondance")</f>
        <v>-9.4229749999999992</v>
      </c>
      <c r="I345">
        <f>_xlfn.XLOOKUP(Logs__2[[#This Row],[Cell_ID]],'Registre_Maintenance'!B:B,'Registre_Maintenance'!E:E,"Pas de correspondance")</f>
        <v>29.375005999999999</v>
      </c>
      <c r="J345" t="str">
        <f>_xlfn.XLOOKUP(Logs__2[[#This Row],[Cell_ID]],'Registre_Maintenance'!B:B,'Registre_Maintenance'!F:F,"Pas de correspondance")</f>
        <v>3G</v>
      </c>
      <c r="K345" t="str">
        <f>_xlfn.XLOOKUP(Logs__2[[#This Row],[Cell_ID]],'Registre_Maintenance'!B:B,'Registre_Maintenance'!G:G,"Pas de correspondance")</f>
        <v>Ericsson</v>
      </c>
    </row>
    <row r="346" spans="1:11" x14ac:dyDescent="0.25">
      <c r="A346" s="1" t="s">
        <v>1073</v>
      </c>
      <c r="B346" s="2">
        <v>45201</v>
      </c>
      <c r="C346" s="3">
        <v>9.0277777777777769E-3</v>
      </c>
      <c r="D346" s="1" t="s">
        <v>1064</v>
      </c>
      <c r="E346">
        <v>56</v>
      </c>
      <c r="F346" s="1" t="s">
        <v>809</v>
      </c>
      <c r="G346" t="str">
        <f>_xlfn.XLOOKUP(Logs__2[[#This Row],[Cell_ID]],'Registre_Maintenance'!B:B,'Registre_Maintenance'!C:C,"Pas de correspondance")</f>
        <v>Nord-Ubangi</v>
      </c>
      <c r="H346">
        <f>_xlfn.XLOOKUP(Logs__2[[#This Row],[Cell_ID]],'Registre_Maintenance'!B:B,'Registre_Maintenance'!D:D,"Pas de correspondance")</f>
        <v>-7.7839049999999999</v>
      </c>
      <c r="I346">
        <f>_xlfn.XLOOKUP(Logs__2[[#This Row],[Cell_ID]],'Registre_Maintenance'!B:B,'Registre_Maintenance'!E:E,"Pas de correspondance")</f>
        <v>14.114281999999999</v>
      </c>
      <c r="J346" t="str">
        <f>_xlfn.XLOOKUP(Logs__2[[#This Row],[Cell_ID]],'Registre_Maintenance'!B:B,'Registre_Maintenance'!F:F,"Pas de correspondance")</f>
        <v>3G</v>
      </c>
      <c r="K346" t="str">
        <f>_xlfn.XLOOKUP(Logs__2[[#This Row],[Cell_ID]],'Registre_Maintenance'!B:B,'Registre_Maintenance'!G:G,"Pas de correspondance")</f>
        <v>ZTE</v>
      </c>
    </row>
    <row r="347" spans="1:11" x14ac:dyDescent="0.25">
      <c r="A347" s="1" t="s">
        <v>1098</v>
      </c>
      <c r="B347" s="2">
        <v>45201</v>
      </c>
      <c r="C347" s="3">
        <v>5.7638888888888892E-2</v>
      </c>
      <c r="D347" s="1" t="s">
        <v>1099</v>
      </c>
      <c r="E347">
        <v>103</v>
      </c>
      <c r="F347" s="1" t="s">
        <v>806</v>
      </c>
      <c r="G347" t="str">
        <f>_xlfn.XLOOKUP(Logs__2[[#This Row],[Cell_ID]],'Registre_Maintenance'!B:B,'Registre_Maintenance'!C:C,"Pas de correspondance")</f>
        <v>Haut-Katanga</v>
      </c>
      <c r="H347">
        <f>_xlfn.XLOOKUP(Logs__2[[#This Row],[Cell_ID]],'Registre_Maintenance'!B:B,'Registre_Maintenance'!D:D,"Pas de correspondance")</f>
        <v>-11.594525000000001</v>
      </c>
      <c r="I347">
        <f>_xlfn.XLOOKUP(Logs__2[[#This Row],[Cell_ID]],'Registre_Maintenance'!B:B,'Registre_Maintenance'!E:E,"Pas de correspondance")</f>
        <v>29.744895</v>
      </c>
      <c r="J347" t="str">
        <f>_xlfn.XLOOKUP(Logs__2[[#This Row],[Cell_ID]],'Registre_Maintenance'!B:B,'Registre_Maintenance'!F:F,"Pas de correspondance")</f>
        <v>3G</v>
      </c>
      <c r="K347" t="str">
        <f>_xlfn.XLOOKUP(Logs__2[[#This Row],[Cell_ID]],'Registre_Maintenance'!B:B,'Registre_Maintenance'!G:G,"Pas de correspondance")</f>
        <v>ZTE</v>
      </c>
    </row>
    <row r="348" spans="1:11" x14ac:dyDescent="0.25">
      <c r="A348" s="1" t="s">
        <v>1098</v>
      </c>
      <c r="B348" s="2">
        <v>45226</v>
      </c>
      <c r="C348" s="3">
        <v>0.37777777777777777</v>
      </c>
      <c r="D348" s="1" t="s">
        <v>1100</v>
      </c>
      <c r="E348">
        <v>74</v>
      </c>
      <c r="F348" s="1" t="s">
        <v>811</v>
      </c>
      <c r="G348" t="str">
        <f>_xlfn.XLOOKUP(Logs__2[[#This Row],[Cell_ID]],'Registre_Maintenance'!B:B,'Registre_Maintenance'!C:C,"Pas de correspondance")</f>
        <v>Mongala</v>
      </c>
      <c r="H348">
        <f>_xlfn.XLOOKUP(Logs__2[[#This Row],[Cell_ID]],'Registre_Maintenance'!B:B,'Registre_Maintenance'!D:D,"Pas de correspondance")</f>
        <v>4.6809229999999999</v>
      </c>
      <c r="I348">
        <f>_xlfn.XLOOKUP(Logs__2[[#This Row],[Cell_ID]],'Registre_Maintenance'!B:B,'Registre_Maintenance'!E:E,"Pas de correspondance")</f>
        <v>28.934242000000001</v>
      </c>
      <c r="J348" t="str">
        <f>_xlfn.XLOOKUP(Logs__2[[#This Row],[Cell_ID]],'Registre_Maintenance'!B:B,'Registre_Maintenance'!F:F,"Pas de correspondance")</f>
        <v>5G</v>
      </c>
      <c r="K348" t="str">
        <f>_xlfn.XLOOKUP(Logs__2[[#This Row],[Cell_ID]],'Registre_Maintenance'!B:B,'Registre_Maintenance'!G:G,"Pas de correspondance")</f>
        <v>Nokia</v>
      </c>
    </row>
    <row r="349" spans="1:11" hidden="1" x14ac:dyDescent="0.25">
      <c r="A349" s="1" t="s">
        <v>1098</v>
      </c>
      <c r="B349" s="2">
        <v>45220</v>
      </c>
      <c r="C349" s="3">
        <v>0.11041666666666666</v>
      </c>
      <c r="D349" s="1" t="s">
        <v>1101</v>
      </c>
      <c r="E349">
        <v>111</v>
      </c>
      <c r="F349" s="1" t="s">
        <v>811</v>
      </c>
      <c r="G349" t="str">
        <f>_xlfn.XLOOKUP(Logs__2[[#This Row],[Cell_ID]],'Registre_Maintenance'!B:B,'Registre_Maintenance'!C:C,"Pas de correspondance")</f>
        <v>Pas de correspondance</v>
      </c>
      <c r="H349" t="str">
        <f>_xlfn.XLOOKUP(Logs__2[[#This Row],[Cell_ID]],'Registre_Maintenance'!B:B,'Registre_Maintenance'!D:D,"Pas de correspondance")</f>
        <v>Pas de correspondance</v>
      </c>
      <c r="I349" t="str">
        <f>_xlfn.XLOOKUP(Logs__2[[#This Row],[Cell_ID]],'Registre_Maintenance'!B:B,'Registre_Maintenance'!E:E,"Pas de correspondance")</f>
        <v>Pas de correspondance</v>
      </c>
      <c r="J349" t="str">
        <f>_xlfn.XLOOKUP(Logs__2[[#This Row],[Cell_ID]],'Registre_Maintenance'!B:B,'Registre_Maintenance'!F:F,"Pas de correspondance")</f>
        <v>Pas de correspondance</v>
      </c>
      <c r="K349" t="str">
        <f>_xlfn.XLOOKUP(Logs__2[[#This Row],[Cell_ID]],'Registre_Maintenance'!B:B,'Registre_Maintenance'!G:G,"Pas de correspondance")</f>
        <v>Pas de correspondance</v>
      </c>
    </row>
    <row r="350" spans="1:11" x14ac:dyDescent="0.25">
      <c r="A350" s="1" t="s">
        <v>1098</v>
      </c>
      <c r="B350" s="2">
        <v>45219</v>
      </c>
      <c r="C350" s="3">
        <v>0.68333333333333335</v>
      </c>
      <c r="D350" s="1" t="s">
        <v>1102</v>
      </c>
      <c r="E350">
        <v>99</v>
      </c>
      <c r="F350" s="1" t="s">
        <v>809</v>
      </c>
      <c r="G350" t="str">
        <f>_xlfn.XLOOKUP(Logs__2[[#This Row],[Cell_ID]],'Registre_Maintenance'!B:B,'Registre_Maintenance'!C:C,"Pas de correspondance")</f>
        <v>Kongo-Central</v>
      </c>
      <c r="H350">
        <f>_xlfn.XLOOKUP(Logs__2[[#This Row],[Cell_ID]],'Registre_Maintenance'!B:B,'Registre_Maintenance'!D:D,"Pas de correspondance")</f>
        <v>-9.5840350000000001</v>
      </c>
      <c r="I350">
        <f>_xlfn.XLOOKUP(Logs__2[[#This Row],[Cell_ID]],'Registre_Maintenance'!B:B,'Registre_Maintenance'!E:E,"Pas de correspondance")</f>
        <v>15.966024000000001</v>
      </c>
      <c r="J350" t="str">
        <f>_xlfn.XLOOKUP(Logs__2[[#This Row],[Cell_ID]],'Registre_Maintenance'!B:B,'Registre_Maintenance'!F:F,"Pas de correspondance")</f>
        <v>5G</v>
      </c>
      <c r="K350" t="str">
        <f>_xlfn.XLOOKUP(Logs__2[[#This Row],[Cell_ID]],'Registre_Maintenance'!B:B,'Registre_Maintenance'!G:G,"Pas de correspondance")</f>
        <v>Nokia</v>
      </c>
    </row>
    <row r="351" spans="1:11" x14ac:dyDescent="0.25">
      <c r="A351" s="1" t="s">
        <v>1098</v>
      </c>
      <c r="B351" s="2">
        <v>45214</v>
      </c>
      <c r="C351" s="3">
        <v>0.77430555555555558</v>
      </c>
      <c r="D351" s="1" t="s">
        <v>884</v>
      </c>
      <c r="E351">
        <v>118</v>
      </c>
      <c r="F351" s="1" t="s">
        <v>806</v>
      </c>
      <c r="G351" t="str">
        <f>_xlfn.XLOOKUP(Logs__2[[#This Row],[Cell_ID]],'Registre_Maintenance'!B:B,'Registre_Maintenance'!C:C,"Pas de correspondance")</f>
        <v>Sud-Ubangi</v>
      </c>
      <c r="H351">
        <f>_xlfn.XLOOKUP(Logs__2[[#This Row],[Cell_ID]],'Registre_Maintenance'!B:B,'Registre_Maintenance'!D:D,"Pas de correspondance")</f>
        <v>-10.914952</v>
      </c>
      <c r="I351">
        <f>_xlfn.XLOOKUP(Logs__2[[#This Row],[Cell_ID]],'Registre_Maintenance'!B:B,'Registre_Maintenance'!E:E,"Pas de correspondance")</f>
        <v>26.409648000000001</v>
      </c>
      <c r="J351" t="str">
        <f>_xlfn.XLOOKUP(Logs__2[[#This Row],[Cell_ID]],'Registre_Maintenance'!B:B,'Registre_Maintenance'!F:F,"Pas de correspondance")</f>
        <v>4G</v>
      </c>
      <c r="K351" t="str">
        <f>_xlfn.XLOOKUP(Logs__2[[#This Row],[Cell_ID]],'Registre_Maintenance'!B:B,'Registre_Maintenance'!G:G,"Pas de correspondance")</f>
        <v>Huawei</v>
      </c>
    </row>
    <row r="352" spans="1:11" x14ac:dyDescent="0.25">
      <c r="A352" s="1" t="s">
        <v>1098</v>
      </c>
      <c r="B352" s="2">
        <v>45230</v>
      </c>
      <c r="C352" s="3">
        <v>0.99791666666666667</v>
      </c>
      <c r="D352" s="1" t="s">
        <v>1103</v>
      </c>
      <c r="E352">
        <v>72</v>
      </c>
      <c r="F352" s="1" t="s">
        <v>811</v>
      </c>
      <c r="G352" t="str">
        <f>_xlfn.XLOOKUP(Logs__2[[#This Row],[Cell_ID]],'Registre_Maintenance'!B:B,'Registre_Maintenance'!C:C,"Pas de correspondance")</f>
        <v>Ituri</v>
      </c>
      <c r="H352">
        <f>_xlfn.XLOOKUP(Logs__2[[#This Row],[Cell_ID]],'Registre_Maintenance'!B:B,'Registre_Maintenance'!D:D,"Pas de correspondance")</f>
        <v>-1.9120569999999999</v>
      </c>
      <c r="I352">
        <f>_xlfn.XLOOKUP(Logs__2[[#This Row],[Cell_ID]],'Registre_Maintenance'!B:B,'Registre_Maintenance'!E:E,"Pas de correspondance")</f>
        <v>15.236072999999999</v>
      </c>
      <c r="J352" t="str">
        <f>_xlfn.XLOOKUP(Logs__2[[#This Row],[Cell_ID]],'Registre_Maintenance'!B:B,'Registre_Maintenance'!F:F,"Pas de correspondance")</f>
        <v>5G</v>
      </c>
      <c r="K352" t="str">
        <f>_xlfn.XLOOKUP(Logs__2[[#This Row],[Cell_ID]],'Registre_Maintenance'!B:B,'Registre_Maintenance'!G:G,"Pas de correspondance")</f>
        <v>Huawei</v>
      </c>
    </row>
    <row r="353" spans="1:11" hidden="1" x14ac:dyDescent="0.25">
      <c r="A353" s="1" t="s">
        <v>1098</v>
      </c>
      <c r="B353" s="2">
        <v>45201</v>
      </c>
      <c r="C353" s="3">
        <v>0.62361111111111112</v>
      </c>
      <c r="D353" s="1" t="s">
        <v>1104</v>
      </c>
      <c r="E353">
        <v>9</v>
      </c>
      <c r="F353" s="1" t="s">
        <v>806</v>
      </c>
      <c r="G353" t="str">
        <f>_xlfn.XLOOKUP(Logs__2[[#This Row],[Cell_ID]],'Registre_Maintenance'!B:B,'Registre_Maintenance'!C:C,"Pas de correspondance")</f>
        <v>Pas de correspondance</v>
      </c>
      <c r="H353" t="str">
        <f>_xlfn.XLOOKUP(Logs__2[[#This Row],[Cell_ID]],'Registre_Maintenance'!B:B,'Registre_Maintenance'!D:D,"Pas de correspondance")</f>
        <v>Pas de correspondance</v>
      </c>
      <c r="I353" t="str">
        <f>_xlfn.XLOOKUP(Logs__2[[#This Row],[Cell_ID]],'Registre_Maintenance'!B:B,'Registre_Maintenance'!E:E,"Pas de correspondance")</f>
        <v>Pas de correspondance</v>
      </c>
      <c r="J353" t="str">
        <f>_xlfn.XLOOKUP(Logs__2[[#This Row],[Cell_ID]],'Registre_Maintenance'!B:B,'Registre_Maintenance'!F:F,"Pas de correspondance")</f>
        <v>Pas de correspondance</v>
      </c>
      <c r="K353" t="str">
        <f>_xlfn.XLOOKUP(Logs__2[[#This Row],[Cell_ID]],'Registre_Maintenance'!B:B,'Registre_Maintenance'!G:G,"Pas de correspondance")</f>
        <v>Pas de correspondance</v>
      </c>
    </row>
    <row r="354" spans="1:11" hidden="1" x14ac:dyDescent="0.25">
      <c r="A354" s="1" t="s">
        <v>1098</v>
      </c>
      <c r="B354" s="2">
        <v>45225</v>
      </c>
      <c r="C354" s="3">
        <v>0.77847222222222223</v>
      </c>
      <c r="D354" s="1" t="s">
        <v>1105</v>
      </c>
      <c r="E354">
        <v>89</v>
      </c>
      <c r="F354" s="1" t="s">
        <v>806</v>
      </c>
      <c r="G354" t="str">
        <f>_xlfn.XLOOKUP(Logs__2[[#This Row],[Cell_ID]],'Registre_Maintenance'!B:B,'Registre_Maintenance'!C:C,"Pas de correspondance")</f>
        <v>Pas de correspondance</v>
      </c>
      <c r="H354" t="str">
        <f>_xlfn.XLOOKUP(Logs__2[[#This Row],[Cell_ID]],'Registre_Maintenance'!B:B,'Registre_Maintenance'!D:D,"Pas de correspondance")</f>
        <v>Pas de correspondance</v>
      </c>
      <c r="I354" t="str">
        <f>_xlfn.XLOOKUP(Logs__2[[#This Row],[Cell_ID]],'Registre_Maintenance'!B:B,'Registre_Maintenance'!E:E,"Pas de correspondance")</f>
        <v>Pas de correspondance</v>
      </c>
      <c r="J354" t="str">
        <f>_xlfn.XLOOKUP(Logs__2[[#This Row],[Cell_ID]],'Registre_Maintenance'!B:B,'Registre_Maintenance'!F:F,"Pas de correspondance")</f>
        <v>Pas de correspondance</v>
      </c>
      <c r="K354" t="str">
        <f>_xlfn.XLOOKUP(Logs__2[[#This Row],[Cell_ID]],'Registre_Maintenance'!B:B,'Registre_Maintenance'!G:G,"Pas de correspondance")</f>
        <v>Pas de correspondance</v>
      </c>
    </row>
    <row r="355" spans="1:11" x14ac:dyDescent="0.25">
      <c r="A355" s="1" t="s">
        <v>1098</v>
      </c>
      <c r="B355" s="2">
        <v>45206</v>
      </c>
      <c r="C355" s="3">
        <v>0.44305555555555554</v>
      </c>
      <c r="D355" s="1" t="s">
        <v>1106</v>
      </c>
      <c r="E355">
        <v>48</v>
      </c>
      <c r="F355" s="1" t="s">
        <v>811</v>
      </c>
      <c r="G355" t="str">
        <f>_xlfn.XLOOKUP(Logs__2[[#This Row],[Cell_ID]],'Registre_Maintenance'!B:B,'Registre_Maintenance'!C:C,"Pas de correspondance")</f>
        <v>Haut-Lomami</v>
      </c>
      <c r="H355">
        <f>_xlfn.XLOOKUP(Logs__2[[#This Row],[Cell_ID]],'Registre_Maintenance'!B:B,'Registre_Maintenance'!D:D,"Pas de correspondance")</f>
        <v>0.16327700000000001</v>
      </c>
      <c r="I355">
        <f>_xlfn.XLOOKUP(Logs__2[[#This Row],[Cell_ID]],'Registre_Maintenance'!B:B,'Registre_Maintenance'!E:E,"Pas de correspondance")</f>
        <v>14.871577</v>
      </c>
      <c r="J355" t="str">
        <f>_xlfn.XLOOKUP(Logs__2[[#This Row],[Cell_ID]],'Registre_Maintenance'!B:B,'Registre_Maintenance'!F:F,"Pas de correspondance")</f>
        <v>4G</v>
      </c>
      <c r="K355" t="str">
        <f>_xlfn.XLOOKUP(Logs__2[[#This Row],[Cell_ID]],'Registre_Maintenance'!B:B,'Registre_Maintenance'!G:G,"Pas de correspondance")</f>
        <v>Huawei</v>
      </c>
    </row>
    <row r="356" spans="1:11" x14ac:dyDescent="0.25">
      <c r="A356" s="1" t="s">
        <v>1098</v>
      </c>
      <c r="B356" s="2">
        <v>45215</v>
      </c>
      <c r="C356" s="3">
        <v>0.67291666666666672</v>
      </c>
      <c r="D356" s="1" t="s">
        <v>852</v>
      </c>
      <c r="E356">
        <v>117</v>
      </c>
      <c r="F356" s="1" t="s">
        <v>811</v>
      </c>
      <c r="G356" t="str">
        <f>_xlfn.XLOOKUP(Logs__2[[#This Row],[Cell_ID]],'Registre_Maintenance'!B:B,'Registre_Maintenance'!C:C,"Pas de correspondance")</f>
        <v>Nord-Kivu</v>
      </c>
      <c r="H356">
        <f>_xlfn.XLOOKUP(Logs__2[[#This Row],[Cell_ID]],'Registre_Maintenance'!B:B,'Registre_Maintenance'!D:D,"Pas de correspondance")</f>
        <v>-11.866133</v>
      </c>
      <c r="I356">
        <f>_xlfn.XLOOKUP(Logs__2[[#This Row],[Cell_ID]],'Registre_Maintenance'!B:B,'Registre_Maintenance'!E:E,"Pas de correspondance")</f>
        <v>27.068932</v>
      </c>
      <c r="J356" t="str">
        <f>_xlfn.XLOOKUP(Logs__2[[#This Row],[Cell_ID]],'Registre_Maintenance'!B:B,'Registre_Maintenance'!F:F,"Pas de correspondance")</f>
        <v>3G</v>
      </c>
      <c r="K356" t="str">
        <f>_xlfn.XLOOKUP(Logs__2[[#This Row],[Cell_ID]],'Registre_Maintenance'!B:B,'Registre_Maintenance'!G:G,"Pas de correspondance")</f>
        <v>Huawei</v>
      </c>
    </row>
    <row r="357" spans="1:11" hidden="1" x14ac:dyDescent="0.25">
      <c r="A357" s="1" t="s">
        <v>1098</v>
      </c>
      <c r="B357" s="2">
        <v>45230</v>
      </c>
      <c r="C357" s="3">
        <v>6.1111111111111109E-2</v>
      </c>
      <c r="D357" s="1" t="s">
        <v>1107</v>
      </c>
      <c r="E357">
        <v>103</v>
      </c>
      <c r="F357" s="1" t="s">
        <v>806</v>
      </c>
      <c r="G357" t="str">
        <f>_xlfn.XLOOKUP(Logs__2[[#This Row],[Cell_ID]],'Registre_Maintenance'!B:B,'Registre_Maintenance'!C:C,"Pas de correspondance")</f>
        <v>Pas de correspondance</v>
      </c>
      <c r="H357" t="str">
        <f>_xlfn.XLOOKUP(Logs__2[[#This Row],[Cell_ID]],'Registre_Maintenance'!B:B,'Registre_Maintenance'!D:D,"Pas de correspondance")</f>
        <v>Pas de correspondance</v>
      </c>
      <c r="I357" t="str">
        <f>_xlfn.XLOOKUP(Logs__2[[#This Row],[Cell_ID]],'Registre_Maintenance'!B:B,'Registre_Maintenance'!E:E,"Pas de correspondance")</f>
        <v>Pas de correspondance</v>
      </c>
      <c r="J357" t="str">
        <f>_xlfn.XLOOKUP(Logs__2[[#This Row],[Cell_ID]],'Registre_Maintenance'!B:B,'Registre_Maintenance'!F:F,"Pas de correspondance")</f>
        <v>Pas de correspondance</v>
      </c>
      <c r="K357" t="str">
        <f>_xlfn.XLOOKUP(Logs__2[[#This Row],[Cell_ID]],'Registre_Maintenance'!B:B,'Registre_Maintenance'!G:G,"Pas de correspondance")</f>
        <v>Pas de correspondance</v>
      </c>
    </row>
    <row r="358" spans="1:11" hidden="1" x14ac:dyDescent="0.25">
      <c r="A358" s="1" t="s">
        <v>1098</v>
      </c>
      <c r="B358" s="2">
        <v>45203</v>
      </c>
      <c r="C358" s="3">
        <v>0.44791666666666669</v>
      </c>
      <c r="D358" s="1" t="s">
        <v>1025</v>
      </c>
      <c r="E358">
        <v>84</v>
      </c>
      <c r="F358" s="1" t="s">
        <v>811</v>
      </c>
      <c r="G358" t="str">
        <f>_xlfn.XLOOKUP(Logs__2[[#This Row],[Cell_ID]],'Registre_Maintenance'!B:B,'Registre_Maintenance'!C:C,"Pas de correspondance")</f>
        <v>Pas de correspondance</v>
      </c>
      <c r="H358" t="str">
        <f>_xlfn.XLOOKUP(Logs__2[[#This Row],[Cell_ID]],'Registre_Maintenance'!B:B,'Registre_Maintenance'!D:D,"Pas de correspondance")</f>
        <v>Pas de correspondance</v>
      </c>
      <c r="I358" t="str">
        <f>_xlfn.XLOOKUP(Logs__2[[#This Row],[Cell_ID]],'Registre_Maintenance'!B:B,'Registre_Maintenance'!E:E,"Pas de correspondance")</f>
        <v>Pas de correspondance</v>
      </c>
      <c r="J358" t="str">
        <f>_xlfn.XLOOKUP(Logs__2[[#This Row],[Cell_ID]],'Registre_Maintenance'!B:B,'Registre_Maintenance'!F:F,"Pas de correspondance")</f>
        <v>Pas de correspondance</v>
      </c>
      <c r="K358" t="str">
        <f>_xlfn.XLOOKUP(Logs__2[[#This Row],[Cell_ID]],'Registre_Maintenance'!B:B,'Registre_Maintenance'!G:G,"Pas de correspondance")</f>
        <v>Pas de correspondance</v>
      </c>
    </row>
    <row r="359" spans="1:11" hidden="1" x14ac:dyDescent="0.25">
      <c r="A359" s="1" t="s">
        <v>1098</v>
      </c>
      <c r="B359" s="2">
        <v>45202</v>
      </c>
      <c r="C359" s="3">
        <v>0.69513888888888886</v>
      </c>
      <c r="D359" s="1" t="s">
        <v>1108</v>
      </c>
      <c r="E359">
        <v>21</v>
      </c>
      <c r="F359" s="1" t="s">
        <v>806</v>
      </c>
      <c r="G359" t="str">
        <f>_xlfn.XLOOKUP(Logs__2[[#This Row],[Cell_ID]],'Registre_Maintenance'!B:B,'Registre_Maintenance'!C:C,"Pas de correspondance")</f>
        <v>Pas de correspondance</v>
      </c>
      <c r="H359" t="str">
        <f>_xlfn.XLOOKUP(Logs__2[[#This Row],[Cell_ID]],'Registre_Maintenance'!B:B,'Registre_Maintenance'!D:D,"Pas de correspondance")</f>
        <v>Pas de correspondance</v>
      </c>
      <c r="I359" t="str">
        <f>_xlfn.XLOOKUP(Logs__2[[#This Row],[Cell_ID]],'Registre_Maintenance'!B:B,'Registre_Maintenance'!E:E,"Pas de correspondance")</f>
        <v>Pas de correspondance</v>
      </c>
      <c r="J359" t="str">
        <f>_xlfn.XLOOKUP(Logs__2[[#This Row],[Cell_ID]],'Registre_Maintenance'!B:B,'Registre_Maintenance'!F:F,"Pas de correspondance")</f>
        <v>Pas de correspondance</v>
      </c>
      <c r="K359" t="str">
        <f>_xlfn.XLOOKUP(Logs__2[[#This Row],[Cell_ID]],'Registre_Maintenance'!B:B,'Registre_Maintenance'!G:G,"Pas de correspondance")</f>
        <v>Pas de correspondance</v>
      </c>
    </row>
    <row r="360" spans="1:11" x14ac:dyDescent="0.25">
      <c r="A360" s="1" t="s">
        <v>1098</v>
      </c>
      <c r="B360" s="2">
        <v>45205</v>
      </c>
      <c r="C360" s="3">
        <v>5.2083333333333336E-2</v>
      </c>
      <c r="D360" s="1" t="s">
        <v>1109</v>
      </c>
      <c r="E360">
        <v>81</v>
      </c>
      <c r="F360" s="1" t="s">
        <v>811</v>
      </c>
      <c r="G360" t="str">
        <f>_xlfn.XLOOKUP(Logs__2[[#This Row],[Cell_ID]],'Registre_Maintenance'!B:B,'Registre_Maintenance'!C:C,"Pas de correspondance")</f>
        <v>Kasaï</v>
      </c>
      <c r="H360">
        <f>_xlfn.XLOOKUP(Logs__2[[#This Row],[Cell_ID]],'Registre_Maintenance'!B:B,'Registre_Maintenance'!D:D,"Pas de correspondance")</f>
        <v>1.5802860000000001</v>
      </c>
      <c r="I360">
        <f>_xlfn.XLOOKUP(Logs__2[[#This Row],[Cell_ID]],'Registre_Maintenance'!B:B,'Registre_Maintenance'!E:E,"Pas de correspondance")</f>
        <v>20.99053</v>
      </c>
      <c r="J360" t="str">
        <f>_xlfn.XLOOKUP(Logs__2[[#This Row],[Cell_ID]],'Registre_Maintenance'!B:B,'Registre_Maintenance'!F:F,"Pas de correspondance")</f>
        <v>4G</v>
      </c>
      <c r="K360" t="str">
        <f>_xlfn.XLOOKUP(Logs__2[[#This Row],[Cell_ID]],'Registre_Maintenance'!B:B,'Registre_Maintenance'!G:G,"Pas de correspondance")</f>
        <v>ZTE</v>
      </c>
    </row>
    <row r="361" spans="1:11" hidden="1" x14ac:dyDescent="0.25">
      <c r="A361" s="1" t="s">
        <v>1098</v>
      </c>
      <c r="B361" s="2">
        <v>45222</v>
      </c>
      <c r="C361" s="3">
        <v>0.60277777777777775</v>
      </c>
      <c r="D361" s="1" t="s">
        <v>1110</v>
      </c>
      <c r="E361">
        <v>53</v>
      </c>
      <c r="F361" s="1" t="s">
        <v>809</v>
      </c>
      <c r="G361" t="str">
        <f>_xlfn.XLOOKUP(Logs__2[[#This Row],[Cell_ID]],'Registre_Maintenance'!B:B,'Registre_Maintenance'!C:C,"Pas de correspondance")</f>
        <v>Pas de correspondance</v>
      </c>
      <c r="H361" t="str">
        <f>_xlfn.XLOOKUP(Logs__2[[#This Row],[Cell_ID]],'Registre_Maintenance'!B:B,'Registre_Maintenance'!D:D,"Pas de correspondance")</f>
        <v>Pas de correspondance</v>
      </c>
      <c r="I361" t="str">
        <f>_xlfn.XLOOKUP(Logs__2[[#This Row],[Cell_ID]],'Registre_Maintenance'!B:B,'Registre_Maintenance'!E:E,"Pas de correspondance")</f>
        <v>Pas de correspondance</v>
      </c>
      <c r="J361" t="str">
        <f>_xlfn.XLOOKUP(Logs__2[[#This Row],[Cell_ID]],'Registre_Maintenance'!B:B,'Registre_Maintenance'!F:F,"Pas de correspondance")</f>
        <v>Pas de correspondance</v>
      </c>
      <c r="K361" t="str">
        <f>_xlfn.XLOOKUP(Logs__2[[#This Row],[Cell_ID]],'Registre_Maintenance'!B:B,'Registre_Maintenance'!G:G,"Pas de correspondance")</f>
        <v>Pas de correspondance</v>
      </c>
    </row>
    <row r="362" spans="1:11" x14ac:dyDescent="0.25">
      <c r="A362" s="1" t="s">
        <v>1098</v>
      </c>
      <c r="B362" s="2">
        <v>45216</v>
      </c>
      <c r="C362" s="3">
        <v>0.69374999999999998</v>
      </c>
      <c r="D362" s="1" t="s">
        <v>925</v>
      </c>
      <c r="E362">
        <v>24</v>
      </c>
      <c r="F362" s="1" t="s">
        <v>811</v>
      </c>
      <c r="G362" t="str">
        <f>_xlfn.XLOOKUP(Logs__2[[#This Row],[Cell_ID]],'Registre_Maintenance'!B:B,'Registre_Maintenance'!C:C,"Pas de correspondance")</f>
        <v>Haut-Uele</v>
      </c>
      <c r="H362">
        <f>_xlfn.XLOOKUP(Logs__2[[#This Row],[Cell_ID]],'Registre_Maintenance'!B:B,'Registre_Maintenance'!D:D,"Pas de correspondance")</f>
        <v>-12.100756000000001</v>
      </c>
      <c r="I362">
        <f>_xlfn.XLOOKUP(Logs__2[[#This Row],[Cell_ID]],'Registre_Maintenance'!B:B,'Registre_Maintenance'!E:E,"Pas de correspondance")</f>
        <v>21.938649999999999</v>
      </c>
      <c r="J362" t="str">
        <f>_xlfn.XLOOKUP(Logs__2[[#This Row],[Cell_ID]],'Registre_Maintenance'!B:B,'Registre_Maintenance'!F:F,"Pas de correspondance")</f>
        <v>4G</v>
      </c>
      <c r="K362" t="str">
        <f>_xlfn.XLOOKUP(Logs__2[[#This Row],[Cell_ID]],'Registre_Maintenance'!B:B,'Registre_Maintenance'!G:G,"Pas de correspondance")</f>
        <v>Huawei</v>
      </c>
    </row>
    <row r="363" spans="1:11" hidden="1" x14ac:dyDescent="0.25">
      <c r="A363" s="1" t="s">
        <v>1098</v>
      </c>
      <c r="B363" s="2">
        <v>45205</v>
      </c>
      <c r="C363" s="3">
        <v>0.47430555555555554</v>
      </c>
      <c r="D363" s="1" t="s">
        <v>1111</v>
      </c>
      <c r="E363">
        <v>25</v>
      </c>
      <c r="F363" s="1" t="s">
        <v>806</v>
      </c>
      <c r="G363" t="str">
        <f>_xlfn.XLOOKUP(Logs__2[[#This Row],[Cell_ID]],'Registre_Maintenance'!B:B,'Registre_Maintenance'!C:C,"Pas de correspondance")</f>
        <v>Pas de correspondance</v>
      </c>
      <c r="H363" t="str">
        <f>_xlfn.XLOOKUP(Logs__2[[#This Row],[Cell_ID]],'Registre_Maintenance'!B:B,'Registre_Maintenance'!D:D,"Pas de correspondance")</f>
        <v>Pas de correspondance</v>
      </c>
      <c r="I363" t="str">
        <f>_xlfn.XLOOKUP(Logs__2[[#This Row],[Cell_ID]],'Registre_Maintenance'!B:B,'Registre_Maintenance'!E:E,"Pas de correspondance")</f>
        <v>Pas de correspondance</v>
      </c>
      <c r="J363" t="str">
        <f>_xlfn.XLOOKUP(Logs__2[[#This Row],[Cell_ID]],'Registre_Maintenance'!B:B,'Registre_Maintenance'!F:F,"Pas de correspondance")</f>
        <v>Pas de correspondance</v>
      </c>
      <c r="K363" t="str">
        <f>_xlfn.XLOOKUP(Logs__2[[#This Row],[Cell_ID]],'Registre_Maintenance'!B:B,'Registre_Maintenance'!G:G,"Pas de correspondance")</f>
        <v>Pas de correspondance</v>
      </c>
    </row>
    <row r="364" spans="1:11" x14ac:dyDescent="0.25">
      <c r="A364" s="1" t="s">
        <v>1098</v>
      </c>
      <c r="B364" s="2">
        <v>45229</v>
      </c>
      <c r="C364" s="3">
        <v>0.39166666666666666</v>
      </c>
      <c r="D364" s="1" t="s">
        <v>1112</v>
      </c>
      <c r="E364">
        <v>28</v>
      </c>
      <c r="F364" s="1" t="s">
        <v>811</v>
      </c>
      <c r="G364" t="str">
        <f>_xlfn.XLOOKUP(Logs__2[[#This Row],[Cell_ID]],'Registre_Maintenance'!B:B,'Registre_Maintenance'!C:C,"Pas de correspondance")</f>
        <v>Lualaba</v>
      </c>
      <c r="H364">
        <f>_xlfn.XLOOKUP(Logs__2[[#This Row],[Cell_ID]],'Registre_Maintenance'!B:B,'Registre_Maintenance'!D:D,"Pas de correspondance")</f>
        <v>-10.967288</v>
      </c>
      <c r="I364">
        <f>_xlfn.XLOOKUP(Logs__2[[#This Row],[Cell_ID]],'Registre_Maintenance'!B:B,'Registre_Maintenance'!E:E,"Pas de correspondance")</f>
        <v>17.617781000000001</v>
      </c>
      <c r="J364" t="str">
        <f>_xlfn.XLOOKUP(Logs__2[[#This Row],[Cell_ID]],'Registre_Maintenance'!B:B,'Registre_Maintenance'!F:F,"Pas de correspondance")</f>
        <v>4G</v>
      </c>
      <c r="K364" t="str">
        <f>_xlfn.XLOOKUP(Logs__2[[#This Row],[Cell_ID]],'Registre_Maintenance'!B:B,'Registre_Maintenance'!G:G,"Pas de correspondance")</f>
        <v>Ericsson</v>
      </c>
    </row>
    <row r="365" spans="1:11" hidden="1" x14ac:dyDescent="0.25">
      <c r="A365" s="1" t="s">
        <v>1098</v>
      </c>
      <c r="B365" s="2">
        <v>45213</v>
      </c>
      <c r="C365" s="3">
        <v>0.4465277777777778</v>
      </c>
      <c r="D365" s="1" t="s">
        <v>1113</v>
      </c>
      <c r="E365">
        <v>111</v>
      </c>
      <c r="F365" s="1" t="s">
        <v>806</v>
      </c>
      <c r="G365" t="str">
        <f>_xlfn.XLOOKUP(Logs__2[[#This Row],[Cell_ID]],'Registre_Maintenance'!B:B,'Registre_Maintenance'!C:C,"Pas de correspondance")</f>
        <v>Pas de correspondance</v>
      </c>
      <c r="H365" t="str">
        <f>_xlfn.XLOOKUP(Logs__2[[#This Row],[Cell_ID]],'Registre_Maintenance'!B:B,'Registre_Maintenance'!D:D,"Pas de correspondance")</f>
        <v>Pas de correspondance</v>
      </c>
      <c r="I365" t="str">
        <f>_xlfn.XLOOKUP(Logs__2[[#This Row],[Cell_ID]],'Registre_Maintenance'!B:B,'Registre_Maintenance'!E:E,"Pas de correspondance")</f>
        <v>Pas de correspondance</v>
      </c>
      <c r="J365" t="str">
        <f>_xlfn.XLOOKUP(Logs__2[[#This Row],[Cell_ID]],'Registre_Maintenance'!B:B,'Registre_Maintenance'!F:F,"Pas de correspondance")</f>
        <v>Pas de correspondance</v>
      </c>
      <c r="K365" t="str">
        <f>_xlfn.XLOOKUP(Logs__2[[#This Row],[Cell_ID]],'Registre_Maintenance'!B:B,'Registre_Maintenance'!G:G,"Pas de correspondance")</f>
        <v>Pas de correspondance</v>
      </c>
    </row>
    <row r="366" spans="1:11" hidden="1" x14ac:dyDescent="0.25">
      <c r="A366" s="1" t="s">
        <v>1098</v>
      </c>
      <c r="B366" s="2">
        <v>45219</v>
      </c>
      <c r="C366" s="3">
        <v>7.6388888888888895E-2</v>
      </c>
      <c r="D366" s="1" t="s">
        <v>1114</v>
      </c>
      <c r="E366">
        <v>93</v>
      </c>
      <c r="F366" s="1" t="s">
        <v>811</v>
      </c>
      <c r="G366" t="str">
        <f>_xlfn.XLOOKUP(Logs__2[[#This Row],[Cell_ID]],'Registre_Maintenance'!B:B,'Registre_Maintenance'!C:C,"Pas de correspondance")</f>
        <v>Pas de correspondance</v>
      </c>
      <c r="H366" t="str">
        <f>_xlfn.XLOOKUP(Logs__2[[#This Row],[Cell_ID]],'Registre_Maintenance'!B:B,'Registre_Maintenance'!D:D,"Pas de correspondance")</f>
        <v>Pas de correspondance</v>
      </c>
      <c r="I366" t="str">
        <f>_xlfn.XLOOKUP(Logs__2[[#This Row],[Cell_ID]],'Registre_Maintenance'!B:B,'Registre_Maintenance'!E:E,"Pas de correspondance")</f>
        <v>Pas de correspondance</v>
      </c>
      <c r="J366" t="str">
        <f>_xlfn.XLOOKUP(Logs__2[[#This Row],[Cell_ID]],'Registre_Maintenance'!B:B,'Registre_Maintenance'!F:F,"Pas de correspondance")</f>
        <v>Pas de correspondance</v>
      </c>
      <c r="K366" t="str">
        <f>_xlfn.XLOOKUP(Logs__2[[#This Row],[Cell_ID]],'Registre_Maintenance'!B:B,'Registre_Maintenance'!G:G,"Pas de correspondance")</f>
        <v>Pas de correspondance</v>
      </c>
    </row>
    <row r="367" spans="1:11" x14ac:dyDescent="0.25">
      <c r="A367" s="1" t="s">
        <v>1098</v>
      </c>
      <c r="B367" s="2">
        <v>45220</v>
      </c>
      <c r="C367" s="3">
        <v>0.84791666666666665</v>
      </c>
      <c r="D367" s="1" t="s">
        <v>1077</v>
      </c>
      <c r="E367">
        <v>103</v>
      </c>
      <c r="F367" s="1" t="s">
        <v>806</v>
      </c>
      <c r="G367" t="str">
        <f>_xlfn.XLOOKUP(Logs__2[[#This Row],[Cell_ID]],'Registre_Maintenance'!B:B,'Registre_Maintenance'!C:C,"Pas de correspondance")</f>
        <v>Kongo-Central</v>
      </c>
      <c r="H367">
        <f>_xlfn.XLOOKUP(Logs__2[[#This Row],[Cell_ID]],'Registre_Maintenance'!B:B,'Registre_Maintenance'!D:D,"Pas de correspondance")</f>
        <v>-12.112399999999999</v>
      </c>
      <c r="I367">
        <f>_xlfn.XLOOKUP(Logs__2[[#This Row],[Cell_ID]],'Registre_Maintenance'!B:B,'Registre_Maintenance'!E:E,"Pas de correspondance")</f>
        <v>15.872226</v>
      </c>
      <c r="J367" t="str">
        <f>_xlfn.XLOOKUP(Logs__2[[#This Row],[Cell_ID]],'Registre_Maintenance'!B:B,'Registre_Maintenance'!F:F,"Pas de correspondance")</f>
        <v>4G</v>
      </c>
      <c r="K367" t="str">
        <f>_xlfn.XLOOKUP(Logs__2[[#This Row],[Cell_ID]],'Registre_Maintenance'!B:B,'Registre_Maintenance'!G:G,"Pas de correspondance")</f>
        <v>Nokia</v>
      </c>
    </row>
    <row r="368" spans="1:11" x14ac:dyDescent="0.25">
      <c r="A368" s="1" t="s">
        <v>1098</v>
      </c>
      <c r="B368" s="2">
        <v>45202</v>
      </c>
      <c r="C368" s="3">
        <v>0.42083333333333334</v>
      </c>
      <c r="D368" s="1" t="s">
        <v>831</v>
      </c>
      <c r="E368">
        <v>84</v>
      </c>
      <c r="F368" s="1" t="s">
        <v>806</v>
      </c>
      <c r="G368" t="str">
        <f>_xlfn.XLOOKUP(Logs__2[[#This Row],[Cell_ID]],'Registre_Maintenance'!B:B,'Registre_Maintenance'!C:C,"Pas de correspondance")</f>
        <v>Sud-Ubangi</v>
      </c>
      <c r="H368">
        <f>_xlfn.XLOOKUP(Logs__2[[#This Row],[Cell_ID]],'Registre_Maintenance'!B:B,'Registre_Maintenance'!D:D,"Pas de correspondance")</f>
        <v>-10.56448</v>
      </c>
      <c r="I368">
        <f>_xlfn.XLOOKUP(Logs__2[[#This Row],[Cell_ID]],'Registre_Maintenance'!B:B,'Registre_Maintenance'!E:E,"Pas de correspondance")</f>
        <v>19.792876</v>
      </c>
      <c r="J368" t="str">
        <f>_xlfn.XLOOKUP(Logs__2[[#This Row],[Cell_ID]],'Registre_Maintenance'!B:B,'Registre_Maintenance'!F:F,"Pas de correspondance")</f>
        <v>5G</v>
      </c>
      <c r="K368" t="str">
        <f>_xlfn.XLOOKUP(Logs__2[[#This Row],[Cell_ID]],'Registre_Maintenance'!B:B,'Registre_Maintenance'!G:G,"Pas de correspondance")</f>
        <v>Ericsson</v>
      </c>
    </row>
    <row r="369" spans="1:11" x14ac:dyDescent="0.25">
      <c r="A369" s="1" t="s">
        <v>1098</v>
      </c>
      <c r="B369" s="2">
        <v>45217</v>
      </c>
      <c r="C369" s="3">
        <v>0.89166666666666672</v>
      </c>
      <c r="D369" s="1" t="s">
        <v>1115</v>
      </c>
      <c r="E369">
        <v>108</v>
      </c>
      <c r="F369" s="1" t="s">
        <v>811</v>
      </c>
      <c r="G369" t="str">
        <f>_xlfn.XLOOKUP(Logs__2[[#This Row],[Cell_ID]],'Registre_Maintenance'!B:B,'Registre_Maintenance'!C:C,"Pas de correspondance")</f>
        <v>Mongala</v>
      </c>
      <c r="H369">
        <f>_xlfn.XLOOKUP(Logs__2[[#This Row],[Cell_ID]],'Registre_Maintenance'!B:B,'Registre_Maintenance'!D:D,"Pas de correspondance")</f>
        <v>-5.3762689999999997</v>
      </c>
      <c r="I369">
        <f>_xlfn.XLOOKUP(Logs__2[[#This Row],[Cell_ID]],'Registre_Maintenance'!B:B,'Registre_Maintenance'!E:E,"Pas de correspondance")</f>
        <v>28.189575999999999</v>
      </c>
      <c r="J369" t="str">
        <f>_xlfn.XLOOKUP(Logs__2[[#This Row],[Cell_ID]],'Registre_Maintenance'!B:B,'Registre_Maintenance'!F:F,"Pas de correspondance")</f>
        <v>5G</v>
      </c>
      <c r="K369" t="str">
        <f>_xlfn.XLOOKUP(Logs__2[[#This Row],[Cell_ID]],'Registre_Maintenance'!B:B,'Registre_Maintenance'!G:G,"Pas de correspondance")</f>
        <v>Huawei</v>
      </c>
    </row>
    <row r="370" spans="1:11" hidden="1" x14ac:dyDescent="0.25">
      <c r="A370" s="1" t="s">
        <v>1098</v>
      </c>
      <c r="B370" s="2">
        <v>45209</v>
      </c>
      <c r="C370" s="3">
        <v>0.36527777777777776</v>
      </c>
      <c r="D370" s="1" t="s">
        <v>1116</v>
      </c>
      <c r="E370">
        <v>120</v>
      </c>
      <c r="F370" s="1" t="s">
        <v>806</v>
      </c>
      <c r="G370" t="str">
        <f>_xlfn.XLOOKUP(Logs__2[[#This Row],[Cell_ID]],'Registre_Maintenance'!B:B,'Registre_Maintenance'!C:C,"Pas de correspondance")</f>
        <v>Pas de correspondance</v>
      </c>
      <c r="H370" t="str">
        <f>_xlfn.XLOOKUP(Logs__2[[#This Row],[Cell_ID]],'Registre_Maintenance'!B:B,'Registre_Maintenance'!D:D,"Pas de correspondance")</f>
        <v>Pas de correspondance</v>
      </c>
      <c r="I370" t="str">
        <f>_xlfn.XLOOKUP(Logs__2[[#This Row],[Cell_ID]],'Registre_Maintenance'!B:B,'Registre_Maintenance'!E:E,"Pas de correspondance")</f>
        <v>Pas de correspondance</v>
      </c>
      <c r="J370" t="str">
        <f>_xlfn.XLOOKUP(Logs__2[[#This Row],[Cell_ID]],'Registre_Maintenance'!B:B,'Registre_Maintenance'!F:F,"Pas de correspondance")</f>
        <v>Pas de correspondance</v>
      </c>
      <c r="K370" t="str">
        <f>_xlfn.XLOOKUP(Logs__2[[#This Row],[Cell_ID]],'Registre_Maintenance'!B:B,'Registre_Maintenance'!G:G,"Pas de correspondance")</f>
        <v>Pas de correspondance</v>
      </c>
    </row>
    <row r="371" spans="1:11" x14ac:dyDescent="0.25">
      <c r="A371" s="1" t="s">
        <v>1098</v>
      </c>
      <c r="B371" s="2">
        <v>45227</v>
      </c>
      <c r="C371" s="3">
        <v>0.91527777777777775</v>
      </c>
      <c r="D371" s="1" t="s">
        <v>1079</v>
      </c>
      <c r="E371">
        <v>26</v>
      </c>
      <c r="F371" s="1" t="s">
        <v>809</v>
      </c>
      <c r="G371" t="str">
        <f>_xlfn.XLOOKUP(Logs__2[[#This Row],[Cell_ID]],'Registre_Maintenance'!B:B,'Registre_Maintenance'!C:C,"Pas de correspondance")</f>
        <v>Ituri</v>
      </c>
      <c r="H371">
        <f>_xlfn.XLOOKUP(Logs__2[[#This Row],[Cell_ID]],'Registre_Maintenance'!B:B,'Registre_Maintenance'!D:D,"Pas de correspondance")</f>
        <v>-3.7720639999999999</v>
      </c>
      <c r="I371">
        <f>_xlfn.XLOOKUP(Logs__2[[#This Row],[Cell_ID]],'Registre_Maintenance'!B:B,'Registre_Maintenance'!E:E,"Pas de correspondance")</f>
        <v>16.006277999999998</v>
      </c>
      <c r="J371" t="str">
        <f>_xlfn.XLOOKUP(Logs__2[[#This Row],[Cell_ID]],'Registre_Maintenance'!B:B,'Registre_Maintenance'!F:F,"Pas de correspondance")</f>
        <v>5G</v>
      </c>
      <c r="K371" t="str">
        <f>_xlfn.XLOOKUP(Logs__2[[#This Row],[Cell_ID]],'Registre_Maintenance'!B:B,'Registre_Maintenance'!G:G,"Pas de correspondance")</f>
        <v>ZTE</v>
      </c>
    </row>
    <row r="372" spans="1:11" hidden="1" x14ac:dyDescent="0.25">
      <c r="A372" s="1" t="s">
        <v>1098</v>
      </c>
      <c r="B372" s="2">
        <v>45219</v>
      </c>
      <c r="C372" s="3">
        <v>0.18124999999999999</v>
      </c>
      <c r="D372" s="1" t="s">
        <v>1069</v>
      </c>
      <c r="E372">
        <v>97</v>
      </c>
      <c r="F372" s="1" t="s">
        <v>809</v>
      </c>
      <c r="G372" t="str">
        <f>_xlfn.XLOOKUP(Logs__2[[#This Row],[Cell_ID]],'Registre_Maintenance'!B:B,'Registre_Maintenance'!C:C,"Pas de correspondance")</f>
        <v>Pas de correspondance</v>
      </c>
      <c r="H372" t="str">
        <f>_xlfn.XLOOKUP(Logs__2[[#This Row],[Cell_ID]],'Registre_Maintenance'!B:B,'Registre_Maintenance'!D:D,"Pas de correspondance")</f>
        <v>Pas de correspondance</v>
      </c>
      <c r="I372" t="str">
        <f>_xlfn.XLOOKUP(Logs__2[[#This Row],[Cell_ID]],'Registre_Maintenance'!B:B,'Registre_Maintenance'!E:E,"Pas de correspondance")</f>
        <v>Pas de correspondance</v>
      </c>
      <c r="J372" t="str">
        <f>_xlfn.XLOOKUP(Logs__2[[#This Row],[Cell_ID]],'Registre_Maintenance'!B:B,'Registre_Maintenance'!F:F,"Pas de correspondance")</f>
        <v>Pas de correspondance</v>
      </c>
      <c r="K372" t="str">
        <f>_xlfn.XLOOKUP(Logs__2[[#This Row],[Cell_ID]],'Registre_Maintenance'!B:B,'Registre_Maintenance'!G:G,"Pas de correspondance")</f>
        <v>Pas de correspondance</v>
      </c>
    </row>
    <row r="373" spans="1:11" x14ac:dyDescent="0.25">
      <c r="A373" s="1" t="s">
        <v>1098</v>
      </c>
      <c r="B373" s="2">
        <v>45202</v>
      </c>
      <c r="C373" s="3">
        <v>0.77916666666666667</v>
      </c>
      <c r="D373" s="1" t="s">
        <v>1117</v>
      </c>
      <c r="E373">
        <v>61</v>
      </c>
      <c r="F373" s="1" t="s">
        <v>811</v>
      </c>
      <c r="G373" t="str">
        <f>_xlfn.XLOOKUP(Logs__2[[#This Row],[Cell_ID]],'Registre_Maintenance'!B:B,'Registre_Maintenance'!C:C,"Pas de correspondance")</f>
        <v>Tanganyika</v>
      </c>
      <c r="H373">
        <f>_xlfn.XLOOKUP(Logs__2[[#This Row],[Cell_ID]],'Registre_Maintenance'!B:B,'Registre_Maintenance'!D:D,"Pas de correspondance")</f>
        <v>-12.229338</v>
      </c>
      <c r="I373">
        <f>_xlfn.XLOOKUP(Logs__2[[#This Row],[Cell_ID]],'Registre_Maintenance'!B:B,'Registre_Maintenance'!E:E,"Pas de correspondance")</f>
        <v>29.587834999999998</v>
      </c>
      <c r="J373" t="str">
        <f>_xlfn.XLOOKUP(Logs__2[[#This Row],[Cell_ID]],'Registre_Maintenance'!B:B,'Registre_Maintenance'!F:F,"Pas de correspondance")</f>
        <v>4G</v>
      </c>
      <c r="K373" t="str">
        <f>_xlfn.XLOOKUP(Logs__2[[#This Row],[Cell_ID]],'Registre_Maintenance'!B:B,'Registre_Maintenance'!G:G,"Pas de correspondance")</f>
        <v>Nokia</v>
      </c>
    </row>
    <row r="374" spans="1:11" x14ac:dyDescent="0.25">
      <c r="A374" s="1" t="s">
        <v>1098</v>
      </c>
      <c r="B374" s="2">
        <v>45204</v>
      </c>
      <c r="C374" s="3">
        <v>0.47152777777777777</v>
      </c>
      <c r="D374" s="1" t="s">
        <v>1118</v>
      </c>
      <c r="E374">
        <v>10</v>
      </c>
      <c r="F374" s="1" t="s">
        <v>806</v>
      </c>
      <c r="G374" t="str">
        <f>_xlfn.XLOOKUP(Logs__2[[#This Row],[Cell_ID]],'Registre_Maintenance'!B:B,'Registre_Maintenance'!C:C,"Pas de correspondance")</f>
        <v>Nord-Kivu</v>
      </c>
      <c r="H374">
        <f>_xlfn.XLOOKUP(Logs__2[[#This Row],[Cell_ID]],'Registre_Maintenance'!B:B,'Registre_Maintenance'!D:D,"Pas de correspondance")</f>
        <v>4.9455159999999996</v>
      </c>
      <c r="I374">
        <f>_xlfn.XLOOKUP(Logs__2[[#This Row],[Cell_ID]],'Registre_Maintenance'!B:B,'Registre_Maintenance'!E:E,"Pas de correspondance")</f>
        <v>23.647746000000001</v>
      </c>
      <c r="J374" t="str">
        <f>_xlfn.XLOOKUP(Logs__2[[#This Row],[Cell_ID]],'Registre_Maintenance'!B:B,'Registre_Maintenance'!F:F,"Pas de correspondance")</f>
        <v>5G</v>
      </c>
      <c r="K374" t="str">
        <f>_xlfn.XLOOKUP(Logs__2[[#This Row],[Cell_ID]],'Registre_Maintenance'!B:B,'Registre_Maintenance'!G:G,"Pas de correspondance")</f>
        <v>Huawei</v>
      </c>
    </row>
    <row r="375" spans="1:11" hidden="1" x14ac:dyDescent="0.25">
      <c r="A375" s="1" t="s">
        <v>1098</v>
      </c>
      <c r="B375" s="2">
        <v>45230</v>
      </c>
      <c r="C375" s="3">
        <v>0.86388888888888893</v>
      </c>
      <c r="D375" s="1" t="s">
        <v>1119</v>
      </c>
      <c r="E375">
        <v>57</v>
      </c>
      <c r="F375" s="1" t="s">
        <v>806</v>
      </c>
      <c r="G375" t="str">
        <f>_xlfn.XLOOKUP(Logs__2[[#This Row],[Cell_ID]],'Registre_Maintenance'!B:B,'Registre_Maintenance'!C:C,"Pas de correspondance")</f>
        <v>Pas de correspondance</v>
      </c>
      <c r="H375" t="str">
        <f>_xlfn.XLOOKUP(Logs__2[[#This Row],[Cell_ID]],'Registre_Maintenance'!B:B,'Registre_Maintenance'!D:D,"Pas de correspondance")</f>
        <v>Pas de correspondance</v>
      </c>
      <c r="I375" t="str">
        <f>_xlfn.XLOOKUP(Logs__2[[#This Row],[Cell_ID]],'Registre_Maintenance'!B:B,'Registre_Maintenance'!E:E,"Pas de correspondance")</f>
        <v>Pas de correspondance</v>
      </c>
      <c r="J375" t="str">
        <f>_xlfn.XLOOKUP(Logs__2[[#This Row],[Cell_ID]],'Registre_Maintenance'!B:B,'Registre_Maintenance'!F:F,"Pas de correspondance")</f>
        <v>Pas de correspondance</v>
      </c>
      <c r="K375" t="str">
        <f>_xlfn.XLOOKUP(Logs__2[[#This Row],[Cell_ID]],'Registre_Maintenance'!B:B,'Registre_Maintenance'!G:G,"Pas de correspondance")</f>
        <v>Pas de correspondance</v>
      </c>
    </row>
    <row r="376" spans="1:11" x14ac:dyDescent="0.25">
      <c r="A376" s="1" t="s">
        <v>1098</v>
      </c>
      <c r="B376" s="2">
        <v>45221</v>
      </c>
      <c r="C376" s="3">
        <v>0.50555555555555554</v>
      </c>
      <c r="D376" s="1" t="s">
        <v>1120</v>
      </c>
      <c r="E376">
        <v>51</v>
      </c>
      <c r="F376" s="1" t="s">
        <v>806</v>
      </c>
      <c r="G376" t="str">
        <f>_xlfn.XLOOKUP(Logs__2[[#This Row],[Cell_ID]],'Registre_Maintenance'!B:B,'Registre_Maintenance'!C:C,"Pas de correspondance")</f>
        <v>Mongala</v>
      </c>
      <c r="H376">
        <f>_xlfn.XLOOKUP(Logs__2[[#This Row],[Cell_ID]],'Registre_Maintenance'!B:B,'Registre_Maintenance'!D:D,"Pas de correspondance")</f>
        <v>-1.231033</v>
      </c>
      <c r="I376">
        <f>_xlfn.XLOOKUP(Logs__2[[#This Row],[Cell_ID]],'Registre_Maintenance'!B:B,'Registre_Maintenance'!E:E,"Pas de correspondance")</f>
        <v>28.851388</v>
      </c>
      <c r="J376" t="str">
        <f>_xlfn.XLOOKUP(Logs__2[[#This Row],[Cell_ID]],'Registre_Maintenance'!B:B,'Registre_Maintenance'!F:F,"Pas de correspondance")</f>
        <v>3G</v>
      </c>
      <c r="K376" t="str">
        <f>_xlfn.XLOOKUP(Logs__2[[#This Row],[Cell_ID]],'Registre_Maintenance'!B:B,'Registre_Maintenance'!G:G,"Pas de correspondance")</f>
        <v>Ericsson</v>
      </c>
    </row>
    <row r="377" spans="1:11" hidden="1" x14ac:dyDescent="0.25">
      <c r="A377" s="1" t="s">
        <v>1098</v>
      </c>
      <c r="B377" s="2">
        <v>45219</v>
      </c>
      <c r="C377" s="3">
        <v>0.92013888888888884</v>
      </c>
      <c r="D377" s="1" t="s">
        <v>1121</v>
      </c>
      <c r="E377">
        <v>91</v>
      </c>
      <c r="F377" s="1" t="s">
        <v>811</v>
      </c>
      <c r="G377" t="str">
        <f>_xlfn.XLOOKUP(Logs__2[[#This Row],[Cell_ID]],'Registre_Maintenance'!B:B,'Registre_Maintenance'!C:C,"Pas de correspondance")</f>
        <v>Pas de correspondance</v>
      </c>
      <c r="H377" t="str">
        <f>_xlfn.XLOOKUP(Logs__2[[#This Row],[Cell_ID]],'Registre_Maintenance'!B:B,'Registre_Maintenance'!D:D,"Pas de correspondance")</f>
        <v>Pas de correspondance</v>
      </c>
      <c r="I377" t="str">
        <f>_xlfn.XLOOKUP(Logs__2[[#This Row],[Cell_ID]],'Registre_Maintenance'!B:B,'Registre_Maintenance'!E:E,"Pas de correspondance")</f>
        <v>Pas de correspondance</v>
      </c>
      <c r="J377" t="str">
        <f>_xlfn.XLOOKUP(Logs__2[[#This Row],[Cell_ID]],'Registre_Maintenance'!B:B,'Registre_Maintenance'!F:F,"Pas de correspondance")</f>
        <v>Pas de correspondance</v>
      </c>
      <c r="K377" t="str">
        <f>_xlfn.XLOOKUP(Logs__2[[#This Row],[Cell_ID]],'Registre_Maintenance'!B:B,'Registre_Maintenance'!G:G,"Pas de correspondance")</f>
        <v>Pas de correspondance</v>
      </c>
    </row>
    <row r="378" spans="1:11" hidden="1" x14ac:dyDescent="0.25">
      <c r="A378" s="1" t="s">
        <v>1098</v>
      </c>
      <c r="B378" s="2">
        <v>45209</v>
      </c>
      <c r="C378" s="3">
        <v>0.72499999999999998</v>
      </c>
      <c r="D378" s="1" t="s">
        <v>1122</v>
      </c>
      <c r="E378">
        <v>97</v>
      </c>
      <c r="F378" s="1" t="s">
        <v>811</v>
      </c>
      <c r="G378" t="str">
        <f>_xlfn.XLOOKUP(Logs__2[[#This Row],[Cell_ID]],'Registre_Maintenance'!B:B,'Registre_Maintenance'!C:C,"Pas de correspondance")</f>
        <v>Pas de correspondance</v>
      </c>
      <c r="H378" t="str">
        <f>_xlfn.XLOOKUP(Logs__2[[#This Row],[Cell_ID]],'Registre_Maintenance'!B:B,'Registre_Maintenance'!D:D,"Pas de correspondance")</f>
        <v>Pas de correspondance</v>
      </c>
      <c r="I378" t="str">
        <f>_xlfn.XLOOKUP(Logs__2[[#This Row],[Cell_ID]],'Registre_Maintenance'!B:B,'Registre_Maintenance'!E:E,"Pas de correspondance")</f>
        <v>Pas de correspondance</v>
      </c>
      <c r="J378" t="str">
        <f>_xlfn.XLOOKUP(Logs__2[[#This Row],[Cell_ID]],'Registre_Maintenance'!B:B,'Registre_Maintenance'!F:F,"Pas de correspondance")</f>
        <v>Pas de correspondance</v>
      </c>
      <c r="K378" t="str">
        <f>_xlfn.XLOOKUP(Logs__2[[#This Row],[Cell_ID]],'Registre_Maintenance'!B:B,'Registre_Maintenance'!G:G,"Pas de correspondance")</f>
        <v>Pas de correspondance</v>
      </c>
    </row>
    <row r="379" spans="1:11" hidden="1" x14ac:dyDescent="0.25">
      <c r="A379" s="1" t="s">
        <v>1098</v>
      </c>
      <c r="B379" s="2">
        <v>45220</v>
      </c>
      <c r="C379" s="3">
        <v>0.45277777777777778</v>
      </c>
      <c r="D379" s="1" t="s">
        <v>1123</v>
      </c>
      <c r="E379">
        <v>35</v>
      </c>
      <c r="F379" s="1" t="s">
        <v>809</v>
      </c>
      <c r="G379" t="str">
        <f>_xlfn.XLOOKUP(Logs__2[[#This Row],[Cell_ID]],'Registre_Maintenance'!B:B,'Registre_Maintenance'!C:C,"Pas de correspondance")</f>
        <v>Pas de correspondance</v>
      </c>
      <c r="H379" t="str">
        <f>_xlfn.XLOOKUP(Logs__2[[#This Row],[Cell_ID]],'Registre_Maintenance'!B:B,'Registre_Maintenance'!D:D,"Pas de correspondance")</f>
        <v>Pas de correspondance</v>
      </c>
      <c r="I379" t="str">
        <f>_xlfn.XLOOKUP(Logs__2[[#This Row],[Cell_ID]],'Registre_Maintenance'!B:B,'Registre_Maintenance'!E:E,"Pas de correspondance")</f>
        <v>Pas de correspondance</v>
      </c>
      <c r="J379" t="str">
        <f>_xlfn.XLOOKUP(Logs__2[[#This Row],[Cell_ID]],'Registre_Maintenance'!B:B,'Registre_Maintenance'!F:F,"Pas de correspondance")</f>
        <v>Pas de correspondance</v>
      </c>
      <c r="K379" t="str">
        <f>_xlfn.XLOOKUP(Logs__2[[#This Row],[Cell_ID]],'Registre_Maintenance'!B:B,'Registre_Maintenance'!G:G,"Pas de correspondance")</f>
        <v>Pas de correspondance</v>
      </c>
    </row>
    <row r="380" spans="1:11" hidden="1" x14ac:dyDescent="0.25">
      <c r="A380" s="1" t="s">
        <v>1098</v>
      </c>
      <c r="B380" s="2">
        <v>45204</v>
      </c>
      <c r="C380" s="3">
        <v>0.90555555555555556</v>
      </c>
      <c r="D380" s="1" t="s">
        <v>1124</v>
      </c>
      <c r="E380">
        <v>61</v>
      </c>
      <c r="F380" s="1" t="s">
        <v>806</v>
      </c>
      <c r="G380" t="str">
        <f>_xlfn.XLOOKUP(Logs__2[[#This Row],[Cell_ID]],'Registre_Maintenance'!B:B,'Registre_Maintenance'!C:C,"Pas de correspondance")</f>
        <v>Pas de correspondance</v>
      </c>
      <c r="H380" t="str">
        <f>_xlfn.XLOOKUP(Logs__2[[#This Row],[Cell_ID]],'Registre_Maintenance'!B:B,'Registre_Maintenance'!D:D,"Pas de correspondance")</f>
        <v>Pas de correspondance</v>
      </c>
      <c r="I380" t="str">
        <f>_xlfn.XLOOKUP(Logs__2[[#This Row],[Cell_ID]],'Registre_Maintenance'!B:B,'Registre_Maintenance'!E:E,"Pas de correspondance")</f>
        <v>Pas de correspondance</v>
      </c>
      <c r="J380" t="str">
        <f>_xlfn.XLOOKUP(Logs__2[[#This Row],[Cell_ID]],'Registre_Maintenance'!B:B,'Registre_Maintenance'!F:F,"Pas de correspondance")</f>
        <v>Pas de correspondance</v>
      </c>
      <c r="K380" t="str">
        <f>_xlfn.XLOOKUP(Logs__2[[#This Row],[Cell_ID]],'Registre_Maintenance'!B:B,'Registre_Maintenance'!G:G,"Pas de correspondance")</f>
        <v>Pas de correspondance</v>
      </c>
    </row>
    <row r="381" spans="1:11" hidden="1" x14ac:dyDescent="0.25">
      <c r="A381" s="1" t="s">
        <v>1098</v>
      </c>
      <c r="B381" s="2">
        <v>45226</v>
      </c>
      <c r="C381" s="3">
        <v>0.98819444444444449</v>
      </c>
      <c r="D381" s="1" t="s">
        <v>1125</v>
      </c>
      <c r="E381">
        <v>83</v>
      </c>
      <c r="F381" s="1" t="s">
        <v>809</v>
      </c>
      <c r="G381" t="str">
        <f>_xlfn.XLOOKUP(Logs__2[[#This Row],[Cell_ID]],'Registre_Maintenance'!B:B,'Registre_Maintenance'!C:C,"Pas de correspondance")</f>
        <v>Pas de correspondance</v>
      </c>
      <c r="H381" t="str">
        <f>_xlfn.XLOOKUP(Logs__2[[#This Row],[Cell_ID]],'Registre_Maintenance'!B:B,'Registre_Maintenance'!D:D,"Pas de correspondance")</f>
        <v>Pas de correspondance</v>
      </c>
      <c r="I381" t="str">
        <f>_xlfn.XLOOKUP(Logs__2[[#This Row],[Cell_ID]],'Registre_Maintenance'!B:B,'Registre_Maintenance'!E:E,"Pas de correspondance")</f>
        <v>Pas de correspondance</v>
      </c>
      <c r="J381" t="str">
        <f>_xlfn.XLOOKUP(Logs__2[[#This Row],[Cell_ID]],'Registre_Maintenance'!B:B,'Registre_Maintenance'!F:F,"Pas de correspondance")</f>
        <v>Pas de correspondance</v>
      </c>
      <c r="K381" t="str">
        <f>_xlfn.XLOOKUP(Logs__2[[#This Row],[Cell_ID]],'Registre_Maintenance'!B:B,'Registre_Maintenance'!G:G,"Pas de correspondance")</f>
        <v>Pas de correspondance</v>
      </c>
    </row>
    <row r="382" spans="1:11" x14ac:dyDescent="0.25">
      <c r="A382" s="1" t="s">
        <v>1098</v>
      </c>
      <c r="B382" s="2">
        <v>45229</v>
      </c>
      <c r="C382" s="3">
        <v>0.67013888888888884</v>
      </c>
      <c r="D382" s="1" t="s">
        <v>1126</v>
      </c>
      <c r="E382">
        <v>41</v>
      </c>
      <c r="F382" s="1" t="s">
        <v>811</v>
      </c>
      <c r="G382" t="str">
        <f>_xlfn.XLOOKUP(Logs__2[[#This Row],[Cell_ID]],'Registre_Maintenance'!B:B,'Registre_Maintenance'!C:C,"Pas de correspondance")</f>
        <v>Haut-Lomami</v>
      </c>
      <c r="H382">
        <f>_xlfn.XLOOKUP(Logs__2[[#This Row],[Cell_ID]],'Registre_Maintenance'!B:B,'Registre_Maintenance'!D:D,"Pas de correspondance")</f>
        <v>-7.1785899999999998</v>
      </c>
      <c r="I382">
        <f>_xlfn.XLOOKUP(Logs__2[[#This Row],[Cell_ID]],'Registre_Maintenance'!B:B,'Registre_Maintenance'!E:E,"Pas de correspondance")</f>
        <v>24.4404</v>
      </c>
      <c r="J382" t="str">
        <f>_xlfn.XLOOKUP(Logs__2[[#This Row],[Cell_ID]],'Registre_Maintenance'!B:B,'Registre_Maintenance'!F:F,"Pas de correspondance")</f>
        <v>4G</v>
      </c>
      <c r="K382" t="str">
        <f>_xlfn.XLOOKUP(Logs__2[[#This Row],[Cell_ID]],'Registre_Maintenance'!B:B,'Registre_Maintenance'!G:G,"Pas de correspondance")</f>
        <v>Nokia</v>
      </c>
    </row>
    <row r="383" spans="1:11" x14ac:dyDescent="0.25">
      <c r="A383" s="1" t="s">
        <v>1098</v>
      </c>
      <c r="B383" s="2">
        <v>45220</v>
      </c>
      <c r="C383" s="3">
        <v>0.89375000000000004</v>
      </c>
      <c r="D383" s="1" t="s">
        <v>1127</v>
      </c>
      <c r="E383">
        <v>101</v>
      </c>
      <c r="F383" s="1" t="s">
        <v>811</v>
      </c>
      <c r="G383" t="str">
        <f>_xlfn.XLOOKUP(Logs__2[[#This Row],[Cell_ID]],'Registre_Maintenance'!B:B,'Registre_Maintenance'!C:C,"Pas de correspondance")</f>
        <v>Bas-Uele</v>
      </c>
      <c r="H383">
        <f>_xlfn.XLOOKUP(Logs__2[[#This Row],[Cell_ID]],'Registre_Maintenance'!B:B,'Registre_Maintenance'!D:D,"Pas de correspondance")</f>
        <v>-2.2876210000000001</v>
      </c>
      <c r="I383">
        <f>_xlfn.XLOOKUP(Logs__2[[#This Row],[Cell_ID]],'Registre_Maintenance'!B:B,'Registre_Maintenance'!E:E,"Pas de correspondance")</f>
        <v>27.582545</v>
      </c>
      <c r="J383" t="str">
        <f>_xlfn.XLOOKUP(Logs__2[[#This Row],[Cell_ID]],'Registre_Maintenance'!B:B,'Registre_Maintenance'!F:F,"Pas de correspondance")</f>
        <v>4G</v>
      </c>
      <c r="K383" t="str">
        <f>_xlfn.XLOOKUP(Logs__2[[#This Row],[Cell_ID]],'Registre_Maintenance'!B:B,'Registre_Maintenance'!G:G,"Pas de correspondance")</f>
        <v>Huawei</v>
      </c>
    </row>
    <row r="384" spans="1:11" hidden="1" x14ac:dyDescent="0.25">
      <c r="A384" s="1" t="s">
        <v>1098</v>
      </c>
      <c r="B384" s="2">
        <v>45216</v>
      </c>
      <c r="C384" s="3">
        <v>0.45902777777777776</v>
      </c>
      <c r="D384" s="1" t="s">
        <v>954</v>
      </c>
      <c r="E384">
        <v>100</v>
      </c>
      <c r="F384" s="1" t="s">
        <v>809</v>
      </c>
      <c r="G384" t="str">
        <f>_xlfn.XLOOKUP(Logs__2[[#This Row],[Cell_ID]],'Registre_Maintenance'!B:B,'Registre_Maintenance'!C:C,"Pas de correspondance")</f>
        <v>Pas de correspondance</v>
      </c>
      <c r="H384" t="str">
        <f>_xlfn.XLOOKUP(Logs__2[[#This Row],[Cell_ID]],'Registre_Maintenance'!B:B,'Registre_Maintenance'!D:D,"Pas de correspondance")</f>
        <v>Pas de correspondance</v>
      </c>
      <c r="I384" t="str">
        <f>_xlfn.XLOOKUP(Logs__2[[#This Row],[Cell_ID]],'Registre_Maintenance'!B:B,'Registre_Maintenance'!E:E,"Pas de correspondance")</f>
        <v>Pas de correspondance</v>
      </c>
      <c r="J384" t="str">
        <f>_xlfn.XLOOKUP(Logs__2[[#This Row],[Cell_ID]],'Registre_Maintenance'!B:B,'Registre_Maintenance'!F:F,"Pas de correspondance")</f>
        <v>Pas de correspondance</v>
      </c>
      <c r="K384" t="str">
        <f>_xlfn.XLOOKUP(Logs__2[[#This Row],[Cell_ID]],'Registre_Maintenance'!B:B,'Registre_Maintenance'!G:G,"Pas de correspondance")</f>
        <v>Pas de correspondance</v>
      </c>
    </row>
    <row r="385" spans="1:11" hidden="1" x14ac:dyDescent="0.25">
      <c r="A385" s="1" t="s">
        <v>1098</v>
      </c>
      <c r="B385" s="2">
        <v>45211</v>
      </c>
      <c r="C385" s="3">
        <v>0.38263888888888886</v>
      </c>
      <c r="D385" s="1" t="s">
        <v>861</v>
      </c>
      <c r="E385">
        <v>105</v>
      </c>
      <c r="F385" s="1" t="s">
        <v>806</v>
      </c>
      <c r="G385" t="str">
        <f>_xlfn.XLOOKUP(Logs__2[[#This Row],[Cell_ID]],'Registre_Maintenance'!B:B,'Registre_Maintenance'!C:C,"Pas de correspondance")</f>
        <v>Pas de correspondance</v>
      </c>
      <c r="H385" t="str">
        <f>_xlfn.XLOOKUP(Logs__2[[#This Row],[Cell_ID]],'Registre_Maintenance'!B:B,'Registre_Maintenance'!D:D,"Pas de correspondance")</f>
        <v>Pas de correspondance</v>
      </c>
      <c r="I385" t="str">
        <f>_xlfn.XLOOKUP(Logs__2[[#This Row],[Cell_ID]],'Registre_Maintenance'!B:B,'Registre_Maintenance'!E:E,"Pas de correspondance")</f>
        <v>Pas de correspondance</v>
      </c>
      <c r="J385" t="str">
        <f>_xlfn.XLOOKUP(Logs__2[[#This Row],[Cell_ID]],'Registre_Maintenance'!B:B,'Registre_Maintenance'!F:F,"Pas de correspondance")</f>
        <v>Pas de correspondance</v>
      </c>
      <c r="K385" t="str">
        <f>_xlfn.XLOOKUP(Logs__2[[#This Row],[Cell_ID]],'Registre_Maintenance'!B:B,'Registre_Maintenance'!G:G,"Pas de correspondance")</f>
        <v>Pas de correspondance</v>
      </c>
    </row>
    <row r="386" spans="1:11" x14ac:dyDescent="0.25">
      <c r="A386" s="1" t="s">
        <v>1098</v>
      </c>
      <c r="B386" s="2">
        <v>45230</v>
      </c>
      <c r="C386" s="3">
        <v>0.26458333333333334</v>
      </c>
      <c r="D386" s="1" t="s">
        <v>1128</v>
      </c>
      <c r="E386">
        <v>62</v>
      </c>
      <c r="F386" s="1" t="s">
        <v>806</v>
      </c>
      <c r="G386" t="str">
        <f>_xlfn.XLOOKUP(Logs__2[[#This Row],[Cell_ID]],'Registre_Maintenance'!B:B,'Registre_Maintenance'!C:C,"Pas de correspondance")</f>
        <v>Mongala</v>
      </c>
      <c r="H386">
        <f>_xlfn.XLOOKUP(Logs__2[[#This Row],[Cell_ID]],'Registre_Maintenance'!B:B,'Registre_Maintenance'!D:D,"Pas de correspondance")</f>
        <v>3.6344850000000002</v>
      </c>
      <c r="I386">
        <f>_xlfn.XLOOKUP(Logs__2[[#This Row],[Cell_ID]],'Registre_Maintenance'!B:B,'Registre_Maintenance'!E:E,"Pas de correspondance")</f>
        <v>12.158348999999999</v>
      </c>
      <c r="J386" t="str">
        <f>_xlfn.XLOOKUP(Logs__2[[#This Row],[Cell_ID]],'Registre_Maintenance'!B:B,'Registre_Maintenance'!F:F,"Pas de correspondance")</f>
        <v>5G</v>
      </c>
      <c r="K386" t="str">
        <f>_xlfn.XLOOKUP(Logs__2[[#This Row],[Cell_ID]],'Registre_Maintenance'!B:B,'Registre_Maintenance'!G:G,"Pas de correspondance")</f>
        <v>Ericsson</v>
      </c>
    </row>
    <row r="387" spans="1:11" x14ac:dyDescent="0.25">
      <c r="A387" s="1" t="s">
        <v>1098</v>
      </c>
      <c r="B387" s="2">
        <v>45230</v>
      </c>
      <c r="C387" s="3">
        <v>0.6333333333333333</v>
      </c>
      <c r="D387" s="1" t="s">
        <v>1129</v>
      </c>
      <c r="E387">
        <v>34</v>
      </c>
      <c r="F387" s="1" t="s">
        <v>806</v>
      </c>
      <c r="G387" t="str">
        <f>_xlfn.XLOOKUP(Logs__2[[#This Row],[Cell_ID]],'Registre_Maintenance'!B:B,'Registre_Maintenance'!C:C,"Pas de correspondance")</f>
        <v>Kasaï-Oriental</v>
      </c>
      <c r="H387">
        <f>_xlfn.XLOOKUP(Logs__2[[#This Row],[Cell_ID]],'Registre_Maintenance'!B:B,'Registre_Maintenance'!D:D,"Pas de correspondance")</f>
        <v>2.486888</v>
      </c>
      <c r="I387">
        <f>_xlfn.XLOOKUP(Logs__2[[#This Row],[Cell_ID]],'Registre_Maintenance'!B:B,'Registre_Maintenance'!E:E,"Pas de correspondance")</f>
        <v>23.798074</v>
      </c>
      <c r="J387" t="str">
        <f>_xlfn.XLOOKUP(Logs__2[[#This Row],[Cell_ID]],'Registre_Maintenance'!B:B,'Registre_Maintenance'!F:F,"Pas de correspondance")</f>
        <v>5G</v>
      </c>
      <c r="K387" t="str">
        <f>_xlfn.XLOOKUP(Logs__2[[#This Row],[Cell_ID]],'Registre_Maintenance'!B:B,'Registre_Maintenance'!G:G,"Pas de correspondance")</f>
        <v>ZTE</v>
      </c>
    </row>
    <row r="388" spans="1:11" hidden="1" x14ac:dyDescent="0.25">
      <c r="A388" s="1" t="s">
        <v>1098</v>
      </c>
      <c r="B388" s="2">
        <v>45207</v>
      </c>
      <c r="C388" s="3">
        <v>0.17291666666666666</v>
      </c>
      <c r="D388" s="1" t="s">
        <v>1130</v>
      </c>
      <c r="E388">
        <v>73</v>
      </c>
      <c r="F388" s="1" t="s">
        <v>811</v>
      </c>
      <c r="G388" t="str">
        <f>_xlfn.XLOOKUP(Logs__2[[#This Row],[Cell_ID]],'Registre_Maintenance'!B:B,'Registre_Maintenance'!C:C,"Pas de correspondance")</f>
        <v>Pas de correspondance</v>
      </c>
      <c r="H388" t="str">
        <f>_xlfn.XLOOKUP(Logs__2[[#This Row],[Cell_ID]],'Registre_Maintenance'!B:B,'Registre_Maintenance'!D:D,"Pas de correspondance")</f>
        <v>Pas de correspondance</v>
      </c>
      <c r="I388" t="str">
        <f>_xlfn.XLOOKUP(Logs__2[[#This Row],[Cell_ID]],'Registre_Maintenance'!B:B,'Registre_Maintenance'!E:E,"Pas de correspondance")</f>
        <v>Pas de correspondance</v>
      </c>
      <c r="J388" t="str">
        <f>_xlfn.XLOOKUP(Logs__2[[#This Row],[Cell_ID]],'Registre_Maintenance'!B:B,'Registre_Maintenance'!F:F,"Pas de correspondance")</f>
        <v>Pas de correspondance</v>
      </c>
      <c r="K388" t="str">
        <f>_xlfn.XLOOKUP(Logs__2[[#This Row],[Cell_ID]],'Registre_Maintenance'!B:B,'Registre_Maintenance'!G:G,"Pas de correspondance")</f>
        <v>Pas de correspondance</v>
      </c>
    </row>
    <row r="389" spans="1:11" x14ac:dyDescent="0.25">
      <c r="A389" s="1" t="s">
        <v>1098</v>
      </c>
      <c r="B389" s="2">
        <v>45202</v>
      </c>
      <c r="C389" s="3">
        <v>0.41249999999999998</v>
      </c>
      <c r="D389" s="1" t="s">
        <v>1131</v>
      </c>
      <c r="E389">
        <v>35</v>
      </c>
      <c r="F389" s="1" t="s">
        <v>806</v>
      </c>
      <c r="G389" t="str">
        <f>_xlfn.XLOOKUP(Logs__2[[#This Row],[Cell_ID]],'Registre_Maintenance'!B:B,'Registre_Maintenance'!C:C,"Pas de correspondance")</f>
        <v>Bas-Uele</v>
      </c>
      <c r="H389">
        <f>_xlfn.XLOOKUP(Logs__2[[#This Row],[Cell_ID]],'Registre_Maintenance'!B:B,'Registre_Maintenance'!D:D,"Pas de correspondance")</f>
        <v>-6.4197189999999997</v>
      </c>
      <c r="I389">
        <f>_xlfn.XLOOKUP(Logs__2[[#This Row],[Cell_ID]],'Registre_Maintenance'!B:B,'Registre_Maintenance'!E:E,"Pas de correspondance")</f>
        <v>22.287264</v>
      </c>
      <c r="J389" t="str">
        <f>_xlfn.XLOOKUP(Logs__2[[#This Row],[Cell_ID]],'Registre_Maintenance'!B:B,'Registre_Maintenance'!F:F,"Pas de correspondance")</f>
        <v>3G</v>
      </c>
      <c r="K389" t="str">
        <f>_xlfn.XLOOKUP(Logs__2[[#This Row],[Cell_ID]],'Registre_Maintenance'!B:B,'Registre_Maintenance'!G:G,"Pas de correspondance")</f>
        <v>Ericsson</v>
      </c>
    </row>
    <row r="390" spans="1:11" x14ac:dyDescent="0.25">
      <c r="A390" s="1" t="s">
        <v>1098</v>
      </c>
      <c r="B390" s="2">
        <v>45225</v>
      </c>
      <c r="C390" s="3">
        <v>0.14722222222222223</v>
      </c>
      <c r="D390" s="1" t="s">
        <v>1132</v>
      </c>
      <c r="E390">
        <v>44</v>
      </c>
      <c r="F390" s="1" t="s">
        <v>806</v>
      </c>
      <c r="G390" t="str">
        <f>_xlfn.XLOOKUP(Logs__2[[#This Row],[Cell_ID]],'Registre_Maintenance'!B:B,'Registre_Maintenance'!C:C,"Pas de correspondance")</f>
        <v>Sud-Kivu</v>
      </c>
      <c r="H390">
        <f>_xlfn.XLOOKUP(Logs__2[[#This Row],[Cell_ID]],'Registre_Maintenance'!B:B,'Registre_Maintenance'!D:D,"Pas de correspondance")</f>
        <v>4.2904629999999999</v>
      </c>
      <c r="I390">
        <f>_xlfn.XLOOKUP(Logs__2[[#This Row],[Cell_ID]],'Registre_Maintenance'!B:B,'Registre_Maintenance'!E:E,"Pas de correspondance")</f>
        <v>26.354195000000001</v>
      </c>
      <c r="J390" t="str">
        <f>_xlfn.XLOOKUP(Logs__2[[#This Row],[Cell_ID]],'Registre_Maintenance'!B:B,'Registre_Maintenance'!F:F,"Pas de correspondance")</f>
        <v>3G</v>
      </c>
      <c r="K390" t="str">
        <f>_xlfn.XLOOKUP(Logs__2[[#This Row],[Cell_ID]],'Registre_Maintenance'!B:B,'Registre_Maintenance'!G:G,"Pas de correspondance")</f>
        <v>Ericsson</v>
      </c>
    </row>
    <row r="391" spans="1:11" hidden="1" x14ac:dyDescent="0.25">
      <c r="A391" s="1" t="s">
        <v>1133</v>
      </c>
      <c r="B391" s="2">
        <v>45207</v>
      </c>
      <c r="C391" s="3">
        <v>0.37986111111111109</v>
      </c>
      <c r="D391" s="1" t="s">
        <v>1055</v>
      </c>
      <c r="E391">
        <v>118</v>
      </c>
      <c r="F391" s="1" t="s">
        <v>811</v>
      </c>
      <c r="G391" t="str">
        <f>_xlfn.XLOOKUP(Logs__2[[#This Row],[Cell_ID]],'Registre_Maintenance'!B:B,'Registre_Maintenance'!C:C,"Pas de correspondance")</f>
        <v>Pas de correspondance</v>
      </c>
      <c r="H391" t="str">
        <f>_xlfn.XLOOKUP(Logs__2[[#This Row],[Cell_ID]],'Registre_Maintenance'!B:B,'Registre_Maintenance'!D:D,"Pas de correspondance")</f>
        <v>Pas de correspondance</v>
      </c>
      <c r="I391" t="str">
        <f>_xlfn.XLOOKUP(Logs__2[[#This Row],[Cell_ID]],'Registre_Maintenance'!B:B,'Registre_Maintenance'!E:E,"Pas de correspondance")</f>
        <v>Pas de correspondance</v>
      </c>
      <c r="J391" t="str">
        <f>_xlfn.XLOOKUP(Logs__2[[#This Row],[Cell_ID]],'Registre_Maintenance'!B:B,'Registre_Maintenance'!F:F,"Pas de correspondance")</f>
        <v>Pas de correspondance</v>
      </c>
      <c r="K391" t="str">
        <f>_xlfn.XLOOKUP(Logs__2[[#This Row],[Cell_ID]],'Registre_Maintenance'!B:B,'Registre_Maintenance'!G:G,"Pas de correspondance")</f>
        <v>Pas de correspondance</v>
      </c>
    </row>
    <row r="392" spans="1:11" hidden="1" x14ac:dyDescent="0.25">
      <c r="A392" s="1" t="s">
        <v>1133</v>
      </c>
      <c r="B392" s="2">
        <v>45201</v>
      </c>
      <c r="C392" s="3">
        <v>0.30972222222222223</v>
      </c>
      <c r="D392" s="1" t="s">
        <v>1134</v>
      </c>
      <c r="E392">
        <v>56</v>
      </c>
      <c r="F392" s="1" t="s">
        <v>811</v>
      </c>
      <c r="G392" t="str">
        <f>_xlfn.XLOOKUP(Logs__2[[#This Row],[Cell_ID]],'Registre_Maintenance'!B:B,'Registre_Maintenance'!C:C,"Pas de correspondance")</f>
        <v>Pas de correspondance</v>
      </c>
      <c r="H392" t="str">
        <f>_xlfn.XLOOKUP(Logs__2[[#This Row],[Cell_ID]],'Registre_Maintenance'!B:B,'Registre_Maintenance'!D:D,"Pas de correspondance")</f>
        <v>Pas de correspondance</v>
      </c>
      <c r="I392" t="str">
        <f>_xlfn.XLOOKUP(Logs__2[[#This Row],[Cell_ID]],'Registre_Maintenance'!B:B,'Registre_Maintenance'!E:E,"Pas de correspondance")</f>
        <v>Pas de correspondance</v>
      </c>
      <c r="J392" t="str">
        <f>_xlfn.XLOOKUP(Logs__2[[#This Row],[Cell_ID]],'Registre_Maintenance'!B:B,'Registre_Maintenance'!F:F,"Pas de correspondance")</f>
        <v>Pas de correspondance</v>
      </c>
      <c r="K392" t="str">
        <f>_xlfn.XLOOKUP(Logs__2[[#This Row],[Cell_ID]],'Registre_Maintenance'!B:B,'Registre_Maintenance'!G:G,"Pas de correspondance")</f>
        <v>Pas de correspondance</v>
      </c>
    </row>
    <row r="393" spans="1:11" x14ac:dyDescent="0.25">
      <c r="A393" s="1" t="s">
        <v>1133</v>
      </c>
      <c r="B393" s="2">
        <v>45220</v>
      </c>
      <c r="C393" s="3">
        <v>0.81180555555555556</v>
      </c>
      <c r="D393" s="1" t="s">
        <v>1135</v>
      </c>
      <c r="E393">
        <v>100</v>
      </c>
      <c r="F393" s="1" t="s">
        <v>811</v>
      </c>
      <c r="G393" t="str">
        <f>_xlfn.XLOOKUP(Logs__2[[#This Row],[Cell_ID]],'Registre_Maintenance'!B:B,'Registre_Maintenance'!C:C,"Pas de correspondance")</f>
        <v>Kwilu</v>
      </c>
      <c r="H393">
        <f>_xlfn.XLOOKUP(Logs__2[[#This Row],[Cell_ID]],'Registre_Maintenance'!B:B,'Registre_Maintenance'!D:D,"Pas de correspondance")</f>
        <v>-0.98830399999999996</v>
      </c>
      <c r="I393">
        <f>_xlfn.XLOOKUP(Logs__2[[#This Row],[Cell_ID]],'Registre_Maintenance'!B:B,'Registre_Maintenance'!E:E,"Pas de correspondance")</f>
        <v>28.099966999999999</v>
      </c>
      <c r="J393" t="str">
        <f>_xlfn.XLOOKUP(Logs__2[[#This Row],[Cell_ID]],'Registre_Maintenance'!B:B,'Registre_Maintenance'!F:F,"Pas de correspondance")</f>
        <v>3G</v>
      </c>
      <c r="K393" t="str">
        <f>_xlfn.XLOOKUP(Logs__2[[#This Row],[Cell_ID]],'Registre_Maintenance'!B:B,'Registre_Maintenance'!G:G,"Pas de correspondance")</f>
        <v>Huawei</v>
      </c>
    </row>
    <row r="394" spans="1:11" x14ac:dyDescent="0.25">
      <c r="A394" s="1" t="s">
        <v>1133</v>
      </c>
      <c r="B394" s="2">
        <v>45202</v>
      </c>
      <c r="C394" s="3">
        <v>0.16180555555555556</v>
      </c>
      <c r="D394" s="1" t="s">
        <v>1136</v>
      </c>
      <c r="E394">
        <v>61</v>
      </c>
      <c r="F394" s="1" t="s">
        <v>809</v>
      </c>
      <c r="G394" t="str">
        <f>_xlfn.XLOOKUP(Logs__2[[#This Row],[Cell_ID]],'Registre_Maintenance'!B:B,'Registre_Maintenance'!C:C,"Pas de correspondance")</f>
        <v>Nord-Kivu</v>
      </c>
      <c r="H394">
        <f>_xlfn.XLOOKUP(Logs__2[[#This Row],[Cell_ID]],'Registre_Maintenance'!B:B,'Registre_Maintenance'!D:D,"Pas de correspondance")</f>
        <v>-6.5529849999999996</v>
      </c>
      <c r="I394">
        <f>_xlfn.XLOOKUP(Logs__2[[#This Row],[Cell_ID]],'Registre_Maintenance'!B:B,'Registre_Maintenance'!E:E,"Pas de correspondance")</f>
        <v>21.990606</v>
      </c>
      <c r="J394" t="str">
        <f>_xlfn.XLOOKUP(Logs__2[[#This Row],[Cell_ID]],'Registre_Maintenance'!B:B,'Registre_Maintenance'!F:F,"Pas de correspondance")</f>
        <v>3G</v>
      </c>
      <c r="K394" t="str">
        <f>_xlfn.XLOOKUP(Logs__2[[#This Row],[Cell_ID]],'Registre_Maintenance'!B:B,'Registre_Maintenance'!G:G,"Pas de correspondance")</f>
        <v>Huawei</v>
      </c>
    </row>
    <row r="395" spans="1:11" x14ac:dyDescent="0.25">
      <c r="A395" s="1" t="s">
        <v>1133</v>
      </c>
      <c r="B395" s="2">
        <v>45228</v>
      </c>
      <c r="C395" s="3">
        <v>0.65138888888888891</v>
      </c>
      <c r="D395" s="1" t="s">
        <v>1137</v>
      </c>
      <c r="E395">
        <v>119</v>
      </c>
      <c r="F395" s="1" t="s">
        <v>806</v>
      </c>
      <c r="G395" t="str">
        <f>_xlfn.XLOOKUP(Logs__2[[#This Row],[Cell_ID]],'Registre_Maintenance'!B:B,'Registre_Maintenance'!C:C,"Pas de correspondance")</f>
        <v>Sud-Kivu</v>
      </c>
      <c r="H395">
        <f>_xlfn.XLOOKUP(Logs__2[[#This Row],[Cell_ID]],'Registre_Maintenance'!B:B,'Registre_Maintenance'!D:D,"Pas de correspondance")</f>
        <v>2.453036</v>
      </c>
      <c r="I395">
        <f>_xlfn.XLOOKUP(Logs__2[[#This Row],[Cell_ID]],'Registre_Maintenance'!B:B,'Registre_Maintenance'!E:E,"Pas de correspondance")</f>
        <v>20.555484</v>
      </c>
      <c r="J395" t="str">
        <f>_xlfn.XLOOKUP(Logs__2[[#This Row],[Cell_ID]],'Registre_Maintenance'!B:B,'Registre_Maintenance'!F:F,"Pas de correspondance")</f>
        <v>5G</v>
      </c>
      <c r="K395" t="str">
        <f>_xlfn.XLOOKUP(Logs__2[[#This Row],[Cell_ID]],'Registre_Maintenance'!B:B,'Registre_Maintenance'!G:G,"Pas de correspondance")</f>
        <v>Ericsson</v>
      </c>
    </row>
    <row r="396" spans="1:11" hidden="1" x14ac:dyDescent="0.25">
      <c r="A396" s="1" t="s">
        <v>1133</v>
      </c>
      <c r="B396" s="2">
        <v>45217</v>
      </c>
      <c r="C396" s="3">
        <v>2.7777777777777776E-2</v>
      </c>
      <c r="D396" s="1" t="s">
        <v>987</v>
      </c>
      <c r="E396">
        <v>54</v>
      </c>
      <c r="F396" s="1" t="s">
        <v>809</v>
      </c>
      <c r="G396" t="str">
        <f>_xlfn.XLOOKUP(Logs__2[[#This Row],[Cell_ID]],'Registre_Maintenance'!B:B,'Registre_Maintenance'!C:C,"Pas de correspondance")</f>
        <v>Pas de correspondance</v>
      </c>
      <c r="H396" t="str">
        <f>_xlfn.XLOOKUP(Logs__2[[#This Row],[Cell_ID]],'Registre_Maintenance'!B:B,'Registre_Maintenance'!D:D,"Pas de correspondance")</f>
        <v>Pas de correspondance</v>
      </c>
      <c r="I396" t="str">
        <f>_xlfn.XLOOKUP(Logs__2[[#This Row],[Cell_ID]],'Registre_Maintenance'!B:B,'Registre_Maintenance'!E:E,"Pas de correspondance")</f>
        <v>Pas de correspondance</v>
      </c>
      <c r="J396" t="str">
        <f>_xlfn.XLOOKUP(Logs__2[[#This Row],[Cell_ID]],'Registre_Maintenance'!B:B,'Registre_Maintenance'!F:F,"Pas de correspondance")</f>
        <v>Pas de correspondance</v>
      </c>
      <c r="K396" t="str">
        <f>_xlfn.XLOOKUP(Logs__2[[#This Row],[Cell_ID]],'Registre_Maintenance'!B:B,'Registre_Maintenance'!G:G,"Pas de correspondance")</f>
        <v>Pas de correspondance</v>
      </c>
    </row>
    <row r="397" spans="1:11" x14ac:dyDescent="0.25">
      <c r="A397" s="1" t="s">
        <v>1133</v>
      </c>
      <c r="B397" s="2">
        <v>45216</v>
      </c>
      <c r="C397" s="3">
        <v>0.76041666666666663</v>
      </c>
      <c r="D397" s="1" t="s">
        <v>1138</v>
      </c>
      <c r="E397">
        <v>48</v>
      </c>
      <c r="F397" s="1" t="s">
        <v>806</v>
      </c>
      <c r="G397" t="str">
        <f>_xlfn.XLOOKUP(Logs__2[[#This Row],[Cell_ID]],'Registre_Maintenance'!B:B,'Registre_Maintenance'!C:C,"Pas de correspondance")</f>
        <v>Ituri</v>
      </c>
      <c r="H397">
        <f>_xlfn.XLOOKUP(Logs__2[[#This Row],[Cell_ID]],'Registre_Maintenance'!B:B,'Registre_Maintenance'!D:D,"Pas de correspondance")</f>
        <v>-11.002602</v>
      </c>
      <c r="I397">
        <f>_xlfn.XLOOKUP(Logs__2[[#This Row],[Cell_ID]],'Registre_Maintenance'!B:B,'Registre_Maintenance'!E:E,"Pas de correspondance")</f>
        <v>23.918247999999998</v>
      </c>
      <c r="J397" t="str">
        <f>_xlfn.XLOOKUP(Logs__2[[#This Row],[Cell_ID]],'Registre_Maintenance'!B:B,'Registre_Maintenance'!F:F,"Pas de correspondance")</f>
        <v>5G</v>
      </c>
      <c r="K397" t="str">
        <f>_xlfn.XLOOKUP(Logs__2[[#This Row],[Cell_ID]],'Registre_Maintenance'!B:B,'Registre_Maintenance'!G:G,"Pas de correspondance")</f>
        <v>ZTE</v>
      </c>
    </row>
    <row r="398" spans="1:11" x14ac:dyDescent="0.25">
      <c r="A398" s="1" t="s">
        <v>1133</v>
      </c>
      <c r="B398" s="2">
        <v>45222</v>
      </c>
      <c r="C398" s="3">
        <v>0.17916666666666667</v>
      </c>
      <c r="D398" s="1" t="s">
        <v>1139</v>
      </c>
      <c r="E398">
        <v>28</v>
      </c>
      <c r="F398" s="1" t="s">
        <v>809</v>
      </c>
      <c r="G398" t="str">
        <f>_xlfn.XLOOKUP(Logs__2[[#This Row],[Cell_ID]],'Registre_Maintenance'!B:B,'Registre_Maintenance'!C:C,"Pas de correspondance")</f>
        <v>Kinshasa</v>
      </c>
      <c r="H398">
        <f>_xlfn.XLOOKUP(Logs__2[[#This Row],[Cell_ID]],'Registre_Maintenance'!B:B,'Registre_Maintenance'!D:D,"Pas de correspondance")</f>
        <v>-0.90854400000000002</v>
      </c>
      <c r="I398">
        <f>_xlfn.XLOOKUP(Logs__2[[#This Row],[Cell_ID]],'Registre_Maintenance'!B:B,'Registre_Maintenance'!E:E,"Pas de correspondance")</f>
        <v>17.154896999999998</v>
      </c>
      <c r="J398" t="str">
        <f>_xlfn.XLOOKUP(Logs__2[[#This Row],[Cell_ID]],'Registre_Maintenance'!B:B,'Registre_Maintenance'!F:F,"Pas de correspondance")</f>
        <v>3G</v>
      </c>
      <c r="K398" t="str">
        <f>_xlfn.XLOOKUP(Logs__2[[#This Row],[Cell_ID]],'Registre_Maintenance'!B:B,'Registre_Maintenance'!G:G,"Pas de correspondance")</f>
        <v>Huawei</v>
      </c>
    </row>
    <row r="399" spans="1:11" x14ac:dyDescent="0.25">
      <c r="A399" s="1" t="s">
        <v>1133</v>
      </c>
      <c r="B399" s="2">
        <v>45213</v>
      </c>
      <c r="C399" s="3">
        <v>2.7083333333333334E-2</v>
      </c>
      <c r="D399" s="1" t="s">
        <v>1140</v>
      </c>
      <c r="E399">
        <v>68</v>
      </c>
      <c r="F399" s="1" t="s">
        <v>811</v>
      </c>
      <c r="G399" t="str">
        <f>_xlfn.XLOOKUP(Logs__2[[#This Row],[Cell_ID]],'Registre_Maintenance'!B:B,'Registre_Maintenance'!C:C,"Pas de correspondance")</f>
        <v>Kwango</v>
      </c>
      <c r="H399">
        <f>_xlfn.XLOOKUP(Logs__2[[#This Row],[Cell_ID]],'Registre_Maintenance'!B:B,'Registre_Maintenance'!D:D,"Pas de correspondance")</f>
        <v>-8.1210620000000002</v>
      </c>
      <c r="I399">
        <f>_xlfn.XLOOKUP(Logs__2[[#This Row],[Cell_ID]],'Registre_Maintenance'!B:B,'Registre_Maintenance'!E:E,"Pas de correspondance")</f>
        <v>21.094390000000001</v>
      </c>
      <c r="J399" t="str">
        <f>_xlfn.XLOOKUP(Logs__2[[#This Row],[Cell_ID]],'Registre_Maintenance'!B:B,'Registre_Maintenance'!F:F,"Pas de correspondance")</f>
        <v>5G</v>
      </c>
      <c r="K399" t="str">
        <f>_xlfn.XLOOKUP(Logs__2[[#This Row],[Cell_ID]],'Registre_Maintenance'!B:B,'Registre_Maintenance'!G:G,"Pas de correspondance")</f>
        <v>ZTE</v>
      </c>
    </row>
    <row r="400" spans="1:11" x14ac:dyDescent="0.25">
      <c r="A400" s="1" t="s">
        <v>1133</v>
      </c>
      <c r="B400" s="2">
        <v>45211</v>
      </c>
      <c r="C400" s="3">
        <v>0.31666666666666665</v>
      </c>
      <c r="D400" s="1" t="s">
        <v>1141</v>
      </c>
      <c r="E400">
        <v>93</v>
      </c>
      <c r="F400" s="1" t="s">
        <v>811</v>
      </c>
      <c r="G400" t="str">
        <f>_xlfn.XLOOKUP(Logs__2[[#This Row],[Cell_ID]],'Registre_Maintenance'!B:B,'Registre_Maintenance'!C:C,"Pas de correspondance")</f>
        <v>Lualaba</v>
      </c>
      <c r="H400">
        <f>_xlfn.XLOOKUP(Logs__2[[#This Row],[Cell_ID]],'Registre_Maintenance'!B:B,'Registre_Maintenance'!D:D,"Pas de correspondance")</f>
        <v>1.286548</v>
      </c>
      <c r="I400">
        <f>_xlfn.XLOOKUP(Logs__2[[#This Row],[Cell_ID]],'Registre_Maintenance'!B:B,'Registre_Maintenance'!E:E,"Pas de correspondance")</f>
        <v>29.823702999999998</v>
      </c>
      <c r="J400" t="str">
        <f>_xlfn.XLOOKUP(Logs__2[[#This Row],[Cell_ID]],'Registre_Maintenance'!B:B,'Registre_Maintenance'!F:F,"Pas de correspondance")</f>
        <v>4G</v>
      </c>
      <c r="K400" t="str">
        <f>_xlfn.XLOOKUP(Logs__2[[#This Row],[Cell_ID]],'Registre_Maintenance'!B:B,'Registre_Maintenance'!G:G,"Pas de correspondance")</f>
        <v>ZTE</v>
      </c>
    </row>
    <row r="401" spans="1:11" hidden="1" x14ac:dyDescent="0.25">
      <c r="A401" s="1" t="s">
        <v>1133</v>
      </c>
      <c r="B401" s="2">
        <v>45213</v>
      </c>
      <c r="C401" s="3">
        <v>0.23749999999999999</v>
      </c>
      <c r="D401" s="1" t="s">
        <v>930</v>
      </c>
      <c r="E401">
        <v>68</v>
      </c>
      <c r="F401" s="1" t="s">
        <v>811</v>
      </c>
      <c r="G401" t="str">
        <f>_xlfn.XLOOKUP(Logs__2[[#This Row],[Cell_ID]],'Registre_Maintenance'!B:B,'Registre_Maintenance'!C:C,"Pas de correspondance")</f>
        <v>Pas de correspondance</v>
      </c>
      <c r="H401" t="str">
        <f>_xlfn.XLOOKUP(Logs__2[[#This Row],[Cell_ID]],'Registre_Maintenance'!B:B,'Registre_Maintenance'!D:D,"Pas de correspondance")</f>
        <v>Pas de correspondance</v>
      </c>
      <c r="I401" t="str">
        <f>_xlfn.XLOOKUP(Logs__2[[#This Row],[Cell_ID]],'Registre_Maintenance'!B:B,'Registre_Maintenance'!E:E,"Pas de correspondance")</f>
        <v>Pas de correspondance</v>
      </c>
      <c r="J401" t="str">
        <f>_xlfn.XLOOKUP(Logs__2[[#This Row],[Cell_ID]],'Registre_Maintenance'!B:B,'Registre_Maintenance'!F:F,"Pas de correspondance")</f>
        <v>Pas de correspondance</v>
      </c>
      <c r="K401" t="str">
        <f>_xlfn.XLOOKUP(Logs__2[[#This Row],[Cell_ID]],'Registre_Maintenance'!B:B,'Registre_Maintenance'!G:G,"Pas de correspondance")</f>
        <v>Pas de correspondance</v>
      </c>
    </row>
    <row r="402" spans="1:11" hidden="1" x14ac:dyDescent="0.25">
      <c r="A402" s="1" t="s">
        <v>1133</v>
      </c>
      <c r="B402" s="2">
        <v>45221</v>
      </c>
      <c r="C402" s="3">
        <v>0.10625</v>
      </c>
      <c r="D402" s="1" t="s">
        <v>826</v>
      </c>
      <c r="E402">
        <v>52</v>
      </c>
      <c r="F402" s="1" t="s">
        <v>811</v>
      </c>
      <c r="G402" t="str">
        <f>_xlfn.XLOOKUP(Logs__2[[#This Row],[Cell_ID]],'Registre_Maintenance'!B:B,'Registre_Maintenance'!C:C,"Pas de correspondance")</f>
        <v>Pas de correspondance</v>
      </c>
      <c r="H402" t="str">
        <f>_xlfn.XLOOKUP(Logs__2[[#This Row],[Cell_ID]],'Registre_Maintenance'!B:B,'Registre_Maintenance'!D:D,"Pas de correspondance")</f>
        <v>Pas de correspondance</v>
      </c>
      <c r="I402" t="str">
        <f>_xlfn.XLOOKUP(Logs__2[[#This Row],[Cell_ID]],'Registre_Maintenance'!B:B,'Registre_Maintenance'!E:E,"Pas de correspondance")</f>
        <v>Pas de correspondance</v>
      </c>
      <c r="J402" t="str">
        <f>_xlfn.XLOOKUP(Logs__2[[#This Row],[Cell_ID]],'Registre_Maintenance'!B:B,'Registre_Maintenance'!F:F,"Pas de correspondance")</f>
        <v>Pas de correspondance</v>
      </c>
      <c r="K402" t="str">
        <f>_xlfn.XLOOKUP(Logs__2[[#This Row],[Cell_ID]],'Registre_Maintenance'!B:B,'Registre_Maintenance'!G:G,"Pas de correspondance")</f>
        <v>Pas de correspondance</v>
      </c>
    </row>
    <row r="403" spans="1:11" x14ac:dyDescent="0.25">
      <c r="A403" s="1" t="s">
        <v>1133</v>
      </c>
      <c r="B403" s="2">
        <v>45211</v>
      </c>
      <c r="C403" s="3">
        <v>0.10625</v>
      </c>
      <c r="D403" s="1" t="s">
        <v>1142</v>
      </c>
      <c r="E403">
        <v>107</v>
      </c>
      <c r="F403" s="1" t="s">
        <v>806</v>
      </c>
      <c r="G403" t="str">
        <f>_xlfn.XLOOKUP(Logs__2[[#This Row],[Cell_ID]],'Registre_Maintenance'!B:B,'Registre_Maintenance'!C:C,"Pas de correspondance")</f>
        <v>Kasaï</v>
      </c>
      <c r="H403">
        <f>_xlfn.XLOOKUP(Logs__2[[#This Row],[Cell_ID]],'Registre_Maintenance'!B:B,'Registre_Maintenance'!D:D,"Pas de correspondance")</f>
        <v>-5.125</v>
      </c>
      <c r="I403">
        <f>_xlfn.XLOOKUP(Logs__2[[#This Row],[Cell_ID]],'Registre_Maintenance'!B:B,'Registre_Maintenance'!E:E,"Pas de correspondance")</f>
        <v>23.513119</v>
      </c>
      <c r="J403" t="str">
        <f>_xlfn.XLOOKUP(Logs__2[[#This Row],[Cell_ID]],'Registre_Maintenance'!B:B,'Registre_Maintenance'!F:F,"Pas de correspondance")</f>
        <v>5G</v>
      </c>
      <c r="K403" t="str">
        <f>_xlfn.XLOOKUP(Logs__2[[#This Row],[Cell_ID]],'Registre_Maintenance'!B:B,'Registre_Maintenance'!G:G,"Pas de correspondance")</f>
        <v>Huawei</v>
      </c>
    </row>
    <row r="404" spans="1:11" hidden="1" x14ac:dyDescent="0.25">
      <c r="A404" s="1" t="s">
        <v>1133</v>
      </c>
      <c r="B404" s="2">
        <v>45217</v>
      </c>
      <c r="C404" s="3">
        <v>0.70138888888888884</v>
      </c>
      <c r="D404" s="1" t="s">
        <v>944</v>
      </c>
      <c r="E404">
        <v>71</v>
      </c>
      <c r="F404" s="1" t="s">
        <v>809</v>
      </c>
      <c r="G404" t="str">
        <f>_xlfn.XLOOKUP(Logs__2[[#This Row],[Cell_ID]],'Registre_Maintenance'!B:B,'Registre_Maintenance'!C:C,"Pas de correspondance")</f>
        <v>Pas de correspondance</v>
      </c>
      <c r="H404" t="str">
        <f>_xlfn.XLOOKUP(Logs__2[[#This Row],[Cell_ID]],'Registre_Maintenance'!B:B,'Registre_Maintenance'!D:D,"Pas de correspondance")</f>
        <v>Pas de correspondance</v>
      </c>
      <c r="I404" t="str">
        <f>_xlfn.XLOOKUP(Logs__2[[#This Row],[Cell_ID]],'Registre_Maintenance'!B:B,'Registre_Maintenance'!E:E,"Pas de correspondance")</f>
        <v>Pas de correspondance</v>
      </c>
      <c r="J404" t="str">
        <f>_xlfn.XLOOKUP(Logs__2[[#This Row],[Cell_ID]],'Registre_Maintenance'!B:B,'Registre_Maintenance'!F:F,"Pas de correspondance")</f>
        <v>Pas de correspondance</v>
      </c>
      <c r="K404" t="str">
        <f>_xlfn.XLOOKUP(Logs__2[[#This Row],[Cell_ID]],'Registre_Maintenance'!B:B,'Registre_Maintenance'!G:G,"Pas de correspondance")</f>
        <v>Pas de correspondance</v>
      </c>
    </row>
    <row r="405" spans="1:11" x14ac:dyDescent="0.25">
      <c r="A405" s="1" t="s">
        <v>1133</v>
      </c>
      <c r="B405" s="2">
        <v>45216</v>
      </c>
      <c r="C405" s="3">
        <v>0.70902777777777781</v>
      </c>
      <c r="D405" s="1" t="s">
        <v>1143</v>
      </c>
      <c r="E405">
        <v>39</v>
      </c>
      <c r="F405" s="1" t="s">
        <v>806</v>
      </c>
      <c r="G405" t="str">
        <f>_xlfn.XLOOKUP(Logs__2[[#This Row],[Cell_ID]],'Registre_Maintenance'!B:B,'Registre_Maintenance'!C:C,"Pas de correspondance")</f>
        <v>Ituri</v>
      </c>
      <c r="H405">
        <f>_xlfn.XLOOKUP(Logs__2[[#This Row],[Cell_ID]],'Registre_Maintenance'!B:B,'Registre_Maintenance'!D:D,"Pas de correspondance")</f>
        <v>-0.34051900000000002</v>
      </c>
      <c r="I405">
        <f>_xlfn.XLOOKUP(Logs__2[[#This Row],[Cell_ID]],'Registre_Maintenance'!B:B,'Registre_Maintenance'!E:E,"Pas de correspondance")</f>
        <v>17.079799000000001</v>
      </c>
      <c r="J405" t="str">
        <f>_xlfn.XLOOKUP(Logs__2[[#This Row],[Cell_ID]],'Registre_Maintenance'!B:B,'Registre_Maintenance'!F:F,"Pas de correspondance")</f>
        <v>5G</v>
      </c>
      <c r="K405" t="str">
        <f>_xlfn.XLOOKUP(Logs__2[[#This Row],[Cell_ID]],'Registre_Maintenance'!B:B,'Registre_Maintenance'!G:G,"Pas de correspondance")</f>
        <v>Ericsson</v>
      </c>
    </row>
    <row r="406" spans="1:11" hidden="1" x14ac:dyDescent="0.25">
      <c r="A406" s="1" t="s">
        <v>1133</v>
      </c>
      <c r="B406" s="2">
        <v>45212</v>
      </c>
      <c r="C406" s="3">
        <v>0.62638888888888888</v>
      </c>
      <c r="D406" s="1" t="s">
        <v>1144</v>
      </c>
      <c r="E406">
        <v>107</v>
      </c>
      <c r="F406" s="1" t="s">
        <v>809</v>
      </c>
      <c r="G406" t="str">
        <f>_xlfn.XLOOKUP(Logs__2[[#This Row],[Cell_ID]],'Registre_Maintenance'!B:B,'Registre_Maintenance'!C:C,"Pas de correspondance")</f>
        <v>Pas de correspondance</v>
      </c>
      <c r="H406" t="str">
        <f>_xlfn.XLOOKUP(Logs__2[[#This Row],[Cell_ID]],'Registre_Maintenance'!B:B,'Registre_Maintenance'!D:D,"Pas de correspondance")</f>
        <v>Pas de correspondance</v>
      </c>
      <c r="I406" t="str">
        <f>_xlfn.XLOOKUP(Logs__2[[#This Row],[Cell_ID]],'Registre_Maintenance'!B:B,'Registre_Maintenance'!E:E,"Pas de correspondance")</f>
        <v>Pas de correspondance</v>
      </c>
      <c r="J406" t="str">
        <f>_xlfn.XLOOKUP(Logs__2[[#This Row],[Cell_ID]],'Registre_Maintenance'!B:B,'Registre_Maintenance'!F:F,"Pas de correspondance")</f>
        <v>Pas de correspondance</v>
      </c>
      <c r="K406" t="str">
        <f>_xlfn.XLOOKUP(Logs__2[[#This Row],[Cell_ID]],'Registre_Maintenance'!B:B,'Registre_Maintenance'!G:G,"Pas de correspondance")</f>
        <v>Pas de correspondance</v>
      </c>
    </row>
    <row r="407" spans="1:11" hidden="1" x14ac:dyDescent="0.25">
      <c r="A407" s="1" t="s">
        <v>1133</v>
      </c>
      <c r="B407" s="2">
        <v>45220</v>
      </c>
      <c r="C407" s="3">
        <v>0.51597222222222228</v>
      </c>
      <c r="D407" s="1" t="s">
        <v>1145</v>
      </c>
      <c r="E407">
        <v>15</v>
      </c>
      <c r="F407" s="1" t="s">
        <v>811</v>
      </c>
      <c r="G407" t="str">
        <f>_xlfn.XLOOKUP(Logs__2[[#This Row],[Cell_ID]],'Registre_Maintenance'!B:B,'Registre_Maintenance'!C:C,"Pas de correspondance")</f>
        <v>Pas de correspondance</v>
      </c>
      <c r="H407" t="str">
        <f>_xlfn.XLOOKUP(Logs__2[[#This Row],[Cell_ID]],'Registre_Maintenance'!B:B,'Registre_Maintenance'!D:D,"Pas de correspondance")</f>
        <v>Pas de correspondance</v>
      </c>
      <c r="I407" t="str">
        <f>_xlfn.XLOOKUP(Logs__2[[#This Row],[Cell_ID]],'Registre_Maintenance'!B:B,'Registre_Maintenance'!E:E,"Pas de correspondance")</f>
        <v>Pas de correspondance</v>
      </c>
      <c r="J407" t="str">
        <f>_xlfn.XLOOKUP(Logs__2[[#This Row],[Cell_ID]],'Registre_Maintenance'!B:B,'Registre_Maintenance'!F:F,"Pas de correspondance")</f>
        <v>Pas de correspondance</v>
      </c>
      <c r="K407" t="str">
        <f>_xlfn.XLOOKUP(Logs__2[[#This Row],[Cell_ID]],'Registre_Maintenance'!B:B,'Registre_Maintenance'!G:G,"Pas de correspondance")</f>
        <v>Pas de correspondance</v>
      </c>
    </row>
    <row r="408" spans="1:11" x14ac:dyDescent="0.25">
      <c r="A408" s="1" t="s">
        <v>1133</v>
      </c>
      <c r="B408" s="2">
        <v>45208</v>
      </c>
      <c r="C408" s="3">
        <v>0.95902777777777781</v>
      </c>
      <c r="D408" s="1" t="s">
        <v>871</v>
      </c>
      <c r="E408">
        <v>98</v>
      </c>
      <c r="F408" s="1" t="s">
        <v>811</v>
      </c>
      <c r="G408" t="str">
        <f>_xlfn.XLOOKUP(Logs__2[[#This Row],[Cell_ID]],'Registre_Maintenance'!B:B,'Registre_Maintenance'!C:C,"Pas de correspondance")</f>
        <v>Nord-Kivu</v>
      </c>
      <c r="H408">
        <f>_xlfn.XLOOKUP(Logs__2[[#This Row],[Cell_ID]],'Registre_Maintenance'!B:B,'Registre_Maintenance'!D:D,"Pas de correspondance")</f>
        <v>0.82868600000000003</v>
      </c>
      <c r="I408">
        <f>_xlfn.XLOOKUP(Logs__2[[#This Row],[Cell_ID]],'Registre_Maintenance'!B:B,'Registre_Maintenance'!E:E,"Pas de correspondance")</f>
        <v>26.958843999999999</v>
      </c>
      <c r="J408" t="str">
        <f>_xlfn.XLOOKUP(Logs__2[[#This Row],[Cell_ID]],'Registre_Maintenance'!B:B,'Registre_Maintenance'!F:F,"Pas de correspondance")</f>
        <v>5G</v>
      </c>
      <c r="K408" t="str">
        <f>_xlfn.XLOOKUP(Logs__2[[#This Row],[Cell_ID]],'Registre_Maintenance'!B:B,'Registre_Maintenance'!G:G,"Pas de correspondance")</f>
        <v>ZTE</v>
      </c>
    </row>
    <row r="409" spans="1:11" x14ac:dyDescent="0.25">
      <c r="A409" s="1" t="s">
        <v>1133</v>
      </c>
      <c r="B409" s="2">
        <v>45211</v>
      </c>
      <c r="C409" s="3">
        <v>9.8611111111111108E-2</v>
      </c>
      <c r="D409" s="1" t="s">
        <v>1146</v>
      </c>
      <c r="E409">
        <v>59</v>
      </c>
      <c r="F409" s="1" t="s">
        <v>811</v>
      </c>
      <c r="G409" t="str">
        <f>_xlfn.XLOOKUP(Logs__2[[#This Row],[Cell_ID]],'Registre_Maintenance'!B:B,'Registre_Maintenance'!C:C,"Pas de correspondance")</f>
        <v>Sud-Ubangi</v>
      </c>
      <c r="H409">
        <f>_xlfn.XLOOKUP(Logs__2[[#This Row],[Cell_ID]],'Registre_Maintenance'!B:B,'Registre_Maintenance'!D:D,"Pas de correspondance")</f>
        <v>-11.387295999999999</v>
      </c>
      <c r="I409">
        <f>_xlfn.XLOOKUP(Logs__2[[#This Row],[Cell_ID]],'Registre_Maintenance'!B:B,'Registre_Maintenance'!E:E,"Pas de correspondance")</f>
        <v>19.384257999999999</v>
      </c>
      <c r="J409" t="str">
        <f>_xlfn.XLOOKUP(Logs__2[[#This Row],[Cell_ID]],'Registre_Maintenance'!B:B,'Registre_Maintenance'!F:F,"Pas de correspondance")</f>
        <v>3G</v>
      </c>
      <c r="K409" t="str">
        <f>_xlfn.XLOOKUP(Logs__2[[#This Row],[Cell_ID]],'Registre_Maintenance'!B:B,'Registre_Maintenance'!G:G,"Pas de correspondance")</f>
        <v>Huawei</v>
      </c>
    </row>
    <row r="410" spans="1:11" x14ac:dyDescent="0.25">
      <c r="A410" s="1" t="s">
        <v>1133</v>
      </c>
      <c r="B410" s="2">
        <v>45207</v>
      </c>
      <c r="C410" s="3">
        <v>0.98750000000000004</v>
      </c>
      <c r="D410" s="1" t="s">
        <v>1147</v>
      </c>
      <c r="E410">
        <v>15</v>
      </c>
      <c r="F410" s="1" t="s">
        <v>809</v>
      </c>
      <c r="G410" t="str">
        <f>_xlfn.XLOOKUP(Logs__2[[#This Row],[Cell_ID]],'Registre_Maintenance'!B:B,'Registre_Maintenance'!C:C,"Pas de correspondance")</f>
        <v>Kwango</v>
      </c>
      <c r="H410">
        <f>_xlfn.XLOOKUP(Logs__2[[#This Row],[Cell_ID]],'Registre_Maintenance'!B:B,'Registre_Maintenance'!D:D,"Pas de correspondance")</f>
        <v>-9.0798120000000004</v>
      </c>
      <c r="I410">
        <f>_xlfn.XLOOKUP(Logs__2[[#This Row],[Cell_ID]],'Registre_Maintenance'!B:B,'Registre_Maintenance'!E:E,"Pas de correspondance")</f>
        <v>14.945484</v>
      </c>
      <c r="J410" t="str">
        <f>_xlfn.XLOOKUP(Logs__2[[#This Row],[Cell_ID]],'Registre_Maintenance'!B:B,'Registre_Maintenance'!F:F,"Pas de correspondance")</f>
        <v>5G</v>
      </c>
      <c r="K410" t="str">
        <f>_xlfn.XLOOKUP(Logs__2[[#This Row],[Cell_ID]],'Registre_Maintenance'!B:B,'Registre_Maintenance'!G:G,"Pas de correspondance")</f>
        <v>Ericsson</v>
      </c>
    </row>
    <row r="411" spans="1:11" hidden="1" x14ac:dyDescent="0.25">
      <c r="A411" s="1" t="s">
        <v>1133</v>
      </c>
      <c r="B411" s="2">
        <v>45220</v>
      </c>
      <c r="C411" s="3">
        <v>0.15902777777777777</v>
      </c>
      <c r="D411" s="1" t="s">
        <v>1148</v>
      </c>
      <c r="E411">
        <v>60</v>
      </c>
      <c r="F411" s="1" t="s">
        <v>811</v>
      </c>
      <c r="G411" t="str">
        <f>_xlfn.XLOOKUP(Logs__2[[#This Row],[Cell_ID]],'Registre_Maintenance'!B:B,'Registre_Maintenance'!C:C,"Pas de correspondance")</f>
        <v>Pas de correspondance</v>
      </c>
      <c r="H411" t="str">
        <f>_xlfn.XLOOKUP(Logs__2[[#This Row],[Cell_ID]],'Registre_Maintenance'!B:B,'Registre_Maintenance'!D:D,"Pas de correspondance")</f>
        <v>Pas de correspondance</v>
      </c>
      <c r="I411" t="str">
        <f>_xlfn.XLOOKUP(Logs__2[[#This Row],[Cell_ID]],'Registre_Maintenance'!B:B,'Registre_Maintenance'!E:E,"Pas de correspondance")</f>
        <v>Pas de correspondance</v>
      </c>
      <c r="J411" t="str">
        <f>_xlfn.XLOOKUP(Logs__2[[#This Row],[Cell_ID]],'Registre_Maintenance'!B:B,'Registre_Maintenance'!F:F,"Pas de correspondance")</f>
        <v>Pas de correspondance</v>
      </c>
      <c r="K411" t="str">
        <f>_xlfn.XLOOKUP(Logs__2[[#This Row],[Cell_ID]],'Registre_Maintenance'!B:B,'Registre_Maintenance'!G:G,"Pas de correspondance")</f>
        <v>Pas de correspondance</v>
      </c>
    </row>
    <row r="412" spans="1:11" x14ac:dyDescent="0.25">
      <c r="A412" s="1" t="s">
        <v>1133</v>
      </c>
      <c r="B412" s="2">
        <v>45218</v>
      </c>
      <c r="C412" s="3">
        <v>0.9916666666666667</v>
      </c>
      <c r="D412" s="1" t="s">
        <v>1079</v>
      </c>
      <c r="E412">
        <v>82</v>
      </c>
      <c r="F412" s="1" t="s">
        <v>806</v>
      </c>
      <c r="G412" t="str">
        <f>_xlfn.XLOOKUP(Logs__2[[#This Row],[Cell_ID]],'Registre_Maintenance'!B:B,'Registre_Maintenance'!C:C,"Pas de correspondance")</f>
        <v>Ituri</v>
      </c>
      <c r="H412">
        <f>_xlfn.XLOOKUP(Logs__2[[#This Row],[Cell_ID]],'Registre_Maintenance'!B:B,'Registre_Maintenance'!D:D,"Pas de correspondance")</f>
        <v>-3.7720639999999999</v>
      </c>
      <c r="I412">
        <f>_xlfn.XLOOKUP(Logs__2[[#This Row],[Cell_ID]],'Registre_Maintenance'!B:B,'Registre_Maintenance'!E:E,"Pas de correspondance")</f>
        <v>16.006277999999998</v>
      </c>
      <c r="J412" t="str">
        <f>_xlfn.XLOOKUP(Logs__2[[#This Row],[Cell_ID]],'Registre_Maintenance'!B:B,'Registre_Maintenance'!F:F,"Pas de correspondance")</f>
        <v>5G</v>
      </c>
      <c r="K412" t="str">
        <f>_xlfn.XLOOKUP(Logs__2[[#This Row],[Cell_ID]],'Registre_Maintenance'!B:B,'Registre_Maintenance'!G:G,"Pas de correspondance")</f>
        <v>ZTE</v>
      </c>
    </row>
    <row r="413" spans="1:11" x14ac:dyDescent="0.25">
      <c r="A413" s="1" t="s">
        <v>1133</v>
      </c>
      <c r="B413" s="2">
        <v>45210</v>
      </c>
      <c r="C413" s="3">
        <v>0.16805555555555557</v>
      </c>
      <c r="D413" s="1" t="s">
        <v>1149</v>
      </c>
      <c r="E413">
        <v>110</v>
      </c>
      <c r="F413" s="1" t="s">
        <v>806</v>
      </c>
      <c r="G413" t="str">
        <f>_xlfn.XLOOKUP(Logs__2[[#This Row],[Cell_ID]],'Registre_Maintenance'!B:B,'Registre_Maintenance'!C:C,"Pas de correspondance")</f>
        <v>Tanganyika</v>
      </c>
      <c r="H413">
        <f>_xlfn.XLOOKUP(Logs__2[[#This Row],[Cell_ID]],'Registre_Maintenance'!B:B,'Registre_Maintenance'!D:D,"Pas de correspondance")</f>
        <v>-9.9565739999999998</v>
      </c>
      <c r="I413">
        <f>_xlfn.XLOOKUP(Logs__2[[#This Row],[Cell_ID]],'Registre_Maintenance'!B:B,'Registre_Maintenance'!E:E,"Pas de correspondance")</f>
        <v>21.017202000000001</v>
      </c>
      <c r="J413" t="str">
        <f>_xlfn.XLOOKUP(Logs__2[[#This Row],[Cell_ID]],'Registre_Maintenance'!B:B,'Registre_Maintenance'!F:F,"Pas de correspondance")</f>
        <v>4G</v>
      </c>
      <c r="K413" t="str">
        <f>_xlfn.XLOOKUP(Logs__2[[#This Row],[Cell_ID]],'Registre_Maintenance'!B:B,'Registre_Maintenance'!G:G,"Pas de correspondance")</f>
        <v>Huawei</v>
      </c>
    </row>
    <row r="414" spans="1:11" hidden="1" x14ac:dyDescent="0.25">
      <c r="A414" s="1" t="s">
        <v>1133</v>
      </c>
      <c r="B414" s="2">
        <v>45211</v>
      </c>
      <c r="C414" s="3">
        <v>0.72291666666666665</v>
      </c>
      <c r="D414" s="1" t="s">
        <v>1150</v>
      </c>
      <c r="E414">
        <v>28</v>
      </c>
      <c r="F414" s="1" t="s">
        <v>806</v>
      </c>
      <c r="G414" t="str">
        <f>_xlfn.XLOOKUP(Logs__2[[#This Row],[Cell_ID]],'Registre_Maintenance'!B:B,'Registre_Maintenance'!C:C,"Pas de correspondance")</f>
        <v>Pas de correspondance</v>
      </c>
      <c r="H414" t="str">
        <f>_xlfn.XLOOKUP(Logs__2[[#This Row],[Cell_ID]],'Registre_Maintenance'!B:B,'Registre_Maintenance'!D:D,"Pas de correspondance")</f>
        <v>Pas de correspondance</v>
      </c>
      <c r="I414" t="str">
        <f>_xlfn.XLOOKUP(Logs__2[[#This Row],[Cell_ID]],'Registre_Maintenance'!B:B,'Registre_Maintenance'!E:E,"Pas de correspondance")</f>
        <v>Pas de correspondance</v>
      </c>
      <c r="J414" t="str">
        <f>_xlfn.XLOOKUP(Logs__2[[#This Row],[Cell_ID]],'Registre_Maintenance'!B:B,'Registre_Maintenance'!F:F,"Pas de correspondance")</f>
        <v>Pas de correspondance</v>
      </c>
      <c r="K414" t="str">
        <f>_xlfn.XLOOKUP(Logs__2[[#This Row],[Cell_ID]],'Registre_Maintenance'!B:B,'Registre_Maintenance'!G:G,"Pas de correspondance")</f>
        <v>Pas de correspondance</v>
      </c>
    </row>
    <row r="415" spans="1:11" x14ac:dyDescent="0.25">
      <c r="A415" s="1" t="s">
        <v>1133</v>
      </c>
      <c r="B415" s="2">
        <v>45226</v>
      </c>
      <c r="C415" s="3">
        <v>0.84097222222222223</v>
      </c>
      <c r="D415" s="1" t="s">
        <v>1151</v>
      </c>
      <c r="E415">
        <v>74</v>
      </c>
      <c r="F415" s="1" t="s">
        <v>809</v>
      </c>
      <c r="G415" t="str">
        <f>_xlfn.XLOOKUP(Logs__2[[#This Row],[Cell_ID]],'Registre_Maintenance'!B:B,'Registre_Maintenance'!C:C,"Pas de correspondance")</f>
        <v>Kinshasa</v>
      </c>
      <c r="H415">
        <f>_xlfn.XLOOKUP(Logs__2[[#This Row],[Cell_ID]],'Registre_Maintenance'!B:B,'Registre_Maintenance'!D:D,"Pas de correspondance")</f>
        <v>-11.389362</v>
      </c>
      <c r="I415">
        <f>_xlfn.XLOOKUP(Logs__2[[#This Row],[Cell_ID]],'Registre_Maintenance'!B:B,'Registre_Maintenance'!E:E,"Pas de correspondance")</f>
        <v>22.240174</v>
      </c>
      <c r="J415" t="str">
        <f>_xlfn.XLOOKUP(Logs__2[[#This Row],[Cell_ID]],'Registre_Maintenance'!B:B,'Registre_Maintenance'!F:F,"Pas de correspondance")</f>
        <v>5G</v>
      </c>
      <c r="K415" t="str">
        <f>_xlfn.XLOOKUP(Logs__2[[#This Row],[Cell_ID]],'Registre_Maintenance'!B:B,'Registre_Maintenance'!G:G,"Pas de correspondance")</f>
        <v>ZTE</v>
      </c>
    </row>
    <row r="416" spans="1:11" hidden="1" x14ac:dyDescent="0.25">
      <c r="A416" s="1" t="s">
        <v>1133</v>
      </c>
      <c r="B416" s="2">
        <v>45226</v>
      </c>
      <c r="C416" s="3">
        <v>0.89513888888888893</v>
      </c>
      <c r="D416" s="1" t="s">
        <v>1152</v>
      </c>
      <c r="E416">
        <v>42</v>
      </c>
      <c r="F416" s="1" t="s">
        <v>806</v>
      </c>
      <c r="G416" t="str">
        <f>_xlfn.XLOOKUP(Logs__2[[#This Row],[Cell_ID]],'Registre_Maintenance'!B:B,'Registre_Maintenance'!C:C,"Pas de correspondance")</f>
        <v>Pas de correspondance</v>
      </c>
      <c r="H416" t="str">
        <f>_xlfn.XLOOKUP(Logs__2[[#This Row],[Cell_ID]],'Registre_Maintenance'!B:B,'Registre_Maintenance'!D:D,"Pas de correspondance")</f>
        <v>Pas de correspondance</v>
      </c>
      <c r="I416" t="str">
        <f>_xlfn.XLOOKUP(Logs__2[[#This Row],[Cell_ID]],'Registre_Maintenance'!B:B,'Registre_Maintenance'!E:E,"Pas de correspondance")</f>
        <v>Pas de correspondance</v>
      </c>
      <c r="J416" t="str">
        <f>_xlfn.XLOOKUP(Logs__2[[#This Row],[Cell_ID]],'Registre_Maintenance'!B:B,'Registre_Maintenance'!F:F,"Pas de correspondance")</f>
        <v>Pas de correspondance</v>
      </c>
      <c r="K416" t="str">
        <f>_xlfn.XLOOKUP(Logs__2[[#This Row],[Cell_ID]],'Registre_Maintenance'!B:B,'Registre_Maintenance'!G:G,"Pas de correspondance")</f>
        <v>Pas de correspondance</v>
      </c>
    </row>
    <row r="417" spans="1:11" x14ac:dyDescent="0.25">
      <c r="A417" s="1" t="s">
        <v>1133</v>
      </c>
      <c r="B417" s="2">
        <v>45222</v>
      </c>
      <c r="C417" s="3">
        <v>0.65277777777777779</v>
      </c>
      <c r="D417" s="1" t="s">
        <v>1153</v>
      </c>
      <c r="E417">
        <v>46</v>
      </c>
      <c r="F417" s="1" t="s">
        <v>811</v>
      </c>
      <c r="G417" t="str">
        <f>_xlfn.XLOOKUP(Logs__2[[#This Row],[Cell_ID]],'Registre_Maintenance'!B:B,'Registre_Maintenance'!C:C,"Pas de correspondance")</f>
        <v>Lomami</v>
      </c>
      <c r="H417">
        <f>_xlfn.XLOOKUP(Logs__2[[#This Row],[Cell_ID]],'Registre_Maintenance'!B:B,'Registre_Maintenance'!D:D,"Pas de correspondance")</f>
        <v>-11.266565999999999</v>
      </c>
      <c r="I417">
        <f>_xlfn.XLOOKUP(Logs__2[[#This Row],[Cell_ID]],'Registre_Maintenance'!B:B,'Registre_Maintenance'!E:E,"Pas de correspondance")</f>
        <v>26.245055000000001</v>
      </c>
      <c r="J417" t="str">
        <f>_xlfn.XLOOKUP(Logs__2[[#This Row],[Cell_ID]],'Registre_Maintenance'!B:B,'Registre_Maintenance'!F:F,"Pas de correspondance")</f>
        <v>3G</v>
      </c>
      <c r="K417" t="str">
        <f>_xlfn.XLOOKUP(Logs__2[[#This Row],[Cell_ID]],'Registre_Maintenance'!B:B,'Registre_Maintenance'!G:G,"Pas de correspondance")</f>
        <v>Ericsson</v>
      </c>
    </row>
    <row r="418" spans="1:11" x14ac:dyDescent="0.25">
      <c r="A418" s="1" t="s">
        <v>1133</v>
      </c>
      <c r="B418" s="2">
        <v>45205</v>
      </c>
      <c r="C418" s="3">
        <v>0.16944444444444445</v>
      </c>
      <c r="D418" s="1" t="s">
        <v>1154</v>
      </c>
      <c r="E418">
        <v>18</v>
      </c>
      <c r="F418" s="1" t="s">
        <v>809</v>
      </c>
      <c r="G418" t="str">
        <f>_xlfn.XLOOKUP(Logs__2[[#This Row],[Cell_ID]],'Registre_Maintenance'!B:B,'Registre_Maintenance'!C:C,"Pas de correspondance")</f>
        <v>Kasaï</v>
      </c>
      <c r="H418">
        <f>_xlfn.XLOOKUP(Logs__2[[#This Row],[Cell_ID]],'Registre_Maintenance'!B:B,'Registre_Maintenance'!D:D,"Pas de correspondance")</f>
        <v>4.8689660000000003</v>
      </c>
      <c r="I418">
        <f>_xlfn.XLOOKUP(Logs__2[[#This Row],[Cell_ID]],'Registre_Maintenance'!B:B,'Registre_Maintenance'!E:E,"Pas de correspondance")</f>
        <v>25.112373000000002</v>
      </c>
      <c r="J418" t="str">
        <f>_xlfn.XLOOKUP(Logs__2[[#This Row],[Cell_ID]],'Registre_Maintenance'!B:B,'Registre_Maintenance'!F:F,"Pas de correspondance")</f>
        <v>3G</v>
      </c>
      <c r="K418" t="str">
        <f>_xlfn.XLOOKUP(Logs__2[[#This Row],[Cell_ID]],'Registre_Maintenance'!B:B,'Registre_Maintenance'!G:G,"Pas de correspondance")</f>
        <v>Huawei</v>
      </c>
    </row>
    <row r="419" spans="1:11" x14ac:dyDescent="0.25">
      <c r="A419" s="1" t="s">
        <v>1133</v>
      </c>
      <c r="B419" s="2">
        <v>45222</v>
      </c>
      <c r="C419" s="3">
        <v>0.58472222222222225</v>
      </c>
      <c r="D419" s="1" t="s">
        <v>1155</v>
      </c>
      <c r="E419">
        <v>15</v>
      </c>
      <c r="F419" s="1" t="s">
        <v>811</v>
      </c>
      <c r="G419" t="str">
        <f>_xlfn.XLOOKUP(Logs__2[[#This Row],[Cell_ID]],'Registre_Maintenance'!B:B,'Registre_Maintenance'!C:C,"Pas de correspondance")</f>
        <v>Equateur</v>
      </c>
      <c r="H419">
        <f>_xlfn.XLOOKUP(Logs__2[[#This Row],[Cell_ID]],'Registre_Maintenance'!B:B,'Registre_Maintenance'!D:D,"Pas de correspondance")</f>
        <v>-9.1215879999999991</v>
      </c>
      <c r="I419">
        <f>_xlfn.XLOOKUP(Logs__2[[#This Row],[Cell_ID]],'Registre_Maintenance'!B:B,'Registre_Maintenance'!E:E,"Pas de correspondance")</f>
        <v>16.457916999999998</v>
      </c>
      <c r="J419" t="str">
        <f>_xlfn.XLOOKUP(Logs__2[[#This Row],[Cell_ID]],'Registre_Maintenance'!B:B,'Registre_Maintenance'!F:F,"Pas de correspondance")</f>
        <v>4G</v>
      </c>
      <c r="K419" t="str">
        <f>_xlfn.XLOOKUP(Logs__2[[#This Row],[Cell_ID]],'Registre_Maintenance'!B:B,'Registre_Maintenance'!G:G,"Pas de correspondance")</f>
        <v>Nokia</v>
      </c>
    </row>
    <row r="420" spans="1:11" hidden="1" x14ac:dyDescent="0.25">
      <c r="A420" s="1" t="s">
        <v>1133</v>
      </c>
      <c r="B420" s="2">
        <v>45209</v>
      </c>
      <c r="C420" s="3">
        <v>0.25138888888888888</v>
      </c>
      <c r="D420" s="1" t="s">
        <v>1060</v>
      </c>
      <c r="E420">
        <v>46</v>
      </c>
      <c r="F420" s="1" t="s">
        <v>809</v>
      </c>
      <c r="G420" t="str">
        <f>_xlfn.XLOOKUP(Logs__2[[#This Row],[Cell_ID]],'Registre_Maintenance'!B:B,'Registre_Maintenance'!C:C,"Pas de correspondance")</f>
        <v>Pas de correspondance</v>
      </c>
      <c r="H420" t="str">
        <f>_xlfn.XLOOKUP(Logs__2[[#This Row],[Cell_ID]],'Registre_Maintenance'!B:B,'Registre_Maintenance'!D:D,"Pas de correspondance")</f>
        <v>Pas de correspondance</v>
      </c>
      <c r="I420" t="str">
        <f>_xlfn.XLOOKUP(Logs__2[[#This Row],[Cell_ID]],'Registre_Maintenance'!B:B,'Registre_Maintenance'!E:E,"Pas de correspondance")</f>
        <v>Pas de correspondance</v>
      </c>
      <c r="J420" t="str">
        <f>_xlfn.XLOOKUP(Logs__2[[#This Row],[Cell_ID]],'Registre_Maintenance'!B:B,'Registre_Maintenance'!F:F,"Pas de correspondance")</f>
        <v>Pas de correspondance</v>
      </c>
      <c r="K420" t="str">
        <f>_xlfn.XLOOKUP(Logs__2[[#This Row],[Cell_ID]],'Registre_Maintenance'!B:B,'Registre_Maintenance'!G:G,"Pas de correspondance")</f>
        <v>Pas de correspondance</v>
      </c>
    </row>
    <row r="421" spans="1:11" x14ac:dyDescent="0.25">
      <c r="A421" s="1" t="s">
        <v>1133</v>
      </c>
      <c r="B421" s="2">
        <v>45225</v>
      </c>
      <c r="C421" s="3">
        <v>0.28888888888888886</v>
      </c>
      <c r="D421" s="1" t="s">
        <v>1106</v>
      </c>
      <c r="E421">
        <v>89</v>
      </c>
      <c r="F421" s="1" t="s">
        <v>806</v>
      </c>
      <c r="G421" t="str">
        <f>_xlfn.XLOOKUP(Logs__2[[#This Row],[Cell_ID]],'Registre_Maintenance'!B:B,'Registre_Maintenance'!C:C,"Pas de correspondance")</f>
        <v>Haut-Lomami</v>
      </c>
      <c r="H421">
        <f>_xlfn.XLOOKUP(Logs__2[[#This Row],[Cell_ID]],'Registre_Maintenance'!B:B,'Registre_Maintenance'!D:D,"Pas de correspondance")</f>
        <v>0.16327700000000001</v>
      </c>
      <c r="I421">
        <f>_xlfn.XLOOKUP(Logs__2[[#This Row],[Cell_ID]],'Registre_Maintenance'!B:B,'Registre_Maintenance'!E:E,"Pas de correspondance")</f>
        <v>14.871577</v>
      </c>
      <c r="J421" t="str">
        <f>_xlfn.XLOOKUP(Logs__2[[#This Row],[Cell_ID]],'Registre_Maintenance'!B:B,'Registre_Maintenance'!F:F,"Pas de correspondance")</f>
        <v>4G</v>
      </c>
      <c r="K421" t="str">
        <f>_xlfn.XLOOKUP(Logs__2[[#This Row],[Cell_ID]],'Registre_Maintenance'!B:B,'Registre_Maintenance'!G:G,"Pas de correspondance")</f>
        <v>Huawei</v>
      </c>
    </row>
    <row r="422" spans="1:11" hidden="1" x14ac:dyDescent="0.25">
      <c r="A422" s="1" t="s">
        <v>1133</v>
      </c>
      <c r="B422" s="2">
        <v>45201</v>
      </c>
      <c r="C422" s="3">
        <v>0.45763888888888887</v>
      </c>
      <c r="D422" s="1" t="s">
        <v>1156</v>
      </c>
      <c r="E422">
        <v>42</v>
      </c>
      <c r="F422" s="1" t="s">
        <v>811</v>
      </c>
      <c r="G422" t="str">
        <f>_xlfn.XLOOKUP(Logs__2[[#This Row],[Cell_ID]],'Registre_Maintenance'!B:B,'Registre_Maintenance'!C:C,"Pas de correspondance")</f>
        <v>Pas de correspondance</v>
      </c>
      <c r="H422" t="str">
        <f>_xlfn.XLOOKUP(Logs__2[[#This Row],[Cell_ID]],'Registre_Maintenance'!B:B,'Registre_Maintenance'!D:D,"Pas de correspondance")</f>
        <v>Pas de correspondance</v>
      </c>
      <c r="I422" t="str">
        <f>_xlfn.XLOOKUP(Logs__2[[#This Row],[Cell_ID]],'Registre_Maintenance'!B:B,'Registre_Maintenance'!E:E,"Pas de correspondance")</f>
        <v>Pas de correspondance</v>
      </c>
      <c r="J422" t="str">
        <f>_xlfn.XLOOKUP(Logs__2[[#This Row],[Cell_ID]],'Registre_Maintenance'!B:B,'Registre_Maintenance'!F:F,"Pas de correspondance")</f>
        <v>Pas de correspondance</v>
      </c>
      <c r="K422" t="str">
        <f>_xlfn.XLOOKUP(Logs__2[[#This Row],[Cell_ID]],'Registre_Maintenance'!B:B,'Registre_Maintenance'!G:G,"Pas de correspondance")</f>
        <v>Pas de correspondance</v>
      </c>
    </row>
    <row r="423" spans="1:11" hidden="1" x14ac:dyDescent="0.25">
      <c r="A423" s="1" t="s">
        <v>1133</v>
      </c>
      <c r="B423" s="2">
        <v>45209</v>
      </c>
      <c r="C423" s="3">
        <v>0.68402777777777779</v>
      </c>
      <c r="D423" s="1" t="s">
        <v>1005</v>
      </c>
      <c r="E423">
        <v>44</v>
      </c>
      <c r="F423" s="1" t="s">
        <v>811</v>
      </c>
      <c r="G423" t="str">
        <f>_xlfn.XLOOKUP(Logs__2[[#This Row],[Cell_ID]],'Registre_Maintenance'!B:B,'Registre_Maintenance'!C:C,"Pas de correspondance")</f>
        <v>Pas de correspondance</v>
      </c>
      <c r="H423" t="str">
        <f>_xlfn.XLOOKUP(Logs__2[[#This Row],[Cell_ID]],'Registre_Maintenance'!B:B,'Registre_Maintenance'!D:D,"Pas de correspondance")</f>
        <v>Pas de correspondance</v>
      </c>
      <c r="I423" t="str">
        <f>_xlfn.XLOOKUP(Logs__2[[#This Row],[Cell_ID]],'Registre_Maintenance'!B:B,'Registre_Maintenance'!E:E,"Pas de correspondance")</f>
        <v>Pas de correspondance</v>
      </c>
      <c r="J423" t="str">
        <f>_xlfn.XLOOKUP(Logs__2[[#This Row],[Cell_ID]],'Registre_Maintenance'!B:B,'Registre_Maintenance'!F:F,"Pas de correspondance")</f>
        <v>Pas de correspondance</v>
      </c>
      <c r="K423" t="str">
        <f>_xlfn.XLOOKUP(Logs__2[[#This Row],[Cell_ID]],'Registre_Maintenance'!B:B,'Registre_Maintenance'!G:G,"Pas de correspondance")</f>
        <v>Pas de correspondance</v>
      </c>
    </row>
    <row r="424" spans="1:11" hidden="1" x14ac:dyDescent="0.25">
      <c r="A424" s="1" t="s">
        <v>1133</v>
      </c>
      <c r="B424" s="2">
        <v>45226</v>
      </c>
      <c r="C424" s="3">
        <v>0.72916666666666663</v>
      </c>
      <c r="D424" s="1" t="s">
        <v>1157</v>
      </c>
      <c r="E424">
        <v>62</v>
      </c>
      <c r="F424" s="1" t="s">
        <v>809</v>
      </c>
      <c r="G424" t="str">
        <f>_xlfn.XLOOKUP(Logs__2[[#This Row],[Cell_ID]],'Registre_Maintenance'!B:B,'Registre_Maintenance'!C:C,"Pas de correspondance")</f>
        <v>Pas de correspondance</v>
      </c>
      <c r="H424" t="str">
        <f>_xlfn.XLOOKUP(Logs__2[[#This Row],[Cell_ID]],'Registre_Maintenance'!B:B,'Registre_Maintenance'!D:D,"Pas de correspondance")</f>
        <v>Pas de correspondance</v>
      </c>
      <c r="I424" t="str">
        <f>_xlfn.XLOOKUP(Logs__2[[#This Row],[Cell_ID]],'Registre_Maintenance'!B:B,'Registre_Maintenance'!E:E,"Pas de correspondance")</f>
        <v>Pas de correspondance</v>
      </c>
      <c r="J424" t="str">
        <f>_xlfn.XLOOKUP(Logs__2[[#This Row],[Cell_ID]],'Registre_Maintenance'!B:B,'Registre_Maintenance'!F:F,"Pas de correspondance")</f>
        <v>Pas de correspondance</v>
      </c>
      <c r="K424" t="str">
        <f>_xlfn.XLOOKUP(Logs__2[[#This Row],[Cell_ID]],'Registre_Maintenance'!B:B,'Registre_Maintenance'!G:G,"Pas de correspondance")</f>
        <v>Pas de correspondance</v>
      </c>
    </row>
    <row r="425" spans="1:11" hidden="1" x14ac:dyDescent="0.25">
      <c r="A425" s="1" t="s">
        <v>1133</v>
      </c>
      <c r="B425" s="2">
        <v>45208</v>
      </c>
      <c r="C425" s="3">
        <v>7.4999999999999997E-2</v>
      </c>
      <c r="D425" s="1" t="s">
        <v>1062</v>
      </c>
      <c r="E425">
        <v>82</v>
      </c>
      <c r="F425" s="1" t="s">
        <v>811</v>
      </c>
      <c r="G425" t="str">
        <f>_xlfn.XLOOKUP(Logs__2[[#This Row],[Cell_ID]],'Registre_Maintenance'!B:B,'Registre_Maintenance'!C:C,"Pas de correspondance")</f>
        <v>Pas de correspondance</v>
      </c>
      <c r="H425" t="str">
        <f>_xlfn.XLOOKUP(Logs__2[[#This Row],[Cell_ID]],'Registre_Maintenance'!B:B,'Registre_Maintenance'!D:D,"Pas de correspondance")</f>
        <v>Pas de correspondance</v>
      </c>
      <c r="I425" t="str">
        <f>_xlfn.XLOOKUP(Logs__2[[#This Row],[Cell_ID]],'Registre_Maintenance'!B:B,'Registre_Maintenance'!E:E,"Pas de correspondance")</f>
        <v>Pas de correspondance</v>
      </c>
      <c r="J425" t="str">
        <f>_xlfn.XLOOKUP(Logs__2[[#This Row],[Cell_ID]],'Registre_Maintenance'!B:B,'Registre_Maintenance'!F:F,"Pas de correspondance")</f>
        <v>Pas de correspondance</v>
      </c>
      <c r="K425" t="str">
        <f>_xlfn.XLOOKUP(Logs__2[[#This Row],[Cell_ID]],'Registre_Maintenance'!B:B,'Registre_Maintenance'!G:G,"Pas de correspondance")</f>
        <v>Pas de correspondance</v>
      </c>
    </row>
    <row r="426" spans="1:11" hidden="1" x14ac:dyDescent="0.25">
      <c r="A426" s="1" t="s">
        <v>1133</v>
      </c>
      <c r="B426" s="2">
        <v>45220</v>
      </c>
      <c r="C426" s="3">
        <v>0.26250000000000001</v>
      </c>
      <c r="D426" s="1" t="s">
        <v>1158</v>
      </c>
      <c r="E426">
        <v>96</v>
      </c>
      <c r="F426" s="1" t="s">
        <v>806</v>
      </c>
      <c r="G426" t="str">
        <f>_xlfn.XLOOKUP(Logs__2[[#This Row],[Cell_ID]],'Registre_Maintenance'!B:B,'Registre_Maintenance'!C:C,"Pas de correspondance")</f>
        <v>Pas de correspondance</v>
      </c>
      <c r="H426" t="str">
        <f>_xlfn.XLOOKUP(Logs__2[[#This Row],[Cell_ID]],'Registre_Maintenance'!B:B,'Registre_Maintenance'!D:D,"Pas de correspondance")</f>
        <v>Pas de correspondance</v>
      </c>
      <c r="I426" t="str">
        <f>_xlfn.XLOOKUP(Logs__2[[#This Row],[Cell_ID]],'Registre_Maintenance'!B:B,'Registre_Maintenance'!E:E,"Pas de correspondance")</f>
        <v>Pas de correspondance</v>
      </c>
      <c r="J426" t="str">
        <f>_xlfn.XLOOKUP(Logs__2[[#This Row],[Cell_ID]],'Registre_Maintenance'!B:B,'Registre_Maintenance'!F:F,"Pas de correspondance")</f>
        <v>Pas de correspondance</v>
      </c>
      <c r="K426" t="str">
        <f>_xlfn.XLOOKUP(Logs__2[[#This Row],[Cell_ID]],'Registre_Maintenance'!B:B,'Registre_Maintenance'!G:G,"Pas de correspondance")</f>
        <v>Pas de correspondance</v>
      </c>
    </row>
    <row r="427" spans="1:11" hidden="1" x14ac:dyDescent="0.25">
      <c r="A427" s="1" t="s">
        <v>1133</v>
      </c>
      <c r="B427" s="2">
        <v>45211</v>
      </c>
      <c r="C427" s="3">
        <v>7.9861111111111105E-2</v>
      </c>
      <c r="D427" s="1" t="s">
        <v>1159</v>
      </c>
      <c r="E427">
        <v>59</v>
      </c>
      <c r="F427" s="1" t="s">
        <v>809</v>
      </c>
      <c r="G427" t="str">
        <f>_xlfn.XLOOKUP(Logs__2[[#This Row],[Cell_ID]],'Registre_Maintenance'!B:B,'Registre_Maintenance'!C:C,"Pas de correspondance")</f>
        <v>Pas de correspondance</v>
      </c>
      <c r="H427" t="str">
        <f>_xlfn.XLOOKUP(Logs__2[[#This Row],[Cell_ID]],'Registre_Maintenance'!B:B,'Registre_Maintenance'!D:D,"Pas de correspondance")</f>
        <v>Pas de correspondance</v>
      </c>
      <c r="I427" t="str">
        <f>_xlfn.XLOOKUP(Logs__2[[#This Row],[Cell_ID]],'Registre_Maintenance'!B:B,'Registre_Maintenance'!E:E,"Pas de correspondance")</f>
        <v>Pas de correspondance</v>
      </c>
      <c r="J427" t="str">
        <f>_xlfn.XLOOKUP(Logs__2[[#This Row],[Cell_ID]],'Registre_Maintenance'!B:B,'Registre_Maintenance'!F:F,"Pas de correspondance")</f>
        <v>Pas de correspondance</v>
      </c>
      <c r="K427" t="str">
        <f>_xlfn.XLOOKUP(Logs__2[[#This Row],[Cell_ID]],'Registre_Maintenance'!B:B,'Registre_Maintenance'!G:G,"Pas de correspondance")</f>
        <v>Pas de correspondance</v>
      </c>
    </row>
    <row r="428" spans="1:11" hidden="1" x14ac:dyDescent="0.25">
      <c r="A428" s="1" t="s">
        <v>1133</v>
      </c>
      <c r="B428" s="2">
        <v>45220</v>
      </c>
      <c r="C428" s="3">
        <v>0.4284722222222222</v>
      </c>
      <c r="D428" s="1" t="s">
        <v>833</v>
      </c>
      <c r="E428">
        <v>26</v>
      </c>
      <c r="F428" s="1" t="s">
        <v>811</v>
      </c>
      <c r="G428" t="str">
        <f>_xlfn.XLOOKUP(Logs__2[[#This Row],[Cell_ID]],'Registre_Maintenance'!B:B,'Registre_Maintenance'!C:C,"Pas de correspondance")</f>
        <v>Pas de correspondance</v>
      </c>
      <c r="H428" t="str">
        <f>_xlfn.XLOOKUP(Logs__2[[#This Row],[Cell_ID]],'Registre_Maintenance'!B:B,'Registre_Maintenance'!D:D,"Pas de correspondance")</f>
        <v>Pas de correspondance</v>
      </c>
      <c r="I428" t="str">
        <f>_xlfn.XLOOKUP(Logs__2[[#This Row],[Cell_ID]],'Registre_Maintenance'!B:B,'Registre_Maintenance'!E:E,"Pas de correspondance")</f>
        <v>Pas de correspondance</v>
      </c>
      <c r="J428" t="str">
        <f>_xlfn.XLOOKUP(Logs__2[[#This Row],[Cell_ID]],'Registre_Maintenance'!B:B,'Registre_Maintenance'!F:F,"Pas de correspondance")</f>
        <v>Pas de correspondance</v>
      </c>
      <c r="K428" t="str">
        <f>_xlfn.XLOOKUP(Logs__2[[#This Row],[Cell_ID]],'Registre_Maintenance'!B:B,'Registre_Maintenance'!G:G,"Pas de correspondance")</f>
        <v>Pas de correspondance</v>
      </c>
    </row>
    <row r="429" spans="1:11" hidden="1" x14ac:dyDescent="0.25">
      <c r="A429" s="1" t="s">
        <v>1133</v>
      </c>
      <c r="B429" s="2">
        <v>45203</v>
      </c>
      <c r="C429" s="3">
        <v>0.47708333333333336</v>
      </c>
      <c r="D429" s="1" t="s">
        <v>1160</v>
      </c>
      <c r="E429">
        <v>93</v>
      </c>
      <c r="F429" s="1" t="s">
        <v>809</v>
      </c>
      <c r="G429" t="str">
        <f>_xlfn.XLOOKUP(Logs__2[[#This Row],[Cell_ID]],'Registre_Maintenance'!B:B,'Registre_Maintenance'!C:C,"Pas de correspondance")</f>
        <v>Pas de correspondance</v>
      </c>
      <c r="H429" t="str">
        <f>_xlfn.XLOOKUP(Logs__2[[#This Row],[Cell_ID]],'Registre_Maintenance'!B:B,'Registre_Maintenance'!D:D,"Pas de correspondance")</f>
        <v>Pas de correspondance</v>
      </c>
      <c r="I429" t="str">
        <f>_xlfn.XLOOKUP(Logs__2[[#This Row],[Cell_ID]],'Registre_Maintenance'!B:B,'Registre_Maintenance'!E:E,"Pas de correspondance")</f>
        <v>Pas de correspondance</v>
      </c>
      <c r="J429" t="str">
        <f>_xlfn.XLOOKUP(Logs__2[[#This Row],[Cell_ID]],'Registre_Maintenance'!B:B,'Registre_Maintenance'!F:F,"Pas de correspondance")</f>
        <v>Pas de correspondance</v>
      </c>
      <c r="K429" t="str">
        <f>_xlfn.XLOOKUP(Logs__2[[#This Row],[Cell_ID]],'Registre_Maintenance'!B:B,'Registre_Maintenance'!G:G,"Pas de correspondance")</f>
        <v>Pas de correspondance</v>
      </c>
    </row>
    <row r="430" spans="1:11" hidden="1" x14ac:dyDescent="0.25">
      <c r="A430" s="1" t="s">
        <v>1161</v>
      </c>
      <c r="B430" s="2">
        <v>45202</v>
      </c>
      <c r="C430" s="3">
        <v>0.91249999999999998</v>
      </c>
      <c r="D430" s="1" t="s">
        <v>1162</v>
      </c>
      <c r="E430">
        <v>68</v>
      </c>
      <c r="F430" s="1" t="s">
        <v>811</v>
      </c>
      <c r="G430" t="str">
        <f>_xlfn.XLOOKUP(Logs__2[[#This Row],[Cell_ID]],'Registre_Maintenance'!B:B,'Registre_Maintenance'!C:C,"Pas de correspondance")</f>
        <v>Pas de correspondance</v>
      </c>
      <c r="H430" t="str">
        <f>_xlfn.XLOOKUP(Logs__2[[#This Row],[Cell_ID]],'Registre_Maintenance'!B:B,'Registre_Maintenance'!D:D,"Pas de correspondance")</f>
        <v>Pas de correspondance</v>
      </c>
      <c r="I430" t="str">
        <f>_xlfn.XLOOKUP(Logs__2[[#This Row],[Cell_ID]],'Registre_Maintenance'!B:B,'Registre_Maintenance'!E:E,"Pas de correspondance")</f>
        <v>Pas de correspondance</v>
      </c>
      <c r="J430" t="str">
        <f>_xlfn.XLOOKUP(Logs__2[[#This Row],[Cell_ID]],'Registre_Maintenance'!B:B,'Registre_Maintenance'!F:F,"Pas de correspondance")</f>
        <v>Pas de correspondance</v>
      </c>
      <c r="K430" t="str">
        <f>_xlfn.XLOOKUP(Logs__2[[#This Row],[Cell_ID]],'Registre_Maintenance'!B:B,'Registre_Maintenance'!G:G,"Pas de correspondance")</f>
        <v>Pas de correspondance</v>
      </c>
    </row>
    <row r="431" spans="1:11" hidden="1" x14ac:dyDescent="0.25">
      <c r="A431" s="1" t="s">
        <v>1161</v>
      </c>
      <c r="B431" s="2">
        <v>45210</v>
      </c>
      <c r="C431" s="3">
        <v>0.89027777777777772</v>
      </c>
      <c r="D431" s="1" t="s">
        <v>1000</v>
      </c>
      <c r="E431">
        <v>118</v>
      </c>
      <c r="F431" s="1" t="s">
        <v>806</v>
      </c>
      <c r="G431" t="str">
        <f>_xlfn.XLOOKUP(Logs__2[[#This Row],[Cell_ID]],'Registre_Maintenance'!B:B,'Registre_Maintenance'!C:C,"Pas de correspondance")</f>
        <v>Pas de correspondance</v>
      </c>
      <c r="H431" t="str">
        <f>_xlfn.XLOOKUP(Logs__2[[#This Row],[Cell_ID]],'Registre_Maintenance'!B:B,'Registre_Maintenance'!D:D,"Pas de correspondance")</f>
        <v>Pas de correspondance</v>
      </c>
      <c r="I431" t="str">
        <f>_xlfn.XLOOKUP(Logs__2[[#This Row],[Cell_ID]],'Registre_Maintenance'!B:B,'Registre_Maintenance'!E:E,"Pas de correspondance")</f>
        <v>Pas de correspondance</v>
      </c>
      <c r="J431" t="str">
        <f>_xlfn.XLOOKUP(Logs__2[[#This Row],[Cell_ID]],'Registre_Maintenance'!B:B,'Registre_Maintenance'!F:F,"Pas de correspondance")</f>
        <v>Pas de correspondance</v>
      </c>
      <c r="K431" t="str">
        <f>_xlfn.XLOOKUP(Logs__2[[#This Row],[Cell_ID]],'Registre_Maintenance'!B:B,'Registre_Maintenance'!G:G,"Pas de correspondance")</f>
        <v>Pas de correspondance</v>
      </c>
    </row>
    <row r="432" spans="1:11" hidden="1" x14ac:dyDescent="0.25">
      <c r="A432" s="1" t="s">
        <v>1161</v>
      </c>
      <c r="B432" s="2">
        <v>45222</v>
      </c>
      <c r="C432" s="3">
        <v>0.1076388888888889</v>
      </c>
      <c r="D432" s="1" t="s">
        <v>919</v>
      </c>
      <c r="E432">
        <v>85</v>
      </c>
      <c r="F432" s="1" t="s">
        <v>806</v>
      </c>
      <c r="G432" t="str">
        <f>_xlfn.XLOOKUP(Logs__2[[#This Row],[Cell_ID]],'Registre_Maintenance'!B:B,'Registre_Maintenance'!C:C,"Pas de correspondance")</f>
        <v>Pas de correspondance</v>
      </c>
      <c r="H432" t="str">
        <f>_xlfn.XLOOKUP(Logs__2[[#This Row],[Cell_ID]],'Registre_Maintenance'!B:B,'Registre_Maintenance'!D:D,"Pas de correspondance")</f>
        <v>Pas de correspondance</v>
      </c>
      <c r="I432" t="str">
        <f>_xlfn.XLOOKUP(Logs__2[[#This Row],[Cell_ID]],'Registre_Maintenance'!B:B,'Registre_Maintenance'!E:E,"Pas de correspondance")</f>
        <v>Pas de correspondance</v>
      </c>
      <c r="J432" t="str">
        <f>_xlfn.XLOOKUP(Logs__2[[#This Row],[Cell_ID]],'Registre_Maintenance'!B:B,'Registre_Maintenance'!F:F,"Pas de correspondance")</f>
        <v>Pas de correspondance</v>
      </c>
      <c r="K432" t="str">
        <f>_xlfn.XLOOKUP(Logs__2[[#This Row],[Cell_ID]],'Registre_Maintenance'!B:B,'Registre_Maintenance'!G:G,"Pas de correspondance")</f>
        <v>Pas de correspondance</v>
      </c>
    </row>
    <row r="433" spans="1:11" hidden="1" x14ac:dyDescent="0.25">
      <c r="A433" s="1" t="s">
        <v>1161</v>
      </c>
      <c r="B433" s="2">
        <v>45217</v>
      </c>
      <c r="C433" s="3">
        <v>0.41458333333333336</v>
      </c>
      <c r="D433" s="1" t="s">
        <v>922</v>
      </c>
      <c r="E433">
        <v>74</v>
      </c>
      <c r="F433" s="1" t="s">
        <v>811</v>
      </c>
      <c r="G433" t="str">
        <f>_xlfn.XLOOKUP(Logs__2[[#This Row],[Cell_ID]],'Registre_Maintenance'!B:B,'Registre_Maintenance'!C:C,"Pas de correspondance")</f>
        <v>Pas de correspondance</v>
      </c>
      <c r="H433" t="str">
        <f>_xlfn.XLOOKUP(Logs__2[[#This Row],[Cell_ID]],'Registre_Maintenance'!B:B,'Registre_Maintenance'!D:D,"Pas de correspondance")</f>
        <v>Pas de correspondance</v>
      </c>
      <c r="I433" t="str">
        <f>_xlfn.XLOOKUP(Logs__2[[#This Row],[Cell_ID]],'Registre_Maintenance'!B:B,'Registre_Maintenance'!E:E,"Pas de correspondance")</f>
        <v>Pas de correspondance</v>
      </c>
      <c r="J433" t="str">
        <f>_xlfn.XLOOKUP(Logs__2[[#This Row],[Cell_ID]],'Registre_Maintenance'!B:B,'Registre_Maintenance'!F:F,"Pas de correspondance")</f>
        <v>Pas de correspondance</v>
      </c>
      <c r="K433" t="str">
        <f>_xlfn.XLOOKUP(Logs__2[[#This Row],[Cell_ID]],'Registre_Maintenance'!B:B,'Registre_Maintenance'!G:G,"Pas de correspondance")</f>
        <v>Pas de correspondance</v>
      </c>
    </row>
    <row r="434" spans="1:11" hidden="1" x14ac:dyDescent="0.25">
      <c r="A434" s="1" t="s">
        <v>1161</v>
      </c>
      <c r="B434" s="2">
        <v>45209</v>
      </c>
      <c r="C434" s="3">
        <v>0.23958333333333334</v>
      </c>
      <c r="D434" s="1" t="s">
        <v>1163</v>
      </c>
      <c r="E434">
        <v>42</v>
      </c>
      <c r="F434" s="1" t="s">
        <v>811</v>
      </c>
      <c r="G434" t="str">
        <f>_xlfn.XLOOKUP(Logs__2[[#This Row],[Cell_ID]],'Registre_Maintenance'!B:B,'Registre_Maintenance'!C:C,"Pas de correspondance")</f>
        <v>Pas de correspondance</v>
      </c>
      <c r="H434" t="str">
        <f>_xlfn.XLOOKUP(Logs__2[[#This Row],[Cell_ID]],'Registre_Maintenance'!B:B,'Registre_Maintenance'!D:D,"Pas de correspondance")</f>
        <v>Pas de correspondance</v>
      </c>
      <c r="I434" t="str">
        <f>_xlfn.XLOOKUP(Logs__2[[#This Row],[Cell_ID]],'Registre_Maintenance'!B:B,'Registre_Maintenance'!E:E,"Pas de correspondance")</f>
        <v>Pas de correspondance</v>
      </c>
      <c r="J434" t="str">
        <f>_xlfn.XLOOKUP(Logs__2[[#This Row],[Cell_ID]],'Registre_Maintenance'!B:B,'Registre_Maintenance'!F:F,"Pas de correspondance")</f>
        <v>Pas de correspondance</v>
      </c>
      <c r="K434" t="str">
        <f>_xlfn.XLOOKUP(Logs__2[[#This Row],[Cell_ID]],'Registre_Maintenance'!B:B,'Registre_Maintenance'!G:G,"Pas de correspondance")</f>
        <v>Pas de correspondance</v>
      </c>
    </row>
    <row r="435" spans="1:11" hidden="1" x14ac:dyDescent="0.25">
      <c r="A435" s="1" t="s">
        <v>1161</v>
      </c>
      <c r="B435" s="2">
        <v>45222</v>
      </c>
      <c r="C435" s="3">
        <v>0.94444444444444442</v>
      </c>
      <c r="D435" s="1" t="s">
        <v>1020</v>
      </c>
      <c r="E435">
        <v>87</v>
      </c>
      <c r="F435" s="1" t="s">
        <v>809</v>
      </c>
      <c r="G435" t="str">
        <f>_xlfn.XLOOKUP(Logs__2[[#This Row],[Cell_ID]],'Registre_Maintenance'!B:B,'Registre_Maintenance'!C:C,"Pas de correspondance")</f>
        <v>Pas de correspondance</v>
      </c>
      <c r="H435" t="str">
        <f>_xlfn.XLOOKUP(Logs__2[[#This Row],[Cell_ID]],'Registre_Maintenance'!B:B,'Registre_Maintenance'!D:D,"Pas de correspondance")</f>
        <v>Pas de correspondance</v>
      </c>
      <c r="I435" t="str">
        <f>_xlfn.XLOOKUP(Logs__2[[#This Row],[Cell_ID]],'Registre_Maintenance'!B:B,'Registre_Maintenance'!E:E,"Pas de correspondance")</f>
        <v>Pas de correspondance</v>
      </c>
      <c r="J435" t="str">
        <f>_xlfn.XLOOKUP(Logs__2[[#This Row],[Cell_ID]],'Registre_Maintenance'!B:B,'Registre_Maintenance'!F:F,"Pas de correspondance")</f>
        <v>Pas de correspondance</v>
      </c>
      <c r="K435" t="str">
        <f>_xlfn.XLOOKUP(Logs__2[[#This Row],[Cell_ID]],'Registre_Maintenance'!B:B,'Registre_Maintenance'!G:G,"Pas de correspondance")</f>
        <v>Pas de correspondance</v>
      </c>
    </row>
    <row r="436" spans="1:11" hidden="1" x14ac:dyDescent="0.25">
      <c r="A436" s="1" t="s">
        <v>1161</v>
      </c>
      <c r="B436" s="2">
        <v>45205</v>
      </c>
      <c r="C436" s="3">
        <v>0.48055555555555557</v>
      </c>
      <c r="D436" s="1" t="s">
        <v>1164</v>
      </c>
      <c r="E436">
        <v>43</v>
      </c>
      <c r="F436" s="1" t="s">
        <v>809</v>
      </c>
      <c r="G436" t="str">
        <f>_xlfn.XLOOKUP(Logs__2[[#This Row],[Cell_ID]],'Registre_Maintenance'!B:B,'Registre_Maintenance'!C:C,"Pas de correspondance")</f>
        <v>Pas de correspondance</v>
      </c>
      <c r="H436" t="str">
        <f>_xlfn.XLOOKUP(Logs__2[[#This Row],[Cell_ID]],'Registre_Maintenance'!B:B,'Registre_Maintenance'!D:D,"Pas de correspondance")</f>
        <v>Pas de correspondance</v>
      </c>
      <c r="I436" t="str">
        <f>_xlfn.XLOOKUP(Logs__2[[#This Row],[Cell_ID]],'Registre_Maintenance'!B:B,'Registre_Maintenance'!E:E,"Pas de correspondance")</f>
        <v>Pas de correspondance</v>
      </c>
      <c r="J436" t="str">
        <f>_xlfn.XLOOKUP(Logs__2[[#This Row],[Cell_ID]],'Registre_Maintenance'!B:B,'Registre_Maintenance'!F:F,"Pas de correspondance")</f>
        <v>Pas de correspondance</v>
      </c>
      <c r="K436" t="str">
        <f>_xlfn.XLOOKUP(Logs__2[[#This Row],[Cell_ID]],'Registre_Maintenance'!B:B,'Registre_Maintenance'!G:G,"Pas de correspondance")</f>
        <v>Pas de correspondance</v>
      </c>
    </row>
    <row r="437" spans="1:11" x14ac:dyDescent="0.25">
      <c r="A437" s="1" t="s">
        <v>1161</v>
      </c>
      <c r="B437" s="2">
        <v>45207</v>
      </c>
      <c r="C437" s="3">
        <v>0.13333333333333333</v>
      </c>
      <c r="D437" s="1" t="s">
        <v>1165</v>
      </c>
      <c r="E437">
        <v>66</v>
      </c>
      <c r="F437" s="1" t="s">
        <v>809</v>
      </c>
      <c r="G437" t="str">
        <f>_xlfn.XLOOKUP(Logs__2[[#This Row],[Cell_ID]],'Registre_Maintenance'!B:B,'Registre_Maintenance'!C:C,"Pas de correspondance")</f>
        <v>Kasaï-Oriental</v>
      </c>
      <c r="H437">
        <f>_xlfn.XLOOKUP(Logs__2[[#This Row],[Cell_ID]],'Registre_Maintenance'!B:B,'Registre_Maintenance'!D:D,"Pas de correspondance")</f>
        <v>-5.4073029999999997</v>
      </c>
      <c r="I437">
        <f>_xlfn.XLOOKUP(Logs__2[[#This Row],[Cell_ID]],'Registre_Maintenance'!B:B,'Registre_Maintenance'!E:E,"Pas de correspondance")</f>
        <v>29.762294000000001</v>
      </c>
      <c r="J437" t="str">
        <f>_xlfn.XLOOKUP(Logs__2[[#This Row],[Cell_ID]],'Registre_Maintenance'!B:B,'Registre_Maintenance'!F:F,"Pas de correspondance")</f>
        <v>3G</v>
      </c>
      <c r="K437" t="str">
        <f>_xlfn.XLOOKUP(Logs__2[[#This Row],[Cell_ID]],'Registre_Maintenance'!B:B,'Registre_Maintenance'!G:G,"Pas de correspondance")</f>
        <v>Ericsson</v>
      </c>
    </row>
    <row r="438" spans="1:11" hidden="1" x14ac:dyDescent="0.25">
      <c r="A438" s="1" t="s">
        <v>1161</v>
      </c>
      <c r="B438" s="2">
        <v>45225</v>
      </c>
      <c r="C438" s="3">
        <v>0.17708333333333334</v>
      </c>
      <c r="D438" s="1" t="s">
        <v>1166</v>
      </c>
      <c r="E438">
        <v>36</v>
      </c>
      <c r="F438" s="1" t="s">
        <v>811</v>
      </c>
      <c r="G438" t="str">
        <f>_xlfn.XLOOKUP(Logs__2[[#This Row],[Cell_ID]],'Registre_Maintenance'!B:B,'Registre_Maintenance'!C:C,"Pas de correspondance")</f>
        <v>Pas de correspondance</v>
      </c>
      <c r="H438" t="str">
        <f>_xlfn.XLOOKUP(Logs__2[[#This Row],[Cell_ID]],'Registre_Maintenance'!B:B,'Registre_Maintenance'!D:D,"Pas de correspondance")</f>
        <v>Pas de correspondance</v>
      </c>
      <c r="I438" t="str">
        <f>_xlfn.XLOOKUP(Logs__2[[#This Row],[Cell_ID]],'Registre_Maintenance'!B:B,'Registre_Maintenance'!E:E,"Pas de correspondance")</f>
        <v>Pas de correspondance</v>
      </c>
      <c r="J438" t="str">
        <f>_xlfn.XLOOKUP(Logs__2[[#This Row],[Cell_ID]],'Registre_Maintenance'!B:B,'Registre_Maintenance'!F:F,"Pas de correspondance")</f>
        <v>Pas de correspondance</v>
      </c>
      <c r="K438" t="str">
        <f>_xlfn.XLOOKUP(Logs__2[[#This Row],[Cell_ID]],'Registre_Maintenance'!B:B,'Registre_Maintenance'!G:G,"Pas de correspondance")</f>
        <v>Pas de correspondance</v>
      </c>
    </row>
    <row r="439" spans="1:11" x14ac:dyDescent="0.25">
      <c r="A439" s="1" t="s">
        <v>1161</v>
      </c>
      <c r="B439" s="2">
        <v>45225</v>
      </c>
      <c r="C439" s="3">
        <v>0.62569444444444444</v>
      </c>
      <c r="D439" s="1" t="s">
        <v>1167</v>
      </c>
      <c r="E439">
        <v>108</v>
      </c>
      <c r="F439" s="1" t="s">
        <v>811</v>
      </c>
      <c r="G439" t="str">
        <f>_xlfn.XLOOKUP(Logs__2[[#This Row],[Cell_ID]],'Registre_Maintenance'!B:B,'Registre_Maintenance'!C:C,"Pas de correspondance")</f>
        <v>Sud-Ubangi</v>
      </c>
      <c r="H439">
        <f>_xlfn.XLOOKUP(Logs__2[[#This Row],[Cell_ID]],'Registre_Maintenance'!B:B,'Registre_Maintenance'!D:D,"Pas de correspondance")</f>
        <v>-10.611184</v>
      </c>
      <c r="I439">
        <f>_xlfn.XLOOKUP(Logs__2[[#This Row],[Cell_ID]],'Registre_Maintenance'!B:B,'Registre_Maintenance'!E:E,"Pas de correspondance")</f>
        <v>23.022268</v>
      </c>
      <c r="J439" t="str">
        <f>_xlfn.XLOOKUP(Logs__2[[#This Row],[Cell_ID]],'Registre_Maintenance'!B:B,'Registre_Maintenance'!F:F,"Pas de correspondance")</f>
        <v>5G</v>
      </c>
      <c r="K439" t="str">
        <f>_xlfn.XLOOKUP(Logs__2[[#This Row],[Cell_ID]],'Registre_Maintenance'!B:B,'Registre_Maintenance'!G:G,"Pas de correspondance")</f>
        <v>ZTE</v>
      </c>
    </row>
    <row r="440" spans="1:11" hidden="1" x14ac:dyDescent="0.25">
      <c r="A440" s="1" t="s">
        <v>1161</v>
      </c>
      <c r="B440" s="2">
        <v>45211</v>
      </c>
      <c r="C440" s="3">
        <v>0.73333333333333328</v>
      </c>
      <c r="D440" s="1" t="s">
        <v>1168</v>
      </c>
      <c r="E440">
        <v>108</v>
      </c>
      <c r="F440" s="1" t="s">
        <v>809</v>
      </c>
      <c r="G440" t="str">
        <f>_xlfn.XLOOKUP(Logs__2[[#This Row],[Cell_ID]],'Registre_Maintenance'!B:B,'Registre_Maintenance'!C:C,"Pas de correspondance")</f>
        <v>Pas de correspondance</v>
      </c>
      <c r="H440" t="str">
        <f>_xlfn.XLOOKUP(Logs__2[[#This Row],[Cell_ID]],'Registre_Maintenance'!B:B,'Registre_Maintenance'!D:D,"Pas de correspondance")</f>
        <v>Pas de correspondance</v>
      </c>
      <c r="I440" t="str">
        <f>_xlfn.XLOOKUP(Logs__2[[#This Row],[Cell_ID]],'Registre_Maintenance'!B:B,'Registre_Maintenance'!E:E,"Pas de correspondance")</f>
        <v>Pas de correspondance</v>
      </c>
      <c r="J440" t="str">
        <f>_xlfn.XLOOKUP(Logs__2[[#This Row],[Cell_ID]],'Registre_Maintenance'!B:B,'Registre_Maintenance'!F:F,"Pas de correspondance")</f>
        <v>Pas de correspondance</v>
      </c>
      <c r="K440" t="str">
        <f>_xlfn.XLOOKUP(Logs__2[[#This Row],[Cell_ID]],'Registre_Maintenance'!B:B,'Registre_Maintenance'!G:G,"Pas de correspondance")</f>
        <v>Pas de correspondance</v>
      </c>
    </row>
    <row r="441" spans="1:11" x14ac:dyDescent="0.25">
      <c r="A441" s="1" t="s">
        <v>1161</v>
      </c>
      <c r="B441" s="2">
        <v>45211</v>
      </c>
      <c r="C441" s="3">
        <v>0.61875000000000002</v>
      </c>
      <c r="D441" s="1" t="s">
        <v>1169</v>
      </c>
      <c r="E441">
        <v>92</v>
      </c>
      <c r="F441" s="1" t="s">
        <v>806</v>
      </c>
      <c r="G441" t="str">
        <f>_xlfn.XLOOKUP(Logs__2[[#This Row],[Cell_ID]],'Registre_Maintenance'!B:B,'Registre_Maintenance'!C:C,"Pas de correspondance")</f>
        <v>Tshopo</v>
      </c>
      <c r="H441">
        <f>_xlfn.XLOOKUP(Logs__2[[#This Row],[Cell_ID]],'Registre_Maintenance'!B:B,'Registre_Maintenance'!D:D,"Pas de correspondance")</f>
        <v>-0.85624699999999998</v>
      </c>
      <c r="I441">
        <f>_xlfn.XLOOKUP(Logs__2[[#This Row],[Cell_ID]],'Registre_Maintenance'!B:B,'Registre_Maintenance'!E:E,"Pas de correspondance")</f>
        <v>28.624870000000001</v>
      </c>
      <c r="J441" t="str">
        <f>_xlfn.XLOOKUP(Logs__2[[#This Row],[Cell_ID]],'Registre_Maintenance'!B:B,'Registre_Maintenance'!F:F,"Pas de correspondance")</f>
        <v>3G</v>
      </c>
      <c r="K441" t="str">
        <f>_xlfn.XLOOKUP(Logs__2[[#This Row],[Cell_ID]],'Registre_Maintenance'!B:B,'Registre_Maintenance'!G:G,"Pas de correspondance")</f>
        <v>Ericsson</v>
      </c>
    </row>
    <row r="442" spans="1:11" hidden="1" x14ac:dyDescent="0.25">
      <c r="A442" s="1" t="s">
        <v>1161</v>
      </c>
      <c r="B442" s="2">
        <v>45217</v>
      </c>
      <c r="C442" s="3">
        <v>0.19375000000000001</v>
      </c>
      <c r="D442" s="1" t="s">
        <v>1114</v>
      </c>
      <c r="E442">
        <v>56</v>
      </c>
      <c r="F442" s="1" t="s">
        <v>806</v>
      </c>
      <c r="G442" t="str">
        <f>_xlfn.XLOOKUP(Logs__2[[#This Row],[Cell_ID]],'Registre_Maintenance'!B:B,'Registre_Maintenance'!C:C,"Pas de correspondance")</f>
        <v>Pas de correspondance</v>
      </c>
      <c r="H442" t="str">
        <f>_xlfn.XLOOKUP(Logs__2[[#This Row],[Cell_ID]],'Registre_Maintenance'!B:B,'Registre_Maintenance'!D:D,"Pas de correspondance")</f>
        <v>Pas de correspondance</v>
      </c>
      <c r="I442" t="str">
        <f>_xlfn.XLOOKUP(Logs__2[[#This Row],[Cell_ID]],'Registre_Maintenance'!B:B,'Registre_Maintenance'!E:E,"Pas de correspondance")</f>
        <v>Pas de correspondance</v>
      </c>
      <c r="J442" t="str">
        <f>_xlfn.XLOOKUP(Logs__2[[#This Row],[Cell_ID]],'Registre_Maintenance'!B:B,'Registre_Maintenance'!F:F,"Pas de correspondance")</f>
        <v>Pas de correspondance</v>
      </c>
      <c r="K442" t="str">
        <f>_xlfn.XLOOKUP(Logs__2[[#This Row],[Cell_ID]],'Registre_Maintenance'!B:B,'Registre_Maintenance'!G:G,"Pas de correspondance")</f>
        <v>Pas de correspondance</v>
      </c>
    </row>
    <row r="443" spans="1:11" hidden="1" x14ac:dyDescent="0.25">
      <c r="A443" s="1" t="s">
        <v>1161</v>
      </c>
      <c r="B443" s="2">
        <v>45228</v>
      </c>
      <c r="C443" s="3">
        <v>8.611111111111111E-2</v>
      </c>
      <c r="D443" s="1" t="s">
        <v>1170</v>
      </c>
      <c r="E443">
        <v>43</v>
      </c>
      <c r="F443" s="1" t="s">
        <v>811</v>
      </c>
      <c r="G443" t="str">
        <f>_xlfn.XLOOKUP(Logs__2[[#This Row],[Cell_ID]],'Registre_Maintenance'!B:B,'Registre_Maintenance'!C:C,"Pas de correspondance")</f>
        <v>Pas de correspondance</v>
      </c>
      <c r="H443" t="str">
        <f>_xlfn.XLOOKUP(Logs__2[[#This Row],[Cell_ID]],'Registre_Maintenance'!B:B,'Registre_Maintenance'!D:D,"Pas de correspondance")</f>
        <v>Pas de correspondance</v>
      </c>
      <c r="I443" t="str">
        <f>_xlfn.XLOOKUP(Logs__2[[#This Row],[Cell_ID]],'Registre_Maintenance'!B:B,'Registre_Maintenance'!E:E,"Pas de correspondance")</f>
        <v>Pas de correspondance</v>
      </c>
      <c r="J443" t="str">
        <f>_xlfn.XLOOKUP(Logs__2[[#This Row],[Cell_ID]],'Registre_Maintenance'!B:B,'Registre_Maintenance'!F:F,"Pas de correspondance")</f>
        <v>Pas de correspondance</v>
      </c>
      <c r="K443" t="str">
        <f>_xlfn.XLOOKUP(Logs__2[[#This Row],[Cell_ID]],'Registre_Maintenance'!B:B,'Registre_Maintenance'!G:G,"Pas de correspondance")</f>
        <v>Pas de correspondance</v>
      </c>
    </row>
    <row r="444" spans="1:11" x14ac:dyDescent="0.25">
      <c r="A444" s="1" t="s">
        <v>1161</v>
      </c>
      <c r="B444" s="2">
        <v>45209</v>
      </c>
      <c r="C444" s="3">
        <v>0.53125</v>
      </c>
      <c r="D444" s="1" t="s">
        <v>1171</v>
      </c>
      <c r="E444">
        <v>63</v>
      </c>
      <c r="F444" s="1" t="s">
        <v>806</v>
      </c>
      <c r="G444" t="str">
        <f>_xlfn.XLOOKUP(Logs__2[[#This Row],[Cell_ID]],'Registre_Maintenance'!B:B,'Registre_Maintenance'!C:C,"Pas de correspondance")</f>
        <v>Maniema</v>
      </c>
      <c r="H444">
        <f>_xlfn.XLOOKUP(Logs__2[[#This Row],[Cell_ID]],'Registre_Maintenance'!B:B,'Registre_Maintenance'!D:D,"Pas de correspondance")</f>
        <v>1.727095</v>
      </c>
      <c r="I444">
        <f>_xlfn.XLOOKUP(Logs__2[[#This Row],[Cell_ID]],'Registre_Maintenance'!B:B,'Registre_Maintenance'!E:E,"Pas de correspondance")</f>
        <v>22.099651999999999</v>
      </c>
      <c r="J444" t="str">
        <f>_xlfn.XLOOKUP(Logs__2[[#This Row],[Cell_ID]],'Registre_Maintenance'!B:B,'Registre_Maintenance'!F:F,"Pas de correspondance")</f>
        <v>4G</v>
      </c>
      <c r="K444" t="str">
        <f>_xlfn.XLOOKUP(Logs__2[[#This Row],[Cell_ID]],'Registre_Maintenance'!B:B,'Registre_Maintenance'!G:G,"Pas de correspondance")</f>
        <v>Huawei</v>
      </c>
    </row>
    <row r="445" spans="1:11" hidden="1" x14ac:dyDescent="0.25">
      <c r="A445" s="1" t="s">
        <v>1161</v>
      </c>
      <c r="B445" s="2">
        <v>45223</v>
      </c>
      <c r="C445" s="3">
        <v>0.6479166666666667</v>
      </c>
      <c r="D445" s="1" t="s">
        <v>1172</v>
      </c>
      <c r="E445">
        <v>14</v>
      </c>
      <c r="F445" s="1" t="s">
        <v>811</v>
      </c>
      <c r="G445" t="str">
        <f>_xlfn.XLOOKUP(Logs__2[[#This Row],[Cell_ID]],'Registre_Maintenance'!B:B,'Registre_Maintenance'!C:C,"Pas de correspondance")</f>
        <v>Pas de correspondance</v>
      </c>
      <c r="H445" t="str">
        <f>_xlfn.XLOOKUP(Logs__2[[#This Row],[Cell_ID]],'Registre_Maintenance'!B:B,'Registre_Maintenance'!D:D,"Pas de correspondance")</f>
        <v>Pas de correspondance</v>
      </c>
      <c r="I445" t="str">
        <f>_xlfn.XLOOKUP(Logs__2[[#This Row],[Cell_ID]],'Registre_Maintenance'!B:B,'Registre_Maintenance'!E:E,"Pas de correspondance")</f>
        <v>Pas de correspondance</v>
      </c>
      <c r="J445" t="str">
        <f>_xlfn.XLOOKUP(Logs__2[[#This Row],[Cell_ID]],'Registre_Maintenance'!B:B,'Registre_Maintenance'!F:F,"Pas de correspondance")</f>
        <v>Pas de correspondance</v>
      </c>
      <c r="K445" t="str">
        <f>_xlfn.XLOOKUP(Logs__2[[#This Row],[Cell_ID]],'Registre_Maintenance'!B:B,'Registre_Maintenance'!G:G,"Pas de correspondance")</f>
        <v>Pas de correspondance</v>
      </c>
    </row>
    <row r="446" spans="1:11" hidden="1" x14ac:dyDescent="0.25">
      <c r="A446" s="1" t="s">
        <v>1161</v>
      </c>
      <c r="B446" s="2">
        <v>45213</v>
      </c>
      <c r="C446" s="3">
        <v>0.57777777777777772</v>
      </c>
      <c r="D446" s="1" t="s">
        <v>1173</v>
      </c>
      <c r="E446">
        <v>93</v>
      </c>
      <c r="F446" s="1" t="s">
        <v>809</v>
      </c>
      <c r="G446" t="str">
        <f>_xlfn.XLOOKUP(Logs__2[[#This Row],[Cell_ID]],'Registre_Maintenance'!B:B,'Registre_Maintenance'!C:C,"Pas de correspondance")</f>
        <v>Pas de correspondance</v>
      </c>
      <c r="H446" t="str">
        <f>_xlfn.XLOOKUP(Logs__2[[#This Row],[Cell_ID]],'Registre_Maintenance'!B:B,'Registre_Maintenance'!D:D,"Pas de correspondance")</f>
        <v>Pas de correspondance</v>
      </c>
      <c r="I446" t="str">
        <f>_xlfn.XLOOKUP(Logs__2[[#This Row],[Cell_ID]],'Registre_Maintenance'!B:B,'Registre_Maintenance'!E:E,"Pas de correspondance")</f>
        <v>Pas de correspondance</v>
      </c>
      <c r="J446" t="str">
        <f>_xlfn.XLOOKUP(Logs__2[[#This Row],[Cell_ID]],'Registre_Maintenance'!B:B,'Registre_Maintenance'!F:F,"Pas de correspondance")</f>
        <v>Pas de correspondance</v>
      </c>
      <c r="K446" t="str">
        <f>_xlfn.XLOOKUP(Logs__2[[#This Row],[Cell_ID]],'Registre_Maintenance'!B:B,'Registre_Maintenance'!G:G,"Pas de correspondance")</f>
        <v>Pas de correspondance</v>
      </c>
    </row>
    <row r="447" spans="1:11" x14ac:dyDescent="0.25">
      <c r="A447" s="1" t="s">
        <v>1161</v>
      </c>
      <c r="B447" s="2">
        <v>45218</v>
      </c>
      <c r="C447" s="3">
        <v>8.8888888888888892E-2</v>
      </c>
      <c r="D447" s="1" t="s">
        <v>1151</v>
      </c>
      <c r="E447">
        <v>12</v>
      </c>
      <c r="F447" s="1" t="s">
        <v>811</v>
      </c>
      <c r="G447" t="str">
        <f>_xlfn.XLOOKUP(Logs__2[[#This Row],[Cell_ID]],'Registre_Maintenance'!B:B,'Registre_Maintenance'!C:C,"Pas de correspondance")</f>
        <v>Kinshasa</v>
      </c>
      <c r="H447">
        <f>_xlfn.XLOOKUP(Logs__2[[#This Row],[Cell_ID]],'Registre_Maintenance'!B:B,'Registre_Maintenance'!D:D,"Pas de correspondance")</f>
        <v>-11.389362</v>
      </c>
      <c r="I447">
        <f>_xlfn.XLOOKUP(Logs__2[[#This Row],[Cell_ID]],'Registre_Maintenance'!B:B,'Registre_Maintenance'!E:E,"Pas de correspondance")</f>
        <v>22.240174</v>
      </c>
      <c r="J447" t="str">
        <f>_xlfn.XLOOKUP(Logs__2[[#This Row],[Cell_ID]],'Registre_Maintenance'!B:B,'Registre_Maintenance'!F:F,"Pas de correspondance")</f>
        <v>5G</v>
      </c>
      <c r="K447" t="str">
        <f>_xlfn.XLOOKUP(Logs__2[[#This Row],[Cell_ID]],'Registre_Maintenance'!B:B,'Registre_Maintenance'!G:G,"Pas de correspondance")</f>
        <v>ZTE</v>
      </c>
    </row>
    <row r="448" spans="1:11" hidden="1" x14ac:dyDescent="0.25">
      <c r="A448" s="1" t="s">
        <v>1161</v>
      </c>
      <c r="B448" s="2">
        <v>45210</v>
      </c>
      <c r="C448" s="3">
        <v>0.83611111111111114</v>
      </c>
      <c r="D448" s="1" t="s">
        <v>1174</v>
      </c>
      <c r="E448">
        <v>25</v>
      </c>
      <c r="F448" s="1" t="s">
        <v>811</v>
      </c>
      <c r="G448" t="str">
        <f>_xlfn.XLOOKUP(Logs__2[[#This Row],[Cell_ID]],'Registre_Maintenance'!B:B,'Registre_Maintenance'!C:C,"Pas de correspondance")</f>
        <v>Pas de correspondance</v>
      </c>
      <c r="H448" t="str">
        <f>_xlfn.XLOOKUP(Logs__2[[#This Row],[Cell_ID]],'Registre_Maintenance'!B:B,'Registre_Maintenance'!D:D,"Pas de correspondance")</f>
        <v>Pas de correspondance</v>
      </c>
      <c r="I448" t="str">
        <f>_xlfn.XLOOKUP(Logs__2[[#This Row],[Cell_ID]],'Registre_Maintenance'!B:B,'Registre_Maintenance'!E:E,"Pas de correspondance")</f>
        <v>Pas de correspondance</v>
      </c>
      <c r="J448" t="str">
        <f>_xlfn.XLOOKUP(Logs__2[[#This Row],[Cell_ID]],'Registre_Maintenance'!B:B,'Registre_Maintenance'!F:F,"Pas de correspondance")</f>
        <v>Pas de correspondance</v>
      </c>
      <c r="K448" t="str">
        <f>_xlfn.XLOOKUP(Logs__2[[#This Row],[Cell_ID]],'Registre_Maintenance'!B:B,'Registre_Maintenance'!G:G,"Pas de correspondance")</f>
        <v>Pas de correspondance</v>
      </c>
    </row>
    <row r="449" spans="1:11" hidden="1" x14ac:dyDescent="0.25">
      <c r="A449" s="1" t="s">
        <v>1161</v>
      </c>
      <c r="B449" s="2">
        <v>45214</v>
      </c>
      <c r="C449" s="3">
        <v>0.61319444444444449</v>
      </c>
      <c r="D449" s="1" t="s">
        <v>1175</v>
      </c>
      <c r="E449">
        <v>61</v>
      </c>
      <c r="F449" s="1" t="s">
        <v>811</v>
      </c>
      <c r="G449" t="str">
        <f>_xlfn.XLOOKUP(Logs__2[[#This Row],[Cell_ID]],'Registre_Maintenance'!B:B,'Registre_Maintenance'!C:C,"Pas de correspondance")</f>
        <v>Pas de correspondance</v>
      </c>
      <c r="H449" t="str">
        <f>_xlfn.XLOOKUP(Logs__2[[#This Row],[Cell_ID]],'Registre_Maintenance'!B:B,'Registre_Maintenance'!D:D,"Pas de correspondance")</f>
        <v>Pas de correspondance</v>
      </c>
      <c r="I449" t="str">
        <f>_xlfn.XLOOKUP(Logs__2[[#This Row],[Cell_ID]],'Registre_Maintenance'!B:B,'Registre_Maintenance'!E:E,"Pas de correspondance")</f>
        <v>Pas de correspondance</v>
      </c>
      <c r="J449" t="str">
        <f>_xlfn.XLOOKUP(Logs__2[[#This Row],[Cell_ID]],'Registre_Maintenance'!B:B,'Registre_Maintenance'!F:F,"Pas de correspondance")</f>
        <v>Pas de correspondance</v>
      </c>
      <c r="K449" t="str">
        <f>_xlfn.XLOOKUP(Logs__2[[#This Row],[Cell_ID]],'Registre_Maintenance'!B:B,'Registre_Maintenance'!G:G,"Pas de correspondance")</f>
        <v>Pas de correspondance</v>
      </c>
    </row>
    <row r="450" spans="1:11" x14ac:dyDescent="0.25">
      <c r="A450" s="1" t="s">
        <v>1161</v>
      </c>
      <c r="B450" s="2">
        <v>45216</v>
      </c>
      <c r="C450" s="3">
        <v>0.46388888888888891</v>
      </c>
      <c r="D450" s="1" t="s">
        <v>1126</v>
      </c>
      <c r="E450">
        <v>58</v>
      </c>
      <c r="F450" s="1" t="s">
        <v>806</v>
      </c>
      <c r="G450" t="str">
        <f>_xlfn.XLOOKUP(Logs__2[[#This Row],[Cell_ID]],'Registre_Maintenance'!B:B,'Registre_Maintenance'!C:C,"Pas de correspondance")</f>
        <v>Haut-Lomami</v>
      </c>
      <c r="H450">
        <f>_xlfn.XLOOKUP(Logs__2[[#This Row],[Cell_ID]],'Registre_Maintenance'!B:B,'Registre_Maintenance'!D:D,"Pas de correspondance")</f>
        <v>-7.1785899999999998</v>
      </c>
      <c r="I450">
        <f>_xlfn.XLOOKUP(Logs__2[[#This Row],[Cell_ID]],'Registre_Maintenance'!B:B,'Registre_Maintenance'!E:E,"Pas de correspondance")</f>
        <v>24.4404</v>
      </c>
      <c r="J450" t="str">
        <f>_xlfn.XLOOKUP(Logs__2[[#This Row],[Cell_ID]],'Registre_Maintenance'!B:B,'Registre_Maintenance'!F:F,"Pas de correspondance")</f>
        <v>4G</v>
      </c>
      <c r="K450" t="str">
        <f>_xlfn.XLOOKUP(Logs__2[[#This Row],[Cell_ID]],'Registre_Maintenance'!B:B,'Registre_Maintenance'!G:G,"Pas de correspondance")</f>
        <v>Nokia</v>
      </c>
    </row>
    <row r="451" spans="1:11" x14ac:dyDescent="0.25">
      <c r="A451" s="1" t="s">
        <v>1161</v>
      </c>
      <c r="B451" s="2">
        <v>45228</v>
      </c>
      <c r="C451" s="3">
        <v>0.73611111111111116</v>
      </c>
      <c r="D451" s="1" t="s">
        <v>1176</v>
      </c>
      <c r="E451">
        <v>66</v>
      </c>
      <c r="F451" s="1" t="s">
        <v>811</v>
      </c>
      <c r="G451" t="str">
        <f>_xlfn.XLOOKUP(Logs__2[[#This Row],[Cell_ID]],'Registre_Maintenance'!B:B,'Registre_Maintenance'!C:C,"Pas de correspondance")</f>
        <v>Kasaï-Oriental</v>
      </c>
      <c r="H451">
        <f>_xlfn.XLOOKUP(Logs__2[[#This Row],[Cell_ID]],'Registre_Maintenance'!B:B,'Registre_Maintenance'!D:D,"Pas de correspondance")</f>
        <v>-4.4831099999999999</v>
      </c>
      <c r="I451">
        <f>_xlfn.XLOOKUP(Logs__2[[#This Row],[Cell_ID]],'Registre_Maintenance'!B:B,'Registre_Maintenance'!E:E,"Pas de correspondance")</f>
        <v>25.406548000000001</v>
      </c>
      <c r="J451" t="str">
        <f>_xlfn.XLOOKUP(Logs__2[[#This Row],[Cell_ID]],'Registre_Maintenance'!B:B,'Registre_Maintenance'!F:F,"Pas de correspondance")</f>
        <v>5G</v>
      </c>
      <c r="K451" t="str">
        <f>_xlfn.XLOOKUP(Logs__2[[#This Row],[Cell_ID]],'Registre_Maintenance'!B:B,'Registre_Maintenance'!G:G,"Pas de correspondance")</f>
        <v>Nokia</v>
      </c>
    </row>
    <row r="452" spans="1:11" hidden="1" x14ac:dyDescent="0.25">
      <c r="A452" s="1" t="s">
        <v>1161</v>
      </c>
      <c r="B452" s="2">
        <v>45218</v>
      </c>
      <c r="C452" s="3">
        <v>0.24236111111111111</v>
      </c>
      <c r="D452" s="1" t="s">
        <v>1014</v>
      </c>
      <c r="E452">
        <v>64</v>
      </c>
      <c r="F452" s="1" t="s">
        <v>806</v>
      </c>
      <c r="G452" t="str">
        <f>_xlfn.XLOOKUP(Logs__2[[#This Row],[Cell_ID]],'Registre_Maintenance'!B:B,'Registre_Maintenance'!C:C,"Pas de correspondance")</f>
        <v>Pas de correspondance</v>
      </c>
      <c r="H452" t="str">
        <f>_xlfn.XLOOKUP(Logs__2[[#This Row],[Cell_ID]],'Registre_Maintenance'!B:B,'Registre_Maintenance'!D:D,"Pas de correspondance")</f>
        <v>Pas de correspondance</v>
      </c>
      <c r="I452" t="str">
        <f>_xlfn.XLOOKUP(Logs__2[[#This Row],[Cell_ID]],'Registre_Maintenance'!B:B,'Registre_Maintenance'!E:E,"Pas de correspondance")</f>
        <v>Pas de correspondance</v>
      </c>
      <c r="J452" t="str">
        <f>_xlfn.XLOOKUP(Logs__2[[#This Row],[Cell_ID]],'Registre_Maintenance'!B:B,'Registre_Maintenance'!F:F,"Pas de correspondance")</f>
        <v>Pas de correspondance</v>
      </c>
      <c r="K452" t="str">
        <f>_xlfn.XLOOKUP(Logs__2[[#This Row],[Cell_ID]],'Registre_Maintenance'!B:B,'Registre_Maintenance'!G:G,"Pas de correspondance")</f>
        <v>Pas de correspondance</v>
      </c>
    </row>
    <row r="453" spans="1:11" hidden="1" x14ac:dyDescent="0.25">
      <c r="A453" s="1" t="s">
        <v>1161</v>
      </c>
      <c r="B453" s="2">
        <v>45230</v>
      </c>
      <c r="C453" s="3">
        <v>0.18541666666666667</v>
      </c>
      <c r="D453" s="1" t="s">
        <v>1177</v>
      </c>
      <c r="E453">
        <v>31</v>
      </c>
      <c r="F453" s="1" t="s">
        <v>809</v>
      </c>
      <c r="G453" t="str">
        <f>_xlfn.XLOOKUP(Logs__2[[#This Row],[Cell_ID]],'Registre_Maintenance'!B:B,'Registre_Maintenance'!C:C,"Pas de correspondance")</f>
        <v>Pas de correspondance</v>
      </c>
      <c r="H453" t="str">
        <f>_xlfn.XLOOKUP(Logs__2[[#This Row],[Cell_ID]],'Registre_Maintenance'!B:B,'Registre_Maintenance'!D:D,"Pas de correspondance")</f>
        <v>Pas de correspondance</v>
      </c>
      <c r="I453" t="str">
        <f>_xlfn.XLOOKUP(Logs__2[[#This Row],[Cell_ID]],'Registre_Maintenance'!B:B,'Registre_Maintenance'!E:E,"Pas de correspondance")</f>
        <v>Pas de correspondance</v>
      </c>
      <c r="J453" t="str">
        <f>_xlfn.XLOOKUP(Logs__2[[#This Row],[Cell_ID]],'Registre_Maintenance'!B:B,'Registre_Maintenance'!F:F,"Pas de correspondance")</f>
        <v>Pas de correspondance</v>
      </c>
      <c r="K453" t="str">
        <f>_xlfn.XLOOKUP(Logs__2[[#This Row],[Cell_ID]],'Registre_Maintenance'!B:B,'Registre_Maintenance'!G:G,"Pas de correspondance")</f>
        <v>Pas de correspondance</v>
      </c>
    </row>
    <row r="454" spans="1:11" hidden="1" x14ac:dyDescent="0.25">
      <c r="A454" s="1" t="s">
        <v>1161</v>
      </c>
      <c r="B454" s="2">
        <v>45216</v>
      </c>
      <c r="C454" s="3">
        <v>7.8472222222222221E-2</v>
      </c>
      <c r="D454" s="1" t="s">
        <v>1178</v>
      </c>
      <c r="E454">
        <v>48</v>
      </c>
      <c r="F454" s="1" t="s">
        <v>809</v>
      </c>
      <c r="G454" t="str">
        <f>_xlfn.XLOOKUP(Logs__2[[#This Row],[Cell_ID]],'Registre_Maintenance'!B:B,'Registre_Maintenance'!C:C,"Pas de correspondance")</f>
        <v>Pas de correspondance</v>
      </c>
      <c r="H454" t="str">
        <f>_xlfn.XLOOKUP(Logs__2[[#This Row],[Cell_ID]],'Registre_Maintenance'!B:B,'Registre_Maintenance'!D:D,"Pas de correspondance")</f>
        <v>Pas de correspondance</v>
      </c>
      <c r="I454" t="str">
        <f>_xlfn.XLOOKUP(Logs__2[[#This Row],[Cell_ID]],'Registre_Maintenance'!B:B,'Registre_Maintenance'!E:E,"Pas de correspondance")</f>
        <v>Pas de correspondance</v>
      </c>
      <c r="J454" t="str">
        <f>_xlfn.XLOOKUP(Logs__2[[#This Row],[Cell_ID]],'Registre_Maintenance'!B:B,'Registre_Maintenance'!F:F,"Pas de correspondance")</f>
        <v>Pas de correspondance</v>
      </c>
      <c r="K454" t="str">
        <f>_xlfn.XLOOKUP(Logs__2[[#This Row],[Cell_ID]],'Registre_Maintenance'!B:B,'Registre_Maintenance'!G:G,"Pas de correspondance")</f>
        <v>Pas de correspondance</v>
      </c>
    </row>
    <row r="455" spans="1:11" hidden="1" x14ac:dyDescent="0.25">
      <c r="A455" s="1" t="s">
        <v>1161</v>
      </c>
      <c r="B455" s="2">
        <v>45203</v>
      </c>
      <c r="C455" s="3">
        <v>0.67291666666666672</v>
      </c>
      <c r="D455" s="1" t="s">
        <v>1179</v>
      </c>
      <c r="E455">
        <v>82</v>
      </c>
      <c r="F455" s="1" t="s">
        <v>806</v>
      </c>
      <c r="G455" t="str">
        <f>_xlfn.XLOOKUP(Logs__2[[#This Row],[Cell_ID]],'Registre_Maintenance'!B:B,'Registre_Maintenance'!C:C,"Pas de correspondance")</f>
        <v>Pas de correspondance</v>
      </c>
      <c r="H455" t="str">
        <f>_xlfn.XLOOKUP(Logs__2[[#This Row],[Cell_ID]],'Registre_Maintenance'!B:B,'Registre_Maintenance'!D:D,"Pas de correspondance")</f>
        <v>Pas de correspondance</v>
      </c>
      <c r="I455" t="str">
        <f>_xlfn.XLOOKUP(Logs__2[[#This Row],[Cell_ID]],'Registre_Maintenance'!B:B,'Registre_Maintenance'!E:E,"Pas de correspondance")</f>
        <v>Pas de correspondance</v>
      </c>
      <c r="J455" t="str">
        <f>_xlfn.XLOOKUP(Logs__2[[#This Row],[Cell_ID]],'Registre_Maintenance'!B:B,'Registre_Maintenance'!F:F,"Pas de correspondance")</f>
        <v>Pas de correspondance</v>
      </c>
      <c r="K455" t="str">
        <f>_xlfn.XLOOKUP(Logs__2[[#This Row],[Cell_ID]],'Registre_Maintenance'!B:B,'Registre_Maintenance'!G:G,"Pas de correspondance")</f>
        <v>Pas de correspondance</v>
      </c>
    </row>
    <row r="456" spans="1:11" x14ac:dyDescent="0.25">
      <c r="A456" s="1" t="s">
        <v>1161</v>
      </c>
      <c r="B456" s="2">
        <v>45209</v>
      </c>
      <c r="C456" s="3">
        <v>0.21527777777777779</v>
      </c>
      <c r="D456" s="1" t="s">
        <v>1151</v>
      </c>
      <c r="E456">
        <v>23</v>
      </c>
      <c r="F456" s="1" t="s">
        <v>811</v>
      </c>
      <c r="G456" t="str">
        <f>_xlfn.XLOOKUP(Logs__2[[#This Row],[Cell_ID]],'Registre_Maintenance'!B:B,'Registre_Maintenance'!C:C,"Pas de correspondance")</f>
        <v>Kinshasa</v>
      </c>
      <c r="H456">
        <f>_xlfn.XLOOKUP(Logs__2[[#This Row],[Cell_ID]],'Registre_Maintenance'!B:B,'Registre_Maintenance'!D:D,"Pas de correspondance")</f>
        <v>-11.389362</v>
      </c>
      <c r="I456">
        <f>_xlfn.XLOOKUP(Logs__2[[#This Row],[Cell_ID]],'Registre_Maintenance'!B:B,'Registre_Maintenance'!E:E,"Pas de correspondance")</f>
        <v>22.240174</v>
      </c>
      <c r="J456" t="str">
        <f>_xlfn.XLOOKUP(Logs__2[[#This Row],[Cell_ID]],'Registre_Maintenance'!B:B,'Registre_Maintenance'!F:F,"Pas de correspondance")</f>
        <v>5G</v>
      </c>
      <c r="K456" t="str">
        <f>_xlfn.XLOOKUP(Logs__2[[#This Row],[Cell_ID]],'Registre_Maintenance'!B:B,'Registre_Maintenance'!G:G,"Pas de correspondance")</f>
        <v>ZTE</v>
      </c>
    </row>
    <row r="457" spans="1:11" hidden="1" x14ac:dyDescent="0.25">
      <c r="A457" s="1" t="s">
        <v>1161</v>
      </c>
      <c r="B457" s="2">
        <v>45210</v>
      </c>
      <c r="C457" s="3">
        <v>0.92638888888888893</v>
      </c>
      <c r="D457" s="1" t="s">
        <v>997</v>
      </c>
      <c r="E457">
        <v>45</v>
      </c>
      <c r="F457" s="1" t="s">
        <v>809</v>
      </c>
      <c r="G457" t="str">
        <f>_xlfn.XLOOKUP(Logs__2[[#This Row],[Cell_ID]],'Registre_Maintenance'!B:B,'Registre_Maintenance'!C:C,"Pas de correspondance")</f>
        <v>Pas de correspondance</v>
      </c>
      <c r="H457" t="str">
        <f>_xlfn.XLOOKUP(Logs__2[[#This Row],[Cell_ID]],'Registre_Maintenance'!B:B,'Registre_Maintenance'!D:D,"Pas de correspondance")</f>
        <v>Pas de correspondance</v>
      </c>
      <c r="I457" t="str">
        <f>_xlfn.XLOOKUP(Logs__2[[#This Row],[Cell_ID]],'Registre_Maintenance'!B:B,'Registre_Maintenance'!E:E,"Pas de correspondance")</f>
        <v>Pas de correspondance</v>
      </c>
      <c r="J457" t="str">
        <f>_xlfn.XLOOKUP(Logs__2[[#This Row],[Cell_ID]],'Registre_Maintenance'!B:B,'Registre_Maintenance'!F:F,"Pas de correspondance")</f>
        <v>Pas de correspondance</v>
      </c>
      <c r="K457" t="str">
        <f>_xlfn.XLOOKUP(Logs__2[[#This Row],[Cell_ID]],'Registre_Maintenance'!B:B,'Registre_Maintenance'!G:G,"Pas de correspondance")</f>
        <v>Pas de correspondance</v>
      </c>
    </row>
    <row r="458" spans="1:11" hidden="1" x14ac:dyDescent="0.25">
      <c r="A458" s="1" t="s">
        <v>1161</v>
      </c>
      <c r="B458" s="2">
        <v>45211</v>
      </c>
      <c r="C458" s="3">
        <v>0.70625000000000004</v>
      </c>
      <c r="D458" s="1" t="s">
        <v>1180</v>
      </c>
      <c r="E458">
        <v>115</v>
      </c>
      <c r="F458" s="1" t="s">
        <v>811</v>
      </c>
      <c r="G458" t="str">
        <f>_xlfn.XLOOKUP(Logs__2[[#This Row],[Cell_ID]],'Registre_Maintenance'!B:B,'Registre_Maintenance'!C:C,"Pas de correspondance")</f>
        <v>Pas de correspondance</v>
      </c>
      <c r="H458" t="str">
        <f>_xlfn.XLOOKUP(Logs__2[[#This Row],[Cell_ID]],'Registre_Maintenance'!B:B,'Registre_Maintenance'!D:D,"Pas de correspondance")</f>
        <v>Pas de correspondance</v>
      </c>
      <c r="I458" t="str">
        <f>_xlfn.XLOOKUP(Logs__2[[#This Row],[Cell_ID]],'Registre_Maintenance'!B:B,'Registre_Maintenance'!E:E,"Pas de correspondance")</f>
        <v>Pas de correspondance</v>
      </c>
      <c r="J458" t="str">
        <f>_xlfn.XLOOKUP(Logs__2[[#This Row],[Cell_ID]],'Registre_Maintenance'!B:B,'Registre_Maintenance'!F:F,"Pas de correspondance")</f>
        <v>Pas de correspondance</v>
      </c>
      <c r="K458" t="str">
        <f>_xlfn.XLOOKUP(Logs__2[[#This Row],[Cell_ID]],'Registre_Maintenance'!B:B,'Registre_Maintenance'!G:G,"Pas de correspondance")</f>
        <v>Pas de correspondance</v>
      </c>
    </row>
    <row r="459" spans="1:11" hidden="1" x14ac:dyDescent="0.25">
      <c r="A459" s="1" t="s">
        <v>1161</v>
      </c>
      <c r="B459" s="2">
        <v>45209</v>
      </c>
      <c r="C459" s="3">
        <v>9.4444444444444442E-2</v>
      </c>
      <c r="D459" s="1" t="s">
        <v>1181</v>
      </c>
      <c r="E459">
        <v>96</v>
      </c>
      <c r="F459" s="1" t="s">
        <v>806</v>
      </c>
      <c r="G459" t="str">
        <f>_xlfn.XLOOKUP(Logs__2[[#This Row],[Cell_ID]],'Registre_Maintenance'!B:B,'Registre_Maintenance'!C:C,"Pas de correspondance")</f>
        <v>Pas de correspondance</v>
      </c>
      <c r="H459" t="str">
        <f>_xlfn.XLOOKUP(Logs__2[[#This Row],[Cell_ID]],'Registre_Maintenance'!B:B,'Registre_Maintenance'!D:D,"Pas de correspondance")</f>
        <v>Pas de correspondance</v>
      </c>
      <c r="I459" t="str">
        <f>_xlfn.XLOOKUP(Logs__2[[#This Row],[Cell_ID]],'Registre_Maintenance'!B:B,'Registre_Maintenance'!E:E,"Pas de correspondance")</f>
        <v>Pas de correspondance</v>
      </c>
      <c r="J459" t="str">
        <f>_xlfn.XLOOKUP(Logs__2[[#This Row],[Cell_ID]],'Registre_Maintenance'!B:B,'Registre_Maintenance'!F:F,"Pas de correspondance")</f>
        <v>Pas de correspondance</v>
      </c>
      <c r="K459" t="str">
        <f>_xlfn.XLOOKUP(Logs__2[[#This Row],[Cell_ID]],'Registre_Maintenance'!B:B,'Registre_Maintenance'!G:G,"Pas de correspondance")</f>
        <v>Pas de correspondance</v>
      </c>
    </row>
    <row r="460" spans="1:11" hidden="1" x14ac:dyDescent="0.25">
      <c r="A460" s="1" t="s">
        <v>1161</v>
      </c>
      <c r="B460" s="2">
        <v>45206</v>
      </c>
      <c r="C460" s="3">
        <v>0.85763888888888884</v>
      </c>
      <c r="D460" s="1" t="s">
        <v>997</v>
      </c>
      <c r="E460">
        <v>45</v>
      </c>
      <c r="F460" s="1" t="s">
        <v>811</v>
      </c>
      <c r="G460" t="str">
        <f>_xlfn.XLOOKUP(Logs__2[[#This Row],[Cell_ID]],'Registre_Maintenance'!B:B,'Registre_Maintenance'!C:C,"Pas de correspondance")</f>
        <v>Pas de correspondance</v>
      </c>
      <c r="H460" t="str">
        <f>_xlfn.XLOOKUP(Logs__2[[#This Row],[Cell_ID]],'Registre_Maintenance'!B:B,'Registre_Maintenance'!D:D,"Pas de correspondance")</f>
        <v>Pas de correspondance</v>
      </c>
      <c r="I460" t="str">
        <f>_xlfn.XLOOKUP(Logs__2[[#This Row],[Cell_ID]],'Registre_Maintenance'!B:B,'Registre_Maintenance'!E:E,"Pas de correspondance")</f>
        <v>Pas de correspondance</v>
      </c>
      <c r="J460" t="str">
        <f>_xlfn.XLOOKUP(Logs__2[[#This Row],[Cell_ID]],'Registre_Maintenance'!B:B,'Registre_Maintenance'!F:F,"Pas de correspondance")</f>
        <v>Pas de correspondance</v>
      </c>
      <c r="K460" t="str">
        <f>_xlfn.XLOOKUP(Logs__2[[#This Row],[Cell_ID]],'Registre_Maintenance'!B:B,'Registre_Maintenance'!G:G,"Pas de correspondance")</f>
        <v>Pas de correspondance</v>
      </c>
    </row>
    <row r="461" spans="1:11" hidden="1" x14ac:dyDescent="0.25">
      <c r="A461" s="1" t="s">
        <v>1161</v>
      </c>
      <c r="B461" s="2">
        <v>45208</v>
      </c>
      <c r="C461" s="3">
        <v>0.19444444444444445</v>
      </c>
      <c r="D461" s="1" t="s">
        <v>1182</v>
      </c>
      <c r="E461">
        <v>98</v>
      </c>
      <c r="F461" s="1" t="s">
        <v>809</v>
      </c>
      <c r="G461" t="str">
        <f>_xlfn.XLOOKUP(Logs__2[[#This Row],[Cell_ID]],'Registre_Maintenance'!B:B,'Registre_Maintenance'!C:C,"Pas de correspondance")</f>
        <v>Pas de correspondance</v>
      </c>
      <c r="H461" t="str">
        <f>_xlfn.XLOOKUP(Logs__2[[#This Row],[Cell_ID]],'Registre_Maintenance'!B:B,'Registre_Maintenance'!D:D,"Pas de correspondance")</f>
        <v>Pas de correspondance</v>
      </c>
      <c r="I461" t="str">
        <f>_xlfn.XLOOKUP(Logs__2[[#This Row],[Cell_ID]],'Registre_Maintenance'!B:B,'Registre_Maintenance'!E:E,"Pas de correspondance")</f>
        <v>Pas de correspondance</v>
      </c>
      <c r="J461" t="str">
        <f>_xlfn.XLOOKUP(Logs__2[[#This Row],[Cell_ID]],'Registre_Maintenance'!B:B,'Registre_Maintenance'!F:F,"Pas de correspondance")</f>
        <v>Pas de correspondance</v>
      </c>
      <c r="K461" t="str">
        <f>_xlfn.XLOOKUP(Logs__2[[#This Row],[Cell_ID]],'Registre_Maintenance'!B:B,'Registre_Maintenance'!G:G,"Pas de correspondance")</f>
        <v>Pas de correspondance</v>
      </c>
    </row>
    <row r="462" spans="1:11" hidden="1" x14ac:dyDescent="0.25">
      <c r="A462" s="1" t="s">
        <v>1161</v>
      </c>
      <c r="B462" s="2">
        <v>45209</v>
      </c>
      <c r="C462" s="3">
        <v>0.81527777777777777</v>
      </c>
      <c r="D462" s="1" t="s">
        <v>896</v>
      </c>
      <c r="E462">
        <v>115</v>
      </c>
      <c r="F462" s="1" t="s">
        <v>811</v>
      </c>
      <c r="G462" t="str">
        <f>_xlfn.XLOOKUP(Logs__2[[#This Row],[Cell_ID]],'Registre_Maintenance'!B:B,'Registre_Maintenance'!C:C,"Pas de correspondance")</f>
        <v>Pas de correspondance</v>
      </c>
      <c r="H462" t="str">
        <f>_xlfn.XLOOKUP(Logs__2[[#This Row],[Cell_ID]],'Registre_Maintenance'!B:B,'Registre_Maintenance'!D:D,"Pas de correspondance")</f>
        <v>Pas de correspondance</v>
      </c>
      <c r="I462" t="str">
        <f>_xlfn.XLOOKUP(Logs__2[[#This Row],[Cell_ID]],'Registre_Maintenance'!B:B,'Registre_Maintenance'!E:E,"Pas de correspondance")</f>
        <v>Pas de correspondance</v>
      </c>
      <c r="J462" t="str">
        <f>_xlfn.XLOOKUP(Logs__2[[#This Row],[Cell_ID]],'Registre_Maintenance'!B:B,'Registre_Maintenance'!F:F,"Pas de correspondance")</f>
        <v>Pas de correspondance</v>
      </c>
      <c r="K462" t="str">
        <f>_xlfn.XLOOKUP(Logs__2[[#This Row],[Cell_ID]],'Registre_Maintenance'!B:B,'Registre_Maintenance'!G:G,"Pas de correspondance")</f>
        <v>Pas de correspondance</v>
      </c>
    </row>
    <row r="463" spans="1:11" hidden="1" x14ac:dyDescent="0.25">
      <c r="A463" s="1" t="s">
        <v>1161</v>
      </c>
      <c r="B463" s="2">
        <v>45202</v>
      </c>
      <c r="C463" s="3">
        <v>0.69513888888888886</v>
      </c>
      <c r="D463" s="1" t="s">
        <v>1183</v>
      </c>
      <c r="E463">
        <v>49</v>
      </c>
      <c r="F463" s="1" t="s">
        <v>809</v>
      </c>
      <c r="G463" t="str">
        <f>_xlfn.XLOOKUP(Logs__2[[#This Row],[Cell_ID]],'Registre_Maintenance'!B:B,'Registre_Maintenance'!C:C,"Pas de correspondance")</f>
        <v>Pas de correspondance</v>
      </c>
      <c r="H463" t="str">
        <f>_xlfn.XLOOKUP(Logs__2[[#This Row],[Cell_ID]],'Registre_Maintenance'!B:B,'Registre_Maintenance'!D:D,"Pas de correspondance")</f>
        <v>Pas de correspondance</v>
      </c>
      <c r="I463" t="str">
        <f>_xlfn.XLOOKUP(Logs__2[[#This Row],[Cell_ID]],'Registre_Maintenance'!B:B,'Registre_Maintenance'!E:E,"Pas de correspondance")</f>
        <v>Pas de correspondance</v>
      </c>
      <c r="J463" t="str">
        <f>_xlfn.XLOOKUP(Logs__2[[#This Row],[Cell_ID]],'Registre_Maintenance'!B:B,'Registre_Maintenance'!F:F,"Pas de correspondance")</f>
        <v>Pas de correspondance</v>
      </c>
      <c r="K463" t="str">
        <f>_xlfn.XLOOKUP(Logs__2[[#This Row],[Cell_ID]],'Registre_Maintenance'!B:B,'Registre_Maintenance'!G:G,"Pas de correspondance")</f>
        <v>Pas de correspondance</v>
      </c>
    </row>
    <row r="464" spans="1:11" hidden="1" x14ac:dyDescent="0.25">
      <c r="A464" s="1" t="s">
        <v>1161</v>
      </c>
      <c r="B464" s="2">
        <v>45205</v>
      </c>
      <c r="C464" s="3">
        <v>0.77569444444444446</v>
      </c>
      <c r="D464" s="1" t="s">
        <v>1184</v>
      </c>
      <c r="E464">
        <v>56</v>
      </c>
      <c r="F464" s="1" t="s">
        <v>811</v>
      </c>
      <c r="G464" t="str">
        <f>_xlfn.XLOOKUP(Logs__2[[#This Row],[Cell_ID]],'Registre_Maintenance'!B:B,'Registre_Maintenance'!C:C,"Pas de correspondance")</f>
        <v>Pas de correspondance</v>
      </c>
      <c r="H464" t="str">
        <f>_xlfn.XLOOKUP(Logs__2[[#This Row],[Cell_ID]],'Registre_Maintenance'!B:B,'Registre_Maintenance'!D:D,"Pas de correspondance")</f>
        <v>Pas de correspondance</v>
      </c>
      <c r="I464" t="str">
        <f>_xlfn.XLOOKUP(Logs__2[[#This Row],[Cell_ID]],'Registre_Maintenance'!B:B,'Registre_Maintenance'!E:E,"Pas de correspondance")</f>
        <v>Pas de correspondance</v>
      </c>
      <c r="J464" t="str">
        <f>_xlfn.XLOOKUP(Logs__2[[#This Row],[Cell_ID]],'Registre_Maintenance'!B:B,'Registre_Maintenance'!F:F,"Pas de correspondance")</f>
        <v>Pas de correspondance</v>
      </c>
      <c r="K464" t="str">
        <f>_xlfn.XLOOKUP(Logs__2[[#This Row],[Cell_ID]],'Registre_Maintenance'!B:B,'Registre_Maintenance'!G:G,"Pas de correspondance")</f>
        <v>Pas de correspondance</v>
      </c>
    </row>
    <row r="465" spans="1:11" x14ac:dyDescent="0.25">
      <c r="A465" s="1" t="s">
        <v>1161</v>
      </c>
      <c r="B465" s="2">
        <v>45204</v>
      </c>
      <c r="C465" s="3">
        <v>0.23749999999999999</v>
      </c>
      <c r="D465" s="1" t="s">
        <v>1030</v>
      </c>
      <c r="E465">
        <v>21</v>
      </c>
      <c r="F465" s="1" t="s">
        <v>809</v>
      </c>
      <c r="G465" t="str">
        <f>_xlfn.XLOOKUP(Logs__2[[#This Row],[Cell_ID]],'Registre_Maintenance'!B:B,'Registre_Maintenance'!C:C,"Pas de correspondance")</f>
        <v>Kongo-Central</v>
      </c>
      <c r="H465">
        <f>_xlfn.XLOOKUP(Logs__2[[#This Row],[Cell_ID]],'Registre_Maintenance'!B:B,'Registre_Maintenance'!D:D,"Pas de correspondance")</f>
        <v>2.975352</v>
      </c>
      <c r="I465">
        <f>_xlfn.XLOOKUP(Logs__2[[#This Row],[Cell_ID]],'Registre_Maintenance'!B:B,'Registre_Maintenance'!E:E,"Pas de correspondance")</f>
        <v>22.535886000000001</v>
      </c>
      <c r="J465" t="str">
        <f>_xlfn.XLOOKUP(Logs__2[[#This Row],[Cell_ID]],'Registre_Maintenance'!B:B,'Registre_Maintenance'!F:F,"Pas de correspondance")</f>
        <v>4G</v>
      </c>
      <c r="K465" t="str">
        <f>_xlfn.XLOOKUP(Logs__2[[#This Row],[Cell_ID]],'Registre_Maintenance'!B:B,'Registre_Maintenance'!G:G,"Pas de correspondance")</f>
        <v>Huawei</v>
      </c>
    </row>
    <row r="466" spans="1:11" hidden="1" x14ac:dyDescent="0.25">
      <c r="A466" s="1" t="s">
        <v>1161</v>
      </c>
      <c r="B466" s="2">
        <v>45219</v>
      </c>
      <c r="C466" s="3">
        <v>0.99791666666666667</v>
      </c>
      <c r="D466" s="1" t="s">
        <v>881</v>
      </c>
      <c r="E466">
        <v>102</v>
      </c>
      <c r="F466" s="1" t="s">
        <v>809</v>
      </c>
      <c r="G466" t="str">
        <f>_xlfn.XLOOKUP(Logs__2[[#This Row],[Cell_ID]],'Registre_Maintenance'!B:B,'Registre_Maintenance'!C:C,"Pas de correspondance")</f>
        <v>Pas de correspondance</v>
      </c>
      <c r="H466" t="str">
        <f>_xlfn.XLOOKUP(Logs__2[[#This Row],[Cell_ID]],'Registre_Maintenance'!B:B,'Registre_Maintenance'!D:D,"Pas de correspondance")</f>
        <v>Pas de correspondance</v>
      </c>
      <c r="I466" t="str">
        <f>_xlfn.XLOOKUP(Logs__2[[#This Row],[Cell_ID]],'Registre_Maintenance'!B:B,'Registre_Maintenance'!E:E,"Pas de correspondance")</f>
        <v>Pas de correspondance</v>
      </c>
      <c r="J466" t="str">
        <f>_xlfn.XLOOKUP(Logs__2[[#This Row],[Cell_ID]],'Registre_Maintenance'!B:B,'Registre_Maintenance'!F:F,"Pas de correspondance")</f>
        <v>Pas de correspondance</v>
      </c>
      <c r="K466" t="str">
        <f>_xlfn.XLOOKUP(Logs__2[[#This Row],[Cell_ID]],'Registre_Maintenance'!B:B,'Registre_Maintenance'!G:G,"Pas de correspondance")</f>
        <v>Pas de correspondance</v>
      </c>
    </row>
    <row r="467" spans="1:11" hidden="1" x14ac:dyDescent="0.25">
      <c r="A467" s="1" t="s">
        <v>1161</v>
      </c>
      <c r="B467" s="2">
        <v>45219</v>
      </c>
      <c r="C467" s="3">
        <v>0.45347222222222222</v>
      </c>
      <c r="D467" s="1" t="s">
        <v>1185</v>
      </c>
      <c r="E467">
        <v>52</v>
      </c>
      <c r="F467" s="1" t="s">
        <v>809</v>
      </c>
      <c r="G467" t="str">
        <f>_xlfn.XLOOKUP(Logs__2[[#This Row],[Cell_ID]],'Registre_Maintenance'!B:B,'Registre_Maintenance'!C:C,"Pas de correspondance")</f>
        <v>Pas de correspondance</v>
      </c>
      <c r="H467" t="str">
        <f>_xlfn.XLOOKUP(Logs__2[[#This Row],[Cell_ID]],'Registre_Maintenance'!B:B,'Registre_Maintenance'!D:D,"Pas de correspondance")</f>
        <v>Pas de correspondance</v>
      </c>
      <c r="I467" t="str">
        <f>_xlfn.XLOOKUP(Logs__2[[#This Row],[Cell_ID]],'Registre_Maintenance'!B:B,'Registre_Maintenance'!E:E,"Pas de correspondance")</f>
        <v>Pas de correspondance</v>
      </c>
      <c r="J467" t="str">
        <f>_xlfn.XLOOKUP(Logs__2[[#This Row],[Cell_ID]],'Registre_Maintenance'!B:B,'Registre_Maintenance'!F:F,"Pas de correspondance")</f>
        <v>Pas de correspondance</v>
      </c>
      <c r="K467" t="str">
        <f>_xlfn.XLOOKUP(Logs__2[[#This Row],[Cell_ID]],'Registre_Maintenance'!B:B,'Registre_Maintenance'!G:G,"Pas de correspondance")</f>
        <v>Pas de correspondance</v>
      </c>
    </row>
    <row r="468" spans="1:11" hidden="1" x14ac:dyDescent="0.25">
      <c r="A468" s="1" t="s">
        <v>1161</v>
      </c>
      <c r="B468" s="2">
        <v>45229</v>
      </c>
      <c r="C468" s="3">
        <v>0.75138888888888888</v>
      </c>
      <c r="D468" s="1" t="s">
        <v>1186</v>
      </c>
      <c r="E468">
        <v>70</v>
      </c>
      <c r="F468" s="1" t="s">
        <v>806</v>
      </c>
      <c r="G468" t="str">
        <f>_xlfn.XLOOKUP(Logs__2[[#This Row],[Cell_ID]],'Registre_Maintenance'!B:B,'Registre_Maintenance'!C:C,"Pas de correspondance")</f>
        <v>Pas de correspondance</v>
      </c>
      <c r="H468" t="str">
        <f>_xlfn.XLOOKUP(Logs__2[[#This Row],[Cell_ID]],'Registre_Maintenance'!B:B,'Registre_Maintenance'!D:D,"Pas de correspondance")</f>
        <v>Pas de correspondance</v>
      </c>
      <c r="I468" t="str">
        <f>_xlfn.XLOOKUP(Logs__2[[#This Row],[Cell_ID]],'Registre_Maintenance'!B:B,'Registre_Maintenance'!E:E,"Pas de correspondance")</f>
        <v>Pas de correspondance</v>
      </c>
      <c r="J468" t="str">
        <f>_xlfn.XLOOKUP(Logs__2[[#This Row],[Cell_ID]],'Registre_Maintenance'!B:B,'Registre_Maintenance'!F:F,"Pas de correspondance")</f>
        <v>Pas de correspondance</v>
      </c>
      <c r="K468" t="str">
        <f>_xlfn.XLOOKUP(Logs__2[[#This Row],[Cell_ID]],'Registre_Maintenance'!B:B,'Registre_Maintenance'!G:G,"Pas de correspondance")</f>
        <v>Pas de correspondance</v>
      </c>
    </row>
    <row r="469" spans="1:11" hidden="1" x14ac:dyDescent="0.25">
      <c r="A469" s="1" t="s">
        <v>1161</v>
      </c>
      <c r="B469" s="2">
        <v>45226</v>
      </c>
      <c r="C469" s="3">
        <v>3.472222222222222E-3</v>
      </c>
      <c r="D469" s="1" t="s">
        <v>1187</v>
      </c>
      <c r="E469">
        <v>76</v>
      </c>
      <c r="F469" s="1" t="s">
        <v>806</v>
      </c>
      <c r="G469" t="str">
        <f>_xlfn.XLOOKUP(Logs__2[[#This Row],[Cell_ID]],'Registre_Maintenance'!B:B,'Registre_Maintenance'!C:C,"Pas de correspondance")</f>
        <v>Pas de correspondance</v>
      </c>
      <c r="H469" t="str">
        <f>_xlfn.XLOOKUP(Logs__2[[#This Row],[Cell_ID]],'Registre_Maintenance'!B:B,'Registre_Maintenance'!D:D,"Pas de correspondance")</f>
        <v>Pas de correspondance</v>
      </c>
      <c r="I469" t="str">
        <f>_xlfn.XLOOKUP(Logs__2[[#This Row],[Cell_ID]],'Registre_Maintenance'!B:B,'Registre_Maintenance'!E:E,"Pas de correspondance")</f>
        <v>Pas de correspondance</v>
      </c>
      <c r="J469" t="str">
        <f>_xlfn.XLOOKUP(Logs__2[[#This Row],[Cell_ID]],'Registre_Maintenance'!B:B,'Registre_Maintenance'!F:F,"Pas de correspondance")</f>
        <v>Pas de correspondance</v>
      </c>
      <c r="K469" t="str">
        <f>_xlfn.XLOOKUP(Logs__2[[#This Row],[Cell_ID]],'Registre_Maintenance'!B:B,'Registre_Maintenance'!G:G,"Pas de correspondance")</f>
        <v>Pas de correspondance</v>
      </c>
    </row>
    <row r="470" spans="1:11" x14ac:dyDescent="0.25">
      <c r="A470" s="1" t="s">
        <v>1161</v>
      </c>
      <c r="B470" s="2">
        <v>45201</v>
      </c>
      <c r="C470" s="3">
        <v>0.86736111111111114</v>
      </c>
      <c r="D470" s="1" t="s">
        <v>1077</v>
      </c>
      <c r="E470">
        <v>18</v>
      </c>
      <c r="F470" s="1" t="s">
        <v>806</v>
      </c>
      <c r="G470" t="str">
        <f>_xlfn.XLOOKUP(Logs__2[[#This Row],[Cell_ID]],'Registre_Maintenance'!B:B,'Registre_Maintenance'!C:C,"Pas de correspondance")</f>
        <v>Kongo-Central</v>
      </c>
      <c r="H470">
        <f>_xlfn.XLOOKUP(Logs__2[[#This Row],[Cell_ID]],'Registre_Maintenance'!B:B,'Registre_Maintenance'!D:D,"Pas de correspondance")</f>
        <v>-12.112399999999999</v>
      </c>
      <c r="I470">
        <f>_xlfn.XLOOKUP(Logs__2[[#This Row],[Cell_ID]],'Registre_Maintenance'!B:B,'Registre_Maintenance'!E:E,"Pas de correspondance")</f>
        <v>15.872226</v>
      </c>
      <c r="J470" t="str">
        <f>_xlfn.XLOOKUP(Logs__2[[#This Row],[Cell_ID]],'Registre_Maintenance'!B:B,'Registre_Maintenance'!F:F,"Pas de correspondance")</f>
        <v>4G</v>
      </c>
      <c r="K470" t="str">
        <f>_xlfn.XLOOKUP(Logs__2[[#This Row],[Cell_ID]],'Registre_Maintenance'!B:B,'Registre_Maintenance'!G:G,"Pas de correspondance")</f>
        <v>Nokia</v>
      </c>
    </row>
    <row r="471" spans="1:11" hidden="1" x14ac:dyDescent="0.25">
      <c r="A471" s="1" t="s">
        <v>1161</v>
      </c>
      <c r="B471" s="2">
        <v>45218</v>
      </c>
      <c r="C471" s="3">
        <v>0.36180555555555555</v>
      </c>
      <c r="D471" s="1" t="s">
        <v>850</v>
      </c>
      <c r="E471">
        <v>45</v>
      </c>
      <c r="F471" s="1" t="s">
        <v>811</v>
      </c>
      <c r="G471" t="str">
        <f>_xlfn.XLOOKUP(Logs__2[[#This Row],[Cell_ID]],'Registre_Maintenance'!B:B,'Registre_Maintenance'!C:C,"Pas de correspondance")</f>
        <v>Pas de correspondance</v>
      </c>
      <c r="H471" t="str">
        <f>_xlfn.XLOOKUP(Logs__2[[#This Row],[Cell_ID]],'Registre_Maintenance'!B:B,'Registre_Maintenance'!D:D,"Pas de correspondance")</f>
        <v>Pas de correspondance</v>
      </c>
      <c r="I471" t="str">
        <f>_xlfn.XLOOKUP(Logs__2[[#This Row],[Cell_ID]],'Registre_Maintenance'!B:B,'Registre_Maintenance'!E:E,"Pas de correspondance")</f>
        <v>Pas de correspondance</v>
      </c>
      <c r="J471" t="str">
        <f>_xlfn.XLOOKUP(Logs__2[[#This Row],[Cell_ID]],'Registre_Maintenance'!B:B,'Registre_Maintenance'!F:F,"Pas de correspondance")</f>
        <v>Pas de correspondance</v>
      </c>
      <c r="K471" t="str">
        <f>_xlfn.XLOOKUP(Logs__2[[#This Row],[Cell_ID]],'Registre_Maintenance'!B:B,'Registre_Maintenance'!G:G,"Pas de correspondance")</f>
        <v>Pas de correspondance</v>
      </c>
    </row>
    <row r="472" spans="1:11" hidden="1" x14ac:dyDescent="0.25">
      <c r="A472" s="1" t="s">
        <v>1161</v>
      </c>
      <c r="B472" s="2">
        <v>45206</v>
      </c>
      <c r="C472" s="3">
        <v>0.7680555555555556</v>
      </c>
      <c r="D472" s="1" t="s">
        <v>1188</v>
      </c>
      <c r="E472">
        <v>35</v>
      </c>
      <c r="F472" s="1" t="s">
        <v>811</v>
      </c>
      <c r="G472" t="str">
        <f>_xlfn.XLOOKUP(Logs__2[[#This Row],[Cell_ID]],'Registre_Maintenance'!B:B,'Registre_Maintenance'!C:C,"Pas de correspondance")</f>
        <v>Pas de correspondance</v>
      </c>
      <c r="H472" t="str">
        <f>_xlfn.XLOOKUP(Logs__2[[#This Row],[Cell_ID]],'Registre_Maintenance'!B:B,'Registre_Maintenance'!D:D,"Pas de correspondance")</f>
        <v>Pas de correspondance</v>
      </c>
      <c r="I472" t="str">
        <f>_xlfn.XLOOKUP(Logs__2[[#This Row],[Cell_ID]],'Registre_Maintenance'!B:B,'Registre_Maintenance'!E:E,"Pas de correspondance")</f>
        <v>Pas de correspondance</v>
      </c>
      <c r="J472" t="str">
        <f>_xlfn.XLOOKUP(Logs__2[[#This Row],[Cell_ID]],'Registre_Maintenance'!B:B,'Registre_Maintenance'!F:F,"Pas de correspondance")</f>
        <v>Pas de correspondance</v>
      </c>
      <c r="K472" t="str">
        <f>_xlfn.XLOOKUP(Logs__2[[#This Row],[Cell_ID]],'Registre_Maintenance'!B:B,'Registre_Maintenance'!G:G,"Pas de correspondance")</f>
        <v>Pas de correspondance</v>
      </c>
    </row>
    <row r="473" spans="1:11" hidden="1" x14ac:dyDescent="0.25">
      <c r="A473" s="1" t="s">
        <v>1161</v>
      </c>
      <c r="B473" s="2">
        <v>45219</v>
      </c>
      <c r="C473" s="3">
        <v>0.83402777777777781</v>
      </c>
      <c r="D473" s="1" t="s">
        <v>1189</v>
      </c>
      <c r="E473">
        <v>64</v>
      </c>
      <c r="F473" s="1" t="s">
        <v>811</v>
      </c>
      <c r="G473" t="str">
        <f>_xlfn.XLOOKUP(Logs__2[[#This Row],[Cell_ID]],'Registre_Maintenance'!B:B,'Registre_Maintenance'!C:C,"Pas de correspondance")</f>
        <v>Pas de correspondance</v>
      </c>
      <c r="H473" t="str">
        <f>_xlfn.XLOOKUP(Logs__2[[#This Row],[Cell_ID]],'Registre_Maintenance'!B:B,'Registre_Maintenance'!D:D,"Pas de correspondance")</f>
        <v>Pas de correspondance</v>
      </c>
      <c r="I473" t="str">
        <f>_xlfn.XLOOKUP(Logs__2[[#This Row],[Cell_ID]],'Registre_Maintenance'!B:B,'Registre_Maintenance'!E:E,"Pas de correspondance")</f>
        <v>Pas de correspondance</v>
      </c>
      <c r="J473" t="str">
        <f>_xlfn.XLOOKUP(Logs__2[[#This Row],[Cell_ID]],'Registre_Maintenance'!B:B,'Registre_Maintenance'!F:F,"Pas de correspondance")</f>
        <v>Pas de correspondance</v>
      </c>
      <c r="K473" t="str">
        <f>_xlfn.XLOOKUP(Logs__2[[#This Row],[Cell_ID]],'Registre_Maintenance'!B:B,'Registre_Maintenance'!G:G,"Pas de correspondance")</f>
        <v>Pas de correspondance</v>
      </c>
    </row>
    <row r="474" spans="1:11" hidden="1" x14ac:dyDescent="0.25">
      <c r="A474" s="1" t="s">
        <v>1190</v>
      </c>
      <c r="B474" s="2">
        <v>45201</v>
      </c>
      <c r="C474" s="3">
        <v>4.3055555555555555E-2</v>
      </c>
      <c r="D474" s="1" t="s">
        <v>1164</v>
      </c>
      <c r="E474">
        <v>45</v>
      </c>
      <c r="F474" s="1" t="s">
        <v>809</v>
      </c>
      <c r="G474" t="str">
        <f>_xlfn.XLOOKUP(Logs__2[[#This Row],[Cell_ID]],'Registre_Maintenance'!B:B,'Registre_Maintenance'!C:C,"Pas de correspondance")</f>
        <v>Pas de correspondance</v>
      </c>
      <c r="H474" t="str">
        <f>_xlfn.XLOOKUP(Logs__2[[#This Row],[Cell_ID]],'Registre_Maintenance'!B:B,'Registre_Maintenance'!D:D,"Pas de correspondance")</f>
        <v>Pas de correspondance</v>
      </c>
      <c r="I474" t="str">
        <f>_xlfn.XLOOKUP(Logs__2[[#This Row],[Cell_ID]],'Registre_Maintenance'!B:B,'Registre_Maintenance'!E:E,"Pas de correspondance")</f>
        <v>Pas de correspondance</v>
      </c>
      <c r="J474" t="str">
        <f>_xlfn.XLOOKUP(Logs__2[[#This Row],[Cell_ID]],'Registre_Maintenance'!B:B,'Registre_Maintenance'!F:F,"Pas de correspondance")</f>
        <v>Pas de correspondance</v>
      </c>
      <c r="K474" t="str">
        <f>_xlfn.XLOOKUP(Logs__2[[#This Row],[Cell_ID]],'Registre_Maintenance'!B:B,'Registre_Maintenance'!G:G,"Pas de correspondance")</f>
        <v>Pas de correspondance</v>
      </c>
    </row>
    <row r="475" spans="1:11" hidden="1" x14ac:dyDescent="0.25">
      <c r="A475" s="1" t="s">
        <v>1190</v>
      </c>
      <c r="B475" s="2">
        <v>45204</v>
      </c>
      <c r="C475" s="3">
        <v>0.93125000000000002</v>
      </c>
      <c r="D475" s="1" t="s">
        <v>1191</v>
      </c>
      <c r="E475">
        <v>66</v>
      </c>
      <c r="F475" s="1" t="s">
        <v>806</v>
      </c>
      <c r="G475" t="str">
        <f>_xlfn.XLOOKUP(Logs__2[[#This Row],[Cell_ID]],'Registre_Maintenance'!B:B,'Registre_Maintenance'!C:C,"Pas de correspondance")</f>
        <v>Pas de correspondance</v>
      </c>
      <c r="H475" t="str">
        <f>_xlfn.XLOOKUP(Logs__2[[#This Row],[Cell_ID]],'Registre_Maintenance'!B:B,'Registre_Maintenance'!D:D,"Pas de correspondance")</f>
        <v>Pas de correspondance</v>
      </c>
      <c r="I475" t="str">
        <f>_xlfn.XLOOKUP(Logs__2[[#This Row],[Cell_ID]],'Registre_Maintenance'!B:B,'Registre_Maintenance'!E:E,"Pas de correspondance")</f>
        <v>Pas de correspondance</v>
      </c>
      <c r="J475" t="str">
        <f>_xlfn.XLOOKUP(Logs__2[[#This Row],[Cell_ID]],'Registre_Maintenance'!B:B,'Registre_Maintenance'!F:F,"Pas de correspondance")</f>
        <v>Pas de correspondance</v>
      </c>
      <c r="K475" t="str">
        <f>_xlfn.XLOOKUP(Logs__2[[#This Row],[Cell_ID]],'Registre_Maintenance'!B:B,'Registre_Maintenance'!G:G,"Pas de correspondance")</f>
        <v>Pas de correspondance</v>
      </c>
    </row>
    <row r="476" spans="1:11" hidden="1" x14ac:dyDescent="0.25">
      <c r="A476" s="1" t="s">
        <v>1190</v>
      </c>
      <c r="B476" s="2">
        <v>45225</v>
      </c>
      <c r="C476" s="3">
        <v>0.6479166666666667</v>
      </c>
      <c r="D476" s="1" t="s">
        <v>1192</v>
      </c>
      <c r="E476">
        <v>49</v>
      </c>
      <c r="F476" s="1" t="s">
        <v>806</v>
      </c>
      <c r="G476" t="str">
        <f>_xlfn.XLOOKUP(Logs__2[[#This Row],[Cell_ID]],'Registre_Maintenance'!B:B,'Registre_Maintenance'!C:C,"Pas de correspondance")</f>
        <v>Pas de correspondance</v>
      </c>
      <c r="H476" t="str">
        <f>_xlfn.XLOOKUP(Logs__2[[#This Row],[Cell_ID]],'Registre_Maintenance'!B:B,'Registre_Maintenance'!D:D,"Pas de correspondance")</f>
        <v>Pas de correspondance</v>
      </c>
      <c r="I476" t="str">
        <f>_xlfn.XLOOKUP(Logs__2[[#This Row],[Cell_ID]],'Registre_Maintenance'!B:B,'Registre_Maintenance'!E:E,"Pas de correspondance")</f>
        <v>Pas de correspondance</v>
      </c>
      <c r="J476" t="str">
        <f>_xlfn.XLOOKUP(Logs__2[[#This Row],[Cell_ID]],'Registre_Maintenance'!B:B,'Registre_Maintenance'!F:F,"Pas de correspondance")</f>
        <v>Pas de correspondance</v>
      </c>
      <c r="K476" t="str">
        <f>_xlfn.XLOOKUP(Logs__2[[#This Row],[Cell_ID]],'Registre_Maintenance'!B:B,'Registre_Maintenance'!G:G,"Pas de correspondance")</f>
        <v>Pas de correspondance</v>
      </c>
    </row>
    <row r="477" spans="1:11" hidden="1" x14ac:dyDescent="0.25">
      <c r="A477" s="1" t="s">
        <v>1190</v>
      </c>
      <c r="B477" s="2">
        <v>45214</v>
      </c>
      <c r="C477" s="3">
        <v>0.19305555555555556</v>
      </c>
      <c r="D477" s="1" t="s">
        <v>835</v>
      </c>
      <c r="E477">
        <v>76</v>
      </c>
      <c r="F477" s="1" t="s">
        <v>811</v>
      </c>
      <c r="G477" t="str">
        <f>_xlfn.XLOOKUP(Logs__2[[#This Row],[Cell_ID]],'Registre_Maintenance'!B:B,'Registre_Maintenance'!C:C,"Pas de correspondance")</f>
        <v>Pas de correspondance</v>
      </c>
      <c r="H477" t="str">
        <f>_xlfn.XLOOKUP(Logs__2[[#This Row],[Cell_ID]],'Registre_Maintenance'!B:B,'Registre_Maintenance'!D:D,"Pas de correspondance")</f>
        <v>Pas de correspondance</v>
      </c>
      <c r="I477" t="str">
        <f>_xlfn.XLOOKUP(Logs__2[[#This Row],[Cell_ID]],'Registre_Maintenance'!B:B,'Registre_Maintenance'!E:E,"Pas de correspondance")</f>
        <v>Pas de correspondance</v>
      </c>
      <c r="J477" t="str">
        <f>_xlfn.XLOOKUP(Logs__2[[#This Row],[Cell_ID]],'Registre_Maintenance'!B:B,'Registre_Maintenance'!F:F,"Pas de correspondance")</f>
        <v>Pas de correspondance</v>
      </c>
      <c r="K477" t="str">
        <f>_xlfn.XLOOKUP(Logs__2[[#This Row],[Cell_ID]],'Registre_Maintenance'!B:B,'Registre_Maintenance'!G:G,"Pas de correspondance")</f>
        <v>Pas de correspondance</v>
      </c>
    </row>
    <row r="478" spans="1:11" hidden="1" x14ac:dyDescent="0.25">
      <c r="A478" s="1" t="s">
        <v>1190</v>
      </c>
      <c r="B478" s="2">
        <v>45228</v>
      </c>
      <c r="C478" s="3">
        <v>0.67222222222222228</v>
      </c>
      <c r="D478" s="1" t="s">
        <v>1193</v>
      </c>
      <c r="E478">
        <v>106</v>
      </c>
      <c r="F478" s="1" t="s">
        <v>806</v>
      </c>
      <c r="G478" t="str">
        <f>_xlfn.XLOOKUP(Logs__2[[#This Row],[Cell_ID]],'Registre_Maintenance'!B:B,'Registre_Maintenance'!C:C,"Pas de correspondance")</f>
        <v>Pas de correspondance</v>
      </c>
      <c r="H478" t="str">
        <f>_xlfn.XLOOKUP(Logs__2[[#This Row],[Cell_ID]],'Registre_Maintenance'!B:B,'Registre_Maintenance'!D:D,"Pas de correspondance")</f>
        <v>Pas de correspondance</v>
      </c>
      <c r="I478" t="str">
        <f>_xlfn.XLOOKUP(Logs__2[[#This Row],[Cell_ID]],'Registre_Maintenance'!B:B,'Registre_Maintenance'!E:E,"Pas de correspondance")</f>
        <v>Pas de correspondance</v>
      </c>
      <c r="J478" t="str">
        <f>_xlfn.XLOOKUP(Logs__2[[#This Row],[Cell_ID]],'Registre_Maintenance'!B:B,'Registre_Maintenance'!F:F,"Pas de correspondance")</f>
        <v>Pas de correspondance</v>
      </c>
      <c r="K478" t="str">
        <f>_xlfn.XLOOKUP(Logs__2[[#This Row],[Cell_ID]],'Registre_Maintenance'!B:B,'Registre_Maintenance'!G:G,"Pas de correspondance")</f>
        <v>Pas de correspondance</v>
      </c>
    </row>
    <row r="479" spans="1:11" hidden="1" x14ac:dyDescent="0.25">
      <c r="A479" s="1" t="s">
        <v>1190</v>
      </c>
      <c r="B479" s="2">
        <v>45210</v>
      </c>
      <c r="C479" s="3">
        <v>0.80555555555555558</v>
      </c>
      <c r="D479" s="1" t="s">
        <v>1194</v>
      </c>
      <c r="E479">
        <v>97</v>
      </c>
      <c r="F479" s="1" t="s">
        <v>806</v>
      </c>
      <c r="G479" t="str">
        <f>_xlfn.XLOOKUP(Logs__2[[#This Row],[Cell_ID]],'Registre_Maintenance'!B:B,'Registre_Maintenance'!C:C,"Pas de correspondance")</f>
        <v>Pas de correspondance</v>
      </c>
      <c r="H479" t="str">
        <f>_xlfn.XLOOKUP(Logs__2[[#This Row],[Cell_ID]],'Registre_Maintenance'!B:B,'Registre_Maintenance'!D:D,"Pas de correspondance")</f>
        <v>Pas de correspondance</v>
      </c>
      <c r="I479" t="str">
        <f>_xlfn.XLOOKUP(Logs__2[[#This Row],[Cell_ID]],'Registre_Maintenance'!B:B,'Registre_Maintenance'!E:E,"Pas de correspondance")</f>
        <v>Pas de correspondance</v>
      </c>
      <c r="J479" t="str">
        <f>_xlfn.XLOOKUP(Logs__2[[#This Row],[Cell_ID]],'Registre_Maintenance'!B:B,'Registre_Maintenance'!F:F,"Pas de correspondance")</f>
        <v>Pas de correspondance</v>
      </c>
      <c r="K479" t="str">
        <f>_xlfn.XLOOKUP(Logs__2[[#This Row],[Cell_ID]],'Registre_Maintenance'!B:B,'Registre_Maintenance'!G:G,"Pas de correspondance")</f>
        <v>Pas de correspondance</v>
      </c>
    </row>
    <row r="480" spans="1:11" x14ac:dyDescent="0.25">
      <c r="A480" s="1" t="s">
        <v>1190</v>
      </c>
      <c r="B480" s="2">
        <v>45205</v>
      </c>
      <c r="C480" s="3">
        <v>0.52708333333333335</v>
      </c>
      <c r="D480" s="1" t="s">
        <v>1195</v>
      </c>
      <c r="E480">
        <v>40</v>
      </c>
      <c r="F480" s="1" t="s">
        <v>811</v>
      </c>
      <c r="G480" t="str">
        <f>_xlfn.XLOOKUP(Logs__2[[#This Row],[Cell_ID]],'Registre_Maintenance'!B:B,'Registre_Maintenance'!C:C,"Pas de correspondance")</f>
        <v>Nord-Kivu</v>
      </c>
      <c r="H480">
        <f>_xlfn.XLOOKUP(Logs__2[[#This Row],[Cell_ID]],'Registre_Maintenance'!B:B,'Registre_Maintenance'!D:D,"Pas de correspondance")</f>
        <v>-5.42171</v>
      </c>
      <c r="I480">
        <f>_xlfn.XLOOKUP(Logs__2[[#This Row],[Cell_ID]],'Registre_Maintenance'!B:B,'Registre_Maintenance'!E:E,"Pas de correspondance")</f>
        <v>24.202960999999998</v>
      </c>
      <c r="J480" t="str">
        <f>_xlfn.XLOOKUP(Logs__2[[#This Row],[Cell_ID]],'Registre_Maintenance'!B:B,'Registre_Maintenance'!F:F,"Pas de correspondance")</f>
        <v>5G</v>
      </c>
      <c r="K480" t="str">
        <f>_xlfn.XLOOKUP(Logs__2[[#This Row],[Cell_ID]],'Registre_Maintenance'!B:B,'Registre_Maintenance'!G:G,"Pas de correspondance")</f>
        <v>Ericsson</v>
      </c>
    </row>
    <row r="481" spans="1:11" x14ac:dyDescent="0.25">
      <c r="A481" s="1" t="s">
        <v>1190</v>
      </c>
      <c r="B481" s="2">
        <v>45223</v>
      </c>
      <c r="C481" s="3">
        <v>0.40069444444444446</v>
      </c>
      <c r="D481" s="1" t="s">
        <v>1120</v>
      </c>
      <c r="E481">
        <v>41</v>
      </c>
      <c r="F481" s="1" t="s">
        <v>811</v>
      </c>
      <c r="G481" t="str">
        <f>_xlfn.XLOOKUP(Logs__2[[#This Row],[Cell_ID]],'Registre_Maintenance'!B:B,'Registre_Maintenance'!C:C,"Pas de correspondance")</f>
        <v>Mongala</v>
      </c>
      <c r="H481">
        <f>_xlfn.XLOOKUP(Logs__2[[#This Row],[Cell_ID]],'Registre_Maintenance'!B:B,'Registre_Maintenance'!D:D,"Pas de correspondance")</f>
        <v>-1.231033</v>
      </c>
      <c r="I481">
        <f>_xlfn.XLOOKUP(Logs__2[[#This Row],[Cell_ID]],'Registre_Maintenance'!B:B,'Registre_Maintenance'!E:E,"Pas de correspondance")</f>
        <v>28.851388</v>
      </c>
      <c r="J481" t="str">
        <f>_xlfn.XLOOKUP(Logs__2[[#This Row],[Cell_ID]],'Registre_Maintenance'!B:B,'Registre_Maintenance'!F:F,"Pas de correspondance")</f>
        <v>3G</v>
      </c>
      <c r="K481" t="str">
        <f>_xlfn.XLOOKUP(Logs__2[[#This Row],[Cell_ID]],'Registre_Maintenance'!B:B,'Registre_Maintenance'!G:G,"Pas de correspondance")</f>
        <v>Ericsson</v>
      </c>
    </row>
    <row r="482" spans="1:11" x14ac:dyDescent="0.25">
      <c r="A482" s="1" t="s">
        <v>1190</v>
      </c>
      <c r="B482" s="2">
        <v>45210</v>
      </c>
      <c r="C482" s="3">
        <v>0.70347222222222228</v>
      </c>
      <c r="D482" s="1" t="s">
        <v>1196</v>
      </c>
      <c r="E482">
        <v>20</v>
      </c>
      <c r="F482" s="1" t="s">
        <v>806</v>
      </c>
      <c r="G482" t="str">
        <f>_xlfn.XLOOKUP(Logs__2[[#This Row],[Cell_ID]],'Registre_Maintenance'!B:B,'Registre_Maintenance'!C:C,"Pas de correspondance")</f>
        <v>Equateur</v>
      </c>
      <c r="H482">
        <f>_xlfn.XLOOKUP(Logs__2[[#This Row],[Cell_ID]],'Registre_Maintenance'!B:B,'Registre_Maintenance'!D:D,"Pas de correspondance")</f>
        <v>-0.79459900000000006</v>
      </c>
      <c r="I482">
        <f>_xlfn.XLOOKUP(Logs__2[[#This Row],[Cell_ID]],'Registre_Maintenance'!B:B,'Registre_Maintenance'!E:E,"Pas de correspondance")</f>
        <v>26.775570999999999</v>
      </c>
      <c r="J482" t="str">
        <f>_xlfn.XLOOKUP(Logs__2[[#This Row],[Cell_ID]],'Registre_Maintenance'!B:B,'Registre_Maintenance'!F:F,"Pas de correspondance")</f>
        <v>5G</v>
      </c>
      <c r="K482" t="str">
        <f>_xlfn.XLOOKUP(Logs__2[[#This Row],[Cell_ID]],'Registre_Maintenance'!B:B,'Registre_Maintenance'!G:G,"Pas de correspondance")</f>
        <v>Huawei</v>
      </c>
    </row>
    <row r="483" spans="1:11" x14ac:dyDescent="0.25">
      <c r="A483" s="1" t="s">
        <v>1190</v>
      </c>
      <c r="B483" s="2">
        <v>45216</v>
      </c>
      <c r="C483" s="3">
        <v>0.72986111111111107</v>
      </c>
      <c r="D483" s="1" t="s">
        <v>990</v>
      </c>
      <c r="E483">
        <v>78</v>
      </c>
      <c r="F483" s="1" t="s">
        <v>809</v>
      </c>
      <c r="G483" t="str">
        <f>_xlfn.XLOOKUP(Logs__2[[#This Row],[Cell_ID]],'Registre_Maintenance'!B:B,'Registre_Maintenance'!C:C,"Pas de correspondance")</f>
        <v>Lualaba</v>
      </c>
      <c r="H483">
        <f>_xlfn.XLOOKUP(Logs__2[[#This Row],[Cell_ID]],'Registre_Maintenance'!B:B,'Registre_Maintenance'!D:D,"Pas de correspondance")</f>
        <v>-9.5243310000000001</v>
      </c>
      <c r="I483">
        <f>_xlfn.XLOOKUP(Logs__2[[#This Row],[Cell_ID]],'Registre_Maintenance'!B:B,'Registre_Maintenance'!E:E,"Pas de correspondance")</f>
        <v>30.541212000000002</v>
      </c>
      <c r="J483" t="str">
        <f>_xlfn.XLOOKUP(Logs__2[[#This Row],[Cell_ID]],'Registre_Maintenance'!B:B,'Registre_Maintenance'!F:F,"Pas de correspondance")</f>
        <v>3G</v>
      </c>
      <c r="K483" t="str">
        <f>_xlfn.XLOOKUP(Logs__2[[#This Row],[Cell_ID]],'Registre_Maintenance'!B:B,'Registre_Maintenance'!G:G,"Pas de correspondance")</f>
        <v>Ericsson</v>
      </c>
    </row>
    <row r="484" spans="1:11" x14ac:dyDescent="0.25">
      <c r="A484" s="1" t="s">
        <v>1190</v>
      </c>
      <c r="B484" s="2">
        <v>45222</v>
      </c>
      <c r="C484" s="3">
        <v>0.7631944444444444</v>
      </c>
      <c r="D484" s="1" t="s">
        <v>975</v>
      </c>
      <c r="E484">
        <v>91</v>
      </c>
      <c r="F484" s="1" t="s">
        <v>811</v>
      </c>
      <c r="G484" t="str">
        <f>_xlfn.XLOOKUP(Logs__2[[#This Row],[Cell_ID]],'Registre_Maintenance'!B:B,'Registre_Maintenance'!C:C,"Pas de correspondance")</f>
        <v>Bas-Uele</v>
      </c>
      <c r="H484">
        <f>_xlfn.XLOOKUP(Logs__2[[#This Row],[Cell_ID]],'Registre_Maintenance'!B:B,'Registre_Maintenance'!D:D,"Pas de correspondance")</f>
        <v>-3.6945459999999999</v>
      </c>
      <c r="I484">
        <f>_xlfn.XLOOKUP(Logs__2[[#This Row],[Cell_ID]],'Registre_Maintenance'!B:B,'Registre_Maintenance'!E:E,"Pas de correspondance")</f>
        <v>16.809108999999999</v>
      </c>
      <c r="J484" t="str">
        <f>_xlfn.XLOOKUP(Logs__2[[#This Row],[Cell_ID]],'Registre_Maintenance'!B:B,'Registre_Maintenance'!F:F,"Pas de correspondance")</f>
        <v>5G</v>
      </c>
      <c r="K484" t="str">
        <f>_xlfn.XLOOKUP(Logs__2[[#This Row],[Cell_ID]],'Registre_Maintenance'!B:B,'Registre_Maintenance'!G:G,"Pas de correspondance")</f>
        <v>ZTE</v>
      </c>
    </row>
    <row r="485" spans="1:11" x14ac:dyDescent="0.25">
      <c r="A485" s="1" t="s">
        <v>1190</v>
      </c>
      <c r="B485" s="2">
        <v>45215</v>
      </c>
      <c r="C485" s="3">
        <v>1.5972222222222221E-2</v>
      </c>
      <c r="D485" s="1" t="s">
        <v>1197</v>
      </c>
      <c r="E485">
        <v>74</v>
      </c>
      <c r="F485" s="1" t="s">
        <v>806</v>
      </c>
      <c r="G485" t="str">
        <f>_xlfn.XLOOKUP(Logs__2[[#This Row],[Cell_ID]],'Registre_Maintenance'!B:B,'Registre_Maintenance'!C:C,"Pas de correspondance")</f>
        <v>Kasaï-Central</v>
      </c>
      <c r="H485">
        <f>_xlfn.XLOOKUP(Logs__2[[#This Row],[Cell_ID]],'Registre_Maintenance'!B:B,'Registre_Maintenance'!D:D,"Pas de correspondance")</f>
        <v>-5.8352820000000003</v>
      </c>
      <c r="I485">
        <f>_xlfn.XLOOKUP(Logs__2[[#This Row],[Cell_ID]],'Registre_Maintenance'!B:B,'Registre_Maintenance'!E:E,"Pas de correspondance")</f>
        <v>26.603978000000001</v>
      </c>
      <c r="J485" t="str">
        <f>_xlfn.XLOOKUP(Logs__2[[#This Row],[Cell_ID]],'Registre_Maintenance'!B:B,'Registre_Maintenance'!F:F,"Pas de correspondance")</f>
        <v>4G</v>
      </c>
      <c r="K485" t="str">
        <f>_xlfn.XLOOKUP(Logs__2[[#This Row],[Cell_ID]],'Registre_Maintenance'!B:B,'Registre_Maintenance'!G:G,"Pas de correspondance")</f>
        <v>Huawei</v>
      </c>
    </row>
    <row r="486" spans="1:11" x14ac:dyDescent="0.25">
      <c r="A486" s="1" t="s">
        <v>1190</v>
      </c>
      <c r="B486" s="2">
        <v>45210</v>
      </c>
      <c r="C486" s="3">
        <v>0.87986111111111109</v>
      </c>
      <c r="D486" s="1" t="s">
        <v>1198</v>
      </c>
      <c r="E486">
        <v>53</v>
      </c>
      <c r="F486" s="1" t="s">
        <v>806</v>
      </c>
      <c r="G486" t="str">
        <f>_xlfn.XLOOKUP(Logs__2[[#This Row],[Cell_ID]],'Registre_Maintenance'!B:B,'Registre_Maintenance'!C:C,"Pas de correspondance")</f>
        <v>Lomami</v>
      </c>
      <c r="H486">
        <f>_xlfn.XLOOKUP(Logs__2[[#This Row],[Cell_ID]],'Registre_Maintenance'!B:B,'Registre_Maintenance'!D:D,"Pas de correspondance")</f>
        <v>-7.8770429999999996</v>
      </c>
      <c r="I486">
        <f>_xlfn.XLOOKUP(Logs__2[[#This Row],[Cell_ID]],'Registre_Maintenance'!B:B,'Registre_Maintenance'!E:E,"Pas de correspondance")</f>
        <v>16.357762999999998</v>
      </c>
      <c r="J486" t="str">
        <f>_xlfn.XLOOKUP(Logs__2[[#This Row],[Cell_ID]],'Registre_Maintenance'!B:B,'Registre_Maintenance'!F:F,"Pas de correspondance")</f>
        <v>4G</v>
      </c>
      <c r="K486" t="str">
        <f>_xlfn.XLOOKUP(Logs__2[[#This Row],[Cell_ID]],'Registre_Maintenance'!B:B,'Registre_Maintenance'!G:G,"Pas de correspondance")</f>
        <v>Ericsson</v>
      </c>
    </row>
    <row r="487" spans="1:11" x14ac:dyDescent="0.25">
      <c r="A487" s="1" t="s">
        <v>1190</v>
      </c>
      <c r="B487" s="2">
        <v>45213</v>
      </c>
      <c r="C487" s="3">
        <v>0.7631944444444444</v>
      </c>
      <c r="D487" s="1" t="s">
        <v>1196</v>
      </c>
      <c r="E487">
        <v>119</v>
      </c>
      <c r="F487" s="1" t="s">
        <v>811</v>
      </c>
      <c r="G487" t="str">
        <f>_xlfn.XLOOKUP(Logs__2[[#This Row],[Cell_ID]],'Registre_Maintenance'!B:B,'Registre_Maintenance'!C:C,"Pas de correspondance")</f>
        <v>Equateur</v>
      </c>
      <c r="H487">
        <f>_xlfn.XLOOKUP(Logs__2[[#This Row],[Cell_ID]],'Registre_Maintenance'!B:B,'Registre_Maintenance'!D:D,"Pas de correspondance")</f>
        <v>-0.79459900000000006</v>
      </c>
      <c r="I487">
        <f>_xlfn.XLOOKUP(Logs__2[[#This Row],[Cell_ID]],'Registre_Maintenance'!B:B,'Registre_Maintenance'!E:E,"Pas de correspondance")</f>
        <v>26.775570999999999</v>
      </c>
      <c r="J487" t="str">
        <f>_xlfn.XLOOKUP(Logs__2[[#This Row],[Cell_ID]],'Registre_Maintenance'!B:B,'Registre_Maintenance'!F:F,"Pas de correspondance")</f>
        <v>5G</v>
      </c>
      <c r="K487" t="str">
        <f>_xlfn.XLOOKUP(Logs__2[[#This Row],[Cell_ID]],'Registre_Maintenance'!B:B,'Registre_Maintenance'!G:G,"Pas de correspondance")</f>
        <v>Huawei</v>
      </c>
    </row>
    <row r="488" spans="1:11" hidden="1" x14ac:dyDescent="0.25">
      <c r="A488" s="1" t="s">
        <v>1190</v>
      </c>
      <c r="B488" s="2">
        <v>45225</v>
      </c>
      <c r="C488" s="3">
        <v>0.99652777777777779</v>
      </c>
      <c r="D488" s="1" t="s">
        <v>1016</v>
      </c>
      <c r="E488">
        <v>55</v>
      </c>
      <c r="F488" s="1" t="s">
        <v>809</v>
      </c>
      <c r="G488" t="str">
        <f>_xlfn.XLOOKUP(Logs__2[[#This Row],[Cell_ID]],'Registre_Maintenance'!B:B,'Registre_Maintenance'!C:C,"Pas de correspondance")</f>
        <v>Pas de correspondance</v>
      </c>
      <c r="H488" t="str">
        <f>_xlfn.XLOOKUP(Logs__2[[#This Row],[Cell_ID]],'Registre_Maintenance'!B:B,'Registre_Maintenance'!D:D,"Pas de correspondance")</f>
        <v>Pas de correspondance</v>
      </c>
      <c r="I488" t="str">
        <f>_xlfn.XLOOKUP(Logs__2[[#This Row],[Cell_ID]],'Registre_Maintenance'!B:B,'Registre_Maintenance'!E:E,"Pas de correspondance")</f>
        <v>Pas de correspondance</v>
      </c>
      <c r="J488" t="str">
        <f>_xlfn.XLOOKUP(Logs__2[[#This Row],[Cell_ID]],'Registre_Maintenance'!B:B,'Registre_Maintenance'!F:F,"Pas de correspondance")</f>
        <v>Pas de correspondance</v>
      </c>
      <c r="K488" t="str">
        <f>_xlfn.XLOOKUP(Logs__2[[#This Row],[Cell_ID]],'Registre_Maintenance'!B:B,'Registre_Maintenance'!G:G,"Pas de correspondance")</f>
        <v>Pas de correspondance</v>
      </c>
    </row>
    <row r="489" spans="1:11" x14ac:dyDescent="0.25">
      <c r="A489" s="1" t="s">
        <v>1190</v>
      </c>
      <c r="B489" s="2">
        <v>45222</v>
      </c>
      <c r="C489" s="3">
        <v>0.83402777777777781</v>
      </c>
      <c r="D489" s="1" t="s">
        <v>869</v>
      </c>
      <c r="E489">
        <v>109</v>
      </c>
      <c r="F489" s="1" t="s">
        <v>809</v>
      </c>
      <c r="G489" t="str">
        <f>_xlfn.XLOOKUP(Logs__2[[#This Row],[Cell_ID]],'Registre_Maintenance'!B:B,'Registre_Maintenance'!C:C,"Pas de correspondance")</f>
        <v>Haut-Katanga</v>
      </c>
      <c r="H489">
        <f>_xlfn.XLOOKUP(Logs__2[[#This Row],[Cell_ID]],'Registre_Maintenance'!B:B,'Registre_Maintenance'!D:D,"Pas de correspondance")</f>
        <v>-2.9417719999999998</v>
      </c>
      <c r="I489">
        <f>_xlfn.XLOOKUP(Logs__2[[#This Row],[Cell_ID]],'Registre_Maintenance'!B:B,'Registre_Maintenance'!E:E,"Pas de correspondance")</f>
        <v>18.587305000000001</v>
      </c>
      <c r="J489" t="str">
        <f>_xlfn.XLOOKUP(Logs__2[[#This Row],[Cell_ID]],'Registre_Maintenance'!B:B,'Registre_Maintenance'!F:F,"Pas de correspondance")</f>
        <v>5G</v>
      </c>
      <c r="K489" t="str">
        <f>_xlfn.XLOOKUP(Logs__2[[#This Row],[Cell_ID]],'Registre_Maintenance'!B:B,'Registre_Maintenance'!G:G,"Pas de correspondance")</f>
        <v>Ericsson</v>
      </c>
    </row>
    <row r="490" spans="1:11" hidden="1" x14ac:dyDescent="0.25">
      <c r="A490" s="1" t="s">
        <v>1190</v>
      </c>
      <c r="B490" s="2">
        <v>45219</v>
      </c>
      <c r="C490" s="3">
        <v>0.63611111111111107</v>
      </c>
      <c r="D490" s="1" t="s">
        <v>1018</v>
      </c>
      <c r="E490">
        <v>49</v>
      </c>
      <c r="F490" s="1" t="s">
        <v>806</v>
      </c>
      <c r="G490" t="str">
        <f>_xlfn.XLOOKUP(Logs__2[[#This Row],[Cell_ID]],'Registre_Maintenance'!B:B,'Registre_Maintenance'!C:C,"Pas de correspondance")</f>
        <v>Pas de correspondance</v>
      </c>
      <c r="H490" t="str">
        <f>_xlfn.XLOOKUP(Logs__2[[#This Row],[Cell_ID]],'Registre_Maintenance'!B:B,'Registre_Maintenance'!D:D,"Pas de correspondance")</f>
        <v>Pas de correspondance</v>
      </c>
      <c r="I490" t="str">
        <f>_xlfn.XLOOKUP(Logs__2[[#This Row],[Cell_ID]],'Registre_Maintenance'!B:B,'Registre_Maintenance'!E:E,"Pas de correspondance")</f>
        <v>Pas de correspondance</v>
      </c>
      <c r="J490" t="str">
        <f>_xlfn.XLOOKUP(Logs__2[[#This Row],[Cell_ID]],'Registre_Maintenance'!B:B,'Registre_Maintenance'!F:F,"Pas de correspondance")</f>
        <v>Pas de correspondance</v>
      </c>
      <c r="K490" t="str">
        <f>_xlfn.XLOOKUP(Logs__2[[#This Row],[Cell_ID]],'Registre_Maintenance'!B:B,'Registre_Maintenance'!G:G,"Pas de correspondance")</f>
        <v>Pas de correspondance</v>
      </c>
    </row>
    <row r="491" spans="1:11" x14ac:dyDescent="0.25">
      <c r="A491" s="1" t="s">
        <v>1190</v>
      </c>
      <c r="B491" s="2">
        <v>45230</v>
      </c>
      <c r="C491" s="3">
        <v>0.86805555555555558</v>
      </c>
      <c r="D491" s="1" t="s">
        <v>1199</v>
      </c>
      <c r="E491">
        <v>103</v>
      </c>
      <c r="F491" s="1" t="s">
        <v>811</v>
      </c>
      <c r="G491" t="str">
        <f>_xlfn.XLOOKUP(Logs__2[[#This Row],[Cell_ID]],'Registre_Maintenance'!B:B,'Registre_Maintenance'!C:C,"Pas de correspondance")</f>
        <v>Bas-Uele</v>
      </c>
      <c r="H491">
        <f>_xlfn.XLOOKUP(Logs__2[[#This Row],[Cell_ID]],'Registre_Maintenance'!B:B,'Registre_Maintenance'!D:D,"Pas de correspondance")</f>
        <v>-2.8532869999999999</v>
      </c>
      <c r="I491">
        <f>_xlfn.XLOOKUP(Logs__2[[#This Row],[Cell_ID]],'Registre_Maintenance'!B:B,'Registre_Maintenance'!E:E,"Pas de correspondance")</f>
        <v>22.117896000000002</v>
      </c>
      <c r="J491" t="str">
        <f>_xlfn.XLOOKUP(Logs__2[[#This Row],[Cell_ID]],'Registre_Maintenance'!B:B,'Registre_Maintenance'!F:F,"Pas de correspondance")</f>
        <v>5G</v>
      </c>
      <c r="K491" t="str">
        <f>_xlfn.XLOOKUP(Logs__2[[#This Row],[Cell_ID]],'Registre_Maintenance'!B:B,'Registre_Maintenance'!G:G,"Pas de correspondance")</f>
        <v>Huawei</v>
      </c>
    </row>
    <row r="492" spans="1:11" hidden="1" x14ac:dyDescent="0.25">
      <c r="A492" s="1" t="s">
        <v>1190</v>
      </c>
      <c r="B492" s="2">
        <v>45224</v>
      </c>
      <c r="C492" s="3">
        <v>0.77500000000000002</v>
      </c>
      <c r="D492" s="1" t="s">
        <v>1200</v>
      </c>
      <c r="E492">
        <v>107</v>
      </c>
      <c r="F492" s="1" t="s">
        <v>811</v>
      </c>
      <c r="G492" t="str">
        <f>_xlfn.XLOOKUP(Logs__2[[#This Row],[Cell_ID]],'Registre_Maintenance'!B:B,'Registre_Maintenance'!C:C,"Pas de correspondance")</f>
        <v>Pas de correspondance</v>
      </c>
      <c r="H492" t="str">
        <f>_xlfn.XLOOKUP(Logs__2[[#This Row],[Cell_ID]],'Registre_Maintenance'!B:B,'Registre_Maintenance'!D:D,"Pas de correspondance")</f>
        <v>Pas de correspondance</v>
      </c>
      <c r="I492" t="str">
        <f>_xlfn.XLOOKUP(Logs__2[[#This Row],[Cell_ID]],'Registre_Maintenance'!B:B,'Registre_Maintenance'!E:E,"Pas de correspondance")</f>
        <v>Pas de correspondance</v>
      </c>
      <c r="J492" t="str">
        <f>_xlfn.XLOOKUP(Logs__2[[#This Row],[Cell_ID]],'Registre_Maintenance'!B:B,'Registre_Maintenance'!F:F,"Pas de correspondance")</f>
        <v>Pas de correspondance</v>
      </c>
      <c r="K492" t="str">
        <f>_xlfn.XLOOKUP(Logs__2[[#This Row],[Cell_ID]],'Registre_Maintenance'!B:B,'Registre_Maintenance'!G:G,"Pas de correspondance")</f>
        <v>Pas de correspondance</v>
      </c>
    </row>
    <row r="493" spans="1:11" x14ac:dyDescent="0.25">
      <c r="A493" s="1" t="s">
        <v>1190</v>
      </c>
      <c r="B493" s="2">
        <v>45207</v>
      </c>
      <c r="C493" s="3">
        <v>0.9604166666666667</v>
      </c>
      <c r="D493" s="1" t="s">
        <v>974</v>
      </c>
      <c r="E493">
        <v>23</v>
      </c>
      <c r="F493" s="1" t="s">
        <v>811</v>
      </c>
      <c r="G493" t="str">
        <f>_xlfn.XLOOKUP(Logs__2[[#This Row],[Cell_ID]],'Registre_Maintenance'!B:B,'Registre_Maintenance'!C:C,"Pas de correspondance")</f>
        <v>Nord-Kivu</v>
      </c>
      <c r="H493">
        <f>_xlfn.XLOOKUP(Logs__2[[#This Row],[Cell_ID]],'Registre_Maintenance'!B:B,'Registre_Maintenance'!D:D,"Pas de correspondance")</f>
        <v>-12.336202</v>
      </c>
      <c r="I493">
        <f>_xlfn.XLOOKUP(Logs__2[[#This Row],[Cell_ID]],'Registre_Maintenance'!B:B,'Registre_Maintenance'!E:E,"Pas de correspondance")</f>
        <v>13.693683999999999</v>
      </c>
      <c r="J493" t="str">
        <f>_xlfn.XLOOKUP(Logs__2[[#This Row],[Cell_ID]],'Registre_Maintenance'!B:B,'Registre_Maintenance'!F:F,"Pas de correspondance")</f>
        <v>5G</v>
      </c>
      <c r="K493" t="str">
        <f>_xlfn.XLOOKUP(Logs__2[[#This Row],[Cell_ID]],'Registre_Maintenance'!B:B,'Registre_Maintenance'!G:G,"Pas de correspondance")</f>
        <v>Huawei</v>
      </c>
    </row>
    <row r="494" spans="1:11" hidden="1" x14ac:dyDescent="0.25">
      <c r="A494" s="1" t="s">
        <v>1190</v>
      </c>
      <c r="B494" s="2">
        <v>45218</v>
      </c>
      <c r="C494" s="3">
        <v>0.63194444444444442</v>
      </c>
      <c r="D494" s="1" t="s">
        <v>843</v>
      </c>
      <c r="E494">
        <v>42</v>
      </c>
      <c r="F494" s="1" t="s">
        <v>809</v>
      </c>
      <c r="G494" t="str">
        <f>_xlfn.XLOOKUP(Logs__2[[#This Row],[Cell_ID]],'Registre_Maintenance'!B:B,'Registre_Maintenance'!C:C,"Pas de correspondance")</f>
        <v>Pas de correspondance</v>
      </c>
      <c r="H494" t="str">
        <f>_xlfn.XLOOKUP(Logs__2[[#This Row],[Cell_ID]],'Registre_Maintenance'!B:B,'Registre_Maintenance'!D:D,"Pas de correspondance")</f>
        <v>Pas de correspondance</v>
      </c>
      <c r="I494" t="str">
        <f>_xlfn.XLOOKUP(Logs__2[[#This Row],[Cell_ID]],'Registre_Maintenance'!B:B,'Registre_Maintenance'!E:E,"Pas de correspondance")</f>
        <v>Pas de correspondance</v>
      </c>
      <c r="J494" t="str">
        <f>_xlfn.XLOOKUP(Logs__2[[#This Row],[Cell_ID]],'Registre_Maintenance'!B:B,'Registre_Maintenance'!F:F,"Pas de correspondance")</f>
        <v>Pas de correspondance</v>
      </c>
      <c r="K494" t="str">
        <f>_xlfn.XLOOKUP(Logs__2[[#This Row],[Cell_ID]],'Registre_Maintenance'!B:B,'Registre_Maintenance'!G:G,"Pas de correspondance")</f>
        <v>Pas de correspondance</v>
      </c>
    </row>
    <row r="495" spans="1:11" x14ac:dyDescent="0.25">
      <c r="A495" s="1" t="s">
        <v>1190</v>
      </c>
      <c r="B495" s="2">
        <v>45216</v>
      </c>
      <c r="C495" s="3">
        <v>0.86527777777777781</v>
      </c>
      <c r="D495" s="1" t="s">
        <v>1201</v>
      </c>
      <c r="E495">
        <v>10</v>
      </c>
      <c r="F495" s="1" t="s">
        <v>809</v>
      </c>
      <c r="G495" t="str">
        <f>_xlfn.XLOOKUP(Logs__2[[#This Row],[Cell_ID]],'Registre_Maintenance'!B:B,'Registre_Maintenance'!C:C,"Pas de correspondance")</f>
        <v>Kasaï-Oriental</v>
      </c>
      <c r="H495">
        <f>_xlfn.XLOOKUP(Logs__2[[#This Row],[Cell_ID]],'Registre_Maintenance'!B:B,'Registre_Maintenance'!D:D,"Pas de correspondance")</f>
        <v>-1.648326</v>
      </c>
      <c r="I495">
        <f>_xlfn.XLOOKUP(Logs__2[[#This Row],[Cell_ID]],'Registre_Maintenance'!B:B,'Registre_Maintenance'!E:E,"Pas de correspondance")</f>
        <v>25.528901999999999</v>
      </c>
      <c r="J495" t="str">
        <f>_xlfn.XLOOKUP(Logs__2[[#This Row],[Cell_ID]],'Registre_Maintenance'!B:B,'Registre_Maintenance'!F:F,"Pas de correspondance")</f>
        <v>4G</v>
      </c>
      <c r="K495" t="str">
        <f>_xlfn.XLOOKUP(Logs__2[[#This Row],[Cell_ID]],'Registre_Maintenance'!B:B,'Registre_Maintenance'!G:G,"Pas de correspondance")</f>
        <v>Huawei</v>
      </c>
    </row>
    <row r="496" spans="1:11" hidden="1" x14ac:dyDescent="0.25">
      <c r="A496" s="1" t="s">
        <v>1190</v>
      </c>
      <c r="B496" s="2">
        <v>45219</v>
      </c>
      <c r="C496" s="3">
        <v>0.50624999999999998</v>
      </c>
      <c r="D496" s="1" t="s">
        <v>949</v>
      </c>
      <c r="E496">
        <v>41</v>
      </c>
      <c r="F496" s="1" t="s">
        <v>809</v>
      </c>
      <c r="G496" t="str">
        <f>_xlfn.XLOOKUP(Logs__2[[#This Row],[Cell_ID]],'Registre_Maintenance'!B:B,'Registre_Maintenance'!C:C,"Pas de correspondance")</f>
        <v>Pas de correspondance</v>
      </c>
      <c r="H496" t="str">
        <f>_xlfn.XLOOKUP(Logs__2[[#This Row],[Cell_ID]],'Registre_Maintenance'!B:B,'Registre_Maintenance'!D:D,"Pas de correspondance")</f>
        <v>Pas de correspondance</v>
      </c>
      <c r="I496" t="str">
        <f>_xlfn.XLOOKUP(Logs__2[[#This Row],[Cell_ID]],'Registre_Maintenance'!B:B,'Registre_Maintenance'!E:E,"Pas de correspondance")</f>
        <v>Pas de correspondance</v>
      </c>
      <c r="J496" t="str">
        <f>_xlfn.XLOOKUP(Logs__2[[#This Row],[Cell_ID]],'Registre_Maintenance'!B:B,'Registre_Maintenance'!F:F,"Pas de correspondance")</f>
        <v>Pas de correspondance</v>
      </c>
      <c r="K496" t="str">
        <f>_xlfn.XLOOKUP(Logs__2[[#This Row],[Cell_ID]],'Registre_Maintenance'!B:B,'Registre_Maintenance'!G:G,"Pas de correspondance")</f>
        <v>Pas de correspondance</v>
      </c>
    </row>
    <row r="497" spans="1:11" hidden="1" x14ac:dyDescent="0.25">
      <c r="A497" s="1" t="s">
        <v>1190</v>
      </c>
      <c r="B497" s="2">
        <v>45226</v>
      </c>
      <c r="C497" s="3">
        <v>0.88541666666666663</v>
      </c>
      <c r="D497" s="1" t="s">
        <v>1202</v>
      </c>
      <c r="E497">
        <v>96</v>
      </c>
      <c r="F497" s="1" t="s">
        <v>811</v>
      </c>
      <c r="G497" t="str">
        <f>_xlfn.XLOOKUP(Logs__2[[#This Row],[Cell_ID]],'Registre_Maintenance'!B:B,'Registre_Maintenance'!C:C,"Pas de correspondance")</f>
        <v>Pas de correspondance</v>
      </c>
      <c r="H497" t="str">
        <f>_xlfn.XLOOKUP(Logs__2[[#This Row],[Cell_ID]],'Registre_Maintenance'!B:B,'Registre_Maintenance'!D:D,"Pas de correspondance")</f>
        <v>Pas de correspondance</v>
      </c>
      <c r="I497" t="str">
        <f>_xlfn.XLOOKUP(Logs__2[[#This Row],[Cell_ID]],'Registre_Maintenance'!B:B,'Registre_Maintenance'!E:E,"Pas de correspondance")</f>
        <v>Pas de correspondance</v>
      </c>
      <c r="J497" t="str">
        <f>_xlfn.XLOOKUP(Logs__2[[#This Row],[Cell_ID]],'Registre_Maintenance'!B:B,'Registre_Maintenance'!F:F,"Pas de correspondance")</f>
        <v>Pas de correspondance</v>
      </c>
      <c r="K497" t="str">
        <f>_xlfn.XLOOKUP(Logs__2[[#This Row],[Cell_ID]],'Registre_Maintenance'!B:B,'Registre_Maintenance'!G:G,"Pas de correspondance")</f>
        <v>Pas de correspondance</v>
      </c>
    </row>
    <row r="498" spans="1:11" hidden="1" x14ac:dyDescent="0.25">
      <c r="A498" s="1" t="s">
        <v>1190</v>
      </c>
      <c r="B498" s="2">
        <v>45201</v>
      </c>
      <c r="C498" s="3">
        <v>0.78055555555555556</v>
      </c>
      <c r="D498" s="1" t="s">
        <v>1203</v>
      </c>
      <c r="E498">
        <v>15</v>
      </c>
      <c r="F498" s="1" t="s">
        <v>806</v>
      </c>
      <c r="G498" t="str">
        <f>_xlfn.XLOOKUP(Logs__2[[#This Row],[Cell_ID]],'Registre_Maintenance'!B:B,'Registre_Maintenance'!C:C,"Pas de correspondance")</f>
        <v>Pas de correspondance</v>
      </c>
      <c r="H498" t="str">
        <f>_xlfn.XLOOKUP(Logs__2[[#This Row],[Cell_ID]],'Registre_Maintenance'!B:B,'Registre_Maintenance'!D:D,"Pas de correspondance")</f>
        <v>Pas de correspondance</v>
      </c>
      <c r="I498" t="str">
        <f>_xlfn.XLOOKUP(Logs__2[[#This Row],[Cell_ID]],'Registre_Maintenance'!B:B,'Registre_Maintenance'!E:E,"Pas de correspondance")</f>
        <v>Pas de correspondance</v>
      </c>
      <c r="J498" t="str">
        <f>_xlfn.XLOOKUP(Logs__2[[#This Row],[Cell_ID]],'Registre_Maintenance'!B:B,'Registre_Maintenance'!F:F,"Pas de correspondance")</f>
        <v>Pas de correspondance</v>
      </c>
      <c r="K498" t="str">
        <f>_xlfn.XLOOKUP(Logs__2[[#This Row],[Cell_ID]],'Registre_Maintenance'!B:B,'Registre_Maintenance'!G:G,"Pas de correspondance")</f>
        <v>Pas de correspondance</v>
      </c>
    </row>
    <row r="499" spans="1:11" hidden="1" x14ac:dyDescent="0.25">
      <c r="A499" s="1" t="s">
        <v>1190</v>
      </c>
      <c r="B499" s="2">
        <v>45203</v>
      </c>
      <c r="C499" s="3">
        <v>0.25069444444444444</v>
      </c>
      <c r="D499" s="1" t="s">
        <v>937</v>
      </c>
      <c r="E499">
        <v>49</v>
      </c>
      <c r="F499" s="1" t="s">
        <v>809</v>
      </c>
      <c r="G499" t="str">
        <f>_xlfn.XLOOKUP(Logs__2[[#This Row],[Cell_ID]],'Registre_Maintenance'!B:B,'Registre_Maintenance'!C:C,"Pas de correspondance")</f>
        <v>Pas de correspondance</v>
      </c>
      <c r="H499" t="str">
        <f>_xlfn.XLOOKUP(Logs__2[[#This Row],[Cell_ID]],'Registre_Maintenance'!B:B,'Registre_Maintenance'!D:D,"Pas de correspondance")</f>
        <v>Pas de correspondance</v>
      </c>
      <c r="I499" t="str">
        <f>_xlfn.XLOOKUP(Logs__2[[#This Row],[Cell_ID]],'Registre_Maintenance'!B:B,'Registre_Maintenance'!E:E,"Pas de correspondance")</f>
        <v>Pas de correspondance</v>
      </c>
      <c r="J499" t="str">
        <f>_xlfn.XLOOKUP(Logs__2[[#This Row],[Cell_ID]],'Registre_Maintenance'!B:B,'Registre_Maintenance'!F:F,"Pas de correspondance")</f>
        <v>Pas de correspondance</v>
      </c>
      <c r="K499" t="str">
        <f>_xlfn.XLOOKUP(Logs__2[[#This Row],[Cell_ID]],'Registre_Maintenance'!B:B,'Registre_Maintenance'!G:G,"Pas de correspondance")</f>
        <v>Pas de correspondance</v>
      </c>
    </row>
    <row r="500" spans="1:11" x14ac:dyDescent="0.25">
      <c r="A500" s="1" t="s">
        <v>1190</v>
      </c>
      <c r="B500" s="2">
        <v>45214</v>
      </c>
      <c r="C500" s="3">
        <v>0.43472222222222223</v>
      </c>
      <c r="D500" s="1" t="s">
        <v>845</v>
      </c>
      <c r="E500">
        <v>61</v>
      </c>
      <c r="F500" s="1" t="s">
        <v>811</v>
      </c>
      <c r="G500" t="str">
        <f>_xlfn.XLOOKUP(Logs__2[[#This Row],[Cell_ID]],'Registre_Maintenance'!B:B,'Registre_Maintenance'!C:C,"Pas de correspondance")</f>
        <v>Tanganyika</v>
      </c>
      <c r="H500">
        <f>_xlfn.XLOOKUP(Logs__2[[#This Row],[Cell_ID]],'Registre_Maintenance'!B:B,'Registre_Maintenance'!D:D,"Pas de correspondance")</f>
        <v>-10.776204</v>
      </c>
      <c r="I500">
        <f>_xlfn.XLOOKUP(Logs__2[[#This Row],[Cell_ID]],'Registre_Maintenance'!B:B,'Registre_Maintenance'!E:E,"Pas de correspondance")</f>
        <v>24.672934000000001</v>
      </c>
      <c r="J500" t="str">
        <f>_xlfn.XLOOKUP(Logs__2[[#This Row],[Cell_ID]],'Registre_Maintenance'!B:B,'Registre_Maintenance'!F:F,"Pas de correspondance")</f>
        <v>4G</v>
      </c>
      <c r="K500" t="str">
        <f>_xlfn.XLOOKUP(Logs__2[[#This Row],[Cell_ID]],'Registre_Maintenance'!B:B,'Registre_Maintenance'!G:G,"Pas de correspondance")</f>
        <v>Ericsson</v>
      </c>
    </row>
    <row r="501" spans="1:11" x14ac:dyDescent="0.25">
      <c r="A501" s="1" t="s">
        <v>1190</v>
      </c>
      <c r="B501" s="2">
        <v>45204</v>
      </c>
      <c r="C501" s="3">
        <v>0.57222222222222219</v>
      </c>
      <c r="D501" s="1" t="s">
        <v>952</v>
      </c>
      <c r="E501">
        <v>88</v>
      </c>
      <c r="F501" s="1" t="s">
        <v>811</v>
      </c>
      <c r="G501" t="str">
        <f>_xlfn.XLOOKUP(Logs__2[[#This Row],[Cell_ID]],'Registre_Maintenance'!B:B,'Registre_Maintenance'!C:C,"Pas de correspondance")</f>
        <v>Kasaï-Central</v>
      </c>
      <c r="H501">
        <f>_xlfn.XLOOKUP(Logs__2[[#This Row],[Cell_ID]],'Registre_Maintenance'!B:B,'Registre_Maintenance'!D:D,"Pas de correspondance")</f>
        <v>-3.111418</v>
      </c>
      <c r="I501">
        <f>_xlfn.XLOOKUP(Logs__2[[#This Row],[Cell_ID]],'Registre_Maintenance'!B:B,'Registre_Maintenance'!E:E,"Pas de correspondance")</f>
        <v>14.144854</v>
      </c>
      <c r="J501" t="str">
        <f>_xlfn.XLOOKUP(Logs__2[[#This Row],[Cell_ID]],'Registre_Maintenance'!B:B,'Registre_Maintenance'!F:F,"Pas de correspondance")</f>
        <v>4G</v>
      </c>
      <c r="K501" t="str">
        <f>_xlfn.XLOOKUP(Logs__2[[#This Row],[Cell_ID]],'Registre_Maintenance'!B:B,'Registre_Maintenance'!G:G,"Pas de correspondance")</f>
        <v>ZTE</v>
      </c>
    </row>
    <row r="502" spans="1:11" x14ac:dyDescent="0.25">
      <c r="A502" s="1" t="s">
        <v>1190</v>
      </c>
      <c r="B502" s="2">
        <v>45206</v>
      </c>
      <c r="C502" s="3">
        <v>0.56388888888888888</v>
      </c>
      <c r="D502" s="1" t="s">
        <v>1204</v>
      </c>
      <c r="E502">
        <v>37</v>
      </c>
      <c r="F502" s="1" t="s">
        <v>806</v>
      </c>
      <c r="G502" t="str">
        <f>_xlfn.XLOOKUP(Logs__2[[#This Row],[Cell_ID]],'Registre_Maintenance'!B:B,'Registre_Maintenance'!C:C,"Pas de correspondance")</f>
        <v>Haut-Uele</v>
      </c>
      <c r="H502">
        <f>_xlfn.XLOOKUP(Logs__2[[#This Row],[Cell_ID]],'Registre_Maintenance'!B:B,'Registre_Maintenance'!D:D,"Pas de correspondance")</f>
        <v>0.20866199999999999</v>
      </c>
      <c r="I502">
        <f>_xlfn.XLOOKUP(Logs__2[[#This Row],[Cell_ID]],'Registre_Maintenance'!B:B,'Registre_Maintenance'!E:E,"Pas de correspondance")</f>
        <v>18.556439000000001</v>
      </c>
      <c r="J502" t="str">
        <f>_xlfn.XLOOKUP(Logs__2[[#This Row],[Cell_ID]],'Registre_Maintenance'!B:B,'Registre_Maintenance'!F:F,"Pas de correspondance")</f>
        <v>4G</v>
      </c>
      <c r="K502" t="str">
        <f>_xlfn.XLOOKUP(Logs__2[[#This Row],[Cell_ID]],'Registre_Maintenance'!B:B,'Registre_Maintenance'!G:G,"Pas de correspondance")</f>
        <v>Nokia</v>
      </c>
    </row>
    <row r="503" spans="1:11" hidden="1" x14ac:dyDescent="0.25">
      <c r="A503" s="1" t="s">
        <v>1190</v>
      </c>
      <c r="B503" s="2">
        <v>45224</v>
      </c>
      <c r="C503" s="3">
        <v>0.83194444444444449</v>
      </c>
      <c r="D503" s="1" t="s">
        <v>1205</v>
      </c>
      <c r="E503">
        <v>100</v>
      </c>
      <c r="F503" s="1" t="s">
        <v>806</v>
      </c>
      <c r="G503" t="str">
        <f>_xlfn.XLOOKUP(Logs__2[[#This Row],[Cell_ID]],'Registre_Maintenance'!B:B,'Registre_Maintenance'!C:C,"Pas de correspondance")</f>
        <v>Pas de correspondance</v>
      </c>
      <c r="H503" t="str">
        <f>_xlfn.XLOOKUP(Logs__2[[#This Row],[Cell_ID]],'Registre_Maintenance'!B:B,'Registre_Maintenance'!D:D,"Pas de correspondance")</f>
        <v>Pas de correspondance</v>
      </c>
      <c r="I503" t="str">
        <f>_xlfn.XLOOKUP(Logs__2[[#This Row],[Cell_ID]],'Registre_Maintenance'!B:B,'Registre_Maintenance'!E:E,"Pas de correspondance")</f>
        <v>Pas de correspondance</v>
      </c>
      <c r="J503" t="str">
        <f>_xlfn.XLOOKUP(Logs__2[[#This Row],[Cell_ID]],'Registre_Maintenance'!B:B,'Registre_Maintenance'!F:F,"Pas de correspondance")</f>
        <v>Pas de correspondance</v>
      </c>
      <c r="K503" t="str">
        <f>_xlfn.XLOOKUP(Logs__2[[#This Row],[Cell_ID]],'Registre_Maintenance'!B:B,'Registre_Maintenance'!G:G,"Pas de correspondance")</f>
        <v>Pas de correspondance</v>
      </c>
    </row>
    <row r="504" spans="1:11" hidden="1" x14ac:dyDescent="0.25">
      <c r="A504" s="1" t="s">
        <v>1190</v>
      </c>
      <c r="B504" s="2">
        <v>45215</v>
      </c>
      <c r="C504" s="3">
        <v>0.99027777777777781</v>
      </c>
      <c r="D504" s="1" t="s">
        <v>1116</v>
      </c>
      <c r="E504">
        <v>66</v>
      </c>
      <c r="F504" s="1" t="s">
        <v>811</v>
      </c>
      <c r="G504" t="str">
        <f>_xlfn.XLOOKUP(Logs__2[[#This Row],[Cell_ID]],'Registre_Maintenance'!B:B,'Registre_Maintenance'!C:C,"Pas de correspondance")</f>
        <v>Pas de correspondance</v>
      </c>
      <c r="H504" t="str">
        <f>_xlfn.XLOOKUP(Logs__2[[#This Row],[Cell_ID]],'Registre_Maintenance'!B:B,'Registre_Maintenance'!D:D,"Pas de correspondance")</f>
        <v>Pas de correspondance</v>
      </c>
      <c r="I504" t="str">
        <f>_xlfn.XLOOKUP(Logs__2[[#This Row],[Cell_ID]],'Registre_Maintenance'!B:B,'Registre_Maintenance'!E:E,"Pas de correspondance")</f>
        <v>Pas de correspondance</v>
      </c>
      <c r="J504" t="str">
        <f>_xlfn.XLOOKUP(Logs__2[[#This Row],[Cell_ID]],'Registre_Maintenance'!B:B,'Registre_Maintenance'!F:F,"Pas de correspondance")</f>
        <v>Pas de correspondance</v>
      </c>
      <c r="K504" t="str">
        <f>_xlfn.XLOOKUP(Logs__2[[#This Row],[Cell_ID]],'Registre_Maintenance'!B:B,'Registre_Maintenance'!G:G,"Pas de correspondance")</f>
        <v>Pas de correspondance</v>
      </c>
    </row>
    <row r="505" spans="1:11" x14ac:dyDescent="0.25">
      <c r="A505" s="1" t="s">
        <v>1190</v>
      </c>
      <c r="B505" s="2">
        <v>45201</v>
      </c>
      <c r="C505" s="3">
        <v>0.92222222222222228</v>
      </c>
      <c r="D505" s="1" t="s">
        <v>996</v>
      </c>
      <c r="E505">
        <v>32</v>
      </c>
      <c r="F505" s="1" t="s">
        <v>806</v>
      </c>
      <c r="G505" t="str">
        <f>_xlfn.XLOOKUP(Logs__2[[#This Row],[Cell_ID]],'Registre_Maintenance'!B:B,'Registre_Maintenance'!C:C,"Pas de correspondance")</f>
        <v>Bas-Uele</v>
      </c>
      <c r="H505">
        <f>_xlfn.XLOOKUP(Logs__2[[#This Row],[Cell_ID]],'Registre_Maintenance'!B:B,'Registre_Maintenance'!D:D,"Pas de correspondance")</f>
        <v>1.5278670000000001</v>
      </c>
      <c r="I505">
        <f>_xlfn.XLOOKUP(Logs__2[[#This Row],[Cell_ID]],'Registre_Maintenance'!B:B,'Registre_Maintenance'!E:E,"Pas de correspondance")</f>
        <v>13.899388999999999</v>
      </c>
      <c r="J505" t="str">
        <f>_xlfn.XLOOKUP(Logs__2[[#This Row],[Cell_ID]],'Registre_Maintenance'!B:B,'Registre_Maintenance'!F:F,"Pas de correspondance")</f>
        <v>3G</v>
      </c>
      <c r="K505" t="str">
        <f>_xlfn.XLOOKUP(Logs__2[[#This Row],[Cell_ID]],'Registre_Maintenance'!B:B,'Registre_Maintenance'!G:G,"Pas de correspondance")</f>
        <v>Huawei</v>
      </c>
    </row>
    <row r="506" spans="1:11" hidden="1" x14ac:dyDescent="0.25">
      <c r="A506" s="1" t="s">
        <v>1190</v>
      </c>
      <c r="B506" s="2">
        <v>45216</v>
      </c>
      <c r="C506" s="3">
        <v>0.27430555555555558</v>
      </c>
      <c r="D506" s="1" t="s">
        <v>1200</v>
      </c>
      <c r="E506">
        <v>30</v>
      </c>
      <c r="F506" s="1" t="s">
        <v>809</v>
      </c>
      <c r="G506" t="str">
        <f>_xlfn.XLOOKUP(Logs__2[[#This Row],[Cell_ID]],'Registre_Maintenance'!B:B,'Registre_Maintenance'!C:C,"Pas de correspondance")</f>
        <v>Pas de correspondance</v>
      </c>
      <c r="H506" t="str">
        <f>_xlfn.XLOOKUP(Logs__2[[#This Row],[Cell_ID]],'Registre_Maintenance'!B:B,'Registre_Maintenance'!D:D,"Pas de correspondance")</f>
        <v>Pas de correspondance</v>
      </c>
      <c r="I506" t="str">
        <f>_xlfn.XLOOKUP(Logs__2[[#This Row],[Cell_ID]],'Registre_Maintenance'!B:B,'Registre_Maintenance'!E:E,"Pas de correspondance")</f>
        <v>Pas de correspondance</v>
      </c>
      <c r="J506" t="str">
        <f>_xlfn.XLOOKUP(Logs__2[[#This Row],[Cell_ID]],'Registre_Maintenance'!B:B,'Registre_Maintenance'!F:F,"Pas de correspondance")</f>
        <v>Pas de correspondance</v>
      </c>
      <c r="K506" t="str">
        <f>_xlfn.XLOOKUP(Logs__2[[#This Row],[Cell_ID]],'Registre_Maintenance'!B:B,'Registre_Maintenance'!G:G,"Pas de correspondance")</f>
        <v>Pas de correspondance</v>
      </c>
    </row>
    <row r="507" spans="1:11" hidden="1" x14ac:dyDescent="0.25">
      <c r="A507" s="1" t="s">
        <v>1190</v>
      </c>
      <c r="B507" s="2">
        <v>45210</v>
      </c>
      <c r="C507" s="3">
        <v>0.89583333333333337</v>
      </c>
      <c r="D507" s="1" t="s">
        <v>1004</v>
      </c>
      <c r="E507">
        <v>110</v>
      </c>
      <c r="F507" s="1" t="s">
        <v>811</v>
      </c>
      <c r="G507" t="str">
        <f>_xlfn.XLOOKUP(Logs__2[[#This Row],[Cell_ID]],'Registre_Maintenance'!B:B,'Registre_Maintenance'!C:C,"Pas de correspondance")</f>
        <v>Pas de correspondance</v>
      </c>
      <c r="H507" t="str">
        <f>_xlfn.XLOOKUP(Logs__2[[#This Row],[Cell_ID]],'Registre_Maintenance'!B:B,'Registre_Maintenance'!D:D,"Pas de correspondance")</f>
        <v>Pas de correspondance</v>
      </c>
      <c r="I507" t="str">
        <f>_xlfn.XLOOKUP(Logs__2[[#This Row],[Cell_ID]],'Registre_Maintenance'!B:B,'Registre_Maintenance'!E:E,"Pas de correspondance")</f>
        <v>Pas de correspondance</v>
      </c>
      <c r="J507" t="str">
        <f>_xlfn.XLOOKUP(Logs__2[[#This Row],[Cell_ID]],'Registre_Maintenance'!B:B,'Registre_Maintenance'!F:F,"Pas de correspondance")</f>
        <v>Pas de correspondance</v>
      </c>
      <c r="K507" t="str">
        <f>_xlfn.XLOOKUP(Logs__2[[#This Row],[Cell_ID]],'Registre_Maintenance'!B:B,'Registre_Maintenance'!G:G,"Pas de correspondance")</f>
        <v>Pas de correspondance</v>
      </c>
    </row>
    <row r="508" spans="1:11" hidden="1" x14ac:dyDescent="0.25">
      <c r="A508" s="1" t="s">
        <v>1190</v>
      </c>
      <c r="B508" s="2">
        <v>45216</v>
      </c>
      <c r="C508" s="3">
        <v>0.51388888888888884</v>
      </c>
      <c r="D508" s="1" t="s">
        <v>1206</v>
      </c>
      <c r="E508">
        <v>73</v>
      </c>
      <c r="F508" s="1" t="s">
        <v>809</v>
      </c>
      <c r="G508" t="str">
        <f>_xlfn.XLOOKUP(Logs__2[[#This Row],[Cell_ID]],'Registre_Maintenance'!B:B,'Registre_Maintenance'!C:C,"Pas de correspondance")</f>
        <v>Pas de correspondance</v>
      </c>
      <c r="H508" t="str">
        <f>_xlfn.XLOOKUP(Logs__2[[#This Row],[Cell_ID]],'Registre_Maintenance'!B:B,'Registre_Maintenance'!D:D,"Pas de correspondance")</f>
        <v>Pas de correspondance</v>
      </c>
      <c r="I508" t="str">
        <f>_xlfn.XLOOKUP(Logs__2[[#This Row],[Cell_ID]],'Registre_Maintenance'!B:B,'Registre_Maintenance'!E:E,"Pas de correspondance")</f>
        <v>Pas de correspondance</v>
      </c>
      <c r="J508" t="str">
        <f>_xlfn.XLOOKUP(Logs__2[[#This Row],[Cell_ID]],'Registre_Maintenance'!B:B,'Registre_Maintenance'!F:F,"Pas de correspondance")</f>
        <v>Pas de correspondance</v>
      </c>
      <c r="K508" t="str">
        <f>_xlfn.XLOOKUP(Logs__2[[#This Row],[Cell_ID]],'Registre_Maintenance'!B:B,'Registre_Maintenance'!G:G,"Pas de correspondance")</f>
        <v>Pas de correspondance</v>
      </c>
    </row>
    <row r="509" spans="1:11" x14ac:dyDescent="0.25">
      <c r="A509" s="1" t="s">
        <v>1190</v>
      </c>
      <c r="B509" s="2">
        <v>45230</v>
      </c>
      <c r="C509" s="3">
        <v>0.22847222222222222</v>
      </c>
      <c r="D509" s="1" t="s">
        <v>934</v>
      </c>
      <c r="E509">
        <v>39</v>
      </c>
      <c r="F509" s="1" t="s">
        <v>811</v>
      </c>
      <c r="G509" t="str">
        <f>_xlfn.XLOOKUP(Logs__2[[#This Row],[Cell_ID]],'Registre_Maintenance'!B:B,'Registre_Maintenance'!C:C,"Pas de correspondance")</f>
        <v>Lomami</v>
      </c>
      <c r="H509">
        <f>_xlfn.XLOOKUP(Logs__2[[#This Row],[Cell_ID]],'Registre_Maintenance'!B:B,'Registre_Maintenance'!D:D,"Pas de correspondance")</f>
        <v>-5.7035130000000001</v>
      </c>
      <c r="I509">
        <f>_xlfn.XLOOKUP(Logs__2[[#This Row],[Cell_ID]],'Registre_Maintenance'!B:B,'Registre_Maintenance'!E:E,"Pas de correspondance")</f>
        <v>14.331479</v>
      </c>
      <c r="J509" t="str">
        <f>_xlfn.XLOOKUP(Logs__2[[#This Row],[Cell_ID]],'Registre_Maintenance'!B:B,'Registre_Maintenance'!F:F,"Pas de correspondance")</f>
        <v>5G</v>
      </c>
      <c r="K509" t="str">
        <f>_xlfn.XLOOKUP(Logs__2[[#This Row],[Cell_ID]],'Registre_Maintenance'!B:B,'Registre_Maintenance'!G:G,"Pas de correspondance")</f>
        <v>Nokia</v>
      </c>
    </row>
    <row r="510" spans="1:11" x14ac:dyDescent="0.25">
      <c r="A510" s="1" t="s">
        <v>1190</v>
      </c>
      <c r="B510" s="2">
        <v>45229</v>
      </c>
      <c r="C510" s="3">
        <v>0.72291666666666665</v>
      </c>
      <c r="D510" s="1" t="s">
        <v>953</v>
      </c>
      <c r="E510">
        <v>76</v>
      </c>
      <c r="F510" s="1" t="s">
        <v>809</v>
      </c>
      <c r="G510" t="str">
        <f>_xlfn.XLOOKUP(Logs__2[[#This Row],[Cell_ID]],'Registre_Maintenance'!B:B,'Registre_Maintenance'!C:C,"Pas de correspondance")</f>
        <v>Nord-Ubangi</v>
      </c>
      <c r="H510">
        <f>_xlfn.XLOOKUP(Logs__2[[#This Row],[Cell_ID]],'Registre_Maintenance'!B:B,'Registre_Maintenance'!D:D,"Pas de correspondance")</f>
        <v>-1.342476</v>
      </c>
      <c r="I510">
        <f>_xlfn.XLOOKUP(Logs__2[[#This Row],[Cell_ID]],'Registre_Maintenance'!B:B,'Registre_Maintenance'!E:E,"Pas de correspondance")</f>
        <v>15.986086</v>
      </c>
      <c r="J510" t="str">
        <f>_xlfn.XLOOKUP(Logs__2[[#This Row],[Cell_ID]],'Registre_Maintenance'!B:B,'Registre_Maintenance'!F:F,"Pas de correspondance")</f>
        <v>4G</v>
      </c>
      <c r="K510" t="str">
        <f>_xlfn.XLOOKUP(Logs__2[[#This Row],[Cell_ID]],'Registre_Maintenance'!B:B,'Registre_Maintenance'!G:G,"Pas de correspondance")</f>
        <v>Ericsson</v>
      </c>
    </row>
    <row r="511" spans="1:11" hidden="1" x14ac:dyDescent="0.25">
      <c r="A511" s="1" t="s">
        <v>1190</v>
      </c>
      <c r="B511" s="2">
        <v>45217</v>
      </c>
      <c r="C511" s="3">
        <v>0.48819444444444443</v>
      </c>
      <c r="D511" s="1" t="s">
        <v>1207</v>
      </c>
      <c r="E511">
        <v>94</v>
      </c>
      <c r="F511" s="1" t="s">
        <v>806</v>
      </c>
      <c r="G511" t="str">
        <f>_xlfn.XLOOKUP(Logs__2[[#This Row],[Cell_ID]],'Registre_Maintenance'!B:B,'Registre_Maintenance'!C:C,"Pas de correspondance")</f>
        <v>Pas de correspondance</v>
      </c>
      <c r="H511" t="str">
        <f>_xlfn.XLOOKUP(Logs__2[[#This Row],[Cell_ID]],'Registre_Maintenance'!B:B,'Registre_Maintenance'!D:D,"Pas de correspondance")</f>
        <v>Pas de correspondance</v>
      </c>
      <c r="I511" t="str">
        <f>_xlfn.XLOOKUP(Logs__2[[#This Row],[Cell_ID]],'Registre_Maintenance'!B:B,'Registre_Maintenance'!E:E,"Pas de correspondance")</f>
        <v>Pas de correspondance</v>
      </c>
      <c r="J511" t="str">
        <f>_xlfn.XLOOKUP(Logs__2[[#This Row],[Cell_ID]],'Registre_Maintenance'!B:B,'Registre_Maintenance'!F:F,"Pas de correspondance")</f>
        <v>Pas de correspondance</v>
      </c>
      <c r="K511" t="str">
        <f>_xlfn.XLOOKUP(Logs__2[[#This Row],[Cell_ID]],'Registre_Maintenance'!B:B,'Registre_Maintenance'!G:G,"Pas de correspondance")</f>
        <v>Pas de correspondance</v>
      </c>
    </row>
    <row r="512" spans="1:11" hidden="1" x14ac:dyDescent="0.25">
      <c r="A512" s="1" t="s">
        <v>1190</v>
      </c>
      <c r="B512" s="2">
        <v>45224</v>
      </c>
      <c r="C512" s="3">
        <v>0.98819444444444449</v>
      </c>
      <c r="D512" s="1" t="s">
        <v>860</v>
      </c>
      <c r="E512">
        <v>39</v>
      </c>
      <c r="F512" s="1" t="s">
        <v>806</v>
      </c>
      <c r="G512" t="str">
        <f>_xlfn.XLOOKUP(Logs__2[[#This Row],[Cell_ID]],'Registre_Maintenance'!B:B,'Registre_Maintenance'!C:C,"Pas de correspondance")</f>
        <v>Pas de correspondance</v>
      </c>
      <c r="H512" t="str">
        <f>_xlfn.XLOOKUP(Logs__2[[#This Row],[Cell_ID]],'Registre_Maintenance'!B:B,'Registre_Maintenance'!D:D,"Pas de correspondance")</f>
        <v>Pas de correspondance</v>
      </c>
      <c r="I512" t="str">
        <f>_xlfn.XLOOKUP(Logs__2[[#This Row],[Cell_ID]],'Registre_Maintenance'!B:B,'Registre_Maintenance'!E:E,"Pas de correspondance")</f>
        <v>Pas de correspondance</v>
      </c>
      <c r="J512" t="str">
        <f>_xlfn.XLOOKUP(Logs__2[[#This Row],[Cell_ID]],'Registre_Maintenance'!B:B,'Registre_Maintenance'!F:F,"Pas de correspondance")</f>
        <v>Pas de correspondance</v>
      </c>
      <c r="K512" t="str">
        <f>_xlfn.XLOOKUP(Logs__2[[#This Row],[Cell_ID]],'Registre_Maintenance'!B:B,'Registre_Maintenance'!G:G,"Pas de correspondance")</f>
        <v>Pas de correspondance</v>
      </c>
    </row>
    <row r="513" spans="1:11" x14ac:dyDescent="0.25">
      <c r="A513" s="1" t="s">
        <v>1190</v>
      </c>
      <c r="B513" s="2">
        <v>45220</v>
      </c>
      <c r="C513" s="3">
        <v>0.92777777777777781</v>
      </c>
      <c r="D513" s="1" t="s">
        <v>1109</v>
      </c>
      <c r="E513">
        <v>22</v>
      </c>
      <c r="F513" s="1" t="s">
        <v>809</v>
      </c>
      <c r="G513" t="str">
        <f>_xlfn.XLOOKUP(Logs__2[[#This Row],[Cell_ID]],'Registre_Maintenance'!B:B,'Registre_Maintenance'!C:C,"Pas de correspondance")</f>
        <v>Kasaï</v>
      </c>
      <c r="H513">
        <f>_xlfn.XLOOKUP(Logs__2[[#This Row],[Cell_ID]],'Registre_Maintenance'!B:B,'Registre_Maintenance'!D:D,"Pas de correspondance")</f>
        <v>1.5802860000000001</v>
      </c>
      <c r="I513">
        <f>_xlfn.XLOOKUP(Logs__2[[#This Row],[Cell_ID]],'Registre_Maintenance'!B:B,'Registre_Maintenance'!E:E,"Pas de correspondance")</f>
        <v>20.99053</v>
      </c>
      <c r="J513" t="str">
        <f>_xlfn.XLOOKUP(Logs__2[[#This Row],[Cell_ID]],'Registre_Maintenance'!B:B,'Registre_Maintenance'!F:F,"Pas de correspondance")</f>
        <v>4G</v>
      </c>
      <c r="K513" t="str">
        <f>_xlfn.XLOOKUP(Logs__2[[#This Row],[Cell_ID]],'Registre_Maintenance'!B:B,'Registre_Maintenance'!G:G,"Pas de correspondance")</f>
        <v>ZTE</v>
      </c>
    </row>
    <row r="514" spans="1:11" hidden="1" x14ac:dyDescent="0.25">
      <c r="A514" s="1" t="s">
        <v>1190</v>
      </c>
      <c r="B514" s="2">
        <v>45219</v>
      </c>
      <c r="C514" s="3">
        <v>0.6333333333333333</v>
      </c>
      <c r="D514" s="1" t="s">
        <v>1208</v>
      </c>
      <c r="E514">
        <v>18</v>
      </c>
      <c r="F514" s="1" t="s">
        <v>811</v>
      </c>
      <c r="G514" t="str">
        <f>_xlfn.XLOOKUP(Logs__2[[#This Row],[Cell_ID]],'Registre_Maintenance'!B:B,'Registre_Maintenance'!C:C,"Pas de correspondance")</f>
        <v>Pas de correspondance</v>
      </c>
      <c r="H514" t="str">
        <f>_xlfn.XLOOKUP(Logs__2[[#This Row],[Cell_ID]],'Registre_Maintenance'!B:B,'Registre_Maintenance'!D:D,"Pas de correspondance")</f>
        <v>Pas de correspondance</v>
      </c>
      <c r="I514" t="str">
        <f>_xlfn.XLOOKUP(Logs__2[[#This Row],[Cell_ID]],'Registre_Maintenance'!B:B,'Registre_Maintenance'!E:E,"Pas de correspondance")</f>
        <v>Pas de correspondance</v>
      </c>
      <c r="J514" t="str">
        <f>_xlfn.XLOOKUP(Logs__2[[#This Row],[Cell_ID]],'Registre_Maintenance'!B:B,'Registre_Maintenance'!F:F,"Pas de correspondance")</f>
        <v>Pas de correspondance</v>
      </c>
      <c r="K514" t="str">
        <f>_xlfn.XLOOKUP(Logs__2[[#This Row],[Cell_ID]],'Registre_Maintenance'!B:B,'Registre_Maintenance'!G:G,"Pas de correspondance")</f>
        <v>Pas de correspondance</v>
      </c>
    </row>
    <row r="515" spans="1:11" x14ac:dyDescent="0.25">
      <c r="A515" s="1" t="s">
        <v>1190</v>
      </c>
      <c r="B515" s="2">
        <v>45230</v>
      </c>
      <c r="C515" s="3">
        <v>0.3034722222222222</v>
      </c>
      <c r="D515" s="1" t="s">
        <v>1209</v>
      </c>
      <c r="E515">
        <v>83</v>
      </c>
      <c r="F515" s="1" t="s">
        <v>811</v>
      </c>
      <c r="G515" t="str">
        <f>_xlfn.XLOOKUP(Logs__2[[#This Row],[Cell_ID]],'Registre_Maintenance'!B:B,'Registre_Maintenance'!C:C,"Pas de correspondance")</f>
        <v>Kongo-Central</v>
      </c>
      <c r="H515">
        <f>_xlfn.XLOOKUP(Logs__2[[#This Row],[Cell_ID]],'Registre_Maintenance'!B:B,'Registre_Maintenance'!D:D,"Pas de correspondance")</f>
        <v>-9.8208710000000004</v>
      </c>
      <c r="I515">
        <f>_xlfn.XLOOKUP(Logs__2[[#This Row],[Cell_ID]],'Registre_Maintenance'!B:B,'Registre_Maintenance'!E:E,"Pas de correspondance")</f>
        <v>23.229807000000001</v>
      </c>
      <c r="J515" t="str">
        <f>_xlfn.XLOOKUP(Logs__2[[#This Row],[Cell_ID]],'Registre_Maintenance'!B:B,'Registre_Maintenance'!F:F,"Pas de correspondance")</f>
        <v>5G</v>
      </c>
      <c r="K515" t="str">
        <f>_xlfn.XLOOKUP(Logs__2[[#This Row],[Cell_ID]],'Registre_Maintenance'!B:B,'Registre_Maintenance'!G:G,"Pas de correspondance")</f>
        <v>Nokia</v>
      </c>
    </row>
    <row r="516" spans="1:11" x14ac:dyDescent="0.25">
      <c r="A516" s="1" t="s">
        <v>1190</v>
      </c>
      <c r="B516" s="2">
        <v>45217</v>
      </c>
      <c r="C516" s="3">
        <v>0.38472222222222224</v>
      </c>
      <c r="D516" s="1" t="s">
        <v>1210</v>
      </c>
      <c r="E516">
        <v>99</v>
      </c>
      <c r="F516" s="1" t="s">
        <v>809</v>
      </c>
      <c r="G516" t="str">
        <f>_xlfn.XLOOKUP(Logs__2[[#This Row],[Cell_ID]],'Registre_Maintenance'!B:B,'Registre_Maintenance'!C:C,"Pas de correspondance")</f>
        <v>Haut-Lomami</v>
      </c>
      <c r="H516">
        <f>_xlfn.XLOOKUP(Logs__2[[#This Row],[Cell_ID]],'Registre_Maintenance'!B:B,'Registre_Maintenance'!D:D,"Pas de correspondance")</f>
        <v>-4.8157019999999999</v>
      </c>
      <c r="I516">
        <f>_xlfn.XLOOKUP(Logs__2[[#This Row],[Cell_ID]],'Registre_Maintenance'!B:B,'Registre_Maintenance'!E:E,"Pas de correspondance")</f>
        <v>27.679798000000002</v>
      </c>
      <c r="J516" t="str">
        <f>_xlfn.XLOOKUP(Logs__2[[#This Row],[Cell_ID]],'Registre_Maintenance'!B:B,'Registre_Maintenance'!F:F,"Pas de correspondance")</f>
        <v>3G</v>
      </c>
      <c r="K516" t="str">
        <f>_xlfn.XLOOKUP(Logs__2[[#This Row],[Cell_ID]],'Registre_Maintenance'!B:B,'Registre_Maintenance'!G:G,"Pas de correspondance")</f>
        <v>Ericsson</v>
      </c>
    </row>
    <row r="517" spans="1:11" x14ac:dyDescent="0.25">
      <c r="A517" s="1" t="s">
        <v>1190</v>
      </c>
      <c r="B517" s="2">
        <v>45230</v>
      </c>
      <c r="C517" s="3">
        <v>0.40902777777777777</v>
      </c>
      <c r="D517" s="1" t="s">
        <v>1211</v>
      </c>
      <c r="E517">
        <v>80</v>
      </c>
      <c r="F517" s="1" t="s">
        <v>809</v>
      </c>
      <c r="G517" t="str">
        <f>_xlfn.XLOOKUP(Logs__2[[#This Row],[Cell_ID]],'Registre_Maintenance'!B:B,'Registre_Maintenance'!C:C,"Pas de correspondance")</f>
        <v>Kwilu</v>
      </c>
      <c r="H517">
        <f>_xlfn.XLOOKUP(Logs__2[[#This Row],[Cell_ID]],'Registre_Maintenance'!B:B,'Registre_Maintenance'!D:D,"Pas de correspondance")</f>
        <v>0.62055499999999997</v>
      </c>
      <c r="I517">
        <f>_xlfn.XLOOKUP(Logs__2[[#This Row],[Cell_ID]],'Registre_Maintenance'!B:B,'Registre_Maintenance'!E:E,"Pas de correspondance")</f>
        <v>21.222035000000002</v>
      </c>
      <c r="J517" t="str">
        <f>_xlfn.XLOOKUP(Logs__2[[#This Row],[Cell_ID]],'Registre_Maintenance'!B:B,'Registre_Maintenance'!F:F,"Pas de correspondance")</f>
        <v>5G</v>
      </c>
      <c r="K517" t="str">
        <f>_xlfn.XLOOKUP(Logs__2[[#This Row],[Cell_ID]],'Registre_Maintenance'!B:B,'Registre_Maintenance'!G:G,"Pas de correspondance")</f>
        <v>Nokia</v>
      </c>
    </row>
    <row r="518" spans="1:11" hidden="1" x14ac:dyDescent="0.25">
      <c r="A518" s="1" t="s">
        <v>1190</v>
      </c>
      <c r="B518" s="2">
        <v>45209</v>
      </c>
      <c r="C518" s="3">
        <v>0.92569444444444449</v>
      </c>
      <c r="D518" s="1" t="s">
        <v>1212</v>
      </c>
      <c r="E518">
        <v>35</v>
      </c>
      <c r="F518" s="1" t="s">
        <v>806</v>
      </c>
      <c r="G518" t="str">
        <f>_xlfn.XLOOKUP(Logs__2[[#This Row],[Cell_ID]],'Registre_Maintenance'!B:B,'Registre_Maintenance'!C:C,"Pas de correspondance")</f>
        <v>Pas de correspondance</v>
      </c>
      <c r="H518" t="str">
        <f>_xlfn.XLOOKUP(Logs__2[[#This Row],[Cell_ID]],'Registre_Maintenance'!B:B,'Registre_Maintenance'!D:D,"Pas de correspondance")</f>
        <v>Pas de correspondance</v>
      </c>
      <c r="I518" t="str">
        <f>_xlfn.XLOOKUP(Logs__2[[#This Row],[Cell_ID]],'Registre_Maintenance'!B:B,'Registre_Maintenance'!E:E,"Pas de correspondance")</f>
        <v>Pas de correspondance</v>
      </c>
      <c r="J518" t="str">
        <f>_xlfn.XLOOKUP(Logs__2[[#This Row],[Cell_ID]],'Registre_Maintenance'!B:B,'Registre_Maintenance'!F:F,"Pas de correspondance")</f>
        <v>Pas de correspondance</v>
      </c>
      <c r="K518" t="str">
        <f>_xlfn.XLOOKUP(Logs__2[[#This Row],[Cell_ID]],'Registre_Maintenance'!B:B,'Registre_Maintenance'!G:G,"Pas de correspondance")</f>
        <v>Pas de correspondance</v>
      </c>
    </row>
    <row r="519" spans="1:11" hidden="1" x14ac:dyDescent="0.25">
      <c r="A519" s="1" t="s">
        <v>1190</v>
      </c>
      <c r="B519" s="2">
        <v>45222</v>
      </c>
      <c r="C519" s="3">
        <v>0.93819444444444444</v>
      </c>
      <c r="D519" s="1" t="s">
        <v>1213</v>
      </c>
      <c r="E519">
        <v>36</v>
      </c>
      <c r="F519" s="1" t="s">
        <v>806</v>
      </c>
      <c r="G519" t="str">
        <f>_xlfn.XLOOKUP(Logs__2[[#This Row],[Cell_ID]],'Registre_Maintenance'!B:B,'Registre_Maintenance'!C:C,"Pas de correspondance")</f>
        <v>Pas de correspondance</v>
      </c>
      <c r="H519" t="str">
        <f>_xlfn.XLOOKUP(Logs__2[[#This Row],[Cell_ID]],'Registre_Maintenance'!B:B,'Registre_Maintenance'!D:D,"Pas de correspondance")</f>
        <v>Pas de correspondance</v>
      </c>
      <c r="I519" t="str">
        <f>_xlfn.XLOOKUP(Logs__2[[#This Row],[Cell_ID]],'Registre_Maintenance'!B:B,'Registre_Maintenance'!E:E,"Pas de correspondance")</f>
        <v>Pas de correspondance</v>
      </c>
      <c r="J519" t="str">
        <f>_xlfn.XLOOKUP(Logs__2[[#This Row],[Cell_ID]],'Registre_Maintenance'!B:B,'Registre_Maintenance'!F:F,"Pas de correspondance")</f>
        <v>Pas de correspondance</v>
      </c>
      <c r="K519" t="str">
        <f>_xlfn.XLOOKUP(Logs__2[[#This Row],[Cell_ID]],'Registre_Maintenance'!B:B,'Registre_Maintenance'!G:G,"Pas de correspondance")</f>
        <v>Pas de correspondance</v>
      </c>
    </row>
    <row r="520" spans="1:11" x14ac:dyDescent="0.25">
      <c r="A520" s="1" t="s">
        <v>1214</v>
      </c>
      <c r="B520" s="2">
        <v>45202</v>
      </c>
      <c r="C520" s="3">
        <v>0.52916666666666667</v>
      </c>
      <c r="D520" s="1" t="s">
        <v>1215</v>
      </c>
      <c r="E520">
        <v>109</v>
      </c>
      <c r="F520" s="1" t="s">
        <v>809</v>
      </c>
      <c r="G520" t="str">
        <f>_xlfn.XLOOKUP(Logs__2[[#This Row],[Cell_ID]],'Registre_Maintenance'!B:B,'Registre_Maintenance'!C:C,"Pas de correspondance")</f>
        <v>Haut-Uele</v>
      </c>
      <c r="H520">
        <f>_xlfn.XLOOKUP(Logs__2[[#This Row],[Cell_ID]],'Registre_Maintenance'!B:B,'Registre_Maintenance'!D:D,"Pas de correspondance")</f>
        <v>-7.1483749999999997</v>
      </c>
      <c r="I520">
        <f>_xlfn.XLOOKUP(Logs__2[[#This Row],[Cell_ID]],'Registre_Maintenance'!B:B,'Registre_Maintenance'!E:E,"Pas de correspondance")</f>
        <v>26.014271000000001</v>
      </c>
      <c r="J520" t="str">
        <f>_xlfn.XLOOKUP(Logs__2[[#This Row],[Cell_ID]],'Registre_Maintenance'!B:B,'Registre_Maintenance'!F:F,"Pas de correspondance")</f>
        <v>5G</v>
      </c>
      <c r="K520" t="str">
        <f>_xlfn.XLOOKUP(Logs__2[[#This Row],[Cell_ID]],'Registre_Maintenance'!B:B,'Registre_Maintenance'!G:G,"Pas de correspondance")</f>
        <v>Huawei</v>
      </c>
    </row>
    <row r="521" spans="1:11" x14ac:dyDescent="0.25">
      <c r="A521" s="1" t="s">
        <v>1214</v>
      </c>
      <c r="B521" s="2">
        <v>45203</v>
      </c>
      <c r="C521" s="3">
        <v>0.21388888888888888</v>
      </c>
      <c r="D521" s="1" t="s">
        <v>1216</v>
      </c>
      <c r="E521">
        <v>5</v>
      </c>
      <c r="F521" s="1" t="s">
        <v>806</v>
      </c>
      <c r="G521" t="str">
        <f>_xlfn.XLOOKUP(Logs__2[[#This Row],[Cell_ID]],'Registre_Maintenance'!B:B,'Registre_Maintenance'!C:C,"Pas de correspondance")</f>
        <v>Nord-Kivu</v>
      </c>
      <c r="H521">
        <f>_xlfn.XLOOKUP(Logs__2[[#This Row],[Cell_ID]],'Registre_Maintenance'!B:B,'Registre_Maintenance'!D:D,"Pas de correspondance")</f>
        <v>-6.5332999999999997</v>
      </c>
      <c r="I521">
        <f>_xlfn.XLOOKUP(Logs__2[[#This Row],[Cell_ID]],'Registre_Maintenance'!B:B,'Registre_Maintenance'!E:E,"Pas de correspondance")</f>
        <v>20.098018</v>
      </c>
      <c r="J521" t="str">
        <f>_xlfn.XLOOKUP(Logs__2[[#This Row],[Cell_ID]],'Registre_Maintenance'!B:B,'Registre_Maintenance'!F:F,"Pas de correspondance")</f>
        <v>4G</v>
      </c>
      <c r="K521" t="str">
        <f>_xlfn.XLOOKUP(Logs__2[[#This Row],[Cell_ID]],'Registre_Maintenance'!B:B,'Registre_Maintenance'!G:G,"Pas de correspondance")</f>
        <v>Huawei</v>
      </c>
    </row>
    <row r="522" spans="1:11" x14ac:dyDescent="0.25">
      <c r="A522" s="1" t="s">
        <v>1214</v>
      </c>
      <c r="B522" s="2">
        <v>45215</v>
      </c>
      <c r="C522" s="3">
        <v>0.45763888888888887</v>
      </c>
      <c r="D522" s="1" t="s">
        <v>1217</v>
      </c>
      <c r="E522">
        <v>100</v>
      </c>
      <c r="F522" s="1" t="s">
        <v>806</v>
      </c>
      <c r="G522" t="str">
        <f>_xlfn.XLOOKUP(Logs__2[[#This Row],[Cell_ID]],'Registre_Maintenance'!B:B,'Registre_Maintenance'!C:C,"Pas de correspondance")</f>
        <v>Tanganyika</v>
      </c>
      <c r="H522">
        <f>_xlfn.XLOOKUP(Logs__2[[#This Row],[Cell_ID]],'Registre_Maintenance'!B:B,'Registre_Maintenance'!D:D,"Pas de correspondance")</f>
        <v>-11.793894</v>
      </c>
      <c r="I522">
        <f>_xlfn.XLOOKUP(Logs__2[[#This Row],[Cell_ID]],'Registre_Maintenance'!B:B,'Registre_Maintenance'!E:E,"Pas de correspondance")</f>
        <v>20.433340999999999</v>
      </c>
      <c r="J522" t="str">
        <f>_xlfn.XLOOKUP(Logs__2[[#This Row],[Cell_ID]],'Registre_Maintenance'!B:B,'Registre_Maintenance'!F:F,"Pas de correspondance")</f>
        <v>5G</v>
      </c>
      <c r="K522" t="str">
        <f>_xlfn.XLOOKUP(Logs__2[[#This Row],[Cell_ID]],'Registre_Maintenance'!B:B,'Registre_Maintenance'!G:G,"Pas de correspondance")</f>
        <v>Nokia</v>
      </c>
    </row>
    <row r="523" spans="1:11" x14ac:dyDescent="0.25">
      <c r="A523" s="1" t="s">
        <v>1214</v>
      </c>
      <c r="B523" s="2">
        <v>45207</v>
      </c>
      <c r="C523" s="3">
        <v>1.1111111111111112E-2</v>
      </c>
      <c r="D523" s="1" t="s">
        <v>1218</v>
      </c>
      <c r="E523">
        <v>32</v>
      </c>
      <c r="F523" s="1" t="s">
        <v>806</v>
      </c>
      <c r="G523" t="str">
        <f>_xlfn.XLOOKUP(Logs__2[[#This Row],[Cell_ID]],'Registre_Maintenance'!B:B,'Registre_Maintenance'!C:C,"Pas de correspondance")</f>
        <v>Kasaï-Central</v>
      </c>
      <c r="H523">
        <f>_xlfn.XLOOKUP(Logs__2[[#This Row],[Cell_ID]],'Registre_Maintenance'!B:B,'Registre_Maintenance'!D:D,"Pas de correspondance")</f>
        <v>1.897178</v>
      </c>
      <c r="I523">
        <f>_xlfn.XLOOKUP(Logs__2[[#This Row],[Cell_ID]],'Registre_Maintenance'!B:B,'Registre_Maintenance'!E:E,"Pas de correspondance")</f>
        <v>23.902604</v>
      </c>
      <c r="J523" t="str">
        <f>_xlfn.XLOOKUP(Logs__2[[#This Row],[Cell_ID]],'Registre_Maintenance'!B:B,'Registre_Maintenance'!F:F,"Pas de correspondance")</f>
        <v>3G</v>
      </c>
      <c r="K523" t="str">
        <f>_xlfn.XLOOKUP(Logs__2[[#This Row],[Cell_ID]],'Registre_Maintenance'!B:B,'Registre_Maintenance'!G:G,"Pas de correspondance")</f>
        <v>Nokia</v>
      </c>
    </row>
    <row r="524" spans="1:11" hidden="1" x14ac:dyDescent="0.25">
      <c r="A524" s="1" t="s">
        <v>1214</v>
      </c>
      <c r="B524" s="2">
        <v>45212</v>
      </c>
      <c r="C524" s="3">
        <v>0.31111111111111112</v>
      </c>
      <c r="D524" s="1" t="s">
        <v>818</v>
      </c>
      <c r="E524">
        <v>79</v>
      </c>
      <c r="F524" s="1" t="s">
        <v>806</v>
      </c>
      <c r="G524" t="str">
        <f>_xlfn.XLOOKUP(Logs__2[[#This Row],[Cell_ID]],'Registre_Maintenance'!B:B,'Registre_Maintenance'!C:C,"Pas de correspondance")</f>
        <v>Pas de correspondance</v>
      </c>
      <c r="H524" t="str">
        <f>_xlfn.XLOOKUP(Logs__2[[#This Row],[Cell_ID]],'Registre_Maintenance'!B:B,'Registre_Maintenance'!D:D,"Pas de correspondance")</f>
        <v>Pas de correspondance</v>
      </c>
      <c r="I524" t="str">
        <f>_xlfn.XLOOKUP(Logs__2[[#This Row],[Cell_ID]],'Registre_Maintenance'!B:B,'Registre_Maintenance'!E:E,"Pas de correspondance")</f>
        <v>Pas de correspondance</v>
      </c>
      <c r="J524" t="str">
        <f>_xlfn.XLOOKUP(Logs__2[[#This Row],[Cell_ID]],'Registre_Maintenance'!B:B,'Registre_Maintenance'!F:F,"Pas de correspondance")</f>
        <v>Pas de correspondance</v>
      </c>
      <c r="K524" t="str">
        <f>_xlfn.XLOOKUP(Logs__2[[#This Row],[Cell_ID]],'Registre_Maintenance'!B:B,'Registre_Maintenance'!G:G,"Pas de correspondance")</f>
        <v>Pas de correspondance</v>
      </c>
    </row>
    <row r="525" spans="1:11" hidden="1" x14ac:dyDescent="0.25">
      <c r="A525" s="1" t="s">
        <v>1214</v>
      </c>
      <c r="B525" s="2">
        <v>45224</v>
      </c>
      <c r="C525" s="3">
        <v>0.34791666666666665</v>
      </c>
      <c r="D525" s="1" t="s">
        <v>1219</v>
      </c>
      <c r="E525">
        <v>14</v>
      </c>
      <c r="F525" s="1" t="s">
        <v>806</v>
      </c>
      <c r="G525" t="str">
        <f>_xlfn.XLOOKUP(Logs__2[[#This Row],[Cell_ID]],'Registre_Maintenance'!B:B,'Registre_Maintenance'!C:C,"Pas de correspondance")</f>
        <v>Pas de correspondance</v>
      </c>
      <c r="H525" t="str">
        <f>_xlfn.XLOOKUP(Logs__2[[#This Row],[Cell_ID]],'Registre_Maintenance'!B:B,'Registre_Maintenance'!D:D,"Pas de correspondance")</f>
        <v>Pas de correspondance</v>
      </c>
      <c r="I525" t="str">
        <f>_xlfn.XLOOKUP(Logs__2[[#This Row],[Cell_ID]],'Registre_Maintenance'!B:B,'Registre_Maintenance'!E:E,"Pas de correspondance")</f>
        <v>Pas de correspondance</v>
      </c>
      <c r="J525" t="str">
        <f>_xlfn.XLOOKUP(Logs__2[[#This Row],[Cell_ID]],'Registre_Maintenance'!B:B,'Registre_Maintenance'!F:F,"Pas de correspondance")</f>
        <v>Pas de correspondance</v>
      </c>
      <c r="K525" t="str">
        <f>_xlfn.XLOOKUP(Logs__2[[#This Row],[Cell_ID]],'Registre_Maintenance'!B:B,'Registre_Maintenance'!G:G,"Pas de correspondance")</f>
        <v>Pas de correspondance</v>
      </c>
    </row>
    <row r="526" spans="1:11" hidden="1" x14ac:dyDescent="0.25">
      <c r="A526" s="1" t="s">
        <v>1214</v>
      </c>
      <c r="B526" s="2">
        <v>45209</v>
      </c>
      <c r="C526" s="3">
        <v>0.78194444444444444</v>
      </c>
      <c r="D526" s="1" t="s">
        <v>1185</v>
      </c>
      <c r="E526">
        <v>10</v>
      </c>
      <c r="F526" s="1" t="s">
        <v>809</v>
      </c>
      <c r="G526" t="str">
        <f>_xlfn.XLOOKUP(Logs__2[[#This Row],[Cell_ID]],'Registre_Maintenance'!B:B,'Registre_Maintenance'!C:C,"Pas de correspondance")</f>
        <v>Pas de correspondance</v>
      </c>
      <c r="H526" t="str">
        <f>_xlfn.XLOOKUP(Logs__2[[#This Row],[Cell_ID]],'Registre_Maintenance'!B:B,'Registre_Maintenance'!D:D,"Pas de correspondance")</f>
        <v>Pas de correspondance</v>
      </c>
      <c r="I526" t="str">
        <f>_xlfn.XLOOKUP(Logs__2[[#This Row],[Cell_ID]],'Registre_Maintenance'!B:B,'Registre_Maintenance'!E:E,"Pas de correspondance")</f>
        <v>Pas de correspondance</v>
      </c>
      <c r="J526" t="str">
        <f>_xlfn.XLOOKUP(Logs__2[[#This Row],[Cell_ID]],'Registre_Maintenance'!B:B,'Registre_Maintenance'!F:F,"Pas de correspondance")</f>
        <v>Pas de correspondance</v>
      </c>
      <c r="K526" t="str">
        <f>_xlfn.XLOOKUP(Logs__2[[#This Row],[Cell_ID]],'Registre_Maintenance'!B:B,'Registre_Maintenance'!G:G,"Pas de correspondance")</f>
        <v>Pas de correspondance</v>
      </c>
    </row>
    <row r="527" spans="1:11" hidden="1" x14ac:dyDescent="0.25">
      <c r="A527" s="1" t="s">
        <v>1214</v>
      </c>
      <c r="B527" s="2">
        <v>45218</v>
      </c>
      <c r="C527" s="3">
        <v>1.1111111111111112E-2</v>
      </c>
      <c r="D527" s="1" t="s">
        <v>1220</v>
      </c>
      <c r="E527">
        <v>59</v>
      </c>
      <c r="F527" s="1" t="s">
        <v>806</v>
      </c>
      <c r="G527" t="str">
        <f>_xlfn.XLOOKUP(Logs__2[[#This Row],[Cell_ID]],'Registre_Maintenance'!B:B,'Registre_Maintenance'!C:C,"Pas de correspondance")</f>
        <v>Pas de correspondance</v>
      </c>
      <c r="H527" t="str">
        <f>_xlfn.XLOOKUP(Logs__2[[#This Row],[Cell_ID]],'Registre_Maintenance'!B:B,'Registre_Maintenance'!D:D,"Pas de correspondance")</f>
        <v>Pas de correspondance</v>
      </c>
      <c r="I527" t="str">
        <f>_xlfn.XLOOKUP(Logs__2[[#This Row],[Cell_ID]],'Registre_Maintenance'!B:B,'Registre_Maintenance'!E:E,"Pas de correspondance")</f>
        <v>Pas de correspondance</v>
      </c>
      <c r="J527" t="str">
        <f>_xlfn.XLOOKUP(Logs__2[[#This Row],[Cell_ID]],'Registre_Maintenance'!B:B,'Registre_Maintenance'!F:F,"Pas de correspondance")</f>
        <v>Pas de correspondance</v>
      </c>
      <c r="K527" t="str">
        <f>_xlfn.XLOOKUP(Logs__2[[#This Row],[Cell_ID]],'Registre_Maintenance'!B:B,'Registre_Maintenance'!G:G,"Pas de correspondance")</f>
        <v>Pas de correspondance</v>
      </c>
    </row>
    <row r="528" spans="1:11" x14ac:dyDescent="0.25">
      <c r="A528" s="1" t="s">
        <v>1214</v>
      </c>
      <c r="B528" s="2">
        <v>45220</v>
      </c>
      <c r="C528" s="3">
        <v>0.48888888888888887</v>
      </c>
      <c r="D528" s="1" t="s">
        <v>894</v>
      </c>
      <c r="E528">
        <v>49</v>
      </c>
      <c r="F528" s="1" t="s">
        <v>811</v>
      </c>
      <c r="G528" t="str">
        <f>_xlfn.XLOOKUP(Logs__2[[#This Row],[Cell_ID]],'Registre_Maintenance'!B:B,'Registre_Maintenance'!C:C,"Pas de correspondance")</f>
        <v>Sud-Ubangi</v>
      </c>
      <c r="H528">
        <f>_xlfn.XLOOKUP(Logs__2[[#This Row],[Cell_ID]],'Registre_Maintenance'!B:B,'Registre_Maintenance'!D:D,"Pas de correspondance")</f>
        <v>-9.3652239999999995</v>
      </c>
      <c r="I528">
        <f>_xlfn.XLOOKUP(Logs__2[[#This Row],[Cell_ID]],'Registre_Maintenance'!B:B,'Registre_Maintenance'!E:E,"Pas de correspondance")</f>
        <v>22.593423999999999</v>
      </c>
      <c r="J528" t="str">
        <f>_xlfn.XLOOKUP(Logs__2[[#This Row],[Cell_ID]],'Registre_Maintenance'!B:B,'Registre_Maintenance'!F:F,"Pas de correspondance")</f>
        <v>5G</v>
      </c>
      <c r="K528" t="str">
        <f>_xlfn.XLOOKUP(Logs__2[[#This Row],[Cell_ID]],'Registre_Maintenance'!B:B,'Registre_Maintenance'!G:G,"Pas de correspondance")</f>
        <v>Nokia</v>
      </c>
    </row>
    <row r="529" spans="1:11" x14ac:dyDescent="0.25">
      <c r="A529" s="1" t="s">
        <v>1214</v>
      </c>
      <c r="B529" s="2">
        <v>45207</v>
      </c>
      <c r="C529" s="3">
        <v>7.0833333333333331E-2</v>
      </c>
      <c r="D529" s="1" t="s">
        <v>1221</v>
      </c>
      <c r="E529">
        <v>94</v>
      </c>
      <c r="F529" s="1" t="s">
        <v>809</v>
      </c>
      <c r="G529" t="str">
        <f>_xlfn.XLOOKUP(Logs__2[[#This Row],[Cell_ID]],'Registre_Maintenance'!B:B,'Registre_Maintenance'!C:C,"Pas de correspondance")</f>
        <v>Equateur</v>
      </c>
      <c r="H529">
        <f>_xlfn.XLOOKUP(Logs__2[[#This Row],[Cell_ID]],'Registre_Maintenance'!B:B,'Registre_Maintenance'!D:D,"Pas de correspondance")</f>
        <v>-1.1284540000000001</v>
      </c>
      <c r="I529">
        <f>_xlfn.XLOOKUP(Logs__2[[#This Row],[Cell_ID]],'Registre_Maintenance'!B:B,'Registre_Maintenance'!E:E,"Pas de correspondance")</f>
        <v>23.000360000000001</v>
      </c>
      <c r="J529" t="str">
        <f>_xlfn.XLOOKUP(Logs__2[[#This Row],[Cell_ID]],'Registre_Maintenance'!B:B,'Registre_Maintenance'!F:F,"Pas de correspondance")</f>
        <v>5G</v>
      </c>
      <c r="K529" t="str">
        <f>_xlfn.XLOOKUP(Logs__2[[#This Row],[Cell_ID]],'Registre_Maintenance'!B:B,'Registre_Maintenance'!G:G,"Pas de correspondance")</f>
        <v>Ericsson</v>
      </c>
    </row>
    <row r="530" spans="1:11" x14ac:dyDescent="0.25">
      <c r="A530" s="1" t="s">
        <v>1214</v>
      </c>
      <c r="B530" s="2">
        <v>45203</v>
      </c>
      <c r="C530" s="3">
        <v>0.59652777777777777</v>
      </c>
      <c r="D530" s="1" t="s">
        <v>1222</v>
      </c>
      <c r="E530">
        <v>13</v>
      </c>
      <c r="F530" s="1" t="s">
        <v>809</v>
      </c>
      <c r="G530" t="str">
        <f>_xlfn.XLOOKUP(Logs__2[[#This Row],[Cell_ID]],'Registre_Maintenance'!B:B,'Registre_Maintenance'!C:C,"Pas de correspondance")</f>
        <v>Tshuapa</v>
      </c>
      <c r="H530">
        <f>_xlfn.XLOOKUP(Logs__2[[#This Row],[Cell_ID]],'Registre_Maintenance'!B:B,'Registre_Maintenance'!D:D,"Pas de correspondance")</f>
        <v>-1.9540519999999999</v>
      </c>
      <c r="I530">
        <f>_xlfn.XLOOKUP(Logs__2[[#This Row],[Cell_ID]],'Registre_Maintenance'!B:B,'Registre_Maintenance'!E:E,"Pas de correspondance")</f>
        <v>12.667945</v>
      </c>
      <c r="J530" t="str">
        <f>_xlfn.XLOOKUP(Logs__2[[#This Row],[Cell_ID]],'Registre_Maintenance'!B:B,'Registre_Maintenance'!F:F,"Pas de correspondance")</f>
        <v>4G</v>
      </c>
      <c r="K530" t="str">
        <f>_xlfn.XLOOKUP(Logs__2[[#This Row],[Cell_ID]],'Registre_Maintenance'!B:B,'Registre_Maintenance'!G:G,"Pas de correspondance")</f>
        <v>Huawei</v>
      </c>
    </row>
    <row r="531" spans="1:11" x14ac:dyDescent="0.25">
      <c r="A531" s="1" t="s">
        <v>1214</v>
      </c>
      <c r="B531" s="2">
        <v>45205</v>
      </c>
      <c r="C531" s="3">
        <v>0.52986111111111112</v>
      </c>
      <c r="D531" s="1" t="s">
        <v>888</v>
      </c>
      <c r="E531">
        <v>74</v>
      </c>
      <c r="F531" s="1" t="s">
        <v>809</v>
      </c>
      <c r="G531" t="str">
        <f>_xlfn.XLOOKUP(Logs__2[[#This Row],[Cell_ID]],'Registre_Maintenance'!B:B,'Registre_Maintenance'!C:C,"Pas de correspondance")</f>
        <v>Mongala</v>
      </c>
      <c r="H531">
        <f>_xlfn.XLOOKUP(Logs__2[[#This Row],[Cell_ID]],'Registre_Maintenance'!B:B,'Registre_Maintenance'!D:D,"Pas de correspondance")</f>
        <v>-11.514188000000001</v>
      </c>
      <c r="I531">
        <f>_xlfn.XLOOKUP(Logs__2[[#This Row],[Cell_ID]],'Registre_Maintenance'!B:B,'Registre_Maintenance'!E:E,"Pas de correspondance")</f>
        <v>15.971181</v>
      </c>
      <c r="J531" t="str">
        <f>_xlfn.XLOOKUP(Logs__2[[#This Row],[Cell_ID]],'Registre_Maintenance'!B:B,'Registre_Maintenance'!F:F,"Pas de correspondance")</f>
        <v>5G</v>
      </c>
      <c r="K531" t="str">
        <f>_xlfn.XLOOKUP(Logs__2[[#This Row],[Cell_ID]],'Registre_Maintenance'!B:B,'Registre_Maintenance'!G:G,"Pas de correspondance")</f>
        <v>Ericsson</v>
      </c>
    </row>
    <row r="532" spans="1:11" hidden="1" x14ac:dyDescent="0.25">
      <c r="A532" s="1" t="s">
        <v>1214</v>
      </c>
      <c r="B532" s="2">
        <v>45216</v>
      </c>
      <c r="C532" s="3">
        <v>0.9506944444444444</v>
      </c>
      <c r="D532" s="1" t="s">
        <v>807</v>
      </c>
      <c r="E532">
        <v>12</v>
      </c>
      <c r="F532" s="1" t="s">
        <v>806</v>
      </c>
      <c r="G532" t="str">
        <f>_xlfn.XLOOKUP(Logs__2[[#This Row],[Cell_ID]],'Registre_Maintenance'!B:B,'Registre_Maintenance'!C:C,"Pas de correspondance")</f>
        <v>Pas de correspondance</v>
      </c>
      <c r="H532" t="str">
        <f>_xlfn.XLOOKUP(Logs__2[[#This Row],[Cell_ID]],'Registre_Maintenance'!B:B,'Registre_Maintenance'!D:D,"Pas de correspondance")</f>
        <v>Pas de correspondance</v>
      </c>
      <c r="I532" t="str">
        <f>_xlfn.XLOOKUP(Logs__2[[#This Row],[Cell_ID]],'Registre_Maintenance'!B:B,'Registre_Maintenance'!E:E,"Pas de correspondance")</f>
        <v>Pas de correspondance</v>
      </c>
      <c r="J532" t="str">
        <f>_xlfn.XLOOKUP(Logs__2[[#This Row],[Cell_ID]],'Registre_Maintenance'!B:B,'Registre_Maintenance'!F:F,"Pas de correspondance")</f>
        <v>Pas de correspondance</v>
      </c>
      <c r="K532" t="str">
        <f>_xlfn.XLOOKUP(Logs__2[[#This Row],[Cell_ID]],'Registre_Maintenance'!B:B,'Registre_Maintenance'!G:G,"Pas de correspondance")</f>
        <v>Pas de correspondance</v>
      </c>
    </row>
    <row r="533" spans="1:11" x14ac:dyDescent="0.25">
      <c r="A533" s="1" t="s">
        <v>1214</v>
      </c>
      <c r="B533" s="2">
        <v>45209</v>
      </c>
      <c r="C533" s="3">
        <v>0.92152777777777772</v>
      </c>
      <c r="D533" s="1" t="s">
        <v>996</v>
      </c>
      <c r="E533">
        <v>119</v>
      </c>
      <c r="F533" s="1" t="s">
        <v>806</v>
      </c>
      <c r="G533" t="str">
        <f>_xlfn.XLOOKUP(Logs__2[[#This Row],[Cell_ID]],'Registre_Maintenance'!B:B,'Registre_Maintenance'!C:C,"Pas de correspondance")</f>
        <v>Bas-Uele</v>
      </c>
      <c r="H533">
        <f>_xlfn.XLOOKUP(Logs__2[[#This Row],[Cell_ID]],'Registre_Maintenance'!B:B,'Registre_Maintenance'!D:D,"Pas de correspondance")</f>
        <v>1.5278670000000001</v>
      </c>
      <c r="I533">
        <f>_xlfn.XLOOKUP(Logs__2[[#This Row],[Cell_ID]],'Registre_Maintenance'!B:B,'Registre_Maintenance'!E:E,"Pas de correspondance")</f>
        <v>13.899388999999999</v>
      </c>
      <c r="J533" t="str">
        <f>_xlfn.XLOOKUP(Logs__2[[#This Row],[Cell_ID]],'Registre_Maintenance'!B:B,'Registre_Maintenance'!F:F,"Pas de correspondance")</f>
        <v>3G</v>
      </c>
      <c r="K533" t="str">
        <f>_xlfn.XLOOKUP(Logs__2[[#This Row],[Cell_ID]],'Registre_Maintenance'!B:B,'Registre_Maintenance'!G:G,"Pas de correspondance")</f>
        <v>Huawei</v>
      </c>
    </row>
    <row r="534" spans="1:11" hidden="1" x14ac:dyDescent="0.25">
      <c r="A534" s="1" t="s">
        <v>1214</v>
      </c>
      <c r="B534" s="2">
        <v>45220</v>
      </c>
      <c r="C534" s="3">
        <v>0.39097222222222222</v>
      </c>
      <c r="D534" s="1" t="s">
        <v>1184</v>
      </c>
      <c r="E534">
        <v>13</v>
      </c>
      <c r="F534" s="1" t="s">
        <v>809</v>
      </c>
      <c r="G534" t="str">
        <f>_xlfn.XLOOKUP(Logs__2[[#This Row],[Cell_ID]],'Registre_Maintenance'!B:B,'Registre_Maintenance'!C:C,"Pas de correspondance")</f>
        <v>Pas de correspondance</v>
      </c>
      <c r="H534" t="str">
        <f>_xlfn.XLOOKUP(Logs__2[[#This Row],[Cell_ID]],'Registre_Maintenance'!B:B,'Registre_Maintenance'!D:D,"Pas de correspondance")</f>
        <v>Pas de correspondance</v>
      </c>
      <c r="I534" t="str">
        <f>_xlfn.XLOOKUP(Logs__2[[#This Row],[Cell_ID]],'Registre_Maintenance'!B:B,'Registre_Maintenance'!E:E,"Pas de correspondance")</f>
        <v>Pas de correspondance</v>
      </c>
      <c r="J534" t="str">
        <f>_xlfn.XLOOKUP(Logs__2[[#This Row],[Cell_ID]],'Registre_Maintenance'!B:B,'Registre_Maintenance'!F:F,"Pas de correspondance")</f>
        <v>Pas de correspondance</v>
      </c>
      <c r="K534" t="str">
        <f>_xlfn.XLOOKUP(Logs__2[[#This Row],[Cell_ID]],'Registre_Maintenance'!B:B,'Registre_Maintenance'!G:G,"Pas de correspondance")</f>
        <v>Pas de correspondance</v>
      </c>
    </row>
    <row r="535" spans="1:11" hidden="1" x14ac:dyDescent="0.25">
      <c r="A535" s="1" t="s">
        <v>1214</v>
      </c>
      <c r="B535" s="2">
        <v>45219</v>
      </c>
      <c r="C535" s="3">
        <v>0.30138888888888887</v>
      </c>
      <c r="D535" s="1" t="s">
        <v>824</v>
      </c>
      <c r="E535">
        <v>65</v>
      </c>
      <c r="F535" s="1" t="s">
        <v>806</v>
      </c>
      <c r="G535" t="str">
        <f>_xlfn.XLOOKUP(Logs__2[[#This Row],[Cell_ID]],'Registre_Maintenance'!B:B,'Registre_Maintenance'!C:C,"Pas de correspondance")</f>
        <v>Pas de correspondance</v>
      </c>
      <c r="H535" t="str">
        <f>_xlfn.XLOOKUP(Logs__2[[#This Row],[Cell_ID]],'Registre_Maintenance'!B:B,'Registre_Maintenance'!D:D,"Pas de correspondance")</f>
        <v>Pas de correspondance</v>
      </c>
      <c r="I535" t="str">
        <f>_xlfn.XLOOKUP(Logs__2[[#This Row],[Cell_ID]],'Registre_Maintenance'!B:B,'Registre_Maintenance'!E:E,"Pas de correspondance")</f>
        <v>Pas de correspondance</v>
      </c>
      <c r="J535" t="str">
        <f>_xlfn.XLOOKUP(Logs__2[[#This Row],[Cell_ID]],'Registre_Maintenance'!B:B,'Registre_Maintenance'!F:F,"Pas de correspondance")</f>
        <v>Pas de correspondance</v>
      </c>
      <c r="K535" t="str">
        <f>_xlfn.XLOOKUP(Logs__2[[#This Row],[Cell_ID]],'Registre_Maintenance'!B:B,'Registre_Maintenance'!G:G,"Pas de correspondance")</f>
        <v>Pas de correspondance</v>
      </c>
    </row>
    <row r="536" spans="1:11" hidden="1" x14ac:dyDescent="0.25">
      <c r="A536" s="1" t="s">
        <v>1214</v>
      </c>
      <c r="B536" s="2">
        <v>45230</v>
      </c>
      <c r="C536" s="3">
        <v>0.1875</v>
      </c>
      <c r="D536" s="1" t="s">
        <v>1223</v>
      </c>
      <c r="E536">
        <v>9</v>
      </c>
      <c r="F536" s="1" t="s">
        <v>811</v>
      </c>
      <c r="G536" t="str">
        <f>_xlfn.XLOOKUP(Logs__2[[#This Row],[Cell_ID]],'Registre_Maintenance'!B:B,'Registre_Maintenance'!C:C,"Pas de correspondance")</f>
        <v>Pas de correspondance</v>
      </c>
      <c r="H536" t="str">
        <f>_xlfn.XLOOKUP(Logs__2[[#This Row],[Cell_ID]],'Registre_Maintenance'!B:B,'Registre_Maintenance'!D:D,"Pas de correspondance")</f>
        <v>Pas de correspondance</v>
      </c>
      <c r="I536" t="str">
        <f>_xlfn.XLOOKUP(Logs__2[[#This Row],[Cell_ID]],'Registre_Maintenance'!B:B,'Registre_Maintenance'!E:E,"Pas de correspondance")</f>
        <v>Pas de correspondance</v>
      </c>
      <c r="J536" t="str">
        <f>_xlfn.XLOOKUP(Logs__2[[#This Row],[Cell_ID]],'Registre_Maintenance'!B:B,'Registre_Maintenance'!F:F,"Pas de correspondance")</f>
        <v>Pas de correspondance</v>
      </c>
      <c r="K536" t="str">
        <f>_xlfn.XLOOKUP(Logs__2[[#This Row],[Cell_ID]],'Registre_Maintenance'!B:B,'Registre_Maintenance'!G:G,"Pas de correspondance")</f>
        <v>Pas de correspondance</v>
      </c>
    </row>
    <row r="537" spans="1:11" x14ac:dyDescent="0.25">
      <c r="A537" s="1" t="s">
        <v>1214</v>
      </c>
      <c r="B537" s="2">
        <v>45204</v>
      </c>
      <c r="C537" s="3">
        <v>0.61597222222222225</v>
      </c>
      <c r="D537" s="1" t="s">
        <v>1224</v>
      </c>
      <c r="E537">
        <v>41</v>
      </c>
      <c r="F537" s="1" t="s">
        <v>811</v>
      </c>
      <c r="G537" t="str">
        <f>_xlfn.XLOOKUP(Logs__2[[#This Row],[Cell_ID]],'Registre_Maintenance'!B:B,'Registre_Maintenance'!C:C,"Pas de correspondance")</f>
        <v>Kinshasa</v>
      </c>
      <c r="H537">
        <f>_xlfn.XLOOKUP(Logs__2[[#This Row],[Cell_ID]],'Registre_Maintenance'!B:B,'Registre_Maintenance'!D:D,"Pas de correspondance")</f>
        <v>1.3006180000000001</v>
      </c>
      <c r="I537">
        <f>_xlfn.XLOOKUP(Logs__2[[#This Row],[Cell_ID]],'Registre_Maintenance'!B:B,'Registre_Maintenance'!E:E,"Pas de correspondance")</f>
        <v>29.060970999999999</v>
      </c>
      <c r="J537" t="str">
        <f>_xlfn.XLOOKUP(Logs__2[[#This Row],[Cell_ID]],'Registre_Maintenance'!B:B,'Registre_Maintenance'!F:F,"Pas de correspondance")</f>
        <v>3G</v>
      </c>
      <c r="K537" t="str">
        <f>_xlfn.XLOOKUP(Logs__2[[#This Row],[Cell_ID]],'Registre_Maintenance'!B:B,'Registre_Maintenance'!G:G,"Pas de correspondance")</f>
        <v>ZTE</v>
      </c>
    </row>
    <row r="538" spans="1:11" x14ac:dyDescent="0.25">
      <c r="A538" s="1" t="s">
        <v>1214</v>
      </c>
      <c r="B538" s="2">
        <v>45219</v>
      </c>
      <c r="C538" s="3">
        <v>0.47638888888888886</v>
      </c>
      <c r="D538" s="1" t="s">
        <v>813</v>
      </c>
      <c r="E538">
        <v>57</v>
      </c>
      <c r="F538" s="1" t="s">
        <v>806</v>
      </c>
      <c r="G538" t="str">
        <f>_xlfn.XLOOKUP(Logs__2[[#This Row],[Cell_ID]],'Registre_Maintenance'!B:B,'Registre_Maintenance'!C:C,"Pas de correspondance")</f>
        <v>Kongo-Central</v>
      </c>
      <c r="H538">
        <f>_xlfn.XLOOKUP(Logs__2[[#This Row],[Cell_ID]],'Registre_Maintenance'!B:B,'Registre_Maintenance'!D:D,"Pas de correspondance")</f>
        <v>-2.8211520000000001</v>
      </c>
      <c r="I538">
        <f>_xlfn.XLOOKUP(Logs__2[[#This Row],[Cell_ID]],'Registre_Maintenance'!B:B,'Registre_Maintenance'!E:E,"Pas de correspondance")</f>
        <v>20.651419000000001</v>
      </c>
      <c r="J538" t="str">
        <f>_xlfn.XLOOKUP(Logs__2[[#This Row],[Cell_ID]],'Registre_Maintenance'!B:B,'Registre_Maintenance'!F:F,"Pas de correspondance")</f>
        <v>5G</v>
      </c>
      <c r="K538" t="str">
        <f>_xlfn.XLOOKUP(Logs__2[[#This Row],[Cell_ID]],'Registre_Maintenance'!B:B,'Registre_Maintenance'!G:G,"Pas de correspondance")</f>
        <v>Ericsson</v>
      </c>
    </row>
    <row r="539" spans="1:11" x14ac:dyDescent="0.25">
      <c r="A539" s="1" t="s">
        <v>1214</v>
      </c>
      <c r="B539" s="2">
        <v>45222</v>
      </c>
      <c r="C539" s="3">
        <v>0.74861111111111112</v>
      </c>
      <c r="D539" s="1" t="s">
        <v>1225</v>
      </c>
      <c r="E539">
        <v>28</v>
      </c>
      <c r="F539" s="1" t="s">
        <v>809</v>
      </c>
      <c r="G539" t="str">
        <f>_xlfn.XLOOKUP(Logs__2[[#This Row],[Cell_ID]],'Registre_Maintenance'!B:B,'Registre_Maintenance'!C:C,"Pas de correspondance")</f>
        <v>Haut-Katanga</v>
      </c>
      <c r="H539">
        <f>_xlfn.XLOOKUP(Logs__2[[#This Row],[Cell_ID]],'Registre_Maintenance'!B:B,'Registre_Maintenance'!D:D,"Pas de correspondance")</f>
        <v>-11.468578000000001</v>
      </c>
      <c r="I539">
        <f>_xlfn.XLOOKUP(Logs__2[[#This Row],[Cell_ID]],'Registre_Maintenance'!B:B,'Registre_Maintenance'!E:E,"Pas de correspondance")</f>
        <v>16.914501999999999</v>
      </c>
      <c r="J539" t="str">
        <f>_xlfn.XLOOKUP(Logs__2[[#This Row],[Cell_ID]],'Registre_Maintenance'!B:B,'Registre_Maintenance'!F:F,"Pas de correspondance")</f>
        <v>4G</v>
      </c>
      <c r="K539" t="str">
        <f>_xlfn.XLOOKUP(Logs__2[[#This Row],[Cell_ID]],'Registre_Maintenance'!B:B,'Registre_Maintenance'!G:G,"Pas de correspondance")</f>
        <v>Ericsson</v>
      </c>
    </row>
    <row r="540" spans="1:11" hidden="1" x14ac:dyDescent="0.25">
      <c r="A540" s="1" t="s">
        <v>1214</v>
      </c>
      <c r="B540" s="2">
        <v>45215</v>
      </c>
      <c r="C540" s="3">
        <v>0.74375000000000002</v>
      </c>
      <c r="D540" s="1" t="s">
        <v>1226</v>
      </c>
      <c r="E540">
        <v>103</v>
      </c>
      <c r="F540" s="1" t="s">
        <v>806</v>
      </c>
      <c r="G540" t="str">
        <f>_xlfn.XLOOKUP(Logs__2[[#This Row],[Cell_ID]],'Registre_Maintenance'!B:B,'Registre_Maintenance'!C:C,"Pas de correspondance")</f>
        <v>Pas de correspondance</v>
      </c>
      <c r="H540" t="str">
        <f>_xlfn.XLOOKUP(Logs__2[[#This Row],[Cell_ID]],'Registre_Maintenance'!B:B,'Registre_Maintenance'!D:D,"Pas de correspondance")</f>
        <v>Pas de correspondance</v>
      </c>
      <c r="I540" t="str">
        <f>_xlfn.XLOOKUP(Logs__2[[#This Row],[Cell_ID]],'Registre_Maintenance'!B:B,'Registre_Maintenance'!E:E,"Pas de correspondance")</f>
        <v>Pas de correspondance</v>
      </c>
      <c r="J540" t="str">
        <f>_xlfn.XLOOKUP(Logs__2[[#This Row],[Cell_ID]],'Registre_Maintenance'!B:B,'Registre_Maintenance'!F:F,"Pas de correspondance")</f>
        <v>Pas de correspondance</v>
      </c>
      <c r="K540" t="str">
        <f>_xlfn.XLOOKUP(Logs__2[[#This Row],[Cell_ID]],'Registre_Maintenance'!B:B,'Registre_Maintenance'!G:G,"Pas de correspondance")</f>
        <v>Pas de correspondance</v>
      </c>
    </row>
    <row r="541" spans="1:11" x14ac:dyDescent="0.25">
      <c r="A541" s="1" t="s">
        <v>1214</v>
      </c>
      <c r="B541" s="2">
        <v>45221</v>
      </c>
      <c r="C541" s="3">
        <v>0.28333333333333333</v>
      </c>
      <c r="D541" s="1" t="s">
        <v>1227</v>
      </c>
      <c r="E541">
        <v>22</v>
      </c>
      <c r="F541" s="1" t="s">
        <v>806</v>
      </c>
      <c r="G541" t="str">
        <f>_xlfn.XLOOKUP(Logs__2[[#This Row],[Cell_ID]],'Registre_Maintenance'!B:B,'Registre_Maintenance'!C:C,"Pas de correspondance")</f>
        <v>Kinshasa</v>
      </c>
      <c r="H541">
        <f>_xlfn.XLOOKUP(Logs__2[[#This Row],[Cell_ID]],'Registre_Maintenance'!B:B,'Registre_Maintenance'!D:D,"Pas de correspondance")</f>
        <v>-2.6665070000000002</v>
      </c>
      <c r="I541">
        <f>_xlfn.XLOOKUP(Logs__2[[#This Row],[Cell_ID]],'Registre_Maintenance'!B:B,'Registre_Maintenance'!E:E,"Pas de correspondance")</f>
        <v>18.623692999999999</v>
      </c>
      <c r="J541" t="str">
        <f>_xlfn.XLOOKUP(Logs__2[[#This Row],[Cell_ID]],'Registre_Maintenance'!B:B,'Registre_Maintenance'!F:F,"Pas de correspondance")</f>
        <v>3G</v>
      </c>
      <c r="K541" t="str">
        <f>_xlfn.XLOOKUP(Logs__2[[#This Row],[Cell_ID]],'Registre_Maintenance'!B:B,'Registre_Maintenance'!G:G,"Pas de correspondance")</f>
        <v>ZTE</v>
      </c>
    </row>
    <row r="542" spans="1:11" hidden="1" x14ac:dyDescent="0.25">
      <c r="A542" s="1" t="s">
        <v>1214</v>
      </c>
      <c r="B542" s="2">
        <v>45207</v>
      </c>
      <c r="C542" s="3">
        <v>0.90833333333333333</v>
      </c>
      <c r="D542" s="1" t="s">
        <v>1228</v>
      </c>
      <c r="E542">
        <v>103</v>
      </c>
      <c r="F542" s="1" t="s">
        <v>806</v>
      </c>
      <c r="G542" t="str">
        <f>_xlfn.XLOOKUP(Logs__2[[#This Row],[Cell_ID]],'Registre_Maintenance'!B:B,'Registre_Maintenance'!C:C,"Pas de correspondance")</f>
        <v>Pas de correspondance</v>
      </c>
      <c r="H542" t="str">
        <f>_xlfn.XLOOKUP(Logs__2[[#This Row],[Cell_ID]],'Registre_Maintenance'!B:B,'Registre_Maintenance'!D:D,"Pas de correspondance")</f>
        <v>Pas de correspondance</v>
      </c>
      <c r="I542" t="str">
        <f>_xlfn.XLOOKUP(Logs__2[[#This Row],[Cell_ID]],'Registre_Maintenance'!B:B,'Registre_Maintenance'!E:E,"Pas de correspondance")</f>
        <v>Pas de correspondance</v>
      </c>
      <c r="J542" t="str">
        <f>_xlfn.XLOOKUP(Logs__2[[#This Row],[Cell_ID]],'Registre_Maintenance'!B:B,'Registre_Maintenance'!F:F,"Pas de correspondance")</f>
        <v>Pas de correspondance</v>
      </c>
      <c r="K542" t="str">
        <f>_xlfn.XLOOKUP(Logs__2[[#This Row],[Cell_ID]],'Registre_Maintenance'!B:B,'Registre_Maintenance'!G:G,"Pas de correspondance")</f>
        <v>Pas de correspondance</v>
      </c>
    </row>
    <row r="543" spans="1:11" hidden="1" x14ac:dyDescent="0.25">
      <c r="A543" s="1" t="s">
        <v>1214</v>
      </c>
      <c r="B543" s="2">
        <v>45219</v>
      </c>
      <c r="C543" s="3">
        <v>0.10625</v>
      </c>
      <c r="D543" s="1" t="s">
        <v>1229</v>
      </c>
      <c r="E543">
        <v>87</v>
      </c>
      <c r="F543" s="1" t="s">
        <v>809</v>
      </c>
      <c r="G543" t="str">
        <f>_xlfn.XLOOKUP(Logs__2[[#This Row],[Cell_ID]],'Registre_Maintenance'!B:B,'Registre_Maintenance'!C:C,"Pas de correspondance")</f>
        <v>Pas de correspondance</v>
      </c>
      <c r="H543" t="str">
        <f>_xlfn.XLOOKUP(Logs__2[[#This Row],[Cell_ID]],'Registre_Maintenance'!B:B,'Registre_Maintenance'!D:D,"Pas de correspondance")</f>
        <v>Pas de correspondance</v>
      </c>
      <c r="I543" t="str">
        <f>_xlfn.XLOOKUP(Logs__2[[#This Row],[Cell_ID]],'Registre_Maintenance'!B:B,'Registre_Maintenance'!E:E,"Pas de correspondance")</f>
        <v>Pas de correspondance</v>
      </c>
      <c r="J543" t="str">
        <f>_xlfn.XLOOKUP(Logs__2[[#This Row],[Cell_ID]],'Registre_Maintenance'!B:B,'Registre_Maintenance'!F:F,"Pas de correspondance")</f>
        <v>Pas de correspondance</v>
      </c>
      <c r="K543" t="str">
        <f>_xlfn.XLOOKUP(Logs__2[[#This Row],[Cell_ID]],'Registre_Maintenance'!B:B,'Registre_Maintenance'!G:G,"Pas de correspondance")</f>
        <v>Pas de correspondance</v>
      </c>
    </row>
    <row r="544" spans="1:11" x14ac:dyDescent="0.25">
      <c r="A544" s="1" t="s">
        <v>1214</v>
      </c>
      <c r="B544" s="2">
        <v>45214</v>
      </c>
      <c r="C544" s="3">
        <v>0.69791666666666663</v>
      </c>
      <c r="D544" s="1" t="s">
        <v>1230</v>
      </c>
      <c r="E544">
        <v>98</v>
      </c>
      <c r="F544" s="1" t="s">
        <v>811</v>
      </c>
      <c r="G544" t="str">
        <f>_xlfn.XLOOKUP(Logs__2[[#This Row],[Cell_ID]],'Registre_Maintenance'!B:B,'Registre_Maintenance'!C:C,"Pas de correspondance")</f>
        <v>Mai-Ndombe</v>
      </c>
      <c r="H544">
        <f>_xlfn.XLOOKUP(Logs__2[[#This Row],[Cell_ID]],'Registre_Maintenance'!B:B,'Registre_Maintenance'!D:D,"Pas de correspondance")</f>
        <v>-12.192204</v>
      </c>
      <c r="I544">
        <f>_xlfn.XLOOKUP(Logs__2[[#This Row],[Cell_ID]],'Registre_Maintenance'!B:B,'Registre_Maintenance'!E:E,"Pas de correspondance")</f>
        <v>28.468682000000001</v>
      </c>
      <c r="J544" t="str">
        <f>_xlfn.XLOOKUP(Logs__2[[#This Row],[Cell_ID]],'Registre_Maintenance'!B:B,'Registre_Maintenance'!F:F,"Pas de correspondance")</f>
        <v>3G</v>
      </c>
      <c r="K544" t="str">
        <f>_xlfn.XLOOKUP(Logs__2[[#This Row],[Cell_ID]],'Registre_Maintenance'!B:B,'Registre_Maintenance'!G:G,"Pas de correspondance")</f>
        <v>ZTE</v>
      </c>
    </row>
    <row r="545" spans="1:11" hidden="1" x14ac:dyDescent="0.25">
      <c r="A545" s="1" t="s">
        <v>1214</v>
      </c>
      <c r="B545" s="2">
        <v>45211</v>
      </c>
      <c r="C545" s="3">
        <v>0.12361111111111112</v>
      </c>
      <c r="D545" s="1" t="s">
        <v>922</v>
      </c>
      <c r="E545">
        <v>87</v>
      </c>
      <c r="F545" s="1" t="s">
        <v>806</v>
      </c>
      <c r="G545" t="str">
        <f>_xlfn.XLOOKUP(Logs__2[[#This Row],[Cell_ID]],'Registre_Maintenance'!B:B,'Registre_Maintenance'!C:C,"Pas de correspondance")</f>
        <v>Pas de correspondance</v>
      </c>
      <c r="H545" t="str">
        <f>_xlfn.XLOOKUP(Logs__2[[#This Row],[Cell_ID]],'Registre_Maintenance'!B:B,'Registre_Maintenance'!D:D,"Pas de correspondance")</f>
        <v>Pas de correspondance</v>
      </c>
      <c r="I545" t="str">
        <f>_xlfn.XLOOKUP(Logs__2[[#This Row],[Cell_ID]],'Registre_Maintenance'!B:B,'Registre_Maintenance'!E:E,"Pas de correspondance")</f>
        <v>Pas de correspondance</v>
      </c>
      <c r="J545" t="str">
        <f>_xlfn.XLOOKUP(Logs__2[[#This Row],[Cell_ID]],'Registre_Maintenance'!B:B,'Registre_Maintenance'!F:F,"Pas de correspondance")</f>
        <v>Pas de correspondance</v>
      </c>
      <c r="K545" t="str">
        <f>_xlfn.XLOOKUP(Logs__2[[#This Row],[Cell_ID]],'Registre_Maintenance'!B:B,'Registre_Maintenance'!G:G,"Pas de correspondance")</f>
        <v>Pas de correspondance</v>
      </c>
    </row>
    <row r="546" spans="1:11" hidden="1" x14ac:dyDescent="0.25">
      <c r="A546" s="1" t="s">
        <v>1214</v>
      </c>
      <c r="B546" s="2">
        <v>45218</v>
      </c>
      <c r="C546" s="3">
        <v>0.12708333333333333</v>
      </c>
      <c r="D546" s="1" t="s">
        <v>1081</v>
      </c>
      <c r="E546">
        <v>58</v>
      </c>
      <c r="F546" s="1" t="s">
        <v>809</v>
      </c>
      <c r="G546" t="str">
        <f>_xlfn.XLOOKUP(Logs__2[[#This Row],[Cell_ID]],'Registre_Maintenance'!B:B,'Registre_Maintenance'!C:C,"Pas de correspondance")</f>
        <v>Pas de correspondance</v>
      </c>
      <c r="H546" t="str">
        <f>_xlfn.XLOOKUP(Logs__2[[#This Row],[Cell_ID]],'Registre_Maintenance'!B:B,'Registre_Maintenance'!D:D,"Pas de correspondance")</f>
        <v>Pas de correspondance</v>
      </c>
      <c r="I546" t="str">
        <f>_xlfn.XLOOKUP(Logs__2[[#This Row],[Cell_ID]],'Registre_Maintenance'!B:B,'Registre_Maintenance'!E:E,"Pas de correspondance")</f>
        <v>Pas de correspondance</v>
      </c>
      <c r="J546" t="str">
        <f>_xlfn.XLOOKUP(Logs__2[[#This Row],[Cell_ID]],'Registre_Maintenance'!B:B,'Registre_Maintenance'!F:F,"Pas de correspondance")</f>
        <v>Pas de correspondance</v>
      </c>
      <c r="K546" t="str">
        <f>_xlfn.XLOOKUP(Logs__2[[#This Row],[Cell_ID]],'Registre_Maintenance'!B:B,'Registre_Maintenance'!G:G,"Pas de correspondance")</f>
        <v>Pas de correspondance</v>
      </c>
    </row>
    <row r="547" spans="1:11" hidden="1" x14ac:dyDescent="0.25">
      <c r="A547" s="1" t="s">
        <v>1214</v>
      </c>
      <c r="B547" s="2">
        <v>45226</v>
      </c>
      <c r="C547" s="3">
        <v>0.74791666666666667</v>
      </c>
      <c r="D547" s="1" t="s">
        <v>1231</v>
      </c>
      <c r="E547">
        <v>52</v>
      </c>
      <c r="F547" s="1" t="s">
        <v>809</v>
      </c>
      <c r="G547" t="str">
        <f>_xlfn.XLOOKUP(Logs__2[[#This Row],[Cell_ID]],'Registre_Maintenance'!B:B,'Registre_Maintenance'!C:C,"Pas de correspondance")</f>
        <v>Pas de correspondance</v>
      </c>
      <c r="H547" t="str">
        <f>_xlfn.XLOOKUP(Logs__2[[#This Row],[Cell_ID]],'Registre_Maintenance'!B:B,'Registre_Maintenance'!D:D,"Pas de correspondance")</f>
        <v>Pas de correspondance</v>
      </c>
      <c r="I547" t="str">
        <f>_xlfn.XLOOKUP(Logs__2[[#This Row],[Cell_ID]],'Registre_Maintenance'!B:B,'Registre_Maintenance'!E:E,"Pas de correspondance")</f>
        <v>Pas de correspondance</v>
      </c>
      <c r="J547" t="str">
        <f>_xlfn.XLOOKUP(Logs__2[[#This Row],[Cell_ID]],'Registre_Maintenance'!B:B,'Registre_Maintenance'!F:F,"Pas de correspondance")</f>
        <v>Pas de correspondance</v>
      </c>
      <c r="K547" t="str">
        <f>_xlfn.XLOOKUP(Logs__2[[#This Row],[Cell_ID]],'Registre_Maintenance'!B:B,'Registre_Maintenance'!G:G,"Pas de correspondance")</f>
        <v>Pas de correspondance</v>
      </c>
    </row>
    <row r="548" spans="1:11" x14ac:dyDescent="0.25">
      <c r="A548" s="1" t="s">
        <v>1214</v>
      </c>
      <c r="B548" s="2">
        <v>45216</v>
      </c>
      <c r="C548" s="3">
        <v>0.27500000000000002</v>
      </c>
      <c r="D548" s="1" t="s">
        <v>1232</v>
      </c>
      <c r="E548">
        <v>119</v>
      </c>
      <c r="F548" s="1" t="s">
        <v>811</v>
      </c>
      <c r="G548" t="str">
        <f>_xlfn.XLOOKUP(Logs__2[[#This Row],[Cell_ID]],'Registre_Maintenance'!B:B,'Registre_Maintenance'!C:C,"Pas de correspondance")</f>
        <v>Sud-Kivu</v>
      </c>
      <c r="H548">
        <f>_xlfn.XLOOKUP(Logs__2[[#This Row],[Cell_ID]],'Registre_Maintenance'!B:B,'Registre_Maintenance'!D:D,"Pas de correspondance")</f>
        <v>2.4414509999999998</v>
      </c>
      <c r="I548">
        <f>_xlfn.XLOOKUP(Logs__2[[#This Row],[Cell_ID]],'Registre_Maintenance'!B:B,'Registre_Maintenance'!E:E,"Pas de correspondance")</f>
        <v>30.167489</v>
      </c>
      <c r="J548" t="str">
        <f>_xlfn.XLOOKUP(Logs__2[[#This Row],[Cell_ID]],'Registre_Maintenance'!B:B,'Registre_Maintenance'!F:F,"Pas de correspondance")</f>
        <v>5G</v>
      </c>
      <c r="K548" t="str">
        <f>_xlfn.XLOOKUP(Logs__2[[#This Row],[Cell_ID]],'Registre_Maintenance'!B:B,'Registre_Maintenance'!G:G,"Pas de correspondance")</f>
        <v>Nokia</v>
      </c>
    </row>
    <row r="549" spans="1:11" x14ac:dyDescent="0.25">
      <c r="A549" s="1" t="s">
        <v>1214</v>
      </c>
      <c r="B549" s="2">
        <v>45217</v>
      </c>
      <c r="C549" s="3">
        <v>0.1736111111111111</v>
      </c>
      <c r="D549" s="1" t="s">
        <v>940</v>
      </c>
      <c r="E549">
        <v>53</v>
      </c>
      <c r="F549" s="1" t="s">
        <v>809</v>
      </c>
      <c r="G549" t="str">
        <f>_xlfn.XLOOKUP(Logs__2[[#This Row],[Cell_ID]],'Registre_Maintenance'!B:B,'Registre_Maintenance'!C:C,"Pas de correspondance")</f>
        <v>Kinshasa</v>
      </c>
      <c r="H549">
        <f>_xlfn.XLOOKUP(Logs__2[[#This Row],[Cell_ID]],'Registre_Maintenance'!B:B,'Registre_Maintenance'!D:D,"Pas de correspondance")</f>
        <v>-1.6097570000000001</v>
      </c>
      <c r="I549">
        <f>_xlfn.XLOOKUP(Logs__2[[#This Row],[Cell_ID]],'Registre_Maintenance'!B:B,'Registre_Maintenance'!E:E,"Pas de correspondance")</f>
        <v>30.661662</v>
      </c>
      <c r="J549" t="str">
        <f>_xlfn.XLOOKUP(Logs__2[[#This Row],[Cell_ID]],'Registre_Maintenance'!B:B,'Registre_Maintenance'!F:F,"Pas de correspondance")</f>
        <v>4G</v>
      </c>
      <c r="K549" t="str">
        <f>_xlfn.XLOOKUP(Logs__2[[#This Row],[Cell_ID]],'Registre_Maintenance'!B:B,'Registre_Maintenance'!G:G,"Pas de correspondance")</f>
        <v>Ericsson</v>
      </c>
    </row>
    <row r="550" spans="1:11" x14ac:dyDescent="0.25">
      <c r="A550" s="1" t="s">
        <v>1214</v>
      </c>
      <c r="B550" s="2">
        <v>45210</v>
      </c>
      <c r="C550" s="3">
        <v>0.68611111111111112</v>
      </c>
      <c r="D550" s="1" t="s">
        <v>1233</v>
      </c>
      <c r="E550">
        <v>62</v>
      </c>
      <c r="F550" s="1" t="s">
        <v>809</v>
      </c>
      <c r="G550" t="str">
        <f>_xlfn.XLOOKUP(Logs__2[[#This Row],[Cell_ID]],'Registre_Maintenance'!B:B,'Registre_Maintenance'!C:C,"Pas de correspondance")</f>
        <v>Nord-Ubangi</v>
      </c>
      <c r="H550">
        <f>_xlfn.XLOOKUP(Logs__2[[#This Row],[Cell_ID]],'Registre_Maintenance'!B:B,'Registre_Maintenance'!D:D,"Pas de correspondance")</f>
        <v>8.5490999999999998E-2</v>
      </c>
      <c r="I550">
        <f>_xlfn.XLOOKUP(Logs__2[[#This Row],[Cell_ID]],'Registre_Maintenance'!B:B,'Registre_Maintenance'!E:E,"Pas de correspondance")</f>
        <v>26.296129000000001</v>
      </c>
      <c r="J550" t="str">
        <f>_xlfn.XLOOKUP(Logs__2[[#This Row],[Cell_ID]],'Registre_Maintenance'!B:B,'Registre_Maintenance'!F:F,"Pas de correspondance")</f>
        <v>3G</v>
      </c>
      <c r="K550" t="str">
        <f>_xlfn.XLOOKUP(Logs__2[[#This Row],[Cell_ID]],'Registre_Maintenance'!B:B,'Registre_Maintenance'!G:G,"Pas de correspondance")</f>
        <v>ZTE</v>
      </c>
    </row>
    <row r="551" spans="1:11" hidden="1" x14ac:dyDescent="0.25">
      <c r="A551" s="1" t="s">
        <v>1214</v>
      </c>
      <c r="B551" s="2">
        <v>45203</v>
      </c>
      <c r="C551" s="3">
        <v>0.88402777777777775</v>
      </c>
      <c r="D551" s="1" t="s">
        <v>1234</v>
      </c>
      <c r="E551">
        <v>116</v>
      </c>
      <c r="F551" s="1" t="s">
        <v>809</v>
      </c>
      <c r="G551" t="str">
        <f>_xlfn.XLOOKUP(Logs__2[[#This Row],[Cell_ID]],'Registre_Maintenance'!B:B,'Registre_Maintenance'!C:C,"Pas de correspondance")</f>
        <v>Pas de correspondance</v>
      </c>
      <c r="H551" t="str">
        <f>_xlfn.XLOOKUP(Logs__2[[#This Row],[Cell_ID]],'Registre_Maintenance'!B:B,'Registre_Maintenance'!D:D,"Pas de correspondance")</f>
        <v>Pas de correspondance</v>
      </c>
      <c r="I551" t="str">
        <f>_xlfn.XLOOKUP(Logs__2[[#This Row],[Cell_ID]],'Registre_Maintenance'!B:B,'Registre_Maintenance'!E:E,"Pas de correspondance")</f>
        <v>Pas de correspondance</v>
      </c>
      <c r="J551" t="str">
        <f>_xlfn.XLOOKUP(Logs__2[[#This Row],[Cell_ID]],'Registre_Maintenance'!B:B,'Registre_Maintenance'!F:F,"Pas de correspondance")</f>
        <v>Pas de correspondance</v>
      </c>
      <c r="K551" t="str">
        <f>_xlfn.XLOOKUP(Logs__2[[#This Row],[Cell_ID]],'Registre_Maintenance'!B:B,'Registre_Maintenance'!G:G,"Pas de correspondance")</f>
        <v>Pas de correspondance</v>
      </c>
    </row>
    <row r="552" spans="1:11" hidden="1" x14ac:dyDescent="0.25">
      <c r="A552" s="1" t="s">
        <v>1214</v>
      </c>
      <c r="B552" s="2">
        <v>45222</v>
      </c>
      <c r="C552" s="3">
        <v>0.77152777777777781</v>
      </c>
      <c r="D552" s="1" t="s">
        <v>812</v>
      </c>
      <c r="E552">
        <v>53</v>
      </c>
      <c r="F552" s="1" t="s">
        <v>811</v>
      </c>
      <c r="G552" t="str">
        <f>_xlfn.XLOOKUP(Logs__2[[#This Row],[Cell_ID]],'Registre_Maintenance'!B:B,'Registre_Maintenance'!C:C,"Pas de correspondance")</f>
        <v>Pas de correspondance</v>
      </c>
      <c r="H552" t="str">
        <f>_xlfn.XLOOKUP(Logs__2[[#This Row],[Cell_ID]],'Registre_Maintenance'!B:B,'Registre_Maintenance'!D:D,"Pas de correspondance")</f>
        <v>Pas de correspondance</v>
      </c>
      <c r="I552" t="str">
        <f>_xlfn.XLOOKUP(Logs__2[[#This Row],[Cell_ID]],'Registre_Maintenance'!B:B,'Registre_Maintenance'!E:E,"Pas de correspondance")</f>
        <v>Pas de correspondance</v>
      </c>
      <c r="J552" t="str">
        <f>_xlfn.XLOOKUP(Logs__2[[#This Row],[Cell_ID]],'Registre_Maintenance'!B:B,'Registre_Maintenance'!F:F,"Pas de correspondance")</f>
        <v>Pas de correspondance</v>
      </c>
      <c r="K552" t="str">
        <f>_xlfn.XLOOKUP(Logs__2[[#This Row],[Cell_ID]],'Registre_Maintenance'!B:B,'Registre_Maintenance'!G:G,"Pas de correspondance")</f>
        <v>Pas de correspondance</v>
      </c>
    </row>
    <row r="553" spans="1:11" hidden="1" x14ac:dyDescent="0.25">
      <c r="A553" s="1" t="s">
        <v>1214</v>
      </c>
      <c r="B553" s="2">
        <v>45202</v>
      </c>
      <c r="C553" s="3">
        <v>0.68611111111111112</v>
      </c>
      <c r="D553" s="1" t="s">
        <v>1235</v>
      </c>
      <c r="E553">
        <v>53</v>
      </c>
      <c r="F553" s="1" t="s">
        <v>806</v>
      </c>
      <c r="G553" t="str">
        <f>_xlfn.XLOOKUP(Logs__2[[#This Row],[Cell_ID]],'Registre_Maintenance'!B:B,'Registre_Maintenance'!C:C,"Pas de correspondance")</f>
        <v>Pas de correspondance</v>
      </c>
      <c r="H553" t="str">
        <f>_xlfn.XLOOKUP(Logs__2[[#This Row],[Cell_ID]],'Registre_Maintenance'!B:B,'Registre_Maintenance'!D:D,"Pas de correspondance")</f>
        <v>Pas de correspondance</v>
      </c>
      <c r="I553" t="str">
        <f>_xlfn.XLOOKUP(Logs__2[[#This Row],[Cell_ID]],'Registre_Maintenance'!B:B,'Registre_Maintenance'!E:E,"Pas de correspondance")</f>
        <v>Pas de correspondance</v>
      </c>
      <c r="J553" t="str">
        <f>_xlfn.XLOOKUP(Logs__2[[#This Row],[Cell_ID]],'Registre_Maintenance'!B:B,'Registre_Maintenance'!F:F,"Pas de correspondance")</f>
        <v>Pas de correspondance</v>
      </c>
      <c r="K553" t="str">
        <f>_xlfn.XLOOKUP(Logs__2[[#This Row],[Cell_ID]],'Registre_Maintenance'!B:B,'Registre_Maintenance'!G:G,"Pas de correspondance")</f>
        <v>Pas de correspondance</v>
      </c>
    </row>
    <row r="554" spans="1:11" hidden="1" x14ac:dyDescent="0.25">
      <c r="A554" s="1" t="s">
        <v>1214</v>
      </c>
      <c r="B554" s="2">
        <v>45225</v>
      </c>
      <c r="C554" s="3">
        <v>6.1805555555555558E-2</v>
      </c>
      <c r="D554" s="1" t="s">
        <v>1236</v>
      </c>
      <c r="E554">
        <v>15</v>
      </c>
      <c r="F554" s="1" t="s">
        <v>811</v>
      </c>
      <c r="G554" t="str">
        <f>_xlfn.XLOOKUP(Logs__2[[#This Row],[Cell_ID]],'Registre_Maintenance'!B:B,'Registre_Maintenance'!C:C,"Pas de correspondance")</f>
        <v>Pas de correspondance</v>
      </c>
      <c r="H554" t="str">
        <f>_xlfn.XLOOKUP(Logs__2[[#This Row],[Cell_ID]],'Registre_Maintenance'!B:B,'Registre_Maintenance'!D:D,"Pas de correspondance")</f>
        <v>Pas de correspondance</v>
      </c>
      <c r="I554" t="str">
        <f>_xlfn.XLOOKUP(Logs__2[[#This Row],[Cell_ID]],'Registre_Maintenance'!B:B,'Registre_Maintenance'!E:E,"Pas de correspondance")</f>
        <v>Pas de correspondance</v>
      </c>
      <c r="J554" t="str">
        <f>_xlfn.XLOOKUP(Logs__2[[#This Row],[Cell_ID]],'Registre_Maintenance'!B:B,'Registre_Maintenance'!F:F,"Pas de correspondance")</f>
        <v>Pas de correspondance</v>
      </c>
      <c r="K554" t="str">
        <f>_xlfn.XLOOKUP(Logs__2[[#This Row],[Cell_ID]],'Registre_Maintenance'!B:B,'Registre_Maintenance'!G:G,"Pas de correspondance")</f>
        <v>Pas de correspondance</v>
      </c>
    </row>
    <row r="555" spans="1:11" hidden="1" x14ac:dyDescent="0.25">
      <c r="A555" s="1" t="s">
        <v>1214</v>
      </c>
      <c r="B555" s="2">
        <v>45204</v>
      </c>
      <c r="C555" s="3">
        <v>0.68472222222222223</v>
      </c>
      <c r="D555" s="1" t="s">
        <v>1237</v>
      </c>
      <c r="E555">
        <v>92</v>
      </c>
      <c r="F555" s="1" t="s">
        <v>806</v>
      </c>
      <c r="G555" t="str">
        <f>_xlfn.XLOOKUP(Logs__2[[#This Row],[Cell_ID]],'Registre_Maintenance'!B:B,'Registre_Maintenance'!C:C,"Pas de correspondance")</f>
        <v>Pas de correspondance</v>
      </c>
      <c r="H555" t="str">
        <f>_xlfn.XLOOKUP(Logs__2[[#This Row],[Cell_ID]],'Registre_Maintenance'!B:B,'Registre_Maintenance'!D:D,"Pas de correspondance")</f>
        <v>Pas de correspondance</v>
      </c>
      <c r="I555" t="str">
        <f>_xlfn.XLOOKUP(Logs__2[[#This Row],[Cell_ID]],'Registre_Maintenance'!B:B,'Registre_Maintenance'!E:E,"Pas de correspondance")</f>
        <v>Pas de correspondance</v>
      </c>
      <c r="J555" t="str">
        <f>_xlfn.XLOOKUP(Logs__2[[#This Row],[Cell_ID]],'Registre_Maintenance'!B:B,'Registre_Maintenance'!F:F,"Pas de correspondance")</f>
        <v>Pas de correspondance</v>
      </c>
      <c r="K555" t="str">
        <f>_xlfn.XLOOKUP(Logs__2[[#This Row],[Cell_ID]],'Registre_Maintenance'!B:B,'Registre_Maintenance'!G:G,"Pas de correspondance")</f>
        <v>Pas de correspondance</v>
      </c>
    </row>
    <row r="556" spans="1:11" hidden="1" x14ac:dyDescent="0.25">
      <c r="A556" s="1" t="s">
        <v>1214</v>
      </c>
      <c r="B556" s="2">
        <v>45214</v>
      </c>
      <c r="C556" s="3">
        <v>0.75208333333333333</v>
      </c>
      <c r="D556" s="1" t="s">
        <v>1238</v>
      </c>
      <c r="E556">
        <v>89</v>
      </c>
      <c r="F556" s="1" t="s">
        <v>809</v>
      </c>
      <c r="G556" t="str">
        <f>_xlfn.XLOOKUP(Logs__2[[#This Row],[Cell_ID]],'Registre_Maintenance'!B:B,'Registre_Maintenance'!C:C,"Pas de correspondance")</f>
        <v>Pas de correspondance</v>
      </c>
      <c r="H556" t="str">
        <f>_xlfn.XLOOKUP(Logs__2[[#This Row],[Cell_ID]],'Registre_Maintenance'!B:B,'Registre_Maintenance'!D:D,"Pas de correspondance")</f>
        <v>Pas de correspondance</v>
      </c>
      <c r="I556" t="str">
        <f>_xlfn.XLOOKUP(Logs__2[[#This Row],[Cell_ID]],'Registre_Maintenance'!B:B,'Registre_Maintenance'!E:E,"Pas de correspondance")</f>
        <v>Pas de correspondance</v>
      </c>
      <c r="J556" t="str">
        <f>_xlfn.XLOOKUP(Logs__2[[#This Row],[Cell_ID]],'Registre_Maintenance'!B:B,'Registre_Maintenance'!F:F,"Pas de correspondance")</f>
        <v>Pas de correspondance</v>
      </c>
      <c r="K556" t="str">
        <f>_xlfn.XLOOKUP(Logs__2[[#This Row],[Cell_ID]],'Registre_Maintenance'!B:B,'Registre_Maintenance'!G:G,"Pas de correspondance")</f>
        <v>Pas de correspondance</v>
      </c>
    </row>
    <row r="557" spans="1:11" x14ac:dyDescent="0.25">
      <c r="A557" s="1" t="s">
        <v>1214</v>
      </c>
      <c r="B557" s="2">
        <v>45225</v>
      </c>
      <c r="C557" s="3">
        <v>0.40694444444444444</v>
      </c>
      <c r="D557" s="1" t="s">
        <v>1239</v>
      </c>
      <c r="E557">
        <v>74</v>
      </c>
      <c r="F557" s="1" t="s">
        <v>806</v>
      </c>
      <c r="G557" t="str">
        <f>_xlfn.XLOOKUP(Logs__2[[#This Row],[Cell_ID]],'Registre_Maintenance'!B:B,'Registre_Maintenance'!C:C,"Pas de correspondance")</f>
        <v>Kwango</v>
      </c>
      <c r="H557">
        <f>_xlfn.XLOOKUP(Logs__2[[#This Row],[Cell_ID]],'Registre_Maintenance'!B:B,'Registre_Maintenance'!D:D,"Pas de correspondance")</f>
        <v>-4.6957509999999996</v>
      </c>
      <c r="I557">
        <f>_xlfn.XLOOKUP(Logs__2[[#This Row],[Cell_ID]],'Registre_Maintenance'!B:B,'Registre_Maintenance'!E:E,"Pas de correspondance")</f>
        <v>14.233525999999999</v>
      </c>
      <c r="J557" t="str">
        <f>_xlfn.XLOOKUP(Logs__2[[#This Row],[Cell_ID]],'Registre_Maintenance'!B:B,'Registre_Maintenance'!F:F,"Pas de correspondance")</f>
        <v>4G</v>
      </c>
      <c r="K557" t="str">
        <f>_xlfn.XLOOKUP(Logs__2[[#This Row],[Cell_ID]],'Registre_Maintenance'!B:B,'Registre_Maintenance'!G:G,"Pas de correspondance")</f>
        <v>Nokia</v>
      </c>
    </row>
    <row r="558" spans="1:11" x14ac:dyDescent="0.25">
      <c r="A558" s="1" t="s">
        <v>1214</v>
      </c>
      <c r="B558" s="2">
        <v>45200</v>
      </c>
      <c r="C558" s="3">
        <v>0.51111111111111107</v>
      </c>
      <c r="D558" s="1" t="s">
        <v>1240</v>
      </c>
      <c r="E558">
        <v>22</v>
      </c>
      <c r="F558" s="1" t="s">
        <v>811</v>
      </c>
      <c r="G558" t="str">
        <f>_xlfn.XLOOKUP(Logs__2[[#This Row],[Cell_ID]],'Registre_Maintenance'!B:B,'Registre_Maintenance'!C:C,"Pas de correspondance")</f>
        <v>Kwilu</v>
      </c>
      <c r="H558">
        <f>_xlfn.XLOOKUP(Logs__2[[#This Row],[Cell_ID]],'Registre_Maintenance'!B:B,'Registre_Maintenance'!D:D,"Pas de correspondance")</f>
        <v>-10.939712999999999</v>
      </c>
      <c r="I558">
        <f>_xlfn.XLOOKUP(Logs__2[[#This Row],[Cell_ID]],'Registre_Maintenance'!B:B,'Registre_Maintenance'!E:E,"Pas de correspondance")</f>
        <v>18.276230999999999</v>
      </c>
      <c r="J558" t="str">
        <f>_xlfn.XLOOKUP(Logs__2[[#This Row],[Cell_ID]],'Registre_Maintenance'!B:B,'Registre_Maintenance'!F:F,"Pas de correspondance")</f>
        <v>4G</v>
      </c>
      <c r="K558" t="str">
        <f>_xlfn.XLOOKUP(Logs__2[[#This Row],[Cell_ID]],'Registre_Maintenance'!B:B,'Registre_Maintenance'!G:G,"Pas de correspondance")</f>
        <v>ZTE</v>
      </c>
    </row>
    <row r="559" spans="1:11" x14ac:dyDescent="0.25">
      <c r="A559" s="1" t="s">
        <v>1241</v>
      </c>
      <c r="B559" s="2">
        <v>45221</v>
      </c>
      <c r="C559" s="3">
        <v>0.56597222222222221</v>
      </c>
      <c r="D559" s="1" t="s">
        <v>1242</v>
      </c>
      <c r="E559">
        <v>87</v>
      </c>
      <c r="F559" s="1" t="s">
        <v>809</v>
      </c>
      <c r="G559" t="str">
        <f>_xlfn.XLOOKUP(Logs__2[[#This Row],[Cell_ID]],'Registre_Maintenance'!B:B,'Registre_Maintenance'!C:C,"Pas de correspondance")</f>
        <v>Tshopo</v>
      </c>
      <c r="H559">
        <f>_xlfn.XLOOKUP(Logs__2[[#This Row],[Cell_ID]],'Registre_Maintenance'!B:B,'Registre_Maintenance'!D:D,"Pas de correspondance")</f>
        <v>4.7777349999999998</v>
      </c>
      <c r="I559">
        <f>_xlfn.XLOOKUP(Logs__2[[#This Row],[Cell_ID]],'Registre_Maintenance'!B:B,'Registre_Maintenance'!E:E,"Pas de correspondance")</f>
        <v>16.392204</v>
      </c>
      <c r="J559" t="str">
        <f>_xlfn.XLOOKUP(Logs__2[[#This Row],[Cell_ID]],'Registre_Maintenance'!B:B,'Registre_Maintenance'!F:F,"Pas de correspondance")</f>
        <v>5G</v>
      </c>
      <c r="K559" t="str">
        <f>_xlfn.XLOOKUP(Logs__2[[#This Row],[Cell_ID]],'Registre_Maintenance'!B:B,'Registre_Maintenance'!G:G,"Pas de correspondance")</f>
        <v>ZTE</v>
      </c>
    </row>
    <row r="560" spans="1:11" x14ac:dyDescent="0.25">
      <c r="A560" s="1" t="s">
        <v>1241</v>
      </c>
      <c r="B560" s="2">
        <v>45215</v>
      </c>
      <c r="C560" s="3">
        <v>5.6944444444444443E-2</v>
      </c>
      <c r="D560" s="1" t="s">
        <v>1227</v>
      </c>
      <c r="E560">
        <v>99</v>
      </c>
      <c r="F560" s="1" t="s">
        <v>809</v>
      </c>
      <c r="G560" t="str">
        <f>_xlfn.XLOOKUP(Logs__2[[#This Row],[Cell_ID]],'Registre_Maintenance'!B:B,'Registre_Maintenance'!C:C,"Pas de correspondance")</f>
        <v>Kinshasa</v>
      </c>
      <c r="H560">
        <f>_xlfn.XLOOKUP(Logs__2[[#This Row],[Cell_ID]],'Registre_Maintenance'!B:B,'Registre_Maintenance'!D:D,"Pas de correspondance")</f>
        <v>-2.6665070000000002</v>
      </c>
      <c r="I560">
        <f>_xlfn.XLOOKUP(Logs__2[[#This Row],[Cell_ID]],'Registre_Maintenance'!B:B,'Registre_Maintenance'!E:E,"Pas de correspondance")</f>
        <v>18.623692999999999</v>
      </c>
      <c r="J560" t="str">
        <f>_xlfn.XLOOKUP(Logs__2[[#This Row],[Cell_ID]],'Registre_Maintenance'!B:B,'Registre_Maintenance'!F:F,"Pas de correspondance")</f>
        <v>3G</v>
      </c>
      <c r="K560" t="str">
        <f>_xlfn.XLOOKUP(Logs__2[[#This Row],[Cell_ID]],'Registre_Maintenance'!B:B,'Registre_Maintenance'!G:G,"Pas de correspondance")</f>
        <v>ZTE</v>
      </c>
    </row>
    <row r="561" spans="1:11" x14ac:dyDescent="0.25">
      <c r="A561" s="1" t="s">
        <v>1241</v>
      </c>
      <c r="B561" s="2">
        <v>45230</v>
      </c>
      <c r="C561" s="3">
        <v>0.86250000000000004</v>
      </c>
      <c r="D561" s="1" t="s">
        <v>875</v>
      </c>
      <c r="E561">
        <v>67</v>
      </c>
      <c r="F561" s="1" t="s">
        <v>806</v>
      </c>
      <c r="G561" t="str">
        <f>_xlfn.XLOOKUP(Logs__2[[#This Row],[Cell_ID]],'Registre_Maintenance'!B:B,'Registre_Maintenance'!C:C,"Pas de correspondance")</f>
        <v>Tanganyika</v>
      </c>
      <c r="H561">
        <f>_xlfn.XLOOKUP(Logs__2[[#This Row],[Cell_ID]],'Registre_Maintenance'!B:B,'Registre_Maintenance'!D:D,"Pas de correspondance")</f>
        <v>-2.099631</v>
      </c>
      <c r="I561">
        <f>_xlfn.XLOOKUP(Logs__2[[#This Row],[Cell_ID]],'Registre_Maintenance'!B:B,'Registre_Maintenance'!E:E,"Pas de correspondance")</f>
        <v>13.974640000000001</v>
      </c>
      <c r="J561" t="str">
        <f>_xlfn.XLOOKUP(Logs__2[[#This Row],[Cell_ID]],'Registre_Maintenance'!B:B,'Registre_Maintenance'!F:F,"Pas de correspondance")</f>
        <v>3G</v>
      </c>
      <c r="K561" t="str">
        <f>_xlfn.XLOOKUP(Logs__2[[#This Row],[Cell_ID]],'Registre_Maintenance'!B:B,'Registre_Maintenance'!G:G,"Pas de correspondance")</f>
        <v>Nokia</v>
      </c>
    </row>
    <row r="562" spans="1:11" hidden="1" x14ac:dyDescent="0.25">
      <c r="A562" s="1" t="s">
        <v>1241</v>
      </c>
      <c r="B562" s="2">
        <v>45212</v>
      </c>
      <c r="C562" s="3">
        <v>0.68055555555555558</v>
      </c>
      <c r="D562" s="1" t="s">
        <v>1243</v>
      </c>
      <c r="E562">
        <v>63</v>
      </c>
      <c r="F562" s="1" t="s">
        <v>806</v>
      </c>
      <c r="G562" t="str">
        <f>_xlfn.XLOOKUP(Logs__2[[#This Row],[Cell_ID]],'Registre_Maintenance'!B:B,'Registre_Maintenance'!C:C,"Pas de correspondance")</f>
        <v>Pas de correspondance</v>
      </c>
      <c r="H562" t="str">
        <f>_xlfn.XLOOKUP(Logs__2[[#This Row],[Cell_ID]],'Registre_Maintenance'!B:B,'Registre_Maintenance'!D:D,"Pas de correspondance")</f>
        <v>Pas de correspondance</v>
      </c>
      <c r="I562" t="str">
        <f>_xlfn.XLOOKUP(Logs__2[[#This Row],[Cell_ID]],'Registre_Maintenance'!B:B,'Registre_Maintenance'!E:E,"Pas de correspondance")</f>
        <v>Pas de correspondance</v>
      </c>
      <c r="J562" t="str">
        <f>_xlfn.XLOOKUP(Logs__2[[#This Row],[Cell_ID]],'Registre_Maintenance'!B:B,'Registre_Maintenance'!F:F,"Pas de correspondance")</f>
        <v>Pas de correspondance</v>
      </c>
      <c r="K562" t="str">
        <f>_xlfn.XLOOKUP(Logs__2[[#This Row],[Cell_ID]],'Registre_Maintenance'!B:B,'Registre_Maintenance'!G:G,"Pas de correspondance")</f>
        <v>Pas de correspondance</v>
      </c>
    </row>
    <row r="563" spans="1:11" hidden="1" x14ac:dyDescent="0.25">
      <c r="A563" s="1" t="s">
        <v>1241</v>
      </c>
      <c r="B563" s="2">
        <v>45222</v>
      </c>
      <c r="C563" s="3">
        <v>0.55972222222222223</v>
      </c>
      <c r="D563" s="1" t="s">
        <v>1244</v>
      </c>
      <c r="E563">
        <v>26</v>
      </c>
      <c r="F563" s="1" t="s">
        <v>811</v>
      </c>
      <c r="G563" t="str">
        <f>_xlfn.XLOOKUP(Logs__2[[#This Row],[Cell_ID]],'Registre_Maintenance'!B:B,'Registre_Maintenance'!C:C,"Pas de correspondance")</f>
        <v>Pas de correspondance</v>
      </c>
      <c r="H563" t="str">
        <f>_xlfn.XLOOKUP(Logs__2[[#This Row],[Cell_ID]],'Registre_Maintenance'!B:B,'Registre_Maintenance'!D:D,"Pas de correspondance")</f>
        <v>Pas de correspondance</v>
      </c>
      <c r="I563" t="str">
        <f>_xlfn.XLOOKUP(Logs__2[[#This Row],[Cell_ID]],'Registre_Maintenance'!B:B,'Registre_Maintenance'!E:E,"Pas de correspondance")</f>
        <v>Pas de correspondance</v>
      </c>
      <c r="J563" t="str">
        <f>_xlfn.XLOOKUP(Logs__2[[#This Row],[Cell_ID]],'Registre_Maintenance'!B:B,'Registre_Maintenance'!F:F,"Pas de correspondance")</f>
        <v>Pas de correspondance</v>
      </c>
      <c r="K563" t="str">
        <f>_xlfn.XLOOKUP(Logs__2[[#This Row],[Cell_ID]],'Registre_Maintenance'!B:B,'Registre_Maintenance'!G:G,"Pas de correspondance")</f>
        <v>Pas de correspondance</v>
      </c>
    </row>
    <row r="564" spans="1:11" hidden="1" x14ac:dyDescent="0.25">
      <c r="A564" s="1" t="s">
        <v>1241</v>
      </c>
      <c r="B564" s="2">
        <v>45204</v>
      </c>
      <c r="C564" s="3">
        <v>0.39166666666666666</v>
      </c>
      <c r="D564" s="1" t="s">
        <v>958</v>
      </c>
      <c r="E564">
        <v>98</v>
      </c>
      <c r="F564" s="1" t="s">
        <v>811</v>
      </c>
      <c r="G564" t="str">
        <f>_xlfn.XLOOKUP(Logs__2[[#This Row],[Cell_ID]],'Registre_Maintenance'!B:B,'Registre_Maintenance'!C:C,"Pas de correspondance")</f>
        <v>Pas de correspondance</v>
      </c>
      <c r="H564" t="str">
        <f>_xlfn.XLOOKUP(Logs__2[[#This Row],[Cell_ID]],'Registre_Maintenance'!B:B,'Registre_Maintenance'!D:D,"Pas de correspondance")</f>
        <v>Pas de correspondance</v>
      </c>
      <c r="I564" t="str">
        <f>_xlfn.XLOOKUP(Logs__2[[#This Row],[Cell_ID]],'Registre_Maintenance'!B:B,'Registre_Maintenance'!E:E,"Pas de correspondance")</f>
        <v>Pas de correspondance</v>
      </c>
      <c r="J564" t="str">
        <f>_xlfn.XLOOKUP(Logs__2[[#This Row],[Cell_ID]],'Registre_Maintenance'!B:B,'Registre_Maintenance'!F:F,"Pas de correspondance")</f>
        <v>Pas de correspondance</v>
      </c>
      <c r="K564" t="str">
        <f>_xlfn.XLOOKUP(Logs__2[[#This Row],[Cell_ID]],'Registre_Maintenance'!B:B,'Registre_Maintenance'!G:G,"Pas de correspondance")</f>
        <v>Pas de correspondance</v>
      </c>
    </row>
    <row r="565" spans="1:11" x14ac:dyDescent="0.25">
      <c r="A565" s="1" t="s">
        <v>1241</v>
      </c>
      <c r="B565" s="2">
        <v>45205</v>
      </c>
      <c r="C565" s="3">
        <v>0.72916666666666663</v>
      </c>
      <c r="D565" s="1" t="s">
        <v>1245</v>
      </c>
      <c r="E565">
        <v>106</v>
      </c>
      <c r="F565" s="1" t="s">
        <v>811</v>
      </c>
      <c r="G565" t="str">
        <f>_xlfn.XLOOKUP(Logs__2[[#This Row],[Cell_ID]],'Registre_Maintenance'!B:B,'Registre_Maintenance'!C:C,"Pas de correspondance")</f>
        <v>Haut-Katanga</v>
      </c>
      <c r="H565">
        <f>_xlfn.XLOOKUP(Logs__2[[#This Row],[Cell_ID]],'Registre_Maintenance'!B:B,'Registre_Maintenance'!D:D,"Pas de correspondance")</f>
        <v>-4.4958720000000003</v>
      </c>
      <c r="I565">
        <f>_xlfn.XLOOKUP(Logs__2[[#This Row],[Cell_ID]],'Registre_Maintenance'!B:B,'Registre_Maintenance'!E:E,"Pas de correspondance")</f>
        <v>18.514112000000001</v>
      </c>
      <c r="J565" t="str">
        <f>_xlfn.XLOOKUP(Logs__2[[#This Row],[Cell_ID]],'Registre_Maintenance'!B:B,'Registre_Maintenance'!F:F,"Pas de correspondance")</f>
        <v>4G</v>
      </c>
      <c r="K565" t="str">
        <f>_xlfn.XLOOKUP(Logs__2[[#This Row],[Cell_ID]],'Registre_Maintenance'!B:B,'Registre_Maintenance'!G:G,"Pas de correspondance")</f>
        <v>Nokia</v>
      </c>
    </row>
    <row r="566" spans="1:11" hidden="1" x14ac:dyDescent="0.25">
      <c r="A566" s="1" t="s">
        <v>1241</v>
      </c>
      <c r="B566" s="2">
        <v>45207</v>
      </c>
      <c r="C566" s="3">
        <v>0.30486111111111114</v>
      </c>
      <c r="D566" s="1" t="s">
        <v>810</v>
      </c>
      <c r="E566">
        <v>50</v>
      </c>
      <c r="F566" s="1" t="s">
        <v>809</v>
      </c>
      <c r="G566" t="str">
        <f>_xlfn.XLOOKUP(Logs__2[[#This Row],[Cell_ID]],'Registre_Maintenance'!B:B,'Registre_Maintenance'!C:C,"Pas de correspondance")</f>
        <v>Pas de correspondance</v>
      </c>
      <c r="H566" t="str">
        <f>_xlfn.XLOOKUP(Logs__2[[#This Row],[Cell_ID]],'Registre_Maintenance'!B:B,'Registre_Maintenance'!D:D,"Pas de correspondance")</f>
        <v>Pas de correspondance</v>
      </c>
      <c r="I566" t="str">
        <f>_xlfn.XLOOKUP(Logs__2[[#This Row],[Cell_ID]],'Registre_Maintenance'!B:B,'Registre_Maintenance'!E:E,"Pas de correspondance")</f>
        <v>Pas de correspondance</v>
      </c>
      <c r="J566" t="str">
        <f>_xlfn.XLOOKUP(Logs__2[[#This Row],[Cell_ID]],'Registre_Maintenance'!B:B,'Registre_Maintenance'!F:F,"Pas de correspondance")</f>
        <v>Pas de correspondance</v>
      </c>
      <c r="K566" t="str">
        <f>_xlfn.XLOOKUP(Logs__2[[#This Row],[Cell_ID]],'Registre_Maintenance'!B:B,'Registre_Maintenance'!G:G,"Pas de correspondance")</f>
        <v>Pas de correspondance</v>
      </c>
    </row>
    <row r="567" spans="1:11" hidden="1" x14ac:dyDescent="0.25">
      <c r="A567" s="1" t="s">
        <v>1241</v>
      </c>
      <c r="B567" s="2">
        <v>45227</v>
      </c>
      <c r="C567" s="3">
        <v>0.92291666666666672</v>
      </c>
      <c r="D567" s="1" t="s">
        <v>930</v>
      </c>
      <c r="E567">
        <v>26</v>
      </c>
      <c r="F567" s="1" t="s">
        <v>811</v>
      </c>
      <c r="G567" t="str">
        <f>_xlfn.XLOOKUP(Logs__2[[#This Row],[Cell_ID]],'Registre_Maintenance'!B:B,'Registre_Maintenance'!C:C,"Pas de correspondance")</f>
        <v>Pas de correspondance</v>
      </c>
      <c r="H567" t="str">
        <f>_xlfn.XLOOKUP(Logs__2[[#This Row],[Cell_ID]],'Registre_Maintenance'!B:B,'Registre_Maintenance'!D:D,"Pas de correspondance")</f>
        <v>Pas de correspondance</v>
      </c>
      <c r="I567" t="str">
        <f>_xlfn.XLOOKUP(Logs__2[[#This Row],[Cell_ID]],'Registre_Maintenance'!B:B,'Registre_Maintenance'!E:E,"Pas de correspondance")</f>
        <v>Pas de correspondance</v>
      </c>
      <c r="J567" t="str">
        <f>_xlfn.XLOOKUP(Logs__2[[#This Row],[Cell_ID]],'Registre_Maintenance'!B:B,'Registre_Maintenance'!F:F,"Pas de correspondance")</f>
        <v>Pas de correspondance</v>
      </c>
      <c r="K567" t="str">
        <f>_xlfn.XLOOKUP(Logs__2[[#This Row],[Cell_ID]],'Registre_Maintenance'!B:B,'Registre_Maintenance'!G:G,"Pas de correspondance")</f>
        <v>Pas de correspondance</v>
      </c>
    </row>
    <row r="568" spans="1:11" x14ac:dyDescent="0.25">
      <c r="A568" s="1" t="s">
        <v>1241</v>
      </c>
      <c r="B568" s="2">
        <v>45225</v>
      </c>
      <c r="C568" s="3">
        <v>0.62361111111111112</v>
      </c>
      <c r="D568" s="1" t="s">
        <v>1246</v>
      </c>
      <c r="E568">
        <v>22</v>
      </c>
      <c r="F568" s="1" t="s">
        <v>806</v>
      </c>
      <c r="G568" t="str">
        <f>_xlfn.XLOOKUP(Logs__2[[#This Row],[Cell_ID]],'Registre_Maintenance'!B:B,'Registre_Maintenance'!C:C,"Pas de correspondance")</f>
        <v>Mai-Ndombe</v>
      </c>
      <c r="H568">
        <f>_xlfn.XLOOKUP(Logs__2[[#This Row],[Cell_ID]],'Registre_Maintenance'!B:B,'Registre_Maintenance'!D:D,"Pas de correspondance")</f>
        <v>-0.47411900000000001</v>
      </c>
      <c r="I568">
        <f>_xlfn.XLOOKUP(Logs__2[[#This Row],[Cell_ID]],'Registre_Maintenance'!B:B,'Registre_Maintenance'!E:E,"Pas de correspondance")</f>
        <v>27.184329000000002</v>
      </c>
      <c r="J568" t="str">
        <f>_xlfn.XLOOKUP(Logs__2[[#This Row],[Cell_ID]],'Registre_Maintenance'!B:B,'Registre_Maintenance'!F:F,"Pas de correspondance")</f>
        <v>5G</v>
      </c>
      <c r="K568" t="str">
        <f>_xlfn.XLOOKUP(Logs__2[[#This Row],[Cell_ID]],'Registre_Maintenance'!B:B,'Registre_Maintenance'!G:G,"Pas de correspondance")</f>
        <v>ZTE</v>
      </c>
    </row>
    <row r="569" spans="1:11" x14ac:dyDescent="0.25">
      <c r="A569" s="1" t="s">
        <v>1241</v>
      </c>
      <c r="B569" s="2">
        <v>45201</v>
      </c>
      <c r="C569" s="3">
        <v>0.72638888888888886</v>
      </c>
      <c r="D569" s="1" t="s">
        <v>1247</v>
      </c>
      <c r="E569">
        <v>97</v>
      </c>
      <c r="F569" s="1" t="s">
        <v>809</v>
      </c>
      <c r="G569" t="str">
        <f>_xlfn.XLOOKUP(Logs__2[[#This Row],[Cell_ID]],'Registre_Maintenance'!B:B,'Registre_Maintenance'!C:C,"Pas de correspondance")</f>
        <v>Kasaï-Oriental</v>
      </c>
      <c r="H569">
        <f>_xlfn.XLOOKUP(Logs__2[[#This Row],[Cell_ID]],'Registre_Maintenance'!B:B,'Registre_Maintenance'!D:D,"Pas de correspondance")</f>
        <v>-4.3639070000000002</v>
      </c>
      <c r="I569">
        <f>_xlfn.XLOOKUP(Logs__2[[#This Row],[Cell_ID]],'Registre_Maintenance'!B:B,'Registre_Maintenance'!E:E,"Pas de correspondance")</f>
        <v>16.283307000000001</v>
      </c>
      <c r="J569" t="str">
        <f>_xlfn.XLOOKUP(Logs__2[[#This Row],[Cell_ID]],'Registre_Maintenance'!B:B,'Registre_Maintenance'!F:F,"Pas de correspondance")</f>
        <v>5G</v>
      </c>
      <c r="K569" t="str">
        <f>_xlfn.XLOOKUP(Logs__2[[#This Row],[Cell_ID]],'Registre_Maintenance'!B:B,'Registre_Maintenance'!G:G,"Pas de correspondance")</f>
        <v>Huawei</v>
      </c>
    </row>
    <row r="570" spans="1:11" hidden="1" x14ac:dyDescent="0.25">
      <c r="A570" s="1" t="s">
        <v>1241</v>
      </c>
      <c r="B570" s="2">
        <v>45230</v>
      </c>
      <c r="C570" s="3">
        <v>0.56597222222222221</v>
      </c>
      <c r="D570" s="1" t="s">
        <v>958</v>
      </c>
      <c r="E570">
        <v>74</v>
      </c>
      <c r="F570" s="1" t="s">
        <v>806</v>
      </c>
      <c r="G570" t="str">
        <f>_xlfn.XLOOKUP(Logs__2[[#This Row],[Cell_ID]],'Registre_Maintenance'!B:B,'Registre_Maintenance'!C:C,"Pas de correspondance")</f>
        <v>Pas de correspondance</v>
      </c>
      <c r="H570" t="str">
        <f>_xlfn.XLOOKUP(Logs__2[[#This Row],[Cell_ID]],'Registre_Maintenance'!B:B,'Registre_Maintenance'!D:D,"Pas de correspondance")</f>
        <v>Pas de correspondance</v>
      </c>
      <c r="I570" t="str">
        <f>_xlfn.XLOOKUP(Logs__2[[#This Row],[Cell_ID]],'Registre_Maintenance'!B:B,'Registre_Maintenance'!E:E,"Pas de correspondance")</f>
        <v>Pas de correspondance</v>
      </c>
      <c r="J570" t="str">
        <f>_xlfn.XLOOKUP(Logs__2[[#This Row],[Cell_ID]],'Registre_Maintenance'!B:B,'Registre_Maintenance'!F:F,"Pas de correspondance")</f>
        <v>Pas de correspondance</v>
      </c>
      <c r="K570" t="str">
        <f>_xlfn.XLOOKUP(Logs__2[[#This Row],[Cell_ID]],'Registre_Maintenance'!B:B,'Registre_Maintenance'!G:G,"Pas de correspondance")</f>
        <v>Pas de correspondance</v>
      </c>
    </row>
    <row r="571" spans="1:11" x14ac:dyDescent="0.25">
      <c r="A571" s="1" t="s">
        <v>1241</v>
      </c>
      <c r="B571" s="2">
        <v>45216</v>
      </c>
      <c r="C571" s="3">
        <v>0.18333333333333332</v>
      </c>
      <c r="D571" s="1" t="s">
        <v>1112</v>
      </c>
      <c r="E571">
        <v>67</v>
      </c>
      <c r="F571" s="1" t="s">
        <v>809</v>
      </c>
      <c r="G571" t="str">
        <f>_xlfn.XLOOKUP(Logs__2[[#This Row],[Cell_ID]],'Registre_Maintenance'!B:B,'Registre_Maintenance'!C:C,"Pas de correspondance")</f>
        <v>Lualaba</v>
      </c>
      <c r="H571">
        <f>_xlfn.XLOOKUP(Logs__2[[#This Row],[Cell_ID]],'Registre_Maintenance'!B:B,'Registre_Maintenance'!D:D,"Pas de correspondance")</f>
        <v>-10.967288</v>
      </c>
      <c r="I571">
        <f>_xlfn.XLOOKUP(Logs__2[[#This Row],[Cell_ID]],'Registre_Maintenance'!B:B,'Registre_Maintenance'!E:E,"Pas de correspondance")</f>
        <v>17.617781000000001</v>
      </c>
      <c r="J571" t="str">
        <f>_xlfn.XLOOKUP(Logs__2[[#This Row],[Cell_ID]],'Registre_Maintenance'!B:B,'Registre_Maintenance'!F:F,"Pas de correspondance")</f>
        <v>4G</v>
      </c>
      <c r="K571" t="str">
        <f>_xlfn.XLOOKUP(Logs__2[[#This Row],[Cell_ID]],'Registre_Maintenance'!B:B,'Registre_Maintenance'!G:G,"Pas de correspondance")</f>
        <v>Ericsson</v>
      </c>
    </row>
    <row r="572" spans="1:11" x14ac:dyDescent="0.25">
      <c r="A572" s="1" t="s">
        <v>1241</v>
      </c>
      <c r="B572" s="2">
        <v>45207</v>
      </c>
      <c r="C572" s="3">
        <v>0.34236111111111112</v>
      </c>
      <c r="D572" s="1" t="s">
        <v>1248</v>
      </c>
      <c r="E572">
        <v>28</v>
      </c>
      <c r="F572" s="1" t="s">
        <v>806</v>
      </c>
      <c r="G572" t="str">
        <f>_xlfn.XLOOKUP(Logs__2[[#This Row],[Cell_ID]],'Registre_Maintenance'!B:B,'Registre_Maintenance'!C:C,"Pas de correspondance")</f>
        <v>Bas-Uele</v>
      </c>
      <c r="H572">
        <f>_xlfn.XLOOKUP(Logs__2[[#This Row],[Cell_ID]],'Registre_Maintenance'!B:B,'Registre_Maintenance'!D:D,"Pas de correspondance")</f>
        <v>0.40267799999999998</v>
      </c>
      <c r="I572">
        <f>_xlfn.XLOOKUP(Logs__2[[#This Row],[Cell_ID]],'Registre_Maintenance'!B:B,'Registre_Maintenance'!E:E,"Pas de correspondance")</f>
        <v>16.000858000000001</v>
      </c>
      <c r="J572" t="str">
        <f>_xlfn.XLOOKUP(Logs__2[[#This Row],[Cell_ID]],'Registre_Maintenance'!B:B,'Registre_Maintenance'!F:F,"Pas de correspondance")</f>
        <v>3G</v>
      </c>
      <c r="K572" t="str">
        <f>_xlfn.XLOOKUP(Logs__2[[#This Row],[Cell_ID]],'Registre_Maintenance'!B:B,'Registre_Maintenance'!G:G,"Pas de correspondance")</f>
        <v>Nokia</v>
      </c>
    </row>
    <row r="573" spans="1:11" x14ac:dyDescent="0.25">
      <c r="A573" s="1" t="s">
        <v>1241</v>
      </c>
      <c r="B573" s="2">
        <v>45210</v>
      </c>
      <c r="C573" s="3">
        <v>0.83680555555555558</v>
      </c>
      <c r="D573" s="1" t="s">
        <v>1249</v>
      </c>
      <c r="E573">
        <v>118</v>
      </c>
      <c r="F573" s="1" t="s">
        <v>806</v>
      </c>
      <c r="G573" t="str">
        <f>_xlfn.XLOOKUP(Logs__2[[#This Row],[Cell_ID]],'Registre_Maintenance'!B:B,'Registre_Maintenance'!C:C,"Pas de correspondance")</f>
        <v>Mongala</v>
      </c>
      <c r="H573">
        <f>_xlfn.XLOOKUP(Logs__2[[#This Row],[Cell_ID]],'Registre_Maintenance'!B:B,'Registre_Maintenance'!D:D,"Pas de correspondance")</f>
        <v>-11.407966</v>
      </c>
      <c r="I573">
        <f>_xlfn.XLOOKUP(Logs__2[[#This Row],[Cell_ID]],'Registre_Maintenance'!B:B,'Registre_Maintenance'!E:E,"Pas de correspondance")</f>
        <v>28.378274000000001</v>
      </c>
      <c r="J573" t="str">
        <f>_xlfn.XLOOKUP(Logs__2[[#This Row],[Cell_ID]],'Registre_Maintenance'!B:B,'Registre_Maintenance'!F:F,"Pas de correspondance")</f>
        <v>4G</v>
      </c>
      <c r="K573" t="str">
        <f>_xlfn.XLOOKUP(Logs__2[[#This Row],[Cell_ID]],'Registre_Maintenance'!B:B,'Registre_Maintenance'!G:G,"Pas de correspondance")</f>
        <v>ZTE</v>
      </c>
    </row>
    <row r="574" spans="1:11" hidden="1" x14ac:dyDescent="0.25">
      <c r="A574" s="1" t="s">
        <v>1241</v>
      </c>
      <c r="B574" s="2">
        <v>45229</v>
      </c>
      <c r="C574" s="3">
        <v>0.62083333333333335</v>
      </c>
      <c r="D574" s="1" t="s">
        <v>1250</v>
      </c>
      <c r="E574">
        <v>74</v>
      </c>
      <c r="F574" s="1" t="s">
        <v>811</v>
      </c>
      <c r="G574" t="str">
        <f>_xlfn.XLOOKUP(Logs__2[[#This Row],[Cell_ID]],'Registre_Maintenance'!B:B,'Registre_Maintenance'!C:C,"Pas de correspondance")</f>
        <v>Pas de correspondance</v>
      </c>
      <c r="H574" t="str">
        <f>_xlfn.XLOOKUP(Logs__2[[#This Row],[Cell_ID]],'Registre_Maintenance'!B:B,'Registre_Maintenance'!D:D,"Pas de correspondance")</f>
        <v>Pas de correspondance</v>
      </c>
      <c r="I574" t="str">
        <f>_xlfn.XLOOKUP(Logs__2[[#This Row],[Cell_ID]],'Registre_Maintenance'!B:B,'Registre_Maintenance'!E:E,"Pas de correspondance")</f>
        <v>Pas de correspondance</v>
      </c>
      <c r="J574" t="str">
        <f>_xlfn.XLOOKUP(Logs__2[[#This Row],[Cell_ID]],'Registre_Maintenance'!B:B,'Registre_Maintenance'!F:F,"Pas de correspondance")</f>
        <v>Pas de correspondance</v>
      </c>
      <c r="K574" t="str">
        <f>_xlfn.XLOOKUP(Logs__2[[#This Row],[Cell_ID]],'Registre_Maintenance'!B:B,'Registre_Maintenance'!G:G,"Pas de correspondance")</f>
        <v>Pas de correspondance</v>
      </c>
    </row>
    <row r="575" spans="1:11" hidden="1" x14ac:dyDescent="0.25">
      <c r="A575" s="1" t="s">
        <v>1241</v>
      </c>
      <c r="B575" s="2">
        <v>45211</v>
      </c>
      <c r="C575" s="3">
        <v>0.10694444444444444</v>
      </c>
      <c r="D575" s="1" t="s">
        <v>893</v>
      </c>
      <c r="E575">
        <v>87</v>
      </c>
      <c r="F575" s="1" t="s">
        <v>811</v>
      </c>
      <c r="G575" t="str">
        <f>_xlfn.XLOOKUP(Logs__2[[#This Row],[Cell_ID]],'Registre_Maintenance'!B:B,'Registre_Maintenance'!C:C,"Pas de correspondance")</f>
        <v>Pas de correspondance</v>
      </c>
      <c r="H575" t="str">
        <f>_xlfn.XLOOKUP(Logs__2[[#This Row],[Cell_ID]],'Registre_Maintenance'!B:B,'Registre_Maintenance'!D:D,"Pas de correspondance")</f>
        <v>Pas de correspondance</v>
      </c>
      <c r="I575" t="str">
        <f>_xlfn.XLOOKUP(Logs__2[[#This Row],[Cell_ID]],'Registre_Maintenance'!B:B,'Registre_Maintenance'!E:E,"Pas de correspondance")</f>
        <v>Pas de correspondance</v>
      </c>
      <c r="J575" t="str">
        <f>_xlfn.XLOOKUP(Logs__2[[#This Row],[Cell_ID]],'Registre_Maintenance'!B:B,'Registre_Maintenance'!F:F,"Pas de correspondance")</f>
        <v>Pas de correspondance</v>
      </c>
      <c r="K575" t="str">
        <f>_xlfn.XLOOKUP(Logs__2[[#This Row],[Cell_ID]],'Registre_Maintenance'!B:B,'Registre_Maintenance'!G:G,"Pas de correspondance")</f>
        <v>Pas de correspondance</v>
      </c>
    </row>
    <row r="576" spans="1:11" x14ac:dyDescent="0.25">
      <c r="A576" s="1" t="s">
        <v>1241</v>
      </c>
      <c r="B576" s="2">
        <v>45223</v>
      </c>
      <c r="C576" s="3">
        <v>0.25208333333333333</v>
      </c>
      <c r="D576" s="1" t="s">
        <v>1051</v>
      </c>
      <c r="E576">
        <v>12</v>
      </c>
      <c r="F576" s="1" t="s">
        <v>809</v>
      </c>
      <c r="G576" t="str">
        <f>_xlfn.XLOOKUP(Logs__2[[#This Row],[Cell_ID]],'Registre_Maintenance'!B:B,'Registre_Maintenance'!C:C,"Pas de correspondance")</f>
        <v>Nord-Kivu</v>
      </c>
      <c r="H576">
        <f>_xlfn.XLOOKUP(Logs__2[[#This Row],[Cell_ID]],'Registre_Maintenance'!B:B,'Registre_Maintenance'!D:D,"Pas de correspondance")</f>
        <v>-10.846306999999999</v>
      </c>
      <c r="I576">
        <f>_xlfn.XLOOKUP(Logs__2[[#This Row],[Cell_ID]],'Registre_Maintenance'!B:B,'Registre_Maintenance'!E:E,"Pas de correspondance")</f>
        <v>19.201827999999999</v>
      </c>
      <c r="J576" t="str">
        <f>_xlfn.XLOOKUP(Logs__2[[#This Row],[Cell_ID]],'Registre_Maintenance'!B:B,'Registre_Maintenance'!F:F,"Pas de correspondance")</f>
        <v>4G</v>
      </c>
      <c r="K576" t="str">
        <f>_xlfn.XLOOKUP(Logs__2[[#This Row],[Cell_ID]],'Registre_Maintenance'!B:B,'Registre_Maintenance'!G:G,"Pas de correspondance")</f>
        <v>Ericsson</v>
      </c>
    </row>
    <row r="577" spans="1:11" hidden="1" x14ac:dyDescent="0.25">
      <c r="A577" s="1" t="s">
        <v>1241</v>
      </c>
      <c r="B577" s="2">
        <v>45208</v>
      </c>
      <c r="C577" s="3">
        <v>0.52986111111111112</v>
      </c>
      <c r="D577" s="1" t="s">
        <v>1251</v>
      </c>
      <c r="E577">
        <v>72</v>
      </c>
      <c r="F577" s="1" t="s">
        <v>811</v>
      </c>
      <c r="G577" t="str">
        <f>_xlfn.XLOOKUP(Logs__2[[#This Row],[Cell_ID]],'Registre_Maintenance'!B:B,'Registre_Maintenance'!C:C,"Pas de correspondance")</f>
        <v>Pas de correspondance</v>
      </c>
      <c r="H577" t="str">
        <f>_xlfn.XLOOKUP(Logs__2[[#This Row],[Cell_ID]],'Registre_Maintenance'!B:B,'Registre_Maintenance'!D:D,"Pas de correspondance")</f>
        <v>Pas de correspondance</v>
      </c>
      <c r="I577" t="str">
        <f>_xlfn.XLOOKUP(Logs__2[[#This Row],[Cell_ID]],'Registre_Maintenance'!B:B,'Registre_Maintenance'!E:E,"Pas de correspondance")</f>
        <v>Pas de correspondance</v>
      </c>
      <c r="J577" t="str">
        <f>_xlfn.XLOOKUP(Logs__2[[#This Row],[Cell_ID]],'Registre_Maintenance'!B:B,'Registre_Maintenance'!F:F,"Pas de correspondance")</f>
        <v>Pas de correspondance</v>
      </c>
      <c r="K577" t="str">
        <f>_xlfn.XLOOKUP(Logs__2[[#This Row],[Cell_ID]],'Registre_Maintenance'!B:B,'Registre_Maintenance'!G:G,"Pas de correspondance")</f>
        <v>Pas de correspondance</v>
      </c>
    </row>
    <row r="578" spans="1:11" hidden="1" x14ac:dyDescent="0.25">
      <c r="A578" s="1" t="s">
        <v>1241</v>
      </c>
      <c r="B578" s="2">
        <v>45219</v>
      </c>
      <c r="C578" s="3">
        <v>0.79305555555555551</v>
      </c>
      <c r="D578" s="1" t="s">
        <v>1031</v>
      </c>
      <c r="E578">
        <v>9</v>
      </c>
      <c r="F578" s="1" t="s">
        <v>809</v>
      </c>
      <c r="G578" t="str">
        <f>_xlfn.XLOOKUP(Logs__2[[#This Row],[Cell_ID]],'Registre_Maintenance'!B:B,'Registre_Maintenance'!C:C,"Pas de correspondance")</f>
        <v>Pas de correspondance</v>
      </c>
      <c r="H578" t="str">
        <f>_xlfn.XLOOKUP(Logs__2[[#This Row],[Cell_ID]],'Registre_Maintenance'!B:B,'Registre_Maintenance'!D:D,"Pas de correspondance")</f>
        <v>Pas de correspondance</v>
      </c>
      <c r="I578" t="str">
        <f>_xlfn.XLOOKUP(Logs__2[[#This Row],[Cell_ID]],'Registre_Maintenance'!B:B,'Registre_Maintenance'!E:E,"Pas de correspondance")</f>
        <v>Pas de correspondance</v>
      </c>
      <c r="J578" t="str">
        <f>_xlfn.XLOOKUP(Logs__2[[#This Row],[Cell_ID]],'Registre_Maintenance'!B:B,'Registre_Maintenance'!F:F,"Pas de correspondance")</f>
        <v>Pas de correspondance</v>
      </c>
      <c r="K578" t="str">
        <f>_xlfn.XLOOKUP(Logs__2[[#This Row],[Cell_ID]],'Registre_Maintenance'!B:B,'Registre_Maintenance'!G:G,"Pas de correspondance")</f>
        <v>Pas de correspondance</v>
      </c>
    </row>
    <row r="579" spans="1:11" x14ac:dyDescent="0.25">
      <c r="A579" s="1" t="s">
        <v>1241</v>
      </c>
      <c r="B579" s="2">
        <v>45227</v>
      </c>
      <c r="C579" s="3">
        <v>9.166666666666666E-2</v>
      </c>
      <c r="D579" s="1" t="s">
        <v>1252</v>
      </c>
      <c r="E579">
        <v>112</v>
      </c>
      <c r="F579" s="1" t="s">
        <v>806</v>
      </c>
      <c r="G579" t="str">
        <f>_xlfn.XLOOKUP(Logs__2[[#This Row],[Cell_ID]],'Registre_Maintenance'!B:B,'Registre_Maintenance'!C:C,"Pas de correspondance")</f>
        <v>Kwilu</v>
      </c>
      <c r="H579">
        <f>_xlfn.XLOOKUP(Logs__2[[#This Row],[Cell_ID]],'Registre_Maintenance'!B:B,'Registre_Maintenance'!D:D,"Pas de correspondance")</f>
        <v>-10.161428000000001</v>
      </c>
      <c r="I579">
        <f>_xlfn.XLOOKUP(Logs__2[[#This Row],[Cell_ID]],'Registre_Maintenance'!B:B,'Registre_Maintenance'!E:E,"Pas de correspondance")</f>
        <v>19.362325999999999</v>
      </c>
      <c r="J579" t="str">
        <f>_xlfn.XLOOKUP(Logs__2[[#This Row],[Cell_ID]],'Registre_Maintenance'!B:B,'Registre_Maintenance'!F:F,"Pas de correspondance")</f>
        <v>3G</v>
      </c>
      <c r="K579" t="str">
        <f>_xlfn.XLOOKUP(Logs__2[[#This Row],[Cell_ID]],'Registre_Maintenance'!B:B,'Registre_Maintenance'!G:G,"Pas de correspondance")</f>
        <v>Nokia</v>
      </c>
    </row>
    <row r="580" spans="1:11" x14ac:dyDescent="0.25">
      <c r="A580" s="1" t="s">
        <v>1241</v>
      </c>
      <c r="B580" s="2">
        <v>45225</v>
      </c>
      <c r="C580" s="3">
        <v>0.78194444444444444</v>
      </c>
      <c r="D580" s="1" t="s">
        <v>1253</v>
      </c>
      <c r="E580">
        <v>113</v>
      </c>
      <c r="F580" s="1" t="s">
        <v>809</v>
      </c>
      <c r="G580" t="str">
        <f>_xlfn.XLOOKUP(Logs__2[[#This Row],[Cell_ID]],'Registre_Maintenance'!B:B,'Registre_Maintenance'!C:C,"Pas de correspondance")</f>
        <v>Tanganyika</v>
      </c>
      <c r="H580">
        <f>_xlfn.XLOOKUP(Logs__2[[#This Row],[Cell_ID]],'Registre_Maintenance'!B:B,'Registre_Maintenance'!D:D,"Pas de correspondance")</f>
        <v>-7.9425049999999997</v>
      </c>
      <c r="I580">
        <f>_xlfn.XLOOKUP(Logs__2[[#This Row],[Cell_ID]],'Registre_Maintenance'!B:B,'Registre_Maintenance'!E:E,"Pas de correspondance")</f>
        <v>24.111059000000001</v>
      </c>
      <c r="J580" t="str">
        <f>_xlfn.XLOOKUP(Logs__2[[#This Row],[Cell_ID]],'Registre_Maintenance'!B:B,'Registre_Maintenance'!F:F,"Pas de correspondance")</f>
        <v>3G</v>
      </c>
      <c r="K580" t="str">
        <f>_xlfn.XLOOKUP(Logs__2[[#This Row],[Cell_ID]],'Registre_Maintenance'!B:B,'Registre_Maintenance'!G:G,"Pas de correspondance")</f>
        <v>ZTE</v>
      </c>
    </row>
    <row r="581" spans="1:11" hidden="1" x14ac:dyDescent="0.25">
      <c r="A581" s="1" t="s">
        <v>1241</v>
      </c>
      <c r="B581" s="2">
        <v>45221</v>
      </c>
      <c r="C581" s="3">
        <v>0.71736111111111112</v>
      </c>
      <c r="D581" s="1" t="s">
        <v>836</v>
      </c>
      <c r="E581">
        <v>14</v>
      </c>
      <c r="F581" s="1" t="s">
        <v>806</v>
      </c>
      <c r="G581" t="str">
        <f>_xlfn.XLOOKUP(Logs__2[[#This Row],[Cell_ID]],'Registre_Maintenance'!B:B,'Registre_Maintenance'!C:C,"Pas de correspondance")</f>
        <v>Pas de correspondance</v>
      </c>
      <c r="H581" t="str">
        <f>_xlfn.XLOOKUP(Logs__2[[#This Row],[Cell_ID]],'Registre_Maintenance'!B:B,'Registre_Maintenance'!D:D,"Pas de correspondance")</f>
        <v>Pas de correspondance</v>
      </c>
      <c r="I581" t="str">
        <f>_xlfn.XLOOKUP(Logs__2[[#This Row],[Cell_ID]],'Registre_Maintenance'!B:B,'Registre_Maintenance'!E:E,"Pas de correspondance")</f>
        <v>Pas de correspondance</v>
      </c>
      <c r="J581" t="str">
        <f>_xlfn.XLOOKUP(Logs__2[[#This Row],[Cell_ID]],'Registre_Maintenance'!B:B,'Registre_Maintenance'!F:F,"Pas de correspondance")</f>
        <v>Pas de correspondance</v>
      </c>
      <c r="K581" t="str">
        <f>_xlfn.XLOOKUP(Logs__2[[#This Row],[Cell_ID]],'Registre_Maintenance'!B:B,'Registre_Maintenance'!G:G,"Pas de correspondance")</f>
        <v>Pas de correspondance</v>
      </c>
    </row>
    <row r="582" spans="1:11" x14ac:dyDescent="0.25">
      <c r="A582" s="1" t="s">
        <v>1241</v>
      </c>
      <c r="B582" s="2">
        <v>45215</v>
      </c>
      <c r="C582" s="3">
        <v>0.28819444444444442</v>
      </c>
      <c r="D582" s="1" t="s">
        <v>1254</v>
      </c>
      <c r="E582">
        <v>109</v>
      </c>
      <c r="F582" s="1" t="s">
        <v>806</v>
      </c>
      <c r="G582" t="str">
        <f>_xlfn.XLOOKUP(Logs__2[[#This Row],[Cell_ID]],'Registre_Maintenance'!B:B,'Registre_Maintenance'!C:C,"Pas de correspondance")</f>
        <v>Kongo-Central</v>
      </c>
      <c r="H582">
        <f>_xlfn.XLOOKUP(Logs__2[[#This Row],[Cell_ID]],'Registre_Maintenance'!B:B,'Registre_Maintenance'!D:D,"Pas de correspondance")</f>
        <v>-11.157245</v>
      </c>
      <c r="I582">
        <f>_xlfn.XLOOKUP(Logs__2[[#This Row],[Cell_ID]],'Registre_Maintenance'!B:B,'Registre_Maintenance'!E:E,"Pas de correspondance")</f>
        <v>21.262627999999999</v>
      </c>
      <c r="J582" t="str">
        <f>_xlfn.XLOOKUP(Logs__2[[#This Row],[Cell_ID]],'Registre_Maintenance'!B:B,'Registre_Maintenance'!F:F,"Pas de correspondance")</f>
        <v>5G</v>
      </c>
      <c r="K582" t="str">
        <f>_xlfn.XLOOKUP(Logs__2[[#This Row],[Cell_ID]],'Registre_Maintenance'!B:B,'Registre_Maintenance'!G:G,"Pas de correspondance")</f>
        <v>ZTE</v>
      </c>
    </row>
    <row r="583" spans="1:11" hidden="1" x14ac:dyDescent="0.25">
      <c r="A583" s="1" t="s">
        <v>1241</v>
      </c>
      <c r="B583" s="2">
        <v>45229</v>
      </c>
      <c r="C583" s="3">
        <v>0.42986111111111114</v>
      </c>
      <c r="D583" s="1" t="s">
        <v>1090</v>
      </c>
      <c r="E583">
        <v>90</v>
      </c>
      <c r="F583" s="1" t="s">
        <v>806</v>
      </c>
      <c r="G583" t="str">
        <f>_xlfn.XLOOKUP(Logs__2[[#This Row],[Cell_ID]],'Registre_Maintenance'!B:B,'Registre_Maintenance'!C:C,"Pas de correspondance")</f>
        <v>Pas de correspondance</v>
      </c>
      <c r="H583" t="str">
        <f>_xlfn.XLOOKUP(Logs__2[[#This Row],[Cell_ID]],'Registre_Maintenance'!B:B,'Registre_Maintenance'!D:D,"Pas de correspondance")</f>
        <v>Pas de correspondance</v>
      </c>
      <c r="I583" t="str">
        <f>_xlfn.XLOOKUP(Logs__2[[#This Row],[Cell_ID]],'Registre_Maintenance'!B:B,'Registre_Maintenance'!E:E,"Pas de correspondance")</f>
        <v>Pas de correspondance</v>
      </c>
      <c r="J583" t="str">
        <f>_xlfn.XLOOKUP(Logs__2[[#This Row],[Cell_ID]],'Registre_Maintenance'!B:B,'Registre_Maintenance'!F:F,"Pas de correspondance")</f>
        <v>Pas de correspondance</v>
      </c>
      <c r="K583" t="str">
        <f>_xlfn.XLOOKUP(Logs__2[[#This Row],[Cell_ID]],'Registre_Maintenance'!B:B,'Registre_Maintenance'!G:G,"Pas de correspondance")</f>
        <v>Pas de correspondance</v>
      </c>
    </row>
    <row r="584" spans="1:11" x14ac:dyDescent="0.25">
      <c r="A584" s="1" t="s">
        <v>1241</v>
      </c>
      <c r="B584" s="2">
        <v>45230</v>
      </c>
      <c r="C584" s="3">
        <v>9.0277777777777769E-3</v>
      </c>
      <c r="D584" s="1" t="s">
        <v>885</v>
      </c>
      <c r="E584">
        <v>11</v>
      </c>
      <c r="F584" s="1" t="s">
        <v>809</v>
      </c>
      <c r="G584" t="str">
        <f>_xlfn.XLOOKUP(Logs__2[[#This Row],[Cell_ID]],'Registre_Maintenance'!B:B,'Registre_Maintenance'!C:C,"Pas de correspondance")</f>
        <v>Nord-Ubangi</v>
      </c>
      <c r="H584">
        <f>_xlfn.XLOOKUP(Logs__2[[#This Row],[Cell_ID]],'Registre_Maintenance'!B:B,'Registre_Maintenance'!D:D,"Pas de correspondance")</f>
        <v>0.94539899999999999</v>
      </c>
      <c r="I584">
        <f>_xlfn.XLOOKUP(Logs__2[[#This Row],[Cell_ID]],'Registre_Maintenance'!B:B,'Registre_Maintenance'!E:E,"Pas de correspondance")</f>
        <v>14.401821999999999</v>
      </c>
      <c r="J584" t="str">
        <f>_xlfn.XLOOKUP(Logs__2[[#This Row],[Cell_ID]],'Registre_Maintenance'!B:B,'Registre_Maintenance'!F:F,"Pas de correspondance")</f>
        <v>5G</v>
      </c>
      <c r="K584" t="str">
        <f>_xlfn.XLOOKUP(Logs__2[[#This Row],[Cell_ID]],'Registre_Maintenance'!B:B,'Registre_Maintenance'!G:G,"Pas de correspondance")</f>
        <v>Nokia</v>
      </c>
    </row>
    <row r="585" spans="1:11" hidden="1" x14ac:dyDescent="0.25">
      <c r="A585" s="1" t="s">
        <v>1241</v>
      </c>
      <c r="B585" s="2">
        <v>45229</v>
      </c>
      <c r="C585" s="3">
        <v>0.28263888888888888</v>
      </c>
      <c r="D585" s="1" t="s">
        <v>850</v>
      </c>
      <c r="E585">
        <v>102</v>
      </c>
      <c r="F585" s="1" t="s">
        <v>809</v>
      </c>
      <c r="G585" t="str">
        <f>_xlfn.XLOOKUP(Logs__2[[#This Row],[Cell_ID]],'Registre_Maintenance'!B:B,'Registre_Maintenance'!C:C,"Pas de correspondance")</f>
        <v>Pas de correspondance</v>
      </c>
      <c r="H585" t="str">
        <f>_xlfn.XLOOKUP(Logs__2[[#This Row],[Cell_ID]],'Registre_Maintenance'!B:B,'Registre_Maintenance'!D:D,"Pas de correspondance")</f>
        <v>Pas de correspondance</v>
      </c>
      <c r="I585" t="str">
        <f>_xlfn.XLOOKUP(Logs__2[[#This Row],[Cell_ID]],'Registre_Maintenance'!B:B,'Registre_Maintenance'!E:E,"Pas de correspondance")</f>
        <v>Pas de correspondance</v>
      </c>
      <c r="J585" t="str">
        <f>_xlfn.XLOOKUP(Logs__2[[#This Row],[Cell_ID]],'Registre_Maintenance'!B:B,'Registre_Maintenance'!F:F,"Pas de correspondance")</f>
        <v>Pas de correspondance</v>
      </c>
      <c r="K585" t="str">
        <f>_xlfn.XLOOKUP(Logs__2[[#This Row],[Cell_ID]],'Registre_Maintenance'!B:B,'Registre_Maintenance'!G:G,"Pas de correspondance")</f>
        <v>Pas de correspondance</v>
      </c>
    </row>
    <row r="586" spans="1:11" hidden="1" x14ac:dyDescent="0.25">
      <c r="A586" s="1" t="s">
        <v>1241</v>
      </c>
      <c r="B586" s="2">
        <v>45203</v>
      </c>
      <c r="C586" s="3">
        <v>0.9916666666666667</v>
      </c>
      <c r="D586" s="1" t="s">
        <v>1255</v>
      </c>
      <c r="E586">
        <v>5</v>
      </c>
      <c r="F586" s="1" t="s">
        <v>811</v>
      </c>
      <c r="G586" t="str">
        <f>_xlfn.XLOOKUP(Logs__2[[#This Row],[Cell_ID]],'Registre_Maintenance'!B:B,'Registre_Maintenance'!C:C,"Pas de correspondance")</f>
        <v>Pas de correspondance</v>
      </c>
      <c r="H586" t="str">
        <f>_xlfn.XLOOKUP(Logs__2[[#This Row],[Cell_ID]],'Registre_Maintenance'!B:B,'Registre_Maintenance'!D:D,"Pas de correspondance")</f>
        <v>Pas de correspondance</v>
      </c>
      <c r="I586" t="str">
        <f>_xlfn.XLOOKUP(Logs__2[[#This Row],[Cell_ID]],'Registre_Maintenance'!B:B,'Registre_Maintenance'!E:E,"Pas de correspondance")</f>
        <v>Pas de correspondance</v>
      </c>
      <c r="J586" t="str">
        <f>_xlfn.XLOOKUP(Logs__2[[#This Row],[Cell_ID]],'Registre_Maintenance'!B:B,'Registre_Maintenance'!F:F,"Pas de correspondance")</f>
        <v>Pas de correspondance</v>
      </c>
      <c r="K586" t="str">
        <f>_xlfn.XLOOKUP(Logs__2[[#This Row],[Cell_ID]],'Registre_Maintenance'!B:B,'Registre_Maintenance'!G:G,"Pas de correspondance")</f>
        <v>Pas de correspondance</v>
      </c>
    </row>
    <row r="587" spans="1:11" hidden="1" x14ac:dyDescent="0.25">
      <c r="A587" s="1" t="s">
        <v>1241</v>
      </c>
      <c r="B587" s="2">
        <v>45215</v>
      </c>
      <c r="C587" s="3">
        <v>0.32222222222222224</v>
      </c>
      <c r="D587" s="1" t="s">
        <v>1256</v>
      </c>
      <c r="E587">
        <v>57</v>
      </c>
      <c r="F587" s="1" t="s">
        <v>811</v>
      </c>
      <c r="G587" t="str">
        <f>_xlfn.XLOOKUP(Logs__2[[#This Row],[Cell_ID]],'Registre_Maintenance'!B:B,'Registre_Maintenance'!C:C,"Pas de correspondance")</f>
        <v>Pas de correspondance</v>
      </c>
      <c r="H587" t="str">
        <f>_xlfn.XLOOKUP(Logs__2[[#This Row],[Cell_ID]],'Registre_Maintenance'!B:B,'Registre_Maintenance'!D:D,"Pas de correspondance")</f>
        <v>Pas de correspondance</v>
      </c>
      <c r="I587" t="str">
        <f>_xlfn.XLOOKUP(Logs__2[[#This Row],[Cell_ID]],'Registre_Maintenance'!B:B,'Registre_Maintenance'!E:E,"Pas de correspondance")</f>
        <v>Pas de correspondance</v>
      </c>
      <c r="J587" t="str">
        <f>_xlfn.XLOOKUP(Logs__2[[#This Row],[Cell_ID]],'Registre_Maintenance'!B:B,'Registre_Maintenance'!F:F,"Pas de correspondance")</f>
        <v>Pas de correspondance</v>
      </c>
      <c r="K587" t="str">
        <f>_xlfn.XLOOKUP(Logs__2[[#This Row],[Cell_ID]],'Registre_Maintenance'!B:B,'Registre_Maintenance'!G:G,"Pas de correspondance")</f>
        <v>Pas de correspondance</v>
      </c>
    </row>
    <row r="588" spans="1:11" hidden="1" x14ac:dyDescent="0.25">
      <c r="A588" s="1" t="s">
        <v>1241</v>
      </c>
      <c r="B588" s="2">
        <v>45219</v>
      </c>
      <c r="C588" s="3">
        <v>0.92569444444444449</v>
      </c>
      <c r="D588" s="1" t="s">
        <v>1257</v>
      </c>
      <c r="E588">
        <v>22</v>
      </c>
      <c r="F588" s="1" t="s">
        <v>806</v>
      </c>
      <c r="G588" t="str">
        <f>_xlfn.XLOOKUP(Logs__2[[#This Row],[Cell_ID]],'Registre_Maintenance'!B:B,'Registre_Maintenance'!C:C,"Pas de correspondance")</f>
        <v>Pas de correspondance</v>
      </c>
      <c r="H588" t="str">
        <f>_xlfn.XLOOKUP(Logs__2[[#This Row],[Cell_ID]],'Registre_Maintenance'!B:B,'Registre_Maintenance'!D:D,"Pas de correspondance")</f>
        <v>Pas de correspondance</v>
      </c>
      <c r="I588" t="str">
        <f>_xlfn.XLOOKUP(Logs__2[[#This Row],[Cell_ID]],'Registre_Maintenance'!B:B,'Registre_Maintenance'!E:E,"Pas de correspondance")</f>
        <v>Pas de correspondance</v>
      </c>
      <c r="J588" t="str">
        <f>_xlfn.XLOOKUP(Logs__2[[#This Row],[Cell_ID]],'Registre_Maintenance'!B:B,'Registre_Maintenance'!F:F,"Pas de correspondance")</f>
        <v>Pas de correspondance</v>
      </c>
      <c r="K588" t="str">
        <f>_xlfn.XLOOKUP(Logs__2[[#This Row],[Cell_ID]],'Registre_Maintenance'!B:B,'Registre_Maintenance'!G:G,"Pas de correspondance")</f>
        <v>Pas de correspondance</v>
      </c>
    </row>
    <row r="589" spans="1:11" hidden="1" x14ac:dyDescent="0.25">
      <c r="A589" s="1" t="s">
        <v>1241</v>
      </c>
      <c r="B589" s="2">
        <v>45212</v>
      </c>
      <c r="C589" s="3">
        <v>0.31597222222222221</v>
      </c>
      <c r="D589" s="1" t="s">
        <v>977</v>
      </c>
      <c r="E589">
        <v>112</v>
      </c>
      <c r="F589" s="1" t="s">
        <v>806</v>
      </c>
      <c r="G589" t="str">
        <f>_xlfn.XLOOKUP(Logs__2[[#This Row],[Cell_ID]],'Registre_Maintenance'!B:B,'Registre_Maintenance'!C:C,"Pas de correspondance")</f>
        <v>Pas de correspondance</v>
      </c>
      <c r="H589" t="str">
        <f>_xlfn.XLOOKUP(Logs__2[[#This Row],[Cell_ID]],'Registre_Maintenance'!B:B,'Registre_Maintenance'!D:D,"Pas de correspondance")</f>
        <v>Pas de correspondance</v>
      </c>
      <c r="I589" t="str">
        <f>_xlfn.XLOOKUP(Logs__2[[#This Row],[Cell_ID]],'Registre_Maintenance'!B:B,'Registre_Maintenance'!E:E,"Pas de correspondance")</f>
        <v>Pas de correspondance</v>
      </c>
      <c r="J589" t="str">
        <f>_xlfn.XLOOKUP(Logs__2[[#This Row],[Cell_ID]],'Registre_Maintenance'!B:B,'Registre_Maintenance'!F:F,"Pas de correspondance")</f>
        <v>Pas de correspondance</v>
      </c>
      <c r="K589" t="str">
        <f>_xlfn.XLOOKUP(Logs__2[[#This Row],[Cell_ID]],'Registre_Maintenance'!B:B,'Registre_Maintenance'!G:G,"Pas de correspondance")</f>
        <v>Pas de correspondance</v>
      </c>
    </row>
    <row r="590" spans="1:11" x14ac:dyDescent="0.25">
      <c r="A590" s="1" t="s">
        <v>1241</v>
      </c>
      <c r="B590" s="2">
        <v>45210</v>
      </c>
      <c r="C590" s="3">
        <v>0.39166666666666666</v>
      </c>
      <c r="D590" s="1" t="s">
        <v>906</v>
      </c>
      <c r="E590">
        <v>85</v>
      </c>
      <c r="F590" s="1" t="s">
        <v>809</v>
      </c>
      <c r="G590" t="str">
        <f>_xlfn.XLOOKUP(Logs__2[[#This Row],[Cell_ID]],'Registre_Maintenance'!B:B,'Registre_Maintenance'!C:C,"Pas de correspondance")</f>
        <v>Nord-Kivu</v>
      </c>
      <c r="H590">
        <f>_xlfn.XLOOKUP(Logs__2[[#This Row],[Cell_ID]],'Registre_Maintenance'!B:B,'Registre_Maintenance'!D:D,"Pas de correspondance")</f>
        <v>1.017161</v>
      </c>
      <c r="I590">
        <f>_xlfn.XLOOKUP(Logs__2[[#This Row],[Cell_ID]],'Registre_Maintenance'!B:B,'Registre_Maintenance'!E:E,"Pas de correspondance")</f>
        <v>16.519689</v>
      </c>
      <c r="J590" t="str">
        <f>_xlfn.XLOOKUP(Logs__2[[#This Row],[Cell_ID]],'Registre_Maintenance'!B:B,'Registre_Maintenance'!F:F,"Pas de correspondance")</f>
        <v>3G</v>
      </c>
      <c r="K590" t="str">
        <f>_xlfn.XLOOKUP(Logs__2[[#This Row],[Cell_ID]],'Registre_Maintenance'!B:B,'Registre_Maintenance'!G:G,"Pas de correspondance")</f>
        <v>Nokia</v>
      </c>
    </row>
    <row r="591" spans="1:11" hidden="1" x14ac:dyDescent="0.25">
      <c r="A591" s="1" t="s">
        <v>1241</v>
      </c>
      <c r="B591" s="2">
        <v>45214</v>
      </c>
      <c r="C591" s="3">
        <v>0.7368055555555556</v>
      </c>
      <c r="D591" s="1" t="s">
        <v>1258</v>
      </c>
      <c r="E591">
        <v>34</v>
      </c>
      <c r="F591" s="1" t="s">
        <v>811</v>
      </c>
      <c r="G591" t="str">
        <f>_xlfn.XLOOKUP(Logs__2[[#This Row],[Cell_ID]],'Registre_Maintenance'!B:B,'Registre_Maintenance'!C:C,"Pas de correspondance")</f>
        <v>Pas de correspondance</v>
      </c>
      <c r="H591" t="str">
        <f>_xlfn.XLOOKUP(Logs__2[[#This Row],[Cell_ID]],'Registre_Maintenance'!B:B,'Registre_Maintenance'!D:D,"Pas de correspondance")</f>
        <v>Pas de correspondance</v>
      </c>
      <c r="I591" t="str">
        <f>_xlfn.XLOOKUP(Logs__2[[#This Row],[Cell_ID]],'Registre_Maintenance'!B:B,'Registre_Maintenance'!E:E,"Pas de correspondance")</f>
        <v>Pas de correspondance</v>
      </c>
      <c r="J591" t="str">
        <f>_xlfn.XLOOKUP(Logs__2[[#This Row],[Cell_ID]],'Registre_Maintenance'!B:B,'Registre_Maintenance'!F:F,"Pas de correspondance")</f>
        <v>Pas de correspondance</v>
      </c>
      <c r="K591" t="str">
        <f>_xlfn.XLOOKUP(Logs__2[[#This Row],[Cell_ID]],'Registre_Maintenance'!B:B,'Registre_Maintenance'!G:G,"Pas de correspondance")</f>
        <v>Pas de correspondance</v>
      </c>
    </row>
    <row r="592" spans="1:11" hidden="1" x14ac:dyDescent="0.25">
      <c r="A592" s="1" t="s">
        <v>1241</v>
      </c>
      <c r="B592" s="2">
        <v>45211</v>
      </c>
      <c r="C592" s="3">
        <v>0.38611111111111113</v>
      </c>
      <c r="D592" s="1" t="s">
        <v>1000</v>
      </c>
      <c r="E592">
        <v>13</v>
      </c>
      <c r="F592" s="1" t="s">
        <v>809</v>
      </c>
      <c r="G592" t="str">
        <f>_xlfn.XLOOKUP(Logs__2[[#This Row],[Cell_ID]],'Registre_Maintenance'!B:B,'Registre_Maintenance'!C:C,"Pas de correspondance")</f>
        <v>Pas de correspondance</v>
      </c>
      <c r="H592" t="str">
        <f>_xlfn.XLOOKUP(Logs__2[[#This Row],[Cell_ID]],'Registre_Maintenance'!B:B,'Registre_Maintenance'!D:D,"Pas de correspondance")</f>
        <v>Pas de correspondance</v>
      </c>
      <c r="I592" t="str">
        <f>_xlfn.XLOOKUP(Logs__2[[#This Row],[Cell_ID]],'Registre_Maintenance'!B:B,'Registre_Maintenance'!E:E,"Pas de correspondance")</f>
        <v>Pas de correspondance</v>
      </c>
      <c r="J592" t="str">
        <f>_xlfn.XLOOKUP(Logs__2[[#This Row],[Cell_ID]],'Registre_Maintenance'!B:B,'Registre_Maintenance'!F:F,"Pas de correspondance")</f>
        <v>Pas de correspondance</v>
      </c>
      <c r="K592" t="str">
        <f>_xlfn.XLOOKUP(Logs__2[[#This Row],[Cell_ID]],'Registre_Maintenance'!B:B,'Registre_Maintenance'!G:G,"Pas de correspondance")</f>
        <v>Pas de correspondance</v>
      </c>
    </row>
    <row r="593" spans="1:11" hidden="1" x14ac:dyDescent="0.25">
      <c r="A593" s="1" t="s">
        <v>1241</v>
      </c>
      <c r="B593" s="2">
        <v>45211</v>
      </c>
      <c r="C593" s="3">
        <v>0.7055555555555556</v>
      </c>
      <c r="D593" s="1" t="s">
        <v>1259</v>
      </c>
      <c r="E593">
        <v>95</v>
      </c>
      <c r="F593" s="1" t="s">
        <v>809</v>
      </c>
      <c r="G593" t="str">
        <f>_xlfn.XLOOKUP(Logs__2[[#This Row],[Cell_ID]],'Registre_Maintenance'!B:B,'Registre_Maintenance'!C:C,"Pas de correspondance")</f>
        <v>Pas de correspondance</v>
      </c>
      <c r="H593" t="str">
        <f>_xlfn.XLOOKUP(Logs__2[[#This Row],[Cell_ID]],'Registre_Maintenance'!B:B,'Registre_Maintenance'!D:D,"Pas de correspondance")</f>
        <v>Pas de correspondance</v>
      </c>
      <c r="I593" t="str">
        <f>_xlfn.XLOOKUP(Logs__2[[#This Row],[Cell_ID]],'Registre_Maintenance'!B:B,'Registre_Maintenance'!E:E,"Pas de correspondance")</f>
        <v>Pas de correspondance</v>
      </c>
      <c r="J593" t="str">
        <f>_xlfn.XLOOKUP(Logs__2[[#This Row],[Cell_ID]],'Registre_Maintenance'!B:B,'Registre_Maintenance'!F:F,"Pas de correspondance")</f>
        <v>Pas de correspondance</v>
      </c>
      <c r="K593" t="str">
        <f>_xlfn.XLOOKUP(Logs__2[[#This Row],[Cell_ID]],'Registre_Maintenance'!B:B,'Registre_Maintenance'!G:G,"Pas de correspondance")</f>
        <v>Pas de correspondance</v>
      </c>
    </row>
    <row r="594" spans="1:11" x14ac:dyDescent="0.25">
      <c r="A594" s="1" t="s">
        <v>1241</v>
      </c>
      <c r="B594" s="2">
        <v>45215</v>
      </c>
      <c r="C594" s="3">
        <v>0.58750000000000002</v>
      </c>
      <c r="D594" s="1" t="s">
        <v>1260</v>
      </c>
      <c r="E594">
        <v>24</v>
      </c>
      <c r="F594" s="1" t="s">
        <v>809</v>
      </c>
      <c r="G594" t="str">
        <f>_xlfn.XLOOKUP(Logs__2[[#This Row],[Cell_ID]],'Registre_Maintenance'!B:B,'Registre_Maintenance'!C:C,"Pas de correspondance")</f>
        <v>Maniema</v>
      </c>
      <c r="H594">
        <f>_xlfn.XLOOKUP(Logs__2[[#This Row],[Cell_ID]],'Registre_Maintenance'!B:B,'Registre_Maintenance'!D:D,"Pas de correspondance")</f>
        <v>2.5458379999999998</v>
      </c>
      <c r="I594">
        <f>_xlfn.XLOOKUP(Logs__2[[#This Row],[Cell_ID]],'Registre_Maintenance'!B:B,'Registre_Maintenance'!E:E,"Pas de correspondance")</f>
        <v>13.308655</v>
      </c>
      <c r="J594" t="str">
        <f>_xlfn.XLOOKUP(Logs__2[[#This Row],[Cell_ID]],'Registre_Maintenance'!B:B,'Registre_Maintenance'!F:F,"Pas de correspondance")</f>
        <v>5G</v>
      </c>
      <c r="K594" t="str">
        <f>_xlfn.XLOOKUP(Logs__2[[#This Row],[Cell_ID]],'Registre_Maintenance'!B:B,'Registre_Maintenance'!G:G,"Pas de correspondance")</f>
        <v>ZTE</v>
      </c>
    </row>
    <row r="595" spans="1:11" hidden="1" x14ac:dyDescent="0.25">
      <c r="A595" s="1" t="s">
        <v>1241</v>
      </c>
      <c r="B595" s="2">
        <v>45225</v>
      </c>
      <c r="C595" s="3">
        <v>0.97916666666666663</v>
      </c>
      <c r="D595" s="1" t="s">
        <v>1091</v>
      </c>
      <c r="E595">
        <v>6</v>
      </c>
      <c r="F595" s="1" t="s">
        <v>806</v>
      </c>
      <c r="G595" t="str">
        <f>_xlfn.XLOOKUP(Logs__2[[#This Row],[Cell_ID]],'Registre_Maintenance'!B:B,'Registre_Maintenance'!C:C,"Pas de correspondance")</f>
        <v>Pas de correspondance</v>
      </c>
      <c r="H595" t="str">
        <f>_xlfn.XLOOKUP(Logs__2[[#This Row],[Cell_ID]],'Registre_Maintenance'!B:B,'Registre_Maintenance'!D:D,"Pas de correspondance")</f>
        <v>Pas de correspondance</v>
      </c>
      <c r="I595" t="str">
        <f>_xlfn.XLOOKUP(Logs__2[[#This Row],[Cell_ID]],'Registre_Maintenance'!B:B,'Registre_Maintenance'!E:E,"Pas de correspondance")</f>
        <v>Pas de correspondance</v>
      </c>
      <c r="J595" t="str">
        <f>_xlfn.XLOOKUP(Logs__2[[#This Row],[Cell_ID]],'Registre_Maintenance'!B:B,'Registre_Maintenance'!F:F,"Pas de correspondance")</f>
        <v>Pas de correspondance</v>
      </c>
      <c r="K595" t="str">
        <f>_xlfn.XLOOKUP(Logs__2[[#This Row],[Cell_ID]],'Registre_Maintenance'!B:B,'Registre_Maintenance'!G:G,"Pas de correspondance")</f>
        <v>Pas de correspondance</v>
      </c>
    </row>
    <row r="596" spans="1:11" hidden="1" x14ac:dyDescent="0.25">
      <c r="A596" s="1" t="s">
        <v>1241</v>
      </c>
      <c r="B596" s="2">
        <v>45224</v>
      </c>
      <c r="C596" s="3">
        <v>0.45694444444444443</v>
      </c>
      <c r="D596" s="1" t="s">
        <v>830</v>
      </c>
      <c r="E596">
        <v>32</v>
      </c>
      <c r="F596" s="1" t="s">
        <v>806</v>
      </c>
      <c r="G596" t="str">
        <f>_xlfn.XLOOKUP(Logs__2[[#This Row],[Cell_ID]],'Registre_Maintenance'!B:B,'Registre_Maintenance'!C:C,"Pas de correspondance")</f>
        <v>Pas de correspondance</v>
      </c>
      <c r="H596" t="str">
        <f>_xlfn.XLOOKUP(Logs__2[[#This Row],[Cell_ID]],'Registre_Maintenance'!B:B,'Registre_Maintenance'!D:D,"Pas de correspondance")</f>
        <v>Pas de correspondance</v>
      </c>
      <c r="I596" t="str">
        <f>_xlfn.XLOOKUP(Logs__2[[#This Row],[Cell_ID]],'Registre_Maintenance'!B:B,'Registre_Maintenance'!E:E,"Pas de correspondance")</f>
        <v>Pas de correspondance</v>
      </c>
      <c r="J596" t="str">
        <f>_xlfn.XLOOKUP(Logs__2[[#This Row],[Cell_ID]],'Registre_Maintenance'!B:B,'Registre_Maintenance'!F:F,"Pas de correspondance")</f>
        <v>Pas de correspondance</v>
      </c>
      <c r="K596" t="str">
        <f>_xlfn.XLOOKUP(Logs__2[[#This Row],[Cell_ID]],'Registre_Maintenance'!B:B,'Registre_Maintenance'!G:G,"Pas de correspondance")</f>
        <v>Pas de correspondance</v>
      </c>
    </row>
    <row r="597" spans="1:11" hidden="1" x14ac:dyDescent="0.25">
      <c r="A597" s="1" t="s">
        <v>1241</v>
      </c>
      <c r="B597" s="2">
        <v>45206</v>
      </c>
      <c r="C597" s="3">
        <v>0.47222222222222221</v>
      </c>
      <c r="D597" s="1" t="s">
        <v>1261</v>
      </c>
      <c r="E597">
        <v>69</v>
      </c>
      <c r="F597" s="1" t="s">
        <v>811</v>
      </c>
      <c r="G597" t="str">
        <f>_xlfn.XLOOKUP(Logs__2[[#This Row],[Cell_ID]],'Registre_Maintenance'!B:B,'Registre_Maintenance'!C:C,"Pas de correspondance")</f>
        <v>Pas de correspondance</v>
      </c>
      <c r="H597" t="str">
        <f>_xlfn.XLOOKUP(Logs__2[[#This Row],[Cell_ID]],'Registre_Maintenance'!B:B,'Registre_Maintenance'!D:D,"Pas de correspondance")</f>
        <v>Pas de correspondance</v>
      </c>
      <c r="I597" t="str">
        <f>_xlfn.XLOOKUP(Logs__2[[#This Row],[Cell_ID]],'Registre_Maintenance'!B:B,'Registre_Maintenance'!E:E,"Pas de correspondance")</f>
        <v>Pas de correspondance</v>
      </c>
      <c r="J597" t="str">
        <f>_xlfn.XLOOKUP(Logs__2[[#This Row],[Cell_ID]],'Registre_Maintenance'!B:B,'Registre_Maintenance'!F:F,"Pas de correspondance")</f>
        <v>Pas de correspondance</v>
      </c>
      <c r="K597" t="str">
        <f>_xlfn.XLOOKUP(Logs__2[[#This Row],[Cell_ID]],'Registre_Maintenance'!B:B,'Registre_Maintenance'!G:G,"Pas de correspondance")</f>
        <v>Pas de correspondance</v>
      </c>
    </row>
    <row r="598" spans="1:11" x14ac:dyDescent="0.25">
      <c r="A598" s="1" t="s">
        <v>1241</v>
      </c>
      <c r="B598" s="2">
        <v>45213</v>
      </c>
      <c r="C598" s="3">
        <v>6.6666666666666666E-2</v>
      </c>
      <c r="D598" s="1" t="s">
        <v>1146</v>
      </c>
      <c r="E598">
        <v>63</v>
      </c>
      <c r="F598" s="1" t="s">
        <v>806</v>
      </c>
      <c r="G598" t="str">
        <f>_xlfn.XLOOKUP(Logs__2[[#This Row],[Cell_ID]],'Registre_Maintenance'!B:B,'Registre_Maintenance'!C:C,"Pas de correspondance")</f>
        <v>Sud-Ubangi</v>
      </c>
      <c r="H598">
        <f>_xlfn.XLOOKUP(Logs__2[[#This Row],[Cell_ID]],'Registre_Maintenance'!B:B,'Registre_Maintenance'!D:D,"Pas de correspondance")</f>
        <v>-11.387295999999999</v>
      </c>
      <c r="I598">
        <f>_xlfn.XLOOKUP(Logs__2[[#This Row],[Cell_ID]],'Registre_Maintenance'!B:B,'Registre_Maintenance'!E:E,"Pas de correspondance")</f>
        <v>19.384257999999999</v>
      </c>
      <c r="J598" t="str">
        <f>_xlfn.XLOOKUP(Logs__2[[#This Row],[Cell_ID]],'Registre_Maintenance'!B:B,'Registre_Maintenance'!F:F,"Pas de correspondance")</f>
        <v>3G</v>
      </c>
      <c r="K598" t="str">
        <f>_xlfn.XLOOKUP(Logs__2[[#This Row],[Cell_ID]],'Registre_Maintenance'!B:B,'Registre_Maintenance'!G:G,"Pas de correspondance")</f>
        <v>Huawei</v>
      </c>
    </row>
    <row r="599" spans="1:11" hidden="1" x14ac:dyDescent="0.25">
      <c r="A599" s="1" t="s">
        <v>1241</v>
      </c>
      <c r="B599" s="2">
        <v>45227</v>
      </c>
      <c r="C599" s="3">
        <v>0.32430555555555557</v>
      </c>
      <c r="D599" s="1" t="s">
        <v>1262</v>
      </c>
      <c r="E599">
        <v>52</v>
      </c>
      <c r="F599" s="1" t="s">
        <v>806</v>
      </c>
      <c r="G599" t="str">
        <f>_xlfn.XLOOKUP(Logs__2[[#This Row],[Cell_ID]],'Registre_Maintenance'!B:B,'Registre_Maintenance'!C:C,"Pas de correspondance")</f>
        <v>Pas de correspondance</v>
      </c>
      <c r="H599" t="str">
        <f>_xlfn.XLOOKUP(Logs__2[[#This Row],[Cell_ID]],'Registre_Maintenance'!B:B,'Registre_Maintenance'!D:D,"Pas de correspondance")</f>
        <v>Pas de correspondance</v>
      </c>
      <c r="I599" t="str">
        <f>_xlfn.XLOOKUP(Logs__2[[#This Row],[Cell_ID]],'Registre_Maintenance'!B:B,'Registre_Maintenance'!E:E,"Pas de correspondance")</f>
        <v>Pas de correspondance</v>
      </c>
      <c r="J599" t="str">
        <f>_xlfn.XLOOKUP(Logs__2[[#This Row],[Cell_ID]],'Registre_Maintenance'!B:B,'Registre_Maintenance'!F:F,"Pas de correspondance")</f>
        <v>Pas de correspondance</v>
      </c>
      <c r="K599" t="str">
        <f>_xlfn.XLOOKUP(Logs__2[[#This Row],[Cell_ID]],'Registre_Maintenance'!B:B,'Registre_Maintenance'!G:G,"Pas de correspondance")</f>
        <v>Pas de correspondance</v>
      </c>
    </row>
    <row r="600" spans="1:11" x14ac:dyDescent="0.25">
      <c r="A600" s="1" t="s">
        <v>1241</v>
      </c>
      <c r="B600" s="2">
        <v>45204</v>
      </c>
      <c r="C600" s="3">
        <v>1.1111111111111112E-2</v>
      </c>
      <c r="D600" s="1" t="s">
        <v>1263</v>
      </c>
      <c r="E600">
        <v>12</v>
      </c>
      <c r="F600" s="1" t="s">
        <v>809</v>
      </c>
      <c r="G600" t="str">
        <f>_xlfn.XLOOKUP(Logs__2[[#This Row],[Cell_ID]],'Registre_Maintenance'!B:B,'Registre_Maintenance'!C:C,"Pas de correspondance")</f>
        <v>Maniema</v>
      </c>
      <c r="H600">
        <f>_xlfn.XLOOKUP(Logs__2[[#This Row],[Cell_ID]],'Registre_Maintenance'!B:B,'Registre_Maintenance'!D:D,"Pas de correspondance")</f>
        <v>-1.6488929999999999</v>
      </c>
      <c r="I600">
        <f>_xlfn.XLOOKUP(Logs__2[[#This Row],[Cell_ID]],'Registre_Maintenance'!B:B,'Registre_Maintenance'!E:E,"Pas de correspondance")</f>
        <v>27.284617000000001</v>
      </c>
      <c r="J600" t="str">
        <f>_xlfn.XLOOKUP(Logs__2[[#This Row],[Cell_ID]],'Registre_Maintenance'!B:B,'Registre_Maintenance'!F:F,"Pas de correspondance")</f>
        <v>5G</v>
      </c>
      <c r="K600" t="str">
        <f>_xlfn.XLOOKUP(Logs__2[[#This Row],[Cell_ID]],'Registre_Maintenance'!B:B,'Registre_Maintenance'!G:G,"Pas de correspondance")</f>
        <v>Nokia</v>
      </c>
    </row>
    <row r="601" spans="1:11" x14ac:dyDescent="0.25">
      <c r="A601" s="1" t="s">
        <v>1241</v>
      </c>
      <c r="B601" s="2">
        <v>45217</v>
      </c>
      <c r="C601" s="3">
        <v>0.77569444444444446</v>
      </c>
      <c r="D601" s="1" t="s">
        <v>964</v>
      </c>
      <c r="E601">
        <v>84</v>
      </c>
      <c r="F601" s="1" t="s">
        <v>806</v>
      </c>
      <c r="G601" t="str">
        <f>_xlfn.XLOOKUP(Logs__2[[#This Row],[Cell_ID]],'Registre_Maintenance'!B:B,'Registre_Maintenance'!C:C,"Pas de correspondance")</f>
        <v>Maniema</v>
      </c>
      <c r="H601">
        <f>_xlfn.XLOOKUP(Logs__2[[#This Row],[Cell_ID]],'Registre_Maintenance'!B:B,'Registre_Maintenance'!D:D,"Pas de correspondance")</f>
        <v>-2.3743210000000001</v>
      </c>
      <c r="I601">
        <f>_xlfn.XLOOKUP(Logs__2[[#This Row],[Cell_ID]],'Registre_Maintenance'!B:B,'Registre_Maintenance'!E:E,"Pas de correspondance")</f>
        <v>22.399491000000001</v>
      </c>
      <c r="J601" t="str">
        <f>_xlfn.XLOOKUP(Logs__2[[#This Row],[Cell_ID]],'Registre_Maintenance'!B:B,'Registre_Maintenance'!F:F,"Pas de correspondance")</f>
        <v>5G</v>
      </c>
      <c r="K601" t="str">
        <f>_xlfn.XLOOKUP(Logs__2[[#This Row],[Cell_ID]],'Registre_Maintenance'!B:B,'Registre_Maintenance'!G:G,"Pas de correspondance")</f>
        <v>Ericsson</v>
      </c>
    </row>
    <row r="602" spans="1:11" x14ac:dyDescent="0.25">
      <c r="A602" s="1" t="s">
        <v>1241</v>
      </c>
      <c r="B602" s="2">
        <v>45223</v>
      </c>
      <c r="C602" s="3">
        <v>0.5541666666666667</v>
      </c>
      <c r="D602" s="1" t="s">
        <v>1264</v>
      </c>
      <c r="E602">
        <v>86</v>
      </c>
      <c r="F602" s="1" t="s">
        <v>809</v>
      </c>
      <c r="G602" t="str">
        <f>_xlfn.XLOOKUP(Logs__2[[#This Row],[Cell_ID]],'Registre_Maintenance'!B:B,'Registre_Maintenance'!C:C,"Pas de correspondance")</f>
        <v>Sud-Ubangi</v>
      </c>
      <c r="H602">
        <f>_xlfn.XLOOKUP(Logs__2[[#This Row],[Cell_ID]],'Registre_Maintenance'!B:B,'Registre_Maintenance'!D:D,"Pas de correspondance")</f>
        <v>-12.050063</v>
      </c>
      <c r="I602">
        <f>_xlfn.XLOOKUP(Logs__2[[#This Row],[Cell_ID]],'Registre_Maintenance'!B:B,'Registre_Maintenance'!E:E,"Pas de correspondance")</f>
        <v>26.636987999999999</v>
      </c>
      <c r="J602" t="str">
        <f>_xlfn.XLOOKUP(Logs__2[[#This Row],[Cell_ID]],'Registre_Maintenance'!B:B,'Registre_Maintenance'!F:F,"Pas de correspondance")</f>
        <v>3G</v>
      </c>
      <c r="K602" t="str">
        <f>_xlfn.XLOOKUP(Logs__2[[#This Row],[Cell_ID]],'Registre_Maintenance'!B:B,'Registre_Maintenance'!G:G,"Pas de correspondance")</f>
        <v>Nokia</v>
      </c>
    </row>
    <row r="603" spans="1:11" hidden="1" x14ac:dyDescent="0.25">
      <c r="A603" s="1" t="s">
        <v>1241</v>
      </c>
      <c r="B603" s="2">
        <v>45204</v>
      </c>
      <c r="C603" s="3">
        <v>0.26458333333333334</v>
      </c>
      <c r="D603" s="1" t="s">
        <v>1193</v>
      </c>
      <c r="E603">
        <v>90</v>
      </c>
      <c r="F603" s="1" t="s">
        <v>811</v>
      </c>
      <c r="G603" t="str">
        <f>_xlfn.XLOOKUP(Logs__2[[#This Row],[Cell_ID]],'Registre_Maintenance'!B:B,'Registre_Maintenance'!C:C,"Pas de correspondance")</f>
        <v>Pas de correspondance</v>
      </c>
      <c r="H603" t="str">
        <f>_xlfn.XLOOKUP(Logs__2[[#This Row],[Cell_ID]],'Registre_Maintenance'!B:B,'Registre_Maintenance'!D:D,"Pas de correspondance")</f>
        <v>Pas de correspondance</v>
      </c>
      <c r="I603" t="str">
        <f>_xlfn.XLOOKUP(Logs__2[[#This Row],[Cell_ID]],'Registre_Maintenance'!B:B,'Registre_Maintenance'!E:E,"Pas de correspondance")</f>
        <v>Pas de correspondance</v>
      </c>
      <c r="J603" t="str">
        <f>_xlfn.XLOOKUP(Logs__2[[#This Row],[Cell_ID]],'Registre_Maintenance'!B:B,'Registre_Maintenance'!F:F,"Pas de correspondance")</f>
        <v>Pas de correspondance</v>
      </c>
      <c r="K603" t="str">
        <f>_xlfn.XLOOKUP(Logs__2[[#This Row],[Cell_ID]],'Registre_Maintenance'!B:B,'Registre_Maintenance'!G:G,"Pas de correspondance")</f>
        <v>Pas de correspondance</v>
      </c>
    </row>
    <row r="604" spans="1:11" hidden="1" x14ac:dyDescent="0.25">
      <c r="A604" s="1" t="s">
        <v>1241</v>
      </c>
      <c r="B604" s="2">
        <v>45207</v>
      </c>
      <c r="C604" s="3">
        <v>0.52500000000000002</v>
      </c>
      <c r="D604" s="1" t="s">
        <v>1265</v>
      </c>
      <c r="E604">
        <v>83</v>
      </c>
      <c r="F604" s="1" t="s">
        <v>806</v>
      </c>
      <c r="G604" t="str">
        <f>_xlfn.XLOOKUP(Logs__2[[#This Row],[Cell_ID]],'Registre_Maintenance'!B:B,'Registre_Maintenance'!C:C,"Pas de correspondance")</f>
        <v>Pas de correspondance</v>
      </c>
      <c r="H604" t="str">
        <f>_xlfn.XLOOKUP(Logs__2[[#This Row],[Cell_ID]],'Registre_Maintenance'!B:B,'Registre_Maintenance'!D:D,"Pas de correspondance")</f>
        <v>Pas de correspondance</v>
      </c>
      <c r="I604" t="str">
        <f>_xlfn.XLOOKUP(Logs__2[[#This Row],[Cell_ID]],'Registre_Maintenance'!B:B,'Registre_Maintenance'!E:E,"Pas de correspondance")</f>
        <v>Pas de correspondance</v>
      </c>
      <c r="J604" t="str">
        <f>_xlfn.XLOOKUP(Logs__2[[#This Row],[Cell_ID]],'Registre_Maintenance'!B:B,'Registre_Maintenance'!F:F,"Pas de correspondance")</f>
        <v>Pas de correspondance</v>
      </c>
      <c r="K604" t="str">
        <f>_xlfn.XLOOKUP(Logs__2[[#This Row],[Cell_ID]],'Registre_Maintenance'!B:B,'Registre_Maintenance'!G:G,"Pas de correspondance")</f>
        <v>Pas de correspondance</v>
      </c>
    </row>
    <row r="605" spans="1:11" x14ac:dyDescent="0.25">
      <c r="A605" s="1" t="s">
        <v>1241</v>
      </c>
      <c r="B605" s="2">
        <v>45226</v>
      </c>
      <c r="C605" s="3">
        <v>0.31319444444444444</v>
      </c>
      <c r="D605" s="1" t="s">
        <v>1266</v>
      </c>
      <c r="E605">
        <v>66</v>
      </c>
      <c r="F605" s="1" t="s">
        <v>811</v>
      </c>
      <c r="G605" t="str">
        <f>_xlfn.XLOOKUP(Logs__2[[#This Row],[Cell_ID]],'Registre_Maintenance'!B:B,'Registre_Maintenance'!C:C,"Pas de correspondance")</f>
        <v>Equateur</v>
      </c>
      <c r="H605">
        <f>_xlfn.XLOOKUP(Logs__2[[#This Row],[Cell_ID]],'Registre_Maintenance'!B:B,'Registre_Maintenance'!D:D,"Pas de correspondance")</f>
        <v>-12.839263000000001</v>
      </c>
      <c r="I605">
        <f>_xlfn.XLOOKUP(Logs__2[[#This Row],[Cell_ID]],'Registre_Maintenance'!B:B,'Registre_Maintenance'!E:E,"Pas de correspondance")</f>
        <v>12.355677</v>
      </c>
      <c r="J605" t="str">
        <f>_xlfn.XLOOKUP(Logs__2[[#This Row],[Cell_ID]],'Registre_Maintenance'!B:B,'Registre_Maintenance'!F:F,"Pas de correspondance")</f>
        <v>3G</v>
      </c>
      <c r="K605" t="str">
        <f>_xlfn.XLOOKUP(Logs__2[[#This Row],[Cell_ID]],'Registre_Maintenance'!B:B,'Registre_Maintenance'!G:G,"Pas de correspondance")</f>
        <v>Huawei</v>
      </c>
    </row>
    <row r="606" spans="1:11" hidden="1" x14ac:dyDescent="0.25">
      <c r="A606" s="1" t="s">
        <v>1241</v>
      </c>
      <c r="B606" s="2">
        <v>45217</v>
      </c>
      <c r="C606" s="3">
        <v>0.86319444444444449</v>
      </c>
      <c r="D606" s="1" t="s">
        <v>1267</v>
      </c>
      <c r="E606">
        <v>89</v>
      </c>
      <c r="F606" s="1" t="s">
        <v>806</v>
      </c>
      <c r="G606" t="str">
        <f>_xlfn.XLOOKUP(Logs__2[[#This Row],[Cell_ID]],'Registre_Maintenance'!B:B,'Registre_Maintenance'!C:C,"Pas de correspondance")</f>
        <v>Pas de correspondance</v>
      </c>
      <c r="H606" t="str">
        <f>_xlfn.XLOOKUP(Logs__2[[#This Row],[Cell_ID]],'Registre_Maintenance'!B:B,'Registre_Maintenance'!D:D,"Pas de correspondance")</f>
        <v>Pas de correspondance</v>
      </c>
      <c r="I606" t="str">
        <f>_xlfn.XLOOKUP(Logs__2[[#This Row],[Cell_ID]],'Registre_Maintenance'!B:B,'Registre_Maintenance'!E:E,"Pas de correspondance")</f>
        <v>Pas de correspondance</v>
      </c>
      <c r="J606" t="str">
        <f>_xlfn.XLOOKUP(Logs__2[[#This Row],[Cell_ID]],'Registre_Maintenance'!B:B,'Registre_Maintenance'!F:F,"Pas de correspondance")</f>
        <v>Pas de correspondance</v>
      </c>
      <c r="K606" t="str">
        <f>_xlfn.XLOOKUP(Logs__2[[#This Row],[Cell_ID]],'Registre_Maintenance'!B:B,'Registre_Maintenance'!G:G,"Pas de correspondance")</f>
        <v>Pas de correspondance</v>
      </c>
    </row>
    <row r="607" spans="1:11" x14ac:dyDescent="0.25">
      <c r="A607" s="1" t="s">
        <v>1241</v>
      </c>
      <c r="B607" s="2">
        <v>45210</v>
      </c>
      <c r="C607" s="3">
        <v>0.36666666666666664</v>
      </c>
      <c r="D607" s="1" t="s">
        <v>1268</v>
      </c>
      <c r="E607">
        <v>67</v>
      </c>
      <c r="F607" s="1" t="s">
        <v>809</v>
      </c>
      <c r="G607" t="str">
        <f>_xlfn.XLOOKUP(Logs__2[[#This Row],[Cell_ID]],'Registre_Maintenance'!B:B,'Registre_Maintenance'!C:C,"Pas de correspondance")</f>
        <v>Lualaba</v>
      </c>
      <c r="H607">
        <f>_xlfn.XLOOKUP(Logs__2[[#This Row],[Cell_ID]],'Registre_Maintenance'!B:B,'Registre_Maintenance'!D:D,"Pas de correspondance")</f>
        <v>-8.0301989999999996</v>
      </c>
      <c r="I607">
        <f>_xlfn.XLOOKUP(Logs__2[[#This Row],[Cell_ID]],'Registre_Maintenance'!B:B,'Registre_Maintenance'!E:E,"Pas de correspondance")</f>
        <v>24.122495000000001</v>
      </c>
      <c r="J607" t="str">
        <f>_xlfn.XLOOKUP(Logs__2[[#This Row],[Cell_ID]],'Registre_Maintenance'!B:B,'Registre_Maintenance'!F:F,"Pas de correspondance")</f>
        <v>5G</v>
      </c>
      <c r="K607" t="str">
        <f>_xlfn.XLOOKUP(Logs__2[[#This Row],[Cell_ID]],'Registre_Maintenance'!B:B,'Registre_Maintenance'!G:G,"Pas de correspondance")</f>
        <v>ZTE</v>
      </c>
    </row>
    <row r="608" spans="1:11" hidden="1" x14ac:dyDescent="0.25">
      <c r="A608" s="1" t="s">
        <v>1241</v>
      </c>
      <c r="B608" s="2">
        <v>45226</v>
      </c>
      <c r="C608" s="3">
        <v>0.65694444444444444</v>
      </c>
      <c r="D608" s="1" t="s">
        <v>1058</v>
      </c>
      <c r="E608">
        <v>7</v>
      </c>
      <c r="F608" s="1" t="s">
        <v>806</v>
      </c>
      <c r="G608" t="str">
        <f>_xlfn.XLOOKUP(Logs__2[[#This Row],[Cell_ID]],'Registre_Maintenance'!B:B,'Registre_Maintenance'!C:C,"Pas de correspondance")</f>
        <v>Pas de correspondance</v>
      </c>
      <c r="H608" t="str">
        <f>_xlfn.XLOOKUP(Logs__2[[#This Row],[Cell_ID]],'Registre_Maintenance'!B:B,'Registre_Maintenance'!D:D,"Pas de correspondance")</f>
        <v>Pas de correspondance</v>
      </c>
      <c r="I608" t="str">
        <f>_xlfn.XLOOKUP(Logs__2[[#This Row],[Cell_ID]],'Registre_Maintenance'!B:B,'Registre_Maintenance'!E:E,"Pas de correspondance")</f>
        <v>Pas de correspondance</v>
      </c>
      <c r="J608" t="str">
        <f>_xlfn.XLOOKUP(Logs__2[[#This Row],[Cell_ID]],'Registre_Maintenance'!B:B,'Registre_Maintenance'!F:F,"Pas de correspondance")</f>
        <v>Pas de correspondance</v>
      </c>
      <c r="K608" t="str">
        <f>_xlfn.XLOOKUP(Logs__2[[#This Row],[Cell_ID]],'Registre_Maintenance'!B:B,'Registre_Maintenance'!G:G,"Pas de correspondance")</f>
        <v>Pas de correspondance</v>
      </c>
    </row>
    <row r="609" spans="1:11" hidden="1" x14ac:dyDescent="0.25">
      <c r="A609" s="1" t="s">
        <v>1269</v>
      </c>
      <c r="B609" s="2">
        <v>45224</v>
      </c>
      <c r="C609" s="3">
        <v>0.96388888888888891</v>
      </c>
      <c r="D609" s="1" t="s">
        <v>1270</v>
      </c>
      <c r="E609">
        <v>83</v>
      </c>
      <c r="F609" s="1" t="s">
        <v>809</v>
      </c>
      <c r="G609" t="str">
        <f>_xlfn.XLOOKUP(Logs__2[[#This Row],[Cell_ID]],'Registre_Maintenance'!B:B,'Registre_Maintenance'!C:C,"Pas de correspondance")</f>
        <v>Pas de correspondance</v>
      </c>
      <c r="H609" t="str">
        <f>_xlfn.XLOOKUP(Logs__2[[#This Row],[Cell_ID]],'Registre_Maintenance'!B:B,'Registre_Maintenance'!D:D,"Pas de correspondance")</f>
        <v>Pas de correspondance</v>
      </c>
      <c r="I609" t="str">
        <f>_xlfn.XLOOKUP(Logs__2[[#This Row],[Cell_ID]],'Registre_Maintenance'!B:B,'Registre_Maintenance'!E:E,"Pas de correspondance")</f>
        <v>Pas de correspondance</v>
      </c>
      <c r="J609" t="str">
        <f>_xlfn.XLOOKUP(Logs__2[[#This Row],[Cell_ID]],'Registre_Maintenance'!B:B,'Registre_Maintenance'!F:F,"Pas de correspondance")</f>
        <v>Pas de correspondance</v>
      </c>
      <c r="K609" t="str">
        <f>_xlfn.XLOOKUP(Logs__2[[#This Row],[Cell_ID]],'Registre_Maintenance'!B:B,'Registre_Maintenance'!G:G,"Pas de correspondance")</f>
        <v>Pas de correspondance</v>
      </c>
    </row>
    <row r="610" spans="1:11" x14ac:dyDescent="0.25">
      <c r="A610" s="1" t="s">
        <v>1269</v>
      </c>
      <c r="B610" s="2">
        <v>45225</v>
      </c>
      <c r="C610" s="3">
        <v>0.94861111111111107</v>
      </c>
      <c r="D610" s="1" t="s">
        <v>1271</v>
      </c>
      <c r="E610">
        <v>30</v>
      </c>
      <c r="F610" s="1" t="s">
        <v>806</v>
      </c>
      <c r="G610" t="str">
        <f>_xlfn.XLOOKUP(Logs__2[[#This Row],[Cell_ID]],'Registre_Maintenance'!B:B,'Registre_Maintenance'!C:C,"Pas de correspondance")</f>
        <v>Kwango</v>
      </c>
      <c r="H610">
        <f>_xlfn.XLOOKUP(Logs__2[[#This Row],[Cell_ID]],'Registre_Maintenance'!B:B,'Registre_Maintenance'!D:D,"Pas de correspondance")</f>
        <v>-10.653247</v>
      </c>
      <c r="I610">
        <f>_xlfn.XLOOKUP(Logs__2[[#This Row],[Cell_ID]],'Registre_Maintenance'!B:B,'Registre_Maintenance'!E:E,"Pas de correspondance")</f>
        <v>14.685601</v>
      </c>
      <c r="J610" t="str">
        <f>_xlfn.XLOOKUP(Logs__2[[#This Row],[Cell_ID]],'Registre_Maintenance'!B:B,'Registre_Maintenance'!F:F,"Pas de correspondance")</f>
        <v>4G</v>
      </c>
      <c r="K610" t="str">
        <f>_xlfn.XLOOKUP(Logs__2[[#This Row],[Cell_ID]],'Registre_Maintenance'!B:B,'Registre_Maintenance'!G:G,"Pas de correspondance")</f>
        <v>Ericsson</v>
      </c>
    </row>
    <row r="611" spans="1:11" x14ac:dyDescent="0.25">
      <c r="A611" s="1" t="s">
        <v>1269</v>
      </c>
      <c r="B611" s="2">
        <v>45202</v>
      </c>
      <c r="C611" s="3">
        <v>0.69930555555555551</v>
      </c>
      <c r="D611" s="1" t="s">
        <v>1272</v>
      </c>
      <c r="E611">
        <v>63</v>
      </c>
      <c r="F611" s="1" t="s">
        <v>809</v>
      </c>
      <c r="G611" t="str">
        <f>_xlfn.XLOOKUP(Logs__2[[#This Row],[Cell_ID]],'Registre_Maintenance'!B:B,'Registre_Maintenance'!C:C,"Pas de correspondance")</f>
        <v>Tshopo</v>
      </c>
      <c r="H611">
        <f>_xlfn.XLOOKUP(Logs__2[[#This Row],[Cell_ID]],'Registre_Maintenance'!B:B,'Registre_Maintenance'!D:D,"Pas de correspondance")</f>
        <v>1.400674</v>
      </c>
      <c r="I611">
        <f>_xlfn.XLOOKUP(Logs__2[[#This Row],[Cell_ID]],'Registre_Maintenance'!B:B,'Registre_Maintenance'!E:E,"Pas de correspondance")</f>
        <v>13.503126999999999</v>
      </c>
      <c r="J611" t="str">
        <f>_xlfn.XLOOKUP(Logs__2[[#This Row],[Cell_ID]],'Registre_Maintenance'!B:B,'Registre_Maintenance'!F:F,"Pas de correspondance")</f>
        <v>5G</v>
      </c>
      <c r="K611" t="str">
        <f>_xlfn.XLOOKUP(Logs__2[[#This Row],[Cell_ID]],'Registre_Maintenance'!B:B,'Registre_Maintenance'!G:G,"Pas de correspondance")</f>
        <v>ZTE</v>
      </c>
    </row>
    <row r="612" spans="1:11" x14ac:dyDescent="0.25">
      <c r="A612" s="1" t="s">
        <v>1269</v>
      </c>
      <c r="B612" s="2">
        <v>45211</v>
      </c>
      <c r="C612" s="3">
        <v>4.583333333333333E-2</v>
      </c>
      <c r="D612" s="1" t="s">
        <v>1115</v>
      </c>
      <c r="E612">
        <v>18</v>
      </c>
      <c r="F612" s="1" t="s">
        <v>811</v>
      </c>
      <c r="G612" t="str">
        <f>_xlfn.XLOOKUP(Logs__2[[#This Row],[Cell_ID]],'Registre_Maintenance'!B:B,'Registre_Maintenance'!C:C,"Pas de correspondance")</f>
        <v>Mongala</v>
      </c>
      <c r="H612">
        <f>_xlfn.XLOOKUP(Logs__2[[#This Row],[Cell_ID]],'Registre_Maintenance'!B:B,'Registre_Maintenance'!D:D,"Pas de correspondance")</f>
        <v>-5.3762689999999997</v>
      </c>
      <c r="I612">
        <f>_xlfn.XLOOKUP(Logs__2[[#This Row],[Cell_ID]],'Registre_Maintenance'!B:B,'Registre_Maintenance'!E:E,"Pas de correspondance")</f>
        <v>28.189575999999999</v>
      </c>
      <c r="J612" t="str">
        <f>_xlfn.XLOOKUP(Logs__2[[#This Row],[Cell_ID]],'Registre_Maintenance'!B:B,'Registre_Maintenance'!F:F,"Pas de correspondance")</f>
        <v>5G</v>
      </c>
      <c r="K612" t="str">
        <f>_xlfn.XLOOKUP(Logs__2[[#This Row],[Cell_ID]],'Registre_Maintenance'!B:B,'Registre_Maintenance'!G:G,"Pas de correspondance")</f>
        <v>Huawei</v>
      </c>
    </row>
    <row r="613" spans="1:11" hidden="1" x14ac:dyDescent="0.25">
      <c r="A613" s="1" t="s">
        <v>1269</v>
      </c>
      <c r="B613" s="2">
        <v>45213</v>
      </c>
      <c r="C613" s="3">
        <v>0.32847222222222222</v>
      </c>
      <c r="D613" s="1" t="s">
        <v>1273</v>
      </c>
      <c r="E613">
        <v>22</v>
      </c>
      <c r="F613" s="1" t="s">
        <v>811</v>
      </c>
      <c r="G613" t="str">
        <f>_xlfn.XLOOKUP(Logs__2[[#This Row],[Cell_ID]],'Registre_Maintenance'!B:B,'Registre_Maintenance'!C:C,"Pas de correspondance")</f>
        <v>Pas de correspondance</v>
      </c>
      <c r="H613" t="str">
        <f>_xlfn.XLOOKUP(Logs__2[[#This Row],[Cell_ID]],'Registre_Maintenance'!B:B,'Registre_Maintenance'!D:D,"Pas de correspondance")</f>
        <v>Pas de correspondance</v>
      </c>
      <c r="I613" t="str">
        <f>_xlfn.XLOOKUP(Logs__2[[#This Row],[Cell_ID]],'Registre_Maintenance'!B:B,'Registre_Maintenance'!E:E,"Pas de correspondance")</f>
        <v>Pas de correspondance</v>
      </c>
      <c r="J613" t="str">
        <f>_xlfn.XLOOKUP(Logs__2[[#This Row],[Cell_ID]],'Registre_Maintenance'!B:B,'Registre_Maintenance'!F:F,"Pas de correspondance")</f>
        <v>Pas de correspondance</v>
      </c>
      <c r="K613" t="str">
        <f>_xlfn.XLOOKUP(Logs__2[[#This Row],[Cell_ID]],'Registre_Maintenance'!B:B,'Registre_Maintenance'!G:G,"Pas de correspondance")</f>
        <v>Pas de correspondance</v>
      </c>
    </row>
    <row r="614" spans="1:11" hidden="1" x14ac:dyDescent="0.25">
      <c r="A614" s="1" t="s">
        <v>1269</v>
      </c>
      <c r="B614" s="2">
        <v>45202</v>
      </c>
      <c r="C614" s="3">
        <v>0.44305555555555554</v>
      </c>
      <c r="D614" s="1" t="s">
        <v>1185</v>
      </c>
      <c r="E614">
        <v>43</v>
      </c>
      <c r="F614" s="1" t="s">
        <v>806</v>
      </c>
      <c r="G614" t="str">
        <f>_xlfn.XLOOKUP(Logs__2[[#This Row],[Cell_ID]],'Registre_Maintenance'!B:B,'Registre_Maintenance'!C:C,"Pas de correspondance")</f>
        <v>Pas de correspondance</v>
      </c>
      <c r="H614" t="str">
        <f>_xlfn.XLOOKUP(Logs__2[[#This Row],[Cell_ID]],'Registre_Maintenance'!B:B,'Registre_Maintenance'!D:D,"Pas de correspondance")</f>
        <v>Pas de correspondance</v>
      </c>
      <c r="I614" t="str">
        <f>_xlfn.XLOOKUP(Logs__2[[#This Row],[Cell_ID]],'Registre_Maintenance'!B:B,'Registre_Maintenance'!E:E,"Pas de correspondance")</f>
        <v>Pas de correspondance</v>
      </c>
      <c r="J614" t="str">
        <f>_xlfn.XLOOKUP(Logs__2[[#This Row],[Cell_ID]],'Registre_Maintenance'!B:B,'Registre_Maintenance'!F:F,"Pas de correspondance")</f>
        <v>Pas de correspondance</v>
      </c>
      <c r="K614" t="str">
        <f>_xlfn.XLOOKUP(Logs__2[[#This Row],[Cell_ID]],'Registre_Maintenance'!B:B,'Registre_Maintenance'!G:G,"Pas de correspondance")</f>
        <v>Pas de correspondance</v>
      </c>
    </row>
    <row r="615" spans="1:11" hidden="1" x14ac:dyDescent="0.25">
      <c r="A615" s="1" t="s">
        <v>1269</v>
      </c>
      <c r="B615" s="2">
        <v>45224</v>
      </c>
      <c r="C615" s="3">
        <v>0.81805555555555554</v>
      </c>
      <c r="D615" s="1" t="s">
        <v>1028</v>
      </c>
      <c r="E615">
        <v>5</v>
      </c>
      <c r="F615" s="1" t="s">
        <v>811</v>
      </c>
      <c r="G615" t="str">
        <f>_xlfn.XLOOKUP(Logs__2[[#This Row],[Cell_ID]],'Registre_Maintenance'!B:B,'Registre_Maintenance'!C:C,"Pas de correspondance")</f>
        <v>Pas de correspondance</v>
      </c>
      <c r="H615" t="str">
        <f>_xlfn.XLOOKUP(Logs__2[[#This Row],[Cell_ID]],'Registre_Maintenance'!B:B,'Registre_Maintenance'!D:D,"Pas de correspondance")</f>
        <v>Pas de correspondance</v>
      </c>
      <c r="I615" t="str">
        <f>_xlfn.XLOOKUP(Logs__2[[#This Row],[Cell_ID]],'Registre_Maintenance'!B:B,'Registre_Maintenance'!E:E,"Pas de correspondance")</f>
        <v>Pas de correspondance</v>
      </c>
      <c r="J615" t="str">
        <f>_xlfn.XLOOKUP(Logs__2[[#This Row],[Cell_ID]],'Registre_Maintenance'!B:B,'Registre_Maintenance'!F:F,"Pas de correspondance")</f>
        <v>Pas de correspondance</v>
      </c>
      <c r="K615" t="str">
        <f>_xlfn.XLOOKUP(Logs__2[[#This Row],[Cell_ID]],'Registre_Maintenance'!B:B,'Registre_Maintenance'!G:G,"Pas de correspondance")</f>
        <v>Pas de correspondance</v>
      </c>
    </row>
    <row r="616" spans="1:11" x14ac:dyDescent="0.25">
      <c r="A616" s="1" t="s">
        <v>1269</v>
      </c>
      <c r="B616" s="2">
        <v>45212</v>
      </c>
      <c r="C616" s="3">
        <v>0.41736111111111113</v>
      </c>
      <c r="D616" s="1" t="s">
        <v>1274</v>
      </c>
      <c r="E616">
        <v>55</v>
      </c>
      <c r="F616" s="1" t="s">
        <v>809</v>
      </c>
      <c r="G616" t="str">
        <f>_xlfn.XLOOKUP(Logs__2[[#This Row],[Cell_ID]],'Registre_Maintenance'!B:B,'Registre_Maintenance'!C:C,"Pas de correspondance")</f>
        <v>Maniema</v>
      </c>
      <c r="H616">
        <f>_xlfn.XLOOKUP(Logs__2[[#This Row],[Cell_ID]],'Registre_Maintenance'!B:B,'Registre_Maintenance'!D:D,"Pas de correspondance")</f>
        <v>1.938083</v>
      </c>
      <c r="I616">
        <f>_xlfn.XLOOKUP(Logs__2[[#This Row],[Cell_ID]],'Registre_Maintenance'!B:B,'Registre_Maintenance'!E:E,"Pas de correspondance")</f>
        <v>28.25281</v>
      </c>
      <c r="J616" t="str">
        <f>_xlfn.XLOOKUP(Logs__2[[#This Row],[Cell_ID]],'Registre_Maintenance'!B:B,'Registre_Maintenance'!F:F,"Pas de correspondance")</f>
        <v>4G</v>
      </c>
      <c r="K616" t="str">
        <f>_xlfn.XLOOKUP(Logs__2[[#This Row],[Cell_ID]],'Registre_Maintenance'!B:B,'Registre_Maintenance'!G:G,"Pas de correspondance")</f>
        <v>Nokia</v>
      </c>
    </row>
    <row r="617" spans="1:11" hidden="1" x14ac:dyDescent="0.25">
      <c r="A617" s="1" t="s">
        <v>1269</v>
      </c>
      <c r="B617" s="2">
        <v>45220</v>
      </c>
      <c r="C617" s="3">
        <v>0.36805555555555558</v>
      </c>
      <c r="D617" s="1" t="s">
        <v>1275</v>
      </c>
      <c r="E617">
        <v>47</v>
      </c>
      <c r="F617" s="1" t="s">
        <v>811</v>
      </c>
      <c r="G617" t="str">
        <f>_xlfn.XLOOKUP(Logs__2[[#This Row],[Cell_ID]],'Registre_Maintenance'!B:B,'Registre_Maintenance'!C:C,"Pas de correspondance")</f>
        <v>Pas de correspondance</v>
      </c>
      <c r="H617" t="str">
        <f>_xlfn.XLOOKUP(Logs__2[[#This Row],[Cell_ID]],'Registre_Maintenance'!B:B,'Registre_Maintenance'!D:D,"Pas de correspondance")</f>
        <v>Pas de correspondance</v>
      </c>
      <c r="I617" t="str">
        <f>_xlfn.XLOOKUP(Logs__2[[#This Row],[Cell_ID]],'Registre_Maintenance'!B:B,'Registre_Maintenance'!E:E,"Pas de correspondance")</f>
        <v>Pas de correspondance</v>
      </c>
      <c r="J617" t="str">
        <f>_xlfn.XLOOKUP(Logs__2[[#This Row],[Cell_ID]],'Registre_Maintenance'!B:B,'Registre_Maintenance'!F:F,"Pas de correspondance")</f>
        <v>Pas de correspondance</v>
      </c>
      <c r="K617" t="str">
        <f>_xlfn.XLOOKUP(Logs__2[[#This Row],[Cell_ID]],'Registre_Maintenance'!B:B,'Registre_Maintenance'!G:G,"Pas de correspondance")</f>
        <v>Pas de correspondance</v>
      </c>
    </row>
    <row r="618" spans="1:11" x14ac:dyDescent="0.25">
      <c r="A618" s="1" t="s">
        <v>1269</v>
      </c>
      <c r="B618" s="2">
        <v>45214</v>
      </c>
      <c r="C618" s="3">
        <v>0.63472222222222219</v>
      </c>
      <c r="D618" s="1" t="s">
        <v>1276</v>
      </c>
      <c r="E618">
        <v>112</v>
      </c>
      <c r="F618" s="1" t="s">
        <v>809</v>
      </c>
      <c r="G618" t="str">
        <f>_xlfn.XLOOKUP(Logs__2[[#This Row],[Cell_ID]],'Registre_Maintenance'!B:B,'Registre_Maintenance'!C:C,"Pas de correspondance")</f>
        <v>Equateur</v>
      </c>
      <c r="H618">
        <f>_xlfn.XLOOKUP(Logs__2[[#This Row],[Cell_ID]],'Registre_Maintenance'!B:B,'Registre_Maintenance'!D:D,"Pas de correspondance")</f>
        <v>-6.1490739999999997</v>
      </c>
      <c r="I618">
        <f>_xlfn.XLOOKUP(Logs__2[[#This Row],[Cell_ID]],'Registre_Maintenance'!B:B,'Registre_Maintenance'!E:E,"Pas de correspondance")</f>
        <v>23.304411000000002</v>
      </c>
      <c r="J618" t="str">
        <f>_xlfn.XLOOKUP(Logs__2[[#This Row],[Cell_ID]],'Registre_Maintenance'!B:B,'Registre_Maintenance'!F:F,"Pas de correspondance")</f>
        <v>5G</v>
      </c>
      <c r="K618" t="str">
        <f>_xlfn.XLOOKUP(Logs__2[[#This Row],[Cell_ID]],'Registre_Maintenance'!B:B,'Registre_Maintenance'!G:G,"Pas de correspondance")</f>
        <v>ZTE</v>
      </c>
    </row>
    <row r="619" spans="1:11" hidden="1" x14ac:dyDescent="0.25">
      <c r="A619" s="1" t="s">
        <v>1269</v>
      </c>
      <c r="B619" s="2">
        <v>45211</v>
      </c>
      <c r="C619" s="3">
        <v>0.72499999999999998</v>
      </c>
      <c r="D619" s="1" t="s">
        <v>1116</v>
      </c>
      <c r="E619">
        <v>84</v>
      </c>
      <c r="F619" s="1" t="s">
        <v>811</v>
      </c>
      <c r="G619" t="str">
        <f>_xlfn.XLOOKUP(Logs__2[[#This Row],[Cell_ID]],'Registre_Maintenance'!B:B,'Registre_Maintenance'!C:C,"Pas de correspondance")</f>
        <v>Pas de correspondance</v>
      </c>
      <c r="H619" t="str">
        <f>_xlfn.XLOOKUP(Logs__2[[#This Row],[Cell_ID]],'Registre_Maintenance'!B:B,'Registre_Maintenance'!D:D,"Pas de correspondance")</f>
        <v>Pas de correspondance</v>
      </c>
      <c r="I619" t="str">
        <f>_xlfn.XLOOKUP(Logs__2[[#This Row],[Cell_ID]],'Registre_Maintenance'!B:B,'Registre_Maintenance'!E:E,"Pas de correspondance")</f>
        <v>Pas de correspondance</v>
      </c>
      <c r="J619" t="str">
        <f>_xlfn.XLOOKUP(Logs__2[[#This Row],[Cell_ID]],'Registre_Maintenance'!B:B,'Registre_Maintenance'!F:F,"Pas de correspondance")</f>
        <v>Pas de correspondance</v>
      </c>
      <c r="K619" t="str">
        <f>_xlfn.XLOOKUP(Logs__2[[#This Row],[Cell_ID]],'Registre_Maintenance'!B:B,'Registre_Maintenance'!G:G,"Pas de correspondance")</f>
        <v>Pas de correspondance</v>
      </c>
    </row>
    <row r="620" spans="1:11" x14ac:dyDescent="0.25">
      <c r="A620" s="1" t="s">
        <v>1269</v>
      </c>
      <c r="B620" s="2">
        <v>45213</v>
      </c>
      <c r="C620" s="3">
        <v>0.23819444444444443</v>
      </c>
      <c r="D620" s="1" t="s">
        <v>1277</v>
      </c>
      <c r="E620">
        <v>53</v>
      </c>
      <c r="F620" s="1" t="s">
        <v>809</v>
      </c>
      <c r="G620" t="str">
        <f>_xlfn.XLOOKUP(Logs__2[[#This Row],[Cell_ID]],'Registre_Maintenance'!B:B,'Registre_Maintenance'!C:C,"Pas de correspondance")</f>
        <v>Nord-Ubangi</v>
      </c>
      <c r="H620">
        <f>_xlfn.XLOOKUP(Logs__2[[#This Row],[Cell_ID]],'Registre_Maintenance'!B:B,'Registre_Maintenance'!D:D,"Pas de correspondance")</f>
        <v>-8.4985189999999999</v>
      </c>
      <c r="I620">
        <f>_xlfn.XLOOKUP(Logs__2[[#This Row],[Cell_ID]],'Registre_Maintenance'!B:B,'Registre_Maintenance'!E:E,"Pas de correspondance")</f>
        <v>12.929456999999999</v>
      </c>
      <c r="J620" t="str">
        <f>_xlfn.XLOOKUP(Logs__2[[#This Row],[Cell_ID]],'Registre_Maintenance'!B:B,'Registre_Maintenance'!F:F,"Pas de correspondance")</f>
        <v>4G</v>
      </c>
      <c r="K620" t="str">
        <f>_xlfn.XLOOKUP(Logs__2[[#This Row],[Cell_ID]],'Registre_Maintenance'!B:B,'Registre_Maintenance'!G:G,"Pas de correspondance")</f>
        <v>Ericsson</v>
      </c>
    </row>
    <row r="621" spans="1:11" hidden="1" x14ac:dyDescent="0.25">
      <c r="A621" s="1" t="s">
        <v>1269</v>
      </c>
      <c r="B621" s="2">
        <v>45218</v>
      </c>
      <c r="C621" s="3">
        <v>0.89166666666666672</v>
      </c>
      <c r="D621" s="1" t="s">
        <v>886</v>
      </c>
      <c r="E621">
        <v>107</v>
      </c>
      <c r="F621" s="1" t="s">
        <v>809</v>
      </c>
      <c r="G621" t="str">
        <f>_xlfn.XLOOKUP(Logs__2[[#This Row],[Cell_ID]],'Registre_Maintenance'!B:B,'Registre_Maintenance'!C:C,"Pas de correspondance")</f>
        <v>Pas de correspondance</v>
      </c>
      <c r="H621" t="str">
        <f>_xlfn.XLOOKUP(Logs__2[[#This Row],[Cell_ID]],'Registre_Maintenance'!B:B,'Registre_Maintenance'!D:D,"Pas de correspondance")</f>
        <v>Pas de correspondance</v>
      </c>
      <c r="I621" t="str">
        <f>_xlfn.XLOOKUP(Logs__2[[#This Row],[Cell_ID]],'Registre_Maintenance'!B:B,'Registre_Maintenance'!E:E,"Pas de correspondance")</f>
        <v>Pas de correspondance</v>
      </c>
      <c r="J621" t="str">
        <f>_xlfn.XLOOKUP(Logs__2[[#This Row],[Cell_ID]],'Registre_Maintenance'!B:B,'Registre_Maintenance'!F:F,"Pas de correspondance")</f>
        <v>Pas de correspondance</v>
      </c>
      <c r="K621" t="str">
        <f>_xlfn.XLOOKUP(Logs__2[[#This Row],[Cell_ID]],'Registre_Maintenance'!B:B,'Registre_Maintenance'!G:G,"Pas de correspondance")</f>
        <v>Pas de correspondance</v>
      </c>
    </row>
    <row r="622" spans="1:11" x14ac:dyDescent="0.25">
      <c r="A622" s="1" t="s">
        <v>1269</v>
      </c>
      <c r="B622" s="2">
        <v>45202</v>
      </c>
      <c r="C622" s="3">
        <v>0.8041666666666667</v>
      </c>
      <c r="D622" s="1" t="s">
        <v>1278</v>
      </c>
      <c r="E622">
        <v>115</v>
      </c>
      <c r="F622" s="1" t="s">
        <v>809</v>
      </c>
      <c r="G622" t="str">
        <f>_xlfn.XLOOKUP(Logs__2[[#This Row],[Cell_ID]],'Registre_Maintenance'!B:B,'Registre_Maintenance'!C:C,"Pas de correspondance")</f>
        <v>Haut-Uele</v>
      </c>
      <c r="H622">
        <f>_xlfn.XLOOKUP(Logs__2[[#This Row],[Cell_ID]],'Registre_Maintenance'!B:B,'Registre_Maintenance'!D:D,"Pas de correspondance")</f>
        <v>1.2391989999999999</v>
      </c>
      <c r="I622">
        <f>_xlfn.XLOOKUP(Logs__2[[#This Row],[Cell_ID]],'Registre_Maintenance'!B:B,'Registre_Maintenance'!E:E,"Pas de correspondance")</f>
        <v>15.386718999999999</v>
      </c>
      <c r="J622" t="str">
        <f>_xlfn.XLOOKUP(Logs__2[[#This Row],[Cell_ID]],'Registre_Maintenance'!B:B,'Registre_Maintenance'!F:F,"Pas de correspondance")</f>
        <v>5G</v>
      </c>
      <c r="K622" t="str">
        <f>_xlfn.XLOOKUP(Logs__2[[#This Row],[Cell_ID]],'Registre_Maintenance'!B:B,'Registre_Maintenance'!G:G,"Pas de correspondance")</f>
        <v>ZTE</v>
      </c>
    </row>
    <row r="623" spans="1:11" hidden="1" x14ac:dyDescent="0.25">
      <c r="A623" s="1" t="s">
        <v>1269</v>
      </c>
      <c r="B623" s="2">
        <v>45225</v>
      </c>
      <c r="C623" s="3">
        <v>0.32291666666666669</v>
      </c>
      <c r="D623" s="1" t="s">
        <v>1279</v>
      </c>
      <c r="E623">
        <v>47</v>
      </c>
      <c r="F623" s="1" t="s">
        <v>811</v>
      </c>
      <c r="G623" t="str">
        <f>_xlfn.XLOOKUP(Logs__2[[#This Row],[Cell_ID]],'Registre_Maintenance'!B:B,'Registre_Maintenance'!C:C,"Pas de correspondance")</f>
        <v>Pas de correspondance</v>
      </c>
      <c r="H623" t="str">
        <f>_xlfn.XLOOKUP(Logs__2[[#This Row],[Cell_ID]],'Registre_Maintenance'!B:B,'Registre_Maintenance'!D:D,"Pas de correspondance")</f>
        <v>Pas de correspondance</v>
      </c>
      <c r="I623" t="str">
        <f>_xlfn.XLOOKUP(Logs__2[[#This Row],[Cell_ID]],'Registre_Maintenance'!B:B,'Registre_Maintenance'!E:E,"Pas de correspondance")</f>
        <v>Pas de correspondance</v>
      </c>
      <c r="J623" t="str">
        <f>_xlfn.XLOOKUP(Logs__2[[#This Row],[Cell_ID]],'Registre_Maintenance'!B:B,'Registre_Maintenance'!F:F,"Pas de correspondance")</f>
        <v>Pas de correspondance</v>
      </c>
      <c r="K623" t="str">
        <f>_xlfn.XLOOKUP(Logs__2[[#This Row],[Cell_ID]],'Registre_Maintenance'!B:B,'Registre_Maintenance'!G:G,"Pas de correspondance")</f>
        <v>Pas de correspondance</v>
      </c>
    </row>
    <row r="624" spans="1:11" hidden="1" x14ac:dyDescent="0.25">
      <c r="A624" s="1" t="s">
        <v>1269</v>
      </c>
      <c r="B624" s="2">
        <v>45202</v>
      </c>
      <c r="C624" s="3">
        <v>9.5138888888888884E-2</v>
      </c>
      <c r="D624" s="1" t="s">
        <v>1280</v>
      </c>
      <c r="E624">
        <v>61</v>
      </c>
      <c r="F624" s="1" t="s">
        <v>809</v>
      </c>
      <c r="G624" t="str">
        <f>_xlfn.XLOOKUP(Logs__2[[#This Row],[Cell_ID]],'Registre_Maintenance'!B:B,'Registre_Maintenance'!C:C,"Pas de correspondance")</f>
        <v>Pas de correspondance</v>
      </c>
      <c r="H624" t="str">
        <f>_xlfn.XLOOKUP(Logs__2[[#This Row],[Cell_ID]],'Registre_Maintenance'!B:B,'Registre_Maintenance'!D:D,"Pas de correspondance")</f>
        <v>Pas de correspondance</v>
      </c>
      <c r="I624" t="str">
        <f>_xlfn.XLOOKUP(Logs__2[[#This Row],[Cell_ID]],'Registre_Maintenance'!B:B,'Registre_Maintenance'!E:E,"Pas de correspondance")</f>
        <v>Pas de correspondance</v>
      </c>
      <c r="J624" t="str">
        <f>_xlfn.XLOOKUP(Logs__2[[#This Row],[Cell_ID]],'Registre_Maintenance'!B:B,'Registre_Maintenance'!F:F,"Pas de correspondance")</f>
        <v>Pas de correspondance</v>
      </c>
      <c r="K624" t="str">
        <f>_xlfn.XLOOKUP(Logs__2[[#This Row],[Cell_ID]],'Registre_Maintenance'!B:B,'Registre_Maintenance'!G:G,"Pas de correspondance")</f>
        <v>Pas de correspondance</v>
      </c>
    </row>
    <row r="625" spans="1:11" x14ac:dyDescent="0.25">
      <c r="A625" s="1" t="s">
        <v>1269</v>
      </c>
      <c r="B625" s="2">
        <v>45204</v>
      </c>
      <c r="C625" s="3">
        <v>0.53125</v>
      </c>
      <c r="D625" s="1" t="s">
        <v>974</v>
      </c>
      <c r="E625">
        <v>47</v>
      </c>
      <c r="F625" s="1" t="s">
        <v>806</v>
      </c>
      <c r="G625" t="str">
        <f>_xlfn.XLOOKUP(Logs__2[[#This Row],[Cell_ID]],'Registre_Maintenance'!B:B,'Registre_Maintenance'!C:C,"Pas de correspondance")</f>
        <v>Nord-Kivu</v>
      </c>
      <c r="H625">
        <f>_xlfn.XLOOKUP(Logs__2[[#This Row],[Cell_ID]],'Registre_Maintenance'!B:B,'Registre_Maintenance'!D:D,"Pas de correspondance")</f>
        <v>-12.336202</v>
      </c>
      <c r="I625">
        <f>_xlfn.XLOOKUP(Logs__2[[#This Row],[Cell_ID]],'Registre_Maintenance'!B:B,'Registre_Maintenance'!E:E,"Pas de correspondance")</f>
        <v>13.693683999999999</v>
      </c>
      <c r="J625" t="str">
        <f>_xlfn.XLOOKUP(Logs__2[[#This Row],[Cell_ID]],'Registre_Maintenance'!B:B,'Registre_Maintenance'!F:F,"Pas de correspondance")</f>
        <v>5G</v>
      </c>
      <c r="K625" t="str">
        <f>_xlfn.XLOOKUP(Logs__2[[#This Row],[Cell_ID]],'Registre_Maintenance'!B:B,'Registre_Maintenance'!G:G,"Pas de correspondance")</f>
        <v>Huawei</v>
      </c>
    </row>
    <row r="626" spans="1:11" hidden="1" x14ac:dyDescent="0.25">
      <c r="A626" s="1" t="s">
        <v>1269</v>
      </c>
      <c r="B626" s="2">
        <v>45225</v>
      </c>
      <c r="C626" s="3">
        <v>0.83958333333333335</v>
      </c>
      <c r="D626" s="1" t="s">
        <v>1281</v>
      </c>
      <c r="E626">
        <v>60</v>
      </c>
      <c r="F626" s="1" t="s">
        <v>811</v>
      </c>
      <c r="G626" t="str">
        <f>_xlfn.XLOOKUP(Logs__2[[#This Row],[Cell_ID]],'Registre_Maintenance'!B:B,'Registre_Maintenance'!C:C,"Pas de correspondance")</f>
        <v>Pas de correspondance</v>
      </c>
      <c r="H626" t="str">
        <f>_xlfn.XLOOKUP(Logs__2[[#This Row],[Cell_ID]],'Registre_Maintenance'!B:B,'Registre_Maintenance'!D:D,"Pas de correspondance")</f>
        <v>Pas de correspondance</v>
      </c>
      <c r="I626" t="str">
        <f>_xlfn.XLOOKUP(Logs__2[[#This Row],[Cell_ID]],'Registre_Maintenance'!B:B,'Registre_Maintenance'!E:E,"Pas de correspondance")</f>
        <v>Pas de correspondance</v>
      </c>
      <c r="J626" t="str">
        <f>_xlfn.XLOOKUP(Logs__2[[#This Row],[Cell_ID]],'Registre_Maintenance'!B:B,'Registre_Maintenance'!F:F,"Pas de correspondance")</f>
        <v>Pas de correspondance</v>
      </c>
      <c r="K626" t="str">
        <f>_xlfn.XLOOKUP(Logs__2[[#This Row],[Cell_ID]],'Registre_Maintenance'!B:B,'Registre_Maintenance'!G:G,"Pas de correspondance")</f>
        <v>Pas de correspondance</v>
      </c>
    </row>
    <row r="627" spans="1:11" hidden="1" x14ac:dyDescent="0.25">
      <c r="A627" s="1" t="s">
        <v>1269</v>
      </c>
      <c r="B627" s="2">
        <v>45223</v>
      </c>
      <c r="C627" s="3">
        <v>0.51388888888888884</v>
      </c>
      <c r="D627" s="1" t="s">
        <v>1152</v>
      </c>
      <c r="E627">
        <v>109</v>
      </c>
      <c r="F627" s="1" t="s">
        <v>809</v>
      </c>
      <c r="G627" t="str">
        <f>_xlfn.XLOOKUP(Logs__2[[#This Row],[Cell_ID]],'Registre_Maintenance'!B:B,'Registre_Maintenance'!C:C,"Pas de correspondance")</f>
        <v>Pas de correspondance</v>
      </c>
      <c r="H627" t="str">
        <f>_xlfn.XLOOKUP(Logs__2[[#This Row],[Cell_ID]],'Registre_Maintenance'!B:B,'Registre_Maintenance'!D:D,"Pas de correspondance")</f>
        <v>Pas de correspondance</v>
      </c>
      <c r="I627" t="str">
        <f>_xlfn.XLOOKUP(Logs__2[[#This Row],[Cell_ID]],'Registre_Maintenance'!B:B,'Registre_Maintenance'!E:E,"Pas de correspondance")</f>
        <v>Pas de correspondance</v>
      </c>
      <c r="J627" t="str">
        <f>_xlfn.XLOOKUP(Logs__2[[#This Row],[Cell_ID]],'Registre_Maintenance'!B:B,'Registre_Maintenance'!F:F,"Pas de correspondance")</f>
        <v>Pas de correspondance</v>
      </c>
      <c r="K627" t="str">
        <f>_xlfn.XLOOKUP(Logs__2[[#This Row],[Cell_ID]],'Registre_Maintenance'!B:B,'Registre_Maintenance'!G:G,"Pas de correspondance")</f>
        <v>Pas de correspondance</v>
      </c>
    </row>
    <row r="628" spans="1:11" x14ac:dyDescent="0.25">
      <c r="A628" s="1" t="s">
        <v>1269</v>
      </c>
      <c r="B628" s="2">
        <v>45211</v>
      </c>
      <c r="C628" s="3">
        <v>0.12847222222222221</v>
      </c>
      <c r="D628" s="1" t="s">
        <v>1282</v>
      </c>
      <c r="E628">
        <v>110</v>
      </c>
      <c r="F628" s="1" t="s">
        <v>809</v>
      </c>
      <c r="G628" t="str">
        <f>_xlfn.XLOOKUP(Logs__2[[#This Row],[Cell_ID]],'Registre_Maintenance'!B:B,'Registre_Maintenance'!C:C,"Pas de correspondance")</f>
        <v>Sud-Kivu</v>
      </c>
      <c r="H628">
        <f>_xlfn.XLOOKUP(Logs__2[[#This Row],[Cell_ID]],'Registre_Maintenance'!B:B,'Registre_Maintenance'!D:D,"Pas de correspondance")</f>
        <v>2.453036</v>
      </c>
      <c r="I628">
        <f>_xlfn.XLOOKUP(Logs__2[[#This Row],[Cell_ID]],'Registre_Maintenance'!B:B,'Registre_Maintenance'!E:E,"Pas de correspondance")</f>
        <v>20.555484</v>
      </c>
      <c r="J628" t="str">
        <f>_xlfn.XLOOKUP(Logs__2[[#This Row],[Cell_ID]],'Registre_Maintenance'!B:B,'Registre_Maintenance'!F:F,"Pas de correspondance")</f>
        <v>5G</v>
      </c>
      <c r="K628" t="str">
        <f>_xlfn.XLOOKUP(Logs__2[[#This Row],[Cell_ID]],'Registre_Maintenance'!B:B,'Registre_Maintenance'!G:G,"Pas de correspondance")</f>
        <v>Ericsson</v>
      </c>
    </row>
    <row r="629" spans="1:11" hidden="1" x14ac:dyDescent="0.25">
      <c r="A629" s="1" t="s">
        <v>1269</v>
      </c>
      <c r="B629" s="2">
        <v>45200</v>
      </c>
      <c r="C629" s="3">
        <v>0.39444444444444443</v>
      </c>
      <c r="D629" s="1" t="s">
        <v>1108</v>
      </c>
      <c r="E629">
        <v>115</v>
      </c>
      <c r="F629" s="1" t="s">
        <v>809</v>
      </c>
      <c r="G629" t="str">
        <f>_xlfn.XLOOKUP(Logs__2[[#This Row],[Cell_ID]],'Registre_Maintenance'!B:B,'Registre_Maintenance'!C:C,"Pas de correspondance")</f>
        <v>Pas de correspondance</v>
      </c>
      <c r="H629" t="str">
        <f>_xlfn.XLOOKUP(Logs__2[[#This Row],[Cell_ID]],'Registre_Maintenance'!B:B,'Registre_Maintenance'!D:D,"Pas de correspondance")</f>
        <v>Pas de correspondance</v>
      </c>
      <c r="I629" t="str">
        <f>_xlfn.XLOOKUP(Logs__2[[#This Row],[Cell_ID]],'Registre_Maintenance'!B:B,'Registre_Maintenance'!E:E,"Pas de correspondance")</f>
        <v>Pas de correspondance</v>
      </c>
      <c r="J629" t="str">
        <f>_xlfn.XLOOKUP(Logs__2[[#This Row],[Cell_ID]],'Registre_Maintenance'!B:B,'Registre_Maintenance'!F:F,"Pas de correspondance")</f>
        <v>Pas de correspondance</v>
      </c>
      <c r="K629" t="str">
        <f>_xlfn.XLOOKUP(Logs__2[[#This Row],[Cell_ID]],'Registre_Maintenance'!B:B,'Registre_Maintenance'!G:G,"Pas de correspondance")</f>
        <v>Pas de correspondance</v>
      </c>
    </row>
    <row r="630" spans="1:11" x14ac:dyDescent="0.25">
      <c r="A630" s="1" t="s">
        <v>1269</v>
      </c>
      <c r="B630" s="2">
        <v>45211</v>
      </c>
      <c r="C630" s="3">
        <v>0.33750000000000002</v>
      </c>
      <c r="D630" s="1" t="s">
        <v>1283</v>
      </c>
      <c r="E630">
        <v>88</v>
      </c>
      <c r="F630" s="1" t="s">
        <v>809</v>
      </c>
      <c r="G630" t="str">
        <f>_xlfn.XLOOKUP(Logs__2[[#This Row],[Cell_ID]],'Registre_Maintenance'!B:B,'Registre_Maintenance'!C:C,"Pas de correspondance")</f>
        <v>Ituri</v>
      </c>
      <c r="H630">
        <f>_xlfn.XLOOKUP(Logs__2[[#This Row],[Cell_ID]],'Registre_Maintenance'!B:B,'Registre_Maintenance'!D:D,"Pas de correspondance")</f>
        <v>-12.364127999999999</v>
      </c>
      <c r="I630">
        <f>_xlfn.XLOOKUP(Logs__2[[#This Row],[Cell_ID]],'Registre_Maintenance'!B:B,'Registre_Maintenance'!E:E,"Pas de correspondance")</f>
        <v>19.576150999999999</v>
      </c>
      <c r="J630" t="str">
        <f>_xlfn.XLOOKUP(Logs__2[[#This Row],[Cell_ID]],'Registre_Maintenance'!B:B,'Registre_Maintenance'!F:F,"Pas de correspondance")</f>
        <v>3G</v>
      </c>
      <c r="K630" t="str">
        <f>_xlfn.XLOOKUP(Logs__2[[#This Row],[Cell_ID]],'Registre_Maintenance'!B:B,'Registre_Maintenance'!G:G,"Pas de correspondance")</f>
        <v>Nokia</v>
      </c>
    </row>
    <row r="631" spans="1:11" hidden="1" x14ac:dyDescent="0.25">
      <c r="A631" s="1" t="s">
        <v>1269</v>
      </c>
      <c r="B631" s="2">
        <v>45204</v>
      </c>
      <c r="C631" s="3">
        <v>9.0972222222222218E-2</v>
      </c>
      <c r="D631" s="1" t="s">
        <v>1284</v>
      </c>
      <c r="E631">
        <v>81</v>
      </c>
      <c r="F631" s="1" t="s">
        <v>806</v>
      </c>
      <c r="G631" t="str">
        <f>_xlfn.XLOOKUP(Logs__2[[#This Row],[Cell_ID]],'Registre_Maintenance'!B:B,'Registre_Maintenance'!C:C,"Pas de correspondance")</f>
        <v>Pas de correspondance</v>
      </c>
      <c r="H631" t="str">
        <f>_xlfn.XLOOKUP(Logs__2[[#This Row],[Cell_ID]],'Registre_Maintenance'!B:B,'Registre_Maintenance'!D:D,"Pas de correspondance")</f>
        <v>Pas de correspondance</v>
      </c>
      <c r="I631" t="str">
        <f>_xlfn.XLOOKUP(Logs__2[[#This Row],[Cell_ID]],'Registre_Maintenance'!B:B,'Registre_Maintenance'!E:E,"Pas de correspondance")</f>
        <v>Pas de correspondance</v>
      </c>
      <c r="J631" t="str">
        <f>_xlfn.XLOOKUP(Logs__2[[#This Row],[Cell_ID]],'Registre_Maintenance'!B:B,'Registre_Maintenance'!F:F,"Pas de correspondance")</f>
        <v>Pas de correspondance</v>
      </c>
      <c r="K631" t="str">
        <f>_xlfn.XLOOKUP(Logs__2[[#This Row],[Cell_ID]],'Registre_Maintenance'!B:B,'Registre_Maintenance'!G:G,"Pas de correspondance")</f>
        <v>Pas de correspondance</v>
      </c>
    </row>
    <row r="632" spans="1:11" hidden="1" x14ac:dyDescent="0.25">
      <c r="A632" s="1" t="s">
        <v>1269</v>
      </c>
      <c r="B632" s="2">
        <v>45213</v>
      </c>
      <c r="C632" s="3">
        <v>0.60763888888888884</v>
      </c>
      <c r="D632" s="1" t="s">
        <v>1285</v>
      </c>
      <c r="E632">
        <v>22</v>
      </c>
      <c r="F632" s="1" t="s">
        <v>806</v>
      </c>
      <c r="G632" t="str">
        <f>_xlfn.XLOOKUP(Logs__2[[#This Row],[Cell_ID]],'Registre_Maintenance'!B:B,'Registre_Maintenance'!C:C,"Pas de correspondance")</f>
        <v>Pas de correspondance</v>
      </c>
      <c r="H632" t="str">
        <f>_xlfn.XLOOKUP(Logs__2[[#This Row],[Cell_ID]],'Registre_Maintenance'!B:B,'Registre_Maintenance'!D:D,"Pas de correspondance")</f>
        <v>Pas de correspondance</v>
      </c>
      <c r="I632" t="str">
        <f>_xlfn.XLOOKUP(Logs__2[[#This Row],[Cell_ID]],'Registre_Maintenance'!B:B,'Registre_Maintenance'!E:E,"Pas de correspondance")</f>
        <v>Pas de correspondance</v>
      </c>
      <c r="J632" t="str">
        <f>_xlfn.XLOOKUP(Logs__2[[#This Row],[Cell_ID]],'Registre_Maintenance'!B:B,'Registre_Maintenance'!F:F,"Pas de correspondance")</f>
        <v>Pas de correspondance</v>
      </c>
      <c r="K632" t="str">
        <f>_xlfn.XLOOKUP(Logs__2[[#This Row],[Cell_ID]],'Registre_Maintenance'!B:B,'Registre_Maintenance'!G:G,"Pas de correspondance")</f>
        <v>Pas de correspondance</v>
      </c>
    </row>
    <row r="633" spans="1:11" hidden="1" x14ac:dyDescent="0.25">
      <c r="A633" s="1" t="s">
        <v>1269</v>
      </c>
      <c r="B633" s="2">
        <v>45217</v>
      </c>
      <c r="C633" s="3">
        <v>0.68472222222222223</v>
      </c>
      <c r="D633" s="1" t="s">
        <v>1005</v>
      </c>
      <c r="E633">
        <v>43</v>
      </c>
      <c r="F633" s="1" t="s">
        <v>806</v>
      </c>
      <c r="G633" t="str">
        <f>_xlfn.XLOOKUP(Logs__2[[#This Row],[Cell_ID]],'Registre_Maintenance'!B:B,'Registre_Maintenance'!C:C,"Pas de correspondance")</f>
        <v>Pas de correspondance</v>
      </c>
      <c r="H633" t="str">
        <f>_xlfn.XLOOKUP(Logs__2[[#This Row],[Cell_ID]],'Registre_Maintenance'!B:B,'Registre_Maintenance'!D:D,"Pas de correspondance")</f>
        <v>Pas de correspondance</v>
      </c>
      <c r="I633" t="str">
        <f>_xlfn.XLOOKUP(Logs__2[[#This Row],[Cell_ID]],'Registre_Maintenance'!B:B,'Registre_Maintenance'!E:E,"Pas de correspondance")</f>
        <v>Pas de correspondance</v>
      </c>
      <c r="J633" t="str">
        <f>_xlfn.XLOOKUP(Logs__2[[#This Row],[Cell_ID]],'Registre_Maintenance'!B:B,'Registre_Maintenance'!F:F,"Pas de correspondance")</f>
        <v>Pas de correspondance</v>
      </c>
      <c r="K633" t="str">
        <f>_xlfn.XLOOKUP(Logs__2[[#This Row],[Cell_ID]],'Registre_Maintenance'!B:B,'Registre_Maintenance'!G:G,"Pas de correspondance")</f>
        <v>Pas de correspondance</v>
      </c>
    </row>
    <row r="634" spans="1:11" hidden="1" x14ac:dyDescent="0.25">
      <c r="A634" s="1" t="s">
        <v>1269</v>
      </c>
      <c r="B634" s="2">
        <v>45203</v>
      </c>
      <c r="C634" s="3">
        <v>3.472222222222222E-3</v>
      </c>
      <c r="D634" s="1" t="s">
        <v>1286</v>
      </c>
      <c r="E634">
        <v>46</v>
      </c>
      <c r="F634" s="1" t="s">
        <v>809</v>
      </c>
      <c r="G634" t="str">
        <f>_xlfn.XLOOKUP(Logs__2[[#This Row],[Cell_ID]],'Registre_Maintenance'!B:B,'Registre_Maintenance'!C:C,"Pas de correspondance")</f>
        <v>Pas de correspondance</v>
      </c>
      <c r="H634" t="str">
        <f>_xlfn.XLOOKUP(Logs__2[[#This Row],[Cell_ID]],'Registre_Maintenance'!B:B,'Registre_Maintenance'!D:D,"Pas de correspondance")</f>
        <v>Pas de correspondance</v>
      </c>
      <c r="I634" t="str">
        <f>_xlfn.XLOOKUP(Logs__2[[#This Row],[Cell_ID]],'Registre_Maintenance'!B:B,'Registre_Maintenance'!E:E,"Pas de correspondance")</f>
        <v>Pas de correspondance</v>
      </c>
      <c r="J634" t="str">
        <f>_xlfn.XLOOKUP(Logs__2[[#This Row],[Cell_ID]],'Registre_Maintenance'!B:B,'Registre_Maintenance'!F:F,"Pas de correspondance")</f>
        <v>Pas de correspondance</v>
      </c>
      <c r="K634" t="str">
        <f>_xlfn.XLOOKUP(Logs__2[[#This Row],[Cell_ID]],'Registre_Maintenance'!B:B,'Registre_Maintenance'!G:G,"Pas de correspondance")</f>
        <v>Pas de correspondance</v>
      </c>
    </row>
    <row r="635" spans="1:11" hidden="1" x14ac:dyDescent="0.25">
      <c r="A635" s="1" t="s">
        <v>1269</v>
      </c>
      <c r="B635" s="2">
        <v>45211</v>
      </c>
      <c r="C635" s="3">
        <v>0.71180555555555558</v>
      </c>
      <c r="D635" s="1" t="s">
        <v>1287</v>
      </c>
      <c r="E635">
        <v>82</v>
      </c>
      <c r="F635" s="1" t="s">
        <v>809</v>
      </c>
      <c r="G635" t="str">
        <f>_xlfn.XLOOKUP(Logs__2[[#This Row],[Cell_ID]],'Registre_Maintenance'!B:B,'Registre_Maintenance'!C:C,"Pas de correspondance")</f>
        <v>Pas de correspondance</v>
      </c>
      <c r="H635" t="str">
        <f>_xlfn.XLOOKUP(Logs__2[[#This Row],[Cell_ID]],'Registre_Maintenance'!B:B,'Registre_Maintenance'!D:D,"Pas de correspondance")</f>
        <v>Pas de correspondance</v>
      </c>
      <c r="I635" t="str">
        <f>_xlfn.XLOOKUP(Logs__2[[#This Row],[Cell_ID]],'Registre_Maintenance'!B:B,'Registre_Maintenance'!E:E,"Pas de correspondance")</f>
        <v>Pas de correspondance</v>
      </c>
      <c r="J635" t="str">
        <f>_xlfn.XLOOKUP(Logs__2[[#This Row],[Cell_ID]],'Registre_Maintenance'!B:B,'Registre_Maintenance'!F:F,"Pas de correspondance")</f>
        <v>Pas de correspondance</v>
      </c>
      <c r="K635" t="str">
        <f>_xlfn.XLOOKUP(Logs__2[[#This Row],[Cell_ID]],'Registre_Maintenance'!B:B,'Registre_Maintenance'!G:G,"Pas de correspondance")</f>
        <v>Pas de correspondance</v>
      </c>
    </row>
    <row r="636" spans="1:11" x14ac:dyDescent="0.25">
      <c r="A636" s="1" t="s">
        <v>1269</v>
      </c>
      <c r="B636" s="2">
        <v>45219</v>
      </c>
      <c r="C636" s="3">
        <v>0.82638888888888884</v>
      </c>
      <c r="D636" s="1" t="s">
        <v>846</v>
      </c>
      <c r="E636">
        <v>93</v>
      </c>
      <c r="F636" s="1" t="s">
        <v>811</v>
      </c>
      <c r="G636" t="str">
        <f>_xlfn.XLOOKUP(Logs__2[[#This Row],[Cell_ID]],'Registre_Maintenance'!B:B,'Registre_Maintenance'!C:C,"Pas de correspondance")</f>
        <v>Sud-Kivu</v>
      </c>
      <c r="H636">
        <f>_xlfn.XLOOKUP(Logs__2[[#This Row],[Cell_ID]],'Registre_Maintenance'!B:B,'Registre_Maintenance'!D:D,"Pas de correspondance")</f>
        <v>4.2493650000000001</v>
      </c>
      <c r="I636">
        <f>_xlfn.XLOOKUP(Logs__2[[#This Row],[Cell_ID]],'Registre_Maintenance'!B:B,'Registre_Maintenance'!E:E,"Pas de correspondance")</f>
        <v>28.355039999999999</v>
      </c>
      <c r="J636" t="str">
        <f>_xlfn.XLOOKUP(Logs__2[[#This Row],[Cell_ID]],'Registre_Maintenance'!B:B,'Registre_Maintenance'!F:F,"Pas de correspondance")</f>
        <v>3G</v>
      </c>
      <c r="K636" t="str">
        <f>_xlfn.XLOOKUP(Logs__2[[#This Row],[Cell_ID]],'Registre_Maintenance'!B:B,'Registre_Maintenance'!G:G,"Pas de correspondance")</f>
        <v>ZTE</v>
      </c>
    </row>
    <row r="637" spans="1:11" hidden="1" x14ac:dyDescent="0.25">
      <c r="A637" s="1" t="s">
        <v>1269</v>
      </c>
      <c r="B637" s="2">
        <v>45210</v>
      </c>
      <c r="C637" s="3">
        <v>0.5</v>
      </c>
      <c r="D637" s="1" t="s">
        <v>1288</v>
      </c>
      <c r="E637">
        <v>30</v>
      </c>
      <c r="F637" s="1" t="s">
        <v>806</v>
      </c>
      <c r="G637" t="str">
        <f>_xlfn.XLOOKUP(Logs__2[[#This Row],[Cell_ID]],'Registre_Maintenance'!B:B,'Registre_Maintenance'!C:C,"Pas de correspondance")</f>
        <v>Pas de correspondance</v>
      </c>
      <c r="H637" t="str">
        <f>_xlfn.XLOOKUP(Logs__2[[#This Row],[Cell_ID]],'Registre_Maintenance'!B:B,'Registre_Maintenance'!D:D,"Pas de correspondance")</f>
        <v>Pas de correspondance</v>
      </c>
      <c r="I637" t="str">
        <f>_xlfn.XLOOKUP(Logs__2[[#This Row],[Cell_ID]],'Registre_Maintenance'!B:B,'Registre_Maintenance'!E:E,"Pas de correspondance")</f>
        <v>Pas de correspondance</v>
      </c>
      <c r="J637" t="str">
        <f>_xlfn.XLOOKUP(Logs__2[[#This Row],[Cell_ID]],'Registre_Maintenance'!B:B,'Registre_Maintenance'!F:F,"Pas de correspondance")</f>
        <v>Pas de correspondance</v>
      </c>
      <c r="K637" t="str">
        <f>_xlfn.XLOOKUP(Logs__2[[#This Row],[Cell_ID]],'Registre_Maintenance'!B:B,'Registre_Maintenance'!G:G,"Pas de correspondance")</f>
        <v>Pas de correspondance</v>
      </c>
    </row>
    <row r="638" spans="1:11" x14ac:dyDescent="0.25">
      <c r="A638" s="1" t="s">
        <v>1269</v>
      </c>
      <c r="B638" s="2">
        <v>45209</v>
      </c>
      <c r="C638" s="3">
        <v>0.55833333333333335</v>
      </c>
      <c r="D638" s="1" t="s">
        <v>1289</v>
      </c>
      <c r="E638">
        <v>66</v>
      </c>
      <c r="F638" s="1" t="s">
        <v>809</v>
      </c>
      <c r="G638" t="str">
        <f>_xlfn.XLOOKUP(Logs__2[[#This Row],[Cell_ID]],'Registre_Maintenance'!B:B,'Registre_Maintenance'!C:C,"Pas de correspondance")</f>
        <v>Ituri</v>
      </c>
      <c r="H638">
        <f>_xlfn.XLOOKUP(Logs__2[[#This Row],[Cell_ID]],'Registre_Maintenance'!B:B,'Registre_Maintenance'!D:D,"Pas de correspondance")</f>
        <v>-12.595355</v>
      </c>
      <c r="I638">
        <f>_xlfn.XLOOKUP(Logs__2[[#This Row],[Cell_ID]],'Registre_Maintenance'!B:B,'Registre_Maintenance'!E:E,"Pas de correspondance")</f>
        <v>17.897442000000002</v>
      </c>
      <c r="J638" t="str">
        <f>_xlfn.XLOOKUP(Logs__2[[#This Row],[Cell_ID]],'Registre_Maintenance'!B:B,'Registre_Maintenance'!F:F,"Pas de correspondance")</f>
        <v>4G</v>
      </c>
      <c r="K638" t="str">
        <f>_xlfn.XLOOKUP(Logs__2[[#This Row],[Cell_ID]],'Registre_Maintenance'!B:B,'Registre_Maintenance'!G:G,"Pas de correspondance")</f>
        <v>Huawei</v>
      </c>
    </row>
    <row r="639" spans="1:11" hidden="1" x14ac:dyDescent="0.25">
      <c r="A639" s="1" t="s">
        <v>1269</v>
      </c>
      <c r="B639" s="2">
        <v>45224</v>
      </c>
      <c r="C639" s="3">
        <v>0.11527777777777778</v>
      </c>
      <c r="D639" s="1" t="s">
        <v>1290</v>
      </c>
      <c r="E639">
        <v>45</v>
      </c>
      <c r="F639" s="1" t="s">
        <v>809</v>
      </c>
      <c r="G639" t="str">
        <f>_xlfn.XLOOKUP(Logs__2[[#This Row],[Cell_ID]],'Registre_Maintenance'!B:B,'Registre_Maintenance'!C:C,"Pas de correspondance")</f>
        <v>Pas de correspondance</v>
      </c>
      <c r="H639" t="str">
        <f>_xlfn.XLOOKUP(Logs__2[[#This Row],[Cell_ID]],'Registre_Maintenance'!B:B,'Registre_Maintenance'!D:D,"Pas de correspondance")</f>
        <v>Pas de correspondance</v>
      </c>
      <c r="I639" t="str">
        <f>_xlfn.XLOOKUP(Logs__2[[#This Row],[Cell_ID]],'Registre_Maintenance'!B:B,'Registre_Maintenance'!E:E,"Pas de correspondance")</f>
        <v>Pas de correspondance</v>
      </c>
      <c r="J639" t="str">
        <f>_xlfn.XLOOKUP(Logs__2[[#This Row],[Cell_ID]],'Registre_Maintenance'!B:B,'Registre_Maintenance'!F:F,"Pas de correspondance")</f>
        <v>Pas de correspondance</v>
      </c>
      <c r="K639" t="str">
        <f>_xlfn.XLOOKUP(Logs__2[[#This Row],[Cell_ID]],'Registre_Maintenance'!B:B,'Registre_Maintenance'!G:G,"Pas de correspondance")</f>
        <v>Pas de correspondance</v>
      </c>
    </row>
    <row r="640" spans="1:11" x14ac:dyDescent="0.25">
      <c r="A640" s="1" t="s">
        <v>1269</v>
      </c>
      <c r="B640" s="2">
        <v>45228</v>
      </c>
      <c r="C640" s="3">
        <v>0.74791666666666667</v>
      </c>
      <c r="D640" s="1" t="s">
        <v>1268</v>
      </c>
      <c r="E640">
        <v>27</v>
      </c>
      <c r="F640" s="1" t="s">
        <v>806</v>
      </c>
      <c r="G640" t="str">
        <f>_xlfn.XLOOKUP(Logs__2[[#This Row],[Cell_ID]],'Registre_Maintenance'!B:B,'Registre_Maintenance'!C:C,"Pas de correspondance")</f>
        <v>Lualaba</v>
      </c>
      <c r="H640">
        <f>_xlfn.XLOOKUP(Logs__2[[#This Row],[Cell_ID]],'Registre_Maintenance'!B:B,'Registre_Maintenance'!D:D,"Pas de correspondance")</f>
        <v>-8.0301989999999996</v>
      </c>
      <c r="I640">
        <f>_xlfn.XLOOKUP(Logs__2[[#This Row],[Cell_ID]],'Registre_Maintenance'!B:B,'Registre_Maintenance'!E:E,"Pas de correspondance")</f>
        <v>24.122495000000001</v>
      </c>
      <c r="J640" t="str">
        <f>_xlfn.XLOOKUP(Logs__2[[#This Row],[Cell_ID]],'Registre_Maintenance'!B:B,'Registre_Maintenance'!F:F,"Pas de correspondance")</f>
        <v>5G</v>
      </c>
      <c r="K640" t="str">
        <f>_xlfn.XLOOKUP(Logs__2[[#This Row],[Cell_ID]],'Registre_Maintenance'!B:B,'Registre_Maintenance'!G:G,"Pas de correspondance")</f>
        <v>ZTE</v>
      </c>
    </row>
    <row r="641" spans="1:11" hidden="1" x14ac:dyDescent="0.25">
      <c r="A641" s="1" t="s">
        <v>1269</v>
      </c>
      <c r="B641" s="2">
        <v>45207</v>
      </c>
      <c r="C641" s="3">
        <v>0.7729166666666667</v>
      </c>
      <c r="D641" s="1" t="s">
        <v>1259</v>
      </c>
      <c r="E641">
        <v>55</v>
      </c>
      <c r="F641" s="1" t="s">
        <v>809</v>
      </c>
      <c r="G641" t="str">
        <f>_xlfn.XLOOKUP(Logs__2[[#This Row],[Cell_ID]],'Registre_Maintenance'!B:B,'Registre_Maintenance'!C:C,"Pas de correspondance")</f>
        <v>Pas de correspondance</v>
      </c>
      <c r="H641" t="str">
        <f>_xlfn.XLOOKUP(Logs__2[[#This Row],[Cell_ID]],'Registre_Maintenance'!B:B,'Registre_Maintenance'!D:D,"Pas de correspondance")</f>
        <v>Pas de correspondance</v>
      </c>
      <c r="I641" t="str">
        <f>_xlfn.XLOOKUP(Logs__2[[#This Row],[Cell_ID]],'Registre_Maintenance'!B:B,'Registre_Maintenance'!E:E,"Pas de correspondance")</f>
        <v>Pas de correspondance</v>
      </c>
      <c r="J641" t="str">
        <f>_xlfn.XLOOKUP(Logs__2[[#This Row],[Cell_ID]],'Registre_Maintenance'!B:B,'Registre_Maintenance'!F:F,"Pas de correspondance")</f>
        <v>Pas de correspondance</v>
      </c>
      <c r="K641" t="str">
        <f>_xlfn.XLOOKUP(Logs__2[[#This Row],[Cell_ID]],'Registre_Maintenance'!B:B,'Registre_Maintenance'!G:G,"Pas de correspondance")</f>
        <v>Pas de correspondance</v>
      </c>
    </row>
    <row r="642" spans="1:11" hidden="1" x14ac:dyDescent="0.25">
      <c r="A642" s="1" t="s">
        <v>1269</v>
      </c>
      <c r="B642" s="2">
        <v>45205</v>
      </c>
      <c r="C642" s="3">
        <v>0.89166666666666672</v>
      </c>
      <c r="D642" s="1" t="s">
        <v>1259</v>
      </c>
      <c r="E642">
        <v>45</v>
      </c>
      <c r="F642" s="1" t="s">
        <v>809</v>
      </c>
      <c r="G642" t="str">
        <f>_xlfn.XLOOKUP(Logs__2[[#This Row],[Cell_ID]],'Registre_Maintenance'!B:B,'Registre_Maintenance'!C:C,"Pas de correspondance")</f>
        <v>Pas de correspondance</v>
      </c>
      <c r="H642" t="str">
        <f>_xlfn.XLOOKUP(Logs__2[[#This Row],[Cell_ID]],'Registre_Maintenance'!B:B,'Registre_Maintenance'!D:D,"Pas de correspondance")</f>
        <v>Pas de correspondance</v>
      </c>
      <c r="I642" t="str">
        <f>_xlfn.XLOOKUP(Logs__2[[#This Row],[Cell_ID]],'Registre_Maintenance'!B:B,'Registre_Maintenance'!E:E,"Pas de correspondance")</f>
        <v>Pas de correspondance</v>
      </c>
      <c r="J642" t="str">
        <f>_xlfn.XLOOKUP(Logs__2[[#This Row],[Cell_ID]],'Registre_Maintenance'!B:B,'Registre_Maintenance'!F:F,"Pas de correspondance")</f>
        <v>Pas de correspondance</v>
      </c>
      <c r="K642" t="str">
        <f>_xlfn.XLOOKUP(Logs__2[[#This Row],[Cell_ID]],'Registre_Maintenance'!B:B,'Registre_Maintenance'!G:G,"Pas de correspondance")</f>
        <v>Pas de correspondance</v>
      </c>
    </row>
    <row r="643" spans="1:11" x14ac:dyDescent="0.25">
      <c r="A643" s="1" t="s">
        <v>1269</v>
      </c>
      <c r="B643" s="2">
        <v>45205</v>
      </c>
      <c r="C643" s="3">
        <v>0.17847222222222223</v>
      </c>
      <c r="D643" s="1" t="s">
        <v>1291</v>
      </c>
      <c r="E643">
        <v>42</v>
      </c>
      <c r="F643" s="1" t="s">
        <v>809</v>
      </c>
      <c r="G643" t="str">
        <f>_xlfn.XLOOKUP(Logs__2[[#This Row],[Cell_ID]],'Registre_Maintenance'!B:B,'Registre_Maintenance'!C:C,"Pas de correspondance")</f>
        <v>Sud-Ubangi</v>
      </c>
      <c r="H643">
        <f>_xlfn.XLOOKUP(Logs__2[[#This Row],[Cell_ID]],'Registre_Maintenance'!B:B,'Registre_Maintenance'!D:D,"Pas de correspondance")</f>
        <v>3.611561</v>
      </c>
      <c r="I643">
        <f>_xlfn.XLOOKUP(Logs__2[[#This Row],[Cell_ID]],'Registre_Maintenance'!B:B,'Registre_Maintenance'!E:E,"Pas de correspondance")</f>
        <v>17.725974999999998</v>
      </c>
      <c r="J643" t="str">
        <f>_xlfn.XLOOKUP(Logs__2[[#This Row],[Cell_ID]],'Registre_Maintenance'!B:B,'Registre_Maintenance'!F:F,"Pas de correspondance")</f>
        <v>3G</v>
      </c>
      <c r="K643" t="str">
        <f>_xlfn.XLOOKUP(Logs__2[[#This Row],[Cell_ID]],'Registre_Maintenance'!B:B,'Registre_Maintenance'!G:G,"Pas de correspondance")</f>
        <v>ZTE</v>
      </c>
    </row>
    <row r="644" spans="1:11" x14ac:dyDescent="0.25">
      <c r="A644" s="1" t="s">
        <v>1269</v>
      </c>
      <c r="B644" s="2">
        <v>45209</v>
      </c>
      <c r="C644" s="3">
        <v>0.35486111111111113</v>
      </c>
      <c r="D644" s="1" t="s">
        <v>1224</v>
      </c>
      <c r="E644">
        <v>99</v>
      </c>
      <c r="F644" s="1" t="s">
        <v>809</v>
      </c>
      <c r="G644" t="str">
        <f>_xlfn.XLOOKUP(Logs__2[[#This Row],[Cell_ID]],'Registre_Maintenance'!B:B,'Registre_Maintenance'!C:C,"Pas de correspondance")</f>
        <v>Kinshasa</v>
      </c>
      <c r="H644">
        <f>_xlfn.XLOOKUP(Logs__2[[#This Row],[Cell_ID]],'Registre_Maintenance'!B:B,'Registre_Maintenance'!D:D,"Pas de correspondance")</f>
        <v>1.3006180000000001</v>
      </c>
      <c r="I644">
        <f>_xlfn.XLOOKUP(Logs__2[[#This Row],[Cell_ID]],'Registre_Maintenance'!B:B,'Registre_Maintenance'!E:E,"Pas de correspondance")</f>
        <v>29.060970999999999</v>
      </c>
      <c r="J644" t="str">
        <f>_xlfn.XLOOKUP(Logs__2[[#This Row],[Cell_ID]],'Registre_Maintenance'!B:B,'Registre_Maintenance'!F:F,"Pas de correspondance")</f>
        <v>3G</v>
      </c>
      <c r="K644" t="str">
        <f>_xlfn.XLOOKUP(Logs__2[[#This Row],[Cell_ID]],'Registre_Maintenance'!B:B,'Registre_Maintenance'!G:G,"Pas de correspondance")</f>
        <v>ZTE</v>
      </c>
    </row>
    <row r="645" spans="1:11" hidden="1" x14ac:dyDescent="0.25">
      <c r="A645" s="1" t="s">
        <v>1269</v>
      </c>
      <c r="B645" s="2">
        <v>45204</v>
      </c>
      <c r="C645" s="3">
        <v>9.0277777777777776E-2</v>
      </c>
      <c r="D645" s="1" t="s">
        <v>1292</v>
      </c>
      <c r="E645">
        <v>93</v>
      </c>
      <c r="F645" s="1" t="s">
        <v>811</v>
      </c>
      <c r="G645" t="str">
        <f>_xlfn.XLOOKUP(Logs__2[[#This Row],[Cell_ID]],'Registre_Maintenance'!B:B,'Registre_Maintenance'!C:C,"Pas de correspondance")</f>
        <v>Pas de correspondance</v>
      </c>
      <c r="H645" t="str">
        <f>_xlfn.XLOOKUP(Logs__2[[#This Row],[Cell_ID]],'Registre_Maintenance'!B:B,'Registre_Maintenance'!D:D,"Pas de correspondance")</f>
        <v>Pas de correspondance</v>
      </c>
      <c r="I645" t="str">
        <f>_xlfn.XLOOKUP(Logs__2[[#This Row],[Cell_ID]],'Registre_Maintenance'!B:B,'Registre_Maintenance'!E:E,"Pas de correspondance")</f>
        <v>Pas de correspondance</v>
      </c>
      <c r="J645" t="str">
        <f>_xlfn.XLOOKUP(Logs__2[[#This Row],[Cell_ID]],'Registre_Maintenance'!B:B,'Registre_Maintenance'!F:F,"Pas de correspondance")</f>
        <v>Pas de correspondance</v>
      </c>
      <c r="K645" t="str">
        <f>_xlfn.XLOOKUP(Logs__2[[#This Row],[Cell_ID]],'Registre_Maintenance'!B:B,'Registre_Maintenance'!G:G,"Pas de correspondance")</f>
        <v>Pas de correspondance</v>
      </c>
    </row>
    <row r="646" spans="1:11" x14ac:dyDescent="0.25">
      <c r="A646" s="1" t="s">
        <v>1269</v>
      </c>
      <c r="B646" s="2">
        <v>45213</v>
      </c>
      <c r="C646" s="3">
        <v>0.35138888888888886</v>
      </c>
      <c r="D646" s="1" t="s">
        <v>1293</v>
      </c>
      <c r="E646">
        <v>86</v>
      </c>
      <c r="F646" s="1" t="s">
        <v>811</v>
      </c>
      <c r="G646" t="str">
        <f>_xlfn.XLOOKUP(Logs__2[[#This Row],[Cell_ID]],'Registre_Maintenance'!B:B,'Registre_Maintenance'!C:C,"Pas de correspondance")</f>
        <v>Maniema</v>
      </c>
      <c r="H646">
        <f>_xlfn.XLOOKUP(Logs__2[[#This Row],[Cell_ID]],'Registre_Maintenance'!B:B,'Registre_Maintenance'!D:D,"Pas de correspondance")</f>
        <v>4.8228650000000002</v>
      </c>
      <c r="I646">
        <f>_xlfn.XLOOKUP(Logs__2[[#This Row],[Cell_ID]],'Registre_Maintenance'!B:B,'Registre_Maintenance'!E:E,"Pas de correspondance")</f>
        <v>30.555627000000001</v>
      </c>
      <c r="J646" t="str">
        <f>_xlfn.XLOOKUP(Logs__2[[#This Row],[Cell_ID]],'Registre_Maintenance'!B:B,'Registre_Maintenance'!F:F,"Pas de correspondance")</f>
        <v>4G</v>
      </c>
      <c r="K646" t="str">
        <f>_xlfn.XLOOKUP(Logs__2[[#This Row],[Cell_ID]],'Registre_Maintenance'!B:B,'Registre_Maintenance'!G:G,"Pas de correspondance")</f>
        <v>Huawei</v>
      </c>
    </row>
    <row r="647" spans="1:11" x14ac:dyDescent="0.25">
      <c r="A647" s="1" t="s">
        <v>1269</v>
      </c>
      <c r="B647" s="2">
        <v>45209</v>
      </c>
      <c r="C647" s="3">
        <v>0.65972222222222221</v>
      </c>
      <c r="D647" s="1" t="s">
        <v>1064</v>
      </c>
      <c r="E647">
        <v>67</v>
      </c>
      <c r="F647" s="1" t="s">
        <v>811</v>
      </c>
      <c r="G647" t="str">
        <f>_xlfn.XLOOKUP(Logs__2[[#This Row],[Cell_ID]],'Registre_Maintenance'!B:B,'Registre_Maintenance'!C:C,"Pas de correspondance")</f>
        <v>Nord-Ubangi</v>
      </c>
      <c r="H647">
        <f>_xlfn.XLOOKUP(Logs__2[[#This Row],[Cell_ID]],'Registre_Maintenance'!B:B,'Registre_Maintenance'!D:D,"Pas de correspondance")</f>
        <v>-7.7839049999999999</v>
      </c>
      <c r="I647">
        <f>_xlfn.XLOOKUP(Logs__2[[#This Row],[Cell_ID]],'Registre_Maintenance'!B:B,'Registre_Maintenance'!E:E,"Pas de correspondance")</f>
        <v>14.114281999999999</v>
      </c>
      <c r="J647" t="str">
        <f>_xlfn.XLOOKUP(Logs__2[[#This Row],[Cell_ID]],'Registre_Maintenance'!B:B,'Registre_Maintenance'!F:F,"Pas de correspondance")</f>
        <v>3G</v>
      </c>
      <c r="K647" t="str">
        <f>_xlfn.XLOOKUP(Logs__2[[#This Row],[Cell_ID]],'Registre_Maintenance'!B:B,'Registre_Maintenance'!G:G,"Pas de correspondance")</f>
        <v>ZTE</v>
      </c>
    </row>
    <row r="648" spans="1:11" hidden="1" x14ac:dyDescent="0.25">
      <c r="A648" s="1" t="s">
        <v>1269</v>
      </c>
      <c r="B648" s="2">
        <v>45202</v>
      </c>
      <c r="C648" s="3">
        <v>0.46944444444444444</v>
      </c>
      <c r="D648" s="1" t="s">
        <v>1294</v>
      </c>
      <c r="E648">
        <v>78</v>
      </c>
      <c r="F648" s="1" t="s">
        <v>806</v>
      </c>
      <c r="G648" t="str">
        <f>_xlfn.XLOOKUP(Logs__2[[#This Row],[Cell_ID]],'Registre_Maintenance'!B:B,'Registre_Maintenance'!C:C,"Pas de correspondance")</f>
        <v>Pas de correspondance</v>
      </c>
      <c r="H648" t="str">
        <f>_xlfn.XLOOKUP(Logs__2[[#This Row],[Cell_ID]],'Registre_Maintenance'!B:B,'Registre_Maintenance'!D:D,"Pas de correspondance")</f>
        <v>Pas de correspondance</v>
      </c>
      <c r="I648" t="str">
        <f>_xlfn.XLOOKUP(Logs__2[[#This Row],[Cell_ID]],'Registre_Maintenance'!B:B,'Registre_Maintenance'!E:E,"Pas de correspondance")</f>
        <v>Pas de correspondance</v>
      </c>
      <c r="J648" t="str">
        <f>_xlfn.XLOOKUP(Logs__2[[#This Row],[Cell_ID]],'Registre_Maintenance'!B:B,'Registre_Maintenance'!F:F,"Pas de correspondance")</f>
        <v>Pas de correspondance</v>
      </c>
      <c r="K648" t="str">
        <f>_xlfn.XLOOKUP(Logs__2[[#This Row],[Cell_ID]],'Registre_Maintenance'!B:B,'Registre_Maintenance'!G:G,"Pas de correspondance")</f>
        <v>Pas de correspondance</v>
      </c>
    </row>
    <row r="649" spans="1:11" hidden="1" x14ac:dyDescent="0.25">
      <c r="A649" s="1" t="s">
        <v>1269</v>
      </c>
      <c r="B649" s="2">
        <v>45230</v>
      </c>
      <c r="C649" s="3">
        <v>0.32361111111111113</v>
      </c>
      <c r="D649" s="1" t="s">
        <v>947</v>
      </c>
      <c r="E649">
        <v>105</v>
      </c>
      <c r="F649" s="1" t="s">
        <v>806</v>
      </c>
      <c r="G649" t="str">
        <f>_xlfn.XLOOKUP(Logs__2[[#This Row],[Cell_ID]],'Registre_Maintenance'!B:B,'Registre_Maintenance'!C:C,"Pas de correspondance")</f>
        <v>Pas de correspondance</v>
      </c>
      <c r="H649" t="str">
        <f>_xlfn.XLOOKUP(Logs__2[[#This Row],[Cell_ID]],'Registre_Maintenance'!B:B,'Registre_Maintenance'!D:D,"Pas de correspondance")</f>
        <v>Pas de correspondance</v>
      </c>
      <c r="I649" t="str">
        <f>_xlfn.XLOOKUP(Logs__2[[#This Row],[Cell_ID]],'Registre_Maintenance'!B:B,'Registre_Maintenance'!E:E,"Pas de correspondance")</f>
        <v>Pas de correspondance</v>
      </c>
      <c r="J649" t="str">
        <f>_xlfn.XLOOKUP(Logs__2[[#This Row],[Cell_ID]],'Registre_Maintenance'!B:B,'Registre_Maintenance'!F:F,"Pas de correspondance")</f>
        <v>Pas de correspondance</v>
      </c>
      <c r="K649" t="str">
        <f>_xlfn.XLOOKUP(Logs__2[[#This Row],[Cell_ID]],'Registre_Maintenance'!B:B,'Registre_Maintenance'!G:G,"Pas de correspondance")</f>
        <v>Pas de correspondance</v>
      </c>
    </row>
    <row r="650" spans="1:11" hidden="1" x14ac:dyDescent="0.25">
      <c r="A650" s="1" t="s">
        <v>1269</v>
      </c>
      <c r="B650" s="2">
        <v>45220</v>
      </c>
      <c r="C650" s="3">
        <v>0.65138888888888891</v>
      </c>
      <c r="D650" s="1" t="s">
        <v>977</v>
      </c>
      <c r="E650">
        <v>36</v>
      </c>
      <c r="F650" s="1" t="s">
        <v>806</v>
      </c>
      <c r="G650" t="str">
        <f>_xlfn.XLOOKUP(Logs__2[[#This Row],[Cell_ID]],'Registre_Maintenance'!B:B,'Registre_Maintenance'!C:C,"Pas de correspondance")</f>
        <v>Pas de correspondance</v>
      </c>
      <c r="H650" t="str">
        <f>_xlfn.XLOOKUP(Logs__2[[#This Row],[Cell_ID]],'Registre_Maintenance'!B:B,'Registre_Maintenance'!D:D,"Pas de correspondance")</f>
        <v>Pas de correspondance</v>
      </c>
      <c r="I650" t="str">
        <f>_xlfn.XLOOKUP(Logs__2[[#This Row],[Cell_ID]],'Registre_Maintenance'!B:B,'Registre_Maintenance'!E:E,"Pas de correspondance")</f>
        <v>Pas de correspondance</v>
      </c>
      <c r="J650" t="str">
        <f>_xlfn.XLOOKUP(Logs__2[[#This Row],[Cell_ID]],'Registre_Maintenance'!B:B,'Registre_Maintenance'!F:F,"Pas de correspondance")</f>
        <v>Pas de correspondance</v>
      </c>
      <c r="K650" t="str">
        <f>_xlfn.XLOOKUP(Logs__2[[#This Row],[Cell_ID]],'Registre_Maintenance'!B:B,'Registre_Maintenance'!G:G,"Pas de correspondance")</f>
        <v>Pas de correspondance</v>
      </c>
    </row>
    <row r="651" spans="1:11" x14ac:dyDescent="0.25">
      <c r="A651" s="1" t="s">
        <v>1269</v>
      </c>
      <c r="B651" s="2">
        <v>45202</v>
      </c>
      <c r="C651" s="3">
        <v>0.69930555555555551</v>
      </c>
      <c r="D651" s="1" t="s">
        <v>1272</v>
      </c>
      <c r="E651">
        <v>63</v>
      </c>
      <c r="F651" s="1" t="s">
        <v>809</v>
      </c>
      <c r="G651" t="str">
        <f>_xlfn.XLOOKUP(Logs__2[[#This Row],[Cell_ID]],'Registre_Maintenance'!B:B,'Registre_Maintenance'!C:C,"Pas de correspondance")</f>
        <v>Tshopo</v>
      </c>
      <c r="H651">
        <f>_xlfn.XLOOKUP(Logs__2[[#This Row],[Cell_ID]],'Registre_Maintenance'!B:B,'Registre_Maintenance'!D:D,"Pas de correspondance")</f>
        <v>1.400674</v>
      </c>
      <c r="I651">
        <f>_xlfn.XLOOKUP(Logs__2[[#This Row],[Cell_ID]],'Registre_Maintenance'!B:B,'Registre_Maintenance'!E:E,"Pas de correspondance")</f>
        <v>13.503126999999999</v>
      </c>
      <c r="J651" t="str">
        <f>_xlfn.XLOOKUP(Logs__2[[#This Row],[Cell_ID]],'Registre_Maintenance'!B:B,'Registre_Maintenance'!F:F,"Pas de correspondance")</f>
        <v>5G</v>
      </c>
      <c r="K651" t="str">
        <f>_xlfn.XLOOKUP(Logs__2[[#This Row],[Cell_ID]],'Registre_Maintenance'!B:B,'Registre_Maintenance'!G:G,"Pas de correspondance")</f>
        <v>ZTE</v>
      </c>
    </row>
    <row r="652" spans="1:11" hidden="1" x14ac:dyDescent="0.25">
      <c r="A652" s="1" t="s">
        <v>1295</v>
      </c>
      <c r="B652" s="2">
        <v>45207</v>
      </c>
      <c r="C652" s="3">
        <v>0.59930555555555554</v>
      </c>
      <c r="D652" s="1" t="s">
        <v>930</v>
      </c>
      <c r="E652">
        <v>59</v>
      </c>
      <c r="F652" s="1" t="s">
        <v>806</v>
      </c>
      <c r="G652" t="str">
        <f>_xlfn.XLOOKUP(Logs__2[[#This Row],[Cell_ID]],'Registre_Maintenance'!B:B,'Registre_Maintenance'!C:C,"Pas de correspondance")</f>
        <v>Pas de correspondance</v>
      </c>
      <c r="H652" t="str">
        <f>_xlfn.XLOOKUP(Logs__2[[#This Row],[Cell_ID]],'Registre_Maintenance'!B:B,'Registre_Maintenance'!D:D,"Pas de correspondance")</f>
        <v>Pas de correspondance</v>
      </c>
      <c r="I652" t="str">
        <f>_xlfn.XLOOKUP(Logs__2[[#This Row],[Cell_ID]],'Registre_Maintenance'!B:B,'Registre_Maintenance'!E:E,"Pas de correspondance")</f>
        <v>Pas de correspondance</v>
      </c>
      <c r="J652" t="str">
        <f>_xlfn.XLOOKUP(Logs__2[[#This Row],[Cell_ID]],'Registre_Maintenance'!B:B,'Registre_Maintenance'!F:F,"Pas de correspondance")</f>
        <v>Pas de correspondance</v>
      </c>
      <c r="K652" t="str">
        <f>_xlfn.XLOOKUP(Logs__2[[#This Row],[Cell_ID]],'Registre_Maintenance'!B:B,'Registre_Maintenance'!G:G,"Pas de correspondance")</f>
        <v>Pas de correspondance</v>
      </c>
    </row>
    <row r="653" spans="1:11" hidden="1" x14ac:dyDescent="0.25">
      <c r="A653" s="1" t="s">
        <v>1295</v>
      </c>
      <c r="B653" s="2">
        <v>45212</v>
      </c>
      <c r="C653" s="3">
        <v>0.61736111111111114</v>
      </c>
      <c r="D653" s="1" t="s">
        <v>1296</v>
      </c>
      <c r="E653">
        <v>28</v>
      </c>
      <c r="F653" s="1" t="s">
        <v>806</v>
      </c>
      <c r="G653" t="str">
        <f>_xlfn.XLOOKUP(Logs__2[[#This Row],[Cell_ID]],'Registre_Maintenance'!B:B,'Registre_Maintenance'!C:C,"Pas de correspondance")</f>
        <v>Pas de correspondance</v>
      </c>
      <c r="H653" t="str">
        <f>_xlfn.XLOOKUP(Logs__2[[#This Row],[Cell_ID]],'Registre_Maintenance'!B:B,'Registre_Maintenance'!D:D,"Pas de correspondance")</f>
        <v>Pas de correspondance</v>
      </c>
      <c r="I653" t="str">
        <f>_xlfn.XLOOKUP(Logs__2[[#This Row],[Cell_ID]],'Registre_Maintenance'!B:B,'Registre_Maintenance'!E:E,"Pas de correspondance")</f>
        <v>Pas de correspondance</v>
      </c>
      <c r="J653" t="str">
        <f>_xlfn.XLOOKUP(Logs__2[[#This Row],[Cell_ID]],'Registre_Maintenance'!B:B,'Registre_Maintenance'!F:F,"Pas de correspondance")</f>
        <v>Pas de correspondance</v>
      </c>
      <c r="K653" t="str">
        <f>_xlfn.XLOOKUP(Logs__2[[#This Row],[Cell_ID]],'Registre_Maintenance'!B:B,'Registre_Maintenance'!G:G,"Pas de correspondance")</f>
        <v>Pas de correspondance</v>
      </c>
    </row>
    <row r="654" spans="1:11" hidden="1" x14ac:dyDescent="0.25">
      <c r="A654" s="1" t="s">
        <v>1295</v>
      </c>
      <c r="B654" s="2">
        <v>45221</v>
      </c>
      <c r="C654" s="3">
        <v>0.78055555555555556</v>
      </c>
      <c r="D654" s="1" t="s">
        <v>1219</v>
      </c>
      <c r="E654">
        <v>67</v>
      </c>
      <c r="F654" s="1" t="s">
        <v>806</v>
      </c>
      <c r="G654" t="str">
        <f>_xlfn.XLOOKUP(Logs__2[[#This Row],[Cell_ID]],'Registre_Maintenance'!B:B,'Registre_Maintenance'!C:C,"Pas de correspondance")</f>
        <v>Pas de correspondance</v>
      </c>
      <c r="H654" t="str">
        <f>_xlfn.XLOOKUP(Logs__2[[#This Row],[Cell_ID]],'Registre_Maintenance'!B:B,'Registre_Maintenance'!D:D,"Pas de correspondance")</f>
        <v>Pas de correspondance</v>
      </c>
      <c r="I654" t="str">
        <f>_xlfn.XLOOKUP(Logs__2[[#This Row],[Cell_ID]],'Registre_Maintenance'!B:B,'Registre_Maintenance'!E:E,"Pas de correspondance")</f>
        <v>Pas de correspondance</v>
      </c>
      <c r="J654" t="str">
        <f>_xlfn.XLOOKUP(Logs__2[[#This Row],[Cell_ID]],'Registre_Maintenance'!B:B,'Registre_Maintenance'!F:F,"Pas de correspondance")</f>
        <v>Pas de correspondance</v>
      </c>
      <c r="K654" t="str">
        <f>_xlfn.XLOOKUP(Logs__2[[#This Row],[Cell_ID]],'Registre_Maintenance'!B:B,'Registre_Maintenance'!G:G,"Pas de correspondance")</f>
        <v>Pas de correspondance</v>
      </c>
    </row>
    <row r="655" spans="1:11" hidden="1" x14ac:dyDescent="0.25">
      <c r="A655" s="1" t="s">
        <v>1295</v>
      </c>
      <c r="B655" s="2">
        <v>45216</v>
      </c>
      <c r="C655" s="3">
        <v>0.18194444444444444</v>
      </c>
      <c r="D655" s="1" t="s">
        <v>1297</v>
      </c>
      <c r="E655">
        <v>86</v>
      </c>
      <c r="F655" s="1" t="s">
        <v>809</v>
      </c>
      <c r="G655" t="str">
        <f>_xlfn.XLOOKUP(Logs__2[[#This Row],[Cell_ID]],'Registre_Maintenance'!B:B,'Registre_Maintenance'!C:C,"Pas de correspondance")</f>
        <v>Pas de correspondance</v>
      </c>
      <c r="H655" t="str">
        <f>_xlfn.XLOOKUP(Logs__2[[#This Row],[Cell_ID]],'Registre_Maintenance'!B:B,'Registre_Maintenance'!D:D,"Pas de correspondance")</f>
        <v>Pas de correspondance</v>
      </c>
      <c r="I655" t="str">
        <f>_xlfn.XLOOKUP(Logs__2[[#This Row],[Cell_ID]],'Registre_Maintenance'!B:B,'Registre_Maintenance'!E:E,"Pas de correspondance")</f>
        <v>Pas de correspondance</v>
      </c>
      <c r="J655" t="str">
        <f>_xlfn.XLOOKUP(Logs__2[[#This Row],[Cell_ID]],'Registre_Maintenance'!B:B,'Registre_Maintenance'!F:F,"Pas de correspondance")</f>
        <v>Pas de correspondance</v>
      </c>
      <c r="K655" t="str">
        <f>_xlfn.XLOOKUP(Logs__2[[#This Row],[Cell_ID]],'Registre_Maintenance'!B:B,'Registre_Maintenance'!G:G,"Pas de correspondance")</f>
        <v>Pas de correspondance</v>
      </c>
    </row>
    <row r="656" spans="1:11" hidden="1" x14ac:dyDescent="0.25">
      <c r="A656" s="1" t="s">
        <v>1295</v>
      </c>
      <c r="B656" s="2">
        <v>45200</v>
      </c>
      <c r="C656" s="3">
        <v>0.62916666666666665</v>
      </c>
      <c r="D656" s="1" t="s">
        <v>1095</v>
      </c>
      <c r="E656">
        <v>73</v>
      </c>
      <c r="F656" s="1" t="s">
        <v>809</v>
      </c>
      <c r="G656" t="str">
        <f>_xlfn.XLOOKUP(Logs__2[[#This Row],[Cell_ID]],'Registre_Maintenance'!B:B,'Registre_Maintenance'!C:C,"Pas de correspondance")</f>
        <v>Pas de correspondance</v>
      </c>
      <c r="H656" t="str">
        <f>_xlfn.XLOOKUP(Logs__2[[#This Row],[Cell_ID]],'Registre_Maintenance'!B:B,'Registre_Maintenance'!D:D,"Pas de correspondance")</f>
        <v>Pas de correspondance</v>
      </c>
      <c r="I656" t="str">
        <f>_xlfn.XLOOKUP(Logs__2[[#This Row],[Cell_ID]],'Registre_Maintenance'!B:B,'Registre_Maintenance'!E:E,"Pas de correspondance")</f>
        <v>Pas de correspondance</v>
      </c>
      <c r="J656" t="str">
        <f>_xlfn.XLOOKUP(Logs__2[[#This Row],[Cell_ID]],'Registre_Maintenance'!B:B,'Registre_Maintenance'!F:F,"Pas de correspondance")</f>
        <v>Pas de correspondance</v>
      </c>
      <c r="K656" t="str">
        <f>_xlfn.XLOOKUP(Logs__2[[#This Row],[Cell_ID]],'Registre_Maintenance'!B:B,'Registre_Maintenance'!G:G,"Pas de correspondance")</f>
        <v>Pas de correspondance</v>
      </c>
    </row>
    <row r="657" spans="1:11" hidden="1" x14ac:dyDescent="0.25">
      <c r="A657" s="1" t="s">
        <v>1295</v>
      </c>
      <c r="B657" s="2">
        <v>45209</v>
      </c>
      <c r="C657" s="3">
        <v>0.58194444444444449</v>
      </c>
      <c r="D657" s="1" t="s">
        <v>1298</v>
      </c>
      <c r="E657">
        <v>93</v>
      </c>
      <c r="F657" s="1" t="s">
        <v>809</v>
      </c>
      <c r="G657" t="str">
        <f>_xlfn.XLOOKUP(Logs__2[[#This Row],[Cell_ID]],'Registre_Maintenance'!B:B,'Registre_Maintenance'!C:C,"Pas de correspondance")</f>
        <v>Pas de correspondance</v>
      </c>
      <c r="H657" t="str">
        <f>_xlfn.XLOOKUP(Logs__2[[#This Row],[Cell_ID]],'Registre_Maintenance'!B:B,'Registre_Maintenance'!D:D,"Pas de correspondance")</f>
        <v>Pas de correspondance</v>
      </c>
      <c r="I657" t="str">
        <f>_xlfn.XLOOKUP(Logs__2[[#This Row],[Cell_ID]],'Registre_Maintenance'!B:B,'Registre_Maintenance'!E:E,"Pas de correspondance")</f>
        <v>Pas de correspondance</v>
      </c>
      <c r="J657" t="str">
        <f>_xlfn.XLOOKUP(Logs__2[[#This Row],[Cell_ID]],'Registre_Maintenance'!B:B,'Registre_Maintenance'!F:F,"Pas de correspondance")</f>
        <v>Pas de correspondance</v>
      </c>
      <c r="K657" t="str">
        <f>_xlfn.XLOOKUP(Logs__2[[#This Row],[Cell_ID]],'Registre_Maintenance'!B:B,'Registre_Maintenance'!G:G,"Pas de correspondance")</f>
        <v>Pas de correspondance</v>
      </c>
    </row>
    <row r="658" spans="1:11" hidden="1" x14ac:dyDescent="0.25">
      <c r="A658" s="1" t="s">
        <v>1295</v>
      </c>
      <c r="B658" s="2">
        <v>45230</v>
      </c>
      <c r="C658" s="3">
        <v>8.819444444444445E-2</v>
      </c>
      <c r="D658" s="1" t="s">
        <v>1187</v>
      </c>
      <c r="E658">
        <v>87</v>
      </c>
      <c r="F658" s="1" t="s">
        <v>811</v>
      </c>
      <c r="G658" t="str">
        <f>_xlfn.XLOOKUP(Logs__2[[#This Row],[Cell_ID]],'Registre_Maintenance'!B:B,'Registre_Maintenance'!C:C,"Pas de correspondance")</f>
        <v>Pas de correspondance</v>
      </c>
      <c r="H658" t="str">
        <f>_xlfn.XLOOKUP(Logs__2[[#This Row],[Cell_ID]],'Registre_Maintenance'!B:B,'Registre_Maintenance'!D:D,"Pas de correspondance")</f>
        <v>Pas de correspondance</v>
      </c>
      <c r="I658" t="str">
        <f>_xlfn.XLOOKUP(Logs__2[[#This Row],[Cell_ID]],'Registre_Maintenance'!B:B,'Registre_Maintenance'!E:E,"Pas de correspondance")</f>
        <v>Pas de correspondance</v>
      </c>
      <c r="J658" t="str">
        <f>_xlfn.XLOOKUP(Logs__2[[#This Row],[Cell_ID]],'Registre_Maintenance'!B:B,'Registre_Maintenance'!F:F,"Pas de correspondance")</f>
        <v>Pas de correspondance</v>
      </c>
      <c r="K658" t="str">
        <f>_xlfn.XLOOKUP(Logs__2[[#This Row],[Cell_ID]],'Registre_Maintenance'!B:B,'Registre_Maintenance'!G:G,"Pas de correspondance")</f>
        <v>Pas de correspondance</v>
      </c>
    </row>
    <row r="659" spans="1:11" x14ac:dyDescent="0.25">
      <c r="A659" s="1" t="s">
        <v>1295</v>
      </c>
      <c r="B659" s="2">
        <v>45226</v>
      </c>
      <c r="C659" s="3">
        <v>0.96458333333333335</v>
      </c>
      <c r="D659" s="1" t="s">
        <v>1299</v>
      </c>
      <c r="E659">
        <v>27</v>
      </c>
      <c r="F659" s="1" t="s">
        <v>809</v>
      </c>
      <c r="G659" t="str">
        <f>_xlfn.XLOOKUP(Logs__2[[#This Row],[Cell_ID]],'Registre_Maintenance'!B:B,'Registre_Maintenance'!C:C,"Pas de correspondance")</f>
        <v>Lualaba</v>
      </c>
      <c r="H659">
        <f>_xlfn.XLOOKUP(Logs__2[[#This Row],[Cell_ID]],'Registre_Maintenance'!B:B,'Registre_Maintenance'!D:D,"Pas de correspondance")</f>
        <v>-11.354772000000001</v>
      </c>
      <c r="I659">
        <f>_xlfn.XLOOKUP(Logs__2[[#This Row],[Cell_ID]],'Registre_Maintenance'!B:B,'Registre_Maintenance'!E:E,"Pas de correspondance")</f>
        <v>21.957325999999998</v>
      </c>
      <c r="J659" t="str">
        <f>_xlfn.XLOOKUP(Logs__2[[#This Row],[Cell_ID]],'Registre_Maintenance'!B:B,'Registre_Maintenance'!F:F,"Pas de correspondance")</f>
        <v>3G</v>
      </c>
      <c r="K659" t="str">
        <f>_xlfn.XLOOKUP(Logs__2[[#This Row],[Cell_ID]],'Registre_Maintenance'!B:B,'Registre_Maintenance'!G:G,"Pas de correspondance")</f>
        <v>Nokia</v>
      </c>
    </row>
    <row r="660" spans="1:11" hidden="1" x14ac:dyDescent="0.25">
      <c r="A660" s="1" t="s">
        <v>1295</v>
      </c>
      <c r="B660" s="2">
        <v>45211</v>
      </c>
      <c r="C660" s="3">
        <v>0.38958333333333334</v>
      </c>
      <c r="D660" s="1" t="s">
        <v>1300</v>
      </c>
      <c r="E660">
        <v>76</v>
      </c>
      <c r="F660" s="1" t="s">
        <v>809</v>
      </c>
      <c r="G660" t="str">
        <f>_xlfn.XLOOKUP(Logs__2[[#This Row],[Cell_ID]],'Registre_Maintenance'!B:B,'Registre_Maintenance'!C:C,"Pas de correspondance")</f>
        <v>Pas de correspondance</v>
      </c>
      <c r="H660" t="str">
        <f>_xlfn.XLOOKUP(Logs__2[[#This Row],[Cell_ID]],'Registre_Maintenance'!B:B,'Registre_Maintenance'!D:D,"Pas de correspondance")</f>
        <v>Pas de correspondance</v>
      </c>
      <c r="I660" t="str">
        <f>_xlfn.XLOOKUP(Logs__2[[#This Row],[Cell_ID]],'Registre_Maintenance'!B:B,'Registre_Maintenance'!E:E,"Pas de correspondance")</f>
        <v>Pas de correspondance</v>
      </c>
      <c r="J660" t="str">
        <f>_xlfn.XLOOKUP(Logs__2[[#This Row],[Cell_ID]],'Registre_Maintenance'!B:B,'Registre_Maintenance'!F:F,"Pas de correspondance")</f>
        <v>Pas de correspondance</v>
      </c>
      <c r="K660" t="str">
        <f>_xlfn.XLOOKUP(Logs__2[[#This Row],[Cell_ID]],'Registre_Maintenance'!B:B,'Registre_Maintenance'!G:G,"Pas de correspondance")</f>
        <v>Pas de correspondance</v>
      </c>
    </row>
    <row r="661" spans="1:11" hidden="1" x14ac:dyDescent="0.25">
      <c r="A661" s="1" t="s">
        <v>1295</v>
      </c>
      <c r="B661" s="2">
        <v>45214</v>
      </c>
      <c r="C661" s="3">
        <v>0.27291666666666664</v>
      </c>
      <c r="D661" s="1" t="s">
        <v>980</v>
      </c>
      <c r="E661">
        <v>26</v>
      </c>
      <c r="F661" s="1" t="s">
        <v>809</v>
      </c>
      <c r="G661" t="str">
        <f>_xlfn.XLOOKUP(Logs__2[[#This Row],[Cell_ID]],'Registre_Maintenance'!B:B,'Registre_Maintenance'!C:C,"Pas de correspondance")</f>
        <v>Pas de correspondance</v>
      </c>
      <c r="H661" t="str">
        <f>_xlfn.XLOOKUP(Logs__2[[#This Row],[Cell_ID]],'Registre_Maintenance'!B:B,'Registre_Maintenance'!D:D,"Pas de correspondance")</f>
        <v>Pas de correspondance</v>
      </c>
      <c r="I661" t="str">
        <f>_xlfn.XLOOKUP(Logs__2[[#This Row],[Cell_ID]],'Registre_Maintenance'!B:B,'Registre_Maintenance'!E:E,"Pas de correspondance")</f>
        <v>Pas de correspondance</v>
      </c>
      <c r="J661" t="str">
        <f>_xlfn.XLOOKUP(Logs__2[[#This Row],[Cell_ID]],'Registre_Maintenance'!B:B,'Registre_Maintenance'!F:F,"Pas de correspondance")</f>
        <v>Pas de correspondance</v>
      </c>
      <c r="K661" t="str">
        <f>_xlfn.XLOOKUP(Logs__2[[#This Row],[Cell_ID]],'Registre_Maintenance'!B:B,'Registre_Maintenance'!G:G,"Pas de correspondance")</f>
        <v>Pas de correspondance</v>
      </c>
    </row>
    <row r="662" spans="1:11" hidden="1" x14ac:dyDescent="0.25">
      <c r="A662" s="1" t="s">
        <v>1295</v>
      </c>
      <c r="B662" s="2">
        <v>45215</v>
      </c>
      <c r="C662" s="3">
        <v>0.47916666666666669</v>
      </c>
      <c r="D662" s="1" t="s">
        <v>924</v>
      </c>
      <c r="E662">
        <v>67</v>
      </c>
      <c r="F662" s="1" t="s">
        <v>811</v>
      </c>
      <c r="G662" t="str">
        <f>_xlfn.XLOOKUP(Logs__2[[#This Row],[Cell_ID]],'Registre_Maintenance'!B:B,'Registre_Maintenance'!C:C,"Pas de correspondance")</f>
        <v>Pas de correspondance</v>
      </c>
      <c r="H662" t="str">
        <f>_xlfn.XLOOKUP(Logs__2[[#This Row],[Cell_ID]],'Registre_Maintenance'!B:B,'Registre_Maintenance'!D:D,"Pas de correspondance")</f>
        <v>Pas de correspondance</v>
      </c>
      <c r="I662" t="str">
        <f>_xlfn.XLOOKUP(Logs__2[[#This Row],[Cell_ID]],'Registre_Maintenance'!B:B,'Registre_Maintenance'!E:E,"Pas de correspondance")</f>
        <v>Pas de correspondance</v>
      </c>
      <c r="J662" t="str">
        <f>_xlfn.XLOOKUP(Logs__2[[#This Row],[Cell_ID]],'Registre_Maintenance'!B:B,'Registre_Maintenance'!F:F,"Pas de correspondance")</f>
        <v>Pas de correspondance</v>
      </c>
      <c r="K662" t="str">
        <f>_xlfn.XLOOKUP(Logs__2[[#This Row],[Cell_ID]],'Registre_Maintenance'!B:B,'Registre_Maintenance'!G:G,"Pas de correspondance")</f>
        <v>Pas de correspondance</v>
      </c>
    </row>
    <row r="663" spans="1:11" hidden="1" x14ac:dyDescent="0.25">
      <c r="A663" s="1" t="s">
        <v>1295</v>
      </c>
      <c r="B663" s="2">
        <v>45203</v>
      </c>
      <c r="C663" s="3">
        <v>0.61527777777777781</v>
      </c>
      <c r="D663" s="1" t="s">
        <v>1301</v>
      </c>
      <c r="E663">
        <v>41</v>
      </c>
      <c r="F663" s="1" t="s">
        <v>806</v>
      </c>
      <c r="G663" t="str">
        <f>_xlfn.XLOOKUP(Logs__2[[#This Row],[Cell_ID]],'Registre_Maintenance'!B:B,'Registre_Maintenance'!C:C,"Pas de correspondance")</f>
        <v>Pas de correspondance</v>
      </c>
      <c r="H663" t="str">
        <f>_xlfn.XLOOKUP(Logs__2[[#This Row],[Cell_ID]],'Registre_Maintenance'!B:B,'Registre_Maintenance'!D:D,"Pas de correspondance")</f>
        <v>Pas de correspondance</v>
      </c>
      <c r="I663" t="str">
        <f>_xlfn.XLOOKUP(Logs__2[[#This Row],[Cell_ID]],'Registre_Maintenance'!B:B,'Registre_Maintenance'!E:E,"Pas de correspondance")</f>
        <v>Pas de correspondance</v>
      </c>
      <c r="J663" t="str">
        <f>_xlfn.XLOOKUP(Logs__2[[#This Row],[Cell_ID]],'Registre_Maintenance'!B:B,'Registre_Maintenance'!F:F,"Pas de correspondance")</f>
        <v>Pas de correspondance</v>
      </c>
      <c r="K663" t="str">
        <f>_xlfn.XLOOKUP(Logs__2[[#This Row],[Cell_ID]],'Registre_Maintenance'!B:B,'Registre_Maintenance'!G:G,"Pas de correspondance")</f>
        <v>Pas de correspondance</v>
      </c>
    </row>
    <row r="664" spans="1:11" x14ac:dyDescent="0.25">
      <c r="A664" s="1" t="s">
        <v>1295</v>
      </c>
      <c r="B664" s="2">
        <v>45222</v>
      </c>
      <c r="C664" s="3">
        <v>0.59722222222222221</v>
      </c>
      <c r="D664" s="1" t="s">
        <v>1001</v>
      </c>
      <c r="E664">
        <v>22</v>
      </c>
      <c r="F664" s="1" t="s">
        <v>809</v>
      </c>
      <c r="G664" t="str">
        <f>_xlfn.XLOOKUP(Logs__2[[#This Row],[Cell_ID]],'Registre_Maintenance'!B:B,'Registre_Maintenance'!C:C,"Pas de correspondance")</f>
        <v>Nord-Kivu</v>
      </c>
      <c r="H664">
        <f>_xlfn.XLOOKUP(Logs__2[[#This Row],[Cell_ID]],'Registre_Maintenance'!B:B,'Registre_Maintenance'!D:D,"Pas de correspondance")</f>
        <v>-1.8555980000000001</v>
      </c>
      <c r="I664">
        <f>_xlfn.XLOOKUP(Logs__2[[#This Row],[Cell_ID]],'Registre_Maintenance'!B:B,'Registre_Maintenance'!E:E,"Pas de correspondance")</f>
        <v>30.421918000000002</v>
      </c>
      <c r="J664" t="str">
        <f>_xlfn.XLOOKUP(Logs__2[[#This Row],[Cell_ID]],'Registre_Maintenance'!B:B,'Registre_Maintenance'!F:F,"Pas de correspondance")</f>
        <v>3G</v>
      </c>
      <c r="K664" t="str">
        <f>_xlfn.XLOOKUP(Logs__2[[#This Row],[Cell_ID]],'Registre_Maintenance'!B:B,'Registre_Maintenance'!G:G,"Pas de correspondance")</f>
        <v>ZTE</v>
      </c>
    </row>
    <row r="665" spans="1:11" x14ac:dyDescent="0.25">
      <c r="A665" s="1" t="s">
        <v>1295</v>
      </c>
      <c r="B665" s="2">
        <v>45202</v>
      </c>
      <c r="C665" s="3">
        <v>0.37638888888888888</v>
      </c>
      <c r="D665" s="1" t="s">
        <v>1302</v>
      </c>
      <c r="E665">
        <v>28</v>
      </c>
      <c r="F665" s="1" t="s">
        <v>806</v>
      </c>
      <c r="G665" t="str">
        <f>_xlfn.XLOOKUP(Logs__2[[#This Row],[Cell_ID]],'Registre_Maintenance'!B:B,'Registre_Maintenance'!C:C,"Pas de correspondance")</f>
        <v>Kwilu</v>
      </c>
      <c r="H665">
        <f>_xlfn.XLOOKUP(Logs__2[[#This Row],[Cell_ID]],'Registre_Maintenance'!B:B,'Registre_Maintenance'!D:D,"Pas de correspondance")</f>
        <v>-7.402336</v>
      </c>
      <c r="I665">
        <f>_xlfn.XLOOKUP(Logs__2[[#This Row],[Cell_ID]],'Registre_Maintenance'!B:B,'Registre_Maintenance'!E:E,"Pas de correspondance")</f>
        <v>27.376697</v>
      </c>
      <c r="J665" t="str">
        <f>_xlfn.XLOOKUP(Logs__2[[#This Row],[Cell_ID]],'Registre_Maintenance'!B:B,'Registre_Maintenance'!F:F,"Pas de correspondance")</f>
        <v>4G</v>
      </c>
      <c r="K665" t="str">
        <f>_xlfn.XLOOKUP(Logs__2[[#This Row],[Cell_ID]],'Registre_Maintenance'!B:B,'Registre_Maintenance'!G:G,"Pas de correspondance")</f>
        <v>Huawei</v>
      </c>
    </row>
    <row r="666" spans="1:11" hidden="1" x14ac:dyDescent="0.25">
      <c r="A666" s="1" t="s">
        <v>1295</v>
      </c>
      <c r="B666" s="2">
        <v>45225</v>
      </c>
      <c r="C666" s="3">
        <v>0.92152777777777772</v>
      </c>
      <c r="D666" s="1" t="s">
        <v>1237</v>
      </c>
      <c r="E666">
        <v>45</v>
      </c>
      <c r="F666" s="1" t="s">
        <v>806</v>
      </c>
      <c r="G666" t="str">
        <f>_xlfn.XLOOKUP(Logs__2[[#This Row],[Cell_ID]],'Registre_Maintenance'!B:B,'Registre_Maintenance'!C:C,"Pas de correspondance")</f>
        <v>Pas de correspondance</v>
      </c>
      <c r="H666" t="str">
        <f>_xlfn.XLOOKUP(Logs__2[[#This Row],[Cell_ID]],'Registre_Maintenance'!B:B,'Registre_Maintenance'!D:D,"Pas de correspondance")</f>
        <v>Pas de correspondance</v>
      </c>
      <c r="I666" t="str">
        <f>_xlfn.XLOOKUP(Logs__2[[#This Row],[Cell_ID]],'Registre_Maintenance'!B:B,'Registre_Maintenance'!E:E,"Pas de correspondance")</f>
        <v>Pas de correspondance</v>
      </c>
      <c r="J666" t="str">
        <f>_xlfn.XLOOKUP(Logs__2[[#This Row],[Cell_ID]],'Registre_Maintenance'!B:B,'Registre_Maintenance'!F:F,"Pas de correspondance")</f>
        <v>Pas de correspondance</v>
      </c>
      <c r="K666" t="str">
        <f>_xlfn.XLOOKUP(Logs__2[[#This Row],[Cell_ID]],'Registre_Maintenance'!B:B,'Registre_Maintenance'!G:G,"Pas de correspondance")</f>
        <v>Pas de correspondance</v>
      </c>
    </row>
    <row r="667" spans="1:11" x14ac:dyDescent="0.25">
      <c r="A667" s="1" t="s">
        <v>1295</v>
      </c>
      <c r="B667" s="2">
        <v>45200</v>
      </c>
      <c r="C667" s="3">
        <v>0.44513888888888886</v>
      </c>
      <c r="D667" s="1" t="s">
        <v>1303</v>
      </c>
      <c r="E667">
        <v>112</v>
      </c>
      <c r="F667" s="1" t="s">
        <v>806</v>
      </c>
      <c r="G667" t="str">
        <f>_xlfn.XLOOKUP(Logs__2[[#This Row],[Cell_ID]],'Registre_Maintenance'!B:B,'Registre_Maintenance'!C:C,"Pas de correspondance")</f>
        <v>Haut-Katanga</v>
      </c>
      <c r="H667">
        <f>_xlfn.XLOOKUP(Logs__2[[#This Row],[Cell_ID]],'Registre_Maintenance'!B:B,'Registre_Maintenance'!D:D,"Pas de correspondance")</f>
        <v>-10.945031</v>
      </c>
      <c r="I667">
        <f>_xlfn.XLOOKUP(Logs__2[[#This Row],[Cell_ID]],'Registre_Maintenance'!B:B,'Registre_Maintenance'!E:E,"Pas de correspondance")</f>
        <v>27.922274000000002</v>
      </c>
      <c r="J667" t="str">
        <f>_xlfn.XLOOKUP(Logs__2[[#This Row],[Cell_ID]],'Registre_Maintenance'!B:B,'Registre_Maintenance'!F:F,"Pas de correspondance")</f>
        <v>4G</v>
      </c>
      <c r="K667" t="str">
        <f>_xlfn.XLOOKUP(Logs__2[[#This Row],[Cell_ID]],'Registre_Maintenance'!B:B,'Registre_Maintenance'!G:G,"Pas de correspondance")</f>
        <v>Ericsson</v>
      </c>
    </row>
    <row r="668" spans="1:11" x14ac:dyDescent="0.25">
      <c r="A668" s="1" t="s">
        <v>1295</v>
      </c>
      <c r="B668" s="2">
        <v>45203</v>
      </c>
      <c r="C668" s="3">
        <v>0.91041666666666665</v>
      </c>
      <c r="D668" s="1" t="s">
        <v>1274</v>
      </c>
      <c r="E668">
        <v>62</v>
      </c>
      <c r="F668" s="1" t="s">
        <v>806</v>
      </c>
      <c r="G668" t="str">
        <f>_xlfn.XLOOKUP(Logs__2[[#This Row],[Cell_ID]],'Registre_Maintenance'!B:B,'Registre_Maintenance'!C:C,"Pas de correspondance")</f>
        <v>Maniema</v>
      </c>
      <c r="H668">
        <f>_xlfn.XLOOKUP(Logs__2[[#This Row],[Cell_ID]],'Registre_Maintenance'!B:B,'Registre_Maintenance'!D:D,"Pas de correspondance")</f>
        <v>1.938083</v>
      </c>
      <c r="I668">
        <f>_xlfn.XLOOKUP(Logs__2[[#This Row],[Cell_ID]],'Registre_Maintenance'!B:B,'Registre_Maintenance'!E:E,"Pas de correspondance")</f>
        <v>28.25281</v>
      </c>
      <c r="J668" t="str">
        <f>_xlfn.XLOOKUP(Logs__2[[#This Row],[Cell_ID]],'Registre_Maintenance'!B:B,'Registre_Maintenance'!F:F,"Pas de correspondance")</f>
        <v>4G</v>
      </c>
      <c r="K668" t="str">
        <f>_xlfn.XLOOKUP(Logs__2[[#This Row],[Cell_ID]],'Registre_Maintenance'!B:B,'Registre_Maintenance'!G:G,"Pas de correspondance")</f>
        <v>Nokia</v>
      </c>
    </row>
    <row r="669" spans="1:11" hidden="1" x14ac:dyDescent="0.25">
      <c r="A669" s="1" t="s">
        <v>1295</v>
      </c>
      <c r="B669" s="2">
        <v>45205</v>
      </c>
      <c r="C669" s="3">
        <v>0.96875</v>
      </c>
      <c r="D669" s="1" t="s">
        <v>1304</v>
      </c>
      <c r="E669">
        <v>84</v>
      </c>
      <c r="F669" s="1" t="s">
        <v>809</v>
      </c>
      <c r="G669" t="str">
        <f>_xlfn.XLOOKUP(Logs__2[[#This Row],[Cell_ID]],'Registre_Maintenance'!B:B,'Registre_Maintenance'!C:C,"Pas de correspondance")</f>
        <v>Pas de correspondance</v>
      </c>
      <c r="H669" t="str">
        <f>_xlfn.XLOOKUP(Logs__2[[#This Row],[Cell_ID]],'Registre_Maintenance'!B:B,'Registre_Maintenance'!D:D,"Pas de correspondance")</f>
        <v>Pas de correspondance</v>
      </c>
      <c r="I669" t="str">
        <f>_xlfn.XLOOKUP(Logs__2[[#This Row],[Cell_ID]],'Registre_Maintenance'!B:B,'Registre_Maintenance'!E:E,"Pas de correspondance")</f>
        <v>Pas de correspondance</v>
      </c>
      <c r="J669" t="str">
        <f>_xlfn.XLOOKUP(Logs__2[[#This Row],[Cell_ID]],'Registre_Maintenance'!B:B,'Registre_Maintenance'!F:F,"Pas de correspondance")</f>
        <v>Pas de correspondance</v>
      </c>
      <c r="K669" t="str">
        <f>_xlfn.XLOOKUP(Logs__2[[#This Row],[Cell_ID]],'Registre_Maintenance'!B:B,'Registre_Maintenance'!G:G,"Pas de correspondance")</f>
        <v>Pas de correspondance</v>
      </c>
    </row>
    <row r="670" spans="1:11" x14ac:dyDescent="0.25">
      <c r="A670" s="1" t="s">
        <v>1295</v>
      </c>
      <c r="B670" s="2">
        <v>45216</v>
      </c>
      <c r="C670" s="3">
        <v>0.2326388888888889</v>
      </c>
      <c r="D670" s="1" t="s">
        <v>1305</v>
      </c>
      <c r="E670">
        <v>11</v>
      </c>
      <c r="F670" s="1" t="s">
        <v>811</v>
      </c>
      <c r="G670" t="str">
        <f>_xlfn.XLOOKUP(Logs__2[[#This Row],[Cell_ID]],'Registre_Maintenance'!B:B,'Registre_Maintenance'!C:C,"Pas de correspondance")</f>
        <v>Kasaï</v>
      </c>
      <c r="H670">
        <f>_xlfn.XLOOKUP(Logs__2[[#This Row],[Cell_ID]],'Registre_Maintenance'!B:B,'Registre_Maintenance'!D:D,"Pas de correspondance")</f>
        <v>-3.8119990000000001</v>
      </c>
      <c r="I670">
        <f>_xlfn.XLOOKUP(Logs__2[[#This Row],[Cell_ID]],'Registre_Maintenance'!B:B,'Registre_Maintenance'!E:E,"Pas de correspondance")</f>
        <v>20.420048000000001</v>
      </c>
      <c r="J670" t="str">
        <f>_xlfn.XLOOKUP(Logs__2[[#This Row],[Cell_ID]],'Registre_Maintenance'!B:B,'Registre_Maintenance'!F:F,"Pas de correspondance")</f>
        <v>3G</v>
      </c>
      <c r="K670" t="str">
        <f>_xlfn.XLOOKUP(Logs__2[[#This Row],[Cell_ID]],'Registre_Maintenance'!B:B,'Registre_Maintenance'!G:G,"Pas de correspondance")</f>
        <v>ZTE</v>
      </c>
    </row>
    <row r="671" spans="1:11" x14ac:dyDescent="0.25">
      <c r="A671" s="1" t="s">
        <v>1295</v>
      </c>
      <c r="B671" s="2">
        <v>45205</v>
      </c>
      <c r="C671" s="3">
        <v>0.44097222222222221</v>
      </c>
      <c r="D671" s="1" t="s">
        <v>1306</v>
      </c>
      <c r="E671">
        <v>115</v>
      </c>
      <c r="F671" s="1" t="s">
        <v>809</v>
      </c>
      <c r="G671" t="str">
        <f>_xlfn.XLOOKUP(Logs__2[[#This Row],[Cell_ID]],'Registre_Maintenance'!B:B,'Registre_Maintenance'!C:C,"Pas de correspondance")</f>
        <v>Sud-Kivu</v>
      </c>
      <c r="H671">
        <f>_xlfn.XLOOKUP(Logs__2[[#This Row],[Cell_ID]],'Registre_Maintenance'!B:B,'Registre_Maintenance'!D:D,"Pas de correspondance")</f>
        <v>-1.3024210000000001</v>
      </c>
      <c r="I671">
        <f>_xlfn.XLOOKUP(Logs__2[[#This Row],[Cell_ID]],'Registre_Maintenance'!B:B,'Registre_Maintenance'!E:E,"Pas de correspondance")</f>
        <v>13.601914000000001</v>
      </c>
      <c r="J671" t="str">
        <f>_xlfn.XLOOKUP(Logs__2[[#This Row],[Cell_ID]],'Registre_Maintenance'!B:B,'Registre_Maintenance'!F:F,"Pas de correspondance")</f>
        <v>3G</v>
      </c>
      <c r="K671" t="str">
        <f>_xlfn.XLOOKUP(Logs__2[[#This Row],[Cell_ID]],'Registre_Maintenance'!B:B,'Registre_Maintenance'!G:G,"Pas de correspondance")</f>
        <v>Huawei</v>
      </c>
    </row>
    <row r="672" spans="1:11" hidden="1" x14ac:dyDescent="0.25">
      <c r="A672" s="1" t="s">
        <v>1295</v>
      </c>
      <c r="B672" s="2">
        <v>45213</v>
      </c>
      <c r="C672" s="3">
        <v>0.59305555555555556</v>
      </c>
      <c r="D672" s="1" t="s">
        <v>1229</v>
      </c>
      <c r="E672">
        <v>50</v>
      </c>
      <c r="F672" s="1" t="s">
        <v>811</v>
      </c>
      <c r="G672" t="str">
        <f>_xlfn.XLOOKUP(Logs__2[[#This Row],[Cell_ID]],'Registre_Maintenance'!B:B,'Registre_Maintenance'!C:C,"Pas de correspondance")</f>
        <v>Pas de correspondance</v>
      </c>
      <c r="H672" t="str">
        <f>_xlfn.XLOOKUP(Logs__2[[#This Row],[Cell_ID]],'Registre_Maintenance'!B:B,'Registre_Maintenance'!D:D,"Pas de correspondance")</f>
        <v>Pas de correspondance</v>
      </c>
      <c r="I672" t="str">
        <f>_xlfn.XLOOKUP(Logs__2[[#This Row],[Cell_ID]],'Registre_Maintenance'!B:B,'Registre_Maintenance'!E:E,"Pas de correspondance")</f>
        <v>Pas de correspondance</v>
      </c>
      <c r="J672" t="str">
        <f>_xlfn.XLOOKUP(Logs__2[[#This Row],[Cell_ID]],'Registre_Maintenance'!B:B,'Registre_Maintenance'!F:F,"Pas de correspondance")</f>
        <v>Pas de correspondance</v>
      </c>
      <c r="K672" t="str">
        <f>_xlfn.XLOOKUP(Logs__2[[#This Row],[Cell_ID]],'Registre_Maintenance'!B:B,'Registre_Maintenance'!G:G,"Pas de correspondance")</f>
        <v>Pas de correspondance</v>
      </c>
    </row>
    <row r="673" spans="1:11" hidden="1" x14ac:dyDescent="0.25">
      <c r="A673" s="1" t="s">
        <v>1295</v>
      </c>
      <c r="B673" s="2">
        <v>45225</v>
      </c>
      <c r="C673" s="3">
        <v>0.52777777777777779</v>
      </c>
      <c r="D673" s="1" t="s">
        <v>1307</v>
      </c>
      <c r="E673">
        <v>6</v>
      </c>
      <c r="F673" s="1" t="s">
        <v>809</v>
      </c>
      <c r="G673" t="str">
        <f>_xlfn.XLOOKUP(Logs__2[[#This Row],[Cell_ID]],'Registre_Maintenance'!B:B,'Registre_Maintenance'!C:C,"Pas de correspondance")</f>
        <v>Pas de correspondance</v>
      </c>
      <c r="H673" t="str">
        <f>_xlfn.XLOOKUP(Logs__2[[#This Row],[Cell_ID]],'Registre_Maintenance'!B:B,'Registre_Maintenance'!D:D,"Pas de correspondance")</f>
        <v>Pas de correspondance</v>
      </c>
      <c r="I673" t="str">
        <f>_xlfn.XLOOKUP(Logs__2[[#This Row],[Cell_ID]],'Registre_Maintenance'!B:B,'Registre_Maintenance'!E:E,"Pas de correspondance")</f>
        <v>Pas de correspondance</v>
      </c>
      <c r="J673" t="str">
        <f>_xlfn.XLOOKUP(Logs__2[[#This Row],[Cell_ID]],'Registre_Maintenance'!B:B,'Registre_Maintenance'!F:F,"Pas de correspondance")</f>
        <v>Pas de correspondance</v>
      </c>
      <c r="K673" t="str">
        <f>_xlfn.XLOOKUP(Logs__2[[#This Row],[Cell_ID]],'Registre_Maintenance'!B:B,'Registre_Maintenance'!G:G,"Pas de correspondance")</f>
        <v>Pas de correspondance</v>
      </c>
    </row>
    <row r="674" spans="1:11" hidden="1" x14ac:dyDescent="0.25">
      <c r="A674" s="1" t="s">
        <v>1295</v>
      </c>
      <c r="B674" s="2">
        <v>45205</v>
      </c>
      <c r="C674" s="3">
        <v>0.2361111111111111</v>
      </c>
      <c r="D674" s="1" t="s">
        <v>988</v>
      </c>
      <c r="E674">
        <v>67</v>
      </c>
      <c r="F674" s="1" t="s">
        <v>809</v>
      </c>
      <c r="G674" t="str">
        <f>_xlfn.XLOOKUP(Logs__2[[#This Row],[Cell_ID]],'Registre_Maintenance'!B:B,'Registre_Maintenance'!C:C,"Pas de correspondance")</f>
        <v>Pas de correspondance</v>
      </c>
      <c r="H674" t="str">
        <f>_xlfn.XLOOKUP(Logs__2[[#This Row],[Cell_ID]],'Registre_Maintenance'!B:B,'Registre_Maintenance'!D:D,"Pas de correspondance")</f>
        <v>Pas de correspondance</v>
      </c>
      <c r="I674" t="str">
        <f>_xlfn.XLOOKUP(Logs__2[[#This Row],[Cell_ID]],'Registre_Maintenance'!B:B,'Registre_Maintenance'!E:E,"Pas de correspondance")</f>
        <v>Pas de correspondance</v>
      </c>
      <c r="J674" t="str">
        <f>_xlfn.XLOOKUP(Logs__2[[#This Row],[Cell_ID]],'Registre_Maintenance'!B:B,'Registre_Maintenance'!F:F,"Pas de correspondance")</f>
        <v>Pas de correspondance</v>
      </c>
      <c r="K674" t="str">
        <f>_xlfn.XLOOKUP(Logs__2[[#This Row],[Cell_ID]],'Registre_Maintenance'!B:B,'Registre_Maintenance'!G:G,"Pas de correspondance")</f>
        <v>Pas de correspondance</v>
      </c>
    </row>
    <row r="675" spans="1:11" x14ac:dyDescent="0.25">
      <c r="A675" s="1" t="s">
        <v>1295</v>
      </c>
      <c r="B675" s="2">
        <v>45221</v>
      </c>
      <c r="C675" s="3">
        <v>0.55902777777777779</v>
      </c>
      <c r="D675" s="1" t="s">
        <v>1308</v>
      </c>
      <c r="E675">
        <v>22</v>
      </c>
      <c r="F675" s="1" t="s">
        <v>806</v>
      </c>
      <c r="G675" t="str">
        <f>_xlfn.XLOOKUP(Logs__2[[#This Row],[Cell_ID]],'Registre_Maintenance'!B:B,'Registre_Maintenance'!C:C,"Pas de correspondance")</f>
        <v>Kwango</v>
      </c>
      <c r="H675">
        <f>_xlfn.XLOOKUP(Logs__2[[#This Row],[Cell_ID]],'Registre_Maintenance'!B:B,'Registre_Maintenance'!D:D,"Pas de correspondance")</f>
        <v>0.65288900000000005</v>
      </c>
      <c r="I675">
        <f>_xlfn.XLOOKUP(Logs__2[[#This Row],[Cell_ID]],'Registre_Maintenance'!B:B,'Registre_Maintenance'!E:E,"Pas de correspondance")</f>
        <v>24.243953999999999</v>
      </c>
      <c r="J675" t="str">
        <f>_xlfn.XLOOKUP(Logs__2[[#This Row],[Cell_ID]],'Registre_Maintenance'!B:B,'Registre_Maintenance'!F:F,"Pas de correspondance")</f>
        <v>5G</v>
      </c>
      <c r="K675" t="str">
        <f>_xlfn.XLOOKUP(Logs__2[[#This Row],[Cell_ID]],'Registre_Maintenance'!B:B,'Registre_Maintenance'!G:G,"Pas de correspondance")</f>
        <v>Ericsson</v>
      </c>
    </row>
    <row r="676" spans="1:11" x14ac:dyDescent="0.25">
      <c r="A676" s="1" t="s">
        <v>1295</v>
      </c>
      <c r="B676" s="2">
        <v>45200</v>
      </c>
      <c r="C676" s="3">
        <v>0.98541666666666672</v>
      </c>
      <c r="D676" s="1" t="s">
        <v>996</v>
      </c>
      <c r="E676">
        <v>29</v>
      </c>
      <c r="F676" s="1" t="s">
        <v>811</v>
      </c>
      <c r="G676" t="str">
        <f>_xlfn.XLOOKUP(Logs__2[[#This Row],[Cell_ID]],'Registre_Maintenance'!B:B,'Registre_Maintenance'!C:C,"Pas de correspondance")</f>
        <v>Bas-Uele</v>
      </c>
      <c r="H676">
        <f>_xlfn.XLOOKUP(Logs__2[[#This Row],[Cell_ID]],'Registre_Maintenance'!B:B,'Registre_Maintenance'!D:D,"Pas de correspondance")</f>
        <v>1.5278670000000001</v>
      </c>
      <c r="I676">
        <f>_xlfn.XLOOKUP(Logs__2[[#This Row],[Cell_ID]],'Registre_Maintenance'!B:B,'Registre_Maintenance'!E:E,"Pas de correspondance")</f>
        <v>13.899388999999999</v>
      </c>
      <c r="J676" t="str">
        <f>_xlfn.XLOOKUP(Logs__2[[#This Row],[Cell_ID]],'Registre_Maintenance'!B:B,'Registre_Maintenance'!F:F,"Pas de correspondance")</f>
        <v>3G</v>
      </c>
      <c r="K676" t="str">
        <f>_xlfn.XLOOKUP(Logs__2[[#This Row],[Cell_ID]],'Registre_Maintenance'!B:B,'Registre_Maintenance'!G:G,"Pas de correspondance")</f>
        <v>Huawei</v>
      </c>
    </row>
    <row r="677" spans="1:11" hidden="1" x14ac:dyDescent="0.25">
      <c r="A677" s="1" t="s">
        <v>1295</v>
      </c>
      <c r="B677" s="2">
        <v>45228</v>
      </c>
      <c r="C677" s="3">
        <v>0.26944444444444443</v>
      </c>
      <c r="D677" s="1" t="s">
        <v>895</v>
      </c>
      <c r="E677">
        <v>109</v>
      </c>
      <c r="F677" s="1" t="s">
        <v>809</v>
      </c>
      <c r="G677" t="str">
        <f>_xlfn.XLOOKUP(Logs__2[[#This Row],[Cell_ID]],'Registre_Maintenance'!B:B,'Registre_Maintenance'!C:C,"Pas de correspondance")</f>
        <v>Pas de correspondance</v>
      </c>
      <c r="H677" t="str">
        <f>_xlfn.XLOOKUP(Logs__2[[#This Row],[Cell_ID]],'Registre_Maintenance'!B:B,'Registre_Maintenance'!D:D,"Pas de correspondance")</f>
        <v>Pas de correspondance</v>
      </c>
      <c r="I677" t="str">
        <f>_xlfn.XLOOKUP(Logs__2[[#This Row],[Cell_ID]],'Registre_Maintenance'!B:B,'Registre_Maintenance'!E:E,"Pas de correspondance")</f>
        <v>Pas de correspondance</v>
      </c>
      <c r="J677" t="str">
        <f>_xlfn.XLOOKUP(Logs__2[[#This Row],[Cell_ID]],'Registre_Maintenance'!B:B,'Registre_Maintenance'!F:F,"Pas de correspondance")</f>
        <v>Pas de correspondance</v>
      </c>
      <c r="K677" t="str">
        <f>_xlfn.XLOOKUP(Logs__2[[#This Row],[Cell_ID]],'Registre_Maintenance'!B:B,'Registre_Maintenance'!G:G,"Pas de correspondance")</f>
        <v>Pas de correspondance</v>
      </c>
    </row>
    <row r="678" spans="1:11" hidden="1" x14ac:dyDescent="0.25">
      <c r="A678" s="1" t="s">
        <v>1295</v>
      </c>
      <c r="B678" s="2">
        <v>45218</v>
      </c>
      <c r="C678" s="3">
        <v>0.55833333333333335</v>
      </c>
      <c r="D678" s="1" t="s">
        <v>998</v>
      </c>
      <c r="E678">
        <v>54</v>
      </c>
      <c r="F678" s="1" t="s">
        <v>811</v>
      </c>
      <c r="G678" t="str">
        <f>_xlfn.XLOOKUP(Logs__2[[#This Row],[Cell_ID]],'Registre_Maintenance'!B:B,'Registre_Maintenance'!C:C,"Pas de correspondance")</f>
        <v>Pas de correspondance</v>
      </c>
      <c r="H678" t="str">
        <f>_xlfn.XLOOKUP(Logs__2[[#This Row],[Cell_ID]],'Registre_Maintenance'!B:B,'Registre_Maintenance'!D:D,"Pas de correspondance")</f>
        <v>Pas de correspondance</v>
      </c>
      <c r="I678" t="str">
        <f>_xlfn.XLOOKUP(Logs__2[[#This Row],[Cell_ID]],'Registre_Maintenance'!B:B,'Registre_Maintenance'!E:E,"Pas de correspondance")</f>
        <v>Pas de correspondance</v>
      </c>
      <c r="J678" t="str">
        <f>_xlfn.XLOOKUP(Logs__2[[#This Row],[Cell_ID]],'Registre_Maintenance'!B:B,'Registre_Maintenance'!F:F,"Pas de correspondance")</f>
        <v>Pas de correspondance</v>
      </c>
      <c r="K678" t="str">
        <f>_xlfn.XLOOKUP(Logs__2[[#This Row],[Cell_ID]],'Registre_Maintenance'!B:B,'Registre_Maintenance'!G:G,"Pas de correspondance")</f>
        <v>Pas de correspondance</v>
      </c>
    </row>
    <row r="679" spans="1:11" x14ac:dyDescent="0.25">
      <c r="A679" s="1" t="s">
        <v>1295</v>
      </c>
      <c r="B679" s="2">
        <v>45200</v>
      </c>
      <c r="C679" s="3">
        <v>0.92569444444444449</v>
      </c>
      <c r="D679" s="1" t="s">
        <v>813</v>
      </c>
      <c r="E679">
        <v>76</v>
      </c>
      <c r="F679" s="1" t="s">
        <v>811</v>
      </c>
      <c r="G679" t="str">
        <f>_xlfn.XLOOKUP(Logs__2[[#This Row],[Cell_ID]],'Registre_Maintenance'!B:B,'Registre_Maintenance'!C:C,"Pas de correspondance")</f>
        <v>Kongo-Central</v>
      </c>
      <c r="H679">
        <f>_xlfn.XLOOKUP(Logs__2[[#This Row],[Cell_ID]],'Registre_Maintenance'!B:B,'Registre_Maintenance'!D:D,"Pas de correspondance")</f>
        <v>-2.8211520000000001</v>
      </c>
      <c r="I679">
        <f>_xlfn.XLOOKUP(Logs__2[[#This Row],[Cell_ID]],'Registre_Maintenance'!B:B,'Registre_Maintenance'!E:E,"Pas de correspondance")</f>
        <v>20.651419000000001</v>
      </c>
      <c r="J679" t="str">
        <f>_xlfn.XLOOKUP(Logs__2[[#This Row],[Cell_ID]],'Registre_Maintenance'!B:B,'Registre_Maintenance'!F:F,"Pas de correspondance")</f>
        <v>5G</v>
      </c>
      <c r="K679" t="str">
        <f>_xlfn.XLOOKUP(Logs__2[[#This Row],[Cell_ID]],'Registre_Maintenance'!B:B,'Registre_Maintenance'!G:G,"Pas de correspondance")</f>
        <v>Ericsson</v>
      </c>
    </row>
    <row r="680" spans="1:11" hidden="1" x14ac:dyDescent="0.25">
      <c r="A680" s="1" t="s">
        <v>1295</v>
      </c>
      <c r="B680" s="2">
        <v>45206</v>
      </c>
      <c r="C680" s="3">
        <v>0.36666666666666664</v>
      </c>
      <c r="D680" s="1" t="s">
        <v>1025</v>
      </c>
      <c r="E680">
        <v>69</v>
      </c>
      <c r="F680" s="1" t="s">
        <v>809</v>
      </c>
      <c r="G680" t="str">
        <f>_xlfn.XLOOKUP(Logs__2[[#This Row],[Cell_ID]],'Registre_Maintenance'!B:B,'Registre_Maintenance'!C:C,"Pas de correspondance")</f>
        <v>Pas de correspondance</v>
      </c>
      <c r="H680" t="str">
        <f>_xlfn.XLOOKUP(Logs__2[[#This Row],[Cell_ID]],'Registre_Maintenance'!B:B,'Registre_Maintenance'!D:D,"Pas de correspondance")</f>
        <v>Pas de correspondance</v>
      </c>
      <c r="I680" t="str">
        <f>_xlfn.XLOOKUP(Logs__2[[#This Row],[Cell_ID]],'Registre_Maintenance'!B:B,'Registre_Maintenance'!E:E,"Pas de correspondance")</f>
        <v>Pas de correspondance</v>
      </c>
      <c r="J680" t="str">
        <f>_xlfn.XLOOKUP(Logs__2[[#This Row],[Cell_ID]],'Registre_Maintenance'!B:B,'Registre_Maintenance'!F:F,"Pas de correspondance")</f>
        <v>Pas de correspondance</v>
      </c>
      <c r="K680" t="str">
        <f>_xlfn.XLOOKUP(Logs__2[[#This Row],[Cell_ID]],'Registre_Maintenance'!B:B,'Registre_Maintenance'!G:G,"Pas de correspondance")</f>
        <v>Pas de correspondance</v>
      </c>
    </row>
    <row r="681" spans="1:11" hidden="1" x14ac:dyDescent="0.25">
      <c r="A681" s="1" t="s">
        <v>1295</v>
      </c>
      <c r="B681" s="2">
        <v>45222</v>
      </c>
      <c r="C681" s="3">
        <v>0.10833333333333334</v>
      </c>
      <c r="D681" s="1" t="s">
        <v>1309</v>
      </c>
      <c r="E681">
        <v>88</v>
      </c>
      <c r="F681" s="1" t="s">
        <v>811</v>
      </c>
      <c r="G681" t="str">
        <f>_xlfn.XLOOKUP(Logs__2[[#This Row],[Cell_ID]],'Registre_Maintenance'!B:B,'Registre_Maintenance'!C:C,"Pas de correspondance")</f>
        <v>Pas de correspondance</v>
      </c>
      <c r="H681" t="str">
        <f>_xlfn.XLOOKUP(Logs__2[[#This Row],[Cell_ID]],'Registre_Maintenance'!B:B,'Registre_Maintenance'!D:D,"Pas de correspondance")</f>
        <v>Pas de correspondance</v>
      </c>
      <c r="I681" t="str">
        <f>_xlfn.XLOOKUP(Logs__2[[#This Row],[Cell_ID]],'Registre_Maintenance'!B:B,'Registre_Maintenance'!E:E,"Pas de correspondance")</f>
        <v>Pas de correspondance</v>
      </c>
      <c r="J681" t="str">
        <f>_xlfn.XLOOKUP(Logs__2[[#This Row],[Cell_ID]],'Registre_Maintenance'!B:B,'Registre_Maintenance'!F:F,"Pas de correspondance")</f>
        <v>Pas de correspondance</v>
      </c>
      <c r="K681" t="str">
        <f>_xlfn.XLOOKUP(Logs__2[[#This Row],[Cell_ID]],'Registre_Maintenance'!B:B,'Registre_Maintenance'!G:G,"Pas de correspondance")</f>
        <v>Pas de correspondance</v>
      </c>
    </row>
    <row r="682" spans="1:11" hidden="1" x14ac:dyDescent="0.25">
      <c r="A682" s="1" t="s">
        <v>1295</v>
      </c>
      <c r="B682" s="2">
        <v>45203</v>
      </c>
      <c r="C682" s="3">
        <v>0.71597222222222223</v>
      </c>
      <c r="D682" s="1" t="s">
        <v>1310</v>
      </c>
      <c r="E682">
        <v>68</v>
      </c>
      <c r="F682" s="1" t="s">
        <v>809</v>
      </c>
      <c r="G682" t="str">
        <f>_xlfn.XLOOKUP(Logs__2[[#This Row],[Cell_ID]],'Registre_Maintenance'!B:B,'Registre_Maintenance'!C:C,"Pas de correspondance")</f>
        <v>Pas de correspondance</v>
      </c>
      <c r="H682" t="str">
        <f>_xlfn.XLOOKUP(Logs__2[[#This Row],[Cell_ID]],'Registre_Maintenance'!B:B,'Registre_Maintenance'!D:D,"Pas de correspondance")</f>
        <v>Pas de correspondance</v>
      </c>
      <c r="I682" t="str">
        <f>_xlfn.XLOOKUP(Logs__2[[#This Row],[Cell_ID]],'Registre_Maintenance'!B:B,'Registre_Maintenance'!E:E,"Pas de correspondance")</f>
        <v>Pas de correspondance</v>
      </c>
      <c r="J682" t="str">
        <f>_xlfn.XLOOKUP(Logs__2[[#This Row],[Cell_ID]],'Registre_Maintenance'!B:B,'Registre_Maintenance'!F:F,"Pas de correspondance")</f>
        <v>Pas de correspondance</v>
      </c>
      <c r="K682" t="str">
        <f>_xlfn.XLOOKUP(Logs__2[[#This Row],[Cell_ID]],'Registre_Maintenance'!B:B,'Registre_Maintenance'!G:G,"Pas de correspondance")</f>
        <v>Pas de correspondance</v>
      </c>
    </row>
    <row r="683" spans="1:11" x14ac:dyDescent="0.25">
      <c r="A683" s="1" t="s">
        <v>1295</v>
      </c>
      <c r="B683" s="2">
        <v>45211</v>
      </c>
      <c r="C683" s="3">
        <v>0.42499999999999999</v>
      </c>
      <c r="D683" s="1" t="s">
        <v>972</v>
      </c>
      <c r="E683">
        <v>57</v>
      </c>
      <c r="F683" s="1" t="s">
        <v>809</v>
      </c>
      <c r="G683" t="str">
        <f>_xlfn.XLOOKUP(Logs__2[[#This Row],[Cell_ID]],'Registre_Maintenance'!B:B,'Registre_Maintenance'!C:C,"Pas de correspondance")</f>
        <v>Tshopo</v>
      </c>
      <c r="H683">
        <f>_xlfn.XLOOKUP(Logs__2[[#This Row],[Cell_ID]],'Registre_Maintenance'!B:B,'Registre_Maintenance'!D:D,"Pas de correspondance")</f>
        <v>-4.5603610000000003</v>
      </c>
      <c r="I683">
        <f>_xlfn.XLOOKUP(Logs__2[[#This Row],[Cell_ID]],'Registre_Maintenance'!B:B,'Registre_Maintenance'!E:E,"Pas de correspondance")</f>
        <v>24.113918999999999</v>
      </c>
      <c r="J683" t="str">
        <f>_xlfn.XLOOKUP(Logs__2[[#This Row],[Cell_ID]],'Registre_Maintenance'!B:B,'Registre_Maintenance'!F:F,"Pas de correspondance")</f>
        <v>5G</v>
      </c>
      <c r="K683" t="str">
        <f>_xlfn.XLOOKUP(Logs__2[[#This Row],[Cell_ID]],'Registre_Maintenance'!B:B,'Registre_Maintenance'!G:G,"Pas de correspondance")</f>
        <v>ZTE</v>
      </c>
    </row>
    <row r="684" spans="1:11" hidden="1" x14ac:dyDescent="0.25">
      <c r="A684" s="1" t="s">
        <v>1295</v>
      </c>
      <c r="B684" s="2">
        <v>45214</v>
      </c>
      <c r="C684" s="3">
        <v>0.1361111111111111</v>
      </c>
      <c r="D684" s="1" t="s">
        <v>1311</v>
      </c>
      <c r="E684">
        <v>92</v>
      </c>
      <c r="F684" s="1" t="s">
        <v>806</v>
      </c>
      <c r="G684" t="str">
        <f>_xlfn.XLOOKUP(Logs__2[[#This Row],[Cell_ID]],'Registre_Maintenance'!B:B,'Registre_Maintenance'!C:C,"Pas de correspondance")</f>
        <v>Pas de correspondance</v>
      </c>
      <c r="H684" t="str">
        <f>_xlfn.XLOOKUP(Logs__2[[#This Row],[Cell_ID]],'Registre_Maintenance'!B:B,'Registre_Maintenance'!D:D,"Pas de correspondance")</f>
        <v>Pas de correspondance</v>
      </c>
      <c r="I684" t="str">
        <f>_xlfn.XLOOKUP(Logs__2[[#This Row],[Cell_ID]],'Registre_Maintenance'!B:B,'Registre_Maintenance'!E:E,"Pas de correspondance")</f>
        <v>Pas de correspondance</v>
      </c>
      <c r="J684" t="str">
        <f>_xlfn.XLOOKUP(Logs__2[[#This Row],[Cell_ID]],'Registre_Maintenance'!B:B,'Registre_Maintenance'!F:F,"Pas de correspondance")</f>
        <v>Pas de correspondance</v>
      </c>
      <c r="K684" t="str">
        <f>_xlfn.XLOOKUP(Logs__2[[#This Row],[Cell_ID]],'Registre_Maintenance'!B:B,'Registre_Maintenance'!G:G,"Pas de correspondance")</f>
        <v>Pas de correspondance</v>
      </c>
    </row>
    <row r="685" spans="1:11" x14ac:dyDescent="0.25">
      <c r="A685" s="1" t="s">
        <v>1295</v>
      </c>
      <c r="B685" s="2">
        <v>45221</v>
      </c>
      <c r="C685" s="3">
        <v>0.6479166666666667</v>
      </c>
      <c r="D685" s="1" t="s">
        <v>1312</v>
      </c>
      <c r="E685">
        <v>67</v>
      </c>
      <c r="F685" s="1" t="s">
        <v>806</v>
      </c>
      <c r="G685" t="str">
        <f>_xlfn.XLOOKUP(Logs__2[[#This Row],[Cell_ID]],'Registre_Maintenance'!B:B,'Registre_Maintenance'!C:C,"Pas de correspondance")</f>
        <v>Haut-Uele</v>
      </c>
      <c r="H685">
        <f>_xlfn.XLOOKUP(Logs__2[[#This Row],[Cell_ID]],'Registre_Maintenance'!B:B,'Registre_Maintenance'!D:D,"Pas de correspondance")</f>
        <v>-11.924048000000001</v>
      </c>
      <c r="I685">
        <f>_xlfn.XLOOKUP(Logs__2[[#This Row],[Cell_ID]],'Registre_Maintenance'!B:B,'Registre_Maintenance'!E:E,"Pas de correspondance")</f>
        <v>24.177174999999998</v>
      </c>
      <c r="J685" t="str">
        <f>_xlfn.XLOOKUP(Logs__2[[#This Row],[Cell_ID]],'Registre_Maintenance'!B:B,'Registre_Maintenance'!F:F,"Pas de correspondance")</f>
        <v>3G</v>
      </c>
      <c r="K685" t="str">
        <f>_xlfn.XLOOKUP(Logs__2[[#This Row],[Cell_ID]],'Registre_Maintenance'!B:B,'Registre_Maintenance'!G:G,"Pas de correspondance")</f>
        <v>Nokia</v>
      </c>
    </row>
    <row r="686" spans="1:11" x14ac:dyDescent="0.25">
      <c r="A686" s="1" t="s">
        <v>1295</v>
      </c>
      <c r="B686" s="2">
        <v>45230</v>
      </c>
      <c r="C686" s="3">
        <v>0.84722222222222221</v>
      </c>
      <c r="D686" s="1" t="s">
        <v>865</v>
      </c>
      <c r="E686">
        <v>58</v>
      </c>
      <c r="F686" s="1" t="s">
        <v>811</v>
      </c>
      <c r="G686" t="str">
        <f>_xlfn.XLOOKUP(Logs__2[[#This Row],[Cell_ID]],'Registre_Maintenance'!B:B,'Registre_Maintenance'!C:C,"Pas de correspondance")</f>
        <v>Kwilu</v>
      </c>
      <c r="H686">
        <f>_xlfn.XLOOKUP(Logs__2[[#This Row],[Cell_ID]],'Registre_Maintenance'!B:B,'Registre_Maintenance'!D:D,"Pas de correspondance")</f>
        <v>-5.9021970000000001</v>
      </c>
      <c r="I686">
        <f>_xlfn.XLOOKUP(Logs__2[[#This Row],[Cell_ID]],'Registre_Maintenance'!B:B,'Registre_Maintenance'!E:E,"Pas de correspondance")</f>
        <v>20.551169999999999</v>
      </c>
      <c r="J686" t="str">
        <f>_xlfn.XLOOKUP(Logs__2[[#This Row],[Cell_ID]],'Registre_Maintenance'!B:B,'Registre_Maintenance'!F:F,"Pas de correspondance")</f>
        <v>3G</v>
      </c>
      <c r="K686" t="str">
        <f>_xlfn.XLOOKUP(Logs__2[[#This Row],[Cell_ID]],'Registre_Maintenance'!B:B,'Registre_Maintenance'!G:G,"Pas de correspondance")</f>
        <v>Huawei</v>
      </c>
    </row>
    <row r="687" spans="1:11" x14ac:dyDescent="0.25">
      <c r="A687" s="1" t="s">
        <v>1295</v>
      </c>
      <c r="B687" s="2">
        <v>45219</v>
      </c>
      <c r="C687" s="3">
        <v>0.52708333333333335</v>
      </c>
      <c r="D687" s="1" t="s">
        <v>1215</v>
      </c>
      <c r="E687">
        <v>95</v>
      </c>
      <c r="F687" s="1" t="s">
        <v>806</v>
      </c>
      <c r="G687" t="str">
        <f>_xlfn.XLOOKUP(Logs__2[[#This Row],[Cell_ID]],'Registre_Maintenance'!B:B,'Registre_Maintenance'!C:C,"Pas de correspondance")</f>
        <v>Haut-Uele</v>
      </c>
      <c r="H687">
        <f>_xlfn.XLOOKUP(Logs__2[[#This Row],[Cell_ID]],'Registre_Maintenance'!B:B,'Registre_Maintenance'!D:D,"Pas de correspondance")</f>
        <v>-7.1483749999999997</v>
      </c>
      <c r="I687">
        <f>_xlfn.XLOOKUP(Logs__2[[#This Row],[Cell_ID]],'Registre_Maintenance'!B:B,'Registre_Maintenance'!E:E,"Pas de correspondance")</f>
        <v>26.014271000000001</v>
      </c>
      <c r="J687" t="str">
        <f>_xlfn.XLOOKUP(Logs__2[[#This Row],[Cell_ID]],'Registre_Maintenance'!B:B,'Registre_Maintenance'!F:F,"Pas de correspondance")</f>
        <v>5G</v>
      </c>
      <c r="K687" t="str">
        <f>_xlfn.XLOOKUP(Logs__2[[#This Row],[Cell_ID]],'Registre_Maintenance'!B:B,'Registre_Maintenance'!G:G,"Pas de correspondance")</f>
        <v>Huawei</v>
      </c>
    </row>
    <row r="688" spans="1:11" hidden="1" x14ac:dyDescent="0.25">
      <c r="A688" s="1" t="s">
        <v>1295</v>
      </c>
      <c r="B688" s="2">
        <v>45212</v>
      </c>
      <c r="C688" s="3">
        <v>0.75486111111111109</v>
      </c>
      <c r="D688" s="1" t="s">
        <v>921</v>
      </c>
      <c r="E688">
        <v>112</v>
      </c>
      <c r="F688" s="1" t="s">
        <v>811</v>
      </c>
      <c r="G688" t="str">
        <f>_xlfn.XLOOKUP(Logs__2[[#This Row],[Cell_ID]],'Registre_Maintenance'!B:B,'Registre_Maintenance'!C:C,"Pas de correspondance")</f>
        <v>Pas de correspondance</v>
      </c>
      <c r="H688" t="str">
        <f>_xlfn.XLOOKUP(Logs__2[[#This Row],[Cell_ID]],'Registre_Maintenance'!B:B,'Registre_Maintenance'!D:D,"Pas de correspondance")</f>
        <v>Pas de correspondance</v>
      </c>
      <c r="I688" t="str">
        <f>_xlfn.XLOOKUP(Logs__2[[#This Row],[Cell_ID]],'Registre_Maintenance'!B:B,'Registre_Maintenance'!E:E,"Pas de correspondance")</f>
        <v>Pas de correspondance</v>
      </c>
      <c r="J688" t="str">
        <f>_xlfn.XLOOKUP(Logs__2[[#This Row],[Cell_ID]],'Registre_Maintenance'!B:B,'Registre_Maintenance'!F:F,"Pas de correspondance")</f>
        <v>Pas de correspondance</v>
      </c>
      <c r="K688" t="str">
        <f>_xlfn.XLOOKUP(Logs__2[[#This Row],[Cell_ID]],'Registre_Maintenance'!B:B,'Registre_Maintenance'!G:G,"Pas de correspondance")</f>
        <v>Pas de correspondance</v>
      </c>
    </row>
    <row r="689" spans="1:11" hidden="1" x14ac:dyDescent="0.25">
      <c r="A689" s="1" t="s">
        <v>1295</v>
      </c>
      <c r="B689" s="2">
        <v>45211</v>
      </c>
      <c r="C689" s="3">
        <v>0.49583333333333335</v>
      </c>
      <c r="D689" s="1" t="s">
        <v>922</v>
      </c>
      <c r="E689">
        <v>61</v>
      </c>
      <c r="F689" s="1" t="s">
        <v>809</v>
      </c>
      <c r="G689" t="str">
        <f>_xlfn.XLOOKUP(Logs__2[[#This Row],[Cell_ID]],'Registre_Maintenance'!B:B,'Registre_Maintenance'!C:C,"Pas de correspondance")</f>
        <v>Pas de correspondance</v>
      </c>
      <c r="H689" t="str">
        <f>_xlfn.XLOOKUP(Logs__2[[#This Row],[Cell_ID]],'Registre_Maintenance'!B:B,'Registre_Maintenance'!D:D,"Pas de correspondance")</f>
        <v>Pas de correspondance</v>
      </c>
      <c r="I689" t="str">
        <f>_xlfn.XLOOKUP(Logs__2[[#This Row],[Cell_ID]],'Registre_Maintenance'!B:B,'Registre_Maintenance'!E:E,"Pas de correspondance")</f>
        <v>Pas de correspondance</v>
      </c>
      <c r="J689" t="str">
        <f>_xlfn.XLOOKUP(Logs__2[[#This Row],[Cell_ID]],'Registre_Maintenance'!B:B,'Registre_Maintenance'!F:F,"Pas de correspondance")</f>
        <v>Pas de correspondance</v>
      </c>
      <c r="K689" t="str">
        <f>_xlfn.XLOOKUP(Logs__2[[#This Row],[Cell_ID]],'Registre_Maintenance'!B:B,'Registre_Maintenance'!G:G,"Pas de correspondance")</f>
        <v>Pas de correspondance</v>
      </c>
    </row>
    <row r="690" spans="1:11" hidden="1" x14ac:dyDescent="0.25">
      <c r="A690" s="1" t="s">
        <v>1295</v>
      </c>
      <c r="B690" s="2">
        <v>45214</v>
      </c>
      <c r="C690" s="3">
        <v>0.7993055555555556</v>
      </c>
      <c r="D690" s="1" t="s">
        <v>1313</v>
      </c>
      <c r="E690">
        <v>67</v>
      </c>
      <c r="F690" s="1" t="s">
        <v>806</v>
      </c>
      <c r="G690" t="str">
        <f>_xlfn.XLOOKUP(Logs__2[[#This Row],[Cell_ID]],'Registre_Maintenance'!B:B,'Registre_Maintenance'!C:C,"Pas de correspondance")</f>
        <v>Pas de correspondance</v>
      </c>
      <c r="H690" t="str">
        <f>_xlfn.XLOOKUP(Logs__2[[#This Row],[Cell_ID]],'Registre_Maintenance'!B:B,'Registre_Maintenance'!D:D,"Pas de correspondance")</f>
        <v>Pas de correspondance</v>
      </c>
      <c r="I690" t="str">
        <f>_xlfn.XLOOKUP(Logs__2[[#This Row],[Cell_ID]],'Registre_Maintenance'!B:B,'Registre_Maintenance'!E:E,"Pas de correspondance")</f>
        <v>Pas de correspondance</v>
      </c>
      <c r="J690" t="str">
        <f>_xlfn.XLOOKUP(Logs__2[[#This Row],[Cell_ID]],'Registre_Maintenance'!B:B,'Registre_Maintenance'!F:F,"Pas de correspondance")</f>
        <v>Pas de correspondance</v>
      </c>
      <c r="K690" t="str">
        <f>_xlfn.XLOOKUP(Logs__2[[#This Row],[Cell_ID]],'Registre_Maintenance'!B:B,'Registre_Maintenance'!G:G,"Pas de correspondance")</f>
        <v>Pas de correspondance</v>
      </c>
    </row>
    <row r="691" spans="1:11" hidden="1" x14ac:dyDescent="0.25">
      <c r="A691" s="1" t="s">
        <v>1295</v>
      </c>
      <c r="B691" s="2">
        <v>45226</v>
      </c>
      <c r="C691" s="3">
        <v>0.90625</v>
      </c>
      <c r="D691" s="1" t="s">
        <v>1123</v>
      </c>
      <c r="E691">
        <v>26</v>
      </c>
      <c r="F691" s="1" t="s">
        <v>809</v>
      </c>
      <c r="G691" t="str">
        <f>_xlfn.XLOOKUP(Logs__2[[#This Row],[Cell_ID]],'Registre_Maintenance'!B:B,'Registre_Maintenance'!C:C,"Pas de correspondance")</f>
        <v>Pas de correspondance</v>
      </c>
      <c r="H691" t="str">
        <f>_xlfn.XLOOKUP(Logs__2[[#This Row],[Cell_ID]],'Registre_Maintenance'!B:B,'Registre_Maintenance'!D:D,"Pas de correspondance")</f>
        <v>Pas de correspondance</v>
      </c>
      <c r="I691" t="str">
        <f>_xlfn.XLOOKUP(Logs__2[[#This Row],[Cell_ID]],'Registre_Maintenance'!B:B,'Registre_Maintenance'!E:E,"Pas de correspondance")</f>
        <v>Pas de correspondance</v>
      </c>
      <c r="J691" t="str">
        <f>_xlfn.XLOOKUP(Logs__2[[#This Row],[Cell_ID]],'Registre_Maintenance'!B:B,'Registre_Maintenance'!F:F,"Pas de correspondance")</f>
        <v>Pas de correspondance</v>
      </c>
      <c r="K691" t="str">
        <f>_xlfn.XLOOKUP(Logs__2[[#This Row],[Cell_ID]],'Registre_Maintenance'!B:B,'Registre_Maintenance'!G:G,"Pas de correspondance")</f>
        <v>Pas de correspondance</v>
      </c>
    </row>
    <row r="692" spans="1:11" hidden="1" x14ac:dyDescent="0.25">
      <c r="A692" s="1" t="s">
        <v>1295</v>
      </c>
      <c r="B692" s="2">
        <v>45225</v>
      </c>
      <c r="C692" s="3">
        <v>0.4152777777777778</v>
      </c>
      <c r="D692" s="1" t="s">
        <v>1314</v>
      </c>
      <c r="E692">
        <v>15</v>
      </c>
      <c r="F692" s="1" t="s">
        <v>806</v>
      </c>
      <c r="G692" t="str">
        <f>_xlfn.XLOOKUP(Logs__2[[#This Row],[Cell_ID]],'Registre_Maintenance'!B:B,'Registre_Maintenance'!C:C,"Pas de correspondance")</f>
        <v>Pas de correspondance</v>
      </c>
      <c r="H692" t="str">
        <f>_xlfn.XLOOKUP(Logs__2[[#This Row],[Cell_ID]],'Registre_Maintenance'!B:B,'Registre_Maintenance'!D:D,"Pas de correspondance")</f>
        <v>Pas de correspondance</v>
      </c>
      <c r="I692" t="str">
        <f>_xlfn.XLOOKUP(Logs__2[[#This Row],[Cell_ID]],'Registre_Maintenance'!B:B,'Registre_Maintenance'!E:E,"Pas de correspondance")</f>
        <v>Pas de correspondance</v>
      </c>
      <c r="J692" t="str">
        <f>_xlfn.XLOOKUP(Logs__2[[#This Row],[Cell_ID]],'Registre_Maintenance'!B:B,'Registre_Maintenance'!F:F,"Pas de correspondance")</f>
        <v>Pas de correspondance</v>
      </c>
      <c r="K692" t="str">
        <f>_xlfn.XLOOKUP(Logs__2[[#This Row],[Cell_ID]],'Registre_Maintenance'!B:B,'Registre_Maintenance'!G:G,"Pas de correspondance")</f>
        <v>Pas de correspondance</v>
      </c>
    </row>
    <row r="693" spans="1:11" hidden="1" x14ac:dyDescent="0.25">
      <c r="A693" s="1" t="s">
        <v>1295</v>
      </c>
      <c r="B693" s="2">
        <v>45219</v>
      </c>
      <c r="C693" s="3">
        <v>0.75347222222222221</v>
      </c>
      <c r="D693" s="1" t="s">
        <v>919</v>
      </c>
      <c r="E693">
        <v>77</v>
      </c>
      <c r="F693" s="1" t="s">
        <v>806</v>
      </c>
      <c r="G693" t="str">
        <f>_xlfn.XLOOKUP(Logs__2[[#This Row],[Cell_ID]],'Registre_Maintenance'!B:B,'Registre_Maintenance'!C:C,"Pas de correspondance")</f>
        <v>Pas de correspondance</v>
      </c>
      <c r="H693" t="str">
        <f>_xlfn.XLOOKUP(Logs__2[[#This Row],[Cell_ID]],'Registre_Maintenance'!B:B,'Registre_Maintenance'!D:D,"Pas de correspondance")</f>
        <v>Pas de correspondance</v>
      </c>
      <c r="I693" t="str">
        <f>_xlfn.XLOOKUP(Logs__2[[#This Row],[Cell_ID]],'Registre_Maintenance'!B:B,'Registre_Maintenance'!E:E,"Pas de correspondance")</f>
        <v>Pas de correspondance</v>
      </c>
      <c r="J693" t="str">
        <f>_xlfn.XLOOKUP(Logs__2[[#This Row],[Cell_ID]],'Registre_Maintenance'!B:B,'Registre_Maintenance'!F:F,"Pas de correspondance")</f>
        <v>Pas de correspondance</v>
      </c>
      <c r="K693" t="str">
        <f>_xlfn.XLOOKUP(Logs__2[[#This Row],[Cell_ID]],'Registre_Maintenance'!B:B,'Registre_Maintenance'!G:G,"Pas de correspondance")</f>
        <v>Pas de correspondance</v>
      </c>
    </row>
    <row r="694" spans="1:11" x14ac:dyDescent="0.25">
      <c r="A694" s="1" t="s">
        <v>1295</v>
      </c>
      <c r="B694" s="2">
        <v>45221</v>
      </c>
      <c r="C694" s="3">
        <v>0.18055555555555555</v>
      </c>
      <c r="D694" s="1" t="s">
        <v>814</v>
      </c>
      <c r="E694">
        <v>8</v>
      </c>
      <c r="F694" s="1" t="s">
        <v>806</v>
      </c>
      <c r="G694" t="str">
        <f>_xlfn.XLOOKUP(Logs__2[[#This Row],[Cell_ID]],'Registre_Maintenance'!B:B,'Registre_Maintenance'!C:C,"Pas de correspondance")</f>
        <v>Kasaï-Central</v>
      </c>
      <c r="H694">
        <f>_xlfn.XLOOKUP(Logs__2[[#This Row],[Cell_ID]],'Registre_Maintenance'!B:B,'Registre_Maintenance'!D:D,"Pas de correspondance")</f>
        <v>-1.648264</v>
      </c>
      <c r="I694">
        <f>_xlfn.XLOOKUP(Logs__2[[#This Row],[Cell_ID]],'Registre_Maintenance'!B:B,'Registre_Maintenance'!E:E,"Pas de correspondance")</f>
        <v>28.866143999999998</v>
      </c>
      <c r="J694" t="str">
        <f>_xlfn.XLOOKUP(Logs__2[[#This Row],[Cell_ID]],'Registre_Maintenance'!B:B,'Registre_Maintenance'!F:F,"Pas de correspondance")</f>
        <v>5G</v>
      </c>
      <c r="K694" t="str">
        <f>_xlfn.XLOOKUP(Logs__2[[#This Row],[Cell_ID]],'Registre_Maintenance'!B:B,'Registre_Maintenance'!G:G,"Pas de correspondance")</f>
        <v>Ericsson</v>
      </c>
    </row>
    <row r="695" spans="1:11" x14ac:dyDescent="0.25">
      <c r="A695" s="1" t="s">
        <v>1295</v>
      </c>
      <c r="B695" s="2">
        <v>45203</v>
      </c>
      <c r="C695" s="3">
        <v>0.30486111111111114</v>
      </c>
      <c r="D695" s="1" t="s">
        <v>1217</v>
      </c>
      <c r="E695">
        <v>106</v>
      </c>
      <c r="F695" s="1" t="s">
        <v>809</v>
      </c>
      <c r="G695" t="str">
        <f>_xlfn.XLOOKUP(Logs__2[[#This Row],[Cell_ID]],'Registre_Maintenance'!B:B,'Registre_Maintenance'!C:C,"Pas de correspondance")</f>
        <v>Tanganyika</v>
      </c>
      <c r="H695">
        <f>_xlfn.XLOOKUP(Logs__2[[#This Row],[Cell_ID]],'Registre_Maintenance'!B:B,'Registre_Maintenance'!D:D,"Pas de correspondance")</f>
        <v>-11.793894</v>
      </c>
      <c r="I695">
        <f>_xlfn.XLOOKUP(Logs__2[[#This Row],[Cell_ID]],'Registre_Maintenance'!B:B,'Registre_Maintenance'!E:E,"Pas de correspondance")</f>
        <v>20.433340999999999</v>
      </c>
      <c r="J695" t="str">
        <f>_xlfn.XLOOKUP(Logs__2[[#This Row],[Cell_ID]],'Registre_Maintenance'!B:B,'Registre_Maintenance'!F:F,"Pas de correspondance")</f>
        <v>5G</v>
      </c>
      <c r="K695" t="str">
        <f>_xlfn.XLOOKUP(Logs__2[[#This Row],[Cell_ID]],'Registre_Maintenance'!B:B,'Registre_Maintenance'!G:G,"Pas de correspondance")</f>
        <v>Nokia</v>
      </c>
    </row>
    <row r="696" spans="1:11" x14ac:dyDescent="0.25">
      <c r="A696" s="1" t="s">
        <v>1295</v>
      </c>
      <c r="B696" s="2">
        <v>45203</v>
      </c>
      <c r="C696" s="3">
        <v>0.22430555555555556</v>
      </c>
      <c r="D696" s="1" t="s">
        <v>917</v>
      </c>
      <c r="E696">
        <v>102</v>
      </c>
      <c r="F696" s="1" t="s">
        <v>811</v>
      </c>
      <c r="G696" t="str">
        <f>_xlfn.XLOOKUP(Logs__2[[#This Row],[Cell_ID]],'Registre_Maintenance'!B:B,'Registre_Maintenance'!C:C,"Pas de correspondance")</f>
        <v>Sud-Kivu</v>
      </c>
      <c r="H696">
        <f>_xlfn.XLOOKUP(Logs__2[[#This Row],[Cell_ID]],'Registre_Maintenance'!B:B,'Registre_Maintenance'!D:D,"Pas de correspondance")</f>
        <v>-9.4702129999999993</v>
      </c>
      <c r="I696">
        <f>_xlfn.XLOOKUP(Logs__2[[#This Row],[Cell_ID]],'Registre_Maintenance'!B:B,'Registre_Maintenance'!E:E,"Pas de correspondance")</f>
        <v>12.826158</v>
      </c>
      <c r="J696" t="str">
        <f>_xlfn.XLOOKUP(Logs__2[[#This Row],[Cell_ID]],'Registre_Maintenance'!B:B,'Registre_Maintenance'!F:F,"Pas de correspondance")</f>
        <v>3G</v>
      </c>
      <c r="K696" t="str">
        <f>_xlfn.XLOOKUP(Logs__2[[#This Row],[Cell_ID]],'Registre_Maintenance'!B:B,'Registre_Maintenance'!G:G,"Pas de correspondance")</f>
        <v>Ericsson</v>
      </c>
    </row>
    <row r="697" spans="1:11" x14ac:dyDescent="0.25">
      <c r="A697" s="1" t="s">
        <v>1295</v>
      </c>
      <c r="B697" s="2">
        <v>45222</v>
      </c>
      <c r="C697" s="3">
        <v>0.18888888888888888</v>
      </c>
      <c r="D697" s="1" t="s">
        <v>1115</v>
      </c>
      <c r="E697">
        <v>33</v>
      </c>
      <c r="F697" s="1" t="s">
        <v>806</v>
      </c>
      <c r="G697" t="str">
        <f>_xlfn.XLOOKUP(Logs__2[[#This Row],[Cell_ID]],'Registre_Maintenance'!B:B,'Registre_Maintenance'!C:C,"Pas de correspondance")</f>
        <v>Mongala</v>
      </c>
      <c r="H697">
        <f>_xlfn.XLOOKUP(Logs__2[[#This Row],[Cell_ID]],'Registre_Maintenance'!B:B,'Registre_Maintenance'!D:D,"Pas de correspondance")</f>
        <v>-5.3762689999999997</v>
      </c>
      <c r="I697">
        <f>_xlfn.XLOOKUP(Logs__2[[#This Row],[Cell_ID]],'Registre_Maintenance'!B:B,'Registre_Maintenance'!E:E,"Pas de correspondance")</f>
        <v>28.189575999999999</v>
      </c>
      <c r="J697" t="str">
        <f>_xlfn.XLOOKUP(Logs__2[[#This Row],[Cell_ID]],'Registre_Maintenance'!B:B,'Registre_Maintenance'!F:F,"Pas de correspondance")</f>
        <v>5G</v>
      </c>
      <c r="K697" t="str">
        <f>_xlfn.XLOOKUP(Logs__2[[#This Row],[Cell_ID]],'Registre_Maintenance'!B:B,'Registre_Maintenance'!G:G,"Pas de correspondance")</f>
        <v>Huawei</v>
      </c>
    </row>
    <row r="698" spans="1:11" hidden="1" x14ac:dyDescent="0.25">
      <c r="A698" s="1" t="s">
        <v>1295</v>
      </c>
      <c r="B698" s="2">
        <v>45212</v>
      </c>
      <c r="C698" s="3">
        <v>0.56805555555555554</v>
      </c>
      <c r="D698" s="1" t="s">
        <v>1315</v>
      </c>
      <c r="E698">
        <v>42</v>
      </c>
      <c r="F698" s="1" t="s">
        <v>809</v>
      </c>
      <c r="G698" t="str">
        <f>_xlfn.XLOOKUP(Logs__2[[#This Row],[Cell_ID]],'Registre_Maintenance'!B:B,'Registre_Maintenance'!C:C,"Pas de correspondance")</f>
        <v>Pas de correspondance</v>
      </c>
      <c r="H698" t="str">
        <f>_xlfn.XLOOKUP(Logs__2[[#This Row],[Cell_ID]],'Registre_Maintenance'!B:B,'Registre_Maintenance'!D:D,"Pas de correspondance")</f>
        <v>Pas de correspondance</v>
      </c>
      <c r="I698" t="str">
        <f>_xlfn.XLOOKUP(Logs__2[[#This Row],[Cell_ID]],'Registre_Maintenance'!B:B,'Registre_Maintenance'!E:E,"Pas de correspondance")</f>
        <v>Pas de correspondance</v>
      </c>
      <c r="J698" t="str">
        <f>_xlfn.XLOOKUP(Logs__2[[#This Row],[Cell_ID]],'Registre_Maintenance'!B:B,'Registre_Maintenance'!F:F,"Pas de correspondance")</f>
        <v>Pas de correspondance</v>
      </c>
      <c r="K698" t="str">
        <f>_xlfn.XLOOKUP(Logs__2[[#This Row],[Cell_ID]],'Registre_Maintenance'!B:B,'Registre_Maintenance'!G:G,"Pas de correspondance")</f>
        <v>Pas de correspondance</v>
      </c>
    </row>
    <row r="699" spans="1:11" x14ac:dyDescent="0.25">
      <c r="A699" s="1" t="s">
        <v>1295</v>
      </c>
      <c r="B699" s="2">
        <v>45204</v>
      </c>
      <c r="C699" s="3">
        <v>0.76666666666666672</v>
      </c>
      <c r="D699" s="1" t="s">
        <v>1316</v>
      </c>
      <c r="E699">
        <v>9</v>
      </c>
      <c r="F699" s="1" t="s">
        <v>811</v>
      </c>
      <c r="G699" t="str">
        <f>_xlfn.XLOOKUP(Logs__2[[#This Row],[Cell_ID]],'Registre_Maintenance'!B:B,'Registre_Maintenance'!C:C,"Pas de correspondance")</f>
        <v>Kasaï-Central</v>
      </c>
      <c r="H699">
        <f>_xlfn.XLOOKUP(Logs__2[[#This Row],[Cell_ID]],'Registre_Maintenance'!B:B,'Registre_Maintenance'!D:D,"Pas de correspondance")</f>
        <v>-12.560556999999999</v>
      </c>
      <c r="I699">
        <f>_xlfn.XLOOKUP(Logs__2[[#This Row],[Cell_ID]],'Registre_Maintenance'!B:B,'Registre_Maintenance'!E:E,"Pas de correspondance")</f>
        <v>13.204014000000001</v>
      </c>
      <c r="J699" t="str">
        <f>_xlfn.XLOOKUP(Logs__2[[#This Row],[Cell_ID]],'Registre_Maintenance'!B:B,'Registre_Maintenance'!F:F,"Pas de correspondance")</f>
        <v>4G</v>
      </c>
      <c r="K699" t="str">
        <f>_xlfn.XLOOKUP(Logs__2[[#This Row],[Cell_ID]],'Registre_Maintenance'!B:B,'Registre_Maintenance'!G:G,"Pas de correspondance")</f>
        <v>Ericsson</v>
      </c>
    </row>
    <row r="700" spans="1:11" hidden="1" x14ac:dyDescent="0.25">
      <c r="A700" s="1" t="s">
        <v>1317</v>
      </c>
      <c r="B700" s="2">
        <v>45202</v>
      </c>
      <c r="C700" s="3">
        <v>0.86805555555555558</v>
      </c>
      <c r="D700" s="1" t="s">
        <v>1014</v>
      </c>
      <c r="E700">
        <v>91</v>
      </c>
      <c r="F700" s="1" t="s">
        <v>809</v>
      </c>
      <c r="G700" t="str">
        <f>_xlfn.XLOOKUP(Logs__2[[#This Row],[Cell_ID]],'Registre_Maintenance'!B:B,'Registre_Maintenance'!C:C,"Pas de correspondance")</f>
        <v>Pas de correspondance</v>
      </c>
      <c r="H700" t="str">
        <f>_xlfn.XLOOKUP(Logs__2[[#This Row],[Cell_ID]],'Registre_Maintenance'!B:B,'Registre_Maintenance'!D:D,"Pas de correspondance")</f>
        <v>Pas de correspondance</v>
      </c>
      <c r="I700" t="str">
        <f>_xlfn.XLOOKUP(Logs__2[[#This Row],[Cell_ID]],'Registre_Maintenance'!B:B,'Registre_Maintenance'!E:E,"Pas de correspondance")</f>
        <v>Pas de correspondance</v>
      </c>
      <c r="J700" t="str">
        <f>_xlfn.XLOOKUP(Logs__2[[#This Row],[Cell_ID]],'Registre_Maintenance'!B:B,'Registre_Maintenance'!F:F,"Pas de correspondance")</f>
        <v>Pas de correspondance</v>
      </c>
      <c r="K700" t="str">
        <f>_xlfn.XLOOKUP(Logs__2[[#This Row],[Cell_ID]],'Registre_Maintenance'!B:B,'Registre_Maintenance'!G:G,"Pas de correspondance")</f>
        <v>Pas de correspondance</v>
      </c>
    </row>
    <row r="701" spans="1:11" hidden="1" x14ac:dyDescent="0.25">
      <c r="A701" s="1" t="s">
        <v>1317</v>
      </c>
      <c r="B701" s="2">
        <v>45228</v>
      </c>
      <c r="C701" s="3">
        <v>0.10069444444444445</v>
      </c>
      <c r="D701" s="1" t="s">
        <v>1060</v>
      </c>
      <c r="E701">
        <v>23</v>
      </c>
      <c r="F701" s="1" t="s">
        <v>811</v>
      </c>
      <c r="G701" t="str">
        <f>_xlfn.XLOOKUP(Logs__2[[#This Row],[Cell_ID]],'Registre_Maintenance'!B:B,'Registre_Maintenance'!C:C,"Pas de correspondance")</f>
        <v>Pas de correspondance</v>
      </c>
      <c r="H701" t="str">
        <f>_xlfn.XLOOKUP(Logs__2[[#This Row],[Cell_ID]],'Registre_Maintenance'!B:B,'Registre_Maintenance'!D:D,"Pas de correspondance")</f>
        <v>Pas de correspondance</v>
      </c>
      <c r="I701" t="str">
        <f>_xlfn.XLOOKUP(Logs__2[[#This Row],[Cell_ID]],'Registre_Maintenance'!B:B,'Registre_Maintenance'!E:E,"Pas de correspondance")</f>
        <v>Pas de correspondance</v>
      </c>
      <c r="J701" t="str">
        <f>_xlfn.XLOOKUP(Logs__2[[#This Row],[Cell_ID]],'Registre_Maintenance'!B:B,'Registre_Maintenance'!F:F,"Pas de correspondance")</f>
        <v>Pas de correspondance</v>
      </c>
      <c r="K701" t="str">
        <f>_xlfn.XLOOKUP(Logs__2[[#This Row],[Cell_ID]],'Registre_Maintenance'!B:B,'Registre_Maintenance'!G:G,"Pas de correspondance")</f>
        <v>Pas de correspondance</v>
      </c>
    </row>
    <row r="702" spans="1:11" x14ac:dyDescent="0.25">
      <c r="A702" s="1" t="s">
        <v>1317</v>
      </c>
      <c r="B702" s="2">
        <v>45216</v>
      </c>
      <c r="C702" s="3">
        <v>0.97013888888888888</v>
      </c>
      <c r="D702" s="1" t="s">
        <v>1131</v>
      </c>
      <c r="E702">
        <v>13</v>
      </c>
      <c r="F702" s="1" t="s">
        <v>811</v>
      </c>
      <c r="G702" t="str">
        <f>_xlfn.XLOOKUP(Logs__2[[#This Row],[Cell_ID]],'Registre_Maintenance'!B:B,'Registre_Maintenance'!C:C,"Pas de correspondance")</f>
        <v>Bas-Uele</v>
      </c>
      <c r="H702">
        <f>_xlfn.XLOOKUP(Logs__2[[#This Row],[Cell_ID]],'Registre_Maintenance'!B:B,'Registre_Maintenance'!D:D,"Pas de correspondance")</f>
        <v>-6.4197189999999997</v>
      </c>
      <c r="I702">
        <f>_xlfn.XLOOKUP(Logs__2[[#This Row],[Cell_ID]],'Registre_Maintenance'!B:B,'Registre_Maintenance'!E:E,"Pas de correspondance")</f>
        <v>22.287264</v>
      </c>
      <c r="J702" t="str">
        <f>_xlfn.XLOOKUP(Logs__2[[#This Row],[Cell_ID]],'Registre_Maintenance'!B:B,'Registre_Maintenance'!F:F,"Pas de correspondance")</f>
        <v>3G</v>
      </c>
      <c r="K702" t="str">
        <f>_xlfn.XLOOKUP(Logs__2[[#This Row],[Cell_ID]],'Registre_Maintenance'!B:B,'Registre_Maintenance'!G:G,"Pas de correspondance")</f>
        <v>Ericsson</v>
      </c>
    </row>
    <row r="703" spans="1:11" hidden="1" x14ac:dyDescent="0.25">
      <c r="A703" s="1" t="s">
        <v>1317</v>
      </c>
      <c r="B703" s="2">
        <v>45222</v>
      </c>
      <c r="C703" s="3">
        <v>0.47847222222222224</v>
      </c>
      <c r="D703" s="1" t="s">
        <v>833</v>
      </c>
      <c r="E703">
        <v>72</v>
      </c>
      <c r="F703" s="1" t="s">
        <v>809</v>
      </c>
      <c r="G703" t="str">
        <f>_xlfn.XLOOKUP(Logs__2[[#This Row],[Cell_ID]],'Registre_Maintenance'!B:B,'Registre_Maintenance'!C:C,"Pas de correspondance")</f>
        <v>Pas de correspondance</v>
      </c>
      <c r="H703" t="str">
        <f>_xlfn.XLOOKUP(Logs__2[[#This Row],[Cell_ID]],'Registre_Maintenance'!B:B,'Registre_Maintenance'!D:D,"Pas de correspondance")</f>
        <v>Pas de correspondance</v>
      </c>
      <c r="I703" t="str">
        <f>_xlfn.XLOOKUP(Logs__2[[#This Row],[Cell_ID]],'Registre_Maintenance'!B:B,'Registre_Maintenance'!E:E,"Pas de correspondance")</f>
        <v>Pas de correspondance</v>
      </c>
      <c r="J703" t="str">
        <f>_xlfn.XLOOKUP(Logs__2[[#This Row],[Cell_ID]],'Registre_Maintenance'!B:B,'Registre_Maintenance'!F:F,"Pas de correspondance")</f>
        <v>Pas de correspondance</v>
      </c>
      <c r="K703" t="str">
        <f>_xlfn.XLOOKUP(Logs__2[[#This Row],[Cell_ID]],'Registre_Maintenance'!B:B,'Registre_Maintenance'!G:G,"Pas de correspondance")</f>
        <v>Pas de correspondance</v>
      </c>
    </row>
    <row r="704" spans="1:11" x14ac:dyDescent="0.25">
      <c r="A704" s="1" t="s">
        <v>1317</v>
      </c>
      <c r="B704" s="2">
        <v>45230</v>
      </c>
      <c r="C704" s="3">
        <v>0.63888888888888884</v>
      </c>
      <c r="D704" s="1" t="s">
        <v>1318</v>
      </c>
      <c r="E704">
        <v>77</v>
      </c>
      <c r="F704" s="1" t="s">
        <v>809</v>
      </c>
      <c r="G704" t="str">
        <f>_xlfn.XLOOKUP(Logs__2[[#This Row],[Cell_ID]],'Registre_Maintenance'!B:B,'Registre_Maintenance'!C:C,"Pas de correspondance")</f>
        <v>Kinshasa</v>
      </c>
      <c r="H704">
        <f>_xlfn.XLOOKUP(Logs__2[[#This Row],[Cell_ID]],'Registre_Maintenance'!B:B,'Registre_Maintenance'!D:D,"Pas de correspondance")</f>
        <v>-0.57104900000000003</v>
      </c>
      <c r="I704">
        <f>_xlfn.XLOOKUP(Logs__2[[#This Row],[Cell_ID]],'Registre_Maintenance'!B:B,'Registre_Maintenance'!E:E,"Pas de correspondance")</f>
        <v>15.317663</v>
      </c>
      <c r="J704" t="str">
        <f>_xlfn.XLOOKUP(Logs__2[[#This Row],[Cell_ID]],'Registre_Maintenance'!B:B,'Registre_Maintenance'!F:F,"Pas de correspondance")</f>
        <v>5G</v>
      </c>
      <c r="K704" t="str">
        <f>_xlfn.XLOOKUP(Logs__2[[#This Row],[Cell_ID]],'Registre_Maintenance'!B:B,'Registre_Maintenance'!G:G,"Pas de correspondance")</f>
        <v>Nokia</v>
      </c>
    </row>
    <row r="705" spans="1:11" hidden="1" x14ac:dyDescent="0.25">
      <c r="A705" s="1" t="s">
        <v>1317</v>
      </c>
      <c r="B705" s="2">
        <v>45218</v>
      </c>
      <c r="C705" s="3">
        <v>3.8194444444444448E-2</v>
      </c>
      <c r="D705" s="1" t="s">
        <v>883</v>
      </c>
      <c r="E705">
        <v>6</v>
      </c>
      <c r="F705" s="1" t="s">
        <v>806</v>
      </c>
      <c r="G705" t="str">
        <f>_xlfn.XLOOKUP(Logs__2[[#This Row],[Cell_ID]],'Registre_Maintenance'!B:B,'Registre_Maintenance'!C:C,"Pas de correspondance")</f>
        <v>Pas de correspondance</v>
      </c>
      <c r="H705" t="str">
        <f>_xlfn.XLOOKUP(Logs__2[[#This Row],[Cell_ID]],'Registre_Maintenance'!B:B,'Registre_Maintenance'!D:D,"Pas de correspondance")</f>
        <v>Pas de correspondance</v>
      </c>
      <c r="I705" t="str">
        <f>_xlfn.XLOOKUP(Logs__2[[#This Row],[Cell_ID]],'Registre_Maintenance'!B:B,'Registre_Maintenance'!E:E,"Pas de correspondance")</f>
        <v>Pas de correspondance</v>
      </c>
      <c r="J705" t="str">
        <f>_xlfn.XLOOKUP(Logs__2[[#This Row],[Cell_ID]],'Registre_Maintenance'!B:B,'Registre_Maintenance'!F:F,"Pas de correspondance")</f>
        <v>Pas de correspondance</v>
      </c>
      <c r="K705" t="str">
        <f>_xlfn.XLOOKUP(Logs__2[[#This Row],[Cell_ID]],'Registre_Maintenance'!B:B,'Registre_Maintenance'!G:G,"Pas de correspondance")</f>
        <v>Pas de correspondance</v>
      </c>
    </row>
    <row r="706" spans="1:11" hidden="1" x14ac:dyDescent="0.25">
      <c r="A706" s="1" t="s">
        <v>1317</v>
      </c>
      <c r="B706" s="2">
        <v>45224</v>
      </c>
      <c r="C706" s="3">
        <v>0.96180555555555558</v>
      </c>
      <c r="D706" s="1" t="s">
        <v>1281</v>
      </c>
      <c r="E706">
        <v>83</v>
      </c>
      <c r="F706" s="1" t="s">
        <v>811</v>
      </c>
      <c r="G706" t="str">
        <f>_xlfn.XLOOKUP(Logs__2[[#This Row],[Cell_ID]],'Registre_Maintenance'!B:B,'Registre_Maintenance'!C:C,"Pas de correspondance")</f>
        <v>Pas de correspondance</v>
      </c>
      <c r="H706" t="str">
        <f>_xlfn.XLOOKUP(Logs__2[[#This Row],[Cell_ID]],'Registre_Maintenance'!B:B,'Registre_Maintenance'!D:D,"Pas de correspondance")</f>
        <v>Pas de correspondance</v>
      </c>
      <c r="I706" t="str">
        <f>_xlfn.XLOOKUP(Logs__2[[#This Row],[Cell_ID]],'Registre_Maintenance'!B:B,'Registre_Maintenance'!E:E,"Pas de correspondance")</f>
        <v>Pas de correspondance</v>
      </c>
      <c r="J706" t="str">
        <f>_xlfn.XLOOKUP(Logs__2[[#This Row],[Cell_ID]],'Registre_Maintenance'!B:B,'Registre_Maintenance'!F:F,"Pas de correspondance")</f>
        <v>Pas de correspondance</v>
      </c>
      <c r="K706" t="str">
        <f>_xlfn.XLOOKUP(Logs__2[[#This Row],[Cell_ID]],'Registre_Maintenance'!B:B,'Registre_Maintenance'!G:G,"Pas de correspondance")</f>
        <v>Pas de correspondance</v>
      </c>
    </row>
    <row r="707" spans="1:11" x14ac:dyDescent="0.25">
      <c r="A707" s="1" t="s">
        <v>1317</v>
      </c>
      <c r="B707" s="2">
        <v>45223</v>
      </c>
      <c r="C707" s="3">
        <v>0.61111111111111116</v>
      </c>
      <c r="D707" s="1" t="s">
        <v>1268</v>
      </c>
      <c r="E707">
        <v>88</v>
      </c>
      <c r="F707" s="1" t="s">
        <v>806</v>
      </c>
      <c r="G707" t="str">
        <f>_xlfn.XLOOKUP(Logs__2[[#This Row],[Cell_ID]],'Registre_Maintenance'!B:B,'Registre_Maintenance'!C:C,"Pas de correspondance")</f>
        <v>Lualaba</v>
      </c>
      <c r="H707">
        <f>_xlfn.XLOOKUP(Logs__2[[#This Row],[Cell_ID]],'Registre_Maintenance'!B:B,'Registre_Maintenance'!D:D,"Pas de correspondance")</f>
        <v>-8.0301989999999996</v>
      </c>
      <c r="I707">
        <f>_xlfn.XLOOKUP(Logs__2[[#This Row],[Cell_ID]],'Registre_Maintenance'!B:B,'Registre_Maintenance'!E:E,"Pas de correspondance")</f>
        <v>24.122495000000001</v>
      </c>
      <c r="J707" t="str">
        <f>_xlfn.XLOOKUP(Logs__2[[#This Row],[Cell_ID]],'Registre_Maintenance'!B:B,'Registre_Maintenance'!F:F,"Pas de correspondance")</f>
        <v>5G</v>
      </c>
      <c r="K707" t="str">
        <f>_xlfn.XLOOKUP(Logs__2[[#This Row],[Cell_ID]],'Registre_Maintenance'!B:B,'Registre_Maintenance'!G:G,"Pas de correspondance")</f>
        <v>ZTE</v>
      </c>
    </row>
    <row r="708" spans="1:11" hidden="1" x14ac:dyDescent="0.25">
      <c r="A708" s="1" t="s">
        <v>1317</v>
      </c>
      <c r="B708" s="2">
        <v>45221</v>
      </c>
      <c r="C708" s="3">
        <v>0.93194444444444446</v>
      </c>
      <c r="D708" s="1" t="s">
        <v>1319</v>
      </c>
      <c r="E708">
        <v>26</v>
      </c>
      <c r="F708" s="1" t="s">
        <v>806</v>
      </c>
      <c r="G708" t="str">
        <f>_xlfn.XLOOKUP(Logs__2[[#This Row],[Cell_ID]],'Registre_Maintenance'!B:B,'Registre_Maintenance'!C:C,"Pas de correspondance")</f>
        <v>Pas de correspondance</v>
      </c>
      <c r="H708" t="str">
        <f>_xlfn.XLOOKUP(Logs__2[[#This Row],[Cell_ID]],'Registre_Maintenance'!B:B,'Registre_Maintenance'!D:D,"Pas de correspondance")</f>
        <v>Pas de correspondance</v>
      </c>
      <c r="I708" t="str">
        <f>_xlfn.XLOOKUP(Logs__2[[#This Row],[Cell_ID]],'Registre_Maintenance'!B:B,'Registre_Maintenance'!E:E,"Pas de correspondance")</f>
        <v>Pas de correspondance</v>
      </c>
      <c r="J708" t="str">
        <f>_xlfn.XLOOKUP(Logs__2[[#This Row],[Cell_ID]],'Registre_Maintenance'!B:B,'Registre_Maintenance'!F:F,"Pas de correspondance")</f>
        <v>Pas de correspondance</v>
      </c>
      <c r="K708" t="str">
        <f>_xlfn.XLOOKUP(Logs__2[[#This Row],[Cell_ID]],'Registre_Maintenance'!B:B,'Registre_Maintenance'!G:G,"Pas de correspondance")</f>
        <v>Pas de correspondance</v>
      </c>
    </row>
    <row r="709" spans="1:11" hidden="1" x14ac:dyDescent="0.25">
      <c r="A709" s="1" t="s">
        <v>1317</v>
      </c>
      <c r="B709" s="2">
        <v>45227</v>
      </c>
      <c r="C709" s="3">
        <v>0.11805555555555555</v>
      </c>
      <c r="D709" s="1" t="s">
        <v>1320</v>
      </c>
      <c r="E709">
        <v>61</v>
      </c>
      <c r="F709" s="1" t="s">
        <v>809</v>
      </c>
      <c r="G709" t="str">
        <f>_xlfn.XLOOKUP(Logs__2[[#This Row],[Cell_ID]],'Registre_Maintenance'!B:B,'Registre_Maintenance'!C:C,"Pas de correspondance")</f>
        <v>Pas de correspondance</v>
      </c>
      <c r="H709" t="str">
        <f>_xlfn.XLOOKUP(Logs__2[[#This Row],[Cell_ID]],'Registre_Maintenance'!B:B,'Registre_Maintenance'!D:D,"Pas de correspondance")</f>
        <v>Pas de correspondance</v>
      </c>
      <c r="I709" t="str">
        <f>_xlfn.XLOOKUP(Logs__2[[#This Row],[Cell_ID]],'Registre_Maintenance'!B:B,'Registre_Maintenance'!E:E,"Pas de correspondance")</f>
        <v>Pas de correspondance</v>
      </c>
      <c r="J709" t="str">
        <f>_xlfn.XLOOKUP(Logs__2[[#This Row],[Cell_ID]],'Registre_Maintenance'!B:B,'Registre_Maintenance'!F:F,"Pas de correspondance")</f>
        <v>Pas de correspondance</v>
      </c>
      <c r="K709" t="str">
        <f>_xlfn.XLOOKUP(Logs__2[[#This Row],[Cell_ID]],'Registre_Maintenance'!B:B,'Registre_Maintenance'!G:G,"Pas de correspondance")</f>
        <v>Pas de correspondance</v>
      </c>
    </row>
    <row r="710" spans="1:11" hidden="1" x14ac:dyDescent="0.25">
      <c r="A710" s="1" t="s">
        <v>1317</v>
      </c>
      <c r="B710" s="2">
        <v>45217</v>
      </c>
      <c r="C710" s="3">
        <v>0.50902777777777775</v>
      </c>
      <c r="D710" s="1" t="s">
        <v>812</v>
      </c>
      <c r="E710">
        <v>49</v>
      </c>
      <c r="F710" s="1" t="s">
        <v>806</v>
      </c>
      <c r="G710" t="str">
        <f>_xlfn.XLOOKUP(Logs__2[[#This Row],[Cell_ID]],'Registre_Maintenance'!B:B,'Registre_Maintenance'!C:C,"Pas de correspondance")</f>
        <v>Pas de correspondance</v>
      </c>
      <c r="H710" t="str">
        <f>_xlfn.XLOOKUP(Logs__2[[#This Row],[Cell_ID]],'Registre_Maintenance'!B:B,'Registre_Maintenance'!D:D,"Pas de correspondance")</f>
        <v>Pas de correspondance</v>
      </c>
      <c r="I710" t="str">
        <f>_xlfn.XLOOKUP(Logs__2[[#This Row],[Cell_ID]],'Registre_Maintenance'!B:B,'Registre_Maintenance'!E:E,"Pas de correspondance")</f>
        <v>Pas de correspondance</v>
      </c>
      <c r="J710" t="str">
        <f>_xlfn.XLOOKUP(Logs__2[[#This Row],[Cell_ID]],'Registre_Maintenance'!B:B,'Registre_Maintenance'!F:F,"Pas de correspondance")</f>
        <v>Pas de correspondance</v>
      </c>
      <c r="K710" t="str">
        <f>_xlfn.XLOOKUP(Logs__2[[#This Row],[Cell_ID]],'Registre_Maintenance'!B:B,'Registre_Maintenance'!G:G,"Pas de correspondance")</f>
        <v>Pas de correspondance</v>
      </c>
    </row>
    <row r="711" spans="1:11" hidden="1" x14ac:dyDescent="0.25">
      <c r="A711" s="1" t="s">
        <v>1317</v>
      </c>
      <c r="B711" s="2">
        <v>45230</v>
      </c>
      <c r="C711" s="3">
        <v>0.57777777777777772</v>
      </c>
      <c r="D711" s="1" t="s">
        <v>1321</v>
      </c>
      <c r="E711">
        <v>97</v>
      </c>
      <c r="F711" s="1" t="s">
        <v>806</v>
      </c>
      <c r="G711" t="str">
        <f>_xlfn.XLOOKUP(Logs__2[[#This Row],[Cell_ID]],'Registre_Maintenance'!B:B,'Registre_Maintenance'!C:C,"Pas de correspondance")</f>
        <v>Pas de correspondance</v>
      </c>
      <c r="H711" t="str">
        <f>_xlfn.XLOOKUP(Logs__2[[#This Row],[Cell_ID]],'Registre_Maintenance'!B:B,'Registre_Maintenance'!D:D,"Pas de correspondance")</f>
        <v>Pas de correspondance</v>
      </c>
      <c r="I711" t="str">
        <f>_xlfn.XLOOKUP(Logs__2[[#This Row],[Cell_ID]],'Registre_Maintenance'!B:B,'Registre_Maintenance'!E:E,"Pas de correspondance")</f>
        <v>Pas de correspondance</v>
      </c>
      <c r="J711" t="str">
        <f>_xlfn.XLOOKUP(Logs__2[[#This Row],[Cell_ID]],'Registre_Maintenance'!B:B,'Registre_Maintenance'!F:F,"Pas de correspondance")</f>
        <v>Pas de correspondance</v>
      </c>
      <c r="K711" t="str">
        <f>_xlfn.XLOOKUP(Logs__2[[#This Row],[Cell_ID]],'Registre_Maintenance'!B:B,'Registre_Maintenance'!G:G,"Pas de correspondance")</f>
        <v>Pas de correspondance</v>
      </c>
    </row>
    <row r="712" spans="1:11" x14ac:dyDescent="0.25">
      <c r="A712" s="1" t="s">
        <v>1317</v>
      </c>
      <c r="B712" s="2">
        <v>45206</v>
      </c>
      <c r="C712" s="3">
        <v>0.63680555555555551</v>
      </c>
      <c r="D712" s="1" t="s">
        <v>1322</v>
      </c>
      <c r="E712">
        <v>32</v>
      </c>
      <c r="F712" s="1" t="s">
        <v>811</v>
      </c>
      <c r="G712" t="str">
        <f>_xlfn.XLOOKUP(Logs__2[[#This Row],[Cell_ID]],'Registre_Maintenance'!B:B,'Registre_Maintenance'!C:C,"Pas de correspondance")</f>
        <v>Sud-Kivu</v>
      </c>
      <c r="H712">
        <f>_xlfn.XLOOKUP(Logs__2[[#This Row],[Cell_ID]],'Registre_Maintenance'!B:B,'Registre_Maintenance'!D:D,"Pas de correspondance")</f>
        <v>-11.514817000000001</v>
      </c>
      <c r="I712">
        <f>_xlfn.XLOOKUP(Logs__2[[#This Row],[Cell_ID]],'Registre_Maintenance'!B:B,'Registre_Maintenance'!E:E,"Pas de correspondance")</f>
        <v>24.891375</v>
      </c>
      <c r="J712" t="str">
        <f>_xlfn.XLOOKUP(Logs__2[[#This Row],[Cell_ID]],'Registre_Maintenance'!B:B,'Registre_Maintenance'!F:F,"Pas de correspondance")</f>
        <v>3G</v>
      </c>
      <c r="K712" t="str">
        <f>_xlfn.XLOOKUP(Logs__2[[#This Row],[Cell_ID]],'Registre_Maintenance'!B:B,'Registre_Maintenance'!G:G,"Pas de correspondance")</f>
        <v>Nokia</v>
      </c>
    </row>
    <row r="713" spans="1:11" x14ac:dyDescent="0.25">
      <c r="A713" s="1" t="s">
        <v>1317</v>
      </c>
      <c r="B713" s="2">
        <v>45210</v>
      </c>
      <c r="C713" s="3">
        <v>0.38958333333333334</v>
      </c>
      <c r="D713" s="1" t="s">
        <v>993</v>
      </c>
      <c r="E713">
        <v>85</v>
      </c>
      <c r="F713" s="1" t="s">
        <v>806</v>
      </c>
      <c r="G713" t="str">
        <f>_xlfn.XLOOKUP(Logs__2[[#This Row],[Cell_ID]],'Registre_Maintenance'!B:B,'Registre_Maintenance'!C:C,"Pas de correspondance")</f>
        <v>Maniema</v>
      </c>
      <c r="H713">
        <f>_xlfn.XLOOKUP(Logs__2[[#This Row],[Cell_ID]],'Registre_Maintenance'!B:B,'Registre_Maintenance'!D:D,"Pas de correspondance")</f>
        <v>-4.2645619999999997</v>
      </c>
      <c r="I713">
        <f>_xlfn.XLOOKUP(Logs__2[[#This Row],[Cell_ID]],'Registre_Maintenance'!B:B,'Registre_Maintenance'!E:E,"Pas de correspondance")</f>
        <v>18.960726000000001</v>
      </c>
      <c r="J713" t="str">
        <f>_xlfn.XLOOKUP(Logs__2[[#This Row],[Cell_ID]],'Registre_Maintenance'!B:B,'Registre_Maintenance'!F:F,"Pas de correspondance")</f>
        <v>4G</v>
      </c>
      <c r="K713" t="str">
        <f>_xlfn.XLOOKUP(Logs__2[[#This Row],[Cell_ID]],'Registre_Maintenance'!B:B,'Registre_Maintenance'!G:G,"Pas de correspondance")</f>
        <v>Huawei</v>
      </c>
    </row>
    <row r="714" spans="1:11" x14ac:dyDescent="0.25">
      <c r="A714" s="1" t="s">
        <v>1317</v>
      </c>
      <c r="B714" s="2">
        <v>45217</v>
      </c>
      <c r="C714" s="3">
        <v>0.75555555555555554</v>
      </c>
      <c r="D714" s="1" t="s">
        <v>1323</v>
      </c>
      <c r="E714">
        <v>100</v>
      </c>
      <c r="F714" s="1" t="s">
        <v>806</v>
      </c>
      <c r="G714" t="str">
        <f>_xlfn.XLOOKUP(Logs__2[[#This Row],[Cell_ID]],'Registre_Maintenance'!B:B,'Registre_Maintenance'!C:C,"Pas de correspondance")</f>
        <v>Haut-Uele</v>
      </c>
      <c r="H714">
        <f>_xlfn.XLOOKUP(Logs__2[[#This Row],[Cell_ID]],'Registre_Maintenance'!B:B,'Registre_Maintenance'!D:D,"Pas de correspondance")</f>
        <v>-3.003879</v>
      </c>
      <c r="I714">
        <f>_xlfn.XLOOKUP(Logs__2[[#This Row],[Cell_ID]],'Registre_Maintenance'!B:B,'Registre_Maintenance'!E:E,"Pas de correspondance")</f>
        <v>23.633893</v>
      </c>
      <c r="J714" t="str">
        <f>_xlfn.XLOOKUP(Logs__2[[#This Row],[Cell_ID]],'Registre_Maintenance'!B:B,'Registre_Maintenance'!F:F,"Pas de correspondance")</f>
        <v>5G</v>
      </c>
      <c r="K714" t="str">
        <f>_xlfn.XLOOKUP(Logs__2[[#This Row],[Cell_ID]],'Registre_Maintenance'!B:B,'Registre_Maintenance'!G:G,"Pas de correspondance")</f>
        <v>Ericsson</v>
      </c>
    </row>
    <row r="715" spans="1:11" hidden="1" x14ac:dyDescent="0.25">
      <c r="A715" s="1" t="s">
        <v>1317</v>
      </c>
      <c r="B715" s="2">
        <v>45218</v>
      </c>
      <c r="C715" s="3">
        <v>0.65972222222222221</v>
      </c>
      <c r="D715" s="1" t="s">
        <v>1324</v>
      </c>
      <c r="E715">
        <v>24</v>
      </c>
      <c r="F715" s="1" t="s">
        <v>806</v>
      </c>
      <c r="G715" t="str">
        <f>_xlfn.XLOOKUP(Logs__2[[#This Row],[Cell_ID]],'Registre_Maintenance'!B:B,'Registre_Maintenance'!C:C,"Pas de correspondance")</f>
        <v>Pas de correspondance</v>
      </c>
      <c r="H715" t="str">
        <f>_xlfn.XLOOKUP(Logs__2[[#This Row],[Cell_ID]],'Registre_Maintenance'!B:B,'Registre_Maintenance'!D:D,"Pas de correspondance")</f>
        <v>Pas de correspondance</v>
      </c>
      <c r="I715" t="str">
        <f>_xlfn.XLOOKUP(Logs__2[[#This Row],[Cell_ID]],'Registre_Maintenance'!B:B,'Registre_Maintenance'!E:E,"Pas de correspondance")</f>
        <v>Pas de correspondance</v>
      </c>
      <c r="J715" t="str">
        <f>_xlfn.XLOOKUP(Logs__2[[#This Row],[Cell_ID]],'Registre_Maintenance'!B:B,'Registre_Maintenance'!F:F,"Pas de correspondance")</f>
        <v>Pas de correspondance</v>
      </c>
      <c r="K715" t="str">
        <f>_xlfn.XLOOKUP(Logs__2[[#This Row],[Cell_ID]],'Registre_Maintenance'!B:B,'Registre_Maintenance'!G:G,"Pas de correspondance")</f>
        <v>Pas de correspondance</v>
      </c>
    </row>
    <row r="716" spans="1:11" x14ac:dyDescent="0.25">
      <c r="A716" s="1" t="s">
        <v>1317</v>
      </c>
      <c r="B716" s="2">
        <v>45210</v>
      </c>
      <c r="C716" s="3">
        <v>0.90833333333333333</v>
      </c>
      <c r="D716" s="1" t="s">
        <v>1233</v>
      </c>
      <c r="E716">
        <v>57</v>
      </c>
      <c r="F716" s="1" t="s">
        <v>811</v>
      </c>
      <c r="G716" t="str">
        <f>_xlfn.XLOOKUP(Logs__2[[#This Row],[Cell_ID]],'Registre_Maintenance'!B:B,'Registre_Maintenance'!C:C,"Pas de correspondance")</f>
        <v>Nord-Ubangi</v>
      </c>
      <c r="H716">
        <f>_xlfn.XLOOKUP(Logs__2[[#This Row],[Cell_ID]],'Registre_Maintenance'!B:B,'Registre_Maintenance'!D:D,"Pas de correspondance")</f>
        <v>8.5490999999999998E-2</v>
      </c>
      <c r="I716">
        <f>_xlfn.XLOOKUP(Logs__2[[#This Row],[Cell_ID]],'Registre_Maintenance'!B:B,'Registre_Maintenance'!E:E,"Pas de correspondance")</f>
        <v>26.296129000000001</v>
      </c>
      <c r="J716" t="str">
        <f>_xlfn.XLOOKUP(Logs__2[[#This Row],[Cell_ID]],'Registre_Maintenance'!B:B,'Registre_Maintenance'!F:F,"Pas de correspondance")</f>
        <v>3G</v>
      </c>
      <c r="K716" t="str">
        <f>_xlfn.XLOOKUP(Logs__2[[#This Row],[Cell_ID]],'Registre_Maintenance'!B:B,'Registre_Maintenance'!G:G,"Pas de correspondance")</f>
        <v>ZTE</v>
      </c>
    </row>
    <row r="717" spans="1:11" hidden="1" x14ac:dyDescent="0.25">
      <c r="A717" s="1" t="s">
        <v>1317</v>
      </c>
      <c r="B717" s="2">
        <v>45201</v>
      </c>
      <c r="C717" s="3">
        <v>4.583333333333333E-2</v>
      </c>
      <c r="D717" s="1" t="s">
        <v>1034</v>
      </c>
      <c r="E717">
        <v>83</v>
      </c>
      <c r="F717" s="1" t="s">
        <v>809</v>
      </c>
      <c r="G717" t="str">
        <f>_xlfn.XLOOKUP(Logs__2[[#This Row],[Cell_ID]],'Registre_Maintenance'!B:B,'Registre_Maintenance'!C:C,"Pas de correspondance")</f>
        <v>Pas de correspondance</v>
      </c>
      <c r="H717" t="str">
        <f>_xlfn.XLOOKUP(Logs__2[[#This Row],[Cell_ID]],'Registre_Maintenance'!B:B,'Registre_Maintenance'!D:D,"Pas de correspondance")</f>
        <v>Pas de correspondance</v>
      </c>
      <c r="I717" t="str">
        <f>_xlfn.XLOOKUP(Logs__2[[#This Row],[Cell_ID]],'Registre_Maintenance'!B:B,'Registre_Maintenance'!E:E,"Pas de correspondance")</f>
        <v>Pas de correspondance</v>
      </c>
      <c r="J717" t="str">
        <f>_xlfn.XLOOKUP(Logs__2[[#This Row],[Cell_ID]],'Registre_Maintenance'!B:B,'Registre_Maintenance'!F:F,"Pas de correspondance")</f>
        <v>Pas de correspondance</v>
      </c>
      <c r="K717" t="str">
        <f>_xlfn.XLOOKUP(Logs__2[[#This Row],[Cell_ID]],'Registre_Maintenance'!B:B,'Registre_Maintenance'!G:G,"Pas de correspondance")</f>
        <v>Pas de correspondance</v>
      </c>
    </row>
    <row r="718" spans="1:11" x14ac:dyDescent="0.25">
      <c r="A718" s="1" t="s">
        <v>1317</v>
      </c>
      <c r="B718" s="2">
        <v>45220</v>
      </c>
      <c r="C718" s="3">
        <v>0.58402777777777781</v>
      </c>
      <c r="D718" s="1" t="s">
        <v>1325</v>
      </c>
      <c r="E718">
        <v>92</v>
      </c>
      <c r="F718" s="1" t="s">
        <v>811</v>
      </c>
      <c r="G718" t="str">
        <f>_xlfn.XLOOKUP(Logs__2[[#This Row],[Cell_ID]],'Registre_Maintenance'!B:B,'Registre_Maintenance'!C:C,"Pas de correspondance")</f>
        <v>Nord-Ubangi</v>
      </c>
      <c r="H718">
        <f>_xlfn.XLOOKUP(Logs__2[[#This Row],[Cell_ID]],'Registre_Maintenance'!B:B,'Registre_Maintenance'!D:D,"Pas de correspondance")</f>
        <v>-11.588665000000001</v>
      </c>
      <c r="I718">
        <f>_xlfn.XLOOKUP(Logs__2[[#This Row],[Cell_ID]],'Registre_Maintenance'!B:B,'Registre_Maintenance'!E:E,"Pas de correspondance")</f>
        <v>15.241552</v>
      </c>
      <c r="J718" t="str">
        <f>_xlfn.XLOOKUP(Logs__2[[#This Row],[Cell_ID]],'Registre_Maintenance'!B:B,'Registre_Maintenance'!F:F,"Pas de correspondance")</f>
        <v>4G</v>
      </c>
      <c r="K718" t="str">
        <f>_xlfn.XLOOKUP(Logs__2[[#This Row],[Cell_ID]],'Registre_Maintenance'!B:B,'Registre_Maintenance'!G:G,"Pas de correspondance")</f>
        <v>Nokia</v>
      </c>
    </row>
    <row r="719" spans="1:11" hidden="1" x14ac:dyDescent="0.25">
      <c r="A719" s="1" t="s">
        <v>1317</v>
      </c>
      <c r="B719" s="2">
        <v>45203</v>
      </c>
      <c r="C719" s="3">
        <v>0.22777777777777777</v>
      </c>
      <c r="D719" s="1" t="s">
        <v>1032</v>
      </c>
      <c r="E719">
        <v>61</v>
      </c>
      <c r="F719" s="1" t="s">
        <v>809</v>
      </c>
      <c r="G719" t="str">
        <f>_xlfn.XLOOKUP(Logs__2[[#This Row],[Cell_ID]],'Registre_Maintenance'!B:B,'Registre_Maintenance'!C:C,"Pas de correspondance")</f>
        <v>Pas de correspondance</v>
      </c>
      <c r="H719" t="str">
        <f>_xlfn.XLOOKUP(Logs__2[[#This Row],[Cell_ID]],'Registre_Maintenance'!B:B,'Registre_Maintenance'!D:D,"Pas de correspondance")</f>
        <v>Pas de correspondance</v>
      </c>
      <c r="I719" t="str">
        <f>_xlfn.XLOOKUP(Logs__2[[#This Row],[Cell_ID]],'Registre_Maintenance'!B:B,'Registre_Maintenance'!E:E,"Pas de correspondance")</f>
        <v>Pas de correspondance</v>
      </c>
      <c r="J719" t="str">
        <f>_xlfn.XLOOKUP(Logs__2[[#This Row],[Cell_ID]],'Registre_Maintenance'!B:B,'Registre_Maintenance'!F:F,"Pas de correspondance")</f>
        <v>Pas de correspondance</v>
      </c>
      <c r="K719" t="str">
        <f>_xlfn.XLOOKUP(Logs__2[[#This Row],[Cell_ID]],'Registre_Maintenance'!B:B,'Registre_Maintenance'!G:G,"Pas de correspondance")</f>
        <v>Pas de correspondance</v>
      </c>
    </row>
    <row r="720" spans="1:11" x14ac:dyDescent="0.25">
      <c r="A720" s="1" t="s">
        <v>1317</v>
      </c>
      <c r="B720" s="2">
        <v>45214</v>
      </c>
      <c r="C720" s="3">
        <v>1.8749999999999999E-2</v>
      </c>
      <c r="D720" s="1" t="s">
        <v>953</v>
      </c>
      <c r="E720">
        <v>115</v>
      </c>
      <c r="F720" s="1" t="s">
        <v>809</v>
      </c>
      <c r="G720" t="str">
        <f>_xlfn.XLOOKUP(Logs__2[[#This Row],[Cell_ID]],'Registre_Maintenance'!B:B,'Registre_Maintenance'!C:C,"Pas de correspondance")</f>
        <v>Nord-Ubangi</v>
      </c>
      <c r="H720">
        <f>_xlfn.XLOOKUP(Logs__2[[#This Row],[Cell_ID]],'Registre_Maintenance'!B:B,'Registre_Maintenance'!D:D,"Pas de correspondance")</f>
        <v>-1.342476</v>
      </c>
      <c r="I720">
        <f>_xlfn.XLOOKUP(Logs__2[[#This Row],[Cell_ID]],'Registre_Maintenance'!B:B,'Registre_Maintenance'!E:E,"Pas de correspondance")</f>
        <v>15.986086</v>
      </c>
      <c r="J720" t="str">
        <f>_xlfn.XLOOKUP(Logs__2[[#This Row],[Cell_ID]],'Registre_Maintenance'!B:B,'Registre_Maintenance'!F:F,"Pas de correspondance")</f>
        <v>4G</v>
      </c>
      <c r="K720" t="str">
        <f>_xlfn.XLOOKUP(Logs__2[[#This Row],[Cell_ID]],'Registre_Maintenance'!B:B,'Registre_Maintenance'!G:G,"Pas de correspondance")</f>
        <v>Ericsson</v>
      </c>
    </row>
    <row r="721" spans="1:11" hidden="1" x14ac:dyDescent="0.25">
      <c r="A721" s="1" t="s">
        <v>1317</v>
      </c>
      <c r="B721" s="2">
        <v>45206</v>
      </c>
      <c r="C721" s="3">
        <v>0.95694444444444449</v>
      </c>
      <c r="D721" s="1" t="s">
        <v>991</v>
      </c>
      <c r="E721">
        <v>32</v>
      </c>
      <c r="F721" s="1" t="s">
        <v>809</v>
      </c>
      <c r="G721" t="str">
        <f>_xlfn.XLOOKUP(Logs__2[[#This Row],[Cell_ID]],'Registre_Maintenance'!B:B,'Registre_Maintenance'!C:C,"Pas de correspondance")</f>
        <v>Pas de correspondance</v>
      </c>
      <c r="H721" t="str">
        <f>_xlfn.XLOOKUP(Logs__2[[#This Row],[Cell_ID]],'Registre_Maintenance'!B:B,'Registre_Maintenance'!D:D,"Pas de correspondance")</f>
        <v>Pas de correspondance</v>
      </c>
      <c r="I721" t="str">
        <f>_xlfn.XLOOKUP(Logs__2[[#This Row],[Cell_ID]],'Registre_Maintenance'!B:B,'Registre_Maintenance'!E:E,"Pas de correspondance")</f>
        <v>Pas de correspondance</v>
      </c>
      <c r="J721" t="str">
        <f>_xlfn.XLOOKUP(Logs__2[[#This Row],[Cell_ID]],'Registre_Maintenance'!B:B,'Registre_Maintenance'!F:F,"Pas de correspondance")</f>
        <v>Pas de correspondance</v>
      </c>
      <c r="K721" t="str">
        <f>_xlfn.XLOOKUP(Logs__2[[#This Row],[Cell_ID]],'Registre_Maintenance'!B:B,'Registre_Maintenance'!G:G,"Pas de correspondance")</f>
        <v>Pas de correspondance</v>
      </c>
    </row>
    <row r="722" spans="1:11" hidden="1" x14ac:dyDescent="0.25">
      <c r="A722" s="1" t="s">
        <v>1317</v>
      </c>
      <c r="B722" s="2">
        <v>45204</v>
      </c>
      <c r="C722" s="3">
        <v>0.84652777777777777</v>
      </c>
      <c r="D722" s="1" t="s">
        <v>1326</v>
      </c>
      <c r="E722">
        <v>16</v>
      </c>
      <c r="F722" s="1" t="s">
        <v>811</v>
      </c>
      <c r="G722" t="str">
        <f>_xlfn.XLOOKUP(Logs__2[[#This Row],[Cell_ID]],'Registre_Maintenance'!B:B,'Registre_Maintenance'!C:C,"Pas de correspondance")</f>
        <v>Pas de correspondance</v>
      </c>
      <c r="H722" t="str">
        <f>_xlfn.XLOOKUP(Logs__2[[#This Row],[Cell_ID]],'Registre_Maintenance'!B:B,'Registre_Maintenance'!D:D,"Pas de correspondance")</f>
        <v>Pas de correspondance</v>
      </c>
      <c r="I722" t="str">
        <f>_xlfn.XLOOKUP(Logs__2[[#This Row],[Cell_ID]],'Registre_Maintenance'!B:B,'Registre_Maintenance'!E:E,"Pas de correspondance")</f>
        <v>Pas de correspondance</v>
      </c>
      <c r="J722" t="str">
        <f>_xlfn.XLOOKUP(Logs__2[[#This Row],[Cell_ID]],'Registre_Maintenance'!B:B,'Registre_Maintenance'!F:F,"Pas de correspondance")</f>
        <v>Pas de correspondance</v>
      </c>
      <c r="K722" t="str">
        <f>_xlfn.XLOOKUP(Logs__2[[#This Row],[Cell_ID]],'Registre_Maintenance'!B:B,'Registre_Maintenance'!G:G,"Pas de correspondance")</f>
        <v>Pas de correspondance</v>
      </c>
    </row>
    <row r="723" spans="1:11" hidden="1" x14ac:dyDescent="0.25">
      <c r="A723" s="1" t="s">
        <v>1317</v>
      </c>
      <c r="B723" s="2">
        <v>45205</v>
      </c>
      <c r="C723" s="3">
        <v>0.33680555555555558</v>
      </c>
      <c r="D723" s="1" t="s">
        <v>1327</v>
      </c>
      <c r="E723">
        <v>119</v>
      </c>
      <c r="F723" s="1" t="s">
        <v>811</v>
      </c>
      <c r="G723" t="str">
        <f>_xlfn.XLOOKUP(Logs__2[[#This Row],[Cell_ID]],'Registre_Maintenance'!B:B,'Registre_Maintenance'!C:C,"Pas de correspondance")</f>
        <v>Pas de correspondance</v>
      </c>
      <c r="H723" t="str">
        <f>_xlfn.XLOOKUP(Logs__2[[#This Row],[Cell_ID]],'Registre_Maintenance'!B:B,'Registre_Maintenance'!D:D,"Pas de correspondance")</f>
        <v>Pas de correspondance</v>
      </c>
      <c r="I723" t="str">
        <f>_xlfn.XLOOKUP(Logs__2[[#This Row],[Cell_ID]],'Registre_Maintenance'!B:B,'Registre_Maintenance'!E:E,"Pas de correspondance")</f>
        <v>Pas de correspondance</v>
      </c>
      <c r="J723" t="str">
        <f>_xlfn.XLOOKUP(Logs__2[[#This Row],[Cell_ID]],'Registre_Maintenance'!B:B,'Registre_Maintenance'!F:F,"Pas de correspondance")</f>
        <v>Pas de correspondance</v>
      </c>
      <c r="K723" t="str">
        <f>_xlfn.XLOOKUP(Logs__2[[#This Row],[Cell_ID]],'Registre_Maintenance'!B:B,'Registre_Maintenance'!G:G,"Pas de correspondance")</f>
        <v>Pas de correspondance</v>
      </c>
    </row>
    <row r="724" spans="1:11" hidden="1" x14ac:dyDescent="0.25">
      <c r="A724" s="1" t="s">
        <v>1317</v>
      </c>
      <c r="B724" s="2">
        <v>45220</v>
      </c>
      <c r="C724" s="3">
        <v>0.46944444444444444</v>
      </c>
      <c r="D724" s="1" t="s">
        <v>1071</v>
      </c>
      <c r="E724">
        <v>17</v>
      </c>
      <c r="F724" s="1" t="s">
        <v>809</v>
      </c>
      <c r="G724" t="str">
        <f>_xlfn.XLOOKUP(Logs__2[[#This Row],[Cell_ID]],'Registre_Maintenance'!B:B,'Registre_Maintenance'!C:C,"Pas de correspondance")</f>
        <v>Pas de correspondance</v>
      </c>
      <c r="H724" t="str">
        <f>_xlfn.XLOOKUP(Logs__2[[#This Row],[Cell_ID]],'Registre_Maintenance'!B:B,'Registre_Maintenance'!D:D,"Pas de correspondance")</f>
        <v>Pas de correspondance</v>
      </c>
      <c r="I724" t="str">
        <f>_xlfn.XLOOKUP(Logs__2[[#This Row],[Cell_ID]],'Registre_Maintenance'!B:B,'Registre_Maintenance'!E:E,"Pas de correspondance")</f>
        <v>Pas de correspondance</v>
      </c>
      <c r="J724" t="str">
        <f>_xlfn.XLOOKUP(Logs__2[[#This Row],[Cell_ID]],'Registre_Maintenance'!B:B,'Registre_Maintenance'!F:F,"Pas de correspondance")</f>
        <v>Pas de correspondance</v>
      </c>
      <c r="K724" t="str">
        <f>_xlfn.XLOOKUP(Logs__2[[#This Row],[Cell_ID]],'Registre_Maintenance'!B:B,'Registre_Maintenance'!G:G,"Pas de correspondance")</f>
        <v>Pas de correspondance</v>
      </c>
    </row>
    <row r="725" spans="1:11" hidden="1" x14ac:dyDescent="0.25">
      <c r="A725" s="1" t="s">
        <v>1317</v>
      </c>
      <c r="B725" s="2">
        <v>45202</v>
      </c>
      <c r="C725" s="3">
        <v>0.48749999999999999</v>
      </c>
      <c r="D725" s="1" t="s">
        <v>1328</v>
      </c>
      <c r="E725">
        <v>22</v>
      </c>
      <c r="F725" s="1" t="s">
        <v>811</v>
      </c>
      <c r="G725" t="str">
        <f>_xlfn.XLOOKUP(Logs__2[[#This Row],[Cell_ID]],'Registre_Maintenance'!B:B,'Registre_Maintenance'!C:C,"Pas de correspondance")</f>
        <v>Pas de correspondance</v>
      </c>
      <c r="H725" t="str">
        <f>_xlfn.XLOOKUP(Logs__2[[#This Row],[Cell_ID]],'Registre_Maintenance'!B:B,'Registre_Maintenance'!D:D,"Pas de correspondance")</f>
        <v>Pas de correspondance</v>
      </c>
      <c r="I725" t="str">
        <f>_xlfn.XLOOKUP(Logs__2[[#This Row],[Cell_ID]],'Registre_Maintenance'!B:B,'Registre_Maintenance'!E:E,"Pas de correspondance")</f>
        <v>Pas de correspondance</v>
      </c>
      <c r="J725" t="str">
        <f>_xlfn.XLOOKUP(Logs__2[[#This Row],[Cell_ID]],'Registre_Maintenance'!B:B,'Registre_Maintenance'!F:F,"Pas de correspondance")</f>
        <v>Pas de correspondance</v>
      </c>
      <c r="K725" t="str">
        <f>_xlfn.XLOOKUP(Logs__2[[#This Row],[Cell_ID]],'Registre_Maintenance'!B:B,'Registre_Maintenance'!G:G,"Pas de correspondance")</f>
        <v>Pas de correspondance</v>
      </c>
    </row>
    <row r="726" spans="1:11" hidden="1" x14ac:dyDescent="0.25">
      <c r="A726" s="1" t="s">
        <v>1317</v>
      </c>
      <c r="B726" s="2">
        <v>45228</v>
      </c>
      <c r="C726" s="3">
        <v>0.84027777777777779</v>
      </c>
      <c r="D726" s="1" t="s">
        <v>848</v>
      </c>
      <c r="E726">
        <v>101</v>
      </c>
      <c r="F726" s="1" t="s">
        <v>806</v>
      </c>
      <c r="G726" t="str">
        <f>_xlfn.XLOOKUP(Logs__2[[#This Row],[Cell_ID]],'Registre_Maintenance'!B:B,'Registre_Maintenance'!C:C,"Pas de correspondance")</f>
        <v>Pas de correspondance</v>
      </c>
      <c r="H726" t="str">
        <f>_xlfn.XLOOKUP(Logs__2[[#This Row],[Cell_ID]],'Registre_Maintenance'!B:B,'Registre_Maintenance'!D:D,"Pas de correspondance")</f>
        <v>Pas de correspondance</v>
      </c>
      <c r="I726" t="str">
        <f>_xlfn.XLOOKUP(Logs__2[[#This Row],[Cell_ID]],'Registre_Maintenance'!B:B,'Registre_Maintenance'!E:E,"Pas de correspondance")</f>
        <v>Pas de correspondance</v>
      </c>
      <c r="J726" t="str">
        <f>_xlfn.XLOOKUP(Logs__2[[#This Row],[Cell_ID]],'Registre_Maintenance'!B:B,'Registre_Maintenance'!F:F,"Pas de correspondance")</f>
        <v>Pas de correspondance</v>
      </c>
      <c r="K726" t="str">
        <f>_xlfn.XLOOKUP(Logs__2[[#This Row],[Cell_ID]],'Registre_Maintenance'!B:B,'Registre_Maintenance'!G:G,"Pas de correspondance")</f>
        <v>Pas de correspondance</v>
      </c>
    </row>
    <row r="727" spans="1:11" x14ac:dyDescent="0.25">
      <c r="A727" s="1" t="s">
        <v>1317</v>
      </c>
      <c r="B727" s="2">
        <v>45201</v>
      </c>
      <c r="C727" s="3">
        <v>0.52777777777777779</v>
      </c>
      <c r="D727" s="1" t="s">
        <v>1329</v>
      </c>
      <c r="E727">
        <v>20</v>
      </c>
      <c r="F727" s="1" t="s">
        <v>809</v>
      </c>
      <c r="G727" t="str">
        <f>_xlfn.XLOOKUP(Logs__2[[#This Row],[Cell_ID]],'Registre_Maintenance'!B:B,'Registre_Maintenance'!C:C,"Pas de correspondance")</f>
        <v>Bas-Uele</v>
      </c>
      <c r="H727">
        <f>_xlfn.XLOOKUP(Logs__2[[#This Row],[Cell_ID]],'Registre_Maintenance'!B:B,'Registre_Maintenance'!D:D,"Pas de correspondance")</f>
        <v>0.45116099999999998</v>
      </c>
      <c r="I727">
        <f>_xlfn.XLOOKUP(Logs__2[[#This Row],[Cell_ID]],'Registre_Maintenance'!B:B,'Registre_Maintenance'!E:E,"Pas de correspondance")</f>
        <v>17.265761000000001</v>
      </c>
      <c r="J727" t="str">
        <f>_xlfn.XLOOKUP(Logs__2[[#This Row],[Cell_ID]],'Registre_Maintenance'!B:B,'Registre_Maintenance'!F:F,"Pas de correspondance")</f>
        <v>4G</v>
      </c>
      <c r="K727" t="str">
        <f>_xlfn.XLOOKUP(Logs__2[[#This Row],[Cell_ID]],'Registre_Maintenance'!B:B,'Registre_Maintenance'!G:G,"Pas de correspondance")</f>
        <v>Huawei</v>
      </c>
    </row>
    <row r="728" spans="1:11" hidden="1" x14ac:dyDescent="0.25">
      <c r="A728" s="1" t="s">
        <v>1317</v>
      </c>
      <c r="B728" s="2">
        <v>45209</v>
      </c>
      <c r="C728" s="3">
        <v>0.98888888888888893</v>
      </c>
      <c r="D728" s="1" t="s">
        <v>1330</v>
      </c>
      <c r="E728">
        <v>80</v>
      </c>
      <c r="F728" s="1" t="s">
        <v>809</v>
      </c>
      <c r="G728" t="str">
        <f>_xlfn.XLOOKUP(Logs__2[[#This Row],[Cell_ID]],'Registre_Maintenance'!B:B,'Registre_Maintenance'!C:C,"Pas de correspondance")</f>
        <v>Pas de correspondance</v>
      </c>
      <c r="H728" t="str">
        <f>_xlfn.XLOOKUP(Logs__2[[#This Row],[Cell_ID]],'Registre_Maintenance'!B:B,'Registre_Maintenance'!D:D,"Pas de correspondance")</f>
        <v>Pas de correspondance</v>
      </c>
      <c r="I728" t="str">
        <f>_xlfn.XLOOKUP(Logs__2[[#This Row],[Cell_ID]],'Registre_Maintenance'!B:B,'Registre_Maintenance'!E:E,"Pas de correspondance")</f>
        <v>Pas de correspondance</v>
      </c>
      <c r="J728" t="str">
        <f>_xlfn.XLOOKUP(Logs__2[[#This Row],[Cell_ID]],'Registre_Maintenance'!B:B,'Registre_Maintenance'!F:F,"Pas de correspondance")</f>
        <v>Pas de correspondance</v>
      </c>
      <c r="K728" t="str">
        <f>_xlfn.XLOOKUP(Logs__2[[#This Row],[Cell_ID]],'Registre_Maintenance'!B:B,'Registre_Maintenance'!G:G,"Pas de correspondance")</f>
        <v>Pas de correspondance</v>
      </c>
    </row>
    <row r="729" spans="1:11" hidden="1" x14ac:dyDescent="0.25">
      <c r="A729" s="1" t="s">
        <v>1317</v>
      </c>
      <c r="B729" s="2">
        <v>45224</v>
      </c>
      <c r="C729" s="3">
        <v>0.31041666666666667</v>
      </c>
      <c r="D729" s="1" t="s">
        <v>1237</v>
      </c>
      <c r="E729">
        <v>98</v>
      </c>
      <c r="F729" s="1" t="s">
        <v>809</v>
      </c>
      <c r="G729" t="str">
        <f>_xlfn.XLOOKUP(Logs__2[[#This Row],[Cell_ID]],'Registre_Maintenance'!B:B,'Registre_Maintenance'!C:C,"Pas de correspondance")</f>
        <v>Pas de correspondance</v>
      </c>
      <c r="H729" t="str">
        <f>_xlfn.XLOOKUP(Logs__2[[#This Row],[Cell_ID]],'Registre_Maintenance'!B:B,'Registre_Maintenance'!D:D,"Pas de correspondance")</f>
        <v>Pas de correspondance</v>
      </c>
      <c r="I729" t="str">
        <f>_xlfn.XLOOKUP(Logs__2[[#This Row],[Cell_ID]],'Registre_Maintenance'!B:B,'Registre_Maintenance'!E:E,"Pas de correspondance")</f>
        <v>Pas de correspondance</v>
      </c>
      <c r="J729" t="str">
        <f>_xlfn.XLOOKUP(Logs__2[[#This Row],[Cell_ID]],'Registre_Maintenance'!B:B,'Registre_Maintenance'!F:F,"Pas de correspondance")</f>
        <v>Pas de correspondance</v>
      </c>
      <c r="K729" t="str">
        <f>_xlfn.XLOOKUP(Logs__2[[#This Row],[Cell_ID]],'Registre_Maintenance'!B:B,'Registre_Maintenance'!G:G,"Pas de correspondance")</f>
        <v>Pas de correspondance</v>
      </c>
    </row>
    <row r="730" spans="1:11" hidden="1" x14ac:dyDescent="0.25">
      <c r="A730" s="1" t="s">
        <v>1317</v>
      </c>
      <c r="B730" s="2">
        <v>45220</v>
      </c>
      <c r="C730" s="3">
        <v>0.11458333333333333</v>
      </c>
      <c r="D730" s="1" t="s">
        <v>850</v>
      </c>
      <c r="E730">
        <v>54</v>
      </c>
      <c r="F730" s="1" t="s">
        <v>809</v>
      </c>
      <c r="G730" t="str">
        <f>_xlfn.XLOOKUP(Logs__2[[#This Row],[Cell_ID]],'Registre_Maintenance'!B:B,'Registre_Maintenance'!C:C,"Pas de correspondance")</f>
        <v>Pas de correspondance</v>
      </c>
      <c r="H730" t="str">
        <f>_xlfn.XLOOKUP(Logs__2[[#This Row],[Cell_ID]],'Registre_Maintenance'!B:B,'Registre_Maintenance'!D:D,"Pas de correspondance")</f>
        <v>Pas de correspondance</v>
      </c>
      <c r="I730" t="str">
        <f>_xlfn.XLOOKUP(Logs__2[[#This Row],[Cell_ID]],'Registre_Maintenance'!B:B,'Registre_Maintenance'!E:E,"Pas de correspondance")</f>
        <v>Pas de correspondance</v>
      </c>
      <c r="J730" t="str">
        <f>_xlfn.XLOOKUP(Logs__2[[#This Row],[Cell_ID]],'Registre_Maintenance'!B:B,'Registre_Maintenance'!F:F,"Pas de correspondance")</f>
        <v>Pas de correspondance</v>
      </c>
      <c r="K730" t="str">
        <f>_xlfn.XLOOKUP(Logs__2[[#This Row],[Cell_ID]],'Registre_Maintenance'!B:B,'Registre_Maintenance'!G:G,"Pas de correspondance")</f>
        <v>Pas de correspondance</v>
      </c>
    </row>
    <row r="731" spans="1:11" hidden="1" x14ac:dyDescent="0.25">
      <c r="A731" s="1" t="s">
        <v>1317</v>
      </c>
      <c r="B731" s="2">
        <v>45203</v>
      </c>
      <c r="C731" s="3">
        <v>9.0277777777777769E-3</v>
      </c>
      <c r="D731" s="1" t="s">
        <v>1292</v>
      </c>
      <c r="E731">
        <v>49</v>
      </c>
      <c r="F731" s="1" t="s">
        <v>806</v>
      </c>
      <c r="G731" t="str">
        <f>_xlfn.XLOOKUP(Logs__2[[#This Row],[Cell_ID]],'Registre_Maintenance'!B:B,'Registre_Maintenance'!C:C,"Pas de correspondance")</f>
        <v>Pas de correspondance</v>
      </c>
      <c r="H731" t="str">
        <f>_xlfn.XLOOKUP(Logs__2[[#This Row],[Cell_ID]],'Registre_Maintenance'!B:B,'Registre_Maintenance'!D:D,"Pas de correspondance")</f>
        <v>Pas de correspondance</v>
      </c>
      <c r="I731" t="str">
        <f>_xlfn.XLOOKUP(Logs__2[[#This Row],[Cell_ID]],'Registre_Maintenance'!B:B,'Registre_Maintenance'!E:E,"Pas de correspondance")</f>
        <v>Pas de correspondance</v>
      </c>
      <c r="J731" t="str">
        <f>_xlfn.XLOOKUP(Logs__2[[#This Row],[Cell_ID]],'Registre_Maintenance'!B:B,'Registre_Maintenance'!F:F,"Pas de correspondance")</f>
        <v>Pas de correspondance</v>
      </c>
      <c r="K731" t="str">
        <f>_xlfn.XLOOKUP(Logs__2[[#This Row],[Cell_ID]],'Registre_Maintenance'!B:B,'Registre_Maintenance'!G:G,"Pas de correspondance")</f>
        <v>Pas de correspondance</v>
      </c>
    </row>
    <row r="732" spans="1:11" hidden="1" x14ac:dyDescent="0.25">
      <c r="A732" s="1" t="s">
        <v>1317</v>
      </c>
      <c r="B732" s="2">
        <v>45215</v>
      </c>
      <c r="C732" s="3">
        <v>8.8888888888888892E-2</v>
      </c>
      <c r="D732" s="1" t="s">
        <v>1194</v>
      </c>
      <c r="E732">
        <v>59</v>
      </c>
      <c r="F732" s="1" t="s">
        <v>811</v>
      </c>
      <c r="G732" t="str">
        <f>_xlfn.XLOOKUP(Logs__2[[#This Row],[Cell_ID]],'Registre_Maintenance'!B:B,'Registre_Maintenance'!C:C,"Pas de correspondance")</f>
        <v>Pas de correspondance</v>
      </c>
      <c r="H732" t="str">
        <f>_xlfn.XLOOKUP(Logs__2[[#This Row],[Cell_ID]],'Registre_Maintenance'!B:B,'Registre_Maintenance'!D:D,"Pas de correspondance")</f>
        <v>Pas de correspondance</v>
      </c>
      <c r="I732" t="str">
        <f>_xlfn.XLOOKUP(Logs__2[[#This Row],[Cell_ID]],'Registre_Maintenance'!B:B,'Registre_Maintenance'!E:E,"Pas de correspondance")</f>
        <v>Pas de correspondance</v>
      </c>
      <c r="J732" t="str">
        <f>_xlfn.XLOOKUP(Logs__2[[#This Row],[Cell_ID]],'Registre_Maintenance'!B:B,'Registre_Maintenance'!F:F,"Pas de correspondance")</f>
        <v>Pas de correspondance</v>
      </c>
      <c r="K732" t="str">
        <f>_xlfn.XLOOKUP(Logs__2[[#This Row],[Cell_ID]],'Registre_Maintenance'!B:B,'Registre_Maintenance'!G:G,"Pas de correspondance")</f>
        <v>Pas de correspondance</v>
      </c>
    </row>
    <row r="733" spans="1:11" hidden="1" x14ac:dyDescent="0.25">
      <c r="A733" s="1" t="s">
        <v>1317</v>
      </c>
      <c r="B733" s="2">
        <v>45218</v>
      </c>
      <c r="C733" s="3">
        <v>0.31458333333333333</v>
      </c>
      <c r="D733" s="1" t="s">
        <v>1331</v>
      </c>
      <c r="E733">
        <v>45</v>
      </c>
      <c r="F733" s="1" t="s">
        <v>806</v>
      </c>
      <c r="G733" t="str">
        <f>_xlfn.XLOOKUP(Logs__2[[#This Row],[Cell_ID]],'Registre_Maintenance'!B:B,'Registre_Maintenance'!C:C,"Pas de correspondance")</f>
        <v>Pas de correspondance</v>
      </c>
      <c r="H733" t="str">
        <f>_xlfn.XLOOKUP(Logs__2[[#This Row],[Cell_ID]],'Registre_Maintenance'!B:B,'Registre_Maintenance'!D:D,"Pas de correspondance")</f>
        <v>Pas de correspondance</v>
      </c>
      <c r="I733" t="str">
        <f>_xlfn.XLOOKUP(Logs__2[[#This Row],[Cell_ID]],'Registre_Maintenance'!B:B,'Registre_Maintenance'!E:E,"Pas de correspondance")</f>
        <v>Pas de correspondance</v>
      </c>
      <c r="J733" t="str">
        <f>_xlfn.XLOOKUP(Logs__2[[#This Row],[Cell_ID]],'Registre_Maintenance'!B:B,'Registre_Maintenance'!F:F,"Pas de correspondance")</f>
        <v>Pas de correspondance</v>
      </c>
      <c r="K733" t="str">
        <f>_xlfn.XLOOKUP(Logs__2[[#This Row],[Cell_ID]],'Registre_Maintenance'!B:B,'Registre_Maintenance'!G:G,"Pas de correspondance")</f>
        <v>Pas de correspondance</v>
      </c>
    </row>
    <row r="734" spans="1:11" hidden="1" x14ac:dyDescent="0.25">
      <c r="A734" s="1" t="s">
        <v>1317</v>
      </c>
      <c r="B734" s="2">
        <v>45221</v>
      </c>
      <c r="C734" s="3">
        <v>0.58333333333333337</v>
      </c>
      <c r="D734" s="1" t="s">
        <v>1332</v>
      </c>
      <c r="E734">
        <v>106</v>
      </c>
      <c r="F734" s="1" t="s">
        <v>811</v>
      </c>
      <c r="G734" t="str">
        <f>_xlfn.XLOOKUP(Logs__2[[#This Row],[Cell_ID]],'Registre_Maintenance'!B:B,'Registre_Maintenance'!C:C,"Pas de correspondance")</f>
        <v>Pas de correspondance</v>
      </c>
      <c r="H734" t="str">
        <f>_xlfn.XLOOKUP(Logs__2[[#This Row],[Cell_ID]],'Registre_Maintenance'!B:B,'Registre_Maintenance'!D:D,"Pas de correspondance")</f>
        <v>Pas de correspondance</v>
      </c>
      <c r="I734" t="str">
        <f>_xlfn.XLOOKUP(Logs__2[[#This Row],[Cell_ID]],'Registre_Maintenance'!B:B,'Registre_Maintenance'!E:E,"Pas de correspondance")</f>
        <v>Pas de correspondance</v>
      </c>
      <c r="J734" t="str">
        <f>_xlfn.XLOOKUP(Logs__2[[#This Row],[Cell_ID]],'Registre_Maintenance'!B:B,'Registre_Maintenance'!F:F,"Pas de correspondance")</f>
        <v>Pas de correspondance</v>
      </c>
      <c r="K734" t="str">
        <f>_xlfn.XLOOKUP(Logs__2[[#This Row],[Cell_ID]],'Registre_Maintenance'!B:B,'Registre_Maintenance'!G:G,"Pas de correspondance")</f>
        <v>Pas de correspondance</v>
      </c>
    </row>
    <row r="735" spans="1:11" hidden="1" x14ac:dyDescent="0.25">
      <c r="A735" s="1" t="s">
        <v>1317</v>
      </c>
      <c r="B735" s="2">
        <v>45200</v>
      </c>
      <c r="C735" s="3">
        <v>0.93125000000000002</v>
      </c>
      <c r="D735" s="1" t="s">
        <v>1113</v>
      </c>
      <c r="E735">
        <v>22</v>
      </c>
      <c r="F735" s="1" t="s">
        <v>806</v>
      </c>
      <c r="G735" t="str">
        <f>_xlfn.XLOOKUP(Logs__2[[#This Row],[Cell_ID]],'Registre_Maintenance'!B:B,'Registre_Maintenance'!C:C,"Pas de correspondance")</f>
        <v>Pas de correspondance</v>
      </c>
      <c r="H735" t="str">
        <f>_xlfn.XLOOKUP(Logs__2[[#This Row],[Cell_ID]],'Registre_Maintenance'!B:B,'Registre_Maintenance'!D:D,"Pas de correspondance")</f>
        <v>Pas de correspondance</v>
      </c>
      <c r="I735" t="str">
        <f>_xlfn.XLOOKUP(Logs__2[[#This Row],[Cell_ID]],'Registre_Maintenance'!B:B,'Registre_Maintenance'!E:E,"Pas de correspondance")</f>
        <v>Pas de correspondance</v>
      </c>
      <c r="J735" t="str">
        <f>_xlfn.XLOOKUP(Logs__2[[#This Row],[Cell_ID]],'Registre_Maintenance'!B:B,'Registre_Maintenance'!F:F,"Pas de correspondance")</f>
        <v>Pas de correspondance</v>
      </c>
      <c r="K735" t="str">
        <f>_xlfn.XLOOKUP(Logs__2[[#This Row],[Cell_ID]],'Registre_Maintenance'!B:B,'Registre_Maintenance'!G:G,"Pas de correspondance")</f>
        <v>Pas de correspondance</v>
      </c>
    </row>
    <row r="736" spans="1:11" hidden="1" x14ac:dyDescent="0.25">
      <c r="A736" s="1" t="s">
        <v>1317</v>
      </c>
      <c r="B736" s="2">
        <v>45226</v>
      </c>
      <c r="C736" s="3">
        <v>0.16319444444444445</v>
      </c>
      <c r="D736" s="1" t="s">
        <v>1333</v>
      </c>
      <c r="E736">
        <v>36</v>
      </c>
      <c r="F736" s="1" t="s">
        <v>809</v>
      </c>
      <c r="G736" t="str">
        <f>_xlfn.XLOOKUP(Logs__2[[#This Row],[Cell_ID]],'Registre_Maintenance'!B:B,'Registre_Maintenance'!C:C,"Pas de correspondance")</f>
        <v>Pas de correspondance</v>
      </c>
      <c r="H736" t="str">
        <f>_xlfn.XLOOKUP(Logs__2[[#This Row],[Cell_ID]],'Registre_Maintenance'!B:B,'Registre_Maintenance'!D:D,"Pas de correspondance")</f>
        <v>Pas de correspondance</v>
      </c>
      <c r="I736" t="str">
        <f>_xlfn.XLOOKUP(Logs__2[[#This Row],[Cell_ID]],'Registre_Maintenance'!B:B,'Registre_Maintenance'!E:E,"Pas de correspondance")</f>
        <v>Pas de correspondance</v>
      </c>
      <c r="J736" t="str">
        <f>_xlfn.XLOOKUP(Logs__2[[#This Row],[Cell_ID]],'Registre_Maintenance'!B:B,'Registre_Maintenance'!F:F,"Pas de correspondance")</f>
        <v>Pas de correspondance</v>
      </c>
      <c r="K736" t="str">
        <f>_xlfn.XLOOKUP(Logs__2[[#This Row],[Cell_ID]],'Registre_Maintenance'!B:B,'Registre_Maintenance'!G:G,"Pas de correspondance")</f>
        <v>Pas de correspondance</v>
      </c>
    </row>
    <row r="737" spans="1:11" hidden="1" x14ac:dyDescent="0.25">
      <c r="A737" s="1" t="s">
        <v>1317</v>
      </c>
      <c r="B737" s="2">
        <v>45213</v>
      </c>
      <c r="C737" s="3">
        <v>0.92222222222222228</v>
      </c>
      <c r="D737" s="1" t="s">
        <v>1244</v>
      </c>
      <c r="E737">
        <v>40</v>
      </c>
      <c r="F737" s="1" t="s">
        <v>806</v>
      </c>
      <c r="G737" t="str">
        <f>_xlfn.XLOOKUP(Logs__2[[#This Row],[Cell_ID]],'Registre_Maintenance'!B:B,'Registre_Maintenance'!C:C,"Pas de correspondance")</f>
        <v>Pas de correspondance</v>
      </c>
      <c r="H737" t="str">
        <f>_xlfn.XLOOKUP(Logs__2[[#This Row],[Cell_ID]],'Registre_Maintenance'!B:B,'Registre_Maintenance'!D:D,"Pas de correspondance")</f>
        <v>Pas de correspondance</v>
      </c>
      <c r="I737" t="str">
        <f>_xlfn.XLOOKUP(Logs__2[[#This Row],[Cell_ID]],'Registre_Maintenance'!B:B,'Registre_Maintenance'!E:E,"Pas de correspondance")</f>
        <v>Pas de correspondance</v>
      </c>
      <c r="J737" t="str">
        <f>_xlfn.XLOOKUP(Logs__2[[#This Row],[Cell_ID]],'Registre_Maintenance'!B:B,'Registre_Maintenance'!F:F,"Pas de correspondance")</f>
        <v>Pas de correspondance</v>
      </c>
      <c r="K737" t="str">
        <f>_xlfn.XLOOKUP(Logs__2[[#This Row],[Cell_ID]],'Registre_Maintenance'!B:B,'Registre_Maintenance'!G:G,"Pas de correspondance")</f>
        <v>Pas de correspondance</v>
      </c>
    </row>
    <row r="738" spans="1:11" x14ac:dyDescent="0.25">
      <c r="A738" s="1" t="s">
        <v>1317</v>
      </c>
      <c r="B738" s="2">
        <v>45215</v>
      </c>
      <c r="C738" s="3">
        <v>9.3055555555555558E-2</v>
      </c>
      <c r="D738" s="1" t="s">
        <v>1334</v>
      </c>
      <c r="E738">
        <v>87</v>
      </c>
      <c r="F738" s="1" t="s">
        <v>806</v>
      </c>
      <c r="G738" t="str">
        <f>_xlfn.XLOOKUP(Logs__2[[#This Row],[Cell_ID]],'Registre_Maintenance'!B:B,'Registre_Maintenance'!C:C,"Pas de correspondance")</f>
        <v>Mongala</v>
      </c>
      <c r="H738">
        <f>_xlfn.XLOOKUP(Logs__2[[#This Row],[Cell_ID]],'Registre_Maintenance'!B:B,'Registre_Maintenance'!D:D,"Pas de correspondance")</f>
        <v>-7.6951369999999999</v>
      </c>
      <c r="I738">
        <f>_xlfn.XLOOKUP(Logs__2[[#This Row],[Cell_ID]],'Registre_Maintenance'!B:B,'Registre_Maintenance'!E:E,"Pas de correspondance")</f>
        <v>13.346605</v>
      </c>
      <c r="J738" t="str">
        <f>_xlfn.XLOOKUP(Logs__2[[#This Row],[Cell_ID]],'Registre_Maintenance'!B:B,'Registre_Maintenance'!F:F,"Pas de correspondance")</f>
        <v>4G</v>
      </c>
      <c r="K738" t="str">
        <f>_xlfn.XLOOKUP(Logs__2[[#This Row],[Cell_ID]],'Registre_Maintenance'!B:B,'Registre_Maintenance'!G:G,"Pas de correspondance")</f>
        <v>Ericsson</v>
      </c>
    </row>
    <row r="739" spans="1:11" x14ac:dyDescent="0.25">
      <c r="A739" s="1" t="s">
        <v>1317</v>
      </c>
      <c r="B739" s="2">
        <v>45212</v>
      </c>
      <c r="C739" s="3">
        <v>0.11527777777777778</v>
      </c>
      <c r="D739" s="1" t="s">
        <v>1126</v>
      </c>
      <c r="E739">
        <v>15</v>
      </c>
      <c r="F739" s="1" t="s">
        <v>809</v>
      </c>
      <c r="G739" t="str">
        <f>_xlfn.XLOOKUP(Logs__2[[#This Row],[Cell_ID]],'Registre_Maintenance'!B:B,'Registre_Maintenance'!C:C,"Pas de correspondance")</f>
        <v>Haut-Lomami</v>
      </c>
      <c r="H739">
        <f>_xlfn.XLOOKUP(Logs__2[[#This Row],[Cell_ID]],'Registre_Maintenance'!B:B,'Registre_Maintenance'!D:D,"Pas de correspondance")</f>
        <v>-7.1785899999999998</v>
      </c>
      <c r="I739">
        <f>_xlfn.XLOOKUP(Logs__2[[#This Row],[Cell_ID]],'Registre_Maintenance'!B:B,'Registre_Maintenance'!E:E,"Pas de correspondance")</f>
        <v>24.4404</v>
      </c>
      <c r="J739" t="str">
        <f>_xlfn.XLOOKUP(Logs__2[[#This Row],[Cell_ID]],'Registre_Maintenance'!B:B,'Registre_Maintenance'!F:F,"Pas de correspondance")</f>
        <v>4G</v>
      </c>
      <c r="K739" t="str">
        <f>_xlfn.XLOOKUP(Logs__2[[#This Row],[Cell_ID]],'Registre_Maintenance'!B:B,'Registre_Maintenance'!G:G,"Pas de correspondance")</f>
        <v>Nokia</v>
      </c>
    </row>
    <row r="740" spans="1:11" hidden="1" x14ac:dyDescent="0.25">
      <c r="A740" s="1" t="s">
        <v>1317</v>
      </c>
      <c r="B740" s="2">
        <v>45225</v>
      </c>
      <c r="C740" s="3">
        <v>0.12916666666666668</v>
      </c>
      <c r="D740" s="1" t="s">
        <v>900</v>
      </c>
      <c r="E740">
        <v>36</v>
      </c>
      <c r="F740" s="1" t="s">
        <v>811</v>
      </c>
      <c r="G740" t="str">
        <f>_xlfn.XLOOKUP(Logs__2[[#This Row],[Cell_ID]],'Registre_Maintenance'!B:B,'Registre_Maintenance'!C:C,"Pas de correspondance")</f>
        <v>Pas de correspondance</v>
      </c>
      <c r="H740" t="str">
        <f>_xlfn.XLOOKUP(Logs__2[[#This Row],[Cell_ID]],'Registre_Maintenance'!B:B,'Registre_Maintenance'!D:D,"Pas de correspondance")</f>
        <v>Pas de correspondance</v>
      </c>
      <c r="I740" t="str">
        <f>_xlfn.XLOOKUP(Logs__2[[#This Row],[Cell_ID]],'Registre_Maintenance'!B:B,'Registre_Maintenance'!E:E,"Pas de correspondance")</f>
        <v>Pas de correspondance</v>
      </c>
      <c r="J740" t="str">
        <f>_xlfn.XLOOKUP(Logs__2[[#This Row],[Cell_ID]],'Registre_Maintenance'!B:B,'Registre_Maintenance'!F:F,"Pas de correspondance")</f>
        <v>Pas de correspondance</v>
      </c>
      <c r="K740" t="str">
        <f>_xlfn.XLOOKUP(Logs__2[[#This Row],[Cell_ID]],'Registre_Maintenance'!B:B,'Registre_Maintenance'!G:G,"Pas de correspondance")</f>
        <v>Pas de correspondance</v>
      </c>
    </row>
    <row r="741" spans="1:11" x14ac:dyDescent="0.25">
      <c r="A741" s="1" t="s">
        <v>1317</v>
      </c>
      <c r="B741" s="2">
        <v>45210</v>
      </c>
      <c r="C741" s="3">
        <v>0.49722222222222223</v>
      </c>
      <c r="D741" s="1" t="s">
        <v>1038</v>
      </c>
      <c r="E741">
        <v>75</v>
      </c>
      <c r="F741" s="1" t="s">
        <v>811</v>
      </c>
      <c r="G741" t="str">
        <f>_xlfn.XLOOKUP(Logs__2[[#This Row],[Cell_ID]],'Registre_Maintenance'!B:B,'Registre_Maintenance'!C:C,"Pas de correspondance")</f>
        <v>Sud-Kivu</v>
      </c>
      <c r="H741">
        <f>_xlfn.XLOOKUP(Logs__2[[#This Row],[Cell_ID]],'Registre_Maintenance'!B:B,'Registre_Maintenance'!D:D,"Pas de correspondance")</f>
        <v>-9.3900009999999998</v>
      </c>
      <c r="I741">
        <f>_xlfn.XLOOKUP(Logs__2[[#This Row],[Cell_ID]],'Registre_Maintenance'!B:B,'Registre_Maintenance'!E:E,"Pas de correspondance")</f>
        <v>30.001517</v>
      </c>
      <c r="J741" t="str">
        <f>_xlfn.XLOOKUP(Logs__2[[#This Row],[Cell_ID]],'Registre_Maintenance'!B:B,'Registre_Maintenance'!F:F,"Pas de correspondance")</f>
        <v>3G</v>
      </c>
      <c r="K741" t="str">
        <f>_xlfn.XLOOKUP(Logs__2[[#This Row],[Cell_ID]],'Registre_Maintenance'!B:B,'Registre_Maintenance'!G:G,"Pas de correspondance")</f>
        <v>Nokia</v>
      </c>
    </row>
    <row r="742" spans="1:11" hidden="1" x14ac:dyDescent="0.25">
      <c r="A742" s="1" t="s">
        <v>1317</v>
      </c>
      <c r="B742" s="2">
        <v>45209</v>
      </c>
      <c r="C742" s="3">
        <v>0.18333333333333332</v>
      </c>
      <c r="D742" s="1" t="s">
        <v>1335</v>
      </c>
      <c r="E742">
        <v>81</v>
      </c>
      <c r="F742" s="1" t="s">
        <v>809</v>
      </c>
      <c r="G742" t="str">
        <f>_xlfn.XLOOKUP(Logs__2[[#This Row],[Cell_ID]],'Registre_Maintenance'!B:B,'Registre_Maintenance'!C:C,"Pas de correspondance")</f>
        <v>Pas de correspondance</v>
      </c>
      <c r="H742" t="str">
        <f>_xlfn.XLOOKUP(Logs__2[[#This Row],[Cell_ID]],'Registre_Maintenance'!B:B,'Registre_Maintenance'!D:D,"Pas de correspondance")</f>
        <v>Pas de correspondance</v>
      </c>
      <c r="I742" t="str">
        <f>_xlfn.XLOOKUP(Logs__2[[#This Row],[Cell_ID]],'Registre_Maintenance'!B:B,'Registre_Maintenance'!E:E,"Pas de correspondance")</f>
        <v>Pas de correspondance</v>
      </c>
      <c r="J742" t="str">
        <f>_xlfn.XLOOKUP(Logs__2[[#This Row],[Cell_ID]],'Registre_Maintenance'!B:B,'Registre_Maintenance'!F:F,"Pas de correspondance")</f>
        <v>Pas de correspondance</v>
      </c>
      <c r="K742" t="str">
        <f>_xlfn.XLOOKUP(Logs__2[[#This Row],[Cell_ID]],'Registre_Maintenance'!B:B,'Registre_Maintenance'!G:G,"Pas de correspondance")</f>
        <v>Pas de correspondance</v>
      </c>
    </row>
    <row r="743" spans="1:11" x14ac:dyDescent="0.25">
      <c r="A743" s="1" t="s">
        <v>1317</v>
      </c>
      <c r="B743" s="2">
        <v>45224</v>
      </c>
      <c r="C743" s="3">
        <v>0.19513888888888889</v>
      </c>
      <c r="D743" s="1" t="s">
        <v>1336</v>
      </c>
      <c r="E743">
        <v>81</v>
      </c>
      <c r="F743" s="1" t="s">
        <v>809</v>
      </c>
      <c r="G743" t="str">
        <f>_xlfn.XLOOKUP(Logs__2[[#This Row],[Cell_ID]],'Registre_Maintenance'!B:B,'Registre_Maintenance'!C:C,"Pas de correspondance")</f>
        <v>Bas-Uele</v>
      </c>
      <c r="H743">
        <f>_xlfn.XLOOKUP(Logs__2[[#This Row],[Cell_ID]],'Registre_Maintenance'!B:B,'Registre_Maintenance'!D:D,"Pas de correspondance")</f>
        <v>-1.500685</v>
      </c>
      <c r="I743">
        <f>_xlfn.XLOOKUP(Logs__2[[#This Row],[Cell_ID]],'Registre_Maintenance'!B:B,'Registre_Maintenance'!E:E,"Pas de correspondance")</f>
        <v>26.563376000000002</v>
      </c>
      <c r="J743" t="str">
        <f>_xlfn.XLOOKUP(Logs__2[[#This Row],[Cell_ID]],'Registre_Maintenance'!B:B,'Registre_Maintenance'!F:F,"Pas de correspondance")</f>
        <v>5G</v>
      </c>
      <c r="K743" t="str">
        <f>_xlfn.XLOOKUP(Logs__2[[#This Row],[Cell_ID]],'Registre_Maintenance'!B:B,'Registre_Maintenance'!G:G,"Pas de correspondance")</f>
        <v>Nokia</v>
      </c>
    </row>
    <row r="744" spans="1:11" x14ac:dyDescent="0.25">
      <c r="A744" s="1" t="s">
        <v>1337</v>
      </c>
      <c r="B744" s="2">
        <v>45223</v>
      </c>
      <c r="C744" s="3">
        <v>0.29375000000000001</v>
      </c>
      <c r="D744" s="1" t="s">
        <v>1245</v>
      </c>
      <c r="E744">
        <v>42</v>
      </c>
      <c r="F744" s="1" t="s">
        <v>811</v>
      </c>
      <c r="G744" t="str">
        <f>_xlfn.XLOOKUP(Logs__2[[#This Row],[Cell_ID]],'Registre_Maintenance'!B:B,'Registre_Maintenance'!C:C,"Pas de correspondance")</f>
        <v>Haut-Katanga</v>
      </c>
      <c r="H744">
        <f>_xlfn.XLOOKUP(Logs__2[[#This Row],[Cell_ID]],'Registre_Maintenance'!B:B,'Registre_Maintenance'!D:D,"Pas de correspondance")</f>
        <v>-4.4958720000000003</v>
      </c>
      <c r="I744">
        <f>_xlfn.XLOOKUP(Logs__2[[#This Row],[Cell_ID]],'Registre_Maintenance'!B:B,'Registre_Maintenance'!E:E,"Pas de correspondance")</f>
        <v>18.514112000000001</v>
      </c>
      <c r="J744" t="str">
        <f>_xlfn.XLOOKUP(Logs__2[[#This Row],[Cell_ID]],'Registre_Maintenance'!B:B,'Registre_Maintenance'!F:F,"Pas de correspondance")</f>
        <v>4G</v>
      </c>
      <c r="K744" t="str">
        <f>_xlfn.XLOOKUP(Logs__2[[#This Row],[Cell_ID]],'Registre_Maintenance'!B:B,'Registre_Maintenance'!G:G,"Pas de correspondance")</f>
        <v>Nokia</v>
      </c>
    </row>
    <row r="745" spans="1:11" hidden="1" x14ac:dyDescent="0.25">
      <c r="A745" s="1" t="s">
        <v>1337</v>
      </c>
      <c r="B745" s="2">
        <v>45207</v>
      </c>
      <c r="C745" s="3">
        <v>0.12430555555555556</v>
      </c>
      <c r="D745" s="1" t="s">
        <v>1338</v>
      </c>
      <c r="E745">
        <v>77</v>
      </c>
      <c r="F745" s="1" t="s">
        <v>811</v>
      </c>
      <c r="G745" t="str">
        <f>_xlfn.XLOOKUP(Logs__2[[#This Row],[Cell_ID]],'Registre_Maintenance'!B:B,'Registre_Maintenance'!C:C,"Pas de correspondance")</f>
        <v>Pas de correspondance</v>
      </c>
      <c r="H745" t="str">
        <f>_xlfn.XLOOKUP(Logs__2[[#This Row],[Cell_ID]],'Registre_Maintenance'!B:B,'Registre_Maintenance'!D:D,"Pas de correspondance")</f>
        <v>Pas de correspondance</v>
      </c>
      <c r="I745" t="str">
        <f>_xlfn.XLOOKUP(Logs__2[[#This Row],[Cell_ID]],'Registre_Maintenance'!B:B,'Registre_Maintenance'!E:E,"Pas de correspondance")</f>
        <v>Pas de correspondance</v>
      </c>
      <c r="J745" t="str">
        <f>_xlfn.XLOOKUP(Logs__2[[#This Row],[Cell_ID]],'Registre_Maintenance'!B:B,'Registre_Maintenance'!F:F,"Pas de correspondance")</f>
        <v>Pas de correspondance</v>
      </c>
      <c r="K745" t="str">
        <f>_xlfn.XLOOKUP(Logs__2[[#This Row],[Cell_ID]],'Registre_Maintenance'!B:B,'Registre_Maintenance'!G:G,"Pas de correspondance")</f>
        <v>Pas de correspondance</v>
      </c>
    </row>
    <row r="746" spans="1:11" x14ac:dyDescent="0.25">
      <c r="A746" s="1" t="s">
        <v>1337</v>
      </c>
      <c r="B746" s="2">
        <v>45213</v>
      </c>
      <c r="C746" s="3">
        <v>0.1451388888888889</v>
      </c>
      <c r="D746" s="1" t="s">
        <v>1240</v>
      </c>
      <c r="E746">
        <v>105</v>
      </c>
      <c r="F746" s="1" t="s">
        <v>809</v>
      </c>
      <c r="G746" t="str">
        <f>_xlfn.XLOOKUP(Logs__2[[#This Row],[Cell_ID]],'Registre_Maintenance'!B:B,'Registre_Maintenance'!C:C,"Pas de correspondance")</f>
        <v>Kwilu</v>
      </c>
      <c r="H746">
        <f>_xlfn.XLOOKUP(Logs__2[[#This Row],[Cell_ID]],'Registre_Maintenance'!B:B,'Registre_Maintenance'!D:D,"Pas de correspondance")</f>
        <v>-10.939712999999999</v>
      </c>
      <c r="I746">
        <f>_xlfn.XLOOKUP(Logs__2[[#This Row],[Cell_ID]],'Registre_Maintenance'!B:B,'Registre_Maintenance'!E:E,"Pas de correspondance")</f>
        <v>18.276230999999999</v>
      </c>
      <c r="J746" t="str">
        <f>_xlfn.XLOOKUP(Logs__2[[#This Row],[Cell_ID]],'Registre_Maintenance'!B:B,'Registre_Maintenance'!F:F,"Pas de correspondance")</f>
        <v>4G</v>
      </c>
      <c r="K746" t="str">
        <f>_xlfn.XLOOKUP(Logs__2[[#This Row],[Cell_ID]],'Registre_Maintenance'!B:B,'Registre_Maintenance'!G:G,"Pas de correspondance")</f>
        <v>ZTE</v>
      </c>
    </row>
    <row r="747" spans="1:11" hidden="1" x14ac:dyDescent="0.25">
      <c r="A747" s="1" t="s">
        <v>1337</v>
      </c>
      <c r="B747" s="2">
        <v>45219</v>
      </c>
      <c r="C747" s="3">
        <v>0.79374999999999996</v>
      </c>
      <c r="D747" s="1" t="s">
        <v>1339</v>
      </c>
      <c r="E747">
        <v>43</v>
      </c>
      <c r="F747" s="1" t="s">
        <v>809</v>
      </c>
      <c r="G747" t="str">
        <f>_xlfn.XLOOKUP(Logs__2[[#This Row],[Cell_ID]],'Registre_Maintenance'!B:B,'Registre_Maintenance'!C:C,"Pas de correspondance")</f>
        <v>Pas de correspondance</v>
      </c>
      <c r="H747" t="str">
        <f>_xlfn.XLOOKUP(Logs__2[[#This Row],[Cell_ID]],'Registre_Maintenance'!B:B,'Registre_Maintenance'!D:D,"Pas de correspondance")</f>
        <v>Pas de correspondance</v>
      </c>
      <c r="I747" t="str">
        <f>_xlfn.XLOOKUP(Logs__2[[#This Row],[Cell_ID]],'Registre_Maintenance'!B:B,'Registre_Maintenance'!E:E,"Pas de correspondance")</f>
        <v>Pas de correspondance</v>
      </c>
      <c r="J747" t="str">
        <f>_xlfn.XLOOKUP(Logs__2[[#This Row],[Cell_ID]],'Registre_Maintenance'!B:B,'Registre_Maintenance'!F:F,"Pas de correspondance")</f>
        <v>Pas de correspondance</v>
      </c>
      <c r="K747" t="str">
        <f>_xlfn.XLOOKUP(Logs__2[[#This Row],[Cell_ID]],'Registre_Maintenance'!B:B,'Registre_Maintenance'!G:G,"Pas de correspondance")</f>
        <v>Pas de correspondance</v>
      </c>
    </row>
    <row r="748" spans="1:11" x14ac:dyDescent="0.25">
      <c r="A748" s="1" t="s">
        <v>1337</v>
      </c>
      <c r="B748" s="2">
        <v>45209</v>
      </c>
      <c r="C748" s="3">
        <v>0.90763888888888888</v>
      </c>
      <c r="D748" s="1" t="s">
        <v>1340</v>
      </c>
      <c r="E748">
        <v>99</v>
      </c>
      <c r="F748" s="1" t="s">
        <v>811</v>
      </c>
      <c r="G748" t="str">
        <f>_xlfn.XLOOKUP(Logs__2[[#This Row],[Cell_ID]],'Registre_Maintenance'!B:B,'Registre_Maintenance'!C:C,"Pas de correspondance")</f>
        <v>Kasaï</v>
      </c>
      <c r="H748">
        <f>_xlfn.XLOOKUP(Logs__2[[#This Row],[Cell_ID]],'Registre_Maintenance'!B:B,'Registre_Maintenance'!D:D,"Pas de correspondance")</f>
        <v>-7.6757720000000003</v>
      </c>
      <c r="I748">
        <f>_xlfn.XLOOKUP(Logs__2[[#This Row],[Cell_ID]],'Registre_Maintenance'!B:B,'Registre_Maintenance'!E:E,"Pas de correspondance")</f>
        <v>30.222971000000001</v>
      </c>
      <c r="J748" t="str">
        <f>_xlfn.XLOOKUP(Logs__2[[#This Row],[Cell_ID]],'Registre_Maintenance'!B:B,'Registre_Maintenance'!F:F,"Pas de correspondance")</f>
        <v>5G</v>
      </c>
      <c r="K748" t="str">
        <f>_xlfn.XLOOKUP(Logs__2[[#This Row],[Cell_ID]],'Registre_Maintenance'!B:B,'Registre_Maintenance'!G:G,"Pas de correspondance")</f>
        <v>Ericsson</v>
      </c>
    </row>
    <row r="749" spans="1:11" hidden="1" x14ac:dyDescent="0.25">
      <c r="A749" s="1" t="s">
        <v>1337</v>
      </c>
      <c r="B749" s="2">
        <v>45221</v>
      </c>
      <c r="C749" s="3">
        <v>0.96597222222222223</v>
      </c>
      <c r="D749" s="1" t="s">
        <v>1341</v>
      </c>
      <c r="E749">
        <v>84</v>
      </c>
      <c r="F749" s="1" t="s">
        <v>811</v>
      </c>
      <c r="G749" t="str">
        <f>_xlfn.XLOOKUP(Logs__2[[#This Row],[Cell_ID]],'Registre_Maintenance'!B:B,'Registre_Maintenance'!C:C,"Pas de correspondance")</f>
        <v>Pas de correspondance</v>
      </c>
      <c r="H749" t="str">
        <f>_xlfn.XLOOKUP(Logs__2[[#This Row],[Cell_ID]],'Registre_Maintenance'!B:B,'Registre_Maintenance'!D:D,"Pas de correspondance")</f>
        <v>Pas de correspondance</v>
      </c>
      <c r="I749" t="str">
        <f>_xlfn.XLOOKUP(Logs__2[[#This Row],[Cell_ID]],'Registre_Maintenance'!B:B,'Registre_Maintenance'!E:E,"Pas de correspondance")</f>
        <v>Pas de correspondance</v>
      </c>
      <c r="J749" t="str">
        <f>_xlfn.XLOOKUP(Logs__2[[#This Row],[Cell_ID]],'Registre_Maintenance'!B:B,'Registre_Maintenance'!F:F,"Pas de correspondance")</f>
        <v>Pas de correspondance</v>
      </c>
      <c r="K749" t="str">
        <f>_xlfn.XLOOKUP(Logs__2[[#This Row],[Cell_ID]],'Registre_Maintenance'!B:B,'Registre_Maintenance'!G:G,"Pas de correspondance")</f>
        <v>Pas de correspondance</v>
      </c>
    </row>
    <row r="750" spans="1:11" hidden="1" x14ac:dyDescent="0.25">
      <c r="A750" s="1" t="s">
        <v>1337</v>
      </c>
      <c r="B750" s="2">
        <v>45203</v>
      </c>
      <c r="C750" s="3">
        <v>3.125E-2</v>
      </c>
      <c r="D750" s="1" t="s">
        <v>815</v>
      </c>
      <c r="E750">
        <v>36</v>
      </c>
      <c r="F750" s="1" t="s">
        <v>811</v>
      </c>
      <c r="G750" t="str">
        <f>_xlfn.XLOOKUP(Logs__2[[#This Row],[Cell_ID]],'Registre_Maintenance'!B:B,'Registre_Maintenance'!C:C,"Pas de correspondance")</f>
        <v>Pas de correspondance</v>
      </c>
      <c r="H750" t="str">
        <f>_xlfn.XLOOKUP(Logs__2[[#This Row],[Cell_ID]],'Registre_Maintenance'!B:B,'Registre_Maintenance'!D:D,"Pas de correspondance")</f>
        <v>Pas de correspondance</v>
      </c>
      <c r="I750" t="str">
        <f>_xlfn.XLOOKUP(Logs__2[[#This Row],[Cell_ID]],'Registre_Maintenance'!B:B,'Registre_Maintenance'!E:E,"Pas de correspondance")</f>
        <v>Pas de correspondance</v>
      </c>
      <c r="J750" t="str">
        <f>_xlfn.XLOOKUP(Logs__2[[#This Row],[Cell_ID]],'Registre_Maintenance'!B:B,'Registre_Maintenance'!F:F,"Pas de correspondance")</f>
        <v>Pas de correspondance</v>
      </c>
      <c r="K750" t="str">
        <f>_xlfn.XLOOKUP(Logs__2[[#This Row],[Cell_ID]],'Registre_Maintenance'!B:B,'Registre_Maintenance'!G:G,"Pas de correspondance")</f>
        <v>Pas de correspondance</v>
      </c>
    </row>
    <row r="751" spans="1:11" hidden="1" x14ac:dyDescent="0.25">
      <c r="A751" s="1" t="s">
        <v>1337</v>
      </c>
      <c r="B751" s="2">
        <v>45204</v>
      </c>
      <c r="C751" s="3">
        <v>0.91666666666666663</v>
      </c>
      <c r="D751" s="1" t="s">
        <v>1342</v>
      </c>
      <c r="E751">
        <v>64</v>
      </c>
      <c r="F751" s="1" t="s">
        <v>811</v>
      </c>
      <c r="G751" t="str">
        <f>_xlfn.XLOOKUP(Logs__2[[#This Row],[Cell_ID]],'Registre_Maintenance'!B:B,'Registre_Maintenance'!C:C,"Pas de correspondance")</f>
        <v>Pas de correspondance</v>
      </c>
      <c r="H751" t="str">
        <f>_xlfn.XLOOKUP(Logs__2[[#This Row],[Cell_ID]],'Registre_Maintenance'!B:B,'Registre_Maintenance'!D:D,"Pas de correspondance")</f>
        <v>Pas de correspondance</v>
      </c>
      <c r="I751" t="str">
        <f>_xlfn.XLOOKUP(Logs__2[[#This Row],[Cell_ID]],'Registre_Maintenance'!B:B,'Registre_Maintenance'!E:E,"Pas de correspondance")</f>
        <v>Pas de correspondance</v>
      </c>
      <c r="J751" t="str">
        <f>_xlfn.XLOOKUP(Logs__2[[#This Row],[Cell_ID]],'Registre_Maintenance'!B:B,'Registre_Maintenance'!F:F,"Pas de correspondance")</f>
        <v>Pas de correspondance</v>
      </c>
      <c r="K751" t="str">
        <f>_xlfn.XLOOKUP(Logs__2[[#This Row],[Cell_ID]],'Registre_Maintenance'!B:B,'Registre_Maintenance'!G:G,"Pas de correspondance")</f>
        <v>Pas de correspondance</v>
      </c>
    </row>
    <row r="752" spans="1:11" hidden="1" x14ac:dyDescent="0.25">
      <c r="A752" s="1" t="s">
        <v>1337</v>
      </c>
      <c r="B752" s="2">
        <v>45205</v>
      </c>
      <c r="C752" s="3">
        <v>0.64027777777777772</v>
      </c>
      <c r="D752" s="1" t="s">
        <v>954</v>
      </c>
      <c r="E752">
        <v>52</v>
      </c>
      <c r="F752" s="1" t="s">
        <v>806</v>
      </c>
      <c r="G752" t="str">
        <f>_xlfn.XLOOKUP(Logs__2[[#This Row],[Cell_ID]],'Registre_Maintenance'!B:B,'Registre_Maintenance'!C:C,"Pas de correspondance")</f>
        <v>Pas de correspondance</v>
      </c>
      <c r="H752" t="str">
        <f>_xlfn.XLOOKUP(Logs__2[[#This Row],[Cell_ID]],'Registre_Maintenance'!B:B,'Registre_Maintenance'!D:D,"Pas de correspondance")</f>
        <v>Pas de correspondance</v>
      </c>
      <c r="I752" t="str">
        <f>_xlfn.XLOOKUP(Logs__2[[#This Row],[Cell_ID]],'Registre_Maintenance'!B:B,'Registre_Maintenance'!E:E,"Pas de correspondance")</f>
        <v>Pas de correspondance</v>
      </c>
      <c r="J752" t="str">
        <f>_xlfn.XLOOKUP(Logs__2[[#This Row],[Cell_ID]],'Registre_Maintenance'!B:B,'Registre_Maintenance'!F:F,"Pas de correspondance")</f>
        <v>Pas de correspondance</v>
      </c>
      <c r="K752" t="str">
        <f>_xlfn.XLOOKUP(Logs__2[[#This Row],[Cell_ID]],'Registre_Maintenance'!B:B,'Registre_Maintenance'!G:G,"Pas de correspondance")</f>
        <v>Pas de correspondance</v>
      </c>
    </row>
    <row r="753" spans="1:11" hidden="1" x14ac:dyDescent="0.25">
      <c r="A753" s="1" t="s">
        <v>1337</v>
      </c>
      <c r="B753" s="2">
        <v>45216</v>
      </c>
      <c r="C753" s="3">
        <v>0.70138888888888884</v>
      </c>
      <c r="D753" s="1" t="s">
        <v>936</v>
      </c>
      <c r="E753">
        <v>80</v>
      </c>
      <c r="F753" s="1" t="s">
        <v>806</v>
      </c>
      <c r="G753" t="str">
        <f>_xlfn.XLOOKUP(Logs__2[[#This Row],[Cell_ID]],'Registre_Maintenance'!B:B,'Registre_Maintenance'!C:C,"Pas de correspondance")</f>
        <v>Pas de correspondance</v>
      </c>
      <c r="H753" t="str">
        <f>_xlfn.XLOOKUP(Logs__2[[#This Row],[Cell_ID]],'Registre_Maintenance'!B:B,'Registre_Maintenance'!D:D,"Pas de correspondance")</f>
        <v>Pas de correspondance</v>
      </c>
      <c r="I753" t="str">
        <f>_xlfn.XLOOKUP(Logs__2[[#This Row],[Cell_ID]],'Registre_Maintenance'!B:B,'Registre_Maintenance'!E:E,"Pas de correspondance")</f>
        <v>Pas de correspondance</v>
      </c>
      <c r="J753" t="str">
        <f>_xlfn.XLOOKUP(Logs__2[[#This Row],[Cell_ID]],'Registre_Maintenance'!B:B,'Registre_Maintenance'!F:F,"Pas de correspondance")</f>
        <v>Pas de correspondance</v>
      </c>
      <c r="K753" t="str">
        <f>_xlfn.XLOOKUP(Logs__2[[#This Row],[Cell_ID]],'Registre_Maintenance'!B:B,'Registre_Maintenance'!G:G,"Pas de correspondance")</f>
        <v>Pas de correspondance</v>
      </c>
    </row>
    <row r="754" spans="1:11" x14ac:dyDescent="0.25">
      <c r="A754" s="1" t="s">
        <v>1337</v>
      </c>
      <c r="B754" s="2">
        <v>45226</v>
      </c>
      <c r="C754" s="3">
        <v>0.96944444444444444</v>
      </c>
      <c r="D754" s="1" t="s">
        <v>959</v>
      </c>
      <c r="E754">
        <v>68</v>
      </c>
      <c r="F754" s="1" t="s">
        <v>806</v>
      </c>
      <c r="G754" t="str">
        <f>_xlfn.XLOOKUP(Logs__2[[#This Row],[Cell_ID]],'Registre_Maintenance'!B:B,'Registre_Maintenance'!C:C,"Pas de correspondance")</f>
        <v>Tshopo</v>
      </c>
      <c r="H754">
        <f>_xlfn.XLOOKUP(Logs__2[[#This Row],[Cell_ID]],'Registre_Maintenance'!B:B,'Registre_Maintenance'!D:D,"Pas de correspondance")</f>
        <v>3.0603760000000002</v>
      </c>
      <c r="I754">
        <f>_xlfn.XLOOKUP(Logs__2[[#This Row],[Cell_ID]],'Registre_Maintenance'!B:B,'Registre_Maintenance'!E:E,"Pas de correspondance")</f>
        <v>19.708034000000001</v>
      </c>
      <c r="J754" t="str">
        <f>_xlfn.XLOOKUP(Logs__2[[#This Row],[Cell_ID]],'Registre_Maintenance'!B:B,'Registre_Maintenance'!F:F,"Pas de correspondance")</f>
        <v>3G</v>
      </c>
      <c r="K754" t="str">
        <f>_xlfn.XLOOKUP(Logs__2[[#This Row],[Cell_ID]],'Registre_Maintenance'!B:B,'Registre_Maintenance'!G:G,"Pas de correspondance")</f>
        <v>ZTE</v>
      </c>
    </row>
    <row r="755" spans="1:11" x14ac:dyDescent="0.25">
      <c r="A755" s="1" t="s">
        <v>1337</v>
      </c>
      <c r="B755" s="2">
        <v>45205</v>
      </c>
      <c r="C755" s="3">
        <v>0.46388888888888891</v>
      </c>
      <c r="D755" s="1" t="s">
        <v>1343</v>
      </c>
      <c r="E755">
        <v>103</v>
      </c>
      <c r="F755" s="1" t="s">
        <v>806</v>
      </c>
      <c r="G755" t="str">
        <f>_xlfn.XLOOKUP(Logs__2[[#This Row],[Cell_ID]],'Registre_Maintenance'!B:B,'Registre_Maintenance'!C:C,"Pas de correspondance")</f>
        <v>Nord-Kivu</v>
      </c>
      <c r="H755">
        <f>_xlfn.XLOOKUP(Logs__2[[#This Row],[Cell_ID]],'Registre_Maintenance'!B:B,'Registre_Maintenance'!D:D,"Pas de correspondance")</f>
        <v>-0.17258100000000001</v>
      </c>
      <c r="I755">
        <f>_xlfn.XLOOKUP(Logs__2[[#This Row],[Cell_ID]],'Registre_Maintenance'!B:B,'Registre_Maintenance'!E:E,"Pas de correspondance")</f>
        <v>23.775555000000001</v>
      </c>
      <c r="J755" t="str">
        <f>_xlfn.XLOOKUP(Logs__2[[#This Row],[Cell_ID]],'Registre_Maintenance'!B:B,'Registre_Maintenance'!F:F,"Pas de correspondance")</f>
        <v>5G</v>
      </c>
      <c r="K755" t="str">
        <f>_xlfn.XLOOKUP(Logs__2[[#This Row],[Cell_ID]],'Registre_Maintenance'!B:B,'Registre_Maintenance'!G:G,"Pas de correspondance")</f>
        <v>Nokia</v>
      </c>
    </row>
    <row r="756" spans="1:11" hidden="1" x14ac:dyDescent="0.25">
      <c r="A756" s="1" t="s">
        <v>1337</v>
      </c>
      <c r="B756" s="2">
        <v>45223</v>
      </c>
      <c r="C756" s="3">
        <v>0.36527777777777776</v>
      </c>
      <c r="D756" s="1" t="s">
        <v>1344</v>
      </c>
      <c r="E756">
        <v>104</v>
      </c>
      <c r="F756" s="1" t="s">
        <v>809</v>
      </c>
      <c r="G756" t="str">
        <f>_xlfn.XLOOKUP(Logs__2[[#This Row],[Cell_ID]],'Registre_Maintenance'!B:B,'Registre_Maintenance'!C:C,"Pas de correspondance")</f>
        <v>Pas de correspondance</v>
      </c>
      <c r="H756" t="str">
        <f>_xlfn.XLOOKUP(Logs__2[[#This Row],[Cell_ID]],'Registre_Maintenance'!B:B,'Registre_Maintenance'!D:D,"Pas de correspondance")</f>
        <v>Pas de correspondance</v>
      </c>
      <c r="I756" t="str">
        <f>_xlfn.XLOOKUP(Logs__2[[#This Row],[Cell_ID]],'Registre_Maintenance'!B:B,'Registre_Maintenance'!E:E,"Pas de correspondance")</f>
        <v>Pas de correspondance</v>
      </c>
      <c r="J756" t="str">
        <f>_xlfn.XLOOKUP(Logs__2[[#This Row],[Cell_ID]],'Registre_Maintenance'!B:B,'Registre_Maintenance'!F:F,"Pas de correspondance")</f>
        <v>Pas de correspondance</v>
      </c>
      <c r="K756" t="str">
        <f>_xlfn.XLOOKUP(Logs__2[[#This Row],[Cell_ID]],'Registre_Maintenance'!B:B,'Registre_Maintenance'!G:G,"Pas de correspondance")</f>
        <v>Pas de correspondance</v>
      </c>
    </row>
    <row r="757" spans="1:11" x14ac:dyDescent="0.25">
      <c r="A757" s="1" t="s">
        <v>1337</v>
      </c>
      <c r="B757" s="2">
        <v>45228</v>
      </c>
      <c r="C757" s="3">
        <v>0.15902777777777777</v>
      </c>
      <c r="D757" s="1" t="s">
        <v>1211</v>
      </c>
      <c r="E757">
        <v>30</v>
      </c>
      <c r="F757" s="1" t="s">
        <v>806</v>
      </c>
      <c r="G757" t="str">
        <f>_xlfn.XLOOKUP(Logs__2[[#This Row],[Cell_ID]],'Registre_Maintenance'!B:B,'Registre_Maintenance'!C:C,"Pas de correspondance")</f>
        <v>Kwilu</v>
      </c>
      <c r="H757">
        <f>_xlfn.XLOOKUP(Logs__2[[#This Row],[Cell_ID]],'Registre_Maintenance'!B:B,'Registre_Maintenance'!D:D,"Pas de correspondance")</f>
        <v>0.62055499999999997</v>
      </c>
      <c r="I757">
        <f>_xlfn.XLOOKUP(Logs__2[[#This Row],[Cell_ID]],'Registre_Maintenance'!B:B,'Registre_Maintenance'!E:E,"Pas de correspondance")</f>
        <v>21.222035000000002</v>
      </c>
      <c r="J757" t="str">
        <f>_xlfn.XLOOKUP(Logs__2[[#This Row],[Cell_ID]],'Registre_Maintenance'!B:B,'Registre_Maintenance'!F:F,"Pas de correspondance")</f>
        <v>5G</v>
      </c>
      <c r="K757" t="str">
        <f>_xlfn.XLOOKUP(Logs__2[[#This Row],[Cell_ID]],'Registre_Maintenance'!B:B,'Registre_Maintenance'!G:G,"Pas de correspondance")</f>
        <v>Nokia</v>
      </c>
    </row>
    <row r="758" spans="1:11" hidden="1" x14ac:dyDescent="0.25">
      <c r="A758" s="1" t="s">
        <v>1337</v>
      </c>
      <c r="B758" s="2">
        <v>45228</v>
      </c>
      <c r="C758" s="3">
        <v>1.4583333333333334E-2</v>
      </c>
      <c r="D758" s="1" t="s">
        <v>914</v>
      </c>
      <c r="E758">
        <v>98</v>
      </c>
      <c r="F758" s="1" t="s">
        <v>806</v>
      </c>
      <c r="G758" t="str">
        <f>_xlfn.XLOOKUP(Logs__2[[#This Row],[Cell_ID]],'Registre_Maintenance'!B:B,'Registre_Maintenance'!C:C,"Pas de correspondance")</f>
        <v>Pas de correspondance</v>
      </c>
      <c r="H758" t="str">
        <f>_xlfn.XLOOKUP(Logs__2[[#This Row],[Cell_ID]],'Registre_Maintenance'!B:B,'Registre_Maintenance'!D:D,"Pas de correspondance")</f>
        <v>Pas de correspondance</v>
      </c>
      <c r="I758" t="str">
        <f>_xlfn.XLOOKUP(Logs__2[[#This Row],[Cell_ID]],'Registre_Maintenance'!B:B,'Registre_Maintenance'!E:E,"Pas de correspondance")</f>
        <v>Pas de correspondance</v>
      </c>
      <c r="J758" t="str">
        <f>_xlfn.XLOOKUP(Logs__2[[#This Row],[Cell_ID]],'Registre_Maintenance'!B:B,'Registre_Maintenance'!F:F,"Pas de correspondance")</f>
        <v>Pas de correspondance</v>
      </c>
      <c r="K758" t="str">
        <f>_xlfn.XLOOKUP(Logs__2[[#This Row],[Cell_ID]],'Registre_Maintenance'!B:B,'Registre_Maintenance'!G:G,"Pas de correspondance")</f>
        <v>Pas de correspondance</v>
      </c>
    </row>
    <row r="759" spans="1:11" hidden="1" x14ac:dyDescent="0.25">
      <c r="A759" s="1" t="s">
        <v>1337</v>
      </c>
      <c r="B759" s="2">
        <v>45225</v>
      </c>
      <c r="C759" s="3">
        <v>0.55347222222222225</v>
      </c>
      <c r="D759" s="1" t="s">
        <v>1345</v>
      </c>
      <c r="E759">
        <v>120</v>
      </c>
      <c r="F759" s="1" t="s">
        <v>806</v>
      </c>
      <c r="G759" t="str">
        <f>_xlfn.XLOOKUP(Logs__2[[#This Row],[Cell_ID]],'Registre_Maintenance'!B:B,'Registre_Maintenance'!C:C,"Pas de correspondance")</f>
        <v>Pas de correspondance</v>
      </c>
      <c r="H759" t="str">
        <f>_xlfn.XLOOKUP(Logs__2[[#This Row],[Cell_ID]],'Registre_Maintenance'!B:B,'Registre_Maintenance'!D:D,"Pas de correspondance")</f>
        <v>Pas de correspondance</v>
      </c>
      <c r="I759" t="str">
        <f>_xlfn.XLOOKUP(Logs__2[[#This Row],[Cell_ID]],'Registre_Maintenance'!B:B,'Registre_Maintenance'!E:E,"Pas de correspondance")</f>
        <v>Pas de correspondance</v>
      </c>
      <c r="J759" t="str">
        <f>_xlfn.XLOOKUP(Logs__2[[#This Row],[Cell_ID]],'Registre_Maintenance'!B:B,'Registre_Maintenance'!F:F,"Pas de correspondance")</f>
        <v>Pas de correspondance</v>
      </c>
      <c r="K759" t="str">
        <f>_xlfn.XLOOKUP(Logs__2[[#This Row],[Cell_ID]],'Registre_Maintenance'!B:B,'Registre_Maintenance'!G:G,"Pas de correspondance")</f>
        <v>Pas de correspondance</v>
      </c>
    </row>
    <row r="760" spans="1:11" x14ac:dyDescent="0.25">
      <c r="A760" s="1" t="s">
        <v>1337</v>
      </c>
      <c r="B760" s="2">
        <v>45216</v>
      </c>
      <c r="C760" s="3">
        <v>9.4444444444444442E-2</v>
      </c>
      <c r="D760" s="1" t="s">
        <v>1346</v>
      </c>
      <c r="E760">
        <v>74</v>
      </c>
      <c r="F760" s="1" t="s">
        <v>806</v>
      </c>
      <c r="G760" t="str">
        <f>_xlfn.XLOOKUP(Logs__2[[#This Row],[Cell_ID]],'Registre_Maintenance'!B:B,'Registre_Maintenance'!C:C,"Pas de correspondance")</f>
        <v>Lomami</v>
      </c>
      <c r="H760">
        <f>_xlfn.XLOOKUP(Logs__2[[#This Row],[Cell_ID]],'Registre_Maintenance'!B:B,'Registre_Maintenance'!D:D,"Pas de correspondance")</f>
        <v>4.8265669999999998</v>
      </c>
      <c r="I760">
        <f>_xlfn.XLOOKUP(Logs__2[[#This Row],[Cell_ID]],'Registre_Maintenance'!B:B,'Registre_Maintenance'!E:E,"Pas de correspondance")</f>
        <v>28.535277000000001</v>
      </c>
      <c r="J760" t="str">
        <f>_xlfn.XLOOKUP(Logs__2[[#This Row],[Cell_ID]],'Registre_Maintenance'!B:B,'Registre_Maintenance'!F:F,"Pas de correspondance")</f>
        <v>3G</v>
      </c>
      <c r="K760" t="str">
        <f>_xlfn.XLOOKUP(Logs__2[[#This Row],[Cell_ID]],'Registre_Maintenance'!B:B,'Registre_Maintenance'!G:G,"Pas de correspondance")</f>
        <v>Huawei</v>
      </c>
    </row>
    <row r="761" spans="1:11" hidden="1" x14ac:dyDescent="0.25">
      <c r="A761" s="1" t="s">
        <v>1337</v>
      </c>
      <c r="B761" s="2">
        <v>45222</v>
      </c>
      <c r="C761" s="3">
        <v>0.77777777777777779</v>
      </c>
      <c r="D761" s="1" t="s">
        <v>1347</v>
      </c>
      <c r="E761">
        <v>102</v>
      </c>
      <c r="F761" s="1" t="s">
        <v>811</v>
      </c>
      <c r="G761" t="str">
        <f>_xlfn.XLOOKUP(Logs__2[[#This Row],[Cell_ID]],'Registre_Maintenance'!B:B,'Registre_Maintenance'!C:C,"Pas de correspondance")</f>
        <v>Pas de correspondance</v>
      </c>
      <c r="H761" t="str">
        <f>_xlfn.XLOOKUP(Logs__2[[#This Row],[Cell_ID]],'Registre_Maintenance'!B:B,'Registre_Maintenance'!D:D,"Pas de correspondance")</f>
        <v>Pas de correspondance</v>
      </c>
      <c r="I761" t="str">
        <f>_xlfn.XLOOKUP(Logs__2[[#This Row],[Cell_ID]],'Registre_Maintenance'!B:B,'Registre_Maintenance'!E:E,"Pas de correspondance")</f>
        <v>Pas de correspondance</v>
      </c>
      <c r="J761" t="str">
        <f>_xlfn.XLOOKUP(Logs__2[[#This Row],[Cell_ID]],'Registre_Maintenance'!B:B,'Registre_Maintenance'!F:F,"Pas de correspondance")</f>
        <v>Pas de correspondance</v>
      </c>
      <c r="K761" t="str">
        <f>_xlfn.XLOOKUP(Logs__2[[#This Row],[Cell_ID]],'Registre_Maintenance'!B:B,'Registre_Maintenance'!G:G,"Pas de correspondance")</f>
        <v>Pas de correspondance</v>
      </c>
    </row>
    <row r="762" spans="1:11" hidden="1" x14ac:dyDescent="0.25">
      <c r="A762" s="1" t="s">
        <v>1337</v>
      </c>
      <c r="B762" s="2">
        <v>45202</v>
      </c>
      <c r="C762" s="3">
        <v>0.64513888888888893</v>
      </c>
      <c r="D762" s="1" t="s">
        <v>1348</v>
      </c>
      <c r="E762">
        <v>106</v>
      </c>
      <c r="F762" s="1" t="s">
        <v>811</v>
      </c>
      <c r="G762" t="str">
        <f>_xlfn.XLOOKUP(Logs__2[[#This Row],[Cell_ID]],'Registre_Maintenance'!B:B,'Registre_Maintenance'!C:C,"Pas de correspondance")</f>
        <v>Pas de correspondance</v>
      </c>
      <c r="H762" t="str">
        <f>_xlfn.XLOOKUP(Logs__2[[#This Row],[Cell_ID]],'Registre_Maintenance'!B:B,'Registre_Maintenance'!D:D,"Pas de correspondance")</f>
        <v>Pas de correspondance</v>
      </c>
      <c r="I762" t="str">
        <f>_xlfn.XLOOKUP(Logs__2[[#This Row],[Cell_ID]],'Registre_Maintenance'!B:B,'Registre_Maintenance'!E:E,"Pas de correspondance")</f>
        <v>Pas de correspondance</v>
      </c>
      <c r="J762" t="str">
        <f>_xlfn.XLOOKUP(Logs__2[[#This Row],[Cell_ID]],'Registre_Maintenance'!B:B,'Registre_Maintenance'!F:F,"Pas de correspondance")</f>
        <v>Pas de correspondance</v>
      </c>
      <c r="K762" t="str">
        <f>_xlfn.XLOOKUP(Logs__2[[#This Row],[Cell_ID]],'Registre_Maintenance'!B:B,'Registre_Maintenance'!G:G,"Pas de correspondance")</f>
        <v>Pas de correspondance</v>
      </c>
    </row>
    <row r="763" spans="1:11" x14ac:dyDescent="0.25">
      <c r="A763" s="1" t="s">
        <v>1337</v>
      </c>
      <c r="B763" s="2">
        <v>45216</v>
      </c>
      <c r="C763" s="3">
        <v>0.46041666666666664</v>
      </c>
      <c r="D763" s="1" t="s">
        <v>1349</v>
      </c>
      <c r="E763">
        <v>36</v>
      </c>
      <c r="F763" s="1" t="s">
        <v>811</v>
      </c>
      <c r="G763" t="str">
        <f>_xlfn.XLOOKUP(Logs__2[[#This Row],[Cell_ID]],'Registre_Maintenance'!B:B,'Registre_Maintenance'!C:C,"Pas de correspondance")</f>
        <v>Nord-Kivu</v>
      </c>
      <c r="H763">
        <f>_xlfn.XLOOKUP(Logs__2[[#This Row],[Cell_ID]],'Registre_Maintenance'!B:B,'Registre_Maintenance'!D:D,"Pas de correspondance")</f>
        <v>-11.231472</v>
      </c>
      <c r="I763">
        <f>_xlfn.XLOOKUP(Logs__2[[#This Row],[Cell_ID]],'Registre_Maintenance'!B:B,'Registre_Maintenance'!E:E,"Pas de correspondance")</f>
        <v>25.388874000000001</v>
      </c>
      <c r="J763" t="str">
        <f>_xlfn.XLOOKUP(Logs__2[[#This Row],[Cell_ID]],'Registre_Maintenance'!B:B,'Registre_Maintenance'!F:F,"Pas de correspondance")</f>
        <v>4G</v>
      </c>
      <c r="K763" t="str">
        <f>_xlfn.XLOOKUP(Logs__2[[#This Row],[Cell_ID]],'Registre_Maintenance'!B:B,'Registre_Maintenance'!G:G,"Pas de correspondance")</f>
        <v>Huawei</v>
      </c>
    </row>
    <row r="764" spans="1:11" hidden="1" x14ac:dyDescent="0.25">
      <c r="A764" s="1" t="s">
        <v>1337</v>
      </c>
      <c r="B764" s="2">
        <v>45215</v>
      </c>
      <c r="C764" s="3">
        <v>0.75694444444444442</v>
      </c>
      <c r="D764" s="1" t="s">
        <v>1350</v>
      </c>
      <c r="E764">
        <v>24</v>
      </c>
      <c r="F764" s="1" t="s">
        <v>811</v>
      </c>
      <c r="G764" t="str">
        <f>_xlfn.XLOOKUP(Logs__2[[#This Row],[Cell_ID]],'Registre_Maintenance'!B:B,'Registre_Maintenance'!C:C,"Pas de correspondance")</f>
        <v>Pas de correspondance</v>
      </c>
      <c r="H764" t="str">
        <f>_xlfn.XLOOKUP(Logs__2[[#This Row],[Cell_ID]],'Registre_Maintenance'!B:B,'Registre_Maintenance'!D:D,"Pas de correspondance")</f>
        <v>Pas de correspondance</v>
      </c>
      <c r="I764" t="str">
        <f>_xlfn.XLOOKUP(Logs__2[[#This Row],[Cell_ID]],'Registre_Maintenance'!B:B,'Registre_Maintenance'!E:E,"Pas de correspondance")</f>
        <v>Pas de correspondance</v>
      </c>
      <c r="J764" t="str">
        <f>_xlfn.XLOOKUP(Logs__2[[#This Row],[Cell_ID]],'Registre_Maintenance'!B:B,'Registre_Maintenance'!F:F,"Pas de correspondance")</f>
        <v>Pas de correspondance</v>
      </c>
      <c r="K764" t="str">
        <f>_xlfn.XLOOKUP(Logs__2[[#This Row],[Cell_ID]],'Registre_Maintenance'!B:B,'Registre_Maintenance'!G:G,"Pas de correspondance")</f>
        <v>Pas de correspondance</v>
      </c>
    </row>
    <row r="765" spans="1:11" hidden="1" x14ac:dyDescent="0.25">
      <c r="A765" s="1" t="s">
        <v>1337</v>
      </c>
      <c r="B765" s="2">
        <v>45211</v>
      </c>
      <c r="C765" s="3">
        <v>0.21944444444444444</v>
      </c>
      <c r="D765" s="1" t="s">
        <v>1351</v>
      </c>
      <c r="E765">
        <v>5</v>
      </c>
      <c r="F765" s="1" t="s">
        <v>806</v>
      </c>
      <c r="G765" t="str">
        <f>_xlfn.XLOOKUP(Logs__2[[#This Row],[Cell_ID]],'Registre_Maintenance'!B:B,'Registre_Maintenance'!C:C,"Pas de correspondance")</f>
        <v>Pas de correspondance</v>
      </c>
      <c r="H765" t="str">
        <f>_xlfn.XLOOKUP(Logs__2[[#This Row],[Cell_ID]],'Registre_Maintenance'!B:B,'Registre_Maintenance'!D:D,"Pas de correspondance")</f>
        <v>Pas de correspondance</v>
      </c>
      <c r="I765" t="str">
        <f>_xlfn.XLOOKUP(Logs__2[[#This Row],[Cell_ID]],'Registre_Maintenance'!B:B,'Registre_Maintenance'!E:E,"Pas de correspondance")</f>
        <v>Pas de correspondance</v>
      </c>
      <c r="J765" t="str">
        <f>_xlfn.XLOOKUP(Logs__2[[#This Row],[Cell_ID]],'Registre_Maintenance'!B:B,'Registre_Maintenance'!F:F,"Pas de correspondance")</f>
        <v>Pas de correspondance</v>
      </c>
      <c r="K765" t="str">
        <f>_xlfn.XLOOKUP(Logs__2[[#This Row],[Cell_ID]],'Registre_Maintenance'!B:B,'Registre_Maintenance'!G:G,"Pas de correspondance")</f>
        <v>Pas de correspondance</v>
      </c>
    </row>
    <row r="766" spans="1:11" hidden="1" x14ac:dyDescent="0.25">
      <c r="A766" s="1" t="s">
        <v>1337</v>
      </c>
      <c r="B766" s="2">
        <v>45224</v>
      </c>
      <c r="C766" s="3">
        <v>0.16458333333333333</v>
      </c>
      <c r="D766" s="1" t="s">
        <v>1352</v>
      </c>
      <c r="E766">
        <v>57</v>
      </c>
      <c r="F766" s="1" t="s">
        <v>809</v>
      </c>
      <c r="G766" t="str">
        <f>_xlfn.XLOOKUP(Logs__2[[#This Row],[Cell_ID]],'Registre_Maintenance'!B:B,'Registre_Maintenance'!C:C,"Pas de correspondance")</f>
        <v>Pas de correspondance</v>
      </c>
      <c r="H766" t="str">
        <f>_xlfn.XLOOKUP(Logs__2[[#This Row],[Cell_ID]],'Registre_Maintenance'!B:B,'Registre_Maintenance'!D:D,"Pas de correspondance")</f>
        <v>Pas de correspondance</v>
      </c>
      <c r="I766" t="str">
        <f>_xlfn.XLOOKUP(Logs__2[[#This Row],[Cell_ID]],'Registre_Maintenance'!B:B,'Registre_Maintenance'!E:E,"Pas de correspondance")</f>
        <v>Pas de correspondance</v>
      </c>
      <c r="J766" t="str">
        <f>_xlfn.XLOOKUP(Logs__2[[#This Row],[Cell_ID]],'Registre_Maintenance'!B:B,'Registre_Maintenance'!F:F,"Pas de correspondance")</f>
        <v>Pas de correspondance</v>
      </c>
      <c r="K766" t="str">
        <f>_xlfn.XLOOKUP(Logs__2[[#This Row],[Cell_ID]],'Registre_Maintenance'!B:B,'Registre_Maintenance'!G:G,"Pas de correspondance")</f>
        <v>Pas de correspondance</v>
      </c>
    </row>
    <row r="767" spans="1:11" hidden="1" x14ac:dyDescent="0.25">
      <c r="A767" s="1" t="s">
        <v>1337</v>
      </c>
      <c r="B767" s="2">
        <v>45218</v>
      </c>
      <c r="C767" s="3">
        <v>0.90694444444444444</v>
      </c>
      <c r="D767" s="1" t="s">
        <v>1034</v>
      </c>
      <c r="E767">
        <v>8</v>
      </c>
      <c r="F767" s="1" t="s">
        <v>811</v>
      </c>
      <c r="G767" t="str">
        <f>_xlfn.XLOOKUP(Logs__2[[#This Row],[Cell_ID]],'Registre_Maintenance'!B:B,'Registre_Maintenance'!C:C,"Pas de correspondance")</f>
        <v>Pas de correspondance</v>
      </c>
      <c r="H767" t="str">
        <f>_xlfn.XLOOKUP(Logs__2[[#This Row],[Cell_ID]],'Registre_Maintenance'!B:B,'Registre_Maintenance'!D:D,"Pas de correspondance")</f>
        <v>Pas de correspondance</v>
      </c>
      <c r="I767" t="str">
        <f>_xlfn.XLOOKUP(Logs__2[[#This Row],[Cell_ID]],'Registre_Maintenance'!B:B,'Registre_Maintenance'!E:E,"Pas de correspondance")</f>
        <v>Pas de correspondance</v>
      </c>
      <c r="J767" t="str">
        <f>_xlfn.XLOOKUP(Logs__2[[#This Row],[Cell_ID]],'Registre_Maintenance'!B:B,'Registre_Maintenance'!F:F,"Pas de correspondance")</f>
        <v>Pas de correspondance</v>
      </c>
      <c r="K767" t="str">
        <f>_xlfn.XLOOKUP(Logs__2[[#This Row],[Cell_ID]],'Registre_Maintenance'!B:B,'Registre_Maintenance'!G:G,"Pas de correspondance")</f>
        <v>Pas de correspondance</v>
      </c>
    </row>
    <row r="768" spans="1:11" hidden="1" x14ac:dyDescent="0.25">
      <c r="A768" s="1" t="s">
        <v>1337</v>
      </c>
      <c r="B768" s="2">
        <v>45203</v>
      </c>
      <c r="C768" s="3">
        <v>0.32430555555555557</v>
      </c>
      <c r="D768" s="1" t="s">
        <v>1353</v>
      </c>
      <c r="E768">
        <v>34</v>
      </c>
      <c r="F768" s="1" t="s">
        <v>806</v>
      </c>
      <c r="G768" t="str">
        <f>_xlfn.XLOOKUP(Logs__2[[#This Row],[Cell_ID]],'Registre_Maintenance'!B:B,'Registre_Maintenance'!C:C,"Pas de correspondance")</f>
        <v>Pas de correspondance</v>
      </c>
      <c r="H768" t="str">
        <f>_xlfn.XLOOKUP(Logs__2[[#This Row],[Cell_ID]],'Registre_Maintenance'!B:B,'Registre_Maintenance'!D:D,"Pas de correspondance")</f>
        <v>Pas de correspondance</v>
      </c>
      <c r="I768" t="str">
        <f>_xlfn.XLOOKUP(Logs__2[[#This Row],[Cell_ID]],'Registre_Maintenance'!B:B,'Registre_Maintenance'!E:E,"Pas de correspondance")</f>
        <v>Pas de correspondance</v>
      </c>
      <c r="J768" t="str">
        <f>_xlfn.XLOOKUP(Logs__2[[#This Row],[Cell_ID]],'Registre_Maintenance'!B:B,'Registre_Maintenance'!F:F,"Pas de correspondance")</f>
        <v>Pas de correspondance</v>
      </c>
      <c r="K768" t="str">
        <f>_xlfn.XLOOKUP(Logs__2[[#This Row],[Cell_ID]],'Registre_Maintenance'!B:B,'Registre_Maintenance'!G:G,"Pas de correspondance")</f>
        <v>Pas de correspondance</v>
      </c>
    </row>
    <row r="769" spans="1:11" hidden="1" x14ac:dyDescent="0.25">
      <c r="A769" s="1" t="s">
        <v>1337</v>
      </c>
      <c r="B769" s="2">
        <v>45216</v>
      </c>
      <c r="C769" s="3">
        <v>1.3888888888888889E-3</v>
      </c>
      <c r="D769" s="1" t="s">
        <v>1354</v>
      </c>
      <c r="E769">
        <v>74</v>
      </c>
      <c r="F769" s="1" t="s">
        <v>811</v>
      </c>
      <c r="G769" t="str">
        <f>_xlfn.XLOOKUP(Logs__2[[#This Row],[Cell_ID]],'Registre_Maintenance'!B:B,'Registre_Maintenance'!C:C,"Pas de correspondance")</f>
        <v>Pas de correspondance</v>
      </c>
      <c r="H769" t="str">
        <f>_xlfn.XLOOKUP(Logs__2[[#This Row],[Cell_ID]],'Registre_Maintenance'!B:B,'Registre_Maintenance'!D:D,"Pas de correspondance")</f>
        <v>Pas de correspondance</v>
      </c>
      <c r="I769" t="str">
        <f>_xlfn.XLOOKUP(Logs__2[[#This Row],[Cell_ID]],'Registre_Maintenance'!B:B,'Registre_Maintenance'!E:E,"Pas de correspondance")</f>
        <v>Pas de correspondance</v>
      </c>
      <c r="J769" t="str">
        <f>_xlfn.XLOOKUP(Logs__2[[#This Row],[Cell_ID]],'Registre_Maintenance'!B:B,'Registre_Maintenance'!F:F,"Pas de correspondance")</f>
        <v>Pas de correspondance</v>
      </c>
      <c r="K769" t="str">
        <f>_xlfn.XLOOKUP(Logs__2[[#This Row],[Cell_ID]],'Registre_Maintenance'!B:B,'Registre_Maintenance'!G:G,"Pas de correspondance")</f>
        <v>Pas de correspondance</v>
      </c>
    </row>
    <row r="770" spans="1:11" hidden="1" x14ac:dyDescent="0.25">
      <c r="A770" s="1" t="s">
        <v>1337</v>
      </c>
      <c r="B770" s="2">
        <v>45227</v>
      </c>
      <c r="C770" s="3">
        <v>1.0416666666666666E-2</v>
      </c>
      <c r="D770" s="1" t="s">
        <v>1355</v>
      </c>
      <c r="E770">
        <v>49</v>
      </c>
      <c r="F770" s="1" t="s">
        <v>811</v>
      </c>
      <c r="G770" t="str">
        <f>_xlfn.XLOOKUP(Logs__2[[#This Row],[Cell_ID]],'Registre_Maintenance'!B:B,'Registre_Maintenance'!C:C,"Pas de correspondance")</f>
        <v>Pas de correspondance</v>
      </c>
      <c r="H770" t="str">
        <f>_xlfn.XLOOKUP(Logs__2[[#This Row],[Cell_ID]],'Registre_Maintenance'!B:B,'Registre_Maintenance'!D:D,"Pas de correspondance")</f>
        <v>Pas de correspondance</v>
      </c>
      <c r="I770" t="str">
        <f>_xlfn.XLOOKUP(Logs__2[[#This Row],[Cell_ID]],'Registre_Maintenance'!B:B,'Registre_Maintenance'!E:E,"Pas de correspondance")</f>
        <v>Pas de correspondance</v>
      </c>
      <c r="J770" t="str">
        <f>_xlfn.XLOOKUP(Logs__2[[#This Row],[Cell_ID]],'Registre_Maintenance'!B:B,'Registre_Maintenance'!F:F,"Pas de correspondance")</f>
        <v>Pas de correspondance</v>
      </c>
      <c r="K770" t="str">
        <f>_xlfn.XLOOKUP(Logs__2[[#This Row],[Cell_ID]],'Registre_Maintenance'!B:B,'Registre_Maintenance'!G:G,"Pas de correspondance")</f>
        <v>Pas de correspondance</v>
      </c>
    </row>
    <row r="771" spans="1:11" hidden="1" x14ac:dyDescent="0.25">
      <c r="A771" s="1" t="s">
        <v>1337</v>
      </c>
      <c r="B771" s="2">
        <v>45201</v>
      </c>
      <c r="C771" s="3">
        <v>0.64097222222222228</v>
      </c>
      <c r="D771" s="1" t="s">
        <v>857</v>
      </c>
      <c r="E771">
        <v>86</v>
      </c>
      <c r="F771" s="1" t="s">
        <v>811</v>
      </c>
      <c r="G771" t="str">
        <f>_xlfn.XLOOKUP(Logs__2[[#This Row],[Cell_ID]],'Registre_Maintenance'!B:B,'Registre_Maintenance'!C:C,"Pas de correspondance")</f>
        <v>Pas de correspondance</v>
      </c>
      <c r="H771" t="str">
        <f>_xlfn.XLOOKUP(Logs__2[[#This Row],[Cell_ID]],'Registre_Maintenance'!B:B,'Registre_Maintenance'!D:D,"Pas de correspondance")</f>
        <v>Pas de correspondance</v>
      </c>
      <c r="I771" t="str">
        <f>_xlfn.XLOOKUP(Logs__2[[#This Row],[Cell_ID]],'Registre_Maintenance'!B:B,'Registre_Maintenance'!E:E,"Pas de correspondance")</f>
        <v>Pas de correspondance</v>
      </c>
      <c r="J771" t="str">
        <f>_xlfn.XLOOKUP(Logs__2[[#This Row],[Cell_ID]],'Registre_Maintenance'!B:B,'Registre_Maintenance'!F:F,"Pas de correspondance")</f>
        <v>Pas de correspondance</v>
      </c>
      <c r="K771" t="str">
        <f>_xlfn.XLOOKUP(Logs__2[[#This Row],[Cell_ID]],'Registre_Maintenance'!B:B,'Registre_Maintenance'!G:G,"Pas de correspondance")</f>
        <v>Pas de correspondance</v>
      </c>
    </row>
    <row r="772" spans="1:11" hidden="1" x14ac:dyDescent="0.25">
      <c r="A772" s="1" t="s">
        <v>1337</v>
      </c>
      <c r="B772" s="2">
        <v>45212</v>
      </c>
      <c r="C772" s="3">
        <v>0.17430555555555555</v>
      </c>
      <c r="D772" s="1" t="s">
        <v>1356</v>
      </c>
      <c r="E772">
        <v>112</v>
      </c>
      <c r="F772" s="1" t="s">
        <v>811</v>
      </c>
      <c r="G772" t="str">
        <f>_xlfn.XLOOKUP(Logs__2[[#This Row],[Cell_ID]],'Registre_Maintenance'!B:B,'Registre_Maintenance'!C:C,"Pas de correspondance")</f>
        <v>Pas de correspondance</v>
      </c>
      <c r="H772" t="str">
        <f>_xlfn.XLOOKUP(Logs__2[[#This Row],[Cell_ID]],'Registre_Maintenance'!B:B,'Registre_Maintenance'!D:D,"Pas de correspondance")</f>
        <v>Pas de correspondance</v>
      </c>
      <c r="I772" t="str">
        <f>_xlfn.XLOOKUP(Logs__2[[#This Row],[Cell_ID]],'Registre_Maintenance'!B:B,'Registre_Maintenance'!E:E,"Pas de correspondance")</f>
        <v>Pas de correspondance</v>
      </c>
      <c r="J772" t="str">
        <f>_xlfn.XLOOKUP(Logs__2[[#This Row],[Cell_ID]],'Registre_Maintenance'!B:B,'Registre_Maintenance'!F:F,"Pas de correspondance")</f>
        <v>Pas de correspondance</v>
      </c>
      <c r="K772" t="str">
        <f>_xlfn.XLOOKUP(Logs__2[[#This Row],[Cell_ID]],'Registre_Maintenance'!B:B,'Registre_Maintenance'!G:G,"Pas de correspondance")</f>
        <v>Pas de correspondance</v>
      </c>
    </row>
    <row r="773" spans="1:11" x14ac:dyDescent="0.25">
      <c r="A773" s="1" t="s">
        <v>1337</v>
      </c>
      <c r="B773" s="2">
        <v>45229</v>
      </c>
      <c r="C773" s="3">
        <v>6.5972222222222224E-2</v>
      </c>
      <c r="D773" s="1" t="s">
        <v>871</v>
      </c>
      <c r="E773">
        <v>93</v>
      </c>
      <c r="F773" s="1" t="s">
        <v>806</v>
      </c>
      <c r="G773" t="str">
        <f>_xlfn.XLOOKUP(Logs__2[[#This Row],[Cell_ID]],'Registre_Maintenance'!B:B,'Registre_Maintenance'!C:C,"Pas de correspondance")</f>
        <v>Nord-Kivu</v>
      </c>
      <c r="H773">
        <f>_xlfn.XLOOKUP(Logs__2[[#This Row],[Cell_ID]],'Registre_Maintenance'!B:B,'Registre_Maintenance'!D:D,"Pas de correspondance")</f>
        <v>0.82868600000000003</v>
      </c>
      <c r="I773">
        <f>_xlfn.XLOOKUP(Logs__2[[#This Row],[Cell_ID]],'Registre_Maintenance'!B:B,'Registre_Maintenance'!E:E,"Pas de correspondance")</f>
        <v>26.958843999999999</v>
      </c>
      <c r="J773" t="str">
        <f>_xlfn.XLOOKUP(Logs__2[[#This Row],[Cell_ID]],'Registre_Maintenance'!B:B,'Registre_Maintenance'!F:F,"Pas de correspondance")</f>
        <v>5G</v>
      </c>
      <c r="K773" t="str">
        <f>_xlfn.XLOOKUP(Logs__2[[#This Row],[Cell_ID]],'Registre_Maintenance'!B:B,'Registre_Maintenance'!G:G,"Pas de correspondance")</f>
        <v>ZTE</v>
      </c>
    </row>
    <row r="774" spans="1:11" hidden="1" x14ac:dyDescent="0.25">
      <c r="A774" s="1" t="s">
        <v>1337</v>
      </c>
      <c r="B774" s="2">
        <v>45225</v>
      </c>
      <c r="C774" s="3">
        <v>0.94930555555555551</v>
      </c>
      <c r="D774" s="1" t="s">
        <v>1357</v>
      </c>
      <c r="E774">
        <v>117</v>
      </c>
      <c r="F774" s="1" t="s">
        <v>806</v>
      </c>
      <c r="G774" t="str">
        <f>_xlfn.XLOOKUP(Logs__2[[#This Row],[Cell_ID]],'Registre_Maintenance'!B:B,'Registre_Maintenance'!C:C,"Pas de correspondance")</f>
        <v>Pas de correspondance</v>
      </c>
      <c r="H774" t="str">
        <f>_xlfn.XLOOKUP(Logs__2[[#This Row],[Cell_ID]],'Registre_Maintenance'!B:B,'Registre_Maintenance'!D:D,"Pas de correspondance")</f>
        <v>Pas de correspondance</v>
      </c>
      <c r="I774" t="str">
        <f>_xlfn.XLOOKUP(Logs__2[[#This Row],[Cell_ID]],'Registre_Maintenance'!B:B,'Registre_Maintenance'!E:E,"Pas de correspondance")</f>
        <v>Pas de correspondance</v>
      </c>
      <c r="J774" t="str">
        <f>_xlfn.XLOOKUP(Logs__2[[#This Row],[Cell_ID]],'Registre_Maintenance'!B:B,'Registre_Maintenance'!F:F,"Pas de correspondance")</f>
        <v>Pas de correspondance</v>
      </c>
      <c r="K774" t="str">
        <f>_xlfn.XLOOKUP(Logs__2[[#This Row],[Cell_ID]],'Registre_Maintenance'!B:B,'Registre_Maintenance'!G:G,"Pas de correspondance")</f>
        <v>Pas de correspondance</v>
      </c>
    </row>
    <row r="775" spans="1:11" hidden="1" x14ac:dyDescent="0.25">
      <c r="A775" s="1" t="s">
        <v>1337</v>
      </c>
      <c r="B775" s="2">
        <v>45220</v>
      </c>
      <c r="C775" s="3">
        <v>0.55138888888888893</v>
      </c>
      <c r="D775" s="1" t="s">
        <v>1358</v>
      </c>
      <c r="E775">
        <v>6</v>
      </c>
      <c r="F775" s="1" t="s">
        <v>806</v>
      </c>
      <c r="G775" t="str">
        <f>_xlfn.XLOOKUP(Logs__2[[#This Row],[Cell_ID]],'Registre_Maintenance'!B:B,'Registre_Maintenance'!C:C,"Pas de correspondance")</f>
        <v>Pas de correspondance</v>
      </c>
      <c r="H775" t="str">
        <f>_xlfn.XLOOKUP(Logs__2[[#This Row],[Cell_ID]],'Registre_Maintenance'!B:B,'Registre_Maintenance'!D:D,"Pas de correspondance")</f>
        <v>Pas de correspondance</v>
      </c>
      <c r="I775" t="str">
        <f>_xlfn.XLOOKUP(Logs__2[[#This Row],[Cell_ID]],'Registre_Maintenance'!B:B,'Registre_Maintenance'!E:E,"Pas de correspondance")</f>
        <v>Pas de correspondance</v>
      </c>
      <c r="J775" t="str">
        <f>_xlfn.XLOOKUP(Logs__2[[#This Row],[Cell_ID]],'Registre_Maintenance'!B:B,'Registre_Maintenance'!F:F,"Pas de correspondance")</f>
        <v>Pas de correspondance</v>
      </c>
      <c r="K775" t="str">
        <f>_xlfn.XLOOKUP(Logs__2[[#This Row],[Cell_ID]],'Registre_Maintenance'!B:B,'Registre_Maintenance'!G:G,"Pas de correspondance")</f>
        <v>Pas de correspondance</v>
      </c>
    </row>
    <row r="776" spans="1:11" hidden="1" x14ac:dyDescent="0.25">
      <c r="A776" s="1" t="s">
        <v>1337</v>
      </c>
      <c r="B776" s="2">
        <v>45210</v>
      </c>
      <c r="C776" s="3">
        <v>0.30972222222222223</v>
      </c>
      <c r="D776" s="1" t="s">
        <v>1144</v>
      </c>
      <c r="E776">
        <v>47</v>
      </c>
      <c r="F776" s="1" t="s">
        <v>809</v>
      </c>
      <c r="G776" t="str">
        <f>_xlfn.XLOOKUP(Logs__2[[#This Row],[Cell_ID]],'Registre_Maintenance'!B:B,'Registre_Maintenance'!C:C,"Pas de correspondance")</f>
        <v>Pas de correspondance</v>
      </c>
      <c r="H776" t="str">
        <f>_xlfn.XLOOKUP(Logs__2[[#This Row],[Cell_ID]],'Registre_Maintenance'!B:B,'Registre_Maintenance'!D:D,"Pas de correspondance")</f>
        <v>Pas de correspondance</v>
      </c>
      <c r="I776" t="str">
        <f>_xlfn.XLOOKUP(Logs__2[[#This Row],[Cell_ID]],'Registre_Maintenance'!B:B,'Registre_Maintenance'!E:E,"Pas de correspondance")</f>
        <v>Pas de correspondance</v>
      </c>
      <c r="J776" t="str">
        <f>_xlfn.XLOOKUP(Logs__2[[#This Row],[Cell_ID]],'Registre_Maintenance'!B:B,'Registre_Maintenance'!F:F,"Pas de correspondance")</f>
        <v>Pas de correspondance</v>
      </c>
      <c r="K776" t="str">
        <f>_xlfn.XLOOKUP(Logs__2[[#This Row],[Cell_ID]],'Registre_Maintenance'!B:B,'Registre_Maintenance'!G:G,"Pas de correspondance")</f>
        <v>Pas de correspondance</v>
      </c>
    </row>
    <row r="777" spans="1:11" x14ac:dyDescent="0.25">
      <c r="A777" s="1" t="s">
        <v>1337</v>
      </c>
      <c r="B777" s="2">
        <v>45229</v>
      </c>
      <c r="C777" s="3">
        <v>0.97222222222222221</v>
      </c>
      <c r="D777" s="1" t="s">
        <v>1277</v>
      </c>
      <c r="E777">
        <v>5</v>
      </c>
      <c r="F777" s="1" t="s">
        <v>811</v>
      </c>
      <c r="G777" t="str">
        <f>_xlfn.XLOOKUP(Logs__2[[#This Row],[Cell_ID]],'Registre_Maintenance'!B:B,'Registre_Maintenance'!C:C,"Pas de correspondance")</f>
        <v>Nord-Ubangi</v>
      </c>
      <c r="H777">
        <f>_xlfn.XLOOKUP(Logs__2[[#This Row],[Cell_ID]],'Registre_Maintenance'!B:B,'Registre_Maintenance'!D:D,"Pas de correspondance")</f>
        <v>-8.4985189999999999</v>
      </c>
      <c r="I777">
        <f>_xlfn.XLOOKUP(Logs__2[[#This Row],[Cell_ID]],'Registre_Maintenance'!B:B,'Registre_Maintenance'!E:E,"Pas de correspondance")</f>
        <v>12.929456999999999</v>
      </c>
      <c r="J777" t="str">
        <f>_xlfn.XLOOKUP(Logs__2[[#This Row],[Cell_ID]],'Registre_Maintenance'!B:B,'Registre_Maintenance'!F:F,"Pas de correspondance")</f>
        <v>4G</v>
      </c>
      <c r="K777" t="str">
        <f>_xlfn.XLOOKUP(Logs__2[[#This Row],[Cell_ID]],'Registre_Maintenance'!B:B,'Registre_Maintenance'!G:G,"Pas de correspondance")</f>
        <v>Ericsson</v>
      </c>
    </row>
    <row r="778" spans="1:11" hidden="1" x14ac:dyDescent="0.25">
      <c r="A778" s="1" t="s">
        <v>1337</v>
      </c>
      <c r="B778" s="2">
        <v>45208</v>
      </c>
      <c r="C778" s="3">
        <v>0.10833333333333334</v>
      </c>
      <c r="D778" s="1" t="s">
        <v>1359</v>
      </c>
      <c r="E778">
        <v>102</v>
      </c>
      <c r="F778" s="1" t="s">
        <v>809</v>
      </c>
      <c r="G778" t="str">
        <f>_xlfn.XLOOKUP(Logs__2[[#This Row],[Cell_ID]],'Registre_Maintenance'!B:B,'Registre_Maintenance'!C:C,"Pas de correspondance")</f>
        <v>Pas de correspondance</v>
      </c>
      <c r="H778" t="str">
        <f>_xlfn.XLOOKUP(Logs__2[[#This Row],[Cell_ID]],'Registre_Maintenance'!B:B,'Registre_Maintenance'!D:D,"Pas de correspondance")</f>
        <v>Pas de correspondance</v>
      </c>
      <c r="I778" t="str">
        <f>_xlfn.XLOOKUP(Logs__2[[#This Row],[Cell_ID]],'Registre_Maintenance'!B:B,'Registre_Maintenance'!E:E,"Pas de correspondance")</f>
        <v>Pas de correspondance</v>
      </c>
      <c r="J778" t="str">
        <f>_xlfn.XLOOKUP(Logs__2[[#This Row],[Cell_ID]],'Registre_Maintenance'!B:B,'Registre_Maintenance'!F:F,"Pas de correspondance")</f>
        <v>Pas de correspondance</v>
      </c>
      <c r="K778" t="str">
        <f>_xlfn.XLOOKUP(Logs__2[[#This Row],[Cell_ID]],'Registre_Maintenance'!B:B,'Registre_Maintenance'!G:G,"Pas de correspondance")</f>
        <v>Pas de correspondance</v>
      </c>
    </row>
    <row r="779" spans="1:11" hidden="1" x14ac:dyDescent="0.25">
      <c r="A779" s="1" t="s">
        <v>1337</v>
      </c>
      <c r="B779" s="2">
        <v>45211</v>
      </c>
      <c r="C779" s="3">
        <v>0.14722222222222223</v>
      </c>
      <c r="D779" s="1" t="s">
        <v>1360</v>
      </c>
      <c r="E779">
        <v>89</v>
      </c>
      <c r="F779" s="1" t="s">
        <v>809</v>
      </c>
      <c r="G779" t="str">
        <f>_xlfn.XLOOKUP(Logs__2[[#This Row],[Cell_ID]],'Registre_Maintenance'!B:B,'Registre_Maintenance'!C:C,"Pas de correspondance")</f>
        <v>Pas de correspondance</v>
      </c>
      <c r="H779" t="str">
        <f>_xlfn.XLOOKUP(Logs__2[[#This Row],[Cell_ID]],'Registre_Maintenance'!B:B,'Registre_Maintenance'!D:D,"Pas de correspondance")</f>
        <v>Pas de correspondance</v>
      </c>
      <c r="I779" t="str">
        <f>_xlfn.XLOOKUP(Logs__2[[#This Row],[Cell_ID]],'Registre_Maintenance'!B:B,'Registre_Maintenance'!E:E,"Pas de correspondance")</f>
        <v>Pas de correspondance</v>
      </c>
      <c r="J779" t="str">
        <f>_xlfn.XLOOKUP(Logs__2[[#This Row],[Cell_ID]],'Registre_Maintenance'!B:B,'Registre_Maintenance'!F:F,"Pas de correspondance")</f>
        <v>Pas de correspondance</v>
      </c>
      <c r="K779" t="str">
        <f>_xlfn.XLOOKUP(Logs__2[[#This Row],[Cell_ID]],'Registre_Maintenance'!B:B,'Registre_Maintenance'!G:G,"Pas de correspondance")</f>
        <v>Pas de correspondance</v>
      </c>
    </row>
    <row r="780" spans="1:11" x14ac:dyDescent="0.25">
      <c r="A780" s="1" t="s">
        <v>1337</v>
      </c>
      <c r="B780" s="2">
        <v>45221</v>
      </c>
      <c r="C780" s="3">
        <v>4.9305555555555554E-2</v>
      </c>
      <c r="D780" s="1" t="s">
        <v>1141</v>
      </c>
      <c r="E780">
        <v>53</v>
      </c>
      <c r="F780" s="1" t="s">
        <v>809</v>
      </c>
      <c r="G780" t="str">
        <f>_xlfn.XLOOKUP(Logs__2[[#This Row],[Cell_ID]],'Registre_Maintenance'!B:B,'Registre_Maintenance'!C:C,"Pas de correspondance")</f>
        <v>Lualaba</v>
      </c>
      <c r="H780">
        <f>_xlfn.XLOOKUP(Logs__2[[#This Row],[Cell_ID]],'Registre_Maintenance'!B:B,'Registre_Maintenance'!D:D,"Pas de correspondance")</f>
        <v>1.286548</v>
      </c>
      <c r="I780">
        <f>_xlfn.XLOOKUP(Logs__2[[#This Row],[Cell_ID]],'Registre_Maintenance'!B:B,'Registre_Maintenance'!E:E,"Pas de correspondance")</f>
        <v>29.823702999999998</v>
      </c>
      <c r="J780" t="str">
        <f>_xlfn.XLOOKUP(Logs__2[[#This Row],[Cell_ID]],'Registre_Maintenance'!B:B,'Registre_Maintenance'!F:F,"Pas de correspondance")</f>
        <v>4G</v>
      </c>
      <c r="K780" t="str">
        <f>_xlfn.XLOOKUP(Logs__2[[#This Row],[Cell_ID]],'Registre_Maintenance'!B:B,'Registre_Maintenance'!G:G,"Pas de correspondance")</f>
        <v>ZTE</v>
      </c>
    </row>
    <row r="781" spans="1:11" x14ac:dyDescent="0.25">
      <c r="A781" s="1" t="s">
        <v>1337</v>
      </c>
      <c r="B781" s="2">
        <v>45207</v>
      </c>
      <c r="C781" s="3">
        <v>0.66805555555555551</v>
      </c>
      <c r="D781" s="1" t="s">
        <v>1361</v>
      </c>
      <c r="E781">
        <v>113</v>
      </c>
      <c r="F781" s="1" t="s">
        <v>806</v>
      </c>
      <c r="G781" t="str">
        <f>_xlfn.XLOOKUP(Logs__2[[#This Row],[Cell_ID]],'Registre_Maintenance'!B:B,'Registre_Maintenance'!C:C,"Pas de correspondance")</f>
        <v>Kongo-Central</v>
      </c>
      <c r="H781">
        <f>_xlfn.XLOOKUP(Logs__2[[#This Row],[Cell_ID]],'Registre_Maintenance'!B:B,'Registre_Maintenance'!D:D,"Pas de correspondance")</f>
        <v>-7.1587569999999996</v>
      </c>
      <c r="I781">
        <f>_xlfn.XLOOKUP(Logs__2[[#This Row],[Cell_ID]],'Registre_Maintenance'!B:B,'Registre_Maintenance'!E:E,"Pas de correspondance")</f>
        <v>18.975141000000001</v>
      </c>
      <c r="J781" t="str">
        <f>_xlfn.XLOOKUP(Logs__2[[#This Row],[Cell_ID]],'Registre_Maintenance'!B:B,'Registre_Maintenance'!F:F,"Pas de correspondance")</f>
        <v>5G</v>
      </c>
      <c r="K781" t="str">
        <f>_xlfn.XLOOKUP(Logs__2[[#This Row],[Cell_ID]],'Registre_Maintenance'!B:B,'Registre_Maintenance'!G:G,"Pas de correspondance")</f>
        <v>Ericsson</v>
      </c>
    </row>
    <row r="782" spans="1:11" hidden="1" x14ac:dyDescent="0.25">
      <c r="A782" s="1" t="s">
        <v>1337</v>
      </c>
      <c r="B782" s="2">
        <v>45230</v>
      </c>
      <c r="C782" s="3">
        <v>0.50277777777777777</v>
      </c>
      <c r="D782" s="1" t="s">
        <v>1200</v>
      </c>
      <c r="E782">
        <v>99</v>
      </c>
      <c r="F782" s="1" t="s">
        <v>806</v>
      </c>
      <c r="G782" t="str">
        <f>_xlfn.XLOOKUP(Logs__2[[#This Row],[Cell_ID]],'Registre_Maintenance'!B:B,'Registre_Maintenance'!C:C,"Pas de correspondance")</f>
        <v>Pas de correspondance</v>
      </c>
      <c r="H782" t="str">
        <f>_xlfn.XLOOKUP(Logs__2[[#This Row],[Cell_ID]],'Registre_Maintenance'!B:B,'Registre_Maintenance'!D:D,"Pas de correspondance")</f>
        <v>Pas de correspondance</v>
      </c>
      <c r="I782" t="str">
        <f>_xlfn.XLOOKUP(Logs__2[[#This Row],[Cell_ID]],'Registre_Maintenance'!B:B,'Registre_Maintenance'!E:E,"Pas de correspondance")</f>
        <v>Pas de correspondance</v>
      </c>
      <c r="J782" t="str">
        <f>_xlfn.XLOOKUP(Logs__2[[#This Row],[Cell_ID]],'Registre_Maintenance'!B:B,'Registre_Maintenance'!F:F,"Pas de correspondance")</f>
        <v>Pas de correspondance</v>
      </c>
      <c r="K782" t="str">
        <f>_xlfn.XLOOKUP(Logs__2[[#This Row],[Cell_ID]],'Registre_Maintenance'!B:B,'Registre_Maintenance'!G:G,"Pas de correspondance")</f>
        <v>Pas de correspondance</v>
      </c>
    </row>
    <row r="783" spans="1:11" x14ac:dyDescent="0.25">
      <c r="A783" s="1" t="s">
        <v>1337</v>
      </c>
      <c r="B783" s="2">
        <v>45228</v>
      </c>
      <c r="C783" s="3">
        <v>0.62152777777777779</v>
      </c>
      <c r="D783" s="1" t="s">
        <v>870</v>
      </c>
      <c r="E783">
        <v>98</v>
      </c>
      <c r="F783" s="1" t="s">
        <v>811</v>
      </c>
      <c r="G783" t="str">
        <f>_xlfn.XLOOKUP(Logs__2[[#This Row],[Cell_ID]],'Registre_Maintenance'!B:B,'Registre_Maintenance'!C:C,"Pas de correspondance")</f>
        <v>Kwango</v>
      </c>
      <c r="H783">
        <f>_xlfn.XLOOKUP(Logs__2[[#This Row],[Cell_ID]],'Registre_Maintenance'!B:B,'Registre_Maintenance'!D:D,"Pas de correspondance")</f>
        <v>-10.963041</v>
      </c>
      <c r="I783">
        <f>_xlfn.XLOOKUP(Logs__2[[#This Row],[Cell_ID]],'Registre_Maintenance'!B:B,'Registre_Maintenance'!E:E,"Pas de correspondance")</f>
        <v>12.269857</v>
      </c>
      <c r="J783" t="str">
        <f>_xlfn.XLOOKUP(Logs__2[[#This Row],[Cell_ID]],'Registre_Maintenance'!B:B,'Registre_Maintenance'!F:F,"Pas de correspondance")</f>
        <v>4G</v>
      </c>
      <c r="K783" t="str">
        <f>_xlfn.XLOOKUP(Logs__2[[#This Row],[Cell_ID]],'Registre_Maintenance'!B:B,'Registre_Maintenance'!G:G,"Pas de correspondance")</f>
        <v>Huawei</v>
      </c>
    </row>
    <row r="784" spans="1:11" hidden="1" x14ac:dyDescent="0.25">
      <c r="A784" s="1" t="s">
        <v>1337</v>
      </c>
      <c r="B784" s="2">
        <v>45209</v>
      </c>
      <c r="C784" s="3">
        <v>0.3888888888888889</v>
      </c>
      <c r="D784" s="1" t="s">
        <v>1362</v>
      </c>
      <c r="E784">
        <v>44</v>
      </c>
      <c r="F784" s="1" t="s">
        <v>806</v>
      </c>
      <c r="G784" t="str">
        <f>_xlfn.XLOOKUP(Logs__2[[#This Row],[Cell_ID]],'Registre_Maintenance'!B:B,'Registre_Maintenance'!C:C,"Pas de correspondance")</f>
        <v>Pas de correspondance</v>
      </c>
      <c r="H784" t="str">
        <f>_xlfn.XLOOKUP(Logs__2[[#This Row],[Cell_ID]],'Registre_Maintenance'!B:B,'Registre_Maintenance'!D:D,"Pas de correspondance")</f>
        <v>Pas de correspondance</v>
      </c>
      <c r="I784" t="str">
        <f>_xlfn.XLOOKUP(Logs__2[[#This Row],[Cell_ID]],'Registre_Maintenance'!B:B,'Registre_Maintenance'!E:E,"Pas de correspondance")</f>
        <v>Pas de correspondance</v>
      </c>
      <c r="J784" t="str">
        <f>_xlfn.XLOOKUP(Logs__2[[#This Row],[Cell_ID]],'Registre_Maintenance'!B:B,'Registre_Maintenance'!F:F,"Pas de correspondance")</f>
        <v>Pas de correspondance</v>
      </c>
      <c r="K784" t="str">
        <f>_xlfn.XLOOKUP(Logs__2[[#This Row],[Cell_ID]],'Registre_Maintenance'!B:B,'Registre_Maintenance'!G:G,"Pas de correspondance")</f>
        <v>Pas de correspondance</v>
      </c>
    </row>
    <row r="785" spans="1:11" hidden="1" x14ac:dyDescent="0.25">
      <c r="A785" s="1" t="s">
        <v>1337</v>
      </c>
      <c r="B785" s="2">
        <v>45202</v>
      </c>
      <c r="C785" s="3">
        <v>0.72847222222222219</v>
      </c>
      <c r="D785" s="1" t="s">
        <v>1287</v>
      </c>
      <c r="E785">
        <v>18</v>
      </c>
      <c r="F785" s="1" t="s">
        <v>806</v>
      </c>
      <c r="G785" t="str">
        <f>_xlfn.XLOOKUP(Logs__2[[#This Row],[Cell_ID]],'Registre_Maintenance'!B:B,'Registre_Maintenance'!C:C,"Pas de correspondance")</f>
        <v>Pas de correspondance</v>
      </c>
      <c r="H785" t="str">
        <f>_xlfn.XLOOKUP(Logs__2[[#This Row],[Cell_ID]],'Registre_Maintenance'!B:B,'Registre_Maintenance'!D:D,"Pas de correspondance")</f>
        <v>Pas de correspondance</v>
      </c>
      <c r="I785" t="str">
        <f>_xlfn.XLOOKUP(Logs__2[[#This Row],[Cell_ID]],'Registre_Maintenance'!B:B,'Registre_Maintenance'!E:E,"Pas de correspondance")</f>
        <v>Pas de correspondance</v>
      </c>
      <c r="J785" t="str">
        <f>_xlfn.XLOOKUP(Logs__2[[#This Row],[Cell_ID]],'Registre_Maintenance'!B:B,'Registre_Maintenance'!F:F,"Pas de correspondance")</f>
        <v>Pas de correspondance</v>
      </c>
      <c r="K785" t="str">
        <f>_xlfn.XLOOKUP(Logs__2[[#This Row],[Cell_ID]],'Registre_Maintenance'!B:B,'Registre_Maintenance'!G:G,"Pas de correspondance")</f>
        <v>Pas de correspondance</v>
      </c>
    </row>
    <row r="786" spans="1:11" x14ac:dyDescent="0.25">
      <c r="A786" s="1" t="s">
        <v>1337</v>
      </c>
      <c r="B786" s="2">
        <v>45200</v>
      </c>
      <c r="C786" s="3">
        <v>0.46666666666666667</v>
      </c>
      <c r="D786" s="1" t="s">
        <v>1363</v>
      </c>
      <c r="E786">
        <v>31</v>
      </c>
      <c r="F786" s="1" t="s">
        <v>809</v>
      </c>
      <c r="G786" t="str">
        <f>_xlfn.XLOOKUP(Logs__2[[#This Row],[Cell_ID]],'Registre_Maintenance'!B:B,'Registre_Maintenance'!C:C,"Pas de correspondance")</f>
        <v>Lomami</v>
      </c>
      <c r="H786">
        <f>_xlfn.XLOOKUP(Logs__2[[#This Row],[Cell_ID]],'Registre_Maintenance'!B:B,'Registre_Maintenance'!D:D,"Pas de correspondance")</f>
        <v>-9.5619429999999994</v>
      </c>
      <c r="I786">
        <f>_xlfn.XLOOKUP(Logs__2[[#This Row],[Cell_ID]],'Registre_Maintenance'!B:B,'Registre_Maintenance'!E:E,"Pas de correspondance")</f>
        <v>21.445726000000001</v>
      </c>
      <c r="J786" t="str">
        <f>_xlfn.XLOOKUP(Logs__2[[#This Row],[Cell_ID]],'Registre_Maintenance'!B:B,'Registre_Maintenance'!F:F,"Pas de correspondance")</f>
        <v>4G</v>
      </c>
      <c r="K786" t="str">
        <f>_xlfn.XLOOKUP(Logs__2[[#This Row],[Cell_ID]],'Registre_Maintenance'!B:B,'Registre_Maintenance'!G:G,"Pas de correspondance")</f>
        <v>Nokia</v>
      </c>
    </row>
    <row r="787" spans="1:11" hidden="1" x14ac:dyDescent="0.25">
      <c r="A787" s="1" t="s">
        <v>1337</v>
      </c>
      <c r="B787" s="2">
        <v>45225</v>
      </c>
      <c r="C787" s="3">
        <v>0.55347222222222225</v>
      </c>
      <c r="D787" s="1" t="s">
        <v>1345</v>
      </c>
      <c r="E787">
        <v>120</v>
      </c>
      <c r="F787" s="1" t="s">
        <v>806</v>
      </c>
      <c r="G787" t="str">
        <f>_xlfn.XLOOKUP(Logs__2[[#This Row],[Cell_ID]],'Registre_Maintenance'!B:B,'Registre_Maintenance'!C:C,"Pas de correspondance")</f>
        <v>Pas de correspondance</v>
      </c>
      <c r="H787" t="str">
        <f>_xlfn.XLOOKUP(Logs__2[[#This Row],[Cell_ID]],'Registre_Maintenance'!B:B,'Registre_Maintenance'!D:D,"Pas de correspondance")</f>
        <v>Pas de correspondance</v>
      </c>
      <c r="I787" t="str">
        <f>_xlfn.XLOOKUP(Logs__2[[#This Row],[Cell_ID]],'Registre_Maintenance'!B:B,'Registre_Maintenance'!E:E,"Pas de correspondance")</f>
        <v>Pas de correspondance</v>
      </c>
      <c r="J787" t="str">
        <f>_xlfn.XLOOKUP(Logs__2[[#This Row],[Cell_ID]],'Registre_Maintenance'!B:B,'Registre_Maintenance'!F:F,"Pas de correspondance")</f>
        <v>Pas de correspondance</v>
      </c>
      <c r="K787" t="str">
        <f>_xlfn.XLOOKUP(Logs__2[[#This Row],[Cell_ID]],'Registre_Maintenance'!B:B,'Registre_Maintenance'!G:G,"Pas de correspondance")</f>
        <v>Pas de correspondance</v>
      </c>
    </row>
    <row r="788" spans="1:11" x14ac:dyDescent="0.25">
      <c r="A788" s="1" t="s">
        <v>1364</v>
      </c>
      <c r="B788" s="2">
        <v>45226</v>
      </c>
      <c r="C788" s="3">
        <v>0.20902777777777778</v>
      </c>
      <c r="D788" s="1" t="s">
        <v>1277</v>
      </c>
      <c r="E788">
        <v>81</v>
      </c>
      <c r="F788" s="1" t="s">
        <v>811</v>
      </c>
      <c r="G788" t="str">
        <f>_xlfn.XLOOKUP(Logs__2[[#This Row],[Cell_ID]],'Registre_Maintenance'!B:B,'Registre_Maintenance'!C:C,"Pas de correspondance")</f>
        <v>Nord-Ubangi</v>
      </c>
      <c r="H788">
        <f>_xlfn.XLOOKUP(Logs__2[[#This Row],[Cell_ID]],'Registre_Maintenance'!B:B,'Registre_Maintenance'!D:D,"Pas de correspondance")</f>
        <v>-8.4985189999999999</v>
      </c>
      <c r="I788">
        <f>_xlfn.XLOOKUP(Logs__2[[#This Row],[Cell_ID]],'Registre_Maintenance'!B:B,'Registre_Maintenance'!E:E,"Pas de correspondance")</f>
        <v>12.929456999999999</v>
      </c>
      <c r="J788" t="str">
        <f>_xlfn.XLOOKUP(Logs__2[[#This Row],[Cell_ID]],'Registre_Maintenance'!B:B,'Registre_Maintenance'!F:F,"Pas de correspondance")</f>
        <v>4G</v>
      </c>
      <c r="K788" t="str">
        <f>_xlfn.XLOOKUP(Logs__2[[#This Row],[Cell_ID]],'Registre_Maintenance'!B:B,'Registre_Maintenance'!G:G,"Pas de correspondance")</f>
        <v>Ericsson</v>
      </c>
    </row>
    <row r="789" spans="1:11" hidden="1" x14ac:dyDescent="0.25">
      <c r="A789" s="1" t="s">
        <v>1364</v>
      </c>
      <c r="B789" s="2">
        <v>45230</v>
      </c>
      <c r="C789" s="3">
        <v>0.53749999999999998</v>
      </c>
      <c r="D789" s="1" t="s">
        <v>1365</v>
      </c>
      <c r="E789">
        <v>33</v>
      </c>
      <c r="F789" s="1" t="s">
        <v>809</v>
      </c>
      <c r="G789" t="str">
        <f>_xlfn.XLOOKUP(Logs__2[[#This Row],[Cell_ID]],'Registre_Maintenance'!B:B,'Registre_Maintenance'!C:C,"Pas de correspondance")</f>
        <v>Pas de correspondance</v>
      </c>
      <c r="H789" t="str">
        <f>_xlfn.XLOOKUP(Logs__2[[#This Row],[Cell_ID]],'Registre_Maintenance'!B:B,'Registre_Maintenance'!D:D,"Pas de correspondance")</f>
        <v>Pas de correspondance</v>
      </c>
      <c r="I789" t="str">
        <f>_xlfn.XLOOKUP(Logs__2[[#This Row],[Cell_ID]],'Registre_Maintenance'!B:B,'Registre_Maintenance'!E:E,"Pas de correspondance")</f>
        <v>Pas de correspondance</v>
      </c>
      <c r="J789" t="str">
        <f>_xlfn.XLOOKUP(Logs__2[[#This Row],[Cell_ID]],'Registre_Maintenance'!B:B,'Registre_Maintenance'!F:F,"Pas de correspondance")</f>
        <v>Pas de correspondance</v>
      </c>
      <c r="K789" t="str">
        <f>_xlfn.XLOOKUP(Logs__2[[#This Row],[Cell_ID]],'Registre_Maintenance'!B:B,'Registre_Maintenance'!G:G,"Pas de correspondance")</f>
        <v>Pas de correspondance</v>
      </c>
    </row>
    <row r="790" spans="1:11" x14ac:dyDescent="0.25">
      <c r="A790" s="1" t="s">
        <v>1364</v>
      </c>
      <c r="B790" s="2">
        <v>45214</v>
      </c>
      <c r="C790" s="3">
        <v>0.74097222222222225</v>
      </c>
      <c r="D790" s="1" t="s">
        <v>1051</v>
      </c>
      <c r="E790">
        <v>8</v>
      </c>
      <c r="F790" s="1" t="s">
        <v>806</v>
      </c>
      <c r="G790" t="str">
        <f>_xlfn.XLOOKUP(Logs__2[[#This Row],[Cell_ID]],'Registre_Maintenance'!B:B,'Registre_Maintenance'!C:C,"Pas de correspondance")</f>
        <v>Nord-Kivu</v>
      </c>
      <c r="H790">
        <f>_xlfn.XLOOKUP(Logs__2[[#This Row],[Cell_ID]],'Registre_Maintenance'!B:B,'Registre_Maintenance'!D:D,"Pas de correspondance")</f>
        <v>-10.846306999999999</v>
      </c>
      <c r="I790">
        <f>_xlfn.XLOOKUP(Logs__2[[#This Row],[Cell_ID]],'Registre_Maintenance'!B:B,'Registre_Maintenance'!E:E,"Pas de correspondance")</f>
        <v>19.201827999999999</v>
      </c>
      <c r="J790" t="str">
        <f>_xlfn.XLOOKUP(Logs__2[[#This Row],[Cell_ID]],'Registre_Maintenance'!B:B,'Registre_Maintenance'!F:F,"Pas de correspondance")</f>
        <v>4G</v>
      </c>
      <c r="K790" t="str">
        <f>_xlfn.XLOOKUP(Logs__2[[#This Row],[Cell_ID]],'Registre_Maintenance'!B:B,'Registre_Maintenance'!G:G,"Pas de correspondance")</f>
        <v>Ericsson</v>
      </c>
    </row>
    <row r="791" spans="1:11" hidden="1" x14ac:dyDescent="0.25">
      <c r="A791" s="1" t="s">
        <v>1364</v>
      </c>
      <c r="B791" s="2">
        <v>45217</v>
      </c>
      <c r="C791" s="3">
        <v>0.29583333333333334</v>
      </c>
      <c r="D791" s="1" t="s">
        <v>1366</v>
      </c>
      <c r="E791">
        <v>119</v>
      </c>
      <c r="F791" s="1" t="s">
        <v>806</v>
      </c>
      <c r="G791" t="str">
        <f>_xlfn.XLOOKUP(Logs__2[[#This Row],[Cell_ID]],'Registre_Maintenance'!B:B,'Registre_Maintenance'!C:C,"Pas de correspondance")</f>
        <v>Pas de correspondance</v>
      </c>
      <c r="H791" t="str">
        <f>_xlfn.XLOOKUP(Logs__2[[#This Row],[Cell_ID]],'Registre_Maintenance'!B:B,'Registre_Maintenance'!D:D,"Pas de correspondance")</f>
        <v>Pas de correspondance</v>
      </c>
      <c r="I791" t="str">
        <f>_xlfn.XLOOKUP(Logs__2[[#This Row],[Cell_ID]],'Registre_Maintenance'!B:B,'Registre_Maintenance'!E:E,"Pas de correspondance")</f>
        <v>Pas de correspondance</v>
      </c>
      <c r="J791" t="str">
        <f>_xlfn.XLOOKUP(Logs__2[[#This Row],[Cell_ID]],'Registre_Maintenance'!B:B,'Registre_Maintenance'!F:F,"Pas de correspondance")</f>
        <v>Pas de correspondance</v>
      </c>
      <c r="K791" t="str">
        <f>_xlfn.XLOOKUP(Logs__2[[#This Row],[Cell_ID]],'Registre_Maintenance'!B:B,'Registre_Maintenance'!G:G,"Pas de correspondance")</f>
        <v>Pas de correspondance</v>
      </c>
    </row>
    <row r="792" spans="1:11" x14ac:dyDescent="0.25">
      <c r="A792" s="1" t="s">
        <v>1364</v>
      </c>
      <c r="B792" s="2">
        <v>45214</v>
      </c>
      <c r="C792" s="3">
        <v>0.16041666666666668</v>
      </c>
      <c r="D792" s="1" t="s">
        <v>1249</v>
      </c>
      <c r="E792">
        <v>108</v>
      </c>
      <c r="F792" s="1" t="s">
        <v>811</v>
      </c>
      <c r="G792" t="str">
        <f>_xlfn.XLOOKUP(Logs__2[[#This Row],[Cell_ID]],'Registre_Maintenance'!B:B,'Registre_Maintenance'!C:C,"Pas de correspondance")</f>
        <v>Mongala</v>
      </c>
      <c r="H792">
        <f>_xlfn.XLOOKUP(Logs__2[[#This Row],[Cell_ID]],'Registre_Maintenance'!B:B,'Registre_Maintenance'!D:D,"Pas de correspondance")</f>
        <v>-11.407966</v>
      </c>
      <c r="I792">
        <f>_xlfn.XLOOKUP(Logs__2[[#This Row],[Cell_ID]],'Registre_Maintenance'!B:B,'Registre_Maintenance'!E:E,"Pas de correspondance")</f>
        <v>28.378274000000001</v>
      </c>
      <c r="J792" t="str">
        <f>_xlfn.XLOOKUP(Logs__2[[#This Row],[Cell_ID]],'Registre_Maintenance'!B:B,'Registre_Maintenance'!F:F,"Pas de correspondance")</f>
        <v>4G</v>
      </c>
      <c r="K792" t="str">
        <f>_xlfn.XLOOKUP(Logs__2[[#This Row],[Cell_ID]],'Registre_Maintenance'!B:B,'Registre_Maintenance'!G:G,"Pas de correspondance")</f>
        <v>ZTE</v>
      </c>
    </row>
    <row r="793" spans="1:11" x14ac:dyDescent="0.25">
      <c r="A793" s="1" t="s">
        <v>1364</v>
      </c>
      <c r="B793" s="2">
        <v>45225</v>
      </c>
      <c r="C793" s="3">
        <v>0.17152777777777778</v>
      </c>
      <c r="D793" s="1" t="s">
        <v>1367</v>
      </c>
      <c r="E793">
        <v>104</v>
      </c>
      <c r="F793" s="1" t="s">
        <v>809</v>
      </c>
      <c r="G793" t="str">
        <f>_xlfn.XLOOKUP(Logs__2[[#This Row],[Cell_ID]],'Registre_Maintenance'!B:B,'Registre_Maintenance'!C:C,"Pas de correspondance")</f>
        <v>Kongo-Central</v>
      </c>
      <c r="H793">
        <f>_xlfn.XLOOKUP(Logs__2[[#This Row],[Cell_ID]],'Registre_Maintenance'!B:B,'Registre_Maintenance'!D:D,"Pas de correspondance")</f>
        <v>1.2463919999999999</v>
      </c>
      <c r="I793">
        <f>_xlfn.XLOOKUP(Logs__2[[#This Row],[Cell_ID]],'Registre_Maintenance'!B:B,'Registre_Maintenance'!E:E,"Pas de correspondance")</f>
        <v>13.266916999999999</v>
      </c>
      <c r="J793" t="str">
        <f>_xlfn.XLOOKUP(Logs__2[[#This Row],[Cell_ID]],'Registre_Maintenance'!B:B,'Registre_Maintenance'!F:F,"Pas de correspondance")</f>
        <v>5G</v>
      </c>
      <c r="K793" t="str">
        <f>_xlfn.XLOOKUP(Logs__2[[#This Row],[Cell_ID]],'Registre_Maintenance'!B:B,'Registre_Maintenance'!G:G,"Pas de correspondance")</f>
        <v>Huawei</v>
      </c>
    </row>
    <row r="794" spans="1:11" x14ac:dyDescent="0.25">
      <c r="A794" s="1" t="s">
        <v>1364</v>
      </c>
      <c r="B794" s="2">
        <v>45200</v>
      </c>
      <c r="C794" s="3">
        <v>7.8472222222222221E-2</v>
      </c>
      <c r="D794" s="1" t="s">
        <v>1044</v>
      </c>
      <c r="E794">
        <v>40</v>
      </c>
      <c r="F794" s="1" t="s">
        <v>806</v>
      </c>
      <c r="G794" t="str">
        <f>_xlfn.XLOOKUP(Logs__2[[#This Row],[Cell_ID]],'Registre_Maintenance'!B:B,'Registre_Maintenance'!C:C,"Pas de correspondance")</f>
        <v>Kasaï</v>
      </c>
      <c r="H794">
        <f>_xlfn.XLOOKUP(Logs__2[[#This Row],[Cell_ID]],'Registre_Maintenance'!B:B,'Registre_Maintenance'!D:D,"Pas de correspondance")</f>
        <v>-10.165072</v>
      </c>
      <c r="I794">
        <f>_xlfn.XLOOKUP(Logs__2[[#This Row],[Cell_ID]],'Registre_Maintenance'!B:B,'Registre_Maintenance'!E:E,"Pas de correspondance")</f>
        <v>29.428024000000001</v>
      </c>
      <c r="J794" t="str">
        <f>_xlfn.XLOOKUP(Logs__2[[#This Row],[Cell_ID]],'Registre_Maintenance'!B:B,'Registre_Maintenance'!F:F,"Pas de correspondance")</f>
        <v>5G</v>
      </c>
      <c r="K794" t="str">
        <f>_xlfn.XLOOKUP(Logs__2[[#This Row],[Cell_ID]],'Registre_Maintenance'!B:B,'Registre_Maintenance'!G:G,"Pas de correspondance")</f>
        <v>Huawei</v>
      </c>
    </row>
    <row r="795" spans="1:11" hidden="1" x14ac:dyDescent="0.25">
      <c r="A795" s="1" t="s">
        <v>1364</v>
      </c>
      <c r="B795" s="2">
        <v>45224</v>
      </c>
      <c r="C795" s="3">
        <v>0.29722222222222222</v>
      </c>
      <c r="D795" s="1" t="s">
        <v>1368</v>
      </c>
      <c r="E795">
        <v>12</v>
      </c>
      <c r="F795" s="1" t="s">
        <v>811</v>
      </c>
      <c r="G795" t="str">
        <f>_xlfn.XLOOKUP(Logs__2[[#This Row],[Cell_ID]],'Registre_Maintenance'!B:B,'Registre_Maintenance'!C:C,"Pas de correspondance")</f>
        <v>Pas de correspondance</v>
      </c>
      <c r="H795" t="str">
        <f>_xlfn.XLOOKUP(Logs__2[[#This Row],[Cell_ID]],'Registre_Maintenance'!B:B,'Registre_Maintenance'!D:D,"Pas de correspondance")</f>
        <v>Pas de correspondance</v>
      </c>
      <c r="I795" t="str">
        <f>_xlfn.XLOOKUP(Logs__2[[#This Row],[Cell_ID]],'Registre_Maintenance'!B:B,'Registre_Maintenance'!E:E,"Pas de correspondance")</f>
        <v>Pas de correspondance</v>
      </c>
      <c r="J795" t="str">
        <f>_xlfn.XLOOKUP(Logs__2[[#This Row],[Cell_ID]],'Registre_Maintenance'!B:B,'Registre_Maintenance'!F:F,"Pas de correspondance")</f>
        <v>Pas de correspondance</v>
      </c>
      <c r="K795" t="str">
        <f>_xlfn.XLOOKUP(Logs__2[[#This Row],[Cell_ID]],'Registre_Maintenance'!B:B,'Registre_Maintenance'!G:G,"Pas de correspondance")</f>
        <v>Pas de correspondance</v>
      </c>
    </row>
    <row r="796" spans="1:11" hidden="1" x14ac:dyDescent="0.25">
      <c r="A796" s="1" t="s">
        <v>1364</v>
      </c>
      <c r="B796" s="2">
        <v>45206</v>
      </c>
      <c r="C796" s="3">
        <v>0.51597222222222228</v>
      </c>
      <c r="D796" s="1" t="s">
        <v>1369</v>
      </c>
      <c r="E796">
        <v>108</v>
      </c>
      <c r="F796" s="1" t="s">
        <v>806</v>
      </c>
      <c r="G796" t="str">
        <f>_xlfn.XLOOKUP(Logs__2[[#This Row],[Cell_ID]],'Registre_Maintenance'!B:B,'Registre_Maintenance'!C:C,"Pas de correspondance")</f>
        <v>Pas de correspondance</v>
      </c>
      <c r="H796" t="str">
        <f>_xlfn.XLOOKUP(Logs__2[[#This Row],[Cell_ID]],'Registre_Maintenance'!B:B,'Registre_Maintenance'!D:D,"Pas de correspondance")</f>
        <v>Pas de correspondance</v>
      </c>
      <c r="I796" t="str">
        <f>_xlfn.XLOOKUP(Logs__2[[#This Row],[Cell_ID]],'Registre_Maintenance'!B:B,'Registre_Maintenance'!E:E,"Pas de correspondance")</f>
        <v>Pas de correspondance</v>
      </c>
      <c r="J796" t="str">
        <f>_xlfn.XLOOKUP(Logs__2[[#This Row],[Cell_ID]],'Registre_Maintenance'!B:B,'Registre_Maintenance'!F:F,"Pas de correspondance")</f>
        <v>Pas de correspondance</v>
      </c>
      <c r="K796" t="str">
        <f>_xlfn.XLOOKUP(Logs__2[[#This Row],[Cell_ID]],'Registre_Maintenance'!B:B,'Registre_Maintenance'!G:G,"Pas de correspondance")</f>
        <v>Pas de correspondance</v>
      </c>
    </row>
    <row r="797" spans="1:11" x14ac:dyDescent="0.25">
      <c r="A797" s="1" t="s">
        <v>1364</v>
      </c>
      <c r="B797" s="2">
        <v>45221</v>
      </c>
      <c r="C797" s="3">
        <v>0.8618055555555556</v>
      </c>
      <c r="D797" s="1" t="s">
        <v>1370</v>
      </c>
      <c r="E797">
        <v>65</v>
      </c>
      <c r="F797" s="1" t="s">
        <v>806</v>
      </c>
      <c r="G797" t="str">
        <f>_xlfn.XLOOKUP(Logs__2[[#This Row],[Cell_ID]],'Registre_Maintenance'!B:B,'Registre_Maintenance'!C:C,"Pas de correspondance")</f>
        <v>Tanganyika</v>
      </c>
      <c r="H797">
        <f>_xlfn.XLOOKUP(Logs__2[[#This Row],[Cell_ID]],'Registre_Maintenance'!B:B,'Registre_Maintenance'!D:D,"Pas de correspondance")</f>
        <v>-3.9148719999999999</v>
      </c>
      <c r="I797">
        <f>_xlfn.XLOOKUP(Logs__2[[#This Row],[Cell_ID]],'Registre_Maintenance'!B:B,'Registre_Maintenance'!E:E,"Pas de correspondance")</f>
        <v>12.260933</v>
      </c>
      <c r="J797" t="str">
        <f>_xlfn.XLOOKUP(Logs__2[[#This Row],[Cell_ID]],'Registre_Maintenance'!B:B,'Registre_Maintenance'!F:F,"Pas de correspondance")</f>
        <v>4G</v>
      </c>
      <c r="K797" t="str">
        <f>_xlfn.XLOOKUP(Logs__2[[#This Row],[Cell_ID]],'Registre_Maintenance'!B:B,'Registre_Maintenance'!G:G,"Pas de correspondance")</f>
        <v>Ericsson</v>
      </c>
    </row>
    <row r="798" spans="1:11" hidden="1" x14ac:dyDescent="0.25">
      <c r="A798" s="1" t="s">
        <v>1364</v>
      </c>
      <c r="B798" s="2">
        <v>45202</v>
      </c>
      <c r="C798" s="3">
        <v>0.77569444444444446</v>
      </c>
      <c r="D798" s="1" t="s">
        <v>1348</v>
      </c>
      <c r="E798">
        <v>72</v>
      </c>
      <c r="F798" s="1" t="s">
        <v>806</v>
      </c>
      <c r="G798" t="str">
        <f>_xlfn.XLOOKUP(Logs__2[[#This Row],[Cell_ID]],'Registre_Maintenance'!B:B,'Registre_Maintenance'!C:C,"Pas de correspondance")</f>
        <v>Pas de correspondance</v>
      </c>
      <c r="H798" t="str">
        <f>_xlfn.XLOOKUP(Logs__2[[#This Row],[Cell_ID]],'Registre_Maintenance'!B:B,'Registre_Maintenance'!D:D,"Pas de correspondance")</f>
        <v>Pas de correspondance</v>
      </c>
      <c r="I798" t="str">
        <f>_xlfn.XLOOKUP(Logs__2[[#This Row],[Cell_ID]],'Registre_Maintenance'!B:B,'Registre_Maintenance'!E:E,"Pas de correspondance")</f>
        <v>Pas de correspondance</v>
      </c>
      <c r="J798" t="str">
        <f>_xlfn.XLOOKUP(Logs__2[[#This Row],[Cell_ID]],'Registre_Maintenance'!B:B,'Registre_Maintenance'!F:F,"Pas de correspondance")</f>
        <v>Pas de correspondance</v>
      </c>
      <c r="K798" t="str">
        <f>_xlfn.XLOOKUP(Logs__2[[#This Row],[Cell_ID]],'Registre_Maintenance'!B:B,'Registre_Maintenance'!G:G,"Pas de correspondance")</f>
        <v>Pas de correspondance</v>
      </c>
    </row>
    <row r="799" spans="1:11" hidden="1" x14ac:dyDescent="0.25">
      <c r="A799" s="1" t="s">
        <v>1364</v>
      </c>
      <c r="B799" s="2">
        <v>45208</v>
      </c>
      <c r="C799" s="3">
        <v>8.4027777777777785E-2</v>
      </c>
      <c r="D799" s="1" t="s">
        <v>1371</v>
      </c>
      <c r="E799">
        <v>50</v>
      </c>
      <c r="F799" s="1" t="s">
        <v>809</v>
      </c>
      <c r="G799" t="str">
        <f>_xlfn.XLOOKUP(Logs__2[[#This Row],[Cell_ID]],'Registre_Maintenance'!B:B,'Registre_Maintenance'!C:C,"Pas de correspondance")</f>
        <v>Pas de correspondance</v>
      </c>
      <c r="H799" t="str">
        <f>_xlfn.XLOOKUP(Logs__2[[#This Row],[Cell_ID]],'Registre_Maintenance'!B:B,'Registre_Maintenance'!D:D,"Pas de correspondance")</f>
        <v>Pas de correspondance</v>
      </c>
      <c r="I799" t="str">
        <f>_xlfn.XLOOKUP(Logs__2[[#This Row],[Cell_ID]],'Registre_Maintenance'!B:B,'Registre_Maintenance'!E:E,"Pas de correspondance")</f>
        <v>Pas de correspondance</v>
      </c>
      <c r="J799" t="str">
        <f>_xlfn.XLOOKUP(Logs__2[[#This Row],[Cell_ID]],'Registre_Maintenance'!B:B,'Registre_Maintenance'!F:F,"Pas de correspondance")</f>
        <v>Pas de correspondance</v>
      </c>
      <c r="K799" t="str">
        <f>_xlfn.XLOOKUP(Logs__2[[#This Row],[Cell_ID]],'Registre_Maintenance'!B:B,'Registre_Maintenance'!G:G,"Pas de correspondance")</f>
        <v>Pas de correspondance</v>
      </c>
    </row>
    <row r="800" spans="1:11" hidden="1" x14ac:dyDescent="0.25">
      <c r="A800" s="1" t="s">
        <v>1364</v>
      </c>
      <c r="B800" s="2">
        <v>45202</v>
      </c>
      <c r="C800" s="3">
        <v>0.28958333333333336</v>
      </c>
      <c r="D800" s="1" t="s">
        <v>944</v>
      </c>
      <c r="E800">
        <v>103</v>
      </c>
      <c r="F800" s="1" t="s">
        <v>809</v>
      </c>
      <c r="G800" t="str">
        <f>_xlfn.XLOOKUP(Logs__2[[#This Row],[Cell_ID]],'Registre_Maintenance'!B:B,'Registre_Maintenance'!C:C,"Pas de correspondance")</f>
        <v>Pas de correspondance</v>
      </c>
      <c r="H800" t="str">
        <f>_xlfn.XLOOKUP(Logs__2[[#This Row],[Cell_ID]],'Registre_Maintenance'!B:B,'Registre_Maintenance'!D:D,"Pas de correspondance")</f>
        <v>Pas de correspondance</v>
      </c>
      <c r="I800" t="str">
        <f>_xlfn.XLOOKUP(Logs__2[[#This Row],[Cell_ID]],'Registre_Maintenance'!B:B,'Registre_Maintenance'!E:E,"Pas de correspondance")</f>
        <v>Pas de correspondance</v>
      </c>
      <c r="J800" t="str">
        <f>_xlfn.XLOOKUP(Logs__2[[#This Row],[Cell_ID]],'Registre_Maintenance'!B:B,'Registre_Maintenance'!F:F,"Pas de correspondance")</f>
        <v>Pas de correspondance</v>
      </c>
      <c r="K800" t="str">
        <f>_xlfn.XLOOKUP(Logs__2[[#This Row],[Cell_ID]],'Registre_Maintenance'!B:B,'Registre_Maintenance'!G:G,"Pas de correspondance")</f>
        <v>Pas de correspondance</v>
      </c>
    </row>
    <row r="801" spans="1:11" hidden="1" x14ac:dyDescent="0.25">
      <c r="A801" s="1" t="s">
        <v>1364</v>
      </c>
      <c r="B801" s="2">
        <v>45220</v>
      </c>
      <c r="C801" s="3">
        <v>0.61875000000000002</v>
      </c>
      <c r="D801" s="1" t="s">
        <v>1359</v>
      </c>
      <c r="E801">
        <v>79</v>
      </c>
      <c r="F801" s="1" t="s">
        <v>806</v>
      </c>
      <c r="G801" t="str">
        <f>_xlfn.XLOOKUP(Logs__2[[#This Row],[Cell_ID]],'Registre_Maintenance'!B:B,'Registre_Maintenance'!C:C,"Pas de correspondance")</f>
        <v>Pas de correspondance</v>
      </c>
      <c r="H801" t="str">
        <f>_xlfn.XLOOKUP(Logs__2[[#This Row],[Cell_ID]],'Registre_Maintenance'!B:B,'Registre_Maintenance'!D:D,"Pas de correspondance")</f>
        <v>Pas de correspondance</v>
      </c>
      <c r="I801" t="str">
        <f>_xlfn.XLOOKUP(Logs__2[[#This Row],[Cell_ID]],'Registre_Maintenance'!B:B,'Registre_Maintenance'!E:E,"Pas de correspondance")</f>
        <v>Pas de correspondance</v>
      </c>
      <c r="J801" t="str">
        <f>_xlfn.XLOOKUP(Logs__2[[#This Row],[Cell_ID]],'Registre_Maintenance'!B:B,'Registre_Maintenance'!F:F,"Pas de correspondance")</f>
        <v>Pas de correspondance</v>
      </c>
      <c r="K801" t="str">
        <f>_xlfn.XLOOKUP(Logs__2[[#This Row],[Cell_ID]],'Registre_Maintenance'!B:B,'Registre_Maintenance'!G:G,"Pas de correspondance")</f>
        <v>Pas de correspondance</v>
      </c>
    </row>
    <row r="802" spans="1:11" x14ac:dyDescent="0.25">
      <c r="A802" s="1" t="s">
        <v>1364</v>
      </c>
      <c r="B802" s="2">
        <v>45204</v>
      </c>
      <c r="C802" s="3">
        <v>0.12291666666666666</v>
      </c>
      <c r="D802" s="1" t="s">
        <v>1276</v>
      </c>
      <c r="E802">
        <v>34</v>
      </c>
      <c r="F802" s="1" t="s">
        <v>806</v>
      </c>
      <c r="G802" t="str">
        <f>_xlfn.XLOOKUP(Logs__2[[#This Row],[Cell_ID]],'Registre_Maintenance'!B:B,'Registre_Maintenance'!C:C,"Pas de correspondance")</f>
        <v>Equateur</v>
      </c>
      <c r="H802">
        <f>_xlfn.XLOOKUP(Logs__2[[#This Row],[Cell_ID]],'Registre_Maintenance'!B:B,'Registre_Maintenance'!D:D,"Pas de correspondance")</f>
        <v>-6.1490739999999997</v>
      </c>
      <c r="I802">
        <f>_xlfn.XLOOKUP(Logs__2[[#This Row],[Cell_ID]],'Registre_Maintenance'!B:B,'Registre_Maintenance'!E:E,"Pas de correspondance")</f>
        <v>23.304411000000002</v>
      </c>
      <c r="J802" t="str">
        <f>_xlfn.XLOOKUP(Logs__2[[#This Row],[Cell_ID]],'Registre_Maintenance'!B:B,'Registre_Maintenance'!F:F,"Pas de correspondance")</f>
        <v>5G</v>
      </c>
      <c r="K802" t="str">
        <f>_xlfn.XLOOKUP(Logs__2[[#This Row],[Cell_ID]],'Registre_Maintenance'!B:B,'Registre_Maintenance'!G:G,"Pas de correspondance")</f>
        <v>ZTE</v>
      </c>
    </row>
    <row r="803" spans="1:11" hidden="1" x14ac:dyDescent="0.25">
      <c r="A803" s="1" t="s">
        <v>1364</v>
      </c>
      <c r="B803" s="2">
        <v>45227</v>
      </c>
      <c r="C803" s="3">
        <v>0.42152777777777778</v>
      </c>
      <c r="D803" s="1" t="s">
        <v>1342</v>
      </c>
      <c r="E803">
        <v>25</v>
      </c>
      <c r="F803" s="1" t="s">
        <v>809</v>
      </c>
      <c r="G803" t="str">
        <f>_xlfn.XLOOKUP(Logs__2[[#This Row],[Cell_ID]],'Registre_Maintenance'!B:B,'Registre_Maintenance'!C:C,"Pas de correspondance")</f>
        <v>Pas de correspondance</v>
      </c>
      <c r="H803" t="str">
        <f>_xlfn.XLOOKUP(Logs__2[[#This Row],[Cell_ID]],'Registre_Maintenance'!B:B,'Registre_Maintenance'!D:D,"Pas de correspondance")</f>
        <v>Pas de correspondance</v>
      </c>
      <c r="I803" t="str">
        <f>_xlfn.XLOOKUP(Logs__2[[#This Row],[Cell_ID]],'Registre_Maintenance'!B:B,'Registre_Maintenance'!E:E,"Pas de correspondance")</f>
        <v>Pas de correspondance</v>
      </c>
      <c r="J803" t="str">
        <f>_xlfn.XLOOKUP(Logs__2[[#This Row],[Cell_ID]],'Registre_Maintenance'!B:B,'Registre_Maintenance'!F:F,"Pas de correspondance")</f>
        <v>Pas de correspondance</v>
      </c>
      <c r="K803" t="str">
        <f>_xlfn.XLOOKUP(Logs__2[[#This Row],[Cell_ID]],'Registre_Maintenance'!B:B,'Registre_Maintenance'!G:G,"Pas de correspondance")</f>
        <v>Pas de correspondance</v>
      </c>
    </row>
    <row r="804" spans="1:11" hidden="1" x14ac:dyDescent="0.25">
      <c r="A804" s="1" t="s">
        <v>1364</v>
      </c>
      <c r="B804" s="2">
        <v>45201</v>
      </c>
      <c r="C804" s="3">
        <v>0.5854166666666667</v>
      </c>
      <c r="D804" s="1" t="s">
        <v>1372</v>
      </c>
      <c r="E804">
        <v>17</v>
      </c>
      <c r="F804" s="1" t="s">
        <v>811</v>
      </c>
      <c r="G804" t="str">
        <f>_xlfn.XLOOKUP(Logs__2[[#This Row],[Cell_ID]],'Registre_Maintenance'!B:B,'Registre_Maintenance'!C:C,"Pas de correspondance")</f>
        <v>Pas de correspondance</v>
      </c>
      <c r="H804" t="str">
        <f>_xlfn.XLOOKUP(Logs__2[[#This Row],[Cell_ID]],'Registre_Maintenance'!B:B,'Registre_Maintenance'!D:D,"Pas de correspondance")</f>
        <v>Pas de correspondance</v>
      </c>
      <c r="I804" t="str">
        <f>_xlfn.XLOOKUP(Logs__2[[#This Row],[Cell_ID]],'Registre_Maintenance'!B:B,'Registre_Maintenance'!E:E,"Pas de correspondance")</f>
        <v>Pas de correspondance</v>
      </c>
      <c r="J804" t="str">
        <f>_xlfn.XLOOKUP(Logs__2[[#This Row],[Cell_ID]],'Registre_Maintenance'!B:B,'Registre_Maintenance'!F:F,"Pas de correspondance")</f>
        <v>Pas de correspondance</v>
      </c>
      <c r="K804" t="str">
        <f>_xlfn.XLOOKUP(Logs__2[[#This Row],[Cell_ID]],'Registre_Maintenance'!B:B,'Registre_Maintenance'!G:G,"Pas de correspondance")</f>
        <v>Pas de correspondance</v>
      </c>
    </row>
    <row r="805" spans="1:11" x14ac:dyDescent="0.25">
      <c r="A805" s="1" t="s">
        <v>1364</v>
      </c>
      <c r="B805" s="2">
        <v>45205</v>
      </c>
      <c r="C805" s="3">
        <v>0.76875000000000004</v>
      </c>
      <c r="D805" s="1" t="s">
        <v>1373</v>
      </c>
      <c r="E805">
        <v>36</v>
      </c>
      <c r="F805" s="1" t="s">
        <v>806</v>
      </c>
      <c r="G805" t="str">
        <f>_xlfn.XLOOKUP(Logs__2[[#This Row],[Cell_ID]],'Registre_Maintenance'!B:B,'Registre_Maintenance'!C:C,"Pas de correspondance")</f>
        <v>Kongo-Central</v>
      </c>
      <c r="H805">
        <f>_xlfn.XLOOKUP(Logs__2[[#This Row],[Cell_ID]],'Registre_Maintenance'!B:B,'Registre_Maintenance'!D:D,"Pas de correspondance")</f>
        <v>-0.469945</v>
      </c>
      <c r="I805">
        <f>_xlfn.XLOOKUP(Logs__2[[#This Row],[Cell_ID]],'Registre_Maintenance'!B:B,'Registre_Maintenance'!E:E,"Pas de correspondance")</f>
        <v>21.038527999999999</v>
      </c>
      <c r="J805" t="str">
        <f>_xlfn.XLOOKUP(Logs__2[[#This Row],[Cell_ID]],'Registre_Maintenance'!B:B,'Registre_Maintenance'!F:F,"Pas de correspondance")</f>
        <v>3G</v>
      </c>
      <c r="K805" t="str">
        <f>_xlfn.XLOOKUP(Logs__2[[#This Row],[Cell_ID]],'Registre_Maintenance'!B:B,'Registre_Maintenance'!G:G,"Pas de correspondance")</f>
        <v>Ericsson</v>
      </c>
    </row>
    <row r="806" spans="1:11" hidden="1" x14ac:dyDescent="0.25">
      <c r="A806" s="1" t="s">
        <v>1364</v>
      </c>
      <c r="B806" s="2">
        <v>45226</v>
      </c>
      <c r="C806" s="3">
        <v>0.97569444444444442</v>
      </c>
      <c r="D806" s="1" t="s">
        <v>992</v>
      </c>
      <c r="E806">
        <v>89</v>
      </c>
      <c r="F806" s="1" t="s">
        <v>811</v>
      </c>
      <c r="G806" t="str">
        <f>_xlfn.XLOOKUP(Logs__2[[#This Row],[Cell_ID]],'Registre_Maintenance'!B:B,'Registre_Maintenance'!C:C,"Pas de correspondance")</f>
        <v>Pas de correspondance</v>
      </c>
      <c r="H806" t="str">
        <f>_xlfn.XLOOKUP(Logs__2[[#This Row],[Cell_ID]],'Registre_Maintenance'!B:B,'Registre_Maintenance'!D:D,"Pas de correspondance")</f>
        <v>Pas de correspondance</v>
      </c>
      <c r="I806" t="str">
        <f>_xlfn.XLOOKUP(Logs__2[[#This Row],[Cell_ID]],'Registre_Maintenance'!B:B,'Registre_Maintenance'!E:E,"Pas de correspondance")</f>
        <v>Pas de correspondance</v>
      </c>
      <c r="J806" t="str">
        <f>_xlfn.XLOOKUP(Logs__2[[#This Row],[Cell_ID]],'Registre_Maintenance'!B:B,'Registre_Maintenance'!F:F,"Pas de correspondance")</f>
        <v>Pas de correspondance</v>
      </c>
      <c r="K806" t="str">
        <f>_xlfn.XLOOKUP(Logs__2[[#This Row],[Cell_ID]],'Registre_Maintenance'!B:B,'Registre_Maintenance'!G:G,"Pas de correspondance")</f>
        <v>Pas de correspondance</v>
      </c>
    </row>
    <row r="807" spans="1:11" hidden="1" x14ac:dyDescent="0.25">
      <c r="A807" s="1" t="s">
        <v>1364</v>
      </c>
      <c r="B807" s="2">
        <v>45215</v>
      </c>
      <c r="C807" s="3">
        <v>1.6666666666666666E-2</v>
      </c>
      <c r="D807" s="1" t="s">
        <v>1374</v>
      </c>
      <c r="E807">
        <v>35</v>
      </c>
      <c r="F807" s="1" t="s">
        <v>809</v>
      </c>
      <c r="G807" t="str">
        <f>_xlfn.XLOOKUP(Logs__2[[#This Row],[Cell_ID]],'Registre_Maintenance'!B:B,'Registre_Maintenance'!C:C,"Pas de correspondance")</f>
        <v>Pas de correspondance</v>
      </c>
      <c r="H807" t="str">
        <f>_xlfn.XLOOKUP(Logs__2[[#This Row],[Cell_ID]],'Registre_Maintenance'!B:B,'Registre_Maintenance'!D:D,"Pas de correspondance")</f>
        <v>Pas de correspondance</v>
      </c>
      <c r="I807" t="str">
        <f>_xlfn.XLOOKUP(Logs__2[[#This Row],[Cell_ID]],'Registre_Maintenance'!B:B,'Registre_Maintenance'!E:E,"Pas de correspondance")</f>
        <v>Pas de correspondance</v>
      </c>
      <c r="J807" t="str">
        <f>_xlfn.XLOOKUP(Logs__2[[#This Row],[Cell_ID]],'Registre_Maintenance'!B:B,'Registre_Maintenance'!F:F,"Pas de correspondance")</f>
        <v>Pas de correspondance</v>
      </c>
      <c r="K807" t="str">
        <f>_xlfn.XLOOKUP(Logs__2[[#This Row],[Cell_ID]],'Registre_Maintenance'!B:B,'Registre_Maintenance'!G:G,"Pas de correspondance")</f>
        <v>Pas de correspondance</v>
      </c>
    </row>
    <row r="808" spans="1:11" hidden="1" x14ac:dyDescent="0.25">
      <c r="A808" s="1" t="s">
        <v>1364</v>
      </c>
      <c r="B808" s="2">
        <v>45221</v>
      </c>
      <c r="C808" s="3">
        <v>0.5493055555555556</v>
      </c>
      <c r="D808" s="1" t="s">
        <v>1375</v>
      </c>
      <c r="E808">
        <v>39</v>
      </c>
      <c r="F808" s="1" t="s">
        <v>809</v>
      </c>
      <c r="G808" t="str">
        <f>_xlfn.XLOOKUP(Logs__2[[#This Row],[Cell_ID]],'Registre_Maintenance'!B:B,'Registre_Maintenance'!C:C,"Pas de correspondance")</f>
        <v>Pas de correspondance</v>
      </c>
      <c r="H808" t="str">
        <f>_xlfn.XLOOKUP(Logs__2[[#This Row],[Cell_ID]],'Registre_Maintenance'!B:B,'Registre_Maintenance'!D:D,"Pas de correspondance")</f>
        <v>Pas de correspondance</v>
      </c>
      <c r="I808" t="str">
        <f>_xlfn.XLOOKUP(Logs__2[[#This Row],[Cell_ID]],'Registre_Maintenance'!B:B,'Registre_Maintenance'!E:E,"Pas de correspondance")</f>
        <v>Pas de correspondance</v>
      </c>
      <c r="J808" t="str">
        <f>_xlfn.XLOOKUP(Logs__2[[#This Row],[Cell_ID]],'Registre_Maintenance'!B:B,'Registre_Maintenance'!F:F,"Pas de correspondance")</f>
        <v>Pas de correspondance</v>
      </c>
      <c r="K808" t="str">
        <f>_xlfn.XLOOKUP(Logs__2[[#This Row],[Cell_ID]],'Registre_Maintenance'!B:B,'Registre_Maintenance'!G:G,"Pas de correspondance")</f>
        <v>Pas de correspondance</v>
      </c>
    </row>
    <row r="809" spans="1:11" hidden="1" x14ac:dyDescent="0.25">
      <c r="A809" s="1" t="s">
        <v>1364</v>
      </c>
      <c r="B809" s="2">
        <v>45211</v>
      </c>
      <c r="C809" s="3">
        <v>0.2902777777777778</v>
      </c>
      <c r="D809" s="1" t="s">
        <v>1376</v>
      </c>
      <c r="E809">
        <v>73</v>
      </c>
      <c r="F809" s="1" t="s">
        <v>811</v>
      </c>
      <c r="G809" t="str">
        <f>_xlfn.XLOOKUP(Logs__2[[#This Row],[Cell_ID]],'Registre_Maintenance'!B:B,'Registre_Maintenance'!C:C,"Pas de correspondance")</f>
        <v>Pas de correspondance</v>
      </c>
      <c r="H809" t="str">
        <f>_xlfn.XLOOKUP(Logs__2[[#This Row],[Cell_ID]],'Registre_Maintenance'!B:B,'Registre_Maintenance'!D:D,"Pas de correspondance")</f>
        <v>Pas de correspondance</v>
      </c>
      <c r="I809" t="str">
        <f>_xlfn.XLOOKUP(Logs__2[[#This Row],[Cell_ID]],'Registre_Maintenance'!B:B,'Registre_Maintenance'!E:E,"Pas de correspondance")</f>
        <v>Pas de correspondance</v>
      </c>
      <c r="J809" t="str">
        <f>_xlfn.XLOOKUP(Logs__2[[#This Row],[Cell_ID]],'Registre_Maintenance'!B:B,'Registre_Maintenance'!F:F,"Pas de correspondance")</f>
        <v>Pas de correspondance</v>
      </c>
      <c r="K809" t="str">
        <f>_xlfn.XLOOKUP(Logs__2[[#This Row],[Cell_ID]],'Registre_Maintenance'!B:B,'Registre_Maintenance'!G:G,"Pas de correspondance")</f>
        <v>Pas de correspondance</v>
      </c>
    </row>
    <row r="810" spans="1:11" x14ac:dyDescent="0.25">
      <c r="A810" s="1" t="s">
        <v>1364</v>
      </c>
      <c r="B810" s="2">
        <v>45205</v>
      </c>
      <c r="C810" s="3">
        <v>0.34513888888888888</v>
      </c>
      <c r="D810" s="1" t="s">
        <v>979</v>
      </c>
      <c r="E810">
        <v>109</v>
      </c>
      <c r="F810" s="1" t="s">
        <v>809</v>
      </c>
      <c r="G810" t="str">
        <f>_xlfn.XLOOKUP(Logs__2[[#This Row],[Cell_ID]],'Registre_Maintenance'!B:B,'Registre_Maintenance'!C:C,"Pas de correspondance")</f>
        <v>Lomami</v>
      </c>
      <c r="H810">
        <f>_xlfn.XLOOKUP(Logs__2[[#This Row],[Cell_ID]],'Registre_Maintenance'!B:B,'Registre_Maintenance'!D:D,"Pas de correspondance")</f>
        <v>-2.2681789999999999</v>
      </c>
      <c r="I810">
        <f>_xlfn.XLOOKUP(Logs__2[[#This Row],[Cell_ID]],'Registre_Maintenance'!B:B,'Registre_Maintenance'!E:E,"Pas de correspondance")</f>
        <v>25.699068</v>
      </c>
      <c r="J810" t="str">
        <f>_xlfn.XLOOKUP(Logs__2[[#This Row],[Cell_ID]],'Registre_Maintenance'!B:B,'Registre_Maintenance'!F:F,"Pas de correspondance")</f>
        <v>3G</v>
      </c>
      <c r="K810" t="str">
        <f>_xlfn.XLOOKUP(Logs__2[[#This Row],[Cell_ID]],'Registre_Maintenance'!B:B,'Registre_Maintenance'!G:G,"Pas de correspondance")</f>
        <v>ZTE</v>
      </c>
    </row>
    <row r="811" spans="1:11" hidden="1" x14ac:dyDescent="0.25">
      <c r="A811" s="1" t="s">
        <v>1364</v>
      </c>
      <c r="B811" s="2">
        <v>45214</v>
      </c>
      <c r="C811" s="3">
        <v>0.16805555555555557</v>
      </c>
      <c r="D811" s="1" t="s">
        <v>1377</v>
      </c>
      <c r="E811">
        <v>106</v>
      </c>
      <c r="F811" s="1" t="s">
        <v>806</v>
      </c>
      <c r="G811" t="str">
        <f>_xlfn.XLOOKUP(Logs__2[[#This Row],[Cell_ID]],'Registre_Maintenance'!B:B,'Registre_Maintenance'!C:C,"Pas de correspondance")</f>
        <v>Pas de correspondance</v>
      </c>
      <c r="H811" t="str">
        <f>_xlfn.XLOOKUP(Logs__2[[#This Row],[Cell_ID]],'Registre_Maintenance'!B:B,'Registre_Maintenance'!D:D,"Pas de correspondance")</f>
        <v>Pas de correspondance</v>
      </c>
      <c r="I811" t="str">
        <f>_xlfn.XLOOKUP(Logs__2[[#This Row],[Cell_ID]],'Registre_Maintenance'!B:B,'Registre_Maintenance'!E:E,"Pas de correspondance")</f>
        <v>Pas de correspondance</v>
      </c>
      <c r="J811" t="str">
        <f>_xlfn.XLOOKUP(Logs__2[[#This Row],[Cell_ID]],'Registre_Maintenance'!B:B,'Registre_Maintenance'!F:F,"Pas de correspondance")</f>
        <v>Pas de correspondance</v>
      </c>
      <c r="K811" t="str">
        <f>_xlfn.XLOOKUP(Logs__2[[#This Row],[Cell_ID]],'Registre_Maintenance'!B:B,'Registre_Maintenance'!G:G,"Pas de correspondance")</f>
        <v>Pas de correspondance</v>
      </c>
    </row>
    <row r="812" spans="1:11" hidden="1" x14ac:dyDescent="0.25">
      <c r="A812" s="1" t="s">
        <v>1364</v>
      </c>
      <c r="B812" s="2">
        <v>45219</v>
      </c>
      <c r="C812" s="3">
        <v>0.81874999999999998</v>
      </c>
      <c r="D812" s="1" t="s">
        <v>988</v>
      </c>
      <c r="E812">
        <v>99</v>
      </c>
      <c r="F812" s="1" t="s">
        <v>811</v>
      </c>
      <c r="G812" t="str">
        <f>_xlfn.XLOOKUP(Logs__2[[#This Row],[Cell_ID]],'Registre_Maintenance'!B:B,'Registre_Maintenance'!C:C,"Pas de correspondance")</f>
        <v>Pas de correspondance</v>
      </c>
      <c r="H812" t="str">
        <f>_xlfn.XLOOKUP(Logs__2[[#This Row],[Cell_ID]],'Registre_Maintenance'!B:B,'Registre_Maintenance'!D:D,"Pas de correspondance")</f>
        <v>Pas de correspondance</v>
      </c>
      <c r="I812" t="str">
        <f>_xlfn.XLOOKUP(Logs__2[[#This Row],[Cell_ID]],'Registre_Maintenance'!B:B,'Registre_Maintenance'!E:E,"Pas de correspondance")</f>
        <v>Pas de correspondance</v>
      </c>
      <c r="J812" t="str">
        <f>_xlfn.XLOOKUP(Logs__2[[#This Row],[Cell_ID]],'Registre_Maintenance'!B:B,'Registre_Maintenance'!F:F,"Pas de correspondance")</f>
        <v>Pas de correspondance</v>
      </c>
      <c r="K812" t="str">
        <f>_xlfn.XLOOKUP(Logs__2[[#This Row],[Cell_ID]],'Registre_Maintenance'!B:B,'Registre_Maintenance'!G:G,"Pas de correspondance")</f>
        <v>Pas de correspondance</v>
      </c>
    </row>
    <row r="813" spans="1:11" hidden="1" x14ac:dyDescent="0.25">
      <c r="A813" s="1" t="s">
        <v>1364</v>
      </c>
      <c r="B813" s="2">
        <v>45207</v>
      </c>
      <c r="C813" s="3">
        <v>0.84583333333333333</v>
      </c>
      <c r="D813" s="1" t="s">
        <v>1023</v>
      </c>
      <c r="E813">
        <v>12</v>
      </c>
      <c r="F813" s="1" t="s">
        <v>811</v>
      </c>
      <c r="G813" t="str">
        <f>_xlfn.XLOOKUP(Logs__2[[#This Row],[Cell_ID]],'Registre_Maintenance'!B:B,'Registre_Maintenance'!C:C,"Pas de correspondance")</f>
        <v>Pas de correspondance</v>
      </c>
      <c r="H813" t="str">
        <f>_xlfn.XLOOKUP(Logs__2[[#This Row],[Cell_ID]],'Registre_Maintenance'!B:B,'Registre_Maintenance'!D:D,"Pas de correspondance")</f>
        <v>Pas de correspondance</v>
      </c>
      <c r="I813" t="str">
        <f>_xlfn.XLOOKUP(Logs__2[[#This Row],[Cell_ID]],'Registre_Maintenance'!B:B,'Registre_Maintenance'!E:E,"Pas de correspondance")</f>
        <v>Pas de correspondance</v>
      </c>
      <c r="J813" t="str">
        <f>_xlfn.XLOOKUP(Logs__2[[#This Row],[Cell_ID]],'Registre_Maintenance'!B:B,'Registre_Maintenance'!F:F,"Pas de correspondance")</f>
        <v>Pas de correspondance</v>
      </c>
      <c r="K813" t="str">
        <f>_xlfn.XLOOKUP(Logs__2[[#This Row],[Cell_ID]],'Registre_Maintenance'!B:B,'Registre_Maintenance'!G:G,"Pas de correspondance")</f>
        <v>Pas de correspondance</v>
      </c>
    </row>
    <row r="814" spans="1:11" x14ac:dyDescent="0.25">
      <c r="A814" s="1" t="s">
        <v>1364</v>
      </c>
      <c r="B814" s="2">
        <v>45215</v>
      </c>
      <c r="C814" s="3">
        <v>0.5805555555555556</v>
      </c>
      <c r="D814" s="1" t="s">
        <v>1036</v>
      </c>
      <c r="E814">
        <v>102</v>
      </c>
      <c r="F814" s="1" t="s">
        <v>811</v>
      </c>
      <c r="G814" t="str">
        <f>_xlfn.XLOOKUP(Logs__2[[#This Row],[Cell_ID]],'Registre_Maintenance'!B:B,'Registre_Maintenance'!C:C,"Pas de correspondance")</f>
        <v>Tshopo</v>
      </c>
      <c r="H814">
        <f>_xlfn.XLOOKUP(Logs__2[[#This Row],[Cell_ID]],'Registre_Maintenance'!B:B,'Registre_Maintenance'!D:D,"Pas de correspondance")</f>
        <v>2.4425979999999998</v>
      </c>
      <c r="I814">
        <f>_xlfn.XLOOKUP(Logs__2[[#This Row],[Cell_ID]],'Registre_Maintenance'!B:B,'Registre_Maintenance'!E:E,"Pas de correspondance")</f>
        <v>24.924308</v>
      </c>
      <c r="J814" t="str">
        <f>_xlfn.XLOOKUP(Logs__2[[#This Row],[Cell_ID]],'Registre_Maintenance'!B:B,'Registre_Maintenance'!F:F,"Pas de correspondance")</f>
        <v>5G</v>
      </c>
      <c r="K814" t="str">
        <f>_xlfn.XLOOKUP(Logs__2[[#This Row],[Cell_ID]],'Registre_Maintenance'!B:B,'Registre_Maintenance'!G:G,"Pas de correspondance")</f>
        <v>Ericsson</v>
      </c>
    </row>
    <row r="815" spans="1:11" hidden="1" x14ac:dyDescent="0.25">
      <c r="A815" s="1" t="s">
        <v>1364</v>
      </c>
      <c r="B815" s="2">
        <v>45217</v>
      </c>
      <c r="C815" s="3">
        <v>0.62708333333333333</v>
      </c>
      <c r="D815" s="1" t="s">
        <v>955</v>
      </c>
      <c r="E815">
        <v>33</v>
      </c>
      <c r="F815" s="1" t="s">
        <v>806</v>
      </c>
      <c r="G815" t="str">
        <f>_xlfn.XLOOKUP(Logs__2[[#This Row],[Cell_ID]],'Registre_Maintenance'!B:B,'Registre_Maintenance'!C:C,"Pas de correspondance")</f>
        <v>Pas de correspondance</v>
      </c>
      <c r="H815" t="str">
        <f>_xlfn.XLOOKUP(Logs__2[[#This Row],[Cell_ID]],'Registre_Maintenance'!B:B,'Registre_Maintenance'!D:D,"Pas de correspondance")</f>
        <v>Pas de correspondance</v>
      </c>
      <c r="I815" t="str">
        <f>_xlfn.XLOOKUP(Logs__2[[#This Row],[Cell_ID]],'Registre_Maintenance'!B:B,'Registre_Maintenance'!E:E,"Pas de correspondance")</f>
        <v>Pas de correspondance</v>
      </c>
      <c r="J815" t="str">
        <f>_xlfn.XLOOKUP(Logs__2[[#This Row],[Cell_ID]],'Registre_Maintenance'!B:B,'Registre_Maintenance'!F:F,"Pas de correspondance")</f>
        <v>Pas de correspondance</v>
      </c>
      <c r="K815" t="str">
        <f>_xlfn.XLOOKUP(Logs__2[[#This Row],[Cell_ID]],'Registre_Maintenance'!B:B,'Registre_Maintenance'!G:G,"Pas de correspondance")</f>
        <v>Pas de correspondance</v>
      </c>
    </row>
    <row r="816" spans="1:11" x14ac:dyDescent="0.25">
      <c r="A816" s="1" t="s">
        <v>1364</v>
      </c>
      <c r="B816" s="2">
        <v>45202</v>
      </c>
      <c r="C816" s="3">
        <v>0.35</v>
      </c>
      <c r="D816" s="1" t="s">
        <v>1378</v>
      </c>
      <c r="E816">
        <v>78</v>
      </c>
      <c r="F816" s="1" t="s">
        <v>806</v>
      </c>
      <c r="G816" t="str">
        <f>_xlfn.XLOOKUP(Logs__2[[#This Row],[Cell_ID]],'Registre_Maintenance'!B:B,'Registre_Maintenance'!C:C,"Pas de correspondance")</f>
        <v>Mongala</v>
      </c>
      <c r="H816">
        <f>_xlfn.XLOOKUP(Logs__2[[#This Row],[Cell_ID]],'Registre_Maintenance'!B:B,'Registre_Maintenance'!D:D,"Pas de correspondance")</f>
        <v>4.0988100000000003</v>
      </c>
      <c r="I816">
        <f>_xlfn.XLOOKUP(Logs__2[[#This Row],[Cell_ID]],'Registre_Maintenance'!B:B,'Registre_Maintenance'!E:E,"Pas de correspondance")</f>
        <v>29.843810999999999</v>
      </c>
      <c r="J816" t="str">
        <f>_xlfn.XLOOKUP(Logs__2[[#This Row],[Cell_ID]],'Registre_Maintenance'!B:B,'Registre_Maintenance'!F:F,"Pas de correspondance")</f>
        <v>3G</v>
      </c>
      <c r="K816" t="str">
        <f>_xlfn.XLOOKUP(Logs__2[[#This Row],[Cell_ID]],'Registre_Maintenance'!B:B,'Registre_Maintenance'!G:G,"Pas de correspondance")</f>
        <v>Huawei</v>
      </c>
    </row>
    <row r="817" spans="1:11" x14ac:dyDescent="0.25">
      <c r="A817" s="1" t="s">
        <v>1364</v>
      </c>
      <c r="B817" s="2">
        <v>45204</v>
      </c>
      <c r="C817" s="3">
        <v>0.55000000000000004</v>
      </c>
      <c r="D817" s="1" t="s">
        <v>1030</v>
      </c>
      <c r="E817">
        <v>113</v>
      </c>
      <c r="F817" s="1" t="s">
        <v>809</v>
      </c>
      <c r="G817" t="str">
        <f>_xlfn.XLOOKUP(Logs__2[[#This Row],[Cell_ID]],'Registre_Maintenance'!B:B,'Registre_Maintenance'!C:C,"Pas de correspondance")</f>
        <v>Kongo-Central</v>
      </c>
      <c r="H817">
        <f>_xlfn.XLOOKUP(Logs__2[[#This Row],[Cell_ID]],'Registre_Maintenance'!B:B,'Registre_Maintenance'!D:D,"Pas de correspondance")</f>
        <v>2.975352</v>
      </c>
      <c r="I817">
        <f>_xlfn.XLOOKUP(Logs__2[[#This Row],[Cell_ID]],'Registre_Maintenance'!B:B,'Registre_Maintenance'!E:E,"Pas de correspondance")</f>
        <v>22.535886000000001</v>
      </c>
      <c r="J817" t="str">
        <f>_xlfn.XLOOKUP(Logs__2[[#This Row],[Cell_ID]],'Registre_Maintenance'!B:B,'Registre_Maintenance'!F:F,"Pas de correspondance")</f>
        <v>4G</v>
      </c>
      <c r="K817" t="str">
        <f>_xlfn.XLOOKUP(Logs__2[[#This Row],[Cell_ID]],'Registre_Maintenance'!B:B,'Registre_Maintenance'!G:G,"Pas de correspondance")</f>
        <v>Huawei</v>
      </c>
    </row>
    <row r="818" spans="1:11" x14ac:dyDescent="0.25">
      <c r="A818" s="1" t="s">
        <v>1364</v>
      </c>
      <c r="B818" s="2">
        <v>45220</v>
      </c>
      <c r="C818" s="3">
        <v>0.67708333333333337</v>
      </c>
      <c r="D818" s="1" t="s">
        <v>1379</v>
      </c>
      <c r="E818">
        <v>107</v>
      </c>
      <c r="F818" s="1" t="s">
        <v>811</v>
      </c>
      <c r="G818" t="str">
        <f>_xlfn.XLOOKUP(Logs__2[[#This Row],[Cell_ID]],'Registre_Maintenance'!B:B,'Registre_Maintenance'!C:C,"Pas de correspondance")</f>
        <v>Tshopo</v>
      </c>
      <c r="H818">
        <f>_xlfn.XLOOKUP(Logs__2[[#This Row],[Cell_ID]],'Registre_Maintenance'!B:B,'Registre_Maintenance'!D:D,"Pas de correspondance")</f>
        <v>-6.4670189999999996</v>
      </c>
      <c r="I818">
        <f>_xlfn.XLOOKUP(Logs__2[[#This Row],[Cell_ID]],'Registre_Maintenance'!B:B,'Registre_Maintenance'!E:E,"Pas de correspondance")</f>
        <v>29.487309</v>
      </c>
      <c r="J818" t="str">
        <f>_xlfn.XLOOKUP(Logs__2[[#This Row],[Cell_ID]],'Registre_Maintenance'!B:B,'Registre_Maintenance'!F:F,"Pas de correspondance")</f>
        <v>4G</v>
      </c>
      <c r="K818" t="str">
        <f>_xlfn.XLOOKUP(Logs__2[[#This Row],[Cell_ID]],'Registre_Maintenance'!B:B,'Registre_Maintenance'!G:G,"Pas de correspondance")</f>
        <v>ZTE</v>
      </c>
    </row>
    <row r="819" spans="1:11" x14ac:dyDescent="0.25">
      <c r="A819" s="1" t="s">
        <v>1364</v>
      </c>
      <c r="B819" s="2">
        <v>45220</v>
      </c>
      <c r="C819" s="3">
        <v>0.74305555555555558</v>
      </c>
      <c r="D819" s="1" t="s">
        <v>1195</v>
      </c>
      <c r="E819">
        <v>54</v>
      </c>
      <c r="F819" s="1" t="s">
        <v>809</v>
      </c>
      <c r="G819" t="str">
        <f>_xlfn.XLOOKUP(Logs__2[[#This Row],[Cell_ID]],'Registre_Maintenance'!B:B,'Registre_Maintenance'!C:C,"Pas de correspondance")</f>
        <v>Nord-Kivu</v>
      </c>
      <c r="H819">
        <f>_xlfn.XLOOKUP(Logs__2[[#This Row],[Cell_ID]],'Registre_Maintenance'!B:B,'Registre_Maintenance'!D:D,"Pas de correspondance")</f>
        <v>-5.42171</v>
      </c>
      <c r="I819">
        <f>_xlfn.XLOOKUP(Logs__2[[#This Row],[Cell_ID]],'Registre_Maintenance'!B:B,'Registre_Maintenance'!E:E,"Pas de correspondance")</f>
        <v>24.202960999999998</v>
      </c>
      <c r="J819" t="str">
        <f>_xlfn.XLOOKUP(Logs__2[[#This Row],[Cell_ID]],'Registre_Maintenance'!B:B,'Registre_Maintenance'!F:F,"Pas de correspondance")</f>
        <v>5G</v>
      </c>
      <c r="K819" t="str">
        <f>_xlfn.XLOOKUP(Logs__2[[#This Row],[Cell_ID]],'Registre_Maintenance'!B:B,'Registre_Maintenance'!G:G,"Pas de correspondance")</f>
        <v>Ericsson</v>
      </c>
    </row>
    <row r="820" spans="1:11" x14ac:dyDescent="0.25">
      <c r="A820" s="1" t="s">
        <v>1364</v>
      </c>
      <c r="B820" s="2">
        <v>45200</v>
      </c>
      <c r="C820" s="3">
        <v>0.53472222222222221</v>
      </c>
      <c r="D820" s="1" t="s">
        <v>1380</v>
      </c>
      <c r="E820">
        <v>50</v>
      </c>
      <c r="F820" s="1" t="s">
        <v>811</v>
      </c>
      <c r="G820" t="str">
        <f>_xlfn.XLOOKUP(Logs__2[[#This Row],[Cell_ID]],'Registre_Maintenance'!B:B,'Registre_Maintenance'!C:C,"Pas de correspondance")</f>
        <v>Tshuapa</v>
      </c>
      <c r="H820">
        <f>_xlfn.XLOOKUP(Logs__2[[#This Row],[Cell_ID]],'Registre_Maintenance'!B:B,'Registre_Maintenance'!D:D,"Pas de correspondance")</f>
        <v>-7.7587710000000003</v>
      </c>
      <c r="I820">
        <f>_xlfn.XLOOKUP(Logs__2[[#This Row],[Cell_ID]],'Registre_Maintenance'!B:B,'Registre_Maintenance'!E:E,"Pas de correspondance")</f>
        <v>17.880848</v>
      </c>
      <c r="J820" t="str">
        <f>_xlfn.XLOOKUP(Logs__2[[#This Row],[Cell_ID]],'Registre_Maintenance'!B:B,'Registre_Maintenance'!F:F,"Pas de correspondance")</f>
        <v>3G</v>
      </c>
      <c r="K820" t="str">
        <f>_xlfn.XLOOKUP(Logs__2[[#This Row],[Cell_ID]],'Registre_Maintenance'!B:B,'Registre_Maintenance'!G:G,"Pas de correspondance")</f>
        <v>Ericsson</v>
      </c>
    </row>
    <row r="821" spans="1:11" x14ac:dyDescent="0.25">
      <c r="A821" s="1" t="s">
        <v>1364</v>
      </c>
      <c r="B821" s="2">
        <v>45222</v>
      </c>
      <c r="C821" s="3">
        <v>0.47916666666666669</v>
      </c>
      <c r="D821" s="1" t="s">
        <v>1381</v>
      </c>
      <c r="E821">
        <v>112</v>
      </c>
      <c r="F821" s="1" t="s">
        <v>809</v>
      </c>
      <c r="G821" t="str">
        <f>_xlfn.XLOOKUP(Logs__2[[#This Row],[Cell_ID]],'Registre_Maintenance'!B:B,'Registre_Maintenance'!C:C,"Pas de correspondance")</f>
        <v>Haut-Uele</v>
      </c>
      <c r="H821">
        <f>_xlfn.XLOOKUP(Logs__2[[#This Row],[Cell_ID]],'Registre_Maintenance'!B:B,'Registre_Maintenance'!D:D,"Pas de correspondance")</f>
        <v>-8.8118569999999998</v>
      </c>
      <c r="I821">
        <f>_xlfn.XLOOKUP(Logs__2[[#This Row],[Cell_ID]],'Registre_Maintenance'!B:B,'Registre_Maintenance'!E:E,"Pas de correspondance")</f>
        <v>14.465711000000001</v>
      </c>
      <c r="J821" t="str">
        <f>_xlfn.XLOOKUP(Logs__2[[#This Row],[Cell_ID]],'Registre_Maintenance'!B:B,'Registre_Maintenance'!F:F,"Pas de correspondance")</f>
        <v>5G</v>
      </c>
      <c r="K821" t="str">
        <f>_xlfn.XLOOKUP(Logs__2[[#This Row],[Cell_ID]],'Registre_Maintenance'!B:B,'Registre_Maintenance'!G:G,"Pas de correspondance")</f>
        <v>Nokia</v>
      </c>
    </row>
    <row r="822" spans="1:11" hidden="1" x14ac:dyDescent="0.25">
      <c r="A822" s="1" t="s">
        <v>1364</v>
      </c>
      <c r="B822" s="2">
        <v>45217</v>
      </c>
      <c r="C822" s="3">
        <v>0.64027777777777772</v>
      </c>
      <c r="D822" s="1" t="s">
        <v>1382</v>
      </c>
      <c r="E822">
        <v>113</v>
      </c>
      <c r="F822" s="1" t="s">
        <v>811</v>
      </c>
      <c r="G822" t="str">
        <f>_xlfn.XLOOKUP(Logs__2[[#This Row],[Cell_ID]],'Registre_Maintenance'!B:B,'Registre_Maintenance'!C:C,"Pas de correspondance")</f>
        <v>Pas de correspondance</v>
      </c>
      <c r="H822" t="str">
        <f>_xlfn.XLOOKUP(Logs__2[[#This Row],[Cell_ID]],'Registre_Maintenance'!B:B,'Registre_Maintenance'!D:D,"Pas de correspondance")</f>
        <v>Pas de correspondance</v>
      </c>
      <c r="I822" t="str">
        <f>_xlfn.XLOOKUP(Logs__2[[#This Row],[Cell_ID]],'Registre_Maintenance'!B:B,'Registre_Maintenance'!E:E,"Pas de correspondance")</f>
        <v>Pas de correspondance</v>
      </c>
      <c r="J822" t="str">
        <f>_xlfn.XLOOKUP(Logs__2[[#This Row],[Cell_ID]],'Registre_Maintenance'!B:B,'Registre_Maintenance'!F:F,"Pas de correspondance")</f>
        <v>Pas de correspondance</v>
      </c>
      <c r="K822" t="str">
        <f>_xlfn.XLOOKUP(Logs__2[[#This Row],[Cell_ID]],'Registre_Maintenance'!B:B,'Registre_Maintenance'!G:G,"Pas de correspondance")</f>
        <v>Pas de correspondance</v>
      </c>
    </row>
    <row r="823" spans="1:11" hidden="1" x14ac:dyDescent="0.25">
      <c r="A823" s="1" t="s">
        <v>1364</v>
      </c>
      <c r="B823" s="2">
        <v>45229</v>
      </c>
      <c r="C823" s="3">
        <v>0.77222222222222225</v>
      </c>
      <c r="D823" s="1" t="s">
        <v>1257</v>
      </c>
      <c r="E823">
        <v>27</v>
      </c>
      <c r="F823" s="1" t="s">
        <v>806</v>
      </c>
      <c r="G823" t="str">
        <f>_xlfn.XLOOKUP(Logs__2[[#This Row],[Cell_ID]],'Registre_Maintenance'!B:B,'Registre_Maintenance'!C:C,"Pas de correspondance")</f>
        <v>Pas de correspondance</v>
      </c>
      <c r="H823" t="str">
        <f>_xlfn.XLOOKUP(Logs__2[[#This Row],[Cell_ID]],'Registre_Maintenance'!B:B,'Registre_Maintenance'!D:D,"Pas de correspondance")</f>
        <v>Pas de correspondance</v>
      </c>
      <c r="I823" t="str">
        <f>_xlfn.XLOOKUP(Logs__2[[#This Row],[Cell_ID]],'Registre_Maintenance'!B:B,'Registre_Maintenance'!E:E,"Pas de correspondance")</f>
        <v>Pas de correspondance</v>
      </c>
      <c r="J823" t="str">
        <f>_xlfn.XLOOKUP(Logs__2[[#This Row],[Cell_ID]],'Registre_Maintenance'!B:B,'Registre_Maintenance'!F:F,"Pas de correspondance")</f>
        <v>Pas de correspondance</v>
      </c>
      <c r="K823" t="str">
        <f>_xlfn.XLOOKUP(Logs__2[[#This Row],[Cell_ID]],'Registre_Maintenance'!B:B,'Registre_Maintenance'!G:G,"Pas de correspondance")</f>
        <v>Pas de correspondance</v>
      </c>
    </row>
    <row r="824" spans="1:11" hidden="1" x14ac:dyDescent="0.25">
      <c r="A824" s="1" t="s">
        <v>1364</v>
      </c>
      <c r="B824" s="2">
        <v>45210</v>
      </c>
      <c r="C824" s="3">
        <v>0.51180555555555551</v>
      </c>
      <c r="D824" s="1" t="s">
        <v>1383</v>
      </c>
      <c r="E824">
        <v>27</v>
      </c>
      <c r="F824" s="1" t="s">
        <v>809</v>
      </c>
      <c r="G824" t="str">
        <f>_xlfn.XLOOKUP(Logs__2[[#This Row],[Cell_ID]],'Registre_Maintenance'!B:B,'Registre_Maintenance'!C:C,"Pas de correspondance")</f>
        <v>Pas de correspondance</v>
      </c>
      <c r="H824" t="str">
        <f>_xlfn.XLOOKUP(Logs__2[[#This Row],[Cell_ID]],'Registre_Maintenance'!B:B,'Registre_Maintenance'!D:D,"Pas de correspondance")</f>
        <v>Pas de correspondance</v>
      </c>
      <c r="I824" t="str">
        <f>_xlfn.XLOOKUP(Logs__2[[#This Row],[Cell_ID]],'Registre_Maintenance'!B:B,'Registre_Maintenance'!E:E,"Pas de correspondance")</f>
        <v>Pas de correspondance</v>
      </c>
      <c r="J824" t="str">
        <f>_xlfn.XLOOKUP(Logs__2[[#This Row],[Cell_ID]],'Registre_Maintenance'!B:B,'Registre_Maintenance'!F:F,"Pas de correspondance")</f>
        <v>Pas de correspondance</v>
      </c>
      <c r="K824" t="str">
        <f>_xlfn.XLOOKUP(Logs__2[[#This Row],[Cell_ID]],'Registre_Maintenance'!B:B,'Registre_Maintenance'!G:G,"Pas de correspondance")</f>
        <v>Pas de correspondance</v>
      </c>
    </row>
    <row r="825" spans="1:11" x14ac:dyDescent="0.25">
      <c r="A825" s="1" t="s">
        <v>1364</v>
      </c>
      <c r="B825" s="2">
        <v>45205</v>
      </c>
      <c r="C825" s="3">
        <v>1.3888888888888888E-2</v>
      </c>
      <c r="D825" s="1" t="s">
        <v>837</v>
      </c>
      <c r="E825">
        <v>35</v>
      </c>
      <c r="F825" s="1" t="s">
        <v>809</v>
      </c>
      <c r="G825" t="str">
        <f>_xlfn.XLOOKUP(Logs__2[[#This Row],[Cell_ID]],'Registre_Maintenance'!B:B,'Registre_Maintenance'!C:C,"Pas de correspondance")</f>
        <v>Nord-Ubangi</v>
      </c>
      <c r="H825">
        <f>_xlfn.XLOOKUP(Logs__2[[#This Row],[Cell_ID]],'Registre_Maintenance'!B:B,'Registre_Maintenance'!D:D,"Pas de correspondance")</f>
        <v>-8.1437910000000002</v>
      </c>
      <c r="I825">
        <f>_xlfn.XLOOKUP(Logs__2[[#This Row],[Cell_ID]],'Registre_Maintenance'!B:B,'Registre_Maintenance'!E:E,"Pas de correspondance")</f>
        <v>28.946161</v>
      </c>
      <c r="J825" t="str">
        <f>_xlfn.XLOOKUP(Logs__2[[#This Row],[Cell_ID]],'Registre_Maintenance'!B:B,'Registre_Maintenance'!F:F,"Pas de correspondance")</f>
        <v>4G</v>
      </c>
      <c r="K825" t="str">
        <f>_xlfn.XLOOKUP(Logs__2[[#This Row],[Cell_ID]],'Registre_Maintenance'!B:B,'Registre_Maintenance'!G:G,"Pas de correspondance")</f>
        <v>ZTE</v>
      </c>
    </row>
    <row r="826" spans="1:11" hidden="1" x14ac:dyDescent="0.25">
      <c r="A826" s="1" t="s">
        <v>1384</v>
      </c>
      <c r="B826" s="2">
        <v>45226</v>
      </c>
      <c r="C826" s="3">
        <v>0.22500000000000001</v>
      </c>
      <c r="D826" s="1" t="s">
        <v>1385</v>
      </c>
      <c r="E826">
        <v>11</v>
      </c>
      <c r="F826" s="1" t="s">
        <v>809</v>
      </c>
      <c r="G826" t="str">
        <f>_xlfn.XLOOKUP(Logs__2[[#This Row],[Cell_ID]],'Registre_Maintenance'!B:B,'Registre_Maintenance'!C:C,"Pas de correspondance")</f>
        <v>Pas de correspondance</v>
      </c>
      <c r="H826" t="str">
        <f>_xlfn.XLOOKUP(Logs__2[[#This Row],[Cell_ID]],'Registre_Maintenance'!B:B,'Registre_Maintenance'!D:D,"Pas de correspondance")</f>
        <v>Pas de correspondance</v>
      </c>
      <c r="I826" t="str">
        <f>_xlfn.XLOOKUP(Logs__2[[#This Row],[Cell_ID]],'Registre_Maintenance'!B:B,'Registre_Maintenance'!E:E,"Pas de correspondance")</f>
        <v>Pas de correspondance</v>
      </c>
      <c r="J826" t="str">
        <f>_xlfn.XLOOKUP(Logs__2[[#This Row],[Cell_ID]],'Registre_Maintenance'!B:B,'Registre_Maintenance'!F:F,"Pas de correspondance")</f>
        <v>Pas de correspondance</v>
      </c>
      <c r="K826" t="str">
        <f>_xlfn.XLOOKUP(Logs__2[[#This Row],[Cell_ID]],'Registre_Maintenance'!B:B,'Registre_Maintenance'!G:G,"Pas de correspondance")</f>
        <v>Pas de correspondance</v>
      </c>
    </row>
    <row r="827" spans="1:11" x14ac:dyDescent="0.25">
      <c r="A827" s="1" t="s">
        <v>1384</v>
      </c>
      <c r="B827" s="2">
        <v>45209</v>
      </c>
      <c r="C827" s="3">
        <v>0.98888888888888893</v>
      </c>
      <c r="D827" s="1" t="s">
        <v>1276</v>
      </c>
      <c r="E827">
        <v>51</v>
      </c>
      <c r="F827" s="1" t="s">
        <v>809</v>
      </c>
      <c r="G827" t="str">
        <f>_xlfn.XLOOKUP(Logs__2[[#This Row],[Cell_ID]],'Registre_Maintenance'!B:B,'Registre_Maintenance'!C:C,"Pas de correspondance")</f>
        <v>Equateur</v>
      </c>
      <c r="H827">
        <f>_xlfn.XLOOKUP(Logs__2[[#This Row],[Cell_ID]],'Registre_Maintenance'!B:B,'Registre_Maintenance'!D:D,"Pas de correspondance")</f>
        <v>-6.1490739999999997</v>
      </c>
      <c r="I827">
        <f>_xlfn.XLOOKUP(Logs__2[[#This Row],[Cell_ID]],'Registre_Maintenance'!B:B,'Registre_Maintenance'!E:E,"Pas de correspondance")</f>
        <v>23.304411000000002</v>
      </c>
      <c r="J827" t="str">
        <f>_xlfn.XLOOKUP(Logs__2[[#This Row],[Cell_ID]],'Registre_Maintenance'!B:B,'Registre_Maintenance'!F:F,"Pas de correspondance")</f>
        <v>5G</v>
      </c>
      <c r="K827" t="str">
        <f>_xlfn.XLOOKUP(Logs__2[[#This Row],[Cell_ID]],'Registre_Maintenance'!B:B,'Registre_Maintenance'!G:G,"Pas de correspondance")</f>
        <v>ZTE</v>
      </c>
    </row>
    <row r="828" spans="1:11" hidden="1" x14ac:dyDescent="0.25">
      <c r="A828" s="1" t="s">
        <v>1384</v>
      </c>
      <c r="B828" s="2">
        <v>45209</v>
      </c>
      <c r="C828" s="3">
        <v>0.17430555555555555</v>
      </c>
      <c r="D828" s="1" t="s">
        <v>1360</v>
      </c>
      <c r="E828">
        <v>5</v>
      </c>
      <c r="F828" s="1" t="s">
        <v>806</v>
      </c>
      <c r="G828" t="str">
        <f>_xlfn.XLOOKUP(Logs__2[[#This Row],[Cell_ID]],'Registre_Maintenance'!B:B,'Registre_Maintenance'!C:C,"Pas de correspondance")</f>
        <v>Pas de correspondance</v>
      </c>
      <c r="H828" t="str">
        <f>_xlfn.XLOOKUP(Logs__2[[#This Row],[Cell_ID]],'Registre_Maintenance'!B:B,'Registre_Maintenance'!D:D,"Pas de correspondance")</f>
        <v>Pas de correspondance</v>
      </c>
      <c r="I828" t="str">
        <f>_xlfn.XLOOKUP(Logs__2[[#This Row],[Cell_ID]],'Registre_Maintenance'!B:B,'Registre_Maintenance'!E:E,"Pas de correspondance")</f>
        <v>Pas de correspondance</v>
      </c>
      <c r="J828" t="str">
        <f>_xlfn.XLOOKUP(Logs__2[[#This Row],[Cell_ID]],'Registre_Maintenance'!B:B,'Registre_Maintenance'!F:F,"Pas de correspondance")</f>
        <v>Pas de correspondance</v>
      </c>
      <c r="K828" t="str">
        <f>_xlfn.XLOOKUP(Logs__2[[#This Row],[Cell_ID]],'Registre_Maintenance'!B:B,'Registre_Maintenance'!G:G,"Pas de correspondance")</f>
        <v>Pas de correspondance</v>
      </c>
    </row>
    <row r="829" spans="1:11" hidden="1" x14ac:dyDescent="0.25">
      <c r="A829" s="1" t="s">
        <v>1384</v>
      </c>
      <c r="B829" s="2">
        <v>45223</v>
      </c>
      <c r="C829" s="3">
        <v>3.0555555555555555E-2</v>
      </c>
      <c r="D829" s="1" t="s">
        <v>1386</v>
      </c>
      <c r="E829">
        <v>59</v>
      </c>
      <c r="F829" s="1" t="s">
        <v>806</v>
      </c>
      <c r="G829" t="str">
        <f>_xlfn.XLOOKUP(Logs__2[[#This Row],[Cell_ID]],'Registre_Maintenance'!B:B,'Registre_Maintenance'!C:C,"Pas de correspondance")</f>
        <v>Pas de correspondance</v>
      </c>
      <c r="H829" t="str">
        <f>_xlfn.XLOOKUP(Logs__2[[#This Row],[Cell_ID]],'Registre_Maintenance'!B:B,'Registre_Maintenance'!D:D,"Pas de correspondance")</f>
        <v>Pas de correspondance</v>
      </c>
      <c r="I829" t="str">
        <f>_xlfn.XLOOKUP(Logs__2[[#This Row],[Cell_ID]],'Registre_Maintenance'!B:B,'Registre_Maintenance'!E:E,"Pas de correspondance")</f>
        <v>Pas de correspondance</v>
      </c>
      <c r="J829" t="str">
        <f>_xlfn.XLOOKUP(Logs__2[[#This Row],[Cell_ID]],'Registre_Maintenance'!B:B,'Registre_Maintenance'!F:F,"Pas de correspondance")</f>
        <v>Pas de correspondance</v>
      </c>
      <c r="K829" t="str">
        <f>_xlfn.XLOOKUP(Logs__2[[#This Row],[Cell_ID]],'Registre_Maintenance'!B:B,'Registre_Maintenance'!G:G,"Pas de correspondance")</f>
        <v>Pas de correspondance</v>
      </c>
    </row>
    <row r="830" spans="1:11" hidden="1" x14ac:dyDescent="0.25">
      <c r="A830" s="1" t="s">
        <v>1384</v>
      </c>
      <c r="B830" s="2">
        <v>45230</v>
      </c>
      <c r="C830" s="3">
        <v>0.76736111111111116</v>
      </c>
      <c r="D830" s="1" t="s">
        <v>1387</v>
      </c>
      <c r="E830">
        <v>16</v>
      </c>
      <c r="F830" s="1" t="s">
        <v>811</v>
      </c>
      <c r="G830" t="str">
        <f>_xlfn.XLOOKUP(Logs__2[[#This Row],[Cell_ID]],'Registre_Maintenance'!B:B,'Registre_Maintenance'!C:C,"Pas de correspondance")</f>
        <v>Pas de correspondance</v>
      </c>
      <c r="H830" t="str">
        <f>_xlfn.XLOOKUP(Logs__2[[#This Row],[Cell_ID]],'Registre_Maintenance'!B:B,'Registre_Maintenance'!D:D,"Pas de correspondance")</f>
        <v>Pas de correspondance</v>
      </c>
      <c r="I830" t="str">
        <f>_xlfn.XLOOKUP(Logs__2[[#This Row],[Cell_ID]],'Registre_Maintenance'!B:B,'Registre_Maintenance'!E:E,"Pas de correspondance")</f>
        <v>Pas de correspondance</v>
      </c>
      <c r="J830" t="str">
        <f>_xlfn.XLOOKUP(Logs__2[[#This Row],[Cell_ID]],'Registre_Maintenance'!B:B,'Registre_Maintenance'!F:F,"Pas de correspondance")</f>
        <v>Pas de correspondance</v>
      </c>
      <c r="K830" t="str">
        <f>_xlfn.XLOOKUP(Logs__2[[#This Row],[Cell_ID]],'Registre_Maintenance'!B:B,'Registre_Maintenance'!G:G,"Pas de correspondance")</f>
        <v>Pas de correspondance</v>
      </c>
    </row>
    <row r="831" spans="1:11" x14ac:dyDescent="0.25">
      <c r="A831" s="1" t="s">
        <v>1384</v>
      </c>
      <c r="B831" s="2">
        <v>45227</v>
      </c>
      <c r="C831" s="3">
        <v>0.75138888888888888</v>
      </c>
      <c r="D831" s="1" t="s">
        <v>1264</v>
      </c>
      <c r="E831">
        <v>42</v>
      </c>
      <c r="F831" s="1" t="s">
        <v>806</v>
      </c>
      <c r="G831" t="str">
        <f>_xlfn.XLOOKUP(Logs__2[[#This Row],[Cell_ID]],'Registre_Maintenance'!B:B,'Registre_Maintenance'!C:C,"Pas de correspondance")</f>
        <v>Sud-Ubangi</v>
      </c>
      <c r="H831">
        <f>_xlfn.XLOOKUP(Logs__2[[#This Row],[Cell_ID]],'Registre_Maintenance'!B:B,'Registre_Maintenance'!D:D,"Pas de correspondance")</f>
        <v>-12.050063</v>
      </c>
      <c r="I831">
        <f>_xlfn.XLOOKUP(Logs__2[[#This Row],[Cell_ID]],'Registre_Maintenance'!B:B,'Registre_Maintenance'!E:E,"Pas de correspondance")</f>
        <v>26.636987999999999</v>
      </c>
      <c r="J831" t="str">
        <f>_xlfn.XLOOKUP(Logs__2[[#This Row],[Cell_ID]],'Registre_Maintenance'!B:B,'Registre_Maintenance'!F:F,"Pas de correspondance")</f>
        <v>3G</v>
      </c>
      <c r="K831" t="str">
        <f>_xlfn.XLOOKUP(Logs__2[[#This Row],[Cell_ID]],'Registre_Maintenance'!B:B,'Registre_Maintenance'!G:G,"Pas de correspondance")</f>
        <v>Nokia</v>
      </c>
    </row>
    <row r="832" spans="1:11" hidden="1" x14ac:dyDescent="0.25">
      <c r="A832" s="1" t="s">
        <v>1384</v>
      </c>
      <c r="B832" s="2">
        <v>45205</v>
      </c>
      <c r="C832" s="3">
        <v>0.80555555555555558</v>
      </c>
      <c r="D832" s="1" t="s">
        <v>1388</v>
      </c>
      <c r="E832">
        <v>110</v>
      </c>
      <c r="F832" s="1" t="s">
        <v>806</v>
      </c>
      <c r="G832" t="str">
        <f>_xlfn.XLOOKUP(Logs__2[[#This Row],[Cell_ID]],'Registre_Maintenance'!B:B,'Registre_Maintenance'!C:C,"Pas de correspondance")</f>
        <v>Pas de correspondance</v>
      </c>
      <c r="H832" t="str">
        <f>_xlfn.XLOOKUP(Logs__2[[#This Row],[Cell_ID]],'Registre_Maintenance'!B:B,'Registre_Maintenance'!D:D,"Pas de correspondance")</f>
        <v>Pas de correspondance</v>
      </c>
      <c r="I832" t="str">
        <f>_xlfn.XLOOKUP(Logs__2[[#This Row],[Cell_ID]],'Registre_Maintenance'!B:B,'Registre_Maintenance'!E:E,"Pas de correspondance")</f>
        <v>Pas de correspondance</v>
      </c>
      <c r="J832" t="str">
        <f>_xlfn.XLOOKUP(Logs__2[[#This Row],[Cell_ID]],'Registre_Maintenance'!B:B,'Registre_Maintenance'!F:F,"Pas de correspondance")</f>
        <v>Pas de correspondance</v>
      </c>
      <c r="K832" t="str">
        <f>_xlfn.XLOOKUP(Logs__2[[#This Row],[Cell_ID]],'Registre_Maintenance'!B:B,'Registre_Maintenance'!G:G,"Pas de correspondance")</f>
        <v>Pas de correspondance</v>
      </c>
    </row>
    <row r="833" spans="1:11" hidden="1" x14ac:dyDescent="0.25">
      <c r="A833" s="1" t="s">
        <v>1384</v>
      </c>
      <c r="B833" s="2">
        <v>45229</v>
      </c>
      <c r="C833" s="3">
        <v>0.80138888888888893</v>
      </c>
      <c r="D833" s="1" t="s">
        <v>1020</v>
      </c>
      <c r="E833">
        <v>89</v>
      </c>
      <c r="F833" s="1" t="s">
        <v>806</v>
      </c>
      <c r="G833" t="str">
        <f>_xlfn.XLOOKUP(Logs__2[[#This Row],[Cell_ID]],'Registre_Maintenance'!B:B,'Registre_Maintenance'!C:C,"Pas de correspondance")</f>
        <v>Pas de correspondance</v>
      </c>
      <c r="H833" t="str">
        <f>_xlfn.XLOOKUP(Logs__2[[#This Row],[Cell_ID]],'Registre_Maintenance'!B:B,'Registre_Maintenance'!D:D,"Pas de correspondance")</f>
        <v>Pas de correspondance</v>
      </c>
      <c r="I833" t="str">
        <f>_xlfn.XLOOKUP(Logs__2[[#This Row],[Cell_ID]],'Registre_Maintenance'!B:B,'Registre_Maintenance'!E:E,"Pas de correspondance")</f>
        <v>Pas de correspondance</v>
      </c>
      <c r="J833" t="str">
        <f>_xlfn.XLOOKUP(Logs__2[[#This Row],[Cell_ID]],'Registre_Maintenance'!B:B,'Registre_Maintenance'!F:F,"Pas de correspondance")</f>
        <v>Pas de correspondance</v>
      </c>
      <c r="K833" t="str">
        <f>_xlfn.XLOOKUP(Logs__2[[#This Row],[Cell_ID]],'Registre_Maintenance'!B:B,'Registre_Maintenance'!G:G,"Pas de correspondance")</f>
        <v>Pas de correspondance</v>
      </c>
    </row>
    <row r="834" spans="1:11" x14ac:dyDescent="0.25">
      <c r="A834" s="1" t="s">
        <v>1384</v>
      </c>
      <c r="B834" s="2">
        <v>45220</v>
      </c>
      <c r="C834" s="3">
        <v>0.75416666666666665</v>
      </c>
      <c r="D834" s="1" t="s">
        <v>946</v>
      </c>
      <c r="E834">
        <v>85</v>
      </c>
      <c r="F834" s="1" t="s">
        <v>806</v>
      </c>
      <c r="G834" t="str">
        <f>_xlfn.XLOOKUP(Logs__2[[#This Row],[Cell_ID]],'Registre_Maintenance'!B:B,'Registre_Maintenance'!C:C,"Pas de correspondance")</f>
        <v>Lualaba</v>
      </c>
      <c r="H834">
        <f>_xlfn.XLOOKUP(Logs__2[[#This Row],[Cell_ID]],'Registre_Maintenance'!B:B,'Registre_Maintenance'!D:D,"Pas de correspondance")</f>
        <v>-9.7803979999999999</v>
      </c>
      <c r="I834">
        <f>_xlfn.XLOOKUP(Logs__2[[#This Row],[Cell_ID]],'Registre_Maintenance'!B:B,'Registre_Maintenance'!E:E,"Pas de correspondance")</f>
        <v>17.686595000000001</v>
      </c>
      <c r="J834" t="str">
        <f>_xlfn.XLOOKUP(Logs__2[[#This Row],[Cell_ID]],'Registre_Maintenance'!B:B,'Registre_Maintenance'!F:F,"Pas de correspondance")</f>
        <v>4G</v>
      </c>
      <c r="K834" t="str">
        <f>_xlfn.XLOOKUP(Logs__2[[#This Row],[Cell_ID]],'Registre_Maintenance'!B:B,'Registre_Maintenance'!G:G,"Pas de correspondance")</f>
        <v>Ericsson</v>
      </c>
    </row>
    <row r="835" spans="1:11" x14ac:dyDescent="0.25">
      <c r="A835" s="1" t="s">
        <v>1384</v>
      </c>
      <c r="B835" s="2">
        <v>45229</v>
      </c>
      <c r="C835" s="3">
        <v>0.63124999999999998</v>
      </c>
      <c r="D835" s="1" t="s">
        <v>1389</v>
      </c>
      <c r="E835">
        <v>81</v>
      </c>
      <c r="F835" s="1" t="s">
        <v>806</v>
      </c>
      <c r="G835" t="str">
        <f>_xlfn.XLOOKUP(Logs__2[[#This Row],[Cell_ID]],'Registre_Maintenance'!B:B,'Registre_Maintenance'!C:C,"Pas de correspondance")</f>
        <v>Tshuapa</v>
      </c>
      <c r="H835">
        <f>_xlfn.XLOOKUP(Logs__2[[#This Row],[Cell_ID]],'Registre_Maintenance'!B:B,'Registre_Maintenance'!D:D,"Pas de correspondance")</f>
        <v>-10.574821</v>
      </c>
      <c r="I835">
        <f>_xlfn.XLOOKUP(Logs__2[[#This Row],[Cell_ID]],'Registre_Maintenance'!B:B,'Registre_Maintenance'!E:E,"Pas de correspondance")</f>
        <v>25.324966</v>
      </c>
      <c r="J835" t="str">
        <f>_xlfn.XLOOKUP(Logs__2[[#This Row],[Cell_ID]],'Registre_Maintenance'!B:B,'Registre_Maintenance'!F:F,"Pas de correspondance")</f>
        <v>5G</v>
      </c>
      <c r="K835" t="str">
        <f>_xlfn.XLOOKUP(Logs__2[[#This Row],[Cell_ID]],'Registre_Maintenance'!B:B,'Registre_Maintenance'!G:G,"Pas de correspondance")</f>
        <v>Ericsson</v>
      </c>
    </row>
    <row r="836" spans="1:11" x14ac:dyDescent="0.25">
      <c r="A836" s="1" t="s">
        <v>1384</v>
      </c>
      <c r="B836" s="2">
        <v>45210</v>
      </c>
      <c r="C836" s="3">
        <v>0.96111111111111114</v>
      </c>
      <c r="D836" s="1" t="s">
        <v>971</v>
      </c>
      <c r="E836">
        <v>66</v>
      </c>
      <c r="F836" s="1" t="s">
        <v>806</v>
      </c>
      <c r="G836" t="str">
        <f>_xlfn.XLOOKUP(Logs__2[[#This Row],[Cell_ID]],'Registre_Maintenance'!B:B,'Registre_Maintenance'!C:C,"Pas de correspondance")</f>
        <v>Kinshasa</v>
      </c>
      <c r="H836">
        <f>_xlfn.XLOOKUP(Logs__2[[#This Row],[Cell_ID]],'Registre_Maintenance'!B:B,'Registre_Maintenance'!D:D,"Pas de correspondance")</f>
        <v>-11.991020000000001</v>
      </c>
      <c r="I836">
        <f>_xlfn.XLOOKUP(Logs__2[[#This Row],[Cell_ID]],'Registre_Maintenance'!B:B,'Registre_Maintenance'!E:E,"Pas de correspondance")</f>
        <v>22.514747</v>
      </c>
      <c r="J836" t="str">
        <f>_xlfn.XLOOKUP(Logs__2[[#This Row],[Cell_ID]],'Registre_Maintenance'!B:B,'Registre_Maintenance'!F:F,"Pas de correspondance")</f>
        <v>5G</v>
      </c>
      <c r="K836" t="str">
        <f>_xlfn.XLOOKUP(Logs__2[[#This Row],[Cell_ID]],'Registre_Maintenance'!B:B,'Registre_Maintenance'!G:G,"Pas de correspondance")</f>
        <v>ZTE</v>
      </c>
    </row>
    <row r="837" spans="1:11" hidden="1" x14ac:dyDescent="0.25">
      <c r="A837" s="1" t="s">
        <v>1384</v>
      </c>
      <c r="B837" s="2">
        <v>45207</v>
      </c>
      <c r="C837" s="3">
        <v>0.47222222222222221</v>
      </c>
      <c r="D837" s="1" t="s">
        <v>1390</v>
      </c>
      <c r="E837">
        <v>30</v>
      </c>
      <c r="F837" s="1" t="s">
        <v>811</v>
      </c>
      <c r="G837" t="str">
        <f>_xlfn.XLOOKUP(Logs__2[[#This Row],[Cell_ID]],'Registre_Maintenance'!B:B,'Registre_Maintenance'!C:C,"Pas de correspondance")</f>
        <v>Pas de correspondance</v>
      </c>
      <c r="H837" t="str">
        <f>_xlfn.XLOOKUP(Logs__2[[#This Row],[Cell_ID]],'Registre_Maintenance'!B:B,'Registre_Maintenance'!D:D,"Pas de correspondance")</f>
        <v>Pas de correspondance</v>
      </c>
      <c r="I837" t="str">
        <f>_xlfn.XLOOKUP(Logs__2[[#This Row],[Cell_ID]],'Registre_Maintenance'!B:B,'Registre_Maintenance'!E:E,"Pas de correspondance")</f>
        <v>Pas de correspondance</v>
      </c>
      <c r="J837" t="str">
        <f>_xlfn.XLOOKUP(Logs__2[[#This Row],[Cell_ID]],'Registre_Maintenance'!B:B,'Registre_Maintenance'!F:F,"Pas de correspondance")</f>
        <v>Pas de correspondance</v>
      </c>
      <c r="K837" t="str">
        <f>_xlfn.XLOOKUP(Logs__2[[#This Row],[Cell_ID]],'Registre_Maintenance'!B:B,'Registre_Maintenance'!G:G,"Pas de correspondance")</f>
        <v>Pas de correspondance</v>
      </c>
    </row>
    <row r="838" spans="1:11" hidden="1" x14ac:dyDescent="0.25">
      <c r="A838" s="1" t="s">
        <v>1384</v>
      </c>
      <c r="B838" s="2">
        <v>45205</v>
      </c>
      <c r="C838" s="3">
        <v>0.87222222222222223</v>
      </c>
      <c r="D838" s="1" t="s">
        <v>1391</v>
      </c>
      <c r="E838">
        <v>17</v>
      </c>
      <c r="F838" s="1" t="s">
        <v>806</v>
      </c>
      <c r="G838" t="str">
        <f>_xlfn.XLOOKUP(Logs__2[[#This Row],[Cell_ID]],'Registre_Maintenance'!B:B,'Registre_Maintenance'!C:C,"Pas de correspondance")</f>
        <v>Pas de correspondance</v>
      </c>
      <c r="H838" t="str">
        <f>_xlfn.XLOOKUP(Logs__2[[#This Row],[Cell_ID]],'Registre_Maintenance'!B:B,'Registre_Maintenance'!D:D,"Pas de correspondance")</f>
        <v>Pas de correspondance</v>
      </c>
      <c r="I838" t="str">
        <f>_xlfn.XLOOKUP(Logs__2[[#This Row],[Cell_ID]],'Registre_Maintenance'!B:B,'Registre_Maintenance'!E:E,"Pas de correspondance")</f>
        <v>Pas de correspondance</v>
      </c>
      <c r="J838" t="str">
        <f>_xlfn.XLOOKUP(Logs__2[[#This Row],[Cell_ID]],'Registre_Maintenance'!B:B,'Registre_Maintenance'!F:F,"Pas de correspondance")</f>
        <v>Pas de correspondance</v>
      </c>
      <c r="K838" t="str">
        <f>_xlfn.XLOOKUP(Logs__2[[#This Row],[Cell_ID]],'Registre_Maintenance'!B:B,'Registre_Maintenance'!G:G,"Pas de correspondance")</f>
        <v>Pas de correspondance</v>
      </c>
    </row>
    <row r="839" spans="1:11" x14ac:dyDescent="0.25">
      <c r="A839" s="1" t="s">
        <v>1384</v>
      </c>
      <c r="B839" s="2">
        <v>45230</v>
      </c>
      <c r="C839" s="3">
        <v>0.11944444444444445</v>
      </c>
      <c r="D839" s="1" t="s">
        <v>990</v>
      </c>
      <c r="E839">
        <v>8</v>
      </c>
      <c r="F839" s="1" t="s">
        <v>809</v>
      </c>
      <c r="G839" t="str">
        <f>_xlfn.XLOOKUP(Logs__2[[#This Row],[Cell_ID]],'Registre_Maintenance'!B:B,'Registre_Maintenance'!C:C,"Pas de correspondance")</f>
        <v>Lualaba</v>
      </c>
      <c r="H839">
        <f>_xlfn.XLOOKUP(Logs__2[[#This Row],[Cell_ID]],'Registre_Maintenance'!B:B,'Registre_Maintenance'!D:D,"Pas de correspondance")</f>
        <v>-9.5243310000000001</v>
      </c>
      <c r="I839">
        <f>_xlfn.XLOOKUP(Logs__2[[#This Row],[Cell_ID]],'Registre_Maintenance'!B:B,'Registre_Maintenance'!E:E,"Pas de correspondance")</f>
        <v>30.541212000000002</v>
      </c>
      <c r="J839" t="str">
        <f>_xlfn.XLOOKUP(Logs__2[[#This Row],[Cell_ID]],'Registre_Maintenance'!B:B,'Registre_Maintenance'!F:F,"Pas de correspondance")</f>
        <v>3G</v>
      </c>
      <c r="K839" t="str">
        <f>_xlfn.XLOOKUP(Logs__2[[#This Row],[Cell_ID]],'Registre_Maintenance'!B:B,'Registre_Maintenance'!G:G,"Pas de correspondance")</f>
        <v>Ericsson</v>
      </c>
    </row>
    <row r="840" spans="1:11" hidden="1" x14ac:dyDescent="0.25">
      <c r="A840" s="1" t="s">
        <v>1384</v>
      </c>
      <c r="B840" s="2">
        <v>45222</v>
      </c>
      <c r="C840" s="3">
        <v>0.90277777777777779</v>
      </c>
      <c r="D840" s="1" t="s">
        <v>1041</v>
      </c>
      <c r="E840">
        <v>31</v>
      </c>
      <c r="F840" s="1" t="s">
        <v>811</v>
      </c>
      <c r="G840" t="str">
        <f>_xlfn.XLOOKUP(Logs__2[[#This Row],[Cell_ID]],'Registre_Maintenance'!B:B,'Registre_Maintenance'!C:C,"Pas de correspondance")</f>
        <v>Pas de correspondance</v>
      </c>
      <c r="H840" t="str">
        <f>_xlfn.XLOOKUP(Logs__2[[#This Row],[Cell_ID]],'Registre_Maintenance'!B:B,'Registre_Maintenance'!D:D,"Pas de correspondance")</f>
        <v>Pas de correspondance</v>
      </c>
      <c r="I840" t="str">
        <f>_xlfn.XLOOKUP(Logs__2[[#This Row],[Cell_ID]],'Registre_Maintenance'!B:B,'Registre_Maintenance'!E:E,"Pas de correspondance")</f>
        <v>Pas de correspondance</v>
      </c>
      <c r="J840" t="str">
        <f>_xlfn.XLOOKUP(Logs__2[[#This Row],[Cell_ID]],'Registre_Maintenance'!B:B,'Registre_Maintenance'!F:F,"Pas de correspondance")</f>
        <v>Pas de correspondance</v>
      </c>
      <c r="K840" t="str">
        <f>_xlfn.XLOOKUP(Logs__2[[#This Row],[Cell_ID]],'Registre_Maintenance'!B:B,'Registre_Maintenance'!G:G,"Pas de correspondance")</f>
        <v>Pas de correspondance</v>
      </c>
    </row>
    <row r="841" spans="1:11" x14ac:dyDescent="0.25">
      <c r="A841" s="1" t="s">
        <v>1384</v>
      </c>
      <c r="B841" s="2">
        <v>45223</v>
      </c>
      <c r="C841" s="3">
        <v>0.43611111111111112</v>
      </c>
      <c r="D841" s="1" t="s">
        <v>996</v>
      </c>
      <c r="E841">
        <v>26</v>
      </c>
      <c r="F841" s="1" t="s">
        <v>806</v>
      </c>
      <c r="G841" t="str">
        <f>_xlfn.XLOOKUP(Logs__2[[#This Row],[Cell_ID]],'Registre_Maintenance'!B:B,'Registre_Maintenance'!C:C,"Pas de correspondance")</f>
        <v>Bas-Uele</v>
      </c>
      <c r="H841">
        <f>_xlfn.XLOOKUP(Logs__2[[#This Row],[Cell_ID]],'Registre_Maintenance'!B:B,'Registre_Maintenance'!D:D,"Pas de correspondance")</f>
        <v>1.5278670000000001</v>
      </c>
      <c r="I841">
        <f>_xlfn.XLOOKUP(Logs__2[[#This Row],[Cell_ID]],'Registre_Maintenance'!B:B,'Registre_Maintenance'!E:E,"Pas de correspondance")</f>
        <v>13.899388999999999</v>
      </c>
      <c r="J841" t="str">
        <f>_xlfn.XLOOKUP(Logs__2[[#This Row],[Cell_ID]],'Registre_Maintenance'!B:B,'Registre_Maintenance'!F:F,"Pas de correspondance")</f>
        <v>3G</v>
      </c>
      <c r="K841" t="str">
        <f>_xlfn.XLOOKUP(Logs__2[[#This Row],[Cell_ID]],'Registre_Maintenance'!B:B,'Registre_Maintenance'!G:G,"Pas de correspondance")</f>
        <v>Huawei</v>
      </c>
    </row>
    <row r="842" spans="1:11" x14ac:dyDescent="0.25">
      <c r="A842" s="1" t="s">
        <v>1384</v>
      </c>
      <c r="B842" s="2">
        <v>45200</v>
      </c>
      <c r="C842" s="3">
        <v>0.34236111111111112</v>
      </c>
      <c r="D842" s="1" t="s">
        <v>1088</v>
      </c>
      <c r="E842">
        <v>86</v>
      </c>
      <c r="F842" s="1" t="s">
        <v>809</v>
      </c>
      <c r="G842" t="str">
        <f>_xlfn.XLOOKUP(Logs__2[[#This Row],[Cell_ID]],'Registre_Maintenance'!B:B,'Registre_Maintenance'!C:C,"Pas de correspondance")</f>
        <v>Haut-Lomami</v>
      </c>
      <c r="H842">
        <f>_xlfn.XLOOKUP(Logs__2[[#This Row],[Cell_ID]],'Registre_Maintenance'!B:B,'Registre_Maintenance'!D:D,"Pas de correspondance")</f>
        <v>2.628638</v>
      </c>
      <c r="I842">
        <f>_xlfn.XLOOKUP(Logs__2[[#This Row],[Cell_ID]],'Registre_Maintenance'!B:B,'Registre_Maintenance'!E:E,"Pas de correspondance")</f>
        <v>28.420582</v>
      </c>
      <c r="J842" t="str">
        <f>_xlfn.XLOOKUP(Logs__2[[#This Row],[Cell_ID]],'Registre_Maintenance'!B:B,'Registre_Maintenance'!F:F,"Pas de correspondance")</f>
        <v>4G</v>
      </c>
      <c r="K842" t="str">
        <f>_xlfn.XLOOKUP(Logs__2[[#This Row],[Cell_ID]],'Registre_Maintenance'!B:B,'Registre_Maintenance'!G:G,"Pas de correspondance")</f>
        <v>Huawei</v>
      </c>
    </row>
    <row r="843" spans="1:11" hidden="1" x14ac:dyDescent="0.25">
      <c r="A843" s="1" t="s">
        <v>1384</v>
      </c>
      <c r="B843" s="2">
        <v>45207</v>
      </c>
      <c r="C843" s="3">
        <v>0.9194444444444444</v>
      </c>
      <c r="D843" s="1" t="s">
        <v>1392</v>
      </c>
      <c r="E843">
        <v>42</v>
      </c>
      <c r="F843" s="1" t="s">
        <v>806</v>
      </c>
      <c r="G843" t="str">
        <f>_xlfn.XLOOKUP(Logs__2[[#This Row],[Cell_ID]],'Registre_Maintenance'!B:B,'Registre_Maintenance'!C:C,"Pas de correspondance")</f>
        <v>Pas de correspondance</v>
      </c>
      <c r="H843" t="str">
        <f>_xlfn.XLOOKUP(Logs__2[[#This Row],[Cell_ID]],'Registre_Maintenance'!B:B,'Registre_Maintenance'!D:D,"Pas de correspondance")</f>
        <v>Pas de correspondance</v>
      </c>
      <c r="I843" t="str">
        <f>_xlfn.XLOOKUP(Logs__2[[#This Row],[Cell_ID]],'Registre_Maintenance'!B:B,'Registre_Maintenance'!E:E,"Pas de correspondance")</f>
        <v>Pas de correspondance</v>
      </c>
      <c r="J843" t="str">
        <f>_xlfn.XLOOKUP(Logs__2[[#This Row],[Cell_ID]],'Registre_Maintenance'!B:B,'Registre_Maintenance'!F:F,"Pas de correspondance")</f>
        <v>Pas de correspondance</v>
      </c>
      <c r="K843" t="str">
        <f>_xlfn.XLOOKUP(Logs__2[[#This Row],[Cell_ID]],'Registre_Maintenance'!B:B,'Registre_Maintenance'!G:G,"Pas de correspondance")</f>
        <v>Pas de correspondance</v>
      </c>
    </row>
    <row r="844" spans="1:11" hidden="1" x14ac:dyDescent="0.25">
      <c r="A844" s="1" t="s">
        <v>1384</v>
      </c>
      <c r="B844" s="2">
        <v>45211</v>
      </c>
      <c r="C844" s="3">
        <v>0.36805555555555558</v>
      </c>
      <c r="D844" s="1" t="s">
        <v>970</v>
      </c>
      <c r="E844">
        <v>15</v>
      </c>
      <c r="F844" s="1" t="s">
        <v>809</v>
      </c>
      <c r="G844" t="str">
        <f>_xlfn.XLOOKUP(Logs__2[[#This Row],[Cell_ID]],'Registre_Maintenance'!B:B,'Registre_Maintenance'!C:C,"Pas de correspondance")</f>
        <v>Pas de correspondance</v>
      </c>
      <c r="H844" t="str">
        <f>_xlfn.XLOOKUP(Logs__2[[#This Row],[Cell_ID]],'Registre_Maintenance'!B:B,'Registre_Maintenance'!D:D,"Pas de correspondance")</f>
        <v>Pas de correspondance</v>
      </c>
      <c r="I844" t="str">
        <f>_xlfn.XLOOKUP(Logs__2[[#This Row],[Cell_ID]],'Registre_Maintenance'!B:B,'Registre_Maintenance'!E:E,"Pas de correspondance")</f>
        <v>Pas de correspondance</v>
      </c>
      <c r="J844" t="str">
        <f>_xlfn.XLOOKUP(Logs__2[[#This Row],[Cell_ID]],'Registre_Maintenance'!B:B,'Registre_Maintenance'!F:F,"Pas de correspondance")</f>
        <v>Pas de correspondance</v>
      </c>
      <c r="K844" t="str">
        <f>_xlfn.XLOOKUP(Logs__2[[#This Row],[Cell_ID]],'Registre_Maintenance'!B:B,'Registre_Maintenance'!G:G,"Pas de correspondance")</f>
        <v>Pas de correspondance</v>
      </c>
    </row>
    <row r="845" spans="1:11" hidden="1" x14ac:dyDescent="0.25">
      <c r="A845" s="1" t="s">
        <v>1384</v>
      </c>
      <c r="B845" s="2">
        <v>45203</v>
      </c>
      <c r="C845" s="3">
        <v>0.95833333333333337</v>
      </c>
      <c r="D845" s="1" t="s">
        <v>1393</v>
      </c>
      <c r="E845">
        <v>65</v>
      </c>
      <c r="F845" s="1" t="s">
        <v>811</v>
      </c>
      <c r="G845" t="str">
        <f>_xlfn.XLOOKUP(Logs__2[[#This Row],[Cell_ID]],'Registre_Maintenance'!B:B,'Registre_Maintenance'!C:C,"Pas de correspondance")</f>
        <v>Pas de correspondance</v>
      </c>
      <c r="H845" t="str">
        <f>_xlfn.XLOOKUP(Logs__2[[#This Row],[Cell_ID]],'Registre_Maintenance'!B:B,'Registre_Maintenance'!D:D,"Pas de correspondance")</f>
        <v>Pas de correspondance</v>
      </c>
      <c r="I845" t="str">
        <f>_xlfn.XLOOKUP(Logs__2[[#This Row],[Cell_ID]],'Registre_Maintenance'!B:B,'Registre_Maintenance'!E:E,"Pas de correspondance")</f>
        <v>Pas de correspondance</v>
      </c>
      <c r="J845" t="str">
        <f>_xlfn.XLOOKUP(Logs__2[[#This Row],[Cell_ID]],'Registre_Maintenance'!B:B,'Registre_Maintenance'!F:F,"Pas de correspondance")</f>
        <v>Pas de correspondance</v>
      </c>
      <c r="K845" t="str">
        <f>_xlfn.XLOOKUP(Logs__2[[#This Row],[Cell_ID]],'Registre_Maintenance'!B:B,'Registre_Maintenance'!G:G,"Pas de correspondance")</f>
        <v>Pas de correspondance</v>
      </c>
    </row>
    <row r="846" spans="1:11" hidden="1" x14ac:dyDescent="0.25">
      <c r="A846" s="1" t="s">
        <v>1384</v>
      </c>
      <c r="B846" s="2">
        <v>45201</v>
      </c>
      <c r="C846" s="3">
        <v>0.51944444444444449</v>
      </c>
      <c r="D846" s="1" t="s">
        <v>923</v>
      </c>
      <c r="E846">
        <v>113</v>
      </c>
      <c r="F846" s="1" t="s">
        <v>811</v>
      </c>
      <c r="G846" t="str">
        <f>_xlfn.XLOOKUP(Logs__2[[#This Row],[Cell_ID]],'Registre_Maintenance'!B:B,'Registre_Maintenance'!C:C,"Pas de correspondance")</f>
        <v>Pas de correspondance</v>
      </c>
      <c r="H846" t="str">
        <f>_xlfn.XLOOKUP(Logs__2[[#This Row],[Cell_ID]],'Registre_Maintenance'!B:B,'Registre_Maintenance'!D:D,"Pas de correspondance")</f>
        <v>Pas de correspondance</v>
      </c>
      <c r="I846" t="str">
        <f>_xlfn.XLOOKUP(Logs__2[[#This Row],[Cell_ID]],'Registre_Maintenance'!B:B,'Registre_Maintenance'!E:E,"Pas de correspondance")</f>
        <v>Pas de correspondance</v>
      </c>
      <c r="J846" t="str">
        <f>_xlfn.XLOOKUP(Logs__2[[#This Row],[Cell_ID]],'Registre_Maintenance'!B:B,'Registre_Maintenance'!F:F,"Pas de correspondance")</f>
        <v>Pas de correspondance</v>
      </c>
      <c r="K846" t="str">
        <f>_xlfn.XLOOKUP(Logs__2[[#This Row],[Cell_ID]],'Registre_Maintenance'!B:B,'Registre_Maintenance'!G:G,"Pas de correspondance")</f>
        <v>Pas de correspondance</v>
      </c>
    </row>
    <row r="847" spans="1:11" hidden="1" x14ac:dyDescent="0.25">
      <c r="A847" s="1" t="s">
        <v>1384</v>
      </c>
      <c r="B847" s="2">
        <v>45223</v>
      </c>
      <c r="C847" s="3">
        <v>0.54861111111111116</v>
      </c>
      <c r="D847" s="1" t="s">
        <v>1335</v>
      </c>
      <c r="E847">
        <v>19</v>
      </c>
      <c r="F847" s="1" t="s">
        <v>809</v>
      </c>
      <c r="G847" t="str">
        <f>_xlfn.XLOOKUP(Logs__2[[#This Row],[Cell_ID]],'Registre_Maintenance'!B:B,'Registre_Maintenance'!C:C,"Pas de correspondance")</f>
        <v>Pas de correspondance</v>
      </c>
      <c r="H847" t="str">
        <f>_xlfn.XLOOKUP(Logs__2[[#This Row],[Cell_ID]],'Registre_Maintenance'!B:B,'Registre_Maintenance'!D:D,"Pas de correspondance")</f>
        <v>Pas de correspondance</v>
      </c>
      <c r="I847" t="str">
        <f>_xlfn.XLOOKUP(Logs__2[[#This Row],[Cell_ID]],'Registre_Maintenance'!B:B,'Registre_Maintenance'!E:E,"Pas de correspondance")</f>
        <v>Pas de correspondance</v>
      </c>
      <c r="J847" t="str">
        <f>_xlfn.XLOOKUP(Logs__2[[#This Row],[Cell_ID]],'Registre_Maintenance'!B:B,'Registre_Maintenance'!F:F,"Pas de correspondance")</f>
        <v>Pas de correspondance</v>
      </c>
      <c r="K847" t="str">
        <f>_xlfn.XLOOKUP(Logs__2[[#This Row],[Cell_ID]],'Registre_Maintenance'!B:B,'Registre_Maintenance'!G:G,"Pas de correspondance")</f>
        <v>Pas de correspondance</v>
      </c>
    </row>
    <row r="848" spans="1:11" hidden="1" x14ac:dyDescent="0.25">
      <c r="A848" s="1" t="s">
        <v>1384</v>
      </c>
      <c r="B848" s="2">
        <v>45228</v>
      </c>
      <c r="C848" s="3">
        <v>0.56319444444444444</v>
      </c>
      <c r="D848" s="1" t="s">
        <v>1290</v>
      </c>
      <c r="E848">
        <v>44</v>
      </c>
      <c r="F848" s="1" t="s">
        <v>806</v>
      </c>
      <c r="G848" t="str">
        <f>_xlfn.XLOOKUP(Logs__2[[#This Row],[Cell_ID]],'Registre_Maintenance'!B:B,'Registre_Maintenance'!C:C,"Pas de correspondance")</f>
        <v>Pas de correspondance</v>
      </c>
      <c r="H848" t="str">
        <f>_xlfn.XLOOKUP(Logs__2[[#This Row],[Cell_ID]],'Registre_Maintenance'!B:B,'Registre_Maintenance'!D:D,"Pas de correspondance")</f>
        <v>Pas de correspondance</v>
      </c>
      <c r="I848" t="str">
        <f>_xlfn.XLOOKUP(Logs__2[[#This Row],[Cell_ID]],'Registre_Maintenance'!B:B,'Registre_Maintenance'!E:E,"Pas de correspondance")</f>
        <v>Pas de correspondance</v>
      </c>
      <c r="J848" t="str">
        <f>_xlfn.XLOOKUP(Logs__2[[#This Row],[Cell_ID]],'Registre_Maintenance'!B:B,'Registre_Maintenance'!F:F,"Pas de correspondance")</f>
        <v>Pas de correspondance</v>
      </c>
      <c r="K848" t="str">
        <f>_xlfn.XLOOKUP(Logs__2[[#This Row],[Cell_ID]],'Registre_Maintenance'!B:B,'Registre_Maintenance'!G:G,"Pas de correspondance")</f>
        <v>Pas de correspondance</v>
      </c>
    </row>
    <row r="849" spans="1:11" x14ac:dyDescent="0.25">
      <c r="A849" s="1" t="s">
        <v>1384</v>
      </c>
      <c r="B849" s="2">
        <v>45228</v>
      </c>
      <c r="C849" s="3">
        <v>0.51527777777777772</v>
      </c>
      <c r="D849" s="1" t="s">
        <v>1394</v>
      </c>
      <c r="E849">
        <v>105</v>
      </c>
      <c r="F849" s="1" t="s">
        <v>806</v>
      </c>
      <c r="G849" t="str">
        <f>_xlfn.XLOOKUP(Logs__2[[#This Row],[Cell_ID]],'Registre_Maintenance'!B:B,'Registre_Maintenance'!C:C,"Pas de correspondance")</f>
        <v>Tshopo</v>
      </c>
      <c r="H849">
        <f>_xlfn.XLOOKUP(Logs__2[[#This Row],[Cell_ID]],'Registre_Maintenance'!B:B,'Registre_Maintenance'!D:D,"Pas de correspondance")</f>
        <v>-0.919767</v>
      </c>
      <c r="I849">
        <f>_xlfn.XLOOKUP(Logs__2[[#This Row],[Cell_ID]],'Registre_Maintenance'!B:B,'Registre_Maintenance'!E:E,"Pas de correspondance")</f>
        <v>18.905538</v>
      </c>
      <c r="J849" t="str">
        <f>_xlfn.XLOOKUP(Logs__2[[#This Row],[Cell_ID]],'Registre_Maintenance'!B:B,'Registre_Maintenance'!F:F,"Pas de correspondance")</f>
        <v>5G</v>
      </c>
      <c r="K849" t="str">
        <f>_xlfn.XLOOKUP(Logs__2[[#This Row],[Cell_ID]],'Registre_Maintenance'!B:B,'Registre_Maintenance'!G:G,"Pas de correspondance")</f>
        <v>Ericsson</v>
      </c>
    </row>
    <row r="850" spans="1:11" hidden="1" x14ac:dyDescent="0.25">
      <c r="A850" s="1" t="s">
        <v>1384</v>
      </c>
      <c r="B850" s="2">
        <v>45217</v>
      </c>
      <c r="C850" s="3">
        <v>0.50416666666666665</v>
      </c>
      <c r="D850" s="1" t="s">
        <v>1114</v>
      </c>
      <c r="E850">
        <v>55</v>
      </c>
      <c r="F850" s="1" t="s">
        <v>811</v>
      </c>
      <c r="G850" t="str">
        <f>_xlfn.XLOOKUP(Logs__2[[#This Row],[Cell_ID]],'Registre_Maintenance'!B:B,'Registre_Maintenance'!C:C,"Pas de correspondance")</f>
        <v>Pas de correspondance</v>
      </c>
      <c r="H850" t="str">
        <f>_xlfn.XLOOKUP(Logs__2[[#This Row],[Cell_ID]],'Registre_Maintenance'!B:B,'Registre_Maintenance'!D:D,"Pas de correspondance")</f>
        <v>Pas de correspondance</v>
      </c>
      <c r="I850" t="str">
        <f>_xlfn.XLOOKUP(Logs__2[[#This Row],[Cell_ID]],'Registre_Maintenance'!B:B,'Registre_Maintenance'!E:E,"Pas de correspondance")</f>
        <v>Pas de correspondance</v>
      </c>
      <c r="J850" t="str">
        <f>_xlfn.XLOOKUP(Logs__2[[#This Row],[Cell_ID]],'Registre_Maintenance'!B:B,'Registre_Maintenance'!F:F,"Pas de correspondance")</f>
        <v>Pas de correspondance</v>
      </c>
      <c r="K850" t="str">
        <f>_xlfn.XLOOKUP(Logs__2[[#This Row],[Cell_ID]],'Registre_Maintenance'!B:B,'Registre_Maintenance'!G:G,"Pas de correspondance")</f>
        <v>Pas de correspondance</v>
      </c>
    </row>
    <row r="851" spans="1:11" x14ac:dyDescent="0.25">
      <c r="A851" s="1" t="s">
        <v>1384</v>
      </c>
      <c r="B851" s="2">
        <v>45226</v>
      </c>
      <c r="C851" s="3">
        <v>0.65972222222222221</v>
      </c>
      <c r="D851" s="1" t="s">
        <v>1099</v>
      </c>
      <c r="E851">
        <v>65</v>
      </c>
      <c r="F851" s="1" t="s">
        <v>809</v>
      </c>
      <c r="G851" t="str">
        <f>_xlfn.XLOOKUP(Logs__2[[#This Row],[Cell_ID]],'Registre_Maintenance'!B:B,'Registre_Maintenance'!C:C,"Pas de correspondance")</f>
        <v>Haut-Katanga</v>
      </c>
      <c r="H851">
        <f>_xlfn.XLOOKUP(Logs__2[[#This Row],[Cell_ID]],'Registre_Maintenance'!B:B,'Registre_Maintenance'!D:D,"Pas de correspondance")</f>
        <v>-11.594525000000001</v>
      </c>
      <c r="I851">
        <f>_xlfn.XLOOKUP(Logs__2[[#This Row],[Cell_ID]],'Registre_Maintenance'!B:B,'Registre_Maintenance'!E:E,"Pas de correspondance")</f>
        <v>29.744895</v>
      </c>
      <c r="J851" t="str">
        <f>_xlfn.XLOOKUP(Logs__2[[#This Row],[Cell_ID]],'Registre_Maintenance'!B:B,'Registre_Maintenance'!F:F,"Pas de correspondance")</f>
        <v>3G</v>
      </c>
      <c r="K851" t="str">
        <f>_xlfn.XLOOKUP(Logs__2[[#This Row],[Cell_ID]],'Registre_Maintenance'!B:B,'Registre_Maintenance'!G:G,"Pas de correspondance")</f>
        <v>ZTE</v>
      </c>
    </row>
    <row r="852" spans="1:11" x14ac:dyDescent="0.25">
      <c r="A852" s="1" t="s">
        <v>1384</v>
      </c>
      <c r="B852" s="2">
        <v>45227</v>
      </c>
      <c r="C852" s="3">
        <v>0.77847222222222223</v>
      </c>
      <c r="D852" s="1" t="s">
        <v>1246</v>
      </c>
      <c r="E852">
        <v>67</v>
      </c>
      <c r="F852" s="1" t="s">
        <v>811</v>
      </c>
      <c r="G852" t="str">
        <f>_xlfn.XLOOKUP(Logs__2[[#This Row],[Cell_ID]],'Registre_Maintenance'!B:B,'Registre_Maintenance'!C:C,"Pas de correspondance")</f>
        <v>Mai-Ndombe</v>
      </c>
      <c r="H852">
        <f>_xlfn.XLOOKUP(Logs__2[[#This Row],[Cell_ID]],'Registre_Maintenance'!B:B,'Registre_Maintenance'!D:D,"Pas de correspondance")</f>
        <v>-0.47411900000000001</v>
      </c>
      <c r="I852">
        <f>_xlfn.XLOOKUP(Logs__2[[#This Row],[Cell_ID]],'Registre_Maintenance'!B:B,'Registre_Maintenance'!E:E,"Pas de correspondance")</f>
        <v>27.184329000000002</v>
      </c>
      <c r="J852" t="str">
        <f>_xlfn.XLOOKUP(Logs__2[[#This Row],[Cell_ID]],'Registre_Maintenance'!B:B,'Registre_Maintenance'!F:F,"Pas de correspondance")</f>
        <v>5G</v>
      </c>
      <c r="K852" t="str">
        <f>_xlfn.XLOOKUP(Logs__2[[#This Row],[Cell_ID]],'Registre_Maintenance'!B:B,'Registre_Maintenance'!G:G,"Pas de correspondance")</f>
        <v>ZTE</v>
      </c>
    </row>
    <row r="853" spans="1:11" hidden="1" x14ac:dyDescent="0.25">
      <c r="A853" s="1" t="s">
        <v>1384</v>
      </c>
      <c r="B853" s="2">
        <v>45224</v>
      </c>
      <c r="C853" s="3">
        <v>0.88472222222222219</v>
      </c>
      <c r="D853" s="1" t="s">
        <v>1395</v>
      </c>
      <c r="E853">
        <v>119</v>
      </c>
      <c r="F853" s="1" t="s">
        <v>809</v>
      </c>
      <c r="G853" t="str">
        <f>_xlfn.XLOOKUP(Logs__2[[#This Row],[Cell_ID]],'Registre_Maintenance'!B:B,'Registre_Maintenance'!C:C,"Pas de correspondance")</f>
        <v>Pas de correspondance</v>
      </c>
      <c r="H853" t="str">
        <f>_xlfn.XLOOKUP(Logs__2[[#This Row],[Cell_ID]],'Registre_Maintenance'!B:B,'Registre_Maintenance'!D:D,"Pas de correspondance")</f>
        <v>Pas de correspondance</v>
      </c>
      <c r="I853" t="str">
        <f>_xlfn.XLOOKUP(Logs__2[[#This Row],[Cell_ID]],'Registre_Maintenance'!B:B,'Registre_Maintenance'!E:E,"Pas de correspondance")</f>
        <v>Pas de correspondance</v>
      </c>
      <c r="J853" t="str">
        <f>_xlfn.XLOOKUP(Logs__2[[#This Row],[Cell_ID]],'Registre_Maintenance'!B:B,'Registre_Maintenance'!F:F,"Pas de correspondance")</f>
        <v>Pas de correspondance</v>
      </c>
      <c r="K853" t="str">
        <f>_xlfn.XLOOKUP(Logs__2[[#This Row],[Cell_ID]],'Registre_Maintenance'!B:B,'Registre_Maintenance'!G:G,"Pas de correspondance")</f>
        <v>Pas de correspondance</v>
      </c>
    </row>
    <row r="854" spans="1:11" hidden="1" x14ac:dyDescent="0.25">
      <c r="A854" s="1" t="s">
        <v>1384</v>
      </c>
      <c r="B854" s="2">
        <v>45205</v>
      </c>
      <c r="C854" s="3">
        <v>0.58611111111111114</v>
      </c>
      <c r="D854" s="1" t="s">
        <v>1396</v>
      </c>
      <c r="E854">
        <v>89</v>
      </c>
      <c r="F854" s="1" t="s">
        <v>811</v>
      </c>
      <c r="G854" t="str">
        <f>_xlfn.XLOOKUP(Logs__2[[#This Row],[Cell_ID]],'Registre_Maintenance'!B:B,'Registre_Maintenance'!C:C,"Pas de correspondance")</f>
        <v>Pas de correspondance</v>
      </c>
      <c r="H854" t="str">
        <f>_xlfn.XLOOKUP(Logs__2[[#This Row],[Cell_ID]],'Registre_Maintenance'!B:B,'Registre_Maintenance'!D:D,"Pas de correspondance")</f>
        <v>Pas de correspondance</v>
      </c>
      <c r="I854" t="str">
        <f>_xlfn.XLOOKUP(Logs__2[[#This Row],[Cell_ID]],'Registre_Maintenance'!B:B,'Registre_Maintenance'!E:E,"Pas de correspondance")</f>
        <v>Pas de correspondance</v>
      </c>
      <c r="J854" t="str">
        <f>_xlfn.XLOOKUP(Logs__2[[#This Row],[Cell_ID]],'Registre_Maintenance'!B:B,'Registre_Maintenance'!F:F,"Pas de correspondance")</f>
        <v>Pas de correspondance</v>
      </c>
      <c r="K854" t="str">
        <f>_xlfn.XLOOKUP(Logs__2[[#This Row],[Cell_ID]],'Registre_Maintenance'!B:B,'Registre_Maintenance'!G:G,"Pas de correspondance")</f>
        <v>Pas de correspondance</v>
      </c>
    </row>
    <row r="855" spans="1:11" x14ac:dyDescent="0.25">
      <c r="A855" s="1" t="s">
        <v>1384</v>
      </c>
      <c r="B855" s="2">
        <v>45225</v>
      </c>
      <c r="C855" s="3">
        <v>5.4166666666666669E-2</v>
      </c>
      <c r="D855" s="1" t="s">
        <v>1397</v>
      </c>
      <c r="E855">
        <v>38</v>
      </c>
      <c r="F855" s="1" t="s">
        <v>811</v>
      </c>
      <c r="G855" t="str">
        <f>_xlfn.XLOOKUP(Logs__2[[#This Row],[Cell_ID]],'Registre_Maintenance'!B:B,'Registre_Maintenance'!C:C,"Pas de correspondance")</f>
        <v>Lualaba</v>
      </c>
      <c r="H855">
        <f>_xlfn.XLOOKUP(Logs__2[[#This Row],[Cell_ID]],'Registre_Maintenance'!B:B,'Registre_Maintenance'!D:D,"Pas de correspondance")</f>
        <v>-4.2184999999999997</v>
      </c>
      <c r="I855">
        <f>_xlfn.XLOOKUP(Logs__2[[#This Row],[Cell_ID]],'Registre_Maintenance'!B:B,'Registre_Maintenance'!E:E,"Pas de correspondance")</f>
        <v>23.077093999999999</v>
      </c>
      <c r="J855" t="str">
        <f>_xlfn.XLOOKUP(Logs__2[[#This Row],[Cell_ID]],'Registre_Maintenance'!B:B,'Registre_Maintenance'!F:F,"Pas de correspondance")</f>
        <v>4G</v>
      </c>
      <c r="K855" t="str">
        <f>_xlfn.XLOOKUP(Logs__2[[#This Row],[Cell_ID]],'Registre_Maintenance'!B:B,'Registre_Maintenance'!G:G,"Pas de correspondance")</f>
        <v>Ericsson</v>
      </c>
    </row>
    <row r="856" spans="1:11" hidden="1" x14ac:dyDescent="0.25">
      <c r="A856" s="1" t="s">
        <v>1384</v>
      </c>
      <c r="B856" s="2">
        <v>45200</v>
      </c>
      <c r="C856" s="3">
        <v>0.42777777777777776</v>
      </c>
      <c r="D856" s="1" t="s">
        <v>918</v>
      </c>
      <c r="E856">
        <v>16</v>
      </c>
      <c r="F856" s="1" t="s">
        <v>809</v>
      </c>
      <c r="G856" t="str">
        <f>_xlfn.XLOOKUP(Logs__2[[#This Row],[Cell_ID]],'Registre_Maintenance'!B:B,'Registre_Maintenance'!C:C,"Pas de correspondance")</f>
        <v>Pas de correspondance</v>
      </c>
      <c r="H856" t="str">
        <f>_xlfn.XLOOKUP(Logs__2[[#This Row],[Cell_ID]],'Registre_Maintenance'!B:B,'Registre_Maintenance'!D:D,"Pas de correspondance")</f>
        <v>Pas de correspondance</v>
      </c>
      <c r="I856" t="str">
        <f>_xlfn.XLOOKUP(Logs__2[[#This Row],[Cell_ID]],'Registre_Maintenance'!B:B,'Registre_Maintenance'!E:E,"Pas de correspondance")</f>
        <v>Pas de correspondance</v>
      </c>
      <c r="J856" t="str">
        <f>_xlfn.XLOOKUP(Logs__2[[#This Row],[Cell_ID]],'Registre_Maintenance'!B:B,'Registre_Maintenance'!F:F,"Pas de correspondance")</f>
        <v>Pas de correspondance</v>
      </c>
      <c r="K856" t="str">
        <f>_xlfn.XLOOKUP(Logs__2[[#This Row],[Cell_ID]],'Registre_Maintenance'!B:B,'Registre_Maintenance'!G:G,"Pas de correspondance")</f>
        <v>Pas de correspondance</v>
      </c>
    </row>
    <row r="857" spans="1:11" x14ac:dyDescent="0.25">
      <c r="A857" s="1" t="s">
        <v>1384</v>
      </c>
      <c r="B857" s="2">
        <v>45230</v>
      </c>
      <c r="C857" s="3">
        <v>0.12777777777777777</v>
      </c>
      <c r="D857" s="1" t="s">
        <v>1303</v>
      </c>
      <c r="E857">
        <v>87</v>
      </c>
      <c r="F857" s="1" t="s">
        <v>811</v>
      </c>
      <c r="G857" t="str">
        <f>_xlfn.XLOOKUP(Logs__2[[#This Row],[Cell_ID]],'Registre_Maintenance'!B:B,'Registre_Maintenance'!C:C,"Pas de correspondance")</f>
        <v>Haut-Katanga</v>
      </c>
      <c r="H857">
        <f>_xlfn.XLOOKUP(Logs__2[[#This Row],[Cell_ID]],'Registre_Maintenance'!B:B,'Registre_Maintenance'!D:D,"Pas de correspondance")</f>
        <v>-10.945031</v>
      </c>
      <c r="I857">
        <f>_xlfn.XLOOKUP(Logs__2[[#This Row],[Cell_ID]],'Registre_Maintenance'!B:B,'Registre_Maintenance'!E:E,"Pas de correspondance")</f>
        <v>27.922274000000002</v>
      </c>
      <c r="J857" t="str">
        <f>_xlfn.XLOOKUP(Logs__2[[#This Row],[Cell_ID]],'Registre_Maintenance'!B:B,'Registre_Maintenance'!F:F,"Pas de correspondance")</f>
        <v>4G</v>
      </c>
      <c r="K857" t="str">
        <f>_xlfn.XLOOKUP(Logs__2[[#This Row],[Cell_ID]],'Registre_Maintenance'!B:B,'Registre_Maintenance'!G:G,"Pas de correspondance")</f>
        <v>Ericsson</v>
      </c>
    </row>
    <row r="858" spans="1:11" hidden="1" x14ac:dyDescent="0.25">
      <c r="A858" s="1" t="s">
        <v>1384</v>
      </c>
      <c r="B858" s="2">
        <v>45210</v>
      </c>
      <c r="C858" s="3">
        <v>0.24722222222222223</v>
      </c>
      <c r="D858" s="1" t="s">
        <v>1376</v>
      </c>
      <c r="E858">
        <v>74</v>
      </c>
      <c r="F858" s="1" t="s">
        <v>806</v>
      </c>
      <c r="G858" t="str">
        <f>_xlfn.XLOOKUP(Logs__2[[#This Row],[Cell_ID]],'Registre_Maintenance'!B:B,'Registre_Maintenance'!C:C,"Pas de correspondance")</f>
        <v>Pas de correspondance</v>
      </c>
      <c r="H858" t="str">
        <f>_xlfn.XLOOKUP(Logs__2[[#This Row],[Cell_ID]],'Registre_Maintenance'!B:B,'Registre_Maintenance'!D:D,"Pas de correspondance")</f>
        <v>Pas de correspondance</v>
      </c>
      <c r="I858" t="str">
        <f>_xlfn.XLOOKUP(Logs__2[[#This Row],[Cell_ID]],'Registre_Maintenance'!B:B,'Registre_Maintenance'!E:E,"Pas de correspondance")</f>
        <v>Pas de correspondance</v>
      </c>
      <c r="J858" t="str">
        <f>_xlfn.XLOOKUP(Logs__2[[#This Row],[Cell_ID]],'Registre_Maintenance'!B:B,'Registre_Maintenance'!F:F,"Pas de correspondance")</f>
        <v>Pas de correspondance</v>
      </c>
      <c r="K858" t="str">
        <f>_xlfn.XLOOKUP(Logs__2[[#This Row],[Cell_ID]],'Registre_Maintenance'!B:B,'Registre_Maintenance'!G:G,"Pas de correspondance")</f>
        <v>Pas de correspondance</v>
      </c>
    </row>
    <row r="859" spans="1:11" hidden="1" x14ac:dyDescent="0.25">
      <c r="A859" s="1" t="s">
        <v>1384</v>
      </c>
      <c r="B859" s="2">
        <v>45212</v>
      </c>
      <c r="C859" s="3">
        <v>0.24027777777777778</v>
      </c>
      <c r="D859" s="1" t="s">
        <v>1159</v>
      </c>
      <c r="E859">
        <v>54</v>
      </c>
      <c r="F859" s="1" t="s">
        <v>809</v>
      </c>
      <c r="G859" t="str">
        <f>_xlfn.XLOOKUP(Logs__2[[#This Row],[Cell_ID]],'Registre_Maintenance'!B:B,'Registre_Maintenance'!C:C,"Pas de correspondance")</f>
        <v>Pas de correspondance</v>
      </c>
      <c r="H859" t="str">
        <f>_xlfn.XLOOKUP(Logs__2[[#This Row],[Cell_ID]],'Registre_Maintenance'!B:B,'Registre_Maintenance'!D:D,"Pas de correspondance")</f>
        <v>Pas de correspondance</v>
      </c>
      <c r="I859" t="str">
        <f>_xlfn.XLOOKUP(Logs__2[[#This Row],[Cell_ID]],'Registre_Maintenance'!B:B,'Registre_Maintenance'!E:E,"Pas de correspondance")</f>
        <v>Pas de correspondance</v>
      </c>
      <c r="J859" t="str">
        <f>_xlfn.XLOOKUP(Logs__2[[#This Row],[Cell_ID]],'Registre_Maintenance'!B:B,'Registre_Maintenance'!F:F,"Pas de correspondance")</f>
        <v>Pas de correspondance</v>
      </c>
      <c r="K859" t="str">
        <f>_xlfn.XLOOKUP(Logs__2[[#This Row],[Cell_ID]],'Registre_Maintenance'!B:B,'Registre_Maintenance'!G:G,"Pas de correspondance")</f>
        <v>Pas de correspondance</v>
      </c>
    </row>
    <row r="860" spans="1:11" x14ac:dyDescent="0.25">
      <c r="A860" s="1" t="s">
        <v>1384</v>
      </c>
      <c r="B860" s="2">
        <v>45202</v>
      </c>
      <c r="C860" s="3">
        <v>0.74791666666666667</v>
      </c>
      <c r="D860" s="1" t="s">
        <v>952</v>
      </c>
      <c r="E860">
        <v>28</v>
      </c>
      <c r="F860" s="1" t="s">
        <v>809</v>
      </c>
      <c r="G860" t="str">
        <f>_xlfn.XLOOKUP(Logs__2[[#This Row],[Cell_ID]],'Registre_Maintenance'!B:B,'Registre_Maintenance'!C:C,"Pas de correspondance")</f>
        <v>Kasaï-Central</v>
      </c>
      <c r="H860">
        <f>_xlfn.XLOOKUP(Logs__2[[#This Row],[Cell_ID]],'Registre_Maintenance'!B:B,'Registre_Maintenance'!D:D,"Pas de correspondance")</f>
        <v>-3.111418</v>
      </c>
      <c r="I860">
        <f>_xlfn.XLOOKUP(Logs__2[[#This Row],[Cell_ID]],'Registre_Maintenance'!B:B,'Registre_Maintenance'!E:E,"Pas de correspondance")</f>
        <v>14.144854</v>
      </c>
      <c r="J860" t="str">
        <f>_xlfn.XLOOKUP(Logs__2[[#This Row],[Cell_ID]],'Registre_Maintenance'!B:B,'Registre_Maintenance'!F:F,"Pas de correspondance")</f>
        <v>4G</v>
      </c>
      <c r="K860" t="str">
        <f>_xlfn.XLOOKUP(Logs__2[[#This Row],[Cell_ID]],'Registre_Maintenance'!B:B,'Registre_Maintenance'!G:G,"Pas de correspondance")</f>
        <v>ZTE</v>
      </c>
    </row>
    <row r="861" spans="1:11" hidden="1" x14ac:dyDescent="0.25">
      <c r="A861" s="1" t="s">
        <v>1384</v>
      </c>
      <c r="B861" s="2">
        <v>45202</v>
      </c>
      <c r="C861" s="3">
        <v>0.44305555555555554</v>
      </c>
      <c r="D861" s="1" t="s">
        <v>1398</v>
      </c>
      <c r="E861">
        <v>52</v>
      </c>
      <c r="F861" s="1" t="s">
        <v>809</v>
      </c>
      <c r="G861" t="str">
        <f>_xlfn.XLOOKUP(Logs__2[[#This Row],[Cell_ID]],'Registre_Maintenance'!B:B,'Registre_Maintenance'!C:C,"Pas de correspondance")</f>
        <v>Pas de correspondance</v>
      </c>
      <c r="H861" t="str">
        <f>_xlfn.XLOOKUP(Logs__2[[#This Row],[Cell_ID]],'Registre_Maintenance'!B:B,'Registre_Maintenance'!D:D,"Pas de correspondance")</f>
        <v>Pas de correspondance</v>
      </c>
      <c r="I861" t="str">
        <f>_xlfn.XLOOKUP(Logs__2[[#This Row],[Cell_ID]],'Registre_Maintenance'!B:B,'Registre_Maintenance'!E:E,"Pas de correspondance")</f>
        <v>Pas de correspondance</v>
      </c>
      <c r="J861" t="str">
        <f>_xlfn.XLOOKUP(Logs__2[[#This Row],[Cell_ID]],'Registre_Maintenance'!B:B,'Registre_Maintenance'!F:F,"Pas de correspondance")</f>
        <v>Pas de correspondance</v>
      </c>
      <c r="K861" t="str">
        <f>_xlfn.XLOOKUP(Logs__2[[#This Row],[Cell_ID]],'Registre_Maintenance'!B:B,'Registre_Maintenance'!G:G,"Pas de correspondance")</f>
        <v>Pas de correspondance</v>
      </c>
    </row>
    <row r="862" spans="1:11" hidden="1" x14ac:dyDescent="0.25">
      <c r="A862" s="1" t="s">
        <v>1384</v>
      </c>
      <c r="B862" s="2">
        <v>45219</v>
      </c>
      <c r="C862" s="3">
        <v>0.65625</v>
      </c>
      <c r="D862" s="1" t="s">
        <v>1091</v>
      </c>
      <c r="E862">
        <v>118</v>
      </c>
      <c r="F862" s="1" t="s">
        <v>809</v>
      </c>
      <c r="G862" t="str">
        <f>_xlfn.XLOOKUP(Logs__2[[#This Row],[Cell_ID]],'Registre_Maintenance'!B:B,'Registre_Maintenance'!C:C,"Pas de correspondance")</f>
        <v>Pas de correspondance</v>
      </c>
      <c r="H862" t="str">
        <f>_xlfn.XLOOKUP(Logs__2[[#This Row],[Cell_ID]],'Registre_Maintenance'!B:B,'Registre_Maintenance'!D:D,"Pas de correspondance")</f>
        <v>Pas de correspondance</v>
      </c>
      <c r="I862" t="str">
        <f>_xlfn.XLOOKUP(Logs__2[[#This Row],[Cell_ID]],'Registre_Maintenance'!B:B,'Registre_Maintenance'!E:E,"Pas de correspondance")</f>
        <v>Pas de correspondance</v>
      </c>
      <c r="J862" t="str">
        <f>_xlfn.XLOOKUP(Logs__2[[#This Row],[Cell_ID]],'Registre_Maintenance'!B:B,'Registre_Maintenance'!F:F,"Pas de correspondance")</f>
        <v>Pas de correspondance</v>
      </c>
      <c r="K862" t="str">
        <f>_xlfn.XLOOKUP(Logs__2[[#This Row],[Cell_ID]],'Registre_Maintenance'!B:B,'Registre_Maintenance'!G:G,"Pas de correspondance")</f>
        <v>Pas de correspondance</v>
      </c>
    </row>
    <row r="863" spans="1:11" x14ac:dyDescent="0.25">
      <c r="A863" s="1" t="s">
        <v>1384</v>
      </c>
      <c r="B863" s="2">
        <v>45200</v>
      </c>
      <c r="C863" s="3">
        <v>0.57013888888888886</v>
      </c>
      <c r="D863" s="1" t="s">
        <v>1399</v>
      </c>
      <c r="E863">
        <v>53</v>
      </c>
      <c r="F863" s="1" t="s">
        <v>811</v>
      </c>
      <c r="G863" t="str">
        <f>_xlfn.XLOOKUP(Logs__2[[#This Row],[Cell_ID]],'Registre_Maintenance'!B:B,'Registre_Maintenance'!C:C,"Pas de correspondance")</f>
        <v>Kongo-Central</v>
      </c>
      <c r="H863">
        <f>_xlfn.XLOOKUP(Logs__2[[#This Row],[Cell_ID]],'Registre_Maintenance'!B:B,'Registre_Maintenance'!D:D,"Pas de correspondance")</f>
        <v>2.8552499999999998</v>
      </c>
      <c r="I863">
        <f>_xlfn.XLOOKUP(Logs__2[[#This Row],[Cell_ID]],'Registre_Maintenance'!B:B,'Registre_Maintenance'!E:E,"Pas de correspondance")</f>
        <v>14.077933</v>
      </c>
      <c r="J863" t="str">
        <f>_xlfn.XLOOKUP(Logs__2[[#This Row],[Cell_ID]],'Registre_Maintenance'!B:B,'Registre_Maintenance'!F:F,"Pas de correspondance")</f>
        <v>4G</v>
      </c>
      <c r="K863" t="str">
        <f>_xlfn.XLOOKUP(Logs__2[[#This Row],[Cell_ID]],'Registre_Maintenance'!B:B,'Registre_Maintenance'!G:G,"Pas de correspondance")</f>
        <v>ZTE</v>
      </c>
    </row>
    <row r="864" spans="1:11" hidden="1" x14ac:dyDescent="0.25">
      <c r="A864" s="1" t="s">
        <v>1384</v>
      </c>
      <c r="B864" s="2">
        <v>45205</v>
      </c>
      <c r="C864" s="3">
        <v>0.8305555555555556</v>
      </c>
      <c r="D864" s="1" t="s">
        <v>1400</v>
      </c>
      <c r="E864">
        <v>52</v>
      </c>
      <c r="F864" s="1" t="s">
        <v>806</v>
      </c>
      <c r="G864" t="str">
        <f>_xlfn.XLOOKUP(Logs__2[[#This Row],[Cell_ID]],'Registre_Maintenance'!B:B,'Registre_Maintenance'!C:C,"Pas de correspondance")</f>
        <v>Pas de correspondance</v>
      </c>
      <c r="H864" t="str">
        <f>_xlfn.XLOOKUP(Logs__2[[#This Row],[Cell_ID]],'Registre_Maintenance'!B:B,'Registre_Maintenance'!D:D,"Pas de correspondance")</f>
        <v>Pas de correspondance</v>
      </c>
      <c r="I864" t="str">
        <f>_xlfn.XLOOKUP(Logs__2[[#This Row],[Cell_ID]],'Registre_Maintenance'!B:B,'Registre_Maintenance'!E:E,"Pas de correspondance")</f>
        <v>Pas de correspondance</v>
      </c>
      <c r="J864" t="str">
        <f>_xlfn.XLOOKUP(Logs__2[[#This Row],[Cell_ID]],'Registre_Maintenance'!B:B,'Registre_Maintenance'!F:F,"Pas de correspondance")</f>
        <v>Pas de correspondance</v>
      </c>
      <c r="K864" t="str">
        <f>_xlfn.XLOOKUP(Logs__2[[#This Row],[Cell_ID]],'Registre_Maintenance'!B:B,'Registre_Maintenance'!G:G,"Pas de correspondance")</f>
        <v>Pas de correspondance</v>
      </c>
    </row>
    <row r="865" spans="1:11" hidden="1" x14ac:dyDescent="0.25">
      <c r="A865" s="1" t="s">
        <v>1384</v>
      </c>
      <c r="B865" s="2">
        <v>45213</v>
      </c>
      <c r="C865" s="3">
        <v>0.21041666666666667</v>
      </c>
      <c r="D865" s="1" t="s">
        <v>1401</v>
      </c>
      <c r="E865">
        <v>28</v>
      </c>
      <c r="F865" s="1" t="s">
        <v>811</v>
      </c>
      <c r="G865" t="str">
        <f>_xlfn.XLOOKUP(Logs__2[[#This Row],[Cell_ID]],'Registre_Maintenance'!B:B,'Registre_Maintenance'!C:C,"Pas de correspondance")</f>
        <v>Pas de correspondance</v>
      </c>
      <c r="H865" t="str">
        <f>_xlfn.XLOOKUP(Logs__2[[#This Row],[Cell_ID]],'Registre_Maintenance'!B:B,'Registre_Maintenance'!D:D,"Pas de correspondance")</f>
        <v>Pas de correspondance</v>
      </c>
      <c r="I865" t="str">
        <f>_xlfn.XLOOKUP(Logs__2[[#This Row],[Cell_ID]],'Registre_Maintenance'!B:B,'Registre_Maintenance'!E:E,"Pas de correspondance")</f>
        <v>Pas de correspondance</v>
      </c>
      <c r="J865" t="str">
        <f>_xlfn.XLOOKUP(Logs__2[[#This Row],[Cell_ID]],'Registre_Maintenance'!B:B,'Registre_Maintenance'!F:F,"Pas de correspondance")</f>
        <v>Pas de correspondance</v>
      </c>
      <c r="K865" t="str">
        <f>_xlfn.XLOOKUP(Logs__2[[#This Row],[Cell_ID]],'Registre_Maintenance'!B:B,'Registre_Maintenance'!G:G,"Pas de correspondance")</f>
        <v>Pas de correspondance</v>
      </c>
    </row>
    <row r="866" spans="1:11" hidden="1" x14ac:dyDescent="0.25">
      <c r="A866" s="1" t="s">
        <v>1384</v>
      </c>
      <c r="B866" s="2">
        <v>45203</v>
      </c>
      <c r="C866" s="3">
        <v>0.42569444444444443</v>
      </c>
      <c r="D866" s="1" t="s">
        <v>1402</v>
      </c>
      <c r="E866">
        <v>62</v>
      </c>
      <c r="F866" s="1" t="s">
        <v>806</v>
      </c>
      <c r="G866" t="str">
        <f>_xlfn.XLOOKUP(Logs__2[[#This Row],[Cell_ID]],'Registre_Maintenance'!B:B,'Registre_Maintenance'!C:C,"Pas de correspondance")</f>
        <v>Pas de correspondance</v>
      </c>
      <c r="H866" t="str">
        <f>_xlfn.XLOOKUP(Logs__2[[#This Row],[Cell_ID]],'Registre_Maintenance'!B:B,'Registre_Maintenance'!D:D,"Pas de correspondance")</f>
        <v>Pas de correspondance</v>
      </c>
      <c r="I866" t="str">
        <f>_xlfn.XLOOKUP(Logs__2[[#This Row],[Cell_ID]],'Registre_Maintenance'!B:B,'Registre_Maintenance'!E:E,"Pas de correspondance")</f>
        <v>Pas de correspondance</v>
      </c>
      <c r="J866" t="str">
        <f>_xlfn.XLOOKUP(Logs__2[[#This Row],[Cell_ID]],'Registre_Maintenance'!B:B,'Registre_Maintenance'!F:F,"Pas de correspondance")</f>
        <v>Pas de correspondance</v>
      </c>
      <c r="K866" t="str">
        <f>_xlfn.XLOOKUP(Logs__2[[#This Row],[Cell_ID]],'Registre_Maintenance'!B:B,'Registre_Maintenance'!G:G,"Pas de correspondance")</f>
        <v>Pas de correspondance</v>
      </c>
    </row>
    <row r="867" spans="1:11" hidden="1" x14ac:dyDescent="0.25">
      <c r="A867" s="1" t="s">
        <v>1384</v>
      </c>
      <c r="B867" s="2">
        <v>45206</v>
      </c>
      <c r="C867" s="3">
        <v>0.57222222222222219</v>
      </c>
      <c r="D867" s="1" t="s">
        <v>1157</v>
      </c>
      <c r="E867">
        <v>10</v>
      </c>
      <c r="F867" s="1" t="s">
        <v>806</v>
      </c>
      <c r="G867" t="str">
        <f>_xlfn.XLOOKUP(Logs__2[[#This Row],[Cell_ID]],'Registre_Maintenance'!B:B,'Registre_Maintenance'!C:C,"Pas de correspondance")</f>
        <v>Pas de correspondance</v>
      </c>
      <c r="H867" t="str">
        <f>_xlfn.XLOOKUP(Logs__2[[#This Row],[Cell_ID]],'Registre_Maintenance'!B:B,'Registre_Maintenance'!D:D,"Pas de correspondance")</f>
        <v>Pas de correspondance</v>
      </c>
      <c r="I867" t="str">
        <f>_xlfn.XLOOKUP(Logs__2[[#This Row],[Cell_ID]],'Registre_Maintenance'!B:B,'Registre_Maintenance'!E:E,"Pas de correspondance")</f>
        <v>Pas de correspondance</v>
      </c>
      <c r="J867" t="str">
        <f>_xlfn.XLOOKUP(Logs__2[[#This Row],[Cell_ID]],'Registre_Maintenance'!B:B,'Registre_Maintenance'!F:F,"Pas de correspondance")</f>
        <v>Pas de correspondance</v>
      </c>
      <c r="K867" t="str">
        <f>_xlfn.XLOOKUP(Logs__2[[#This Row],[Cell_ID]],'Registre_Maintenance'!B:B,'Registre_Maintenance'!G:G,"Pas de correspondance")</f>
        <v>Pas de correspondance</v>
      </c>
    </row>
    <row r="868" spans="1:11" x14ac:dyDescent="0.25">
      <c r="A868" s="1" t="s">
        <v>1384</v>
      </c>
      <c r="B868" s="2">
        <v>45217</v>
      </c>
      <c r="C868" s="3">
        <v>0.99930555555555556</v>
      </c>
      <c r="D868" s="1" t="s">
        <v>1112</v>
      </c>
      <c r="E868">
        <v>38</v>
      </c>
      <c r="F868" s="1" t="s">
        <v>809</v>
      </c>
      <c r="G868" t="str">
        <f>_xlfn.XLOOKUP(Logs__2[[#This Row],[Cell_ID]],'Registre_Maintenance'!B:B,'Registre_Maintenance'!C:C,"Pas de correspondance")</f>
        <v>Lualaba</v>
      </c>
      <c r="H868">
        <f>_xlfn.XLOOKUP(Logs__2[[#This Row],[Cell_ID]],'Registre_Maintenance'!B:B,'Registre_Maintenance'!D:D,"Pas de correspondance")</f>
        <v>-10.967288</v>
      </c>
      <c r="I868">
        <f>_xlfn.XLOOKUP(Logs__2[[#This Row],[Cell_ID]],'Registre_Maintenance'!B:B,'Registre_Maintenance'!E:E,"Pas de correspondance")</f>
        <v>17.617781000000001</v>
      </c>
      <c r="J868" t="str">
        <f>_xlfn.XLOOKUP(Logs__2[[#This Row],[Cell_ID]],'Registre_Maintenance'!B:B,'Registre_Maintenance'!F:F,"Pas de correspondance")</f>
        <v>4G</v>
      </c>
      <c r="K868" t="str">
        <f>_xlfn.XLOOKUP(Logs__2[[#This Row],[Cell_ID]],'Registre_Maintenance'!B:B,'Registre_Maintenance'!G:G,"Pas de correspondance")</f>
        <v>Ericsson</v>
      </c>
    </row>
    <row r="869" spans="1:11" hidden="1" x14ac:dyDescent="0.25">
      <c r="A869" s="1" t="s">
        <v>1384</v>
      </c>
      <c r="B869" s="2">
        <v>45223</v>
      </c>
      <c r="C869" s="3">
        <v>0.71944444444444444</v>
      </c>
      <c r="D869" s="1" t="s">
        <v>1107</v>
      </c>
      <c r="E869">
        <v>61</v>
      </c>
      <c r="F869" s="1" t="s">
        <v>809</v>
      </c>
      <c r="G869" t="str">
        <f>_xlfn.XLOOKUP(Logs__2[[#This Row],[Cell_ID]],'Registre_Maintenance'!B:B,'Registre_Maintenance'!C:C,"Pas de correspondance")</f>
        <v>Pas de correspondance</v>
      </c>
      <c r="H869" t="str">
        <f>_xlfn.XLOOKUP(Logs__2[[#This Row],[Cell_ID]],'Registre_Maintenance'!B:B,'Registre_Maintenance'!D:D,"Pas de correspondance")</f>
        <v>Pas de correspondance</v>
      </c>
      <c r="I869" t="str">
        <f>_xlfn.XLOOKUP(Logs__2[[#This Row],[Cell_ID]],'Registre_Maintenance'!B:B,'Registre_Maintenance'!E:E,"Pas de correspondance")</f>
        <v>Pas de correspondance</v>
      </c>
      <c r="J869" t="str">
        <f>_xlfn.XLOOKUP(Logs__2[[#This Row],[Cell_ID]],'Registre_Maintenance'!B:B,'Registre_Maintenance'!F:F,"Pas de correspondance")</f>
        <v>Pas de correspondance</v>
      </c>
      <c r="K869" t="str">
        <f>_xlfn.XLOOKUP(Logs__2[[#This Row],[Cell_ID]],'Registre_Maintenance'!B:B,'Registre_Maintenance'!G:G,"Pas de correspondance")</f>
        <v>Pas de correspondance</v>
      </c>
    </row>
    <row r="870" spans="1:11" x14ac:dyDescent="0.25">
      <c r="A870" s="1" t="s">
        <v>1384</v>
      </c>
      <c r="B870" s="2">
        <v>45221</v>
      </c>
      <c r="C870" s="3">
        <v>0.38819444444444445</v>
      </c>
      <c r="D870" s="1" t="s">
        <v>1403</v>
      </c>
      <c r="E870">
        <v>64</v>
      </c>
      <c r="F870" s="1" t="s">
        <v>809</v>
      </c>
      <c r="G870" t="str">
        <f>_xlfn.XLOOKUP(Logs__2[[#This Row],[Cell_ID]],'Registre_Maintenance'!B:B,'Registre_Maintenance'!C:C,"Pas de correspondance")</f>
        <v>Tshopo</v>
      </c>
      <c r="H870">
        <f>_xlfn.XLOOKUP(Logs__2[[#This Row],[Cell_ID]],'Registre_Maintenance'!B:B,'Registre_Maintenance'!D:D,"Pas de correspondance")</f>
        <v>-12.070842000000001</v>
      </c>
      <c r="I870">
        <f>_xlfn.XLOOKUP(Logs__2[[#This Row],[Cell_ID]],'Registre_Maintenance'!B:B,'Registre_Maintenance'!E:E,"Pas de correspondance")</f>
        <v>14.757847</v>
      </c>
      <c r="J870" t="str">
        <f>_xlfn.XLOOKUP(Logs__2[[#This Row],[Cell_ID]],'Registre_Maintenance'!B:B,'Registre_Maintenance'!F:F,"Pas de correspondance")</f>
        <v>4G</v>
      </c>
      <c r="K870" t="str">
        <f>_xlfn.XLOOKUP(Logs__2[[#This Row],[Cell_ID]],'Registre_Maintenance'!B:B,'Registre_Maintenance'!G:G,"Pas de correspondance")</f>
        <v>ZTE</v>
      </c>
    </row>
    <row r="871" spans="1:11" x14ac:dyDescent="0.25">
      <c r="A871" s="1" t="s">
        <v>1384</v>
      </c>
      <c r="B871" s="2">
        <v>45207</v>
      </c>
      <c r="C871" s="3">
        <v>0.12708333333333333</v>
      </c>
      <c r="D871" s="1" t="s">
        <v>943</v>
      </c>
      <c r="E871">
        <v>38</v>
      </c>
      <c r="F871" s="1" t="s">
        <v>806</v>
      </c>
      <c r="G871" t="str">
        <f>_xlfn.XLOOKUP(Logs__2[[#This Row],[Cell_ID]],'Registre_Maintenance'!B:B,'Registre_Maintenance'!C:C,"Pas de correspondance")</f>
        <v>Kwilu</v>
      </c>
      <c r="H871">
        <f>_xlfn.XLOOKUP(Logs__2[[#This Row],[Cell_ID]],'Registre_Maintenance'!B:B,'Registre_Maintenance'!D:D,"Pas de correspondance")</f>
        <v>-8.5675749999999997</v>
      </c>
      <c r="I871">
        <f>_xlfn.XLOOKUP(Logs__2[[#This Row],[Cell_ID]],'Registre_Maintenance'!B:B,'Registre_Maintenance'!E:E,"Pas de correspondance")</f>
        <v>26.994581</v>
      </c>
      <c r="J871" t="str">
        <f>_xlfn.XLOOKUP(Logs__2[[#This Row],[Cell_ID]],'Registre_Maintenance'!B:B,'Registre_Maintenance'!F:F,"Pas de correspondance")</f>
        <v>3G</v>
      </c>
      <c r="K871" t="str">
        <f>_xlfn.XLOOKUP(Logs__2[[#This Row],[Cell_ID]],'Registre_Maintenance'!B:B,'Registre_Maintenance'!G:G,"Pas de correspondance")</f>
        <v>Nokia</v>
      </c>
    </row>
    <row r="872" spans="1:11" hidden="1" x14ac:dyDescent="0.25">
      <c r="A872" s="1" t="s">
        <v>1384</v>
      </c>
      <c r="B872" s="2">
        <v>45212</v>
      </c>
      <c r="C872" s="3">
        <v>0.77430555555555558</v>
      </c>
      <c r="D872" s="1" t="s">
        <v>1404</v>
      </c>
      <c r="E872">
        <v>33</v>
      </c>
      <c r="F872" s="1" t="s">
        <v>806</v>
      </c>
      <c r="G872" t="str">
        <f>_xlfn.XLOOKUP(Logs__2[[#This Row],[Cell_ID]],'Registre_Maintenance'!B:B,'Registre_Maintenance'!C:C,"Pas de correspondance")</f>
        <v>Pas de correspondance</v>
      </c>
      <c r="H872" t="str">
        <f>_xlfn.XLOOKUP(Logs__2[[#This Row],[Cell_ID]],'Registre_Maintenance'!B:B,'Registre_Maintenance'!D:D,"Pas de correspondance")</f>
        <v>Pas de correspondance</v>
      </c>
      <c r="I872" t="str">
        <f>_xlfn.XLOOKUP(Logs__2[[#This Row],[Cell_ID]],'Registre_Maintenance'!B:B,'Registre_Maintenance'!E:E,"Pas de correspondance")</f>
        <v>Pas de correspondance</v>
      </c>
      <c r="J872" t="str">
        <f>_xlfn.XLOOKUP(Logs__2[[#This Row],[Cell_ID]],'Registre_Maintenance'!B:B,'Registre_Maintenance'!F:F,"Pas de correspondance")</f>
        <v>Pas de correspondance</v>
      </c>
      <c r="K872" t="str">
        <f>_xlfn.XLOOKUP(Logs__2[[#This Row],[Cell_ID]],'Registre_Maintenance'!B:B,'Registre_Maintenance'!G:G,"Pas de correspondance")</f>
        <v>Pas de correspondance</v>
      </c>
    </row>
    <row r="873" spans="1:11" hidden="1" x14ac:dyDescent="0.25">
      <c r="A873" s="1" t="s">
        <v>1384</v>
      </c>
      <c r="B873" s="2">
        <v>45226</v>
      </c>
      <c r="C873" s="3">
        <v>0.63124999999999998</v>
      </c>
      <c r="D873" s="1" t="s">
        <v>1405</v>
      </c>
      <c r="E873">
        <v>112</v>
      </c>
      <c r="F873" s="1" t="s">
        <v>809</v>
      </c>
      <c r="G873" t="str">
        <f>_xlfn.XLOOKUP(Logs__2[[#This Row],[Cell_ID]],'Registre_Maintenance'!B:B,'Registre_Maintenance'!C:C,"Pas de correspondance")</f>
        <v>Pas de correspondance</v>
      </c>
      <c r="H873" t="str">
        <f>_xlfn.XLOOKUP(Logs__2[[#This Row],[Cell_ID]],'Registre_Maintenance'!B:B,'Registre_Maintenance'!D:D,"Pas de correspondance")</f>
        <v>Pas de correspondance</v>
      </c>
      <c r="I873" t="str">
        <f>_xlfn.XLOOKUP(Logs__2[[#This Row],[Cell_ID]],'Registre_Maintenance'!B:B,'Registre_Maintenance'!E:E,"Pas de correspondance")</f>
        <v>Pas de correspondance</v>
      </c>
      <c r="J873" t="str">
        <f>_xlfn.XLOOKUP(Logs__2[[#This Row],[Cell_ID]],'Registre_Maintenance'!B:B,'Registre_Maintenance'!F:F,"Pas de correspondance")</f>
        <v>Pas de correspondance</v>
      </c>
      <c r="K873" t="str">
        <f>_xlfn.XLOOKUP(Logs__2[[#This Row],[Cell_ID]],'Registre_Maintenance'!B:B,'Registre_Maintenance'!G:G,"Pas de correspondance")</f>
        <v>Pas de correspondance</v>
      </c>
    </row>
    <row r="874" spans="1:11" x14ac:dyDescent="0.25">
      <c r="A874" s="1" t="s">
        <v>1406</v>
      </c>
      <c r="B874" s="2">
        <v>45208</v>
      </c>
      <c r="C874" s="3">
        <v>0.52847222222222223</v>
      </c>
      <c r="D874" s="1" t="s">
        <v>984</v>
      </c>
      <c r="E874">
        <v>33</v>
      </c>
      <c r="F874" s="1" t="s">
        <v>809</v>
      </c>
      <c r="G874" t="str">
        <f>_xlfn.XLOOKUP(Logs__2[[#This Row],[Cell_ID]],'Registre_Maintenance'!B:B,'Registre_Maintenance'!C:C,"Pas de correspondance")</f>
        <v>Lualaba</v>
      </c>
      <c r="H874">
        <f>_xlfn.XLOOKUP(Logs__2[[#This Row],[Cell_ID]],'Registre_Maintenance'!B:B,'Registre_Maintenance'!D:D,"Pas de correspondance")</f>
        <v>-10.872631999999999</v>
      </c>
      <c r="I874">
        <f>_xlfn.XLOOKUP(Logs__2[[#This Row],[Cell_ID]],'Registre_Maintenance'!B:B,'Registre_Maintenance'!E:E,"Pas de correspondance")</f>
        <v>12.773279</v>
      </c>
      <c r="J874" t="str">
        <f>_xlfn.XLOOKUP(Logs__2[[#This Row],[Cell_ID]],'Registre_Maintenance'!B:B,'Registre_Maintenance'!F:F,"Pas de correspondance")</f>
        <v>3G</v>
      </c>
      <c r="K874" t="str">
        <f>_xlfn.XLOOKUP(Logs__2[[#This Row],[Cell_ID]],'Registre_Maintenance'!B:B,'Registre_Maintenance'!G:G,"Pas de correspondance")</f>
        <v>ZTE</v>
      </c>
    </row>
    <row r="875" spans="1:11" x14ac:dyDescent="0.25">
      <c r="A875" s="1" t="s">
        <v>1406</v>
      </c>
      <c r="B875" s="2">
        <v>45215</v>
      </c>
      <c r="C875" s="3">
        <v>0.77638888888888891</v>
      </c>
      <c r="D875" s="1" t="s">
        <v>1407</v>
      </c>
      <c r="E875">
        <v>87</v>
      </c>
      <c r="F875" s="1" t="s">
        <v>811</v>
      </c>
      <c r="G875" t="str">
        <f>_xlfn.XLOOKUP(Logs__2[[#This Row],[Cell_ID]],'Registre_Maintenance'!B:B,'Registre_Maintenance'!C:C,"Pas de correspondance")</f>
        <v>Kasaï</v>
      </c>
      <c r="H875">
        <f>_xlfn.XLOOKUP(Logs__2[[#This Row],[Cell_ID]],'Registre_Maintenance'!B:B,'Registre_Maintenance'!D:D,"Pas de correspondance")</f>
        <v>2.5665840000000002</v>
      </c>
      <c r="I875">
        <f>_xlfn.XLOOKUP(Logs__2[[#This Row],[Cell_ID]],'Registre_Maintenance'!B:B,'Registre_Maintenance'!E:E,"Pas de correspondance")</f>
        <v>15.764796</v>
      </c>
      <c r="J875" t="str">
        <f>_xlfn.XLOOKUP(Logs__2[[#This Row],[Cell_ID]],'Registre_Maintenance'!B:B,'Registre_Maintenance'!F:F,"Pas de correspondance")</f>
        <v>3G</v>
      </c>
      <c r="K875" t="str">
        <f>_xlfn.XLOOKUP(Logs__2[[#This Row],[Cell_ID]],'Registre_Maintenance'!B:B,'Registre_Maintenance'!G:G,"Pas de correspondance")</f>
        <v>ZTE</v>
      </c>
    </row>
    <row r="876" spans="1:11" x14ac:dyDescent="0.25">
      <c r="A876" s="1" t="s">
        <v>1406</v>
      </c>
      <c r="B876" s="2">
        <v>45215</v>
      </c>
      <c r="C876" s="3">
        <v>4.9305555555555554E-2</v>
      </c>
      <c r="D876" s="1" t="s">
        <v>1260</v>
      </c>
      <c r="E876">
        <v>33</v>
      </c>
      <c r="F876" s="1" t="s">
        <v>809</v>
      </c>
      <c r="G876" t="str">
        <f>_xlfn.XLOOKUP(Logs__2[[#This Row],[Cell_ID]],'Registre_Maintenance'!B:B,'Registre_Maintenance'!C:C,"Pas de correspondance")</f>
        <v>Maniema</v>
      </c>
      <c r="H876">
        <f>_xlfn.XLOOKUP(Logs__2[[#This Row],[Cell_ID]],'Registre_Maintenance'!B:B,'Registre_Maintenance'!D:D,"Pas de correspondance")</f>
        <v>2.5458379999999998</v>
      </c>
      <c r="I876">
        <f>_xlfn.XLOOKUP(Logs__2[[#This Row],[Cell_ID]],'Registre_Maintenance'!B:B,'Registre_Maintenance'!E:E,"Pas de correspondance")</f>
        <v>13.308655</v>
      </c>
      <c r="J876" t="str">
        <f>_xlfn.XLOOKUP(Logs__2[[#This Row],[Cell_ID]],'Registre_Maintenance'!B:B,'Registre_Maintenance'!F:F,"Pas de correspondance")</f>
        <v>5G</v>
      </c>
      <c r="K876" t="str">
        <f>_xlfn.XLOOKUP(Logs__2[[#This Row],[Cell_ID]],'Registre_Maintenance'!B:B,'Registre_Maintenance'!G:G,"Pas de correspondance")</f>
        <v>ZTE</v>
      </c>
    </row>
    <row r="877" spans="1:11" hidden="1" x14ac:dyDescent="0.25">
      <c r="A877" s="1" t="s">
        <v>1406</v>
      </c>
      <c r="B877" s="2">
        <v>45208</v>
      </c>
      <c r="C877" s="3">
        <v>0.50624999999999998</v>
      </c>
      <c r="D877" s="1" t="s">
        <v>1408</v>
      </c>
      <c r="E877">
        <v>91</v>
      </c>
      <c r="F877" s="1" t="s">
        <v>811</v>
      </c>
      <c r="G877" t="str">
        <f>_xlfn.XLOOKUP(Logs__2[[#This Row],[Cell_ID]],'Registre_Maintenance'!B:B,'Registre_Maintenance'!C:C,"Pas de correspondance")</f>
        <v>Pas de correspondance</v>
      </c>
      <c r="H877" t="str">
        <f>_xlfn.XLOOKUP(Logs__2[[#This Row],[Cell_ID]],'Registre_Maintenance'!B:B,'Registre_Maintenance'!D:D,"Pas de correspondance")</f>
        <v>Pas de correspondance</v>
      </c>
      <c r="I877" t="str">
        <f>_xlfn.XLOOKUP(Logs__2[[#This Row],[Cell_ID]],'Registre_Maintenance'!B:B,'Registre_Maintenance'!E:E,"Pas de correspondance")</f>
        <v>Pas de correspondance</v>
      </c>
      <c r="J877" t="str">
        <f>_xlfn.XLOOKUP(Logs__2[[#This Row],[Cell_ID]],'Registre_Maintenance'!B:B,'Registre_Maintenance'!F:F,"Pas de correspondance")</f>
        <v>Pas de correspondance</v>
      </c>
      <c r="K877" t="str">
        <f>_xlfn.XLOOKUP(Logs__2[[#This Row],[Cell_ID]],'Registre_Maintenance'!B:B,'Registre_Maintenance'!G:G,"Pas de correspondance")</f>
        <v>Pas de correspondance</v>
      </c>
    </row>
    <row r="878" spans="1:11" hidden="1" x14ac:dyDescent="0.25">
      <c r="A878" s="1" t="s">
        <v>1406</v>
      </c>
      <c r="B878" s="2">
        <v>45219</v>
      </c>
      <c r="C878" s="3">
        <v>0.82152777777777775</v>
      </c>
      <c r="D878" s="1" t="s">
        <v>1311</v>
      </c>
      <c r="E878">
        <v>31</v>
      </c>
      <c r="F878" s="1" t="s">
        <v>809</v>
      </c>
      <c r="G878" t="str">
        <f>_xlfn.XLOOKUP(Logs__2[[#This Row],[Cell_ID]],'Registre_Maintenance'!B:B,'Registre_Maintenance'!C:C,"Pas de correspondance")</f>
        <v>Pas de correspondance</v>
      </c>
      <c r="H878" t="str">
        <f>_xlfn.XLOOKUP(Logs__2[[#This Row],[Cell_ID]],'Registre_Maintenance'!B:B,'Registre_Maintenance'!D:D,"Pas de correspondance")</f>
        <v>Pas de correspondance</v>
      </c>
      <c r="I878" t="str">
        <f>_xlfn.XLOOKUP(Logs__2[[#This Row],[Cell_ID]],'Registre_Maintenance'!B:B,'Registre_Maintenance'!E:E,"Pas de correspondance")</f>
        <v>Pas de correspondance</v>
      </c>
      <c r="J878" t="str">
        <f>_xlfn.XLOOKUP(Logs__2[[#This Row],[Cell_ID]],'Registre_Maintenance'!B:B,'Registre_Maintenance'!F:F,"Pas de correspondance")</f>
        <v>Pas de correspondance</v>
      </c>
      <c r="K878" t="str">
        <f>_xlfn.XLOOKUP(Logs__2[[#This Row],[Cell_ID]],'Registre_Maintenance'!B:B,'Registre_Maintenance'!G:G,"Pas de correspondance")</f>
        <v>Pas de correspondance</v>
      </c>
    </row>
    <row r="879" spans="1:11" x14ac:dyDescent="0.25">
      <c r="A879" s="1" t="s">
        <v>1406</v>
      </c>
      <c r="B879" s="2">
        <v>45222</v>
      </c>
      <c r="C879" s="3">
        <v>0.50138888888888888</v>
      </c>
      <c r="D879" s="1" t="s">
        <v>1409</v>
      </c>
      <c r="E879">
        <v>39</v>
      </c>
      <c r="F879" s="1" t="s">
        <v>806</v>
      </c>
      <c r="G879" t="str">
        <f>_xlfn.XLOOKUP(Logs__2[[#This Row],[Cell_ID]],'Registre_Maintenance'!B:B,'Registre_Maintenance'!C:C,"Pas de correspondance")</f>
        <v>Haut-Lomami</v>
      </c>
      <c r="H879">
        <f>_xlfn.XLOOKUP(Logs__2[[#This Row],[Cell_ID]],'Registre_Maintenance'!B:B,'Registre_Maintenance'!D:D,"Pas de correspondance")</f>
        <v>-11.89448</v>
      </c>
      <c r="I879">
        <f>_xlfn.XLOOKUP(Logs__2[[#This Row],[Cell_ID]],'Registre_Maintenance'!B:B,'Registre_Maintenance'!E:E,"Pas de correspondance")</f>
        <v>19.216214999999998</v>
      </c>
      <c r="J879" t="str">
        <f>_xlfn.XLOOKUP(Logs__2[[#This Row],[Cell_ID]],'Registre_Maintenance'!B:B,'Registre_Maintenance'!F:F,"Pas de correspondance")</f>
        <v>3G</v>
      </c>
      <c r="K879" t="str">
        <f>_xlfn.XLOOKUP(Logs__2[[#This Row],[Cell_ID]],'Registre_Maintenance'!B:B,'Registre_Maintenance'!G:G,"Pas de correspondance")</f>
        <v>ZTE</v>
      </c>
    </row>
    <row r="880" spans="1:11" x14ac:dyDescent="0.25">
      <c r="A880" s="1" t="s">
        <v>1406</v>
      </c>
      <c r="B880" s="2">
        <v>45212</v>
      </c>
      <c r="C880" s="3">
        <v>0.44722222222222224</v>
      </c>
      <c r="D880" s="1" t="s">
        <v>1302</v>
      </c>
      <c r="E880">
        <v>88</v>
      </c>
      <c r="F880" s="1" t="s">
        <v>809</v>
      </c>
      <c r="G880" t="str">
        <f>_xlfn.XLOOKUP(Logs__2[[#This Row],[Cell_ID]],'Registre_Maintenance'!B:B,'Registre_Maintenance'!C:C,"Pas de correspondance")</f>
        <v>Kwilu</v>
      </c>
      <c r="H880">
        <f>_xlfn.XLOOKUP(Logs__2[[#This Row],[Cell_ID]],'Registre_Maintenance'!B:B,'Registre_Maintenance'!D:D,"Pas de correspondance")</f>
        <v>-7.402336</v>
      </c>
      <c r="I880">
        <f>_xlfn.XLOOKUP(Logs__2[[#This Row],[Cell_ID]],'Registre_Maintenance'!B:B,'Registre_Maintenance'!E:E,"Pas de correspondance")</f>
        <v>27.376697</v>
      </c>
      <c r="J880" t="str">
        <f>_xlfn.XLOOKUP(Logs__2[[#This Row],[Cell_ID]],'Registre_Maintenance'!B:B,'Registre_Maintenance'!F:F,"Pas de correspondance")</f>
        <v>4G</v>
      </c>
      <c r="K880" t="str">
        <f>_xlfn.XLOOKUP(Logs__2[[#This Row],[Cell_ID]],'Registre_Maintenance'!B:B,'Registre_Maintenance'!G:G,"Pas de correspondance")</f>
        <v>Huawei</v>
      </c>
    </row>
    <row r="881" spans="1:11" x14ac:dyDescent="0.25">
      <c r="A881" s="1" t="s">
        <v>1406</v>
      </c>
      <c r="B881" s="2">
        <v>45207</v>
      </c>
      <c r="C881" s="3">
        <v>7.4305555555555555E-2</v>
      </c>
      <c r="D881" s="1" t="s">
        <v>1361</v>
      </c>
      <c r="E881">
        <v>57</v>
      </c>
      <c r="F881" s="1" t="s">
        <v>806</v>
      </c>
      <c r="G881" t="str">
        <f>_xlfn.XLOOKUP(Logs__2[[#This Row],[Cell_ID]],'Registre_Maintenance'!B:B,'Registre_Maintenance'!C:C,"Pas de correspondance")</f>
        <v>Kongo-Central</v>
      </c>
      <c r="H881">
        <f>_xlfn.XLOOKUP(Logs__2[[#This Row],[Cell_ID]],'Registre_Maintenance'!B:B,'Registre_Maintenance'!D:D,"Pas de correspondance")</f>
        <v>-7.1587569999999996</v>
      </c>
      <c r="I881">
        <f>_xlfn.XLOOKUP(Logs__2[[#This Row],[Cell_ID]],'Registre_Maintenance'!B:B,'Registre_Maintenance'!E:E,"Pas de correspondance")</f>
        <v>18.975141000000001</v>
      </c>
      <c r="J881" t="str">
        <f>_xlfn.XLOOKUP(Logs__2[[#This Row],[Cell_ID]],'Registre_Maintenance'!B:B,'Registre_Maintenance'!F:F,"Pas de correspondance")</f>
        <v>5G</v>
      </c>
      <c r="K881" t="str">
        <f>_xlfn.XLOOKUP(Logs__2[[#This Row],[Cell_ID]],'Registre_Maintenance'!B:B,'Registre_Maintenance'!G:G,"Pas de correspondance")</f>
        <v>Ericsson</v>
      </c>
    </row>
    <row r="882" spans="1:11" x14ac:dyDescent="0.25">
      <c r="A882" s="1" t="s">
        <v>1406</v>
      </c>
      <c r="B882" s="2">
        <v>45215</v>
      </c>
      <c r="C882" s="3">
        <v>0.37291666666666667</v>
      </c>
      <c r="D882" s="1" t="s">
        <v>1077</v>
      </c>
      <c r="E882">
        <v>70</v>
      </c>
      <c r="F882" s="1" t="s">
        <v>809</v>
      </c>
      <c r="G882" t="str">
        <f>_xlfn.XLOOKUP(Logs__2[[#This Row],[Cell_ID]],'Registre_Maintenance'!B:B,'Registre_Maintenance'!C:C,"Pas de correspondance")</f>
        <v>Kongo-Central</v>
      </c>
      <c r="H882">
        <f>_xlfn.XLOOKUP(Logs__2[[#This Row],[Cell_ID]],'Registre_Maintenance'!B:B,'Registre_Maintenance'!D:D,"Pas de correspondance")</f>
        <v>-12.112399999999999</v>
      </c>
      <c r="I882">
        <f>_xlfn.XLOOKUP(Logs__2[[#This Row],[Cell_ID]],'Registre_Maintenance'!B:B,'Registre_Maintenance'!E:E,"Pas de correspondance")</f>
        <v>15.872226</v>
      </c>
      <c r="J882" t="str">
        <f>_xlfn.XLOOKUP(Logs__2[[#This Row],[Cell_ID]],'Registre_Maintenance'!B:B,'Registre_Maintenance'!F:F,"Pas de correspondance")</f>
        <v>4G</v>
      </c>
      <c r="K882" t="str">
        <f>_xlfn.XLOOKUP(Logs__2[[#This Row],[Cell_ID]],'Registre_Maintenance'!B:B,'Registre_Maintenance'!G:G,"Pas de correspondance")</f>
        <v>Nokia</v>
      </c>
    </row>
    <row r="883" spans="1:11" hidden="1" x14ac:dyDescent="0.25">
      <c r="A883" s="1" t="s">
        <v>1406</v>
      </c>
      <c r="B883" s="2">
        <v>45211</v>
      </c>
      <c r="C883" s="3">
        <v>1.4583333333333334E-2</v>
      </c>
      <c r="D883" s="1" t="s">
        <v>1410</v>
      </c>
      <c r="E883">
        <v>7</v>
      </c>
      <c r="F883" s="1" t="s">
        <v>811</v>
      </c>
      <c r="G883" t="str">
        <f>_xlfn.XLOOKUP(Logs__2[[#This Row],[Cell_ID]],'Registre_Maintenance'!B:B,'Registre_Maintenance'!C:C,"Pas de correspondance")</f>
        <v>Pas de correspondance</v>
      </c>
      <c r="H883" t="str">
        <f>_xlfn.XLOOKUP(Logs__2[[#This Row],[Cell_ID]],'Registre_Maintenance'!B:B,'Registre_Maintenance'!D:D,"Pas de correspondance")</f>
        <v>Pas de correspondance</v>
      </c>
      <c r="I883" t="str">
        <f>_xlfn.XLOOKUP(Logs__2[[#This Row],[Cell_ID]],'Registre_Maintenance'!B:B,'Registre_Maintenance'!E:E,"Pas de correspondance")</f>
        <v>Pas de correspondance</v>
      </c>
      <c r="J883" t="str">
        <f>_xlfn.XLOOKUP(Logs__2[[#This Row],[Cell_ID]],'Registre_Maintenance'!B:B,'Registre_Maintenance'!F:F,"Pas de correspondance")</f>
        <v>Pas de correspondance</v>
      </c>
      <c r="K883" t="str">
        <f>_xlfn.XLOOKUP(Logs__2[[#This Row],[Cell_ID]],'Registre_Maintenance'!B:B,'Registre_Maintenance'!G:G,"Pas de correspondance")</f>
        <v>Pas de correspondance</v>
      </c>
    </row>
    <row r="884" spans="1:11" hidden="1" x14ac:dyDescent="0.25">
      <c r="A884" s="1" t="s">
        <v>1406</v>
      </c>
      <c r="B884" s="2">
        <v>45226</v>
      </c>
      <c r="C884" s="3">
        <v>0.38819444444444445</v>
      </c>
      <c r="D884" s="1" t="s">
        <v>1411</v>
      </c>
      <c r="E884">
        <v>115</v>
      </c>
      <c r="F884" s="1" t="s">
        <v>811</v>
      </c>
      <c r="G884" t="str">
        <f>_xlfn.XLOOKUP(Logs__2[[#This Row],[Cell_ID]],'Registre_Maintenance'!B:B,'Registre_Maintenance'!C:C,"Pas de correspondance")</f>
        <v>Pas de correspondance</v>
      </c>
      <c r="H884" t="str">
        <f>_xlfn.XLOOKUP(Logs__2[[#This Row],[Cell_ID]],'Registre_Maintenance'!B:B,'Registre_Maintenance'!D:D,"Pas de correspondance")</f>
        <v>Pas de correspondance</v>
      </c>
      <c r="I884" t="str">
        <f>_xlfn.XLOOKUP(Logs__2[[#This Row],[Cell_ID]],'Registre_Maintenance'!B:B,'Registre_Maintenance'!E:E,"Pas de correspondance")</f>
        <v>Pas de correspondance</v>
      </c>
      <c r="J884" t="str">
        <f>_xlfn.XLOOKUP(Logs__2[[#This Row],[Cell_ID]],'Registre_Maintenance'!B:B,'Registre_Maintenance'!F:F,"Pas de correspondance")</f>
        <v>Pas de correspondance</v>
      </c>
      <c r="K884" t="str">
        <f>_xlfn.XLOOKUP(Logs__2[[#This Row],[Cell_ID]],'Registre_Maintenance'!B:B,'Registre_Maintenance'!G:G,"Pas de correspondance")</f>
        <v>Pas de correspondance</v>
      </c>
    </row>
    <row r="885" spans="1:11" hidden="1" x14ac:dyDescent="0.25">
      <c r="A885" s="1" t="s">
        <v>1406</v>
      </c>
      <c r="B885" s="2">
        <v>45208</v>
      </c>
      <c r="C885" s="3">
        <v>0.66249999999999998</v>
      </c>
      <c r="D885" s="1" t="s">
        <v>1412</v>
      </c>
      <c r="E885">
        <v>104</v>
      </c>
      <c r="F885" s="1" t="s">
        <v>811</v>
      </c>
      <c r="G885" t="str">
        <f>_xlfn.XLOOKUP(Logs__2[[#This Row],[Cell_ID]],'Registre_Maintenance'!B:B,'Registre_Maintenance'!C:C,"Pas de correspondance")</f>
        <v>Pas de correspondance</v>
      </c>
      <c r="H885" t="str">
        <f>_xlfn.XLOOKUP(Logs__2[[#This Row],[Cell_ID]],'Registre_Maintenance'!B:B,'Registre_Maintenance'!D:D,"Pas de correspondance")</f>
        <v>Pas de correspondance</v>
      </c>
      <c r="I885" t="str">
        <f>_xlfn.XLOOKUP(Logs__2[[#This Row],[Cell_ID]],'Registre_Maintenance'!B:B,'Registre_Maintenance'!E:E,"Pas de correspondance")</f>
        <v>Pas de correspondance</v>
      </c>
      <c r="J885" t="str">
        <f>_xlfn.XLOOKUP(Logs__2[[#This Row],[Cell_ID]],'Registre_Maintenance'!B:B,'Registre_Maintenance'!F:F,"Pas de correspondance")</f>
        <v>Pas de correspondance</v>
      </c>
      <c r="K885" t="str">
        <f>_xlfn.XLOOKUP(Logs__2[[#This Row],[Cell_ID]],'Registre_Maintenance'!B:B,'Registre_Maintenance'!G:G,"Pas de correspondance")</f>
        <v>Pas de correspondance</v>
      </c>
    </row>
    <row r="886" spans="1:11" hidden="1" x14ac:dyDescent="0.25">
      <c r="A886" s="1" t="s">
        <v>1406</v>
      </c>
      <c r="B886" s="2">
        <v>45222</v>
      </c>
      <c r="C886" s="3">
        <v>0.87916666666666665</v>
      </c>
      <c r="D886" s="1" t="s">
        <v>878</v>
      </c>
      <c r="E886">
        <v>103</v>
      </c>
      <c r="F886" s="1" t="s">
        <v>811</v>
      </c>
      <c r="G886" t="str">
        <f>_xlfn.XLOOKUP(Logs__2[[#This Row],[Cell_ID]],'Registre_Maintenance'!B:B,'Registre_Maintenance'!C:C,"Pas de correspondance")</f>
        <v>Pas de correspondance</v>
      </c>
      <c r="H886" t="str">
        <f>_xlfn.XLOOKUP(Logs__2[[#This Row],[Cell_ID]],'Registre_Maintenance'!B:B,'Registre_Maintenance'!D:D,"Pas de correspondance")</f>
        <v>Pas de correspondance</v>
      </c>
      <c r="I886" t="str">
        <f>_xlfn.XLOOKUP(Logs__2[[#This Row],[Cell_ID]],'Registre_Maintenance'!B:B,'Registre_Maintenance'!E:E,"Pas de correspondance")</f>
        <v>Pas de correspondance</v>
      </c>
      <c r="J886" t="str">
        <f>_xlfn.XLOOKUP(Logs__2[[#This Row],[Cell_ID]],'Registre_Maintenance'!B:B,'Registre_Maintenance'!F:F,"Pas de correspondance")</f>
        <v>Pas de correspondance</v>
      </c>
      <c r="K886" t="str">
        <f>_xlfn.XLOOKUP(Logs__2[[#This Row],[Cell_ID]],'Registre_Maintenance'!B:B,'Registre_Maintenance'!G:G,"Pas de correspondance")</f>
        <v>Pas de correspondance</v>
      </c>
    </row>
    <row r="887" spans="1:11" x14ac:dyDescent="0.25">
      <c r="A887" s="1" t="s">
        <v>1406</v>
      </c>
      <c r="B887" s="2">
        <v>45227</v>
      </c>
      <c r="C887" s="3">
        <v>0.29722222222222222</v>
      </c>
      <c r="D887" s="1" t="s">
        <v>1413</v>
      </c>
      <c r="E887">
        <v>92</v>
      </c>
      <c r="F887" s="1" t="s">
        <v>811</v>
      </c>
      <c r="G887" t="str">
        <f>_xlfn.XLOOKUP(Logs__2[[#This Row],[Cell_ID]],'Registre_Maintenance'!B:B,'Registre_Maintenance'!C:C,"Pas de correspondance")</f>
        <v>Haut-Lomami</v>
      </c>
      <c r="H887">
        <f>_xlfn.XLOOKUP(Logs__2[[#This Row],[Cell_ID]],'Registre_Maintenance'!B:B,'Registre_Maintenance'!D:D,"Pas de correspondance")</f>
        <v>-5.5559329999999996</v>
      </c>
      <c r="I887">
        <f>_xlfn.XLOOKUP(Logs__2[[#This Row],[Cell_ID]],'Registre_Maintenance'!B:B,'Registre_Maintenance'!E:E,"Pas de correspondance")</f>
        <v>13.508692999999999</v>
      </c>
      <c r="J887" t="str">
        <f>_xlfn.XLOOKUP(Logs__2[[#This Row],[Cell_ID]],'Registre_Maintenance'!B:B,'Registre_Maintenance'!F:F,"Pas de correspondance")</f>
        <v>3G</v>
      </c>
      <c r="K887" t="str">
        <f>_xlfn.XLOOKUP(Logs__2[[#This Row],[Cell_ID]],'Registre_Maintenance'!B:B,'Registre_Maintenance'!G:G,"Pas de correspondance")</f>
        <v>Nokia</v>
      </c>
    </row>
    <row r="888" spans="1:11" hidden="1" x14ac:dyDescent="0.25">
      <c r="A888" s="1" t="s">
        <v>1406</v>
      </c>
      <c r="B888" s="2">
        <v>45209</v>
      </c>
      <c r="C888" s="3">
        <v>0.97777777777777775</v>
      </c>
      <c r="D888" s="1" t="s">
        <v>1331</v>
      </c>
      <c r="E888">
        <v>6</v>
      </c>
      <c r="F888" s="1" t="s">
        <v>811</v>
      </c>
      <c r="G888" t="str">
        <f>_xlfn.XLOOKUP(Logs__2[[#This Row],[Cell_ID]],'Registre_Maintenance'!B:B,'Registre_Maintenance'!C:C,"Pas de correspondance")</f>
        <v>Pas de correspondance</v>
      </c>
      <c r="H888" t="str">
        <f>_xlfn.XLOOKUP(Logs__2[[#This Row],[Cell_ID]],'Registre_Maintenance'!B:B,'Registre_Maintenance'!D:D,"Pas de correspondance")</f>
        <v>Pas de correspondance</v>
      </c>
      <c r="I888" t="str">
        <f>_xlfn.XLOOKUP(Logs__2[[#This Row],[Cell_ID]],'Registre_Maintenance'!B:B,'Registre_Maintenance'!E:E,"Pas de correspondance")</f>
        <v>Pas de correspondance</v>
      </c>
      <c r="J888" t="str">
        <f>_xlfn.XLOOKUP(Logs__2[[#This Row],[Cell_ID]],'Registre_Maintenance'!B:B,'Registre_Maintenance'!F:F,"Pas de correspondance")</f>
        <v>Pas de correspondance</v>
      </c>
      <c r="K888" t="str">
        <f>_xlfn.XLOOKUP(Logs__2[[#This Row],[Cell_ID]],'Registre_Maintenance'!B:B,'Registre_Maintenance'!G:G,"Pas de correspondance")</f>
        <v>Pas de correspondance</v>
      </c>
    </row>
    <row r="889" spans="1:11" x14ac:dyDescent="0.25">
      <c r="A889" s="1" t="s">
        <v>1406</v>
      </c>
      <c r="B889" s="2">
        <v>45224</v>
      </c>
      <c r="C889" s="3">
        <v>0.4284722222222222</v>
      </c>
      <c r="D889" s="1" t="s">
        <v>827</v>
      </c>
      <c r="E889">
        <v>65</v>
      </c>
      <c r="F889" s="1" t="s">
        <v>809</v>
      </c>
      <c r="G889" t="str">
        <f>_xlfn.XLOOKUP(Logs__2[[#This Row],[Cell_ID]],'Registre_Maintenance'!B:B,'Registre_Maintenance'!C:C,"Pas de correspondance")</f>
        <v>Haut-Katanga</v>
      </c>
      <c r="H889">
        <f>_xlfn.XLOOKUP(Logs__2[[#This Row],[Cell_ID]],'Registre_Maintenance'!B:B,'Registre_Maintenance'!D:D,"Pas de correspondance")</f>
        <v>0.172153</v>
      </c>
      <c r="I889">
        <f>_xlfn.XLOOKUP(Logs__2[[#This Row],[Cell_ID]],'Registre_Maintenance'!B:B,'Registre_Maintenance'!E:E,"Pas de correspondance")</f>
        <v>21.091376</v>
      </c>
      <c r="J889" t="str">
        <f>_xlfn.XLOOKUP(Logs__2[[#This Row],[Cell_ID]],'Registre_Maintenance'!B:B,'Registre_Maintenance'!F:F,"Pas de correspondance")</f>
        <v>3G</v>
      </c>
      <c r="K889" t="str">
        <f>_xlfn.XLOOKUP(Logs__2[[#This Row],[Cell_ID]],'Registre_Maintenance'!B:B,'Registre_Maintenance'!G:G,"Pas de correspondance")</f>
        <v>Ericsson</v>
      </c>
    </row>
    <row r="890" spans="1:11" hidden="1" x14ac:dyDescent="0.25">
      <c r="A890" s="1" t="s">
        <v>1406</v>
      </c>
      <c r="B890" s="2">
        <v>45223</v>
      </c>
      <c r="C890" s="3">
        <v>0.56805555555555554</v>
      </c>
      <c r="D890" s="1" t="s">
        <v>1414</v>
      </c>
      <c r="E890">
        <v>21</v>
      </c>
      <c r="F890" s="1" t="s">
        <v>806</v>
      </c>
      <c r="G890" t="str">
        <f>_xlfn.XLOOKUP(Logs__2[[#This Row],[Cell_ID]],'Registre_Maintenance'!B:B,'Registre_Maintenance'!C:C,"Pas de correspondance")</f>
        <v>Pas de correspondance</v>
      </c>
      <c r="H890" t="str">
        <f>_xlfn.XLOOKUP(Logs__2[[#This Row],[Cell_ID]],'Registre_Maintenance'!B:B,'Registre_Maintenance'!D:D,"Pas de correspondance")</f>
        <v>Pas de correspondance</v>
      </c>
      <c r="I890" t="str">
        <f>_xlfn.XLOOKUP(Logs__2[[#This Row],[Cell_ID]],'Registre_Maintenance'!B:B,'Registre_Maintenance'!E:E,"Pas de correspondance")</f>
        <v>Pas de correspondance</v>
      </c>
      <c r="J890" t="str">
        <f>_xlfn.XLOOKUP(Logs__2[[#This Row],[Cell_ID]],'Registre_Maintenance'!B:B,'Registre_Maintenance'!F:F,"Pas de correspondance")</f>
        <v>Pas de correspondance</v>
      </c>
      <c r="K890" t="str">
        <f>_xlfn.XLOOKUP(Logs__2[[#This Row],[Cell_ID]],'Registre_Maintenance'!B:B,'Registre_Maintenance'!G:G,"Pas de correspondance")</f>
        <v>Pas de correspondance</v>
      </c>
    </row>
    <row r="891" spans="1:11" hidden="1" x14ac:dyDescent="0.25">
      <c r="A891" s="1" t="s">
        <v>1406</v>
      </c>
      <c r="B891" s="2">
        <v>45220</v>
      </c>
      <c r="C891" s="3">
        <v>9.166666666666666E-2</v>
      </c>
      <c r="D891" s="1" t="s">
        <v>824</v>
      </c>
      <c r="E891">
        <v>87</v>
      </c>
      <c r="F891" s="1" t="s">
        <v>809</v>
      </c>
      <c r="G891" t="str">
        <f>_xlfn.XLOOKUP(Logs__2[[#This Row],[Cell_ID]],'Registre_Maintenance'!B:B,'Registre_Maintenance'!C:C,"Pas de correspondance")</f>
        <v>Pas de correspondance</v>
      </c>
      <c r="H891" t="str">
        <f>_xlfn.XLOOKUP(Logs__2[[#This Row],[Cell_ID]],'Registre_Maintenance'!B:B,'Registre_Maintenance'!D:D,"Pas de correspondance")</f>
        <v>Pas de correspondance</v>
      </c>
      <c r="I891" t="str">
        <f>_xlfn.XLOOKUP(Logs__2[[#This Row],[Cell_ID]],'Registre_Maintenance'!B:B,'Registre_Maintenance'!E:E,"Pas de correspondance")</f>
        <v>Pas de correspondance</v>
      </c>
      <c r="J891" t="str">
        <f>_xlfn.XLOOKUP(Logs__2[[#This Row],[Cell_ID]],'Registre_Maintenance'!B:B,'Registre_Maintenance'!F:F,"Pas de correspondance")</f>
        <v>Pas de correspondance</v>
      </c>
      <c r="K891" t="str">
        <f>_xlfn.XLOOKUP(Logs__2[[#This Row],[Cell_ID]],'Registre_Maintenance'!B:B,'Registre_Maintenance'!G:G,"Pas de correspondance")</f>
        <v>Pas de correspondance</v>
      </c>
    </row>
    <row r="892" spans="1:11" x14ac:dyDescent="0.25">
      <c r="A892" s="1" t="s">
        <v>1406</v>
      </c>
      <c r="B892" s="2">
        <v>45214</v>
      </c>
      <c r="C892" s="3">
        <v>0.2902777777777778</v>
      </c>
      <c r="D892" s="1" t="s">
        <v>1266</v>
      </c>
      <c r="E892">
        <v>27</v>
      </c>
      <c r="F892" s="1" t="s">
        <v>809</v>
      </c>
      <c r="G892" t="str">
        <f>_xlfn.XLOOKUP(Logs__2[[#This Row],[Cell_ID]],'Registre_Maintenance'!B:B,'Registre_Maintenance'!C:C,"Pas de correspondance")</f>
        <v>Equateur</v>
      </c>
      <c r="H892">
        <f>_xlfn.XLOOKUP(Logs__2[[#This Row],[Cell_ID]],'Registre_Maintenance'!B:B,'Registre_Maintenance'!D:D,"Pas de correspondance")</f>
        <v>-12.839263000000001</v>
      </c>
      <c r="I892">
        <f>_xlfn.XLOOKUP(Logs__2[[#This Row],[Cell_ID]],'Registre_Maintenance'!B:B,'Registre_Maintenance'!E:E,"Pas de correspondance")</f>
        <v>12.355677</v>
      </c>
      <c r="J892" t="str">
        <f>_xlfn.XLOOKUP(Logs__2[[#This Row],[Cell_ID]],'Registre_Maintenance'!B:B,'Registre_Maintenance'!F:F,"Pas de correspondance")</f>
        <v>3G</v>
      </c>
      <c r="K892" t="str">
        <f>_xlfn.XLOOKUP(Logs__2[[#This Row],[Cell_ID]],'Registre_Maintenance'!B:B,'Registre_Maintenance'!G:G,"Pas de correspondance")</f>
        <v>Huawei</v>
      </c>
    </row>
    <row r="893" spans="1:11" hidden="1" x14ac:dyDescent="0.25">
      <c r="A893" s="1" t="s">
        <v>1406</v>
      </c>
      <c r="B893" s="2">
        <v>45226</v>
      </c>
      <c r="C893" s="3">
        <v>0.57430555555555551</v>
      </c>
      <c r="D893" s="1" t="s">
        <v>1053</v>
      </c>
      <c r="E893">
        <v>81</v>
      </c>
      <c r="F893" s="1" t="s">
        <v>809</v>
      </c>
      <c r="G893" t="str">
        <f>_xlfn.XLOOKUP(Logs__2[[#This Row],[Cell_ID]],'Registre_Maintenance'!B:B,'Registre_Maintenance'!C:C,"Pas de correspondance")</f>
        <v>Pas de correspondance</v>
      </c>
      <c r="H893" t="str">
        <f>_xlfn.XLOOKUP(Logs__2[[#This Row],[Cell_ID]],'Registre_Maintenance'!B:B,'Registre_Maintenance'!D:D,"Pas de correspondance")</f>
        <v>Pas de correspondance</v>
      </c>
      <c r="I893" t="str">
        <f>_xlfn.XLOOKUP(Logs__2[[#This Row],[Cell_ID]],'Registre_Maintenance'!B:B,'Registre_Maintenance'!E:E,"Pas de correspondance")</f>
        <v>Pas de correspondance</v>
      </c>
      <c r="J893" t="str">
        <f>_xlfn.XLOOKUP(Logs__2[[#This Row],[Cell_ID]],'Registre_Maintenance'!B:B,'Registre_Maintenance'!F:F,"Pas de correspondance")</f>
        <v>Pas de correspondance</v>
      </c>
      <c r="K893" t="str">
        <f>_xlfn.XLOOKUP(Logs__2[[#This Row],[Cell_ID]],'Registre_Maintenance'!B:B,'Registre_Maintenance'!G:G,"Pas de correspondance")</f>
        <v>Pas de correspondance</v>
      </c>
    </row>
    <row r="894" spans="1:11" x14ac:dyDescent="0.25">
      <c r="A894" s="1" t="s">
        <v>1406</v>
      </c>
      <c r="B894" s="2">
        <v>45215</v>
      </c>
      <c r="C894" s="3">
        <v>0.70486111111111116</v>
      </c>
      <c r="D894" s="1" t="s">
        <v>1049</v>
      </c>
      <c r="E894">
        <v>107</v>
      </c>
      <c r="F894" s="1" t="s">
        <v>806</v>
      </c>
      <c r="G894" t="str">
        <f>_xlfn.XLOOKUP(Logs__2[[#This Row],[Cell_ID]],'Registre_Maintenance'!B:B,'Registre_Maintenance'!C:C,"Pas de correspondance")</f>
        <v>Kongo-Central</v>
      </c>
      <c r="H894">
        <f>_xlfn.XLOOKUP(Logs__2[[#This Row],[Cell_ID]],'Registre_Maintenance'!B:B,'Registre_Maintenance'!D:D,"Pas de correspondance")</f>
        <v>-12.564277000000001</v>
      </c>
      <c r="I894">
        <f>_xlfn.XLOOKUP(Logs__2[[#This Row],[Cell_ID]],'Registre_Maintenance'!B:B,'Registre_Maintenance'!E:E,"Pas de correspondance")</f>
        <v>28.480798</v>
      </c>
      <c r="J894" t="str">
        <f>_xlfn.XLOOKUP(Logs__2[[#This Row],[Cell_ID]],'Registre_Maintenance'!B:B,'Registre_Maintenance'!F:F,"Pas de correspondance")</f>
        <v>5G</v>
      </c>
      <c r="K894" t="str">
        <f>_xlfn.XLOOKUP(Logs__2[[#This Row],[Cell_ID]],'Registre_Maintenance'!B:B,'Registre_Maintenance'!G:G,"Pas de correspondance")</f>
        <v>ZTE</v>
      </c>
    </row>
    <row r="895" spans="1:11" x14ac:dyDescent="0.25">
      <c r="A895" s="1" t="s">
        <v>1406</v>
      </c>
      <c r="B895" s="2">
        <v>45211</v>
      </c>
      <c r="C895" s="3">
        <v>6.3888888888888884E-2</v>
      </c>
      <c r="D895" s="1" t="s">
        <v>1415</v>
      </c>
      <c r="E895">
        <v>6</v>
      </c>
      <c r="F895" s="1" t="s">
        <v>811</v>
      </c>
      <c r="G895" t="str">
        <f>_xlfn.XLOOKUP(Logs__2[[#This Row],[Cell_ID]],'Registre_Maintenance'!B:B,'Registre_Maintenance'!C:C,"Pas de correspondance")</f>
        <v>Kasaï-Oriental</v>
      </c>
      <c r="H895">
        <f>_xlfn.XLOOKUP(Logs__2[[#This Row],[Cell_ID]],'Registre_Maintenance'!B:B,'Registre_Maintenance'!D:D,"Pas de correspondance")</f>
        <v>1.7832440000000001</v>
      </c>
      <c r="I895">
        <f>_xlfn.XLOOKUP(Logs__2[[#This Row],[Cell_ID]],'Registre_Maintenance'!B:B,'Registre_Maintenance'!E:E,"Pas de correspondance")</f>
        <v>25.477405999999998</v>
      </c>
      <c r="J895" t="str">
        <f>_xlfn.XLOOKUP(Logs__2[[#This Row],[Cell_ID]],'Registre_Maintenance'!B:B,'Registre_Maintenance'!F:F,"Pas de correspondance")</f>
        <v>5G</v>
      </c>
      <c r="K895" t="str">
        <f>_xlfn.XLOOKUP(Logs__2[[#This Row],[Cell_ID]],'Registre_Maintenance'!B:B,'Registre_Maintenance'!G:G,"Pas de correspondance")</f>
        <v>Huawei</v>
      </c>
    </row>
    <row r="896" spans="1:11" hidden="1" x14ac:dyDescent="0.25">
      <c r="A896" s="1" t="s">
        <v>1406</v>
      </c>
      <c r="B896" s="2">
        <v>45225</v>
      </c>
      <c r="C896" s="3">
        <v>0.21111111111111111</v>
      </c>
      <c r="D896" s="1" t="s">
        <v>1416</v>
      </c>
      <c r="E896">
        <v>33</v>
      </c>
      <c r="F896" s="1" t="s">
        <v>809</v>
      </c>
      <c r="G896" t="str">
        <f>_xlfn.XLOOKUP(Logs__2[[#This Row],[Cell_ID]],'Registre_Maintenance'!B:B,'Registre_Maintenance'!C:C,"Pas de correspondance")</f>
        <v>Pas de correspondance</v>
      </c>
      <c r="H896" t="str">
        <f>_xlfn.XLOOKUP(Logs__2[[#This Row],[Cell_ID]],'Registre_Maintenance'!B:B,'Registre_Maintenance'!D:D,"Pas de correspondance")</f>
        <v>Pas de correspondance</v>
      </c>
      <c r="I896" t="str">
        <f>_xlfn.XLOOKUP(Logs__2[[#This Row],[Cell_ID]],'Registre_Maintenance'!B:B,'Registre_Maintenance'!E:E,"Pas de correspondance")</f>
        <v>Pas de correspondance</v>
      </c>
      <c r="J896" t="str">
        <f>_xlfn.XLOOKUP(Logs__2[[#This Row],[Cell_ID]],'Registre_Maintenance'!B:B,'Registre_Maintenance'!F:F,"Pas de correspondance")</f>
        <v>Pas de correspondance</v>
      </c>
      <c r="K896" t="str">
        <f>_xlfn.XLOOKUP(Logs__2[[#This Row],[Cell_ID]],'Registre_Maintenance'!B:B,'Registre_Maintenance'!G:G,"Pas de correspondance")</f>
        <v>Pas de correspondance</v>
      </c>
    </row>
    <row r="897" spans="1:11" hidden="1" x14ac:dyDescent="0.25">
      <c r="A897" s="1" t="s">
        <v>1406</v>
      </c>
      <c r="B897" s="2">
        <v>45209</v>
      </c>
      <c r="C897" s="3">
        <v>0.93888888888888888</v>
      </c>
      <c r="D897" s="1" t="s">
        <v>866</v>
      </c>
      <c r="E897">
        <v>37</v>
      </c>
      <c r="F897" s="1" t="s">
        <v>809</v>
      </c>
      <c r="G897" t="str">
        <f>_xlfn.XLOOKUP(Logs__2[[#This Row],[Cell_ID]],'Registre_Maintenance'!B:B,'Registre_Maintenance'!C:C,"Pas de correspondance")</f>
        <v>Pas de correspondance</v>
      </c>
      <c r="H897" t="str">
        <f>_xlfn.XLOOKUP(Logs__2[[#This Row],[Cell_ID]],'Registre_Maintenance'!B:B,'Registre_Maintenance'!D:D,"Pas de correspondance")</f>
        <v>Pas de correspondance</v>
      </c>
      <c r="I897" t="str">
        <f>_xlfn.XLOOKUP(Logs__2[[#This Row],[Cell_ID]],'Registre_Maintenance'!B:B,'Registre_Maintenance'!E:E,"Pas de correspondance")</f>
        <v>Pas de correspondance</v>
      </c>
      <c r="J897" t="str">
        <f>_xlfn.XLOOKUP(Logs__2[[#This Row],[Cell_ID]],'Registre_Maintenance'!B:B,'Registre_Maintenance'!F:F,"Pas de correspondance")</f>
        <v>Pas de correspondance</v>
      </c>
      <c r="K897" t="str">
        <f>_xlfn.XLOOKUP(Logs__2[[#This Row],[Cell_ID]],'Registre_Maintenance'!B:B,'Registre_Maintenance'!G:G,"Pas de correspondance")</f>
        <v>Pas de correspondance</v>
      </c>
    </row>
    <row r="898" spans="1:11" hidden="1" x14ac:dyDescent="0.25">
      <c r="A898" s="1" t="s">
        <v>1406</v>
      </c>
      <c r="B898" s="2">
        <v>45212</v>
      </c>
      <c r="C898" s="3">
        <v>0.20069444444444445</v>
      </c>
      <c r="D898" s="1" t="s">
        <v>1074</v>
      </c>
      <c r="E898">
        <v>82</v>
      </c>
      <c r="F898" s="1" t="s">
        <v>806</v>
      </c>
      <c r="G898" t="str">
        <f>_xlfn.XLOOKUP(Logs__2[[#This Row],[Cell_ID]],'Registre_Maintenance'!B:B,'Registre_Maintenance'!C:C,"Pas de correspondance")</f>
        <v>Pas de correspondance</v>
      </c>
      <c r="H898" t="str">
        <f>_xlfn.XLOOKUP(Logs__2[[#This Row],[Cell_ID]],'Registre_Maintenance'!B:B,'Registre_Maintenance'!D:D,"Pas de correspondance")</f>
        <v>Pas de correspondance</v>
      </c>
      <c r="I898" t="str">
        <f>_xlfn.XLOOKUP(Logs__2[[#This Row],[Cell_ID]],'Registre_Maintenance'!B:B,'Registre_Maintenance'!E:E,"Pas de correspondance")</f>
        <v>Pas de correspondance</v>
      </c>
      <c r="J898" t="str">
        <f>_xlfn.XLOOKUP(Logs__2[[#This Row],[Cell_ID]],'Registre_Maintenance'!B:B,'Registre_Maintenance'!F:F,"Pas de correspondance")</f>
        <v>Pas de correspondance</v>
      </c>
      <c r="K898" t="str">
        <f>_xlfn.XLOOKUP(Logs__2[[#This Row],[Cell_ID]],'Registre_Maintenance'!B:B,'Registre_Maintenance'!G:G,"Pas de correspondance")</f>
        <v>Pas de correspondance</v>
      </c>
    </row>
    <row r="899" spans="1:11" hidden="1" x14ac:dyDescent="0.25">
      <c r="A899" s="1" t="s">
        <v>1406</v>
      </c>
      <c r="B899" s="2">
        <v>45227</v>
      </c>
      <c r="C899" s="3">
        <v>0.7055555555555556</v>
      </c>
      <c r="D899" s="1" t="s">
        <v>1066</v>
      </c>
      <c r="E899">
        <v>108</v>
      </c>
      <c r="F899" s="1" t="s">
        <v>809</v>
      </c>
      <c r="G899" t="str">
        <f>_xlfn.XLOOKUP(Logs__2[[#This Row],[Cell_ID]],'Registre_Maintenance'!B:B,'Registre_Maintenance'!C:C,"Pas de correspondance")</f>
        <v>Pas de correspondance</v>
      </c>
      <c r="H899" t="str">
        <f>_xlfn.XLOOKUP(Logs__2[[#This Row],[Cell_ID]],'Registre_Maintenance'!B:B,'Registre_Maintenance'!D:D,"Pas de correspondance")</f>
        <v>Pas de correspondance</v>
      </c>
      <c r="I899" t="str">
        <f>_xlfn.XLOOKUP(Logs__2[[#This Row],[Cell_ID]],'Registre_Maintenance'!B:B,'Registre_Maintenance'!E:E,"Pas de correspondance")</f>
        <v>Pas de correspondance</v>
      </c>
      <c r="J899" t="str">
        <f>_xlfn.XLOOKUP(Logs__2[[#This Row],[Cell_ID]],'Registre_Maintenance'!B:B,'Registre_Maintenance'!F:F,"Pas de correspondance")</f>
        <v>Pas de correspondance</v>
      </c>
      <c r="K899" t="str">
        <f>_xlfn.XLOOKUP(Logs__2[[#This Row],[Cell_ID]],'Registre_Maintenance'!B:B,'Registre_Maintenance'!G:G,"Pas de correspondance")</f>
        <v>Pas de correspondance</v>
      </c>
    </row>
    <row r="900" spans="1:11" x14ac:dyDescent="0.25">
      <c r="A900" s="1" t="s">
        <v>1406</v>
      </c>
      <c r="B900" s="2">
        <v>45218</v>
      </c>
      <c r="C900" s="3">
        <v>7.6388888888888886E-3</v>
      </c>
      <c r="D900" s="1" t="s">
        <v>917</v>
      </c>
      <c r="E900">
        <v>44</v>
      </c>
      <c r="F900" s="1" t="s">
        <v>809</v>
      </c>
      <c r="G900" t="str">
        <f>_xlfn.XLOOKUP(Logs__2[[#This Row],[Cell_ID]],'Registre_Maintenance'!B:B,'Registre_Maintenance'!C:C,"Pas de correspondance")</f>
        <v>Sud-Kivu</v>
      </c>
      <c r="H900">
        <f>_xlfn.XLOOKUP(Logs__2[[#This Row],[Cell_ID]],'Registre_Maintenance'!B:B,'Registre_Maintenance'!D:D,"Pas de correspondance")</f>
        <v>-9.4702129999999993</v>
      </c>
      <c r="I900">
        <f>_xlfn.XLOOKUP(Logs__2[[#This Row],[Cell_ID]],'Registre_Maintenance'!B:B,'Registre_Maintenance'!E:E,"Pas de correspondance")</f>
        <v>12.826158</v>
      </c>
      <c r="J900" t="str">
        <f>_xlfn.XLOOKUP(Logs__2[[#This Row],[Cell_ID]],'Registre_Maintenance'!B:B,'Registre_Maintenance'!F:F,"Pas de correspondance")</f>
        <v>3G</v>
      </c>
      <c r="K900" t="str">
        <f>_xlfn.XLOOKUP(Logs__2[[#This Row],[Cell_ID]],'Registre_Maintenance'!B:B,'Registre_Maintenance'!G:G,"Pas de correspondance")</f>
        <v>Ericsson</v>
      </c>
    </row>
    <row r="901" spans="1:11" hidden="1" x14ac:dyDescent="0.25">
      <c r="A901" s="1" t="s">
        <v>1406</v>
      </c>
      <c r="B901" s="2">
        <v>45206</v>
      </c>
      <c r="C901" s="3">
        <v>0.28680555555555554</v>
      </c>
      <c r="D901" s="1" t="s">
        <v>866</v>
      </c>
      <c r="E901">
        <v>96</v>
      </c>
      <c r="F901" s="1" t="s">
        <v>809</v>
      </c>
      <c r="G901" t="str">
        <f>_xlfn.XLOOKUP(Logs__2[[#This Row],[Cell_ID]],'Registre_Maintenance'!B:B,'Registre_Maintenance'!C:C,"Pas de correspondance")</f>
        <v>Pas de correspondance</v>
      </c>
      <c r="H901" t="str">
        <f>_xlfn.XLOOKUP(Logs__2[[#This Row],[Cell_ID]],'Registre_Maintenance'!B:B,'Registre_Maintenance'!D:D,"Pas de correspondance")</f>
        <v>Pas de correspondance</v>
      </c>
      <c r="I901" t="str">
        <f>_xlfn.XLOOKUP(Logs__2[[#This Row],[Cell_ID]],'Registre_Maintenance'!B:B,'Registre_Maintenance'!E:E,"Pas de correspondance")</f>
        <v>Pas de correspondance</v>
      </c>
      <c r="J901" t="str">
        <f>_xlfn.XLOOKUP(Logs__2[[#This Row],[Cell_ID]],'Registre_Maintenance'!B:B,'Registre_Maintenance'!F:F,"Pas de correspondance")</f>
        <v>Pas de correspondance</v>
      </c>
      <c r="K901" t="str">
        <f>_xlfn.XLOOKUP(Logs__2[[#This Row],[Cell_ID]],'Registre_Maintenance'!B:B,'Registre_Maintenance'!G:G,"Pas de correspondance")</f>
        <v>Pas de correspondance</v>
      </c>
    </row>
    <row r="902" spans="1:11" x14ac:dyDescent="0.25">
      <c r="A902" s="1" t="s">
        <v>1406</v>
      </c>
      <c r="B902" s="2">
        <v>45201</v>
      </c>
      <c r="C902" s="3">
        <v>0.29305555555555557</v>
      </c>
      <c r="D902" s="1" t="s">
        <v>1363</v>
      </c>
      <c r="E902">
        <v>95</v>
      </c>
      <c r="F902" s="1" t="s">
        <v>811</v>
      </c>
      <c r="G902" t="str">
        <f>_xlfn.XLOOKUP(Logs__2[[#This Row],[Cell_ID]],'Registre_Maintenance'!B:B,'Registre_Maintenance'!C:C,"Pas de correspondance")</f>
        <v>Lomami</v>
      </c>
      <c r="H902">
        <f>_xlfn.XLOOKUP(Logs__2[[#This Row],[Cell_ID]],'Registre_Maintenance'!B:B,'Registre_Maintenance'!D:D,"Pas de correspondance")</f>
        <v>-9.5619429999999994</v>
      </c>
      <c r="I902">
        <f>_xlfn.XLOOKUP(Logs__2[[#This Row],[Cell_ID]],'Registre_Maintenance'!B:B,'Registre_Maintenance'!E:E,"Pas de correspondance")</f>
        <v>21.445726000000001</v>
      </c>
      <c r="J902" t="str">
        <f>_xlfn.XLOOKUP(Logs__2[[#This Row],[Cell_ID]],'Registre_Maintenance'!B:B,'Registre_Maintenance'!F:F,"Pas de correspondance")</f>
        <v>4G</v>
      </c>
      <c r="K902" t="str">
        <f>_xlfn.XLOOKUP(Logs__2[[#This Row],[Cell_ID]],'Registre_Maintenance'!B:B,'Registre_Maintenance'!G:G,"Pas de correspondance")</f>
        <v>Nokia</v>
      </c>
    </row>
    <row r="903" spans="1:11" hidden="1" x14ac:dyDescent="0.25">
      <c r="A903" s="1" t="s">
        <v>1406</v>
      </c>
      <c r="B903" s="2">
        <v>45214</v>
      </c>
      <c r="C903" s="3">
        <v>8.1944444444444445E-2</v>
      </c>
      <c r="D903" s="1" t="s">
        <v>1417</v>
      </c>
      <c r="E903">
        <v>87</v>
      </c>
      <c r="F903" s="1" t="s">
        <v>809</v>
      </c>
      <c r="G903" t="str">
        <f>_xlfn.XLOOKUP(Logs__2[[#This Row],[Cell_ID]],'Registre_Maintenance'!B:B,'Registre_Maintenance'!C:C,"Pas de correspondance")</f>
        <v>Pas de correspondance</v>
      </c>
      <c r="H903" t="str">
        <f>_xlfn.XLOOKUP(Logs__2[[#This Row],[Cell_ID]],'Registre_Maintenance'!B:B,'Registre_Maintenance'!D:D,"Pas de correspondance")</f>
        <v>Pas de correspondance</v>
      </c>
      <c r="I903" t="str">
        <f>_xlfn.XLOOKUP(Logs__2[[#This Row],[Cell_ID]],'Registre_Maintenance'!B:B,'Registre_Maintenance'!E:E,"Pas de correspondance")</f>
        <v>Pas de correspondance</v>
      </c>
      <c r="J903" t="str">
        <f>_xlfn.XLOOKUP(Logs__2[[#This Row],[Cell_ID]],'Registre_Maintenance'!B:B,'Registre_Maintenance'!F:F,"Pas de correspondance")</f>
        <v>Pas de correspondance</v>
      </c>
      <c r="K903" t="str">
        <f>_xlfn.XLOOKUP(Logs__2[[#This Row],[Cell_ID]],'Registre_Maintenance'!B:B,'Registre_Maintenance'!G:G,"Pas de correspondance")</f>
        <v>Pas de correspondance</v>
      </c>
    </row>
    <row r="904" spans="1:11" hidden="1" x14ac:dyDescent="0.25">
      <c r="A904" s="1" t="s">
        <v>1406</v>
      </c>
      <c r="B904" s="2">
        <v>45211</v>
      </c>
      <c r="C904" s="3">
        <v>0.92500000000000004</v>
      </c>
      <c r="D904" s="1" t="s">
        <v>954</v>
      </c>
      <c r="E904">
        <v>40</v>
      </c>
      <c r="F904" s="1" t="s">
        <v>811</v>
      </c>
      <c r="G904" t="str">
        <f>_xlfn.XLOOKUP(Logs__2[[#This Row],[Cell_ID]],'Registre_Maintenance'!B:B,'Registre_Maintenance'!C:C,"Pas de correspondance")</f>
        <v>Pas de correspondance</v>
      </c>
      <c r="H904" t="str">
        <f>_xlfn.XLOOKUP(Logs__2[[#This Row],[Cell_ID]],'Registre_Maintenance'!B:B,'Registre_Maintenance'!D:D,"Pas de correspondance")</f>
        <v>Pas de correspondance</v>
      </c>
      <c r="I904" t="str">
        <f>_xlfn.XLOOKUP(Logs__2[[#This Row],[Cell_ID]],'Registre_Maintenance'!B:B,'Registre_Maintenance'!E:E,"Pas de correspondance")</f>
        <v>Pas de correspondance</v>
      </c>
      <c r="J904" t="str">
        <f>_xlfn.XLOOKUP(Logs__2[[#This Row],[Cell_ID]],'Registre_Maintenance'!B:B,'Registre_Maintenance'!F:F,"Pas de correspondance")</f>
        <v>Pas de correspondance</v>
      </c>
      <c r="K904" t="str">
        <f>_xlfn.XLOOKUP(Logs__2[[#This Row],[Cell_ID]],'Registre_Maintenance'!B:B,'Registre_Maintenance'!G:G,"Pas de correspondance")</f>
        <v>Pas de correspondance</v>
      </c>
    </row>
    <row r="905" spans="1:11" hidden="1" x14ac:dyDescent="0.25">
      <c r="A905" s="1" t="s">
        <v>1406</v>
      </c>
      <c r="B905" s="2">
        <v>45208</v>
      </c>
      <c r="C905" s="3">
        <v>0.49444444444444446</v>
      </c>
      <c r="D905" s="1" t="s">
        <v>1152</v>
      </c>
      <c r="E905">
        <v>59</v>
      </c>
      <c r="F905" s="1" t="s">
        <v>809</v>
      </c>
      <c r="G905" t="str">
        <f>_xlfn.XLOOKUP(Logs__2[[#This Row],[Cell_ID]],'Registre_Maintenance'!B:B,'Registre_Maintenance'!C:C,"Pas de correspondance")</f>
        <v>Pas de correspondance</v>
      </c>
      <c r="H905" t="str">
        <f>_xlfn.XLOOKUP(Logs__2[[#This Row],[Cell_ID]],'Registre_Maintenance'!B:B,'Registre_Maintenance'!D:D,"Pas de correspondance")</f>
        <v>Pas de correspondance</v>
      </c>
      <c r="I905" t="str">
        <f>_xlfn.XLOOKUP(Logs__2[[#This Row],[Cell_ID]],'Registre_Maintenance'!B:B,'Registre_Maintenance'!E:E,"Pas de correspondance")</f>
        <v>Pas de correspondance</v>
      </c>
      <c r="J905" t="str">
        <f>_xlfn.XLOOKUP(Logs__2[[#This Row],[Cell_ID]],'Registre_Maintenance'!B:B,'Registre_Maintenance'!F:F,"Pas de correspondance")</f>
        <v>Pas de correspondance</v>
      </c>
      <c r="K905" t="str">
        <f>_xlfn.XLOOKUP(Logs__2[[#This Row],[Cell_ID]],'Registre_Maintenance'!B:B,'Registre_Maintenance'!G:G,"Pas de correspondance")</f>
        <v>Pas de correspondance</v>
      </c>
    </row>
    <row r="906" spans="1:11" x14ac:dyDescent="0.25">
      <c r="A906" s="1" t="s">
        <v>1406</v>
      </c>
      <c r="B906" s="2">
        <v>45214</v>
      </c>
      <c r="C906" s="3">
        <v>0.68402777777777779</v>
      </c>
      <c r="D906" s="1" t="s">
        <v>907</v>
      </c>
      <c r="E906">
        <v>119</v>
      </c>
      <c r="F906" s="1" t="s">
        <v>811</v>
      </c>
      <c r="G906" t="str">
        <f>_xlfn.XLOOKUP(Logs__2[[#This Row],[Cell_ID]],'Registre_Maintenance'!B:B,'Registre_Maintenance'!C:C,"Pas de correspondance")</f>
        <v>Lomami</v>
      </c>
      <c r="H906">
        <f>_xlfn.XLOOKUP(Logs__2[[#This Row],[Cell_ID]],'Registre_Maintenance'!B:B,'Registre_Maintenance'!D:D,"Pas de correspondance")</f>
        <v>-11.218453999999999</v>
      </c>
      <c r="I906">
        <f>_xlfn.XLOOKUP(Logs__2[[#This Row],[Cell_ID]],'Registre_Maintenance'!B:B,'Registre_Maintenance'!E:E,"Pas de correspondance")</f>
        <v>28.230025000000001</v>
      </c>
      <c r="J906" t="str">
        <f>_xlfn.XLOOKUP(Logs__2[[#This Row],[Cell_ID]],'Registre_Maintenance'!B:B,'Registre_Maintenance'!F:F,"Pas de correspondance")</f>
        <v>5G</v>
      </c>
      <c r="K906" t="str">
        <f>_xlfn.XLOOKUP(Logs__2[[#This Row],[Cell_ID]],'Registre_Maintenance'!B:B,'Registre_Maintenance'!G:G,"Pas de correspondance")</f>
        <v>ZTE</v>
      </c>
    </row>
    <row r="907" spans="1:11" x14ac:dyDescent="0.25">
      <c r="A907" s="1" t="s">
        <v>1406</v>
      </c>
      <c r="B907" s="2">
        <v>45220</v>
      </c>
      <c r="C907" s="3">
        <v>0.15486111111111112</v>
      </c>
      <c r="D907" s="1" t="s">
        <v>1209</v>
      </c>
      <c r="E907">
        <v>53</v>
      </c>
      <c r="F907" s="1" t="s">
        <v>806</v>
      </c>
      <c r="G907" t="str">
        <f>_xlfn.XLOOKUP(Logs__2[[#This Row],[Cell_ID]],'Registre_Maintenance'!B:B,'Registre_Maintenance'!C:C,"Pas de correspondance")</f>
        <v>Kongo-Central</v>
      </c>
      <c r="H907">
        <f>_xlfn.XLOOKUP(Logs__2[[#This Row],[Cell_ID]],'Registre_Maintenance'!B:B,'Registre_Maintenance'!D:D,"Pas de correspondance")</f>
        <v>-9.8208710000000004</v>
      </c>
      <c r="I907">
        <f>_xlfn.XLOOKUP(Logs__2[[#This Row],[Cell_ID]],'Registre_Maintenance'!B:B,'Registre_Maintenance'!E:E,"Pas de correspondance")</f>
        <v>23.229807000000001</v>
      </c>
      <c r="J907" t="str">
        <f>_xlfn.XLOOKUP(Logs__2[[#This Row],[Cell_ID]],'Registre_Maintenance'!B:B,'Registre_Maintenance'!F:F,"Pas de correspondance")</f>
        <v>5G</v>
      </c>
      <c r="K907" t="str">
        <f>_xlfn.XLOOKUP(Logs__2[[#This Row],[Cell_ID]],'Registre_Maintenance'!B:B,'Registre_Maintenance'!G:G,"Pas de correspondance")</f>
        <v>Nokia</v>
      </c>
    </row>
    <row r="908" spans="1:11" hidden="1" x14ac:dyDescent="0.25">
      <c r="A908" s="1" t="s">
        <v>1406</v>
      </c>
      <c r="B908" s="2">
        <v>45200</v>
      </c>
      <c r="C908" s="3">
        <v>0.30763888888888891</v>
      </c>
      <c r="D908" s="1" t="s">
        <v>824</v>
      </c>
      <c r="E908">
        <v>114</v>
      </c>
      <c r="F908" s="1" t="s">
        <v>809</v>
      </c>
      <c r="G908" t="str">
        <f>_xlfn.XLOOKUP(Logs__2[[#This Row],[Cell_ID]],'Registre_Maintenance'!B:B,'Registre_Maintenance'!C:C,"Pas de correspondance")</f>
        <v>Pas de correspondance</v>
      </c>
      <c r="H908" t="str">
        <f>_xlfn.XLOOKUP(Logs__2[[#This Row],[Cell_ID]],'Registre_Maintenance'!B:B,'Registre_Maintenance'!D:D,"Pas de correspondance")</f>
        <v>Pas de correspondance</v>
      </c>
      <c r="I908" t="str">
        <f>_xlfn.XLOOKUP(Logs__2[[#This Row],[Cell_ID]],'Registre_Maintenance'!B:B,'Registre_Maintenance'!E:E,"Pas de correspondance")</f>
        <v>Pas de correspondance</v>
      </c>
      <c r="J908" t="str">
        <f>_xlfn.XLOOKUP(Logs__2[[#This Row],[Cell_ID]],'Registre_Maintenance'!B:B,'Registre_Maintenance'!F:F,"Pas de correspondance")</f>
        <v>Pas de correspondance</v>
      </c>
      <c r="K908" t="str">
        <f>_xlfn.XLOOKUP(Logs__2[[#This Row],[Cell_ID]],'Registre_Maintenance'!B:B,'Registre_Maintenance'!G:G,"Pas de correspondance")</f>
        <v>Pas de correspondance</v>
      </c>
    </row>
    <row r="909" spans="1:11" hidden="1" x14ac:dyDescent="0.25">
      <c r="A909" s="1" t="s">
        <v>1406</v>
      </c>
      <c r="B909" s="2">
        <v>45215</v>
      </c>
      <c r="C909" s="3">
        <v>0.81111111111111112</v>
      </c>
      <c r="D909" s="1" t="s">
        <v>992</v>
      </c>
      <c r="E909">
        <v>49</v>
      </c>
      <c r="F909" s="1" t="s">
        <v>809</v>
      </c>
      <c r="G909" t="str">
        <f>_xlfn.XLOOKUP(Logs__2[[#This Row],[Cell_ID]],'Registre_Maintenance'!B:B,'Registre_Maintenance'!C:C,"Pas de correspondance")</f>
        <v>Pas de correspondance</v>
      </c>
      <c r="H909" t="str">
        <f>_xlfn.XLOOKUP(Logs__2[[#This Row],[Cell_ID]],'Registre_Maintenance'!B:B,'Registre_Maintenance'!D:D,"Pas de correspondance")</f>
        <v>Pas de correspondance</v>
      </c>
      <c r="I909" t="str">
        <f>_xlfn.XLOOKUP(Logs__2[[#This Row],[Cell_ID]],'Registre_Maintenance'!B:B,'Registre_Maintenance'!E:E,"Pas de correspondance")</f>
        <v>Pas de correspondance</v>
      </c>
      <c r="J909" t="str">
        <f>_xlfn.XLOOKUP(Logs__2[[#This Row],[Cell_ID]],'Registre_Maintenance'!B:B,'Registre_Maintenance'!F:F,"Pas de correspondance")</f>
        <v>Pas de correspondance</v>
      </c>
      <c r="K909" t="str">
        <f>_xlfn.XLOOKUP(Logs__2[[#This Row],[Cell_ID]],'Registre_Maintenance'!B:B,'Registre_Maintenance'!G:G,"Pas de correspondance")</f>
        <v>Pas de correspondance</v>
      </c>
    </row>
    <row r="910" spans="1:11" x14ac:dyDescent="0.25">
      <c r="A910" s="1" t="s">
        <v>1406</v>
      </c>
      <c r="B910" s="2">
        <v>45205</v>
      </c>
      <c r="C910" s="3">
        <v>0.65069444444444446</v>
      </c>
      <c r="D910" s="1" t="s">
        <v>1418</v>
      </c>
      <c r="E910">
        <v>63</v>
      </c>
      <c r="F910" s="1" t="s">
        <v>806</v>
      </c>
      <c r="G910" t="str">
        <f>_xlfn.XLOOKUP(Logs__2[[#This Row],[Cell_ID]],'Registre_Maintenance'!B:B,'Registre_Maintenance'!C:C,"Pas de correspondance")</f>
        <v>Kongo-Central</v>
      </c>
      <c r="H910">
        <f>_xlfn.XLOOKUP(Logs__2[[#This Row],[Cell_ID]],'Registre_Maintenance'!B:B,'Registre_Maintenance'!D:D,"Pas de correspondance")</f>
        <v>-10.977309</v>
      </c>
      <c r="I910">
        <f>_xlfn.XLOOKUP(Logs__2[[#This Row],[Cell_ID]],'Registre_Maintenance'!B:B,'Registre_Maintenance'!E:E,"Pas de correspondance")</f>
        <v>12.408281000000001</v>
      </c>
      <c r="J910" t="str">
        <f>_xlfn.XLOOKUP(Logs__2[[#This Row],[Cell_ID]],'Registre_Maintenance'!B:B,'Registre_Maintenance'!F:F,"Pas de correspondance")</f>
        <v>5G</v>
      </c>
      <c r="K910" t="str">
        <f>_xlfn.XLOOKUP(Logs__2[[#This Row],[Cell_ID]],'Registre_Maintenance'!B:B,'Registre_Maintenance'!G:G,"Pas de correspondance")</f>
        <v>ZTE</v>
      </c>
    </row>
    <row r="911" spans="1:11" x14ac:dyDescent="0.25">
      <c r="A911" s="1" t="s">
        <v>1406</v>
      </c>
      <c r="B911" s="2">
        <v>45217</v>
      </c>
      <c r="C911" s="3">
        <v>0.47361111111111109</v>
      </c>
      <c r="D911" s="1" t="s">
        <v>943</v>
      </c>
      <c r="E911">
        <v>37</v>
      </c>
      <c r="F911" s="1" t="s">
        <v>811</v>
      </c>
      <c r="G911" t="str">
        <f>_xlfn.XLOOKUP(Logs__2[[#This Row],[Cell_ID]],'Registre_Maintenance'!B:B,'Registre_Maintenance'!C:C,"Pas de correspondance")</f>
        <v>Kwilu</v>
      </c>
      <c r="H911">
        <f>_xlfn.XLOOKUP(Logs__2[[#This Row],[Cell_ID]],'Registre_Maintenance'!B:B,'Registre_Maintenance'!D:D,"Pas de correspondance")</f>
        <v>-8.5675749999999997</v>
      </c>
      <c r="I911">
        <f>_xlfn.XLOOKUP(Logs__2[[#This Row],[Cell_ID]],'Registre_Maintenance'!B:B,'Registre_Maintenance'!E:E,"Pas de correspondance")</f>
        <v>26.994581</v>
      </c>
      <c r="J911" t="str">
        <f>_xlfn.XLOOKUP(Logs__2[[#This Row],[Cell_ID]],'Registre_Maintenance'!B:B,'Registre_Maintenance'!F:F,"Pas de correspondance")</f>
        <v>3G</v>
      </c>
      <c r="K911" t="str">
        <f>_xlfn.XLOOKUP(Logs__2[[#This Row],[Cell_ID]],'Registre_Maintenance'!B:B,'Registre_Maintenance'!G:G,"Pas de correspondance")</f>
        <v>Nokia</v>
      </c>
    </row>
    <row r="912" spans="1:11" hidden="1" x14ac:dyDescent="0.25">
      <c r="A912" s="1" t="s">
        <v>1406</v>
      </c>
      <c r="B912" s="2">
        <v>45205</v>
      </c>
      <c r="C912" s="3">
        <v>0.3659722222222222</v>
      </c>
      <c r="D912" s="1" t="s">
        <v>1236</v>
      </c>
      <c r="E912">
        <v>32</v>
      </c>
      <c r="F912" s="1" t="s">
        <v>806</v>
      </c>
      <c r="G912" t="str">
        <f>_xlfn.XLOOKUP(Logs__2[[#This Row],[Cell_ID]],'Registre_Maintenance'!B:B,'Registre_Maintenance'!C:C,"Pas de correspondance")</f>
        <v>Pas de correspondance</v>
      </c>
      <c r="H912" t="str">
        <f>_xlfn.XLOOKUP(Logs__2[[#This Row],[Cell_ID]],'Registre_Maintenance'!B:B,'Registre_Maintenance'!D:D,"Pas de correspondance")</f>
        <v>Pas de correspondance</v>
      </c>
      <c r="I912" t="str">
        <f>_xlfn.XLOOKUP(Logs__2[[#This Row],[Cell_ID]],'Registre_Maintenance'!B:B,'Registre_Maintenance'!E:E,"Pas de correspondance")</f>
        <v>Pas de correspondance</v>
      </c>
      <c r="J912" t="str">
        <f>_xlfn.XLOOKUP(Logs__2[[#This Row],[Cell_ID]],'Registre_Maintenance'!B:B,'Registre_Maintenance'!F:F,"Pas de correspondance")</f>
        <v>Pas de correspondance</v>
      </c>
      <c r="K912" t="str">
        <f>_xlfn.XLOOKUP(Logs__2[[#This Row],[Cell_ID]],'Registre_Maintenance'!B:B,'Registre_Maintenance'!G:G,"Pas de correspondance")</f>
        <v>Pas de correspondance</v>
      </c>
    </row>
    <row r="913" spans="1:11" hidden="1" x14ac:dyDescent="0.25">
      <c r="A913" s="1" t="s">
        <v>1406</v>
      </c>
      <c r="B913" s="2">
        <v>45226</v>
      </c>
      <c r="C913" s="3">
        <v>0.92013888888888884</v>
      </c>
      <c r="D913" s="1" t="s">
        <v>850</v>
      </c>
      <c r="E913">
        <v>64</v>
      </c>
      <c r="F913" s="1" t="s">
        <v>811</v>
      </c>
      <c r="G913" t="str">
        <f>_xlfn.XLOOKUP(Logs__2[[#This Row],[Cell_ID]],'Registre_Maintenance'!B:B,'Registre_Maintenance'!C:C,"Pas de correspondance")</f>
        <v>Pas de correspondance</v>
      </c>
      <c r="H913" t="str">
        <f>_xlfn.XLOOKUP(Logs__2[[#This Row],[Cell_ID]],'Registre_Maintenance'!B:B,'Registre_Maintenance'!D:D,"Pas de correspondance")</f>
        <v>Pas de correspondance</v>
      </c>
      <c r="I913" t="str">
        <f>_xlfn.XLOOKUP(Logs__2[[#This Row],[Cell_ID]],'Registre_Maintenance'!B:B,'Registre_Maintenance'!E:E,"Pas de correspondance")</f>
        <v>Pas de correspondance</v>
      </c>
      <c r="J913" t="str">
        <f>_xlfn.XLOOKUP(Logs__2[[#This Row],[Cell_ID]],'Registre_Maintenance'!B:B,'Registre_Maintenance'!F:F,"Pas de correspondance")</f>
        <v>Pas de correspondance</v>
      </c>
      <c r="K913" t="str">
        <f>_xlfn.XLOOKUP(Logs__2[[#This Row],[Cell_ID]],'Registre_Maintenance'!B:B,'Registre_Maintenance'!G:G,"Pas de correspondance")</f>
        <v>Pas de correspondance</v>
      </c>
    </row>
    <row r="914" spans="1:11" hidden="1" x14ac:dyDescent="0.25">
      <c r="A914" s="1" t="s">
        <v>1406</v>
      </c>
      <c r="B914" s="2">
        <v>45209</v>
      </c>
      <c r="C914" s="3">
        <v>1.6666666666666666E-2</v>
      </c>
      <c r="D914" s="1" t="s">
        <v>1419</v>
      </c>
      <c r="E914">
        <v>43</v>
      </c>
      <c r="F914" s="1" t="s">
        <v>806</v>
      </c>
      <c r="G914" t="str">
        <f>_xlfn.XLOOKUP(Logs__2[[#This Row],[Cell_ID]],'Registre_Maintenance'!B:B,'Registre_Maintenance'!C:C,"Pas de correspondance")</f>
        <v>Pas de correspondance</v>
      </c>
      <c r="H914" t="str">
        <f>_xlfn.XLOOKUP(Logs__2[[#This Row],[Cell_ID]],'Registre_Maintenance'!B:B,'Registre_Maintenance'!D:D,"Pas de correspondance")</f>
        <v>Pas de correspondance</v>
      </c>
      <c r="I914" t="str">
        <f>_xlfn.XLOOKUP(Logs__2[[#This Row],[Cell_ID]],'Registre_Maintenance'!B:B,'Registre_Maintenance'!E:E,"Pas de correspondance")</f>
        <v>Pas de correspondance</v>
      </c>
      <c r="J914" t="str">
        <f>_xlfn.XLOOKUP(Logs__2[[#This Row],[Cell_ID]],'Registre_Maintenance'!B:B,'Registre_Maintenance'!F:F,"Pas de correspondance")</f>
        <v>Pas de correspondance</v>
      </c>
      <c r="K914" t="str">
        <f>_xlfn.XLOOKUP(Logs__2[[#This Row],[Cell_ID]],'Registre_Maintenance'!B:B,'Registre_Maintenance'!G:G,"Pas de correspondance")</f>
        <v>Pas de correspondance</v>
      </c>
    </row>
    <row r="915" spans="1:11" x14ac:dyDescent="0.25">
      <c r="A915" s="1" t="s">
        <v>1406</v>
      </c>
      <c r="B915" s="2">
        <v>45201</v>
      </c>
      <c r="C915" s="3">
        <v>0.24583333333333332</v>
      </c>
      <c r="D915" s="1" t="s">
        <v>1143</v>
      </c>
      <c r="E915">
        <v>91</v>
      </c>
      <c r="F915" s="1" t="s">
        <v>809</v>
      </c>
      <c r="G915" t="str">
        <f>_xlfn.XLOOKUP(Logs__2[[#This Row],[Cell_ID]],'Registre_Maintenance'!B:B,'Registre_Maintenance'!C:C,"Pas de correspondance")</f>
        <v>Ituri</v>
      </c>
      <c r="H915">
        <f>_xlfn.XLOOKUP(Logs__2[[#This Row],[Cell_ID]],'Registre_Maintenance'!B:B,'Registre_Maintenance'!D:D,"Pas de correspondance")</f>
        <v>-0.34051900000000002</v>
      </c>
      <c r="I915">
        <f>_xlfn.XLOOKUP(Logs__2[[#This Row],[Cell_ID]],'Registre_Maintenance'!B:B,'Registre_Maintenance'!E:E,"Pas de correspondance")</f>
        <v>17.079799000000001</v>
      </c>
      <c r="J915" t="str">
        <f>_xlfn.XLOOKUP(Logs__2[[#This Row],[Cell_ID]],'Registre_Maintenance'!B:B,'Registre_Maintenance'!F:F,"Pas de correspondance")</f>
        <v>5G</v>
      </c>
      <c r="K915" t="str">
        <f>_xlfn.XLOOKUP(Logs__2[[#This Row],[Cell_ID]],'Registre_Maintenance'!B:B,'Registre_Maintenance'!G:G,"Pas de correspondance")</f>
        <v>Ericsson</v>
      </c>
    </row>
    <row r="916" spans="1:11" hidden="1" x14ac:dyDescent="0.25">
      <c r="A916" s="1" t="s">
        <v>1406</v>
      </c>
      <c r="B916" s="2">
        <v>45218</v>
      </c>
      <c r="C916" s="3">
        <v>0.28749999999999998</v>
      </c>
      <c r="D916" s="1" t="s">
        <v>1420</v>
      </c>
      <c r="E916">
        <v>71</v>
      </c>
      <c r="F916" s="1" t="s">
        <v>811</v>
      </c>
      <c r="G916" t="str">
        <f>_xlfn.XLOOKUP(Logs__2[[#This Row],[Cell_ID]],'Registre_Maintenance'!B:B,'Registre_Maintenance'!C:C,"Pas de correspondance")</f>
        <v>Pas de correspondance</v>
      </c>
      <c r="H916" t="str">
        <f>_xlfn.XLOOKUP(Logs__2[[#This Row],[Cell_ID]],'Registre_Maintenance'!B:B,'Registre_Maintenance'!D:D,"Pas de correspondance")</f>
        <v>Pas de correspondance</v>
      </c>
      <c r="I916" t="str">
        <f>_xlfn.XLOOKUP(Logs__2[[#This Row],[Cell_ID]],'Registre_Maintenance'!B:B,'Registre_Maintenance'!E:E,"Pas de correspondance")</f>
        <v>Pas de correspondance</v>
      </c>
      <c r="J916" t="str">
        <f>_xlfn.XLOOKUP(Logs__2[[#This Row],[Cell_ID]],'Registre_Maintenance'!B:B,'Registre_Maintenance'!F:F,"Pas de correspondance")</f>
        <v>Pas de correspondance</v>
      </c>
      <c r="K916" t="str">
        <f>_xlfn.XLOOKUP(Logs__2[[#This Row],[Cell_ID]],'Registre_Maintenance'!B:B,'Registre_Maintenance'!G:G,"Pas de correspondance")</f>
        <v>Pas de correspondance</v>
      </c>
    </row>
    <row r="917" spans="1:11" hidden="1" x14ac:dyDescent="0.25">
      <c r="A917" s="1" t="s">
        <v>1421</v>
      </c>
      <c r="B917" s="2">
        <v>45220</v>
      </c>
      <c r="C917" s="3">
        <v>9.3055555555555558E-2</v>
      </c>
      <c r="D917" s="1" t="s">
        <v>1382</v>
      </c>
      <c r="E917">
        <v>48</v>
      </c>
      <c r="F917" s="1" t="s">
        <v>806</v>
      </c>
      <c r="G917" t="str">
        <f>_xlfn.XLOOKUP(Logs__2[[#This Row],[Cell_ID]],'Registre_Maintenance'!B:B,'Registre_Maintenance'!C:C,"Pas de correspondance")</f>
        <v>Pas de correspondance</v>
      </c>
      <c r="H917" t="str">
        <f>_xlfn.XLOOKUP(Logs__2[[#This Row],[Cell_ID]],'Registre_Maintenance'!B:B,'Registre_Maintenance'!D:D,"Pas de correspondance")</f>
        <v>Pas de correspondance</v>
      </c>
      <c r="I917" t="str">
        <f>_xlfn.XLOOKUP(Logs__2[[#This Row],[Cell_ID]],'Registre_Maintenance'!B:B,'Registre_Maintenance'!E:E,"Pas de correspondance")</f>
        <v>Pas de correspondance</v>
      </c>
      <c r="J917" t="str">
        <f>_xlfn.XLOOKUP(Logs__2[[#This Row],[Cell_ID]],'Registre_Maintenance'!B:B,'Registre_Maintenance'!F:F,"Pas de correspondance")</f>
        <v>Pas de correspondance</v>
      </c>
      <c r="K917" t="str">
        <f>_xlfn.XLOOKUP(Logs__2[[#This Row],[Cell_ID]],'Registre_Maintenance'!B:B,'Registre_Maintenance'!G:G,"Pas de correspondance")</f>
        <v>Pas de correspondance</v>
      </c>
    </row>
    <row r="918" spans="1:11" hidden="1" x14ac:dyDescent="0.25">
      <c r="A918" s="1" t="s">
        <v>1421</v>
      </c>
      <c r="B918" s="2">
        <v>45211</v>
      </c>
      <c r="C918" s="3">
        <v>0.32430555555555557</v>
      </c>
      <c r="D918" s="1" t="s">
        <v>1422</v>
      </c>
      <c r="E918">
        <v>120</v>
      </c>
      <c r="F918" s="1" t="s">
        <v>811</v>
      </c>
      <c r="G918" t="str">
        <f>_xlfn.XLOOKUP(Logs__2[[#This Row],[Cell_ID]],'Registre_Maintenance'!B:B,'Registre_Maintenance'!C:C,"Pas de correspondance")</f>
        <v>Pas de correspondance</v>
      </c>
      <c r="H918" t="str">
        <f>_xlfn.XLOOKUP(Logs__2[[#This Row],[Cell_ID]],'Registre_Maintenance'!B:B,'Registre_Maintenance'!D:D,"Pas de correspondance")</f>
        <v>Pas de correspondance</v>
      </c>
      <c r="I918" t="str">
        <f>_xlfn.XLOOKUP(Logs__2[[#This Row],[Cell_ID]],'Registre_Maintenance'!B:B,'Registre_Maintenance'!E:E,"Pas de correspondance")</f>
        <v>Pas de correspondance</v>
      </c>
      <c r="J918" t="str">
        <f>_xlfn.XLOOKUP(Logs__2[[#This Row],[Cell_ID]],'Registre_Maintenance'!B:B,'Registre_Maintenance'!F:F,"Pas de correspondance")</f>
        <v>Pas de correspondance</v>
      </c>
      <c r="K918" t="str">
        <f>_xlfn.XLOOKUP(Logs__2[[#This Row],[Cell_ID]],'Registre_Maintenance'!B:B,'Registre_Maintenance'!G:G,"Pas de correspondance")</f>
        <v>Pas de correspondance</v>
      </c>
    </row>
    <row r="919" spans="1:11" hidden="1" x14ac:dyDescent="0.25">
      <c r="A919" s="1" t="s">
        <v>1421</v>
      </c>
      <c r="B919" s="2">
        <v>45227</v>
      </c>
      <c r="C919" s="3">
        <v>0.39305555555555555</v>
      </c>
      <c r="D919" s="1" t="s">
        <v>1082</v>
      </c>
      <c r="E919">
        <v>67</v>
      </c>
      <c r="F919" s="1" t="s">
        <v>806</v>
      </c>
      <c r="G919" t="str">
        <f>_xlfn.XLOOKUP(Logs__2[[#This Row],[Cell_ID]],'Registre_Maintenance'!B:B,'Registre_Maintenance'!C:C,"Pas de correspondance")</f>
        <v>Pas de correspondance</v>
      </c>
      <c r="H919" t="str">
        <f>_xlfn.XLOOKUP(Logs__2[[#This Row],[Cell_ID]],'Registre_Maintenance'!B:B,'Registre_Maintenance'!D:D,"Pas de correspondance")</f>
        <v>Pas de correspondance</v>
      </c>
      <c r="I919" t="str">
        <f>_xlfn.XLOOKUP(Logs__2[[#This Row],[Cell_ID]],'Registre_Maintenance'!B:B,'Registre_Maintenance'!E:E,"Pas de correspondance")</f>
        <v>Pas de correspondance</v>
      </c>
      <c r="J919" t="str">
        <f>_xlfn.XLOOKUP(Logs__2[[#This Row],[Cell_ID]],'Registre_Maintenance'!B:B,'Registre_Maintenance'!F:F,"Pas de correspondance")</f>
        <v>Pas de correspondance</v>
      </c>
      <c r="K919" t="str">
        <f>_xlfn.XLOOKUP(Logs__2[[#This Row],[Cell_ID]],'Registre_Maintenance'!B:B,'Registre_Maintenance'!G:G,"Pas de correspondance")</f>
        <v>Pas de correspondance</v>
      </c>
    </row>
    <row r="920" spans="1:11" hidden="1" x14ac:dyDescent="0.25">
      <c r="A920" s="1" t="s">
        <v>1421</v>
      </c>
      <c r="B920" s="2">
        <v>45225</v>
      </c>
      <c r="C920" s="3">
        <v>0.43263888888888891</v>
      </c>
      <c r="D920" s="1" t="s">
        <v>978</v>
      </c>
      <c r="E920">
        <v>50</v>
      </c>
      <c r="F920" s="1" t="s">
        <v>809</v>
      </c>
      <c r="G920" t="str">
        <f>_xlfn.XLOOKUP(Logs__2[[#This Row],[Cell_ID]],'Registre_Maintenance'!B:B,'Registre_Maintenance'!C:C,"Pas de correspondance")</f>
        <v>Pas de correspondance</v>
      </c>
      <c r="H920" t="str">
        <f>_xlfn.XLOOKUP(Logs__2[[#This Row],[Cell_ID]],'Registre_Maintenance'!B:B,'Registre_Maintenance'!D:D,"Pas de correspondance")</f>
        <v>Pas de correspondance</v>
      </c>
      <c r="I920" t="str">
        <f>_xlfn.XLOOKUP(Logs__2[[#This Row],[Cell_ID]],'Registre_Maintenance'!B:B,'Registre_Maintenance'!E:E,"Pas de correspondance")</f>
        <v>Pas de correspondance</v>
      </c>
      <c r="J920" t="str">
        <f>_xlfn.XLOOKUP(Logs__2[[#This Row],[Cell_ID]],'Registre_Maintenance'!B:B,'Registre_Maintenance'!F:F,"Pas de correspondance")</f>
        <v>Pas de correspondance</v>
      </c>
      <c r="K920" t="str">
        <f>_xlfn.XLOOKUP(Logs__2[[#This Row],[Cell_ID]],'Registre_Maintenance'!B:B,'Registre_Maintenance'!G:G,"Pas de correspondance")</f>
        <v>Pas de correspondance</v>
      </c>
    </row>
    <row r="921" spans="1:11" hidden="1" x14ac:dyDescent="0.25">
      <c r="A921" s="1" t="s">
        <v>1421</v>
      </c>
      <c r="B921" s="2">
        <v>45208</v>
      </c>
      <c r="C921" s="3">
        <v>0.76249999999999996</v>
      </c>
      <c r="D921" s="1" t="s">
        <v>1423</v>
      </c>
      <c r="E921">
        <v>101</v>
      </c>
      <c r="F921" s="1" t="s">
        <v>806</v>
      </c>
      <c r="G921" t="str">
        <f>_xlfn.XLOOKUP(Logs__2[[#This Row],[Cell_ID]],'Registre_Maintenance'!B:B,'Registre_Maintenance'!C:C,"Pas de correspondance")</f>
        <v>Pas de correspondance</v>
      </c>
      <c r="H921" t="str">
        <f>_xlfn.XLOOKUP(Logs__2[[#This Row],[Cell_ID]],'Registre_Maintenance'!B:B,'Registre_Maintenance'!D:D,"Pas de correspondance")</f>
        <v>Pas de correspondance</v>
      </c>
      <c r="I921" t="str">
        <f>_xlfn.XLOOKUP(Logs__2[[#This Row],[Cell_ID]],'Registre_Maintenance'!B:B,'Registre_Maintenance'!E:E,"Pas de correspondance")</f>
        <v>Pas de correspondance</v>
      </c>
      <c r="J921" t="str">
        <f>_xlfn.XLOOKUP(Logs__2[[#This Row],[Cell_ID]],'Registre_Maintenance'!B:B,'Registre_Maintenance'!F:F,"Pas de correspondance")</f>
        <v>Pas de correspondance</v>
      </c>
      <c r="K921" t="str">
        <f>_xlfn.XLOOKUP(Logs__2[[#This Row],[Cell_ID]],'Registre_Maintenance'!B:B,'Registre_Maintenance'!G:G,"Pas de correspondance")</f>
        <v>Pas de correspondance</v>
      </c>
    </row>
    <row r="922" spans="1:11" hidden="1" x14ac:dyDescent="0.25">
      <c r="A922" s="1" t="s">
        <v>1421</v>
      </c>
      <c r="B922" s="2">
        <v>45214</v>
      </c>
      <c r="C922" s="3">
        <v>0.14583333333333334</v>
      </c>
      <c r="D922" s="1" t="s">
        <v>1055</v>
      </c>
      <c r="E922">
        <v>29</v>
      </c>
      <c r="F922" s="1" t="s">
        <v>811</v>
      </c>
      <c r="G922" t="str">
        <f>_xlfn.XLOOKUP(Logs__2[[#This Row],[Cell_ID]],'Registre_Maintenance'!B:B,'Registre_Maintenance'!C:C,"Pas de correspondance")</f>
        <v>Pas de correspondance</v>
      </c>
      <c r="H922" t="str">
        <f>_xlfn.XLOOKUP(Logs__2[[#This Row],[Cell_ID]],'Registre_Maintenance'!B:B,'Registre_Maintenance'!D:D,"Pas de correspondance")</f>
        <v>Pas de correspondance</v>
      </c>
      <c r="I922" t="str">
        <f>_xlfn.XLOOKUP(Logs__2[[#This Row],[Cell_ID]],'Registre_Maintenance'!B:B,'Registre_Maintenance'!E:E,"Pas de correspondance")</f>
        <v>Pas de correspondance</v>
      </c>
      <c r="J922" t="str">
        <f>_xlfn.XLOOKUP(Logs__2[[#This Row],[Cell_ID]],'Registre_Maintenance'!B:B,'Registre_Maintenance'!F:F,"Pas de correspondance")</f>
        <v>Pas de correspondance</v>
      </c>
      <c r="K922" t="str">
        <f>_xlfn.XLOOKUP(Logs__2[[#This Row],[Cell_ID]],'Registre_Maintenance'!B:B,'Registre_Maintenance'!G:G,"Pas de correspondance")</f>
        <v>Pas de correspondance</v>
      </c>
    </row>
    <row r="923" spans="1:11" hidden="1" x14ac:dyDescent="0.25">
      <c r="A923" s="1" t="s">
        <v>1421</v>
      </c>
      <c r="B923" s="2">
        <v>45201</v>
      </c>
      <c r="C923" s="3">
        <v>0.85902777777777772</v>
      </c>
      <c r="D923" s="1" t="s">
        <v>1424</v>
      </c>
      <c r="E923">
        <v>26</v>
      </c>
      <c r="F923" s="1" t="s">
        <v>809</v>
      </c>
      <c r="G923" t="str">
        <f>_xlfn.XLOOKUP(Logs__2[[#This Row],[Cell_ID]],'Registre_Maintenance'!B:B,'Registre_Maintenance'!C:C,"Pas de correspondance")</f>
        <v>Pas de correspondance</v>
      </c>
      <c r="H923" t="str">
        <f>_xlfn.XLOOKUP(Logs__2[[#This Row],[Cell_ID]],'Registre_Maintenance'!B:B,'Registre_Maintenance'!D:D,"Pas de correspondance")</f>
        <v>Pas de correspondance</v>
      </c>
      <c r="I923" t="str">
        <f>_xlfn.XLOOKUP(Logs__2[[#This Row],[Cell_ID]],'Registre_Maintenance'!B:B,'Registre_Maintenance'!E:E,"Pas de correspondance")</f>
        <v>Pas de correspondance</v>
      </c>
      <c r="J923" t="str">
        <f>_xlfn.XLOOKUP(Logs__2[[#This Row],[Cell_ID]],'Registre_Maintenance'!B:B,'Registre_Maintenance'!F:F,"Pas de correspondance")</f>
        <v>Pas de correspondance</v>
      </c>
      <c r="K923" t="str">
        <f>_xlfn.XLOOKUP(Logs__2[[#This Row],[Cell_ID]],'Registre_Maintenance'!B:B,'Registre_Maintenance'!G:G,"Pas de correspondance")</f>
        <v>Pas de correspondance</v>
      </c>
    </row>
    <row r="924" spans="1:11" hidden="1" x14ac:dyDescent="0.25">
      <c r="A924" s="1" t="s">
        <v>1421</v>
      </c>
      <c r="B924" s="2">
        <v>45218</v>
      </c>
      <c r="C924" s="3">
        <v>0.7944444444444444</v>
      </c>
      <c r="D924" s="1" t="s">
        <v>1425</v>
      </c>
      <c r="E924">
        <v>108</v>
      </c>
      <c r="F924" s="1" t="s">
        <v>806</v>
      </c>
      <c r="G924" t="str">
        <f>_xlfn.XLOOKUP(Logs__2[[#This Row],[Cell_ID]],'Registre_Maintenance'!B:B,'Registre_Maintenance'!C:C,"Pas de correspondance")</f>
        <v>Pas de correspondance</v>
      </c>
      <c r="H924" t="str">
        <f>_xlfn.XLOOKUP(Logs__2[[#This Row],[Cell_ID]],'Registre_Maintenance'!B:B,'Registre_Maintenance'!D:D,"Pas de correspondance")</f>
        <v>Pas de correspondance</v>
      </c>
      <c r="I924" t="str">
        <f>_xlfn.XLOOKUP(Logs__2[[#This Row],[Cell_ID]],'Registre_Maintenance'!B:B,'Registre_Maintenance'!E:E,"Pas de correspondance")</f>
        <v>Pas de correspondance</v>
      </c>
      <c r="J924" t="str">
        <f>_xlfn.XLOOKUP(Logs__2[[#This Row],[Cell_ID]],'Registre_Maintenance'!B:B,'Registre_Maintenance'!F:F,"Pas de correspondance")</f>
        <v>Pas de correspondance</v>
      </c>
      <c r="K924" t="str">
        <f>_xlfn.XLOOKUP(Logs__2[[#This Row],[Cell_ID]],'Registre_Maintenance'!B:B,'Registre_Maintenance'!G:G,"Pas de correspondance")</f>
        <v>Pas de correspondance</v>
      </c>
    </row>
    <row r="925" spans="1:11" hidden="1" x14ac:dyDescent="0.25">
      <c r="A925" s="1" t="s">
        <v>1421</v>
      </c>
      <c r="B925" s="2">
        <v>45215</v>
      </c>
      <c r="C925" s="3">
        <v>0.2722222222222222</v>
      </c>
      <c r="D925" s="1" t="s">
        <v>1426</v>
      </c>
      <c r="E925">
        <v>56</v>
      </c>
      <c r="F925" s="1" t="s">
        <v>811</v>
      </c>
      <c r="G925" t="str">
        <f>_xlfn.XLOOKUP(Logs__2[[#This Row],[Cell_ID]],'Registre_Maintenance'!B:B,'Registre_Maintenance'!C:C,"Pas de correspondance")</f>
        <v>Pas de correspondance</v>
      </c>
      <c r="H925" t="str">
        <f>_xlfn.XLOOKUP(Logs__2[[#This Row],[Cell_ID]],'Registre_Maintenance'!B:B,'Registre_Maintenance'!D:D,"Pas de correspondance")</f>
        <v>Pas de correspondance</v>
      </c>
      <c r="I925" t="str">
        <f>_xlfn.XLOOKUP(Logs__2[[#This Row],[Cell_ID]],'Registre_Maintenance'!B:B,'Registre_Maintenance'!E:E,"Pas de correspondance")</f>
        <v>Pas de correspondance</v>
      </c>
      <c r="J925" t="str">
        <f>_xlfn.XLOOKUP(Logs__2[[#This Row],[Cell_ID]],'Registre_Maintenance'!B:B,'Registre_Maintenance'!F:F,"Pas de correspondance")</f>
        <v>Pas de correspondance</v>
      </c>
      <c r="K925" t="str">
        <f>_xlfn.XLOOKUP(Logs__2[[#This Row],[Cell_ID]],'Registre_Maintenance'!B:B,'Registre_Maintenance'!G:G,"Pas de correspondance")</f>
        <v>Pas de correspondance</v>
      </c>
    </row>
    <row r="926" spans="1:11" hidden="1" x14ac:dyDescent="0.25">
      <c r="A926" s="1" t="s">
        <v>1421</v>
      </c>
      <c r="B926" s="2">
        <v>45203</v>
      </c>
      <c r="C926" s="3">
        <v>0.89166666666666672</v>
      </c>
      <c r="D926" s="1" t="s">
        <v>977</v>
      </c>
      <c r="E926">
        <v>7</v>
      </c>
      <c r="F926" s="1" t="s">
        <v>809</v>
      </c>
      <c r="G926" t="str">
        <f>_xlfn.XLOOKUP(Logs__2[[#This Row],[Cell_ID]],'Registre_Maintenance'!B:B,'Registre_Maintenance'!C:C,"Pas de correspondance")</f>
        <v>Pas de correspondance</v>
      </c>
      <c r="H926" t="str">
        <f>_xlfn.XLOOKUP(Logs__2[[#This Row],[Cell_ID]],'Registre_Maintenance'!B:B,'Registre_Maintenance'!D:D,"Pas de correspondance")</f>
        <v>Pas de correspondance</v>
      </c>
      <c r="I926" t="str">
        <f>_xlfn.XLOOKUP(Logs__2[[#This Row],[Cell_ID]],'Registre_Maintenance'!B:B,'Registre_Maintenance'!E:E,"Pas de correspondance")</f>
        <v>Pas de correspondance</v>
      </c>
      <c r="J926" t="str">
        <f>_xlfn.XLOOKUP(Logs__2[[#This Row],[Cell_ID]],'Registre_Maintenance'!B:B,'Registre_Maintenance'!F:F,"Pas de correspondance")</f>
        <v>Pas de correspondance</v>
      </c>
      <c r="K926" t="str">
        <f>_xlfn.XLOOKUP(Logs__2[[#This Row],[Cell_ID]],'Registre_Maintenance'!B:B,'Registre_Maintenance'!G:G,"Pas de correspondance")</f>
        <v>Pas de correspondance</v>
      </c>
    </row>
    <row r="927" spans="1:11" hidden="1" x14ac:dyDescent="0.25">
      <c r="A927" s="1" t="s">
        <v>1421</v>
      </c>
      <c r="B927" s="2">
        <v>45216</v>
      </c>
      <c r="C927" s="3">
        <v>0.39305555555555555</v>
      </c>
      <c r="D927" s="1" t="s">
        <v>1427</v>
      </c>
      <c r="E927">
        <v>34</v>
      </c>
      <c r="F927" s="1" t="s">
        <v>811</v>
      </c>
      <c r="G927" t="str">
        <f>_xlfn.XLOOKUP(Logs__2[[#This Row],[Cell_ID]],'Registre_Maintenance'!B:B,'Registre_Maintenance'!C:C,"Pas de correspondance")</f>
        <v>Pas de correspondance</v>
      </c>
      <c r="H927" t="str">
        <f>_xlfn.XLOOKUP(Logs__2[[#This Row],[Cell_ID]],'Registre_Maintenance'!B:B,'Registre_Maintenance'!D:D,"Pas de correspondance")</f>
        <v>Pas de correspondance</v>
      </c>
      <c r="I927" t="str">
        <f>_xlfn.XLOOKUP(Logs__2[[#This Row],[Cell_ID]],'Registre_Maintenance'!B:B,'Registre_Maintenance'!E:E,"Pas de correspondance")</f>
        <v>Pas de correspondance</v>
      </c>
      <c r="J927" t="str">
        <f>_xlfn.XLOOKUP(Logs__2[[#This Row],[Cell_ID]],'Registre_Maintenance'!B:B,'Registre_Maintenance'!F:F,"Pas de correspondance")</f>
        <v>Pas de correspondance</v>
      </c>
      <c r="K927" t="str">
        <f>_xlfn.XLOOKUP(Logs__2[[#This Row],[Cell_ID]],'Registre_Maintenance'!B:B,'Registre_Maintenance'!G:G,"Pas de correspondance")</f>
        <v>Pas de correspondance</v>
      </c>
    </row>
    <row r="928" spans="1:11" x14ac:dyDescent="0.25">
      <c r="A928" s="1" t="s">
        <v>1421</v>
      </c>
      <c r="B928" s="2">
        <v>45201</v>
      </c>
      <c r="C928" s="3">
        <v>0.17222222222222222</v>
      </c>
      <c r="D928" s="1" t="s">
        <v>1428</v>
      </c>
      <c r="E928">
        <v>33</v>
      </c>
      <c r="F928" s="1" t="s">
        <v>811</v>
      </c>
      <c r="G928" t="str">
        <f>_xlfn.XLOOKUP(Logs__2[[#This Row],[Cell_ID]],'Registre_Maintenance'!B:B,'Registre_Maintenance'!C:C,"Pas de correspondance")</f>
        <v>Nord-Ubangi</v>
      </c>
      <c r="H928">
        <f>_xlfn.XLOOKUP(Logs__2[[#This Row],[Cell_ID]],'Registre_Maintenance'!B:B,'Registre_Maintenance'!D:D,"Pas de correspondance")</f>
        <v>-7.9987219999999999</v>
      </c>
      <c r="I928">
        <f>_xlfn.XLOOKUP(Logs__2[[#This Row],[Cell_ID]],'Registre_Maintenance'!B:B,'Registre_Maintenance'!E:E,"Pas de correspondance")</f>
        <v>12.779335</v>
      </c>
      <c r="J928" t="str">
        <f>_xlfn.XLOOKUP(Logs__2[[#This Row],[Cell_ID]],'Registre_Maintenance'!B:B,'Registre_Maintenance'!F:F,"Pas de correspondance")</f>
        <v>5G</v>
      </c>
      <c r="K928" t="str">
        <f>_xlfn.XLOOKUP(Logs__2[[#This Row],[Cell_ID]],'Registre_Maintenance'!B:B,'Registre_Maintenance'!G:G,"Pas de correspondance")</f>
        <v>Nokia</v>
      </c>
    </row>
    <row r="929" spans="1:11" hidden="1" x14ac:dyDescent="0.25">
      <c r="A929" s="1" t="s">
        <v>1421</v>
      </c>
      <c r="B929" s="2">
        <v>45206</v>
      </c>
      <c r="C929" s="3">
        <v>0.43472222222222223</v>
      </c>
      <c r="D929" s="1" t="s">
        <v>829</v>
      </c>
      <c r="E929">
        <v>98</v>
      </c>
      <c r="F929" s="1" t="s">
        <v>806</v>
      </c>
      <c r="G929" t="str">
        <f>_xlfn.XLOOKUP(Logs__2[[#This Row],[Cell_ID]],'Registre_Maintenance'!B:B,'Registre_Maintenance'!C:C,"Pas de correspondance")</f>
        <v>Pas de correspondance</v>
      </c>
      <c r="H929" t="str">
        <f>_xlfn.XLOOKUP(Logs__2[[#This Row],[Cell_ID]],'Registre_Maintenance'!B:B,'Registre_Maintenance'!D:D,"Pas de correspondance")</f>
        <v>Pas de correspondance</v>
      </c>
      <c r="I929" t="str">
        <f>_xlfn.XLOOKUP(Logs__2[[#This Row],[Cell_ID]],'Registre_Maintenance'!B:B,'Registre_Maintenance'!E:E,"Pas de correspondance")</f>
        <v>Pas de correspondance</v>
      </c>
      <c r="J929" t="str">
        <f>_xlfn.XLOOKUP(Logs__2[[#This Row],[Cell_ID]],'Registre_Maintenance'!B:B,'Registre_Maintenance'!F:F,"Pas de correspondance")</f>
        <v>Pas de correspondance</v>
      </c>
      <c r="K929" t="str">
        <f>_xlfn.XLOOKUP(Logs__2[[#This Row],[Cell_ID]],'Registre_Maintenance'!B:B,'Registre_Maintenance'!G:G,"Pas de correspondance")</f>
        <v>Pas de correspondance</v>
      </c>
    </row>
    <row r="930" spans="1:11" x14ac:dyDescent="0.25">
      <c r="A930" s="1" t="s">
        <v>1421</v>
      </c>
      <c r="B930" s="2">
        <v>45218</v>
      </c>
      <c r="C930" s="3">
        <v>0.58958333333333335</v>
      </c>
      <c r="D930" s="1" t="s">
        <v>1322</v>
      </c>
      <c r="E930">
        <v>21</v>
      </c>
      <c r="F930" s="1" t="s">
        <v>806</v>
      </c>
      <c r="G930" t="str">
        <f>_xlfn.XLOOKUP(Logs__2[[#This Row],[Cell_ID]],'Registre_Maintenance'!B:B,'Registre_Maintenance'!C:C,"Pas de correspondance")</f>
        <v>Sud-Kivu</v>
      </c>
      <c r="H930">
        <f>_xlfn.XLOOKUP(Logs__2[[#This Row],[Cell_ID]],'Registre_Maintenance'!B:B,'Registre_Maintenance'!D:D,"Pas de correspondance")</f>
        <v>-11.514817000000001</v>
      </c>
      <c r="I930">
        <f>_xlfn.XLOOKUP(Logs__2[[#This Row],[Cell_ID]],'Registre_Maintenance'!B:B,'Registre_Maintenance'!E:E,"Pas de correspondance")</f>
        <v>24.891375</v>
      </c>
      <c r="J930" t="str">
        <f>_xlfn.XLOOKUP(Logs__2[[#This Row],[Cell_ID]],'Registre_Maintenance'!B:B,'Registre_Maintenance'!F:F,"Pas de correspondance")</f>
        <v>3G</v>
      </c>
      <c r="K930" t="str">
        <f>_xlfn.XLOOKUP(Logs__2[[#This Row],[Cell_ID]],'Registre_Maintenance'!B:B,'Registre_Maintenance'!G:G,"Pas de correspondance")</f>
        <v>Nokia</v>
      </c>
    </row>
    <row r="931" spans="1:11" hidden="1" x14ac:dyDescent="0.25">
      <c r="A931" s="1" t="s">
        <v>1421</v>
      </c>
      <c r="B931" s="2">
        <v>45210</v>
      </c>
      <c r="C931" s="3">
        <v>0.9243055555555556</v>
      </c>
      <c r="D931" s="1" t="s">
        <v>1429</v>
      </c>
      <c r="E931">
        <v>32</v>
      </c>
      <c r="F931" s="1" t="s">
        <v>809</v>
      </c>
      <c r="G931" t="str">
        <f>_xlfn.XLOOKUP(Logs__2[[#This Row],[Cell_ID]],'Registre_Maintenance'!B:B,'Registre_Maintenance'!C:C,"Pas de correspondance")</f>
        <v>Pas de correspondance</v>
      </c>
      <c r="H931" t="str">
        <f>_xlfn.XLOOKUP(Logs__2[[#This Row],[Cell_ID]],'Registre_Maintenance'!B:B,'Registre_Maintenance'!D:D,"Pas de correspondance")</f>
        <v>Pas de correspondance</v>
      </c>
      <c r="I931" t="str">
        <f>_xlfn.XLOOKUP(Logs__2[[#This Row],[Cell_ID]],'Registre_Maintenance'!B:B,'Registre_Maintenance'!E:E,"Pas de correspondance")</f>
        <v>Pas de correspondance</v>
      </c>
      <c r="J931" t="str">
        <f>_xlfn.XLOOKUP(Logs__2[[#This Row],[Cell_ID]],'Registre_Maintenance'!B:B,'Registre_Maintenance'!F:F,"Pas de correspondance")</f>
        <v>Pas de correspondance</v>
      </c>
      <c r="K931" t="str">
        <f>_xlfn.XLOOKUP(Logs__2[[#This Row],[Cell_ID]],'Registre_Maintenance'!B:B,'Registre_Maintenance'!G:G,"Pas de correspondance")</f>
        <v>Pas de correspondance</v>
      </c>
    </row>
    <row r="932" spans="1:11" x14ac:dyDescent="0.25">
      <c r="A932" s="1" t="s">
        <v>1421</v>
      </c>
      <c r="B932" s="2">
        <v>45224</v>
      </c>
      <c r="C932" s="3">
        <v>0.10486111111111111</v>
      </c>
      <c r="D932" s="1" t="s">
        <v>1430</v>
      </c>
      <c r="E932">
        <v>98</v>
      </c>
      <c r="F932" s="1" t="s">
        <v>811</v>
      </c>
      <c r="G932" t="str">
        <f>_xlfn.XLOOKUP(Logs__2[[#This Row],[Cell_ID]],'Registre_Maintenance'!B:B,'Registre_Maintenance'!C:C,"Pas de correspondance")</f>
        <v>Tanganyika</v>
      </c>
      <c r="H932">
        <f>_xlfn.XLOOKUP(Logs__2[[#This Row],[Cell_ID]],'Registre_Maintenance'!B:B,'Registre_Maintenance'!D:D,"Pas de correspondance")</f>
        <v>-7.0007840000000003</v>
      </c>
      <c r="I932">
        <f>_xlfn.XLOOKUP(Logs__2[[#This Row],[Cell_ID]],'Registre_Maintenance'!B:B,'Registre_Maintenance'!E:E,"Pas de correspondance")</f>
        <v>22.787997000000001</v>
      </c>
      <c r="J932" t="str">
        <f>_xlfn.XLOOKUP(Logs__2[[#This Row],[Cell_ID]],'Registre_Maintenance'!B:B,'Registre_Maintenance'!F:F,"Pas de correspondance")</f>
        <v>5G</v>
      </c>
      <c r="K932" t="str">
        <f>_xlfn.XLOOKUP(Logs__2[[#This Row],[Cell_ID]],'Registre_Maintenance'!B:B,'Registre_Maintenance'!G:G,"Pas de correspondance")</f>
        <v>ZTE</v>
      </c>
    </row>
    <row r="933" spans="1:11" hidden="1" x14ac:dyDescent="0.25">
      <c r="A933" s="1" t="s">
        <v>1421</v>
      </c>
      <c r="B933" s="2">
        <v>45210</v>
      </c>
      <c r="C933" s="3">
        <v>0.84097222222222223</v>
      </c>
      <c r="D933" s="1" t="s">
        <v>1010</v>
      </c>
      <c r="E933">
        <v>7</v>
      </c>
      <c r="F933" s="1" t="s">
        <v>806</v>
      </c>
      <c r="G933" t="str">
        <f>_xlfn.XLOOKUP(Logs__2[[#This Row],[Cell_ID]],'Registre_Maintenance'!B:B,'Registre_Maintenance'!C:C,"Pas de correspondance")</f>
        <v>Pas de correspondance</v>
      </c>
      <c r="H933" t="str">
        <f>_xlfn.XLOOKUP(Logs__2[[#This Row],[Cell_ID]],'Registre_Maintenance'!B:B,'Registre_Maintenance'!D:D,"Pas de correspondance")</f>
        <v>Pas de correspondance</v>
      </c>
      <c r="I933" t="str">
        <f>_xlfn.XLOOKUP(Logs__2[[#This Row],[Cell_ID]],'Registre_Maintenance'!B:B,'Registre_Maintenance'!E:E,"Pas de correspondance")</f>
        <v>Pas de correspondance</v>
      </c>
      <c r="J933" t="str">
        <f>_xlfn.XLOOKUP(Logs__2[[#This Row],[Cell_ID]],'Registre_Maintenance'!B:B,'Registre_Maintenance'!F:F,"Pas de correspondance")</f>
        <v>Pas de correspondance</v>
      </c>
      <c r="K933" t="str">
        <f>_xlfn.XLOOKUP(Logs__2[[#This Row],[Cell_ID]],'Registre_Maintenance'!B:B,'Registre_Maintenance'!G:G,"Pas de correspondance")</f>
        <v>Pas de correspondance</v>
      </c>
    </row>
    <row r="934" spans="1:11" hidden="1" x14ac:dyDescent="0.25">
      <c r="A934" s="1" t="s">
        <v>1421</v>
      </c>
      <c r="B934" s="2">
        <v>45210</v>
      </c>
      <c r="C934" s="3">
        <v>0.8354166666666667</v>
      </c>
      <c r="D934" s="1" t="s">
        <v>879</v>
      </c>
      <c r="E934">
        <v>80</v>
      </c>
      <c r="F934" s="1" t="s">
        <v>809</v>
      </c>
      <c r="G934" t="str">
        <f>_xlfn.XLOOKUP(Logs__2[[#This Row],[Cell_ID]],'Registre_Maintenance'!B:B,'Registre_Maintenance'!C:C,"Pas de correspondance")</f>
        <v>Pas de correspondance</v>
      </c>
      <c r="H934" t="str">
        <f>_xlfn.XLOOKUP(Logs__2[[#This Row],[Cell_ID]],'Registre_Maintenance'!B:B,'Registre_Maintenance'!D:D,"Pas de correspondance")</f>
        <v>Pas de correspondance</v>
      </c>
      <c r="I934" t="str">
        <f>_xlfn.XLOOKUP(Logs__2[[#This Row],[Cell_ID]],'Registre_Maintenance'!B:B,'Registre_Maintenance'!E:E,"Pas de correspondance")</f>
        <v>Pas de correspondance</v>
      </c>
      <c r="J934" t="str">
        <f>_xlfn.XLOOKUP(Logs__2[[#This Row],[Cell_ID]],'Registre_Maintenance'!B:B,'Registre_Maintenance'!F:F,"Pas de correspondance")</f>
        <v>Pas de correspondance</v>
      </c>
      <c r="K934" t="str">
        <f>_xlfn.XLOOKUP(Logs__2[[#This Row],[Cell_ID]],'Registre_Maintenance'!B:B,'Registre_Maintenance'!G:G,"Pas de correspondance")</f>
        <v>Pas de correspondance</v>
      </c>
    </row>
    <row r="935" spans="1:11" hidden="1" x14ac:dyDescent="0.25">
      <c r="A935" s="1" t="s">
        <v>1421</v>
      </c>
      <c r="B935" s="2">
        <v>45200</v>
      </c>
      <c r="C935" s="3">
        <v>0.59513888888888888</v>
      </c>
      <c r="D935" s="1" t="s">
        <v>1321</v>
      </c>
      <c r="E935">
        <v>69</v>
      </c>
      <c r="F935" s="1" t="s">
        <v>811</v>
      </c>
      <c r="G935" t="str">
        <f>_xlfn.XLOOKUP(Logs__2[[#This Row],[Cell_ID]],'Registre_Maintenance'!B:B,'Registre_Maintenance'!C:C,"Pas de correspondance")</f>
        <v>Pas de correspondance</v>
      </c>
      <c r="H935" t="str">
        <f>_xlfn.XLOOKUP(Logs__2[[#This Row],[Cell_ID]],'Registre_Maintenance'!B:B,'Registre_Maintenance'!D:D,"Pas de correspondance")</f>
        <v>Pas de correspondance</v>
      </c>
      <c r="I935" t="str">
        <f>_xlfn.XLOOKUP(Logs__2[[#This Row],[Cell_ID]],'Registre_Maintenance'!B:B,'Registre_Maintenance'!E:E,"Pas de correspondance")</f>
        <v>Pas de correspondance</v>
      </c>
      <c r="J935" t="str">
        <f>_xlfn.XLOOKUP(Logs__2[[#This Row],[Cell_ID]],'Registre_Maintenance'!B:B,'Registre_Maintenance'!F:F,"Pas de correspondance")</f>
        <v>Pas de correspondance</v>
      </c>
      <c r="K935" t="str">
        <f>_xlfn.XLOOKUP(Logs__2[[#This Row],[Cell_ID]],'Registre_Maintenance'!B:B,'Registre_Maintenance'!G:G,"Pas de correspondance")</f>
        <v>Pas de correspondance</v>
      </c>
    </row>
    <row r="936" spans="1:11" x14ac:dyDescent="0.25">
      <c r="A936" s="1" t="s">
        <v>1421</v>
      </c>
      <c r="B936" s="2">
        <v>45206</v>
      </c>
      <c r="C936" s="3">
        <v>0.23333333333333334</v>
      </c>
      <c r="D936" s="1" t="s">
        <v>1431</v>
      </c>
      <c r="E936">
        <v>26</v>
      </c>
      <c r="F936" s="1" t="s">
        <v>811</v>
      </c>
      <c r="G936" t="str">
        <f>_xlfn.XLOOKUP(Logs__2[[#This Row],[Cell_ID]],'Registre_Maintenance'!B:B,'Registre_Maintenance'!C:C,"Pas de correspondance")</f>
        <v>Mai-Ndombe</v>
      </c>
      <c r="H936">
        <f>_xlfn.XLOOKUP(Logs__2[[#This Row],[Cell_ID]],'Registre_Maintenance'!B:B,'Registre_Maintenance'!D:D,"Pas de correspondance")</f>
        <v>-4.6311460000000002</v>
      </c>
      <c r="I936">
        <f>_xlfn.XLOOKUP(Logs__2[[#This Row],[Cell_ID]],'Registre_Maintenance'!B:B,'Registre_Maintenance'!E:E,"Pas de correspondance")</f>
        <v>25.314723000000001</v>
      </c>
      <c r="J936" t="str">
        <f>_xlfn.XLOOKUP(Logs__2[[#This Row],[Cell_ID]],'Registre_Maintenance'!B:B,'Registre_Maintenance'!F:F,"Pas de correspondance")</f>
        <v>4G</v>
      </c>
      <c r="K936" t="str">
        <f>_xlfn.XLOOKUP(Logs__2[[#This Row],[Cell_ID]],'Registre_Maintenance'!B:B,'Registre_Maintenance'!G:G,"Pas de correspondance")</f>
        <v>Huawei</v>
      </c>
    </row>
    <row r="937" spans="1:11" x14ac:dyDescent="0.25">
      <c r="A937" s="1" t="s">
        <v>1421</v>
      </c>
      <c r="B937" s="2">
        <v>45224</v>
      </c>
      <c r="C937" s="3">
        <v>0.2298611111111111</v>
      </c>
      <c r="D937" s="1" t="s">
        <v>1432</v>
      </c>
      <c r="E937">
        <v>20</v>
      </c>
      <c r="F937" s="1" t="s">
        <v>806</v>
      </c>
      <c r="G937" t="str">
        <f>_xlfn.XLOOKUP(Logs__2[[#This Row],[Cell_ID]],'Registre_Maintenance'!B:B,'Registre_Maintenance'!C:C,"Pas de correspondance")</f>
        <v>Nord-Kivu</v>
      </c>
      <c r="H937">
        <f>_xlfn.XLOOKUP(Logs__2[[#This Row],[Cell_ID]],'Registre_Maintenance'!B:B,'Registre_Maintenance'!D:D,"Pas de correspondance")</f>
        <v>-10.298385</v>
      </c>
      <c r="I937">
        <f>_xlfn.XLOOKUP(Logs__2[[#This Row],[Cell_ID]],'Registre_Maintenance'!B:B,'Registre_Maintenance'!E:E,"Pas de correspondance")</f>
        <v>29.698117</v>
      </c>
      <c r="J937" t="str">
        <f>_xlfn.XLOOKUP(Logs__2[[#This Row],[Cell_ID]],'Registre_Maintenance'!B:B,'Registre_Maintenance'!F:F,"Pas de correspondance")</f>
        <v>5G</v>
      </c>
      <c r="K937" t="str">
        <f>_xlfn.XLOOKUP(Logs__2[[#This Row],[Cell_ID]],'Registre_Maintenance'!B:B,'Registre_Maintenance'!G:G,"Pas de correspondance")</f>
        <v>Nokia</v>
      </c>
    </row>
    <row r="938" spans="1:11" hidden="1" x14ac:dyDescent="0.25">
      <c r="A938" s="1" t="s">
        <v>1421</v>
      </c>
      <c r="B938" s="2">
        <v>45225</v>
      </c>
      <c r="C938" s="3">
        <v>8.8888888888888892E-2</v>
      </c>
      <c r="D938" s="1" t="s">
        <v>1433</v>
      </c>
      <c r="E938">
        <v>51</v>
      </c>
      <c r="F938" s="1" t="s">
        <v>806</v>
      </c>
      <c r="G938" t="str">
        <f>_xlfn.XLOOKUP(Logs__2[[#This Row],[Cell_ID]],'Registre_Maintenance'!B:B,'Registre_Maintenance'!C:C,"Pas de correspondance")</f>
        <v>Pas de correspondance</v>
      </c>
      <c r="H938" t="str">
        <f>_xlfn.XLOOKUP(Logs__2[[#This Row],[Cell_ID]],'Registre_Maintenance'!B:B,'Registre_Maintenance'!D:D,"Pas de correspondance")</f>
        <v>Pas de correspondance</v>
      </c>
      <c r="I938" t="str">
        <f>_xlfn.XLOOKUP(Logs__2[[#This Row],[Cell_ID]],'Registre_Maintenance'!B:B,'Registre_Maintenance'!E:E,"Pas de correspondance")</f>
        <v>Pas de correspondance</v>
      </c>
      <c r="J938" t="str">
        <f>_xlfn.XLOOKUP(Logs__2[[#This Row],[Cell_ID]],'Registre_Maintenance'!B:B,'Registre_Maintenance'!F:F,"Pas de correspondance")</f>
        <v>Pas de correspondance</v>
      </c>
      <c r="K938" t="str">
        <f>_xlfn.XLOOKUP(Logs__2[[#This Row],[Cell_ID]],'Registre_Maintenance'!B:B,'Registre_Maintenance'!G:G,"Pas de correspondance")</f>
        <v>Pas de correspondance</v>
      </c>
    </row>
    <row r="939" spans="1:11" x14ac:dyDescent="0.25">
      <c r="A939" s="1" t="s">
        <v>1421</v>
      </c>
      <c r="B939" s="2">
        <v>45219</v>
      </c>
      <c r="C939" s="3">
        <v>0.56944444444444442</v>
      </c>
      <c r="D939" s="1" t="s">
        <v>1361</v>
      </c>
      <c r="E939">
        <v>96</v>
      </c>
      <c r="F939" s="1" t="s">
        <v>806</v>
      </c>
      <c r="G939" t="str">
        <f>_xlfn.XLOOKUP(Logs__2[[#This Row],[Cell_ID]],'Registre_Maintenance'!B:B,'Registre_Maintenance'!C:C,"Pas de correspondance")</f>
        <v>Kongo-Central</v>
      </c>
      <c r="H939">
        <f>_xlfn.XLOOKUP(Logs__2[[#This Row],[Cell_ID]],'Registre_Maintenance'!B:B,'Registre_Maintenance'!D:D,"Pas de correspondance")</f>
        <v>-7.1587569999999996</v>
      </c>
      <c r="I939">
        <f>_xlfn.XLOOKUP(Logs__2[[#This Row],[Cell_ID]],'Registre_Maintenance'!B:B,'Registre_Maintenance'!E:E,"Pas de correspondance")</f>
        <v>18.975141000000001</v>
      </c>
      <c r="J939" t="str">
        <f>_xlfn.XLOOKUP(Logs__2[[#This Row],[Cell_ID]],'Registre_Maintenance'!B:B,'Registre_Maintenance'!F:F,"Pas de correspondance")</f>
        <v>5G</v>
      </c>
      <c r="K939" t="str">
        <f>_xlfn.XLOOKUP(Logs__2[[#This Row],[Cell_ID]],'Registre_Maintenance'!B:B,'Registre_Maintenance'!G:G,"Pas de correspondance")</f>
        <v>Ericsson</v>
      </c>
    </row>
    <row r="940" spans="1:11" x14ac:dyDescent="0.25">
      <c r="A940" s="1" t="s">
        <v>1421</v>
      </c>
      <c r="B940" s="2">
        <v>45213</v>
      </c>
      <c r="C940" s="3">
        <v>0.51875000000000004</v>
      </c>
      <c r="D940" s="1" t="s">
        <v>1346</v>
      </c>
      <c r="E940">
        <v>88</v>
      </c>
      <c r="F940" s="1" t="s">
        <v>809</v>
      </c>
      <c r="G940" t="str">
        <f>_xlfn.XLOOKUP(Logs__2[[#This Row],[Cell_ID]],'Registre_Maintenance'!B:B,'Registre_Maintenance'!C:C,"Pas de correspondance")</f>
        <v>Lomami</v>
      </c>
      <c r="H940">
        <f>_xlfn.XLOOKUP(Logs__2[[#This Row],[Cell_ID]],'Registre_Maintenance'!B:B,'Registre_Maintenance'!D:D,"Pas de correspondance")</f>
        <v>4.8265669999999998</v>
      </c>
      <c r="I940">
        <f>_xlfn.XLOOKUP(Logs__2[[#This Row],[Cell_ID]],'Registre_Maintenance'!B:B,'Registre_Maintenance'!E:E,"Pas de correspondance")</f>
        <v>28.535277000000001</v>
      </c>
      <c r="J940" t="str">
        <f>_xlfn.XLOOKUP(Logs__2[[#This Row],[Cell_ID]],'Registre_Maintenance'!B:B,'Registre_Maintenance'!F:F,"Pas de correspondance")</f>
        <v>3G</v>
      </c>
      <c r="K940" t="str">
        <f>_xlfn.XLOOKUP(Logs__2[[#This Row],[Cell_ID]],'Registre_Maintenance'!B:B,'Registre_Maintenance'!G:G,"Pas de correspondance")</f>
        <v>Huawei</v>
      </c>
    </row>
    <row r="941" spans="1:11" hidden="1" x14ac:dyDescent="0.25">
      <c r="A941" s="1" t="s">
        <v>1421</v>
      </c>
      <c r="B941" s="2">
        <v>45230</v>
      </c>
      <c r="C941" s="3">
        <v>0.64166666666666672</v>
      </c>
      <c r="D941" s="1" t="s">
        <v>1434</v>
      </c>
      <c r="E941">
        <v>106</v>
      </c>
      <c r="F941" s="1" t="s">
        <v>806</v>
      </c>
      <c r="G941" t="str">
        <f>_xlfn.XLOOKUP(Logs__2[[#This Row],[Cell_ID]],'Registre_Maintenance'!B:B,'Registre_Maintenance'!C:C,"Pas de correspondance")</f>
        <v>Pas de correspondance</v>
      </c>
      <c r="H941" t="str">
        <f>_xlfn.XLOOKUP(Logs__2[[#This Row],[Cell_ID]],'Registre_Maintenance'!B:B,'Registre_Maintenance'!D:D,"Pas de correspondance")</f>
        <v>Pas de correspondance</v>
      </c>
      <c r="I941" t="str">
        <f>_xlfn.XLOOKUP(Logs__2[[#This Row],[Cell_ID]],'Registre_Maintenance'!B:B,'Registre_Maintenance'!E:E,"Pas de correspondance")</f>
        <v>Pas de correspondance</v>
      </c>
      <c r="J941" t="str">
        <f>_xlfn.XLOOKUP(Logs__2[[#This Row],[Cell_ID]],'Registre_Maintenance'!B:B,'Registre_Maintenance'!F:F,"Pas de correspondance")</f>
        <v>Pas de correspondance</v>
      </c>
      <c r="K941" t="str">
        <f>_xlfn.XLOOKUP(Logs__2[[#This Row],[Cell_ID]],'Registre_Maintenance'!B:B,'Registre_Maintenance'!G:G,"Pas de correspondance")</f>
        <v>Pas de correspondance</v>
      </c>
    </row>
    <row r="942" spans="1:11" hidden="1" x14ac:dyDescent="0.25">
      <c r="A942" s="1" t="s">
        <v>1421</v>
      </c>
      <c r="B942" s="2">
        <v>45200</v>
      </c>
      <c r="C942" s="3">
        <v>6.5277777777777782E-2</v>
      </c>
      <c r="D942" s="1" t="s">
        <v>995</v>
      </c>
      <c r="E942">
        <v>9</v>
      </c>
      <c r="F942" s="1" t="s">
        <v>806</v>
      </c>
      <c r="G942" t="str">
        <f>_xlfn.XLOOKUP(Logs__2[[#This Row],[Cell_ID]],'Registre_Maintenance'!B:B,'Registre_Maintenance'!C:C,"Pas de correspondance")</f>
        <v>Pas de correspondance</v>
      </c>
      <c r="H942" t="str">
        <f>_xlfn.XLOOKUP(Logs__2[[#This Row],[Cell_ID]],'Registre_Maintenance'!B:B,'Registre_Maintenance'!D:D,"Pas de correspondance")</f>
        <v>Pas de correspondance</v>
      </c>
      <c r="I942" t="str">
        <f>_xlfn.XLOOKUP(Logs__2[[#This Row],[Cell_ID]],'Registre_Maintenance'!B:B,'Registre_Maintenance'!E:E,"Pas de correspondance")</f>
        <v>Pas de correspondance</v>
      </c>
      <c r="J942" t="str">
        <f>_xlfn.XLOOKUP(Logs__2[[#This Row],[Cell_ID]],'Registre_Maintenance'!B:B,'Registre_Maintenance'!F:F,"Pas de correspondance")</f>
        <v>Pas de correspondance</v>
      </c>
      <c r="K942" t="str">
        <f>_xlfn.XLOOKUP(Logs__2[[#This Row],[Cell_ID]],'Registre_Maintenance'!B:B,'Registre_Maintenance'!G:G,"Pas de correspondance")</f>
        <v>Pas de correspondance</v>
      </c>
    </row>
    <row r="943" spans="1:11" x14ac:dyDescent="0.25">
      <c r="A943" s="1" t="s">
        <v>1421</v>
      </c>
      <c r="B943" s="2">
        <v>45206</v>
      </c>
      <c r="C943" s="3">
        <v>0.97430555555555554</v>
      </c>
      <c r="D943" s="1" t="s">
        <v>1435</v>
      </c>
      <c r="E943">
        <v>53</v>
      </c>
      <c r="F943" s="1" t="s">
        <v>809</v>
      </c>
      <c r="G943" t="str">
        <f>_xlfn.XLOOKUP(Logs__2[[#This Row],[Cell_ID]],'Registre_Maintenance'!B:B,'Registre_Maintenance'!C:C,"Pas de correspondance")</f>
        <v>Haut-Katanga</v>
      </c>
      <c r="H943">
        <f>_xlfn.XLOOKUP(Logs__2[[#This Row],[Cell_ID]],'Registre_Maintenance'!B:B,'Registre_Maintenance'!D:D,"Pas de correspondance")</f>
        <v>-2.926736</v>
      </c>
      <c r="I943">
        <f>_xlfn.XLOOKUP(Logs__2[[#This Row],[Cell_ID]],'Registre_Maintenance'!B:B,'Registre_Maintenance'!E:E,"Pas de correspondance")</f>
        <v>18.170461</v>
      </c>
      <c r="J943" t="str">
        <f>_xlfn.XLOOKUP(Logs__2[[#This Row],[Cell_ID]],'Registre_Maintenance'!B:B,'Registre_Maintenance'!F:F,"Pas de correspondance")</f>
        <v>5G</v>
      </c>
      <c r="K943" t="str">
        <f>_xlfn.XLOOKUP(Logs__2[[#This Row],[Cell_ID]],'Registre_Maintenance'!B:B,'Registre_Maintenance'!G:G,"Pas de correspondance")</f>
        <v>Ericsson</v>
      </c>
    </row>
    <row r="944" spans="1:11" hidden="1" x14ac:dyDescent="0.25">
      <c r="A944" s="1" t="s">
        <v>1421</v>
      </c>
      <c r="B944" s="2">
        <v>45230</v>
      </c>
      <c r="C944" s="3">
        <v>3.9583333333333331E-2</v>
      </c>
      <c r="D944" s="1" t="s">
        <v>1348</v>
      </c>
      <c r="E944">
        <v>117</v>
      </c>
      <c r="F944" s="1" t="s">
        <v>809</v>
      </c>
      <c r="G944" t="str">
        <f>_xlfn.XLOOKUP(Logs__2[[#This Row],[Cell_ID]],'Registre_Maintenance'!B:B,'Registre_Maintenance'!C:C,"Pas de correspondance")</f>
        <v>Pas de correspondance</v>
      </c>
      <c r="H944" t="str">
        <f>_xlfn.XLOOKUP(Logs__2[[#This Row],[Cell_ID]],'Registre_Maintenance'!B:B,'Registre_Maintenance'!D:D,"Pas de correspondance")</f>
        <v>Pas de correspondance</v>
      </c>
      <c r="I944" t="str">
        <f>_xlfn.XLOOKUP(Logs__2[[#This Row],[Cell_ID]],'Registre_Maintenance'!B:B,'Registre_Maintenance'!E:E,"Pas de correspondance")</f>
        <v>Pas de correspondance</v>
      </c>
      <c r="J944" t="str">
        <f>_xlfn.XLOOKUP(Logs__2[[#This Row],[Cell_ID]],'Registre_Maintenance'!B:B,'Registre_Maintenance'!F:F,"Pas de correspondance")</f>
        <v>Pas de correspondance</v>
      </c>
      <c r="K944" t="str">
        <f>_xlfn.XLOOKUP(Logs__2[[#This Row],[Cell_ID]],'Registre_Maintenance'!B:B,'Registre_Maintenance'!G:G,"Pas de correspondance")</f>
        <v>Pas de correspondance</v>
      </c>
    </row>
    <row r="945" spans="1:11" hidden="1" x14ac:dyDescent="0.25">
      <c r="A945" s="1" t="s">
        <v>1421</v>
      </c>
      <c r="B945" s="2">
        <v>45210</v>
      </c>
      <c r="C945" s="3">
        <v>0.67500000000000004</v>
      </c>
      <c r="D945" s="1" t="s">
        <v>1018</v>
      </c>
      <c r="E945">
        <v>86</v>
      </c>
      <c r="F945" s="1" t="s">
        <v>811</v>
      </c>
      <c r="G945" t="str">
        <f>_xlfn.XLOOKUP(Logs__2[[#This Row],[Cell_ID]],'Registre_Maintenance'!B:B,'Registre_Maintenance'!C:C,"Pas de correspondance")</f>
        <v>Pas de correspondance</v>
      </c>
      <c r="H945" t="str">
        <f>_xlfn.XLOOKUP(Logs__2[[#This Row],[Cell_ID]],'Registre_Maintenance'!B:B,'Registre_Maintenance'!D:D,"Pas de correspondance")</f>
        <v>Pas de correspondance</v>
      </c>
      <c r="I945" t="str">
        <f>_xlfn.XLOOKUP(Logs__2[[#This Row],[Cell_ID]],'Registre_Maintenance'!B:B,'Registre_Maintenance'!E:E,"Pas de correspondance")</f>
        <v>Pas de correspondance</v>
      </c>
      <c r="J945" t="str">
        <f>_xlfn.XLOOKUP(Logs__2[[#This Row],[Cell_ID]],'Registre_Maintenance'!B:B,'Registre_Maintenance'!F:F,"Pas de correspondance")</f>
        <v>Pas de correspondance</v>
      </c>
      <c r="K945" t="str">
        <f>_xlfn.XLOOKUP(Logs__2[[#This Row],[Cell_ID]],'Registre_Maintenance'!B:B,'Registre_Maintenance'!G:G,"Pas de correspondance")</f>
        <v>Pas de correspondance</v>
      </c>
    </row>
    <row r="946" spans="1:11" hidden="1" x14ac:dyDescent="0.25">
      <c r="A946" s="1" t="s">
        <v>1421</v>
      </c>
      <c r="B946" s="2">
        <v>45220</v>
      </c>
      <c r="C946" s="3">
        <v>0.96875</v>
      </c>
      <c r="D946" s="1" t="s">
        <v>910</v>
      </c>
      <c r="E946">
        <v>103</v>
      </c>
      <c r="F946" s="1" t="s">
        <v>806</v>
      </c>
      <c r="G946" t="str">
        <f>_xlfn.XLOOKUP(Logs__2[[#This Row],[Cell_ID]],'Registre_Maintenance'!B:B,'Registre_Maintenance'!C:C,"Pas de correspondance")</f>
        <v>Pas de correspondance</v>
      </c>
      <c r="H946" t="str">
        <f>_xlfn.XLOOKUP(Logs__2[[#This Row],[Cell_ID]],'Registre_Maintenance'!B:B,'Registre_Maintenance'!D:D,"Pas de correspondance")</f>
        <v>Pas de correspondance</v>
      </c>
      <c r="I946" t="str">
        <f>_xlfn.XLOOKUP(Logs__2[[#This Row],[Cell_ID]],'Registre_Maintenance'!B:B,'Registre_Maintenance'!E:E,"Pas de correspondance")</f>
        <v>Pas de correspondance</v>
      </c>
      <c r="J946" t="str">
        <f>_xlfn.XLOOKUP(Logs__2[[#This Row],[Cell_ID]],'Registre_Maintenance'!B:B,'Registre_Maintenance'!F:F,"Pas de correspondance")</f>
        <v>Pas de correspondance</v>
      </c>
      <c r="K946" t="str">
        <f>_xlfn.XLOOKUP(Logs__2[[#This Row],[Cell_ID]],'Registre_Maintenance'!B:B,'Registre_Maintenance'!G:G,"Pas de correspondance")</f>
        <v>Pas de correspondance</v>
      </c>
    </row>
    <row r="947" spans="1:11" x14ac:dyDescent="0.25">
      <c r="A947" s="1" t="s">
        <v>1421</v>
      </c>
      <c r="B947" s="2">
        <v>45207</v>
      </c>
      <c r="C947" s="3">
        <v>0.9555555555555556</v>
      </c>
      <c r="D947" s="1" t="s">
        <v>1057</v>
      </c>
      <c r="E947">
        <v>73</v>
      </c>
      <c r="F947" s="1" t="s">
        <v>809</v>
      </c>
      <c r="G947" t="str">
        <f>_xlfn.XLOOKUP(Logs__2[[#This Row],[Cell_ID]],'Registre_Maintenance'!B:B,'Registre_Maintenance'!C:C,"Pas de correspondance")</f>
        <v>Haut-Katanga</v>
      </c>
      <c r="H947">
        <f>_xlfn.XLOOKUP(Logs__2[[#This Row],[Cell_ID]],'Registre_Maintenance'!B:B,'Registre_Maintenance'!D:D,"Pas de correspondance")</f>
        <v>2.016505</v>
      </c>
      <c r="I947">
        <f>_xlfn.XLOOKUP(Logs__2[[#This Row],[Cell_ID]],'Registre_Maintenance'!B:B,'Registre_Maintenance'!E:E,"Pas de correspondance")</f>
        <v>14.294164</v>
      </c>
      <c r="J947" t="str">
        <f>_xlfn.XLOOKUP(Logs__2[[#This Row],[Cell_ID]],'Registre_Maintenance'!B:B,'Registre_Maintenance'!F:F,"Pas de correspondance")</f>
        <v>5G</v>
      </c>
      <c r="K947" t="str">
        <f>_xlfn.XLOOKUP(Logs__2[[#This Row],[Cell_ID]],'Registre_Maintenance'!B:B,'Registre_Maintenance'!G:G,"Pas de correspondance")</f>
        <v>Huawei</v>
      </c>
    </row>
    <row r="948" spans="1:11" hidden="1" x14ac:dyDescent="0.25">
      <c r="A948" s="1" t="s">
        <v>1421</v>
      </c>
      <c r="B948" s="2">
        <v>45211</v>
      </c>
      <c r="C948" s="3">
        <v>0.38055555555555554</v>
      </c>
      <c r="D948" s="1" t="s">
        <v>1436</v>
      </c>
      <c r="E948">
        <v>84</v>
      </c>
      <c r="F948" s="1" t="s">
        <v>806</v>
      </c>
      <c r="G948" t="str">
        <f>_xlfn.XLOOKUP(Logs__2[[#This Row],[Cell_ID]],'Registre_Maintenance'!B:B,'Registre_Maintenance'!C:C,"Pas de correspondance")</f>
        <v>Pas de correspondance</v>
      </c>
      <c r="H948" t="str">
        <f>_xlfn.XLOOKUP(Logs__2[[#This Row],[Cell_ID]],'Registre_Maintenance'!B:B,'Registre_Maintenance'!D:D,"Pas de correspondance")</f>
        <v>Pas de correspondance</v>
      </c>
      <c r="I948" t="str">
        <f>_xlfn.XLOOKUP(Logs__2[[#This Row],[Cell_ID]],'Registre_Maintenance'!B:B,'Registre_Maintenance'!E:E,"Pas de correspondance")</f>
        <v>Pas de correspondance</v>
      </c>
      <c r="J948" t="str">
        <f>_xlfn.XLOOKUP(Logs__2[[#This Row],[Cell_ID]],'Registre_Maintenance'!B:B,'Registre_Maintenance'!F:F,"Pas de correspondance")</f>
        <v>Pas de correspondance</v>
      </c>
      <c r="K948" t="str">
        <f>_xlfn.XLOOKUP(Logs__2[[#This Row],[Cell_ID]],'Registre_Maintenance'!B:B,'Registre_Maintenance'!G:G,"Pas de correspondance")</f>
        <v>Pas de correspondance</v>
      </c>
    </row>
    <row r="949" spans="1:11" x14ac:dyDescent="0.25">
      <c r="A949" s="1" t="s">
        <v>1421</v>
      </c>
      <c r="B949" s="2">
        <v>45203</v>
      </c>
      <c r="C949" s="3">
        <v>0.52222222222222225</v>
      </c>
      <c r="D949" s="1" t="s">
        <v>1302</v>
      </c>
      <c r="E949">
        <v>11</v>
      </c>
      <c r="F949" s="1" t="s">
        <v>809</v>
      </c>
      <c r="G949" t="str">
        <f>_xlfn.XLOOKUP(Logs__2[[#This Row],[Cell_ID]],'Registre_Maintenance'!B:B,'Registre_Maintenance'!C:C,"Pas de correspondance")</f>
        <v>Kwilu</v>
      </c>
      <c r="H949">
        <f>_xlfn.XLOOKUP(Logs__2[[#This Row],[Cell_ID]],'Registre_Maintenance'!B:B,'Registre_Maintenance'!D:D,"Pas de correspondance")</f>
        <v>-7.402336</v>
      </c>
      <c r="I949">
        <f>_xlfn.XLOOKUP(Logs__2[[#This Row],[Cell_ID]],'Registre_Maintenance'!B:B,'Registre_Maintenance'!E:E,"Pas de correspondance")</f>
        <v>27.376697</v>
      </c>
      <c r="J949" t="str">
        <f>_xlfn.XLOOKUP(Logs__2[[#This Row],[Cell_ID]],'Registre_Maintenance'!B:B,'Registre_Maintenance'!F:F,"Pas de correspondance")</f>
        <v>4G</v>
      </c>
      <c r="K949" t="str">
        <f>_xlfn.XLOOKUP(Logs__2[[#This Row],[Cell_ID]],'Registre_Maintenance'!B:B,'Registre_Maintenance'!G:G,"Pas de correspondance")</f>
        <v>Huawei</v>
      </c>
    </row>
    <row r="950" spans="1:11" x14ac:dyDescent="0.25">
      <c r="A950" s="1" t="s">
        <v>1421</v>
      </c>
      <c r="B950" s="2">
        <v>45218</v>
      </c>
      <c r="C950" s="3">
        <v>0.38194444444444442</v>
      </c>
      <c r="D950" s="1" t="s">
        <v>813</v>
      </c>
      <c r="E950">
        <v>81</v>
      </c>
      <c r="F950" s="1" t="s">
        <v>809</v>
      </c>
      <c r="G950" t="str">
        <f>_xlfn.XLOOKUP(Logs__2[[#This Row],[Cell_ID]],'Registre_Maintenance'!B:B,'Registre_Maintenance'!C:C,"Pas de correspondance")</f>
        <v>Kongo-Central</v>
      </c>
      <c r="H950">
        <f>_xlfn.XLOOKUP(Logs__2[[#This Row],[Cell_ID]],'Registre_Maintenance'!B:B,'Registre_Maintenance'!D:D,"Pas de correspondance")</f>
        <v>-2.8211520000000001</v>
      </c>
      <c r="I950">
        <f>_xlfn.XLOOKUP(Logs__2[[#This Row],[Cell_ID]],'Registre_Maintenance'!B:B,'Registre_Maintenance'!E:E,"Pas de correspondance")</f>
        <v>20.651419000000001</v>
      </c>
      <c r="J950" t="str">
        <f>_xlfn.XLOOKUP(Logs__2[[#This Row],[Cell_ID]],'Registre_Maintenance'!B:B,'Registre_Maintenance'!F:F,"Pas de correspondance")</f>
        <v>5G</v>
      </c>
      <c r="K950" t="str">
        <f>_xlfn.XLOOKUP(Logs__2[[#This Row],[Cell_ID]],'Registre_Maintenance'!B:B,'Registre_Maintenance'!G:G,"Pas de correspondance")</f>
        <v>Ericsson</v>
      </c>
    </row>
    <row r="951" spans="1:11" hidden="1" x14ac:dyDescent="0.25">
      <c r="A951" s="1" t="s">
        <v>1421</v>
      </c>
      <c r="B951" s="2">
        <v>45202</v>
      </c>
      <c r="C951" s="3">
        <v>5.486111111111111E-2</v>
      </c>
      <c r="D951" s="1" t="s">
        <v>1080</v>
      </c>
      <c r="E951">
        <v>11</v>
      </c>
      <c r="F951" s="1" t="s">
        <v>806</v>
      </c>
      <c r="G951" t="str">
        <f>_xlfn.XLOOKUP(Logs__2[[#This Row],[Cell_ID]],'Registre_Maintenance'!B:B,'Registre_Maintenance'!C:C,"Pas de correspondance")</f>
        <v>Pas de correspondance</v>
      </c>
      <c r="H951" t="str">
        <f>_xlfn.XLOOKUP(Logs__2[[#This Row],[Cell_ID]],'Registre_Maintenance'!B:B,'Registre_Maintenance'!D:D,"Pas de correspondance")</f>
        <v>Pas de correspondance</v>
      </c>
      <c r="I951" t="str">
        <f>_xlfn.XLOOKUP(Logs__2[[#This Row],[Cell_ID]],'Registre_Maintenance'!B:B,'Registre_Maintenance'!E:E,"Pas de correspondance")</f>
        <v>Pas de correspondance</v>
      </c>
      <c r="J951" t="str">
        <f>_xlfn.XLOOKUP(Logs__2[[#This Row],[Cell_ID]],'Registre_Maintenance'!B:B,'Registre_Maintenance'!F:F,"Pas de correspondance")</f>
        <v>Pas de correspondance</v>
      </c>
      <c r="K951" t="str">
        <f>_xlfn.XLOOKUP(Logs__2[[#This Row],[Cell_ID]],'Registre_Maintenance'!B:B,'Registre_Maintenance'!G:G,"Pas de correspondance")</f>
        <v>Pas de correspondance</v>
      </c>
    </row>
    <row r="952" spans="1:11" x14ac:dyDescent="0.25">
      <c r="A952" s="1" t="s">
        <v>1421</v>
      </c>
      <c r="B952" s="2">
        <v>45230</v>
      </c>
      <c r="C952" s="3">
        <v>0.39513888888888887</v>
      </c>
      <c r="D952" s="1" t="s">
        <v>1437</v>
      </c>
      <c r="E952">
        <v>89</v>
      </c>
      <c r="F952" s="1" t="s">
        <v>811</v>
      </c>
      <c r="G952" t="str">
        <f>_xlfn.XLOOKUP(Logs__2[[#This Row],[Cell_ID]],'Registre_Maintenance'!B:B,'Registre_Maintenance'!C:C,"Pas de correspondance")</f>
        <v>Bas-Uele</v>
      </c>
      <c r="H952">
        <f>_xlfn.XLOOKUP(Logs__2[[#This Row],[Cell_ID]],'Registre_Maintenance'!B:B,'Registre_Maintenance'!D:D,"Pas de correspondance")</f>
        <v>-7.3952039999999997</v>
      </c>
      <c r="I952">
        <f>_xlfn.XLOOKUP(Logs__2[[#This Row],[Cell_ID]],'Registre_Maintenance'!B:B,'Registre_Maintenance'!E:E,"Pas de correspondance")</f>
        <v>21.651043999999999</v>
      </c>
      <c r="J952" t="str">
        <f>_xlfn.XLOOKUP(Logs__2[[#This Row],[Cell_ID]],'Registre_Maintenance'!B:B,'Registre_Maintenance'!F:F,"Pas de correspondance")</f>
        <v>4G</v>
      </c>
      <c r="K952" t="str">
        <f>_xlfn.XLOOKUP(Logs__2[[#This Row],[Cell_ID]],'Registre_Maintenance'!B:B,'Registre_Maintenance'!G:G,"Pas de correspondance")</f>
        <v>Huawei</v>
      </c>
    </row>
    <row r="953" spans="1:11" hidden="1" x14ac:dyDescent="0.25">
      <c r="A953" s="1" t="s">
        <v>1421</v>
      </c>
      <c r="B953" s="2">
        <v>45223</v>
      </c>
      <c r="C953" s="3">
        <v>0.69305555555555554</v>
      </c>
      <c r="D953" s="1" t="s">
        <v>1414</v>
      </c>
      <c r="E953">
        <v>18</v>
      </c>
      <c r="F953" s="1" t="s">
        <v>809</v>
      </c>
      <c r="G953" t="str">
        <f>_xlfn.XLOOKUP(Logs__2[[#This Row],[Cell_ID]],'Registre_Maintenance'!B:B,'Registre_Maintenance'!C:C,"Pas de correspondance")</f>
        <v>Pas de correspondance</v>
      </c>
      <c r="H953" t="str">
        <f>_xlfn.XLOOKUP(Logs__2[[#This Row],[Cell_ID]],'Registre_Maintenance'!B:B,'Registre_Maintenance'!D:D,"Pas de correspondance")</f>
        <v>Pas de correspondance</v>
      </c>
      <c r="I953" t="str">
        <f>_xlfn.XLOOKUP(Logs__2[[#This Row],[Cell_ID]],'Registre_Maintenance'!B:B,'Registre_Maintenance'!E:E,"Pas de correspondance")</f>
        <v>Pas de correspondance</v>
      </c>
      <c r="J953" t="str">
        <f>_xlfn.XLOOKUP(Logs__2[[#This Row],[Cell_ID]],'Registre_Maintenance'!B:B,'Registre_Maintenance'!F:F,"Pas de correspondance")</f>
        <v>Pas de correspondance</v>
      </c>
      <c r="K953" t="str">
        <f>_xlfn.XLOOKUP(Logs__2[[#This Row],[Cell_ID]],'Registre_Maintenance'!B:B,'Registre_Maintenance'!G:G,"Pas de correspondance")</f>
        <v>Pas de correspondance</v>
      </c>
    </row>
    <row r="954" spans="1:11" x14ac:dyDescent="0.25">
      <c r="A954" s="1" t="s">
        <v>1421</v>
      </c>
      <c r="B954" s="2">
        <v>45216</v>
      </c>
      <c r="C954" s="3">
        <v>0.43541666666666667</v>
      </c>
      <c r="D954" s="1" t="s">
        <v>1274</v>
      </c>
      <c r="E954">
        <v>88</v>
      </c>
      <c r="F954" s="1" t="s">
        <v>806</v>
      </c>
      <c r="G954" t="str">
        <f>_xlfn.XLOOKUP(Logs__2[[#This Row],[Cell_ID]],'Registre_Maintenance'!B:B,'Registre_Maintenance'!C:C,"Pas de correspondance")</f>
        <v>Maniema</v>
      </c>
      <c r="H954">
        <f>_xlfn.XLOOKUP(Logs__2[[#This Row],[Cell_ID]],'Registre_Maintenance'!B:B,'Registre_Maintenance'!D:D,"Pas de correspondance")</f>
        <v>1.938083</v>
      </c>
      <c r="I954">
        <f>_xlfn.XLOOKUP(Logs__2[[#This Row],[Cell_ID]],'Registre_Maintenance'!B:B,'Registre_Maintenance'!E:E,"Pas de correspondance")</f>
        <v>28.25281</v>
      </c>
      <c r="J954" t="str">
        <f>_xlfn.XLOOKUP(Logs__2[[#This Row],[Cell_ID]],'Registre_Maintenance'!B:B,'Registre_Maintenance'!F:F,"Pas de correspondance")</f>
        <v>4G</v>
      </c>
      <c r="K954" t="str">
        <f>_xlfn.XLOOKUP(Logs__2[[#This Row],[Cell_ID]],'Registre_Maintenance'!B:B,'Registre_Maintenance'!G:G,"Pas de correspondance")</f>
        <v>Nokia</v>
      </c>
    </row>
    <row r="955" spans="1:11" hidden="1" x14ac:dyDescent="0.25">
      <c r="A955" s="1" t="s">
        <v>1421</v>
      </c>
      <c r="B955" s="2">
        <v>45228</v>
      </c>
      <c r="C955" s="3">
        <v>0.88055555555555554</v>
      </c>
      <c r="D955" s="1" t="s">
        <v>1101</v>
      </c>
      <c r="E955">
        <v>112</v>
      </c>
      <c r="F955" s="1" t="s">
        <v>811</v>
      </c>
      <c r="G955" t="str">
        <f>_xlfn.XLOOKUP(Logs__2[[#This Row],[Cell_ID]],'Registre_Maintenance'!B:B,'Registre_Maintenance'!C:C,"Pas de correspondance")</f>
        <v>Pas de correspondance</v>
      </c>
      <c r="H955" t="str">
        <f>_xlfn.XLOOKUP(Logs__2[[#This Row],[Cell_ID]],'Registre_Maintenance'!B:B,'Registre_Maintenance'!D:D,"Pas de correspondance")</f>
        <v>Pas de correspondance</v>
      </c>
      <c r="I955" t="str">
        <f>_xlfn.XLOOKUP(Logs__2[[#This Row],[Cell_ID]],'Registre_Maintenance'!B:B,'Registre_Maintenance'!E:E,"Pas de correspondance")</f>
        <v>Pas de correspondance</v>
      </c>
      <c r="J955" t="str">
        <f>_xlfn.XLOOKUP(Logs__2[[#This Row],[Cell_ID]],'Registre_Maintenance'!B:B,'Registre_Maintenance'!F:F,"Pas de correspondance")</f>
        <v>Pas de correspondance</v>
      </c>
      <c r="K955" t="str">
        <f>_xlfn.XLOOKUP(Logs__2[[#This Row],[Cell_ID]],'Registre_Maintenance'!B:B,'Registre_Maintenance'!G:G,"Pas de correspondance")</f>
        <v>Pas de correspondance</v>
      </c>
    </row>
    <row r="956" spans="1:11" x14ac:dyDescent="0.25">
      <c r="A956" s="1" t="s">
        <v>1438</v>
      </c>
      <c r="B956" s="2">
        <v>45211</v>
      </c>
      <c r="C956" s="3">
        <v>0.88888888888888884</v>
      </c>
      <c r="D956" s="1" t="s">
        <v>1215</v>
      </c>
      <c r="E956">
        <v>87</v>
      </c>
      <c r="F956" s="1" t="s">
        <v>809</v>
      </c>
      <c r="G956" t="str">
        <f>_xlfn.XLOOKUP(Logs__2[[#This Row],[Cell_ID]],'Registre_Maintenance'!B:B,'Registre_Maintenance'!C:C,"Pas de correspondance")</f>
        <v>Haut-Uele</v>
      </c>
      <c r="H956">
        <f>_xlfn.XLOOKUP(Logs__2[[#This Row],[Cell_ID]],'Registre_Maintenance'!B:B,'Registre_Maintenance'!D:D,"Pas de correspondance")</f>
        <v>-7.1483749999999997</v>
      </c>
      <c r="I956">
        <f>_xlfn.XLOOKUP(Logs__2[[#This Row],[Cell_ID]],'Registre_Maintenance'!B:B,'Registre_Maintenance'!E:E,"Pas de correspondance")</f>
        <v>26.014271000000001</v>
      </c>
      <c r="J956" t="str">
        <f>_xlfn.XLOOKUP(Logs__2[[#This Row],[Cell_ID]],'Registre_Maintenance'!B:B,'Registre_Maintenance'!F:F,"Pas de correspondance")</f>
        <v>5G</v>
      </c>
      <c r="K956" t="str">
        <f>_xlfn.XLOOKUP(Logs__2[[#This Row],[Cell_ID]],'Registre_Maintenance'!B:B,'Registre_Maintenance'!G:G,"Pas de correspondance")</f>
        <v>Huawei</v>
      </c>
    </row>
    <row r="957" spans="1:11" hidden="1" x14ac:dyDescent="0.25">
      <c r="A957" s="1" t="s">
        <v>1438</v>
      </c>
      <c r="B957" s="2">
        <v>45213</v>
      </c>
      <c r="C957" s="3">
        <v>0.96319444444444446</v>
      </c>
      <c r="D957" s="1" t="s">
        <v>1439</v>
      </c>
      <c r="E957">
        <v>25</v>
      </c>
      <c r="F957" s="1" t="s">
        <v>809</v>
      </c>
      <c r="G957" t="str">
        <f>_xlfn.XLOOKUP(Logs__2[[#This Row],[Cell_ID]],'Registre_Maintenance'!B:B,'Registre_Maintenance'!C:C,"Pas de correspondance")</f>
        <v>Pas de correspondance</v>
      </c>
      <c r="H957" t="str">
        <f>_xlfn.XLOOKUP(Logs__2[[#This Row],[Cell_ID]],'Registre_Maintenance'!B:B,'Registre_Maintenance'!D:D,"Pas de correspondance")</f>
        <v>Pas de correspondance</v>
      </c>
      <c r="I957" t="str">
        <f>_xlfn.XLOOKUP(Logs__2[[#This Row],[Cell_ID]],'Registre_Maintenance'!B:B,'Registre_Maintenance'!E:E,"Pas de correspondance")</f>
        <v>Pas de correspondance</v>
      </c>
      <c r="J957" t="str">
        <f>_xlfn.XLOOKUP(Logs__2[[#This Row],[Cell_ID]],'Registre_Maintenance'!B:B,'Registre_Maintenance'!F:F,"Pas de correspondance")</f>
        <v>Pas de correspondance</v>
      </c>
      <c r="K957" t="str">
        <f>_xlfn.XLOOKUP(Logs__2[[#This Row],[Cell_ID]],'Registre_Maintenance'!B:B,'Registre_Maintenance'!G:G,"Pas de correspondance")</f>
        <v>Pas de correspondance</v>
      </c>
    </row>
    <row r="958" spans="1:11" x14ac:dyDescent="0.25">
      <c r="A958" s="1" t="s">
        <v>1438</v>
      </c>
      <c r="B958" s="2">
        <v>45203</v>
      </c>
      <c r="C958" s="3">
        <v>4.1666666666666664E-2</v>
      </c>
      <c r="D958" s="1" t="s">
        <v>1127</v>
      </c>
      <c r="E958">
        <v>69</v>
      </c>
      <c r="F958" s="1" t="s">
        <v>811</v>
      </c>
      <c r="G958" t="str">
        <f>_xlfn.XLOOKUP(Logs__2[[#This Row],[Cell_ID]],'Registre_Maintenance'!B:B,'Registre_Maintenance'!C:C,"Pas de correspondance")</f>
        <v>Bas-Uele</v>
      </c>
      <c r="H958">
        <f>_xlfn.XLOOKUP(Logs__2[[#This Row],[Cell_ID]],'Registre_Maintenance'!B:B,'Registre_Maintenance'!D:D,"Pas de correspondance")</f>
        <v>-2.2876210000000001</v>
      </c>
      <c r="I958">
        <f>_xlfn.XLOOKUP(Logs__2[[#This Row],[Cell_ID]],'Registre_Maintenance'!B:B,'Registre_Maintenance'!E:E,"Pas de correspondance")</f>
        <v>27.582545</v>
      </c>
      <c r="J958" t="str">
        <f>_xlfn.XLOOKUP(Logs__2[[#This Row],[Cell_ID]],'Registre_Maintenance'!B:B,'Registre_Maintenance'!F:F,"Pas de correspondance")</f>
        <v>4G</v>
      </c>
      <c r="K958" t="str">
        <f>_xlfn.XLOOKUP(Logs__2[[#This Row],[Cell_ID]],'Registre_Maintenance'!B:B,'Registre_Maintenance'!G:G,"Pas de correspondance")</f>
        <v>Huawei</v>
      </c>
    </row>
    <row r="959" spans="1:11" hidden="1" x14ac:dyDescent="0.25">
      <c r="A959" s="1" t="s">
        <v>1438</v>
      </c>
      <c r="B959" s="2">
        <v>45227</v>
      </c>
      <c r="C959" s="3">
        <v>0.19583333333333333</v>
      </c>
      <c r="D959" s="1" t="s">
        <v>981</v>
      </c>
      <c r="E959">
        <v>113</v>
      </c>
      <c r="F959" s="1" t="s">
        <v>809</v>
      </c>
      <c r="G959" t="str">
        <f>_xlfn.XLOOKUP(Logs__2[[#This Row],[Cell_ID]],'Registre_Maintenance'!B:B,'Registre_Maintenance'!C:C,"Pas de correspondance")</f>
        <v>Pas de correspondance</v>
      </c>
      <c r="H959" t="str">
        <f>_xlfn.XLOOKUP(Logs__2[[#This Row],[Cell_ID]],'Registre_Maintenance'!B:B,'Registre_Maintenance'!D:D,"Pas de correspondance")</f>
        <v>Pas de correspondance</v>
      </c>
      <c r="I959" t="str">
        <f>_xlfn.XLOOKUP(Logs__2[[#This Row],[Cell_ID]],'Registre_Maintenance'!B:B,'Registre_Maintenance'!E:E,"Pas de correspondance")</f>
        <v>Pas de correspondance</v>
      </c>
      <c r="J959" t="str">
        <f>_xlfn.XLOOKUP(Logs__2[[#This Row],[Cell_ID]],'Registre_Maintenance'!B:B,'Registre_Maintenance'!F:F,"Pas de correspondance")</f>
        <v>Pas de correspondance</v>
      </c>
      <c r="K959" t="str">
        <f>_xlfn.XLOOKUP(Logs__2[[#This Row],[Cell_ID]],'Registre_Maintenance'!B:B,'Registre_Maintenance'!G:G,"Pas de correspondance")</f>
        <v>Pas de correspondance</v>
      </c>
    </row>
    <row r="960" spans="1:11" hidden="1" x14ac:dyDescent="0.25">
      <c r="A960" s="1" t="s">
        <v>1438</v>
      </c>
      <c r="B960" s="2">
        <v>45220</v>
      </c>
      <c r="C960" s="3">
        <v>0.22291666666666668</v>
      </c>
      <c r="D960" s="1" t="s">
        <v>1347</v>
      </c>
      <c r="E960">
        <v>65</v>
      </c>
      <c r="F960" s="1" t="s">
        <v>811</v>
      </c>
      <c r="G960" t="str">
        <f>_xlfn.XLOOKUP(Logs__2[[#This Row],[Cell_ID]],'Registre_Maintenance'!B:B,'Registre_Maintenance'!C:C,"Pas de correspondance")</f>
        <v>Pas de correspondance</v>
      </c>
      <c r="H960" t="str">
        <f>_xlfn.XLOOKUP(Logs__2[[#This Row],[Cell_ID]],'Registre_Maintenance'!B:B,'Registre_Maintenance'!D:D,"Pas de correspondance")</f>
        <v>Pas de correspondance</v>
      </c>
      <c r="I960" t="str">
        <f>_xlfn.XLOOKUP(Logs__2[[#This Row],[Cell_ID]],'Registre_Maintenance'!B:B,'Registre_Maintenance'!E:E,"Pas de correspondance")</f>
        <v>Pas de correspondance</v>
      </c>
      <c r="J960" t="str">
        <f>_xlfn.XLOOKUP(Logs__2[[#This Row],[Cell_ID]],'Registre_Maintenance'!B:B,'Registre_Maintenance'!F:F,"Pas de correspondance")</f>
        <v>Pas de correspondance</v>
      </c>
      <c r="K960" t="str">
        <f>_xlfn.XLOOKUP(Logs__2[[#This Row],[Cell_ID]],'Registre_Maintenance'!B:B,'Registre_Maintenance'!G:G,"Pas de correspondance")</f>
        <v>Pas de correspondance</v>
      </c>
    </row>
    <row r="961" spans="1:11" x14ac:dyDescent="0.25">
      <c r="A961" s="1" t="s">
        <v>1438</v>
      </c>
      <c r="B961" s="2">
        <v>45211</v>
      </c>
      <c r="C961" s="3">
        <v>0.61041666666666672</v>
      </c>
      <c r="D961" s="1" t="s">
        <v>887</v>
      </c>
      <c r="E961">
        <v>114</v>
      </c>
      <c r="F961" s="1" t="s">
        <v>806</v>
      </c>
      <c r="G961" t="str">
        <f>_xlfn.XLOOKUP(Logs__2[[#This Row],[Cell_ID]],'Registre_Maintenance'!B:B,'Registre_Maintenance'!C:C,"Pas de correspondance")</f>
        <v>Ituri</v>
      </c>
      <c r="H961">
        <f>_xlfn.XLOOKUP(Logs__2[[#This Row],[Cell_ID]],'Registre_Maintenance'!B:B,'Registre_Maintenance'!D:D,"Pas de correspondance")</f>
        <v>-7.0076900000000002</v>
      </c>
      <c r="I961">
        <f>_xlfn.XLOOKUP(Logs__2[[#This Row],[Cell_ID]],'Registre_Maintenance'!B:B,'Registre_Maintenance'!E:E,"Pas de correspondance")</f>
        <v>27.367121999999998</v>
      </c>
      <c r="J961" t="str">
        <f>_xlfn.XLOOKUP(Logs__2[[#This Row],[Cell_ID]],'Registre_Maintenance'!B:B,'Registre_Maintenance'!F:F,"Pas de correspondance")</f>
        <v>3G</v>
      </c>
      <c r="K961" t="str">
        <f>_xlfn.XLOOKUP(Logs__2[[#This Row],[Cell_ID]],'Registre_Maintenance'!B:B,'Registre_Maintenance'!G:G,"Pas de correspondance")</f>
        <v>Nokia</v>
      </c>
    </row>
    <row r="962" spans="1:11" x14ac:dyDescent="0.25">
      <c r="A962" s="1" t="s">
        <v>1438</v>
      </c>
      <c r="B962" s="2">
        <v>45208</v>
      </c>
      <c r="C962" s="3">
        <v>0.96180555555555558</v>
      </c>
      <c r="D962" s="1" t="s">
        <v>1440</v>
      </c>
      <c r="E962">
        <v>68</v>
      </c>
      <c r="F962" s="1" t="s">
        <v>806</v>
      </c>
      <c r="G962" t="str">
        <f>_xlfn.XLOOKUP(Logs__2[[#This Row],[Cell_ID]],'Registre_Maintenance'!B:B,'Registre_Maintenance'!C:C,"Pas de correspondance")</f>
        <v>Bas-Uele</v>
      </c>
      <c r="H962">
        <f>_xlfn.XLOOKUP(Logs__2[[#This Row],[Cell_ID]],'Registre_Maintenance'!B:B,'Registre_Maintenance'!D:D,"Pas de correspondance")</f>
        <v>-2.3269820000000001</v>
      </c>
      <c r="I962">
        <f>_xlfn.XLOOKUP(Logs__2[[#This Row],[Cell_ID]],'Registre_Maintenance'!B:B,'Registre_Maintenance'!E:E,"Pas de correspondance")</f>
        <v>14.609259</v>
      </c>
      <c r="J962" t="str">
        <f>_xlfn.XLOOKUP(Logs__2[[#This Row],[Cell_ID]],'Registre_Maintenance'!B:B,'Registre_Maintenance'!F:F,"Pas de correspondance")</f>
        <v>3G</v>
      </c>
      <c r="K962" t="str">
        <f>_xlfn.XLOOKUP(Logs__2[[#This Row],[Cell_ID]],'Registre_Maintenance'!B:B,'Registre_Maintenance'!G:G,"Pas de correspondance")</f>
        <v>Nokia</v>
      </c>
    </row>
    <row r="963" spans="1:11" x14ac:dyDescent="0.25">
      <c r="A963" s="1" t="s">
        <v>1438</v>
      </c>
      <c r="B963" s="2">
        <v>45211</v>
      </c>
      <c r="C963" s="3">
        <v>0.42430555555555555</v>
      </c>
      <c r="D963" s="1" t="s">
        <v>1001</v>
      </c>
      <c r="E963">
        <v>116</v>
      </c>
      <c r="F963" s="1" t="s">
        <v>809</v>
      </c>
      <c r="G963" t="str">
        <f>_xlfn.XLOOKUP(Logs__2[[#This Row],[Cell_ID]],'Registre_Maintenance'!B:B,'Registre_Maintenance'!C:C,"Pas de correspondance")</f>
        <v>Nord-Kivu</v>
      </c>
      <c r="H963">
        <f>_xlfn.XLOOKUP(Logs__2[[#This Row],[Cell_ID]],'Registre_Maintenance'!B:B,'Registre_Maintenance'!D:D,"Pas de correspondance")</f>
        <v>-1.8555980000000001</v>
      </c>
      <c r="I963">
        <f>_xlfn.XLOOKUP(Logs__2[[#This Row],[Cell_ID]],'Registre_Maintenance'!B:B,'Registre_Maintenance'!E:E,"Pas de correspondance")</f>
        <v>30.421918000000002</v>
      </c>
      <c r="J963" t="str">
        <f>_xlfn.XLOOKUP(Logs__2[[#This Row],[Cell_ID]],'Registre_Maintenance'!B:B,'Registre_Maintenance'!F:F,"Pas de correspondance")</f>
        <v>3G</v>
      </c>
      <c r="K963" t="str">
        <f>_xlfn.XLOOKUP(Logs__2[[#This Row],[Cell_ID]],'Registre_Maintenance'!B:B,'Registre_Maintenance'!G:G,"Pas de correspondance")</f>
        <v>ZTE</v>
      </c>
    </row>
    <row r="964" spans="1:11" x14ac:dyDescent="0.25">
      <c r="A964" s="1" t="s">
        <v>1438</v>
      </c>
      <c r="B964" s="2">
        <v>45203</v>
      </c>
      <c r="C964" s="3">
        <v>0.51736111111111116</v>
      </c>
      <c r="D964" s="1" t="s">
        <v>837</v>
      </c>
      <c r="E964">
        <v>26</v>
      </c>
      <c r="F964" s="1" t="s">
        <v>806</v>
      </c>
      <c r="G964" t="str">
        <f>_xlfn.XLOOKUP(Logs__2[[#This Row],[Cell_ID]],'Registre_Maintenance'!B:B,'Registre_Maintenance'!C:C,"Pas de correspondance")</f>
        <v>Nord-Ubangi</v>
      </c>
      <c r="H964">
        <f>_xlfn.XLOOKUP(Logs__2[[#This Row],[Cell_ID]],'Registre_Maintenance'!B:B,'Registre_Maintenance'!D:D,"Pas de correspondance")</f>
        <v>-8.1437910000000002</v>
      </c>
      <c r="I964">
        <f>_xlfn.XLOOKUP(Logs__2[[#This Row],[Cell_ID]],'Registre_Maintenance'!B:B,'Registre_Maintenance'!E:E,"Pas de correspondance")</f>
        <v>28.946161</v>
      </c>
      <c r="J964" t="str">
        <f>_xlfn.XLOOKUP(Logs__2[[#This Row],[Cell_ID]],'Registre_Maintenance'!B:B,'Registre_Maintenance'!F:F,"Pas de correspondance")</f>
        <v>4G</v>
      </c>
      <c r="K964" t="str">
        <f>_xlfn.XLOOKUP(Logs__2[[#This Row],[Cell_ID]],'Registre_Maintenance'!B:B,'Registre_Maintenance'!G:G,"Pas de correspondance")</f>
        <v>ZTE</v>
      </c>
    </row>
    <row r="965" spans="1:11" x14ac:dyDescent="0.25">
      <c r="A965" s="1" t="s">
        <v>1438</v>
      </c>
      <c r="B965" s="2">
        <v>45230</v>
      </c>
      <c r="C965" s="3">
        <v>0.59513888888888888</v>
      </c>
      <c r="D965" s="1" t="s">
        <v>1441</v>
      </c>
      <c r="E965">
        <v>14</v>
      </c>
      <c r="F965" s="1" t="s">
        <v>806</v>
      </c>
      <c r="G965" t="str">
        <f>_xlfn.XLOOKUP(Logs__2[[#This Row],[Cell_ID]],'Registre_Maintenance'!B:B,'Registre_Maintenance'!C:C,"Pas de correspondance")</f>
        <v>Kinshasa</v>
      </c>
      <c r="H965">
        <f>_xlfn.XLOOKUP(Logs__2[[#This Row],[Cell_ID]],'Registre_Maintenance'!B:B,'Registre_Maintenance'!D:D,"Pas de correspondance")</f>
        <v>-7.1079169999999996</v>
      </c>
      <c r="I965">
        <f>_xlfn.XLOOKUP(Logs__2[[#This Row],[Cell_ID]],'Registre_Maintenance'!B:B,'Registre_Maintenance'!E:E,"Pas de correspondance")</f>
        <v>13.636272</v>
      </c>
      <c r="J965" t="str">
        <f>_xlfn.XLOOKUP(Logs__2[[#This Row],[Cell_ID]],'Registre_Maintenance'!B:B,'Registre_Maintenance'!F:F,"Pas de correspondance")</f>
        <v>5G</v>
      </c>
      <c r="K965" t="str">
        <f>_xlfn.XLOOKUP(Logs__2[[#This Row],[Cell_ID]],'Registre_Maintenance'!B:B,'Registre_Maintenance'!G:G,"Pas de correspondance")</f>
        <v>Nokia</v>
      </c>
    </row>
    <row r="966" spans="1:11" x14ac:dyDescent="0.25">
      <c r="A966" s="1" t="s">
        <v>1438</v>
      </c>
      <c r="B966" s="2">
        <v>45226</v>
      </c>
      <c r="C966" s="3">
        <v>0.53055555555555556</v>
      </c>
      <c r="D966" s="1" t="s">
        <v>1442</v>
      </c>
      <c r="E966">
        <v>101</v>
      </c>
      <c r="F966" s="1" t="s">
        <v>811</v>
      </c>
      <c r="G966" t="str">
        <f>_xlfn.XLOOKUP(Logs__2[[#This Row],[Cell_ID]],'Registre_Maintenance'!B:B,'Registre_Maintenance'!C:C,"Pas de correspondance")</f>
        <v>Maniema</v>
      </c>
      <c r="H966">
        <f>_xlfn.XLOOKUP(Logs__2[[#This Row],[Cell_ID]],'Registre_Maintenance'!B:B,'Registre_Maintenance'!D:D,"Pas de correspondance")</f>
        <v>-10.650321</v>
      </c>
      <c r="I966">
        <f>_xlfn.XLOOKUP(Logs__2[[#This Row],[Cell_ID]],'Registre_Maintenance'!B:B,'Registre_Maintenance'!E:E,"Pas de correspondance")</f>
        <v>15.917044000000001</v>
      </c>
      <c r="J966" t="str">
        <f>_xlfn.XLOOKUP(Logs__2[[#This Row],[Cell_ID]],'Registre_Maintenance'!B:B,'Registre_Maintenance'!F:F,"Pas de correspondance")</f>
        <v>4G</v>
      </c>
      <c r="K966" t="str">
        <f>_xlfn.XLOOKUP(Logs__2[[#This Row],[Cell_ID]],'Registre_Maintenance'!B:B,'Registre_Maintenance'!G:G,"Pas de correspondance")</f>
        <v>Nokia</v>
      </c>
    </row>
    <row r="967" spans="1:11" x14ac:dyDescent="0.25">
      <c r="A967" s="1" t="s">
        <v>1438</v>
      </c>
      <c r="B967" s="2">
        <v>45227</v>
      </c>
      <c r="C967" s="3">
        <v>0.66041666666666665</v>
      </c>
      <c r="D967" s="1" t="s">
        <v>1142</v>
      </c>
      <c r="E967">
        <v>67</v>
      </c>
      <c r="F967" s="1" t="s">
        <v>811</v>
      </c>
      <c r="G967" t="str">
        <f>_xlfn.XLOOKUP(Logs__2[[#This Row],[Cell_ID]],'Registre_Maintenance'!B:B,'Registre_Maintenance'!C:C,"Pas de correspondance")</f>
        <v>Kasaï</v>
      </c>
      <c r="H967">
        <f>_xlfn.XLOOKUP(Logs__2[[#This Row],[Cell_ID]],'Registre_Maintenance'!B:B,'Registre_Maintenance'!D:D,"Pas de correspondance")</f>
        <v>-5.125</v>
      </c>
      <c r="I967">
        <f>_xlfn.XLOOKUP(Logs__2[[#This Row],[Cell_ID]],'Registre_Maintenance'!B:B,'Registre_Maintenance'!E:E,"Pas de correspondance")</f>
        <v>23.513119</v>
      </c>
      <c r="J967" t="str">
        <f>_xlfn.XLOOKUP(Logs__2[[#This Row],[Cell_ID]],'Registre_Maintenance'!B:B,'Registre_Maintenance'!F:F,"Pas de correspondance")</f>
        <v>5G</v>
      </c>
      <c r="K967" t="str">
        <f>_xlfn.XLOOKUP(Logs__2[[#This Row],[Cell_ID]],'Registre_Maintenance'!B:B,'Registre_Maintenance'!G:G,"Pas de correspondance")</f>
        <v>Huawei</v>
      </c>
    </row>
    <row r="968" spans="1:11" x14ac:dyDescent="0.25">
      <c r="A968" s="1" t="s">
        <v>1438</v>
      </c>
      <c r="B968" s="2">
        <v>45213</v>
      </c>
      <c r="C968" s="3">
        <v>0.87222222222222223</v>
      </c>
      <c r="D968" s="1" t="s">
        <v>1443</v>
      </c>
      <c r="E968">
        <v>46</v>
      </c>
      <c r="F968" s="1" t="s">
        <v>809</v>
      </c>
      <c r="G968" t="str">
        <f>_xlfn.XLOOKUP(Logs__2[[#This Row],[Cell_ID]],'Registre_Maintenance'!B:B,'Registre_Maintenance'!C:C,"Pas de correspondance")</f>
        <v>Sankuru</v>
      </c>
      <c r="H968">
        <f>_xlfn.XLOOKUP(Logs__2[[#This Row],[Cell_ID]],'Registre_Maintenance'!B:B,'Registre_Maintenance'!D:D,"Pas de correspondance")</f>
        <v>-7.513261</v>
      </c>
      <c r="I968">
        <f>_xlfn.XLOOKUP(Logs__2[[#This Row],[Cell_ID]],'Registre_Maintenance'!B:B,'Registre_Maintenance'!E:E,"Pas de correspondance")</f>
        <v>24.338812000000001</v>
      </c>
      <c r="J968" t="str">
        <f>_xlfn.XLOOKUP(Logs__2[[#This Row],[Cell_ID]],'Registre_Maintenance'!B:B,'Registre_Maintenance'!F:F,"Pas de correspondance")</f>
        <v>5G</v>
      </c>
      <c r="K968" t="str">
        <f>_xlfn.XLOOKUP(Logs__2[[#This Row],[Cell_ID]],'Registre_Maintenance'!B:B,'Registre_Maintenance'!G:G,"Pas de correspondance")</f>
        <v>Huawei</v>
      </c>
    </row>
    <row r="969" spans="1:11" hidden="1" x14ac:dyDescent="0.25">
      <c r="A969" s="1" t="s">
        <v>1438</v>
      </c>
      <c r="B969" s="2">
        <v>45225</v>
      </c>
      <c r="C969" s="3">
        <v>0.21319444444444444</v>
      </c>
      <c r="D969" s="1" t="s">
        <v>1444</v>
      </c>
      <c r="E969">
        <v>35</v>
      </c>
      <c r="F969" s="1" t="s">
        <v>811</v>
      </c>
      <c r="G969" t="str">
        <f>_xlfn.XLOOKUP(Logs__2[[#This Row],[Cell_ID]],'Registre_Maintenance'!B:B,'Registre_Maintenance'!C:C,"Pas de correspondance")</f>
        <v>Pas de correspondance</v>
      </c>
      <c r="H969" t="str">
        <f>_xlfn.XLOOKUP(Logs__2[[#This Row],[Cell_ID]],'Registre_Maintenance'!B:B,'Registre_Maintenance'!D:D,"Pas de correspondance")</f>
        <v>Pas de correspondance</v>
      </c>
      <c r="I969" t="str">
        <f>_xlfn.XLOOKUP(Logs__2[[#This Row],[Cell_ID]],'Registre_Maintenance'!B:B,'Registre_Maintenance'!E:E,"Pas de correspondance")</f>
        <v>Pas de correspondance</v>
      </c>
      <c r="J969" t="str">
        <f>_xlfn.XLOOKUP(Logs__2[[#This Row],[Cell_ID]],'Registre_Maintenance'!B:B,'Registre_Maintenance'!F:F,"Pas de correspondance")</f>
        <v>Pas de correspondance</v>
      </c>
      <c r="K969" t="str">
        <f>_xlfn.XLOOKUP(Logs__2[[#This Row],[Cell_ID]],'Registre_Maintenance'!B:B,'Registre_Maintenance'!G:G,"Pas de correspondance")</f>
        <v>Pas de correspondance</v>
      </c>
    </row>
    <row r="970" spans="1:11" hidden="1" x14ac:dyDescent="0.25">
      <c r="A970" s="1" t="s">
        <v>1438</v>
      </c>
      <c r="B970" s="2">
        <v>45204</v>
      </c>
      <c r="C970" s="3">
        <v>0.94861111111111107</v>
      </c>
      <c r="D970" s="1" t="s">
        <v>1445</v>
      </c>
      <c r="E970">
        <v>47</v>
      </c>
      <c r="F970" s="1" t="s">
        <v>809</v>
      </c>
      <c r="G970" t="str">
        <f>_xlfn.XLOOKUP(Logs__2[[#This Row],[Cell_ID]],'Registre_Maintenance'!B:B,'Registre_Maintenance'!C:C,"Pas de correspondance")</f>
        <v>Pas de correspondance</v>
      </c>
      <c r="H970" t="str">
        <f>_xlfn.XLOOKUP(Logs__2[[#This Row],[Cell_ID]],'Registre_Maintenance'!B:B,'Registre_Maintenance'!D:D,"Pas de correspondance")</f>
        <v>Pas de correspondance</v>
      </c>
      <c r="I970" t="str">
        <f>_xlfn.XLOOKUP(Logs__2[[#This Row],[Cell_ID]],'Registre_Maintenance'!B:B,'Registre_Maintenance'!E:E,"Pas de correspondance")</f>
        <v>Pas de correspondance</v>
      </c>
      <c r="J970" t="str">
        <f>_xlfn.XLOOKUP(Logs__2[[#This Row],[Cell_ID]],'Registre_Maintenance'!B:B,'Registre_Maintenance'!F:F,"Pas de correspondance")</f>
        <v>Pas de correspondance</v>
      </c>
      <c r="K970" t="str">
        <f>_xlfn.XLOOKUP(Logs__2[[#This Row],[Cell_ID]],'Registre_Maintenance'!B:B,'Registre_Maintenance'!G:G,"Pas de correspondance")</f>
        <v>Pas de correspondance</v>
      </c>
    </row>
    <row r="971" spans="1:11" x14ac:dyDescent="0.25">
      <c r="A971" s="1" t="s">
        <v>1438</v>
      </c>
      <c r="B971" s="2">
        <v>45201</v>
      </c>
      <c r="C971" s="3">
        <v>0.21249999999999999</v>
      </c>
      <c r="D971" s="1" t="s">
        <v>871</v>
      </c>
      <c r="E971">
        <v>40</v>
      </c>
      <c r="F971" s="1" t="s">
        <v>809</v>
      </c>
      <c r="G971" t="str">
        <f>_xlfn.XLOOKUP(Logs__2[[#This Row],[Cell_ID]],'Registre_Maintenance'!B:B,'Registre_Maintenance'!C:C,"Pas de correspondance")</f>
        <v>Nord-Kivu</v>
      </c>
      <c r="H971">
        <f>_xlfn.XLOOKUP(Logs__2[[#This Row],[Cell_ID]],'Registre_Maintenance'!B:B,'Registre_Maintenance'!D:D,"Pas de correspondance")</f>
        <v>0.82868600000000003</v>
      </c>
      <c r="I971">
        <f>_xlfn.XLOOKUP(Logs__2[[#This Row],[Cell_ID]],'Registre_Maintenance'!B:B,'Registre_Maintenance'!E:E,"Pas de correspondance")</f>
        <v>26.958843999999999</v>
      </c>
      <c r="J971" t="str">
        <f>_xlfn.XLOOKUP(Logs__2[[#This Row],[Cell_ID]],'Registre_Maintenance'!B:B,'Registre_Maintenance'!F:F,"Pas de correspondance")</f>
        <v>5G</v>
      </c>
      <c r="K971" t="str">
        <f>_xlfn.XLOOKUP(Logs__2[[#This Row],[Cell_ID]],'Registre_Maintenance'!B:B,'Registre_Maintenance'!G:G,"Pas de correspondance")</f>
        <v>ZTE</v>
      </c>
    </row>
    <row r="972" spans="1:11" hidden="1" x14ac:dyDescent="0.25">
      <c r="A972" s="1" t="s">
        <v>1438</v>
      </c>
      <c r="B972" s="2">
        <v>45213</v>
      </c>
      <c r="C972" s="3">
        <v>0.77083333333333337</v>
      </c>
      <c r="D972" s="1" t="s">
        <v>1446</v>
      </c>
      <c r="E972">
        <v>11</v>
      </c>
      <c r="F972" s="1" t="s">
        <v>811</v>
      </c>
      <c r="G972" t="str">
        <f>_xlfn.XLOOKUP(Logs__2[[#This Row],[Cell_ID]],'Registre_Maintenance'!B:B,'Registre_Maintenance'!C:C,"Pas de correspondance")</f>
        <v>Pas de correspondance</v>
      </c>
      <c r="H972" t="str">
        <f>_xlfn.XLOOKUP(Logs__2[[#This Row],[Cell_ID]],'Registre_Maintenance'!B:B,'Registre_Maintenance'!D:D,"Pas de correspondance")</f>
        <v>Pas de correspondance</v>
      </c>
      <c r="I972" t="str">
        <f>_xlfn.XLOOKUP(Logs__2[[#This Row],[Cell_ID]],'Registre_Maintenance'!B:B,'Registre_Maintenance'!E:E,"Pas de correspondance")</f>
        <v>Pas de correspondance</v>
      </c>
      <c r="J972" t="str">
        <f>_xlfn.XLOOKUP(Logs__2[[#This Row],[Cell_ID]],'Registre_Maintenance'!B:B,'Registre_Maintenance'!F:F,"Pas de correspondance")</f>
        <v>Pas de correspondance</v>
      </c>
      <c r="K972" t="str">
        <f>_xlfn.XLOOKUP(Logs__2[[#This Row],[Cell_ID]],'Registre_Maintenance'!B:B,'Registre_Maintenance'!G:G,"Pas de correspondance")</f>
        <v>Pas de correspondance</v>
      </c>
    </row>
    <row r="973" spans="1:11" hidden="1" x14ac:dyDescent="0.25">
      <c r="A973" s="1" t="s">
        <v>1438</v>
      </c>
      <c r="B973" s="2">
        <v>45225</v>
      </c>
      <c r="C973" s="3">
        <v>0.77986111111111112</v>
      </c>
      <c r="D973" s="1" t="s">
        <v>1447</v>
      </c>
      <c r="E973">
        <v>69</v>
      </c>
      <c r="F973" s="1" t="s">
        <v>809</v>
      </c>
      <c r="G973" t="str">
        <f>_xlfn.XLOOKUP(Logs__2[[#This Row],[Cell_ID]],'Registre_Maintenance'!B:B,'Registre_Maintenance'!C:C,"Pas de correspondance")</f>
        <v>Pas de correspondance</v>
      </c>
      <c r="H973" t="str">
        <f>_xlfn.XLOOKUP(Logs__2[[#This Row],[Cell_ID]],'Registre_Maintenance'!B:B,'Registre_Maintenance'!D:D,"Pas de correspondance")</f>
        <v>Pas de correspondance</v>
      </c>
      <c r="I973" t="str">
        <f>_xlfn.XLOOKUP(Logs__2[[#This Row],[Cell_ID]],'Registre_Maintenance'!B:B,'Registre_Maintenance'!E:E,"Pas de correspondance")</f>
        <v>Pas de correspondance</v>
      </c>
      <c r="J973" t="str">
        <f>_xlfn.XLOOKUP(Logs__2[[#This Row],[Cell_ID]],'Registre_Maintenance'!B:B,'Registre_Maintenance'!F:F,"Pas de correspondance")</f>
        <v>Pas de correspondance</v>
      </c>
      <c r="K973" t="str">
        <f>_xlfn.XLOOKUP(Logs__2[[#This Row],[Cell_ID]],'Registre_Maintenance'!B:B,'Registre_Maintenance'!G:G,"Pas de correspondance")</f>
        <v>Pas de correspondance</v>
      </c>
    </row>
    <row r="974" spans="1:11" x14ac:dyDescent="0.25">
      <c r="A974" s="1" t="s">
        <v>1438</v>
      </c>
      <c r="B974" s="2">
        <v>45214</v>
      </c>
      <c r="C974" s="3">
        <v>0.23541666666666666</v>
      </c>
      <c r="D974" s="1" t="s">
        <v>1448</v>
      </c>
      <c r="E974">
        <v>33</v>
      </c>
      <c r="F974" s="1" t="s">
        <v>806</v>
      </c>
      <c r="G974" t="str">
        <f>_xlfn.XLOOKUP(Logs__2[[#This Row],[Cell_ID]],'Registre_Maintenance'!B:B,'Registre_Maintenance'!C:C,"Pas de correspondance")</f>
        <v>Maniema</v>
      </c>
      <c r="H974">
        <f>_xlfn.XLOOKUP(Logs__2[[#This Row],[Cell_ID]],'Registre_Maintenance'!B:B,'Registre_Maintenance'!D:D,"Pas de correspondance")</f>
        <v>-10.318835</v>
      </c>
      <c r="I974">
        <f>_xlfn.XLOOKUP(Logs__2[[#This Row],[Cell_ID]],'Registre_Maintenance'!B:B,'Registre_Maintenance'!E:E,"Pas de correspondance")</f>
        <v>21.252382000000001</v>
      </c>
      <c r="J974" t="str">
        <f>_xlfn.XLOOKUP(Logs__2[[#This Row],[Cell_ID]],'Registre_Maintenance'!B:B,'Registre_Maintenance'!F:F,"Pas de correspondance")</f>
        <v>4G</v>
      </c>
      <c r="K974" t="str">
        <f>_xlfn.XLOOKUP(Logs__2[[#This Row],[Cell_ID]],'Registre_Maintenance'!B:B,'Registre_Maintenance'!G:G,"Pas de correspondance")</f>
        <v>Ericsson</v>
      </c>
    </row>
    <row r="975" spans="1:11" hidden="1" x14ac:dyDescent="0.25">
      <c r="A975" s="1" t="s">
        <v>1438</v>
      </c>
      <c r="B975" s="2">
        <v>45212</v>
      </c>
      <c r="C975" s="3">
        <v>0.48541666666666666</v>
      </c>
      <c r="D975" s="1" t="s">
        <v>1449</v>
      </c>
      <c r="E975">
        <v>75</v>
      </c>
      <c r="F975" s="1" t="s">
        <v>806</v>
      </c>
      <c r="G975" t="str">
        <f>_xlfn.XLOOKUP(Logs__2[[#This Row],[Cell_ID]],'Registre_Maintenance'!B:B,'Registre_Maintenance'!C:C,"Pas de correspondance")</f>
        <v>Pas de correspondance</v>
      </c>
      <c r="H975" t="str">
        <f>_xlfn.XLOOKUP(Logs__2[[#This Row],[Cell_ID]],'Registre_Maintenance'!B:B,'Registre_Maintenance'!D:D,"Pas de correspondance")</f>
        <v>Pas de correspondance</v>
      </c>
      <c r="I975" t="str">
        <f>_xlfn.XLOOKUP(Logs__2[[#This Row],[Cell_ID]],'Registre_Maintenance'!B:B,'Registre_Maintenance'!E:E,"Pas de correspondance")</f>
        <v>Pas de correspondance</v>
      </c>
      <c r="J975" t="str">
        <f>_xlfn.XLOOKUP(Logs__2[[#This Row],[Cell_ID]],'Registre_Maintenance'!B:B,'Registre_Maintenance'!F:F,"Pas de correspondance")</f>
        <v>Pas de correspondance</v>
      </c>
      <c r="K975" t="str">
        <f>_xlfn.XLOOKUP(Logs__2[[#This Row],[Cell_ID]],'Registre_Maintenance'!B:B,'Registre_Maintenance'!G:G,"Pas de correspondance")</f>
        <v>Pas de correspondance</v>
      </c>
    </row>
    <row r="976" spans="1:11" x14ac:dyDescent="0.25">
      <c r="A976" s="1" t="s">
        <v>1438</v>
      </c>
      <c r="B976" s="2">
        <v>45200</v>
      </c>
      <c r="C976" s="3">
        <v>0.91388888888888886</v>
      </c>
      <c r="D976" s="1" t="s">
        <v>1450</v>
      </c>
      <c r="E976">
        <v>87</v>
      </c>
      <c r="F976" s="1" t="s">
        <v>806</v>
      </c>
      <c r="G976" t="str">
        <f>_xlfn.XLOOKUP(Logs__2[[#This Row],[Cell_ID]],'Registre_Maintenance'!B:B,'Registre_Maintenance'!C:C,"Pas de correspondance")</f>
        <v>Sankuru</v>
      </c>
      <c r="H976">
        <f>_xlfn.XLOOKUP(Logs__2[[#This Row],[Cell_ID]],'Registre_Maintenance'!B:B,'Registre_Maintenance'!D:D,"Pas de correspondance")</f>
        <v>3.175935</v>
      </c>
      <c r="I976">
        <f>_xlfn.XLOOKUP(Logs__2[[#This Row],[Cell_ID]],'Registre_Maintenance'!B:B,'Registre_Maintenance'!E:E,"Pas de correspondance")</f>
        <v>16.862832000000001</v>
      </c>
      <c r="J976" t="str">
        <f>_xlfn.XLOOKUP(Logs__2[[#This Row],[Cell_ID]],'Registre_Maintenance'!B:B,'Registre_Maintenance'!F:F,"Pas de correspondance")</f>
        <v>5G</v>
      </c>
      <c r="K976" t="str">
        <f>_xlfn.XLOOKUP(Logs__2[[#This Row],[Cell_ID]],'Registre_Maintenance'!B:B,'Registre_Maintenance'!G:G,"Pas de correspondance")</f>
        <v>Ericsson</v>
      </c>
    </row>
    <row r="977" spans="1:11" x14ac:dyDescent="0.25">
      <c r="A977" s="1" t="s">
        <v>1438</v>
      </c>
      <c r="B977" s="2">
        <v>45226</v>
      </c>
      <c r="C977" s="3">
        <v>0.99791666666666667</v>
      </c>
      <c r="D977" s="1" t="s">
        <v>1451</v>
      </c>
      <c r="E977">
        <v>53</v>
      </c>
      <c r="F977" s="1" t="s">
        <v>811</v>
      </c>
      <c r="G977" t="str">
        <f>_xlfn.XLOOKUP(Logs__2[[#This Row],[Cell_ID]],'Registre_Maintenance'!B:B,'Registre_Maintenance'!C:C,"Pas de correspondance")</f>
        <v>Nord-Ubangi</v>
      </c>
      <c r="H977">
        <f>_xlfn.XLOOKUP(Logs__2[[#This Row],[Cell_ID]],'Registre_Maintenance'!B:B,'Registre_Maintenance'!D:D,"Pas de correspondance")</f>
        <v>-7.8373179999999998</v>
      </c>
      <c r="I977">
        <f>_xlfn.XLOOKUP(Logs__2[[#This Row],[Cell_ID]],'Registre_Maintenance'!B:B,'Registre_Maintenance'!E:E,"Pas de correspondance")</f>
        <v>20.527591999999999</v>
      </c>
      <c r="J977" t="str">
        <f>_xlfn.XLOOKUP(Logs__2[[#This Row],[Cell_ID]],'Registre_Maintenance'!B:B,'Registre_Maintenance'!F:F,"Pas de correspondance")</f>
        <v>4G</v>
      </c>
      <c r="K977" t="str">
        <f>_xlfn.XLOOKUP(Logs__2[[#This Row],[Cell_ID]],'Registre_Maintenance'!B:B,'Registre_Maintenance'!G:G,"Pas de correspondance")</f>
        <v>Ericsson</v>
      </c>
    </row>
    <row r="978" spans="1:11" hidden="1" x14ac:dyDescent="0.25">
      <c r="A978" s="1" t="s">
        <v>1438</v>
      </c>
      <c r="B978" s="2">
        <v>45204</v>
      </c>
      <c r="C978" s="3">
        <v>0.66527777777777775</v>
      </c>
      <c r="D978" s="1" t="s">
        <v>1145</v>
      </c>
      <c r="E978">
        <v>56</v>
      </c>
      <c r="F978" s="1" t="s">
        <v>806</v>
      </c>
      <c r="G978" t="str">
        <f>_xlfn.XLOOKUP(Logs__2[[#This Row],[Cell_ID]],'Registre_Maintenance'!B:B,'Registre_Maintenance'!C:C,"Pas de correspondance")</f>
        <v>Pas de correspondance</v>
      </c>
      <c r="H978" t="str">
        <f>_xlfn.XLOOKUP(Logs__2[[#This Row],[Cell_ID]],'Registre_Maintenance'!B:B,'Registre_Maintenance'!D:D,"Pas de correspondance")</f>
        <v>Pas de correspondance</v>
      </c>
      <c r="I978" t="str">
        <f>_xlfn.XLOOKUP(Logs__2[[#This Row],[Cell_ID]],'Registre_Maintenance'!B:B,'Registre_Maintenance'!E:E,"Pas de correspondance")</f>
        <v>Pas de correspondance</v>
      </c>
      <c r="J978" t="str">
        <f>_xlfn.XLOOKUP(Logs__2[[#This Row],[Cell_ID]],'Registre_Maintenance'!B:B,'Registre_Maintenance'!F:F,"Pas de correspondance")</f>
        <v>Pas de correspondance</v>
      </c>
      <c r="K978" t="str">
        <f>_xlfn.XLOOKUP(Logs__2[[#This Row],[Cell_ID]],'Registre_Maintenance'!B:B,'Registre_Maintenance'!G:G,"Pas de correspondance")</f>
        <v>Pas de correspondance</v>
      </c>
    </row>
    <row r="979" spans="1:11" hidden="1" x14ac:dyDescent="0.25">
      <c r="A979" s="1" t="s">
        <v>1438</v>
      </c>
      <c r="B979" s="2">
        <v>45215</v>
      </c>
      <c r="C979" s="3">
        <v>0.16388888888888889</v>
      </c>
      <c r="D979" s="1" t="s">
        <v>1452</v>
      </c>
      <c r="E979">
        <v>109</v>
      </c>
      <c r="F979" s="1" t="s">
        <v>809</v>
      </c>
      <c r="G979" t="str">
        <f>_xlfn.XLOOKUP(Logs__2[[#This Row],[Cell_ID]],'Registre_Maintenance'!B:B,'Registre_Maintenance'!C:C,"Pas de correspondance")</f>
        <v>Pas de correspondance</v>
      </c>
      <c r="H979" t="str">
        <f>_xlfn.XLOOKUP(Logs__2[[#This Row],[Cell_ID]],'Registre_Maintenance'!B:B,'Registre_Maintenance'!D:D,"Pas de correspondance")</f>
        <v>Pas de correspondance</v>
      </c>
      <c r="I979" t="str">
        <f>_xlfn.XLOOKUP(Logs__2[[#This Row],[Cell_ID]],'Registre_Maintenance'!B:B,'Registre_Maintenance'!E:E,"Pas de correspondance")</f>
        <v>Pas de correspondance</v>
      </c>
      <c r="J979" t="str">
        <f>_xlfn.XLOOKUP(Logs__2[[#This Row],[Cell_ID]],'Registre_Maintenance'!B:B,'Registre_Maintenance'!F:F,"Pas de correspondance")</f>
        <v>Pas de correspondance</v>
      </c>
      <c r="K979" t="str">
        <f>_xlfn.XLOOKUP(Logs__2[[#This Row],[Cell_ID]],'Registre_Maintenance'!B:B,'Registre_Maintenance'!G:G,"Pas de correspondance")</f>
        <v>Pas de correspondance</v>
      </c>
    </row>
    <row r="980" spans="1:11" hidden="1" x14ac:dyDescent="0.25">
      <c r="A980" s="1" t="s">
        <v>1438</v>
      </c>
      <c r="B980" s="2">
        <v>45213</v>
      </c>
      <c r="C980" s="3">
        <v>0.58472222222222225</v>
      </c>
      <c r="D980" s="1" t="s">
        <v>1453</v>
      </c>
      <c r="E980">
        <v>35</v>
      </c>
      <c r="F980" s="1" t="s">
        <v>809</v>
      </c>
      <c r="G980" t="str">
        <f>_xlfn.XLOOKUP(Logs__2[[#This Row],[Cell_ID]],'Registre_Maintenance'!B:B,'Registre_Maintenance'!C:C,"Pas de correspondance")</f>
        <v>Pas de correspondance</v>
      </c>
      <c r="H980" t="str">
        <f>_xlfn.XLOOKUP(Logs__2[[#This Row],[Cell_ID]],'Registre_Maintenance'!B:B,'Registre_Maintenance'!D:D,"Pas de correspondance")</f>
        <v>Pas de correspondance</v>
      </c>
      <c r="I980" t="str">
        <f>_xlfn.XLOOKUP(Logs__2[[#This Row],[Cell_ID]],'Registre_Maintenance'!B:B,'Registre_Maintenance'!E:E,"Pas de correspondance")</f>
        <v>Pas de correspondance</v>
      </c>
      <c r="J980" t="str">
        <f>_xlfn.XLOOKUP(Logs__2[[#This Row],[Cell_ID]],'Registre_Maintenance'!B:B,'Registre_Maintenance'!F:F,"Pas de correspondance")</f>
        <v>Pas de correspondance</v>
      </c>
      <c r="K980" t="str">
        <f>_xlfn.XLOOKUP(Logs__2[[#This Row],[Cell_ID]],'Registre_Maintenance'!B:B,'Registre_Maintenance'!G:G,"Pas de correspondance")</f>
        <v>Pas de correspondance</v>
      </c>
    </row>
    <row r="981" spans="1:11" hidden="1" x14ac:dyDescent="0.25">
      <c r="A981" s="1" t="s">
        <v>1438</v>
      </c>
      <c r="B981" s="2">
        <v>45202</v>
      </c>
      <c r="C981" s="3">
        <v>0.36180555555555555</v>
      </c>
      <c r="D981" s="1" t="s">
        <v>1454</v>
      </c>
      <c r="E981">
        <v>15</v>
      </c>
      <c r="F981" s="1" t="s">
        <v>809</v>
      </c>
      <c r="G981" t="str">
        <f>_xlfn.XLOOKUP(Logs__2[[#This Row],[Cell_ID]],'Registre_Maintenance'!B:B,'Registre_Maintenance'!C:C,"Pas de correspondance")</f>
        <v>Pas de correspondance</v>
      </c>
      <c r="H981" t="str">
        <f>_xlfn.XLOOKUP(Logs__2[[#This Row],[Cell_ID]],'Registre_Maintenance'!B:B,'Registre_Maintenance'!D:D,"Pas de correspondance")</f>
        <v>Pas de correspondance</v>
      </c>
      <c r="I981" t="str">
        <f>_xlfn.XLOOKUP(Logs__2[[#This Row],[Cell_ID]],'Registre_Maintenance'!B:B,'Registre_Maintenance'!E:E,"Pas de correspondance")</f>
        <v>Pas de correspondance</v>
      </c>
      <c r="J981" t="str">
        <f>_xlfn.XLOOKUP(Logs__2[[#This Row],[Cell_ID]],'Registre_Maintenance'!B:B,'Registre_Maintenance'!F:F,"Pas de correspondance")</f>
        <v>Pas de correspondance</v>
      </c>
      <c r="K981" t="str">
        <f>_xlfn.XLOOKUP(Logs__2[[#This Row],[Cell_ID]],'Registre_Maintenance'!B:B,'Registre_Maintenance'!G:G,"Pas de correspondance")</f>
        <v>Pas de correspondance</v>
      </c>
    </row>
    <row r="982" spans="1:11" x14ac:dyDescent="0.25">
      <c r="A982" s="1" t="s">
        <v>1438</v>
      </c>
      <c r="B982" s="2">
        <v>45210</v>
      </c>
      <c r="C982" s="3">
        <v>3.125E-2</v>
      </c>
      <c r="D982" s="1" t="s">
        <v>1147</v>
      </c>
      <c r="E982">
        <v>63</v>
      </c>
      <c r="F982" s="1" t="s">
        <v>811</v>
      </c>
      <c r="G982" t="str">
        <f>_xlfn.XLOOKUP(Logs__2[[#This Row],[Cell_ID]],'Registre_Maintenance'!B:B,'Registre_Maintenance'!C:C,"Pas de correspondance")</f>
        <v>Kwango</v>
      </c>
      <c r="H982">
        <f>_xlfn.XLOOKUP(Logs__2[[#This Row],[Cell_ID]],'Registre_Maintenance'!B:B,'Registre_Maintenance'!D:D,"Pas de correspondance")</f>
        <v>-9.0798120000000004</v>
      </c>
      <c r="I982">
        <f>_xlfn.XLOOKUP(Logs__2[[#This Row],[Cell_ID]],'Registre_Maintenance'!B:B,'Registre_Maintenance'!E:E,"Pas de correspondance")</f>
        <v>14.945484</v>
      </c>
      <c r="J982" t="str">
        <f>_xlfn.XLOOKUP(Logs__2[[#This Row],[Cell_ID]],'Registre_Maintenance'!B:B,'Registre_Maintenance'!F:F,"Pas de correspondance")</f>
        <v>5G</v>
      </c>
      <c r="K982" t="str">
        <f>_xlfn.XLOOKUP(Logs__2[[#This Row],[Cell_ID]],'Registre_Maintenance'!B:B,'Registre_Maintenance'!G:G,"Pas de correspondance")</f>
        <v>Ericsson</v>
      </c>
    </row>
    <row r="983" spans="1:11" x14ac:dyDescent="0.25">
      <c r="A983" s="1" t="s">
        <v>1438</v>
      </c>
      <c r="B983" s="2">
        <v>45227</v>
      </c>
      <c r="C983" s="3">
        <v>0.8979166666666667</v>
      </c>
      <c r="D983" s="1" t="s">
        <v>1441</v>
      </c>
      <c r="E983">
        <v>61</v>
      </c>
      <c r="F983" s="1" t="s">
        <v>806</v>
      </c>
      <c r="G983" t="str">
        <f>_xlfn.XLOOKUP(Logs__2[[#This Row],[Cell_ID]],'Registre_Maintenance'!B:B,'Registre_Maintenance'!C:C,"Pas de correspondance")</f>
        <v>Kinshasa</v>
      </c>
      <c r="H983">
        <f>_xlfn.XLOOKUP(Logs__2[[#This Row],[Cell_ID]],'Registre_Maintenance'!B:B,'Registre_Maintenance'!D:D,"Pas de correspondance")</f>
        <v>-7.1079169999999996</v>
      </c>
      <c r="I983">
        <f>_xlfn.XLOOKUP(Logs__2[[#This Row],[Cell_ID]],'Registre_Maintenance'!B:B,'Registre_Maintenance'!E:E,"Pas de correspondance")</f>
        <v>13.636272</v>
      </c>
      <c r="J983" t="str">
        <f>_xlfn.XLOOKUP(Logs__2[[#This Row],[Cell_ID]],'Registre_Maintenance'!B:B,'Registre_Maintenance'!F:F,"Pas de correspondance")</f>
        <v>5G</v>
      </c>
      <c r="K983" t="str">
        <f>_xlfn.XLOOKUP(Logs__2[[#This Row],[Cell_ID]],'Registre_Maintenance'!B:B,'Registre_Maintenance'!G:G,"Pas de correspondance")</f>
        <v>Nokia</v>
      </c>
    </row>
    <row r="984" spans="1:11" hidden="1" x14ac:dyDescent="0.25">
      <c r="A984" s="1" t="s">
        <v>1438</v>
      </c>
      <c r="B984" s="2">
        <v>45224</v>
      </c>
      <c r="C984" s="3">
        <v>0.98333333333333328</v>
      </c>
      <c r="D984" s="1" t="s">
        <v>991</v>
      </c>
      <c r="E984">
        <v>107</v>
      </c>
      <c r="F984" s="1" t="s">
        <v>811</v>
      </c>
      <c r="G984" t="str">
        <f>_xlfn.XLOOKUP(Logs__2[[#This Row],[Cell_ID]],'Registre_Maintenance'!B:B,'Registre_Maintenance'!C:C,"Pas de correspondance")</f>
        <v>Pas de correspondance</v>
      </c>
      <c r="H984" t="str">
        <f>_xlfn.XLOOKUP(Logs__2[[#This Row],[Cell_ID]],'Registre_Maintenance'!B:B,'Registre_Maintenance'!D:D,"Pas de correspondance")</f>
        <v>Pas de correspondance</v>
      </c>
      <c r="I984" t="str">
        <f>_xlfn.XLOOKUP(Logs__2[[#This Row],[Cell_ID]],'Registre_Maintenance'!B:B,'Registre_Maintenance'!E:E,"Pas de correspondance")</f>
        <v>Pas de correspondance</v>
      </c>
      <c r="J984" t="str">
        <f>_xlfn.XLOOKUP(Logs__2[[#This Row],[Cell_ID]],'Registre_Maintenance'!B:B,'Registre_Maintenance'!F:F,"Pas de correspondance")</f>
        <v>Pas de correspondance</v>
      </c>
      <c r="K984" t="str">
        <f>_xlfn.XLOOKUP(Logs__2[[#This Row],[Cell_ID]],'Registre_Maintenance'!B:B,'Registre_Maintenance'!G:G,"Pas de correspondance")</f>
        <v>Pas de correspondance</v>
      </c>
    </row>
    <row r="985" spans="1:11" x14ac:dyDescent="0.25">
      <c r="A985" s="1" t="s">
        <v>1438</v>
      </c>
      <c r="B985" s="2">
        <v>45223</v>
      </c>
      <c r="C985" s="3">
        <v>0.75972222222222219</v>
      </c>
      <c r="D985" s="1" t="s">
        <v>1115</v>
      </c>
      <c r="E985">
        <v>78</v>
      </c>
      <c r="F985" s="1" t="s">
        <v>809</v>
      </c>
      <c r="G985" t="str">
        <f>_xlfn.XLOOKUP(Logs__2[[#This Row],[Cell_ID]],'Registre_Maintenance'!B:B,'Registre_Maintenance'!C:C,"Pas de correspondance")</f>
        <v>Mongala</v>
      </c>
      <c r="H985">
        <f>_xlfn.XLOOKUP(Logs__2[[#This Row],[Cell_ID]],'Registre_Maintenance'!B:B,'Registre_Maintenance'!D:D,"Pas de correspondance")</f>
        <v>-5.3762689999999997</v>
      </c>
      <c r="I985">
        <f>_xlfn.XLOOKUP(Logs__2[[#This Row],[Cell_ID]],'Registre_Maintenance'!B:B,'Registre_Maintenance'!E:E,"Pas de correspondance")</f>
        <v>28.189575999999999</v>
      </c>
      <c r="J985" t="str">
        <f>_xlfn.XLOOKUP(Logs__2[[#This Row],[Cell_ID]],'Registre_Maintenance'!B:B,'Registre_Maintenance'!F:F,"Pas de correspondance")</f>
        <v>5G</v>
      </c>
      <c r="K985" t="str">
        <f>_xlfn.XLOOKUP(Logs__2[[#This Row],[Cell_ID]],'Registre_Maintenance'!B:B,'Registre_Maintenance'!G:G,"Pas de correspondance")</f>
        <v>Huawei</v>
      </c>
    </row>
    <row r="986" spans="1:11" x14ac:dyDescent="0.25">
      <c r="A986" s="1" t="s">
        <v>1438</v>
      </c>
      <c r="B986" s="2">
        <v>45230</v>
      </c>
      <c r="C986" s="3">
        <v>0.91319444444444442</v>
      </c>
      <c r="D986" s="1" t="s">
        <v>1222</v>
      </c>
      <c r="E986">
        <v>62</v>
      </c>
      <c r="F986" s="1" t="s">
        <v>806</v>
      </c>
      <c r="G986" t="str">
        <f>_xlfn.XLOOKUP(Logs__2[[#This Row],[Cell_ID]],'Registre_Maintenance'!B:B,'Registre_Maintenance'!C:C,"Pas de correspondance")</f>
        <v>Tshuapa</v>
      </c>
      <c r="H986">
        <f>_xlfn.XLOOKUP(Logs__2[[#This Row],[Cell_ID]],'Registre_Maintenance'!B:B,'Registre_Maintenance'!D:D,"Pas de correspondance")</f>
        <v>-1.9540519999999999</v>
      </c>
      <c r="I986">
        <f>_xlfn.XLOOKUP(Logs__2[[#This Row],[Cell_ID]],'Registre_Maintenance'!B:B,'Registre_Maintenance'!E:E,"Pas de correspondance")</f>
        <v>12.667945</v>
      </c>
      <c r="J986" t="str">
        <f>_xlfn.XLOOKUP(Logs__2[[#This Row],[Cell_ID]],'Registre_Maintenance'!B:B,'Registre_Maintenance'!F:F,"Pas de correspondance")</f>
        <v>4G</v>
      </c>
      <c r="K986" t="str">
        <f>_xlfn.XLOOKUP(Logs__2[[#This Row],[Cell_ID]],'Registre_Maintenance'!B:B,'Registre_Maintenance'!G:G,"Pas de correspondance")</f>
        <v>Huawei</v>
      </c>
    </row>
    <row r="987" spans="1:11" x14ac:dyDescent="0.25">
      <c r="A987" s="1" t="s">
        <v>1438</v>
      </c>
      <c r="B987" s="2">
        <v>45210</v>
      </c>
      <c r="C987" s="3">
        <v>0.68958333333333333</v>
      </c>
      <c r="D987" s="1" t="s">
        <v>1086</v>
      </c>
      <c r="E987">
        <v>16</v>
      </c>
      <c r="F987" s="1" t="s">
        <v>806</v>
      </c>
      <c r="G987" t="str">
        <f>_xlfn.XLOOKUP(Logs__2[[#This Row],[Cell_ID]],'Registre_Maintenance'!B:B,'Registre_Maintenance'!C:C,"Pas de correspondance")</f>
        <v>Haut-Uele</v>
      </c>
      <c r="H987">
        <f>_xlfn.XLOOKUP(Logs__2[[#This Row],[Cell_ID]],'Registre_Maintenance'!B:B,'Registre_Maintenance'!D:D,"Pas de correspondance")</f>
        <v>-4.869434</v>
      </c>
      <c r="I987">
        <f>_xlfn.XLOOKUP(Logs__2[[#This Row],[Cell_ID]],'Registre_Maintenance'!B:B,'Registre_Maintenance'!E:E,"Pas de correspondance")</f>
        <v>22.326522000000001</v>
      </c>
      <c r="J987" t="str">
        <f>_xlfn.XLOOKUP(Logs__2[[#This Row],[Cell_ID]],'Registre_Maintenance'!B:B,'Registre_Maintenance'!F:F,"Pas de correspondance")</f>
        <v>5G</v>
      </c>
      <c r="K987" t="str">
        <f>_xlfn.XLOOKUP(Logs__2[[#This Row],[Cell_ID]],'Registre_Maintenance'!B:B,'Registre_Maintenance'!G:G,"Pas de correspondance")</f>
        <v>Ericsson</v>
      </c>
    </row>
    <row r="988" spans="1:11" x14ac:dyDescent="0.25">
      <c r="A988" s="1" t="s">
        <v>1438</v>
      </c>
      <c r="B988" s="2">
        <v>45222</v>
      </c>
      <c r="C988" s="3">
        <v>0.94374999999999998</v>
      </c>
      <c r="D988" s="1" t="s">
        <v>1455</v>
      </c>
      <c r="E988">
        <v>114</v>
      </c>
      <c r="F988" s="1" t="s">
        <v>806</v>
      </c>
      <c r="G988" t="str">
        <f>_xlfn.XLOOKUP(Logs__2[[#This Row],[Cell_ID]],'Registre_Maintenance'!B:B,'Registre_Maintenance'!C:C,"Pas de correspondance")</f>
        <v>Haut-Lomami</v>
      </c>
      <c r="H988">
        <f>_xlfn.XLOOKUP(Logs__2[[#This Row],[Cell_ID]],'Registre_Maintenance'!B:B,'Registre_Maintenance'!D:D,"Pas de correspondance")</f>
        <v>-9.6407190000000007</v>
      </c>
      <c r="I988">
        <f>_xlfn.XLOOKUP(Logs__2[[#This Row],[Cell_ID]],'Registre_Maintenance'!B:B,'Registre_Maintenance'!E:E,"Pas de correspondance")</f>
        <v>21.336704999999998</v>
      </c>
      <c r="J988" t="str">
        <f>_xlfn.XLOOKUP(Logs__2[[#This Row],[Cell_ID]],'Registre_Maintenance'!B:B,'Registre_Maintenance'!F:F,"Pas de correspondance")</f>
        <v>4G</v>
      </c>
      <c r="K988" t="str">
        <f>_xlfn.XLOOKUP(Logs__2[[#This Row],[Cell_ID]],'Registre_Maintenance'!B:B,'Registre_Maintenance'!G:G,"Pas de correspondance")</f>
        <v>ZTE</v>
      </c>
    </row>
    <row r="989" spans="1:11" hidden="1" x14ac:dyDescent="0.25">
      <c r="A989" s="1" t="s">
        <v>1438</v>
      </c>
      <c r="B989" s="2">
        <v>45203</v>
      </c>
      <c r="C989" s="3">
        <v>0.5708333333333333</v>
      </c>
      <c r="D989" s="1" t="s">
        <v>1456</v>
      </c>
      <c r="E989">
        <v>68</v>
      </c>
      <c r="F989" s="1" t="s">
        <v>811</v>
      </c>
      <c r="G989" t="str">
        <f>_xlfn.XLOOKUP(Logs__2[[#This Row],[Cell_ID]],'Registre_Maintenance'!B:B,'Registre_Maintenance'!C:C,"Pas de correspondance")</f>
        <v>Pas de correspondance</v>
      </c>
      <c r="H989" t="str">
        <f>_xlfn.XLOOKUP(Logs__2[[#This Row],[Cell_ID]],'Registre_Maintenance'!B:B,'Registre_Maintenance'!D:D,"Pas de correspondance")</f>
        <v>Pas de correspondance</v>
      </c>
      <c r="I989" t="str">
        <f>_xlfn.XLOOKUP(Logs__2[[#This Row],[Cell_ID]],'Registre_Maintenance'!B:B,'Registre_Maintenance'!E:E,"Pas de correspondance")</f>
        <v>Pas de correspondance</v>
      </c>
      <c r="J989" t="str">
        <f>_xlfn.XLOOKUP(Logs__2[[#This Row],[Cell_ID]],'Registre_Maintenance'!B:B,'Registre_Maintenance'!F:F,"Pas de correspondance")</f>
        <v>Pas de correspondance</v>
      </c>
      <c r="K989" t="str">
        <f>_xlfn.XLOOKUP(Logs__2[[#This Row],[Cell_ID]],'Registre_Maintenance'!B:B,'Registre_Maintenance'!G:G,"Pas de correspondance")</f>
        <v>Pas de correspondance</v>
      </c>
    </row>
    <row r="990" spans="1:11" hidden="1" x14ac:dyDescent="0.25">
      <c r="A990" s="1" t="s">
        <v>1438</v>
      </c>
      <c r="B990" s="2">
        <v>45223</v>
      </c>
      <c r="C990" s="3">
        <v>0.3125</v>
      </c>
      <c r="D990" s="1" t="s">
        <v>1457</v>
      </c>
      <c r="E990">
        <v>62</v>
      </c>
      <c r="F990" s="1" t="s">
        <v>806</v>
      </c>
      <c r="G990" t="str">
        <f>_xlfn.XLOOKUP(Logs__2[[#This Row],[Cell_ID]],'Registre_Maintenance'!B:B,'Registre_Maintenance'!C:C,"Pas de correspondance")</f>
        <v>Pas de correspondance</v>
      </c>
      <c r="H990" t="str">
        <f>_xlfn.XLOOKUP(Logs__2[[#This Row],[Cell_ID]],'Registre_Maintenance'!B:B,'Registre_Maintenance'!D:D,"Pas de correspondance")</f>
        <v>Pas de correspondance</v>
      </c>
      <c r="I990" t="str">
        <f>_xlfn.XLOOKUP(Logs__2[[#This Row],[Cell_ID]],'Registre_Maintenance'!B:B,'Registre_Maintenance'!E:E,"Pas de correspondance")</f>
        <v>Pas de correspondance</v>
      </c>
      <c r="J990" t="str">
        <f>_xlfn.XLOOKUP(Logs__2[[#This Row],[Cell_ID]],'Registre_Maintenance'!B:B,'Registre_Maintenance'!F:F,"Pas de correspondance")</f>
        <v>Pas de correspondance</v>
      </c>
      <c r="K990" t="str">
        <f>_xlfn.XLOOKUP(Logs__2[[#This Row],[Cell_ID]],'Registre_Maintenance'!B:B,'Registre_Maintenance'!G:G,"Pas de correspondance")</f>
        <v>Pas de correspondance</v>
      </c>
    </row>
    <row r="991" spans="1:11" x14ac:dyDescent="0.25">
      <c r="A991" s="1" t="s">
        <v>1438</v>
      </c>
      <c r="B991" s="2">
        <v>45211</v>
      </c>
      <c r="C991" s="3">
        <v>0.90486111111111112</v>
      </c>
      <c r="D991" s="1" t="s">
        <v>1015</v>
      </c>
      <c r="E991">
        <v>45</v>
      </c>
      <c r="F991" s="1" t="s">
        <v>811</v>
      </c>
      <c r="G991" t="str">
        <f>_xlfn.XLOOKUP(Logs__2[[#This Row],[Cell_ID]],'Registre_Maintenance'!B:B,'Registre_Maintenance'!C:C,"Pas de correspondance")</f>
        <v>Sud-Ubangi</v>
      </c>
      <c r="H991">
        <f>_xlfn.XLOOKUP(Logs__2[[#This Row],[Cell_ID]],'Registre_Maintenance'!B:B,'Registre_Maintenance'!D:D,"Pas de correspondance")</f>
        <v>-12.342053999999999</v>
      </c>
      <c r="I991">
        <f>_xlfn.XLOOKUP(Logs__2[[#This Row],[Cell_ID]],'Registre_Maintenance'!B:B,'Registre_Maintenance'!E:E,"Pas de correspondance")</f>
        <v>18.756862000000002</v>
      </c>
      <c r="J991" t="str">
        <f>_xlfn.XLOOKUP(Logs__2[[#This Row],[Cell_ID]],'Registre_Maintenance'!B:B,'Registre_Maintenance'!F:F,"Pas de correspondance")</f>
        <v>3G</v>
      </c>
      <c r="K991" t="str">
        <f>_xlfn.XLOOKUP(Logs__2[[#This Row],[Cell_ID]],'Registre_Maintenance'!B:B,'Registre_Maintenance'!G:G,"Pas de correspondance")</f>
        <v>Ericsson</v>
      </c>
    </row>
    <row r="992" spans="1:11" hidden="1" x14ac:dyDescent="0.25">
      <c r="A992" s="1" t="s">
        <v>1438</v>
      </c>
      <c r="B992" s="2">
        <v>45220</v>
      </c>
      <c r="C992" s="3">
        <v>0.50624999999999998</v>
      </c>
      <c r="D992" s="1" t="s">
        <v>1256</v>
      </c>
      <c r="E992">
        <v>20</v>
      </c>
      <c r="F992" s="1" t="s">
        <v>806</v>
      </c>
      <c r="G992" t="str">
        <f>_xlfn.XLOOKUP(Logs__2[[#This Row],[Cell_ID]],'Registre_Maintenance'!B:B,'Registre_Maintenance'!C:C,"Pas de correspondance")</f>
        <v>Pas de correspondance</v>
      </c>
      <c r="H992" t="str">
        <f>_xlfn.XLOOKUP(Logs__2[[#This Row],[Cell_ID]],'Registre_Maintenance'!B:B,'Registre_Maintenance'!D:D,"Pas de correspondance")</f>
        <v>Pas de correspondance</v>
      </c>
      <c r="I992" t="str">
        <f>_xlfn.XLOOKUP(Logs__2[[#This Row],[Cell_ID]],'Registre_Maintenance'!B:B,'Registre_Maintenance'!E:E,"Pas de correspondance")</f>
        <v>Pas de correspondance</v>
      </c>
      <c r="J992" t="str">
        <f>_xlfn.XLOOKUP(Logs__2[[#This Row],[Cell_ID]],'Registre_Maintenance'!B:B,'Registre_Maintenance'!F:F,"Pas de correspondance")</f>
        <v>Pas de correspondance</v>
      </c>
      <c r="K992" t="str">
        <f>_xlfn.XLOOKUP(Logs__2[[#This Row],[Cell_ID]],'Registre_Maintenance'!B:B,'Registre_Maintenance'!G:G,"Pas de correspondance")</f>
        <v>Pas de correspondance</v>
      </c>
    </row>
    <row r="993" spans="1:11" hidden="1" x14ac:dyDescent="0.25">
      <c r="A993" s="1" t="s">
        <v>1438</v>
      </c>
      <c r="B993" s="2">
        <v>45226</v>
      </c>
      <c r="C993" s="3">
        <v>0.74791666666666667</v>
      </c>
      <c r="D993" s="1" t="s">
        <v>1458</v>
      </c>
      <c r="E993">
        <v>68</v>
      </c>
      <c r="F993" s="1" t="s">
        <v>809</v>
      </c>
      <c r="G993" t="str">
        <f>_xlfn.XLOOKUP(Logs__2[[#This Row],[Cell_ID]],'Registre_Maintenance'!B:B,'Registre_Maintenance'!C:C,"Pas de correspondance")</f>
        <v>Pas de correspondance</v>
      </c>
      <c r="H993" t="str">
        <f>_xlfn.XLOOKUP(Logs__2[[#This Row],[Cell_ID]],'Registre_Maintenance'!B:B,'Registre_Maintenance'!D:D,"Pas de correspondance")</f>
        <v>Pas de correspondance</v>
      </c>
      <c r="I993" t="str">
        <f>_xlfn.XLOOKUP(Logs__2[[#This Row],[Cell_ID]],'Registre_Maintenance'!B:B,'Registre_Maintenance'!E:E,"Pas de correspondance")</f>
        <v>Pas de correspondance</v>
      </c>
      <c r="J993" t="str">
        <f>_xlfn.XLOOKUP(Logs__2[[#This Row],[Cell_ID]],'Registre_Maintenance'!B:B,'Registre_Maintenance'!F:F,"Pas de correspondance")</f>
        <v>Pas de correspondance</v>
      </c>
      <c r="K993" t="str">
        <f>_xlfn.XLOOKUP(Logs__2[[#This Row],[Cell_ID]],'Registre_Maintenance'!B:B,'Registre_Maintenance'!G:G,"Pas de correspondance")</f>
        <v>Pas de correspondance</v>
      </c>
    </row>
    <row r="994" spans="1:11" hidden="1" x14ac:dyDescent="0.25">
      <c r="A994" s="1" t="s">
        <v>1438</v>
      </c>
      <c r="B994" s="2">
        <v>45219</v>
      </c>
      <c r="C994" s="3">
        <v>4.1666666666666664E-2</v>
      </c>
      <c r="D994" s="1" t="s">
        <v>969</v>
      </c>
      <c r="E994">
        <v>100</v>
      </c>
      <c r="F994" s="1" t="s">
        <v>811</v>
      </c>
      <c r="G994" t="str">
        <f>_xlfn.XLOOKUP(Logs__2[[#This Row],[Cell_ID]],'Registre_Maintenance'!B:B,'Registre_Maintenance'!C:C,"Pas de correspondance")</f>
        <v>Pas de correspondance</v>
      </c>
      <c r="H994" t="str">
        <f>_xlfn.XLOOKUP(Logs__2[[#This Row],[Cell_ID]],'Registre_Maintenance'!B:B,'Registre_Maintenance'!D:D,"Pas de correspondance")</f>
        <v>Pas de correspondance</v>
      </c>
      <c r="I994" t="str">
        <f>_xlfn.XLOOKUP(Logs__2[[#This Row],[Cell_ID]],'Registre_Maintenance'!B:B,'Registre_Maintenance'!E:E,"Pas de correspondance")</f>
        <v>Pas de correspondance</v>
      </c>
      <c r="J994" t="str">
        <f>_xlfn.XLOOKUP(Logs__2[[#This Row],[Cell_ID]],'Registre_Maintenance'!B:B,'Registre_Maintenance'!F:F,"Pas de correspondance")</f>
        <v>Pas de correspondance</v>
      </c>
      <c r="K994" t="str">
        <f>_xlfn.XLOOKUP(Logs__2[[#This Row],[Cell_ID]],'Registre_Maintenance'!B:B,'Registre_Maintenance'!G:G,"Pas de correspondance")</f>
        <v>Pas de correspondance</v>
      </c>
    </row>
    <row r="995" spans="1:11" hidden="1" x14ac:dyDescent="0.25">
      <c r="A995" s="1" t="s">
        <v>1438</v>
      </c>
      <c r="B995" s="2">
        <v>45225</v>
      </c>
      <c r="C995" s="3">
        <v>0.77986111111111112</v>
      </c>
      <c r="D995" s="1" t="s">
        <v>1447</v>
      </c>
      <c r="E995">
        <v>69</v>
      </c>
      <c r="F995" s="1" t="s">
        <v>809</v>
      </c>
      <c r="G995" t="str">
        <f>_xlfn.XLOOKUP(Logs__2[[#This Row],[Cell_ID]],'Registre_Maintenance'!B:B,'Registre_Maintenance'!C:C,"Pas de correspondance")</f>
        <v>Pas de correspondance</v>
      </c>
      <c r="H995" t="str">
        <f>_xlfn.XLOOKUP(Logs__2[[#This Row],[Cell_ID]],'Registre_Maintenance'!B:B,'Registre_Maintenance'!D:D,"Pas de correspondance")</f>
        <v>Pas de correspondance</v>
      </c>
      <c r="I995" t="str">
        <f>_xlfn.XLOOKUP(Logs__2[[#This Row],[Cell_ID]],'Registre_Maintenance'!B:B,'Registre_Maintenance'!E:E,"Pas de correspondance")</f>
        <v>Pas de correspondance</v>
      </c>
      <c r="J995" t="str">
        <f>_xlfn.XLOOKUP(Logs__2[[#This Row],[Cell_ID]],'Registre_Maintenance'!B:B,'Registre_Maintenance'!F:F,"Pas de correspondance")</f>
        <v>Pas de correspondance</v>
      </c>
      <c r="K995" t="str">
        <f>_xlfn.XLOOKUP(Logs__2[[#This Row],[Cell_ID]],'Registre_Maintenance'!B:B,'Registre_Maintenance'!G:G,"Pas de correspondance")</f>
        <v>Pas de correspondance</v>
      </c>
    </row>
    <row r="996" spans="1:11" hidden="1" x14ac:dyDescent="0.25">
      <c r="A996" s="1" t="s">
        <v>1459</v>
      </c>
      <c r="B996" s="2">
        <v>45203</v>
      </c>
      <c r="C996" s="3">
        <v>0.60347222222222219</v>
      </c>
      <c r="D996" s="1" t="s">
        <v>1460</v>
      </c>
      <c r="E996">
        <v>106</v>
      </c>
      <c r="F996" s="1" t="s">
        <v>809</v>
      </c>
      <c r="G996" t="str">
        <f>_xlfn.XLOOKUP(Logs__2[[#This Row],[Cell_ID]],'Registre_Maintenance'!B:B,'Registre_Maintenance'!C:C,"Pas de correspondance")</f>
        <v>Pas de correspondance</v>
      </c>
      <c r="H996" t="str">
        <f>_xlfn.XLOOKUP(Logs__2[[#This Row],[Cell_ID]],'Registre_Maintenance'!B:B,'Registre_Maintenance'!D:D,"Pas de correspondance")</f>
        <v>Pas de correspondance</v>
      </c>
      <c r="I996" t="str">
        <f>_xlfn.XLOOKUP(Logs__2[[#This Row],[Cell_ID]],'Registre_Maintenance'!B:B,'Registre_Maintenance'!E:E,"Pas de correspondance")</f>
        <v>Pas de correspondance</v>
      </c>
      <c r="J996" t="str">
        <f>_xlfn.XLOOKUP(Logs__2[[#This Row],[Cell_ID]],'Registre_Maintenance'!B:B,'Registre_Maintenance'!F:F,"Pas de correspondance")</f>
        <v>Pas de correspondance</v>
      </c>
      <c r="K996" t="str">
        <f>_xlfn.XLOOKUP(Logs__2[[#This Row],[Cell_ID]],'Registre_Maintenance'!B:B,'Registre_Maintenance'!G:G,"Pas de correspondance")</f>
        <v>Pas de correspondance</v>
      </c>
    </row>
    <row r="997" spans="1:11" x14ac:dyDescent="0.25">
      <c r="A997" s="1" t="s">
        <v>1459</v>
      </c>
      <c r="B997" s="2">
        <v>45221</v>
      </c>
      <c r="C997" s="3">
        <v>0.77222222222222225</v>
      </c>
      <c r="D997" s="1" t="s">
        <v>983</v>
      </c>
      <c r="E997">
        <v>107</v>
      </c>
      <c r="F997" s="1" t="s">
        <v>806</v>
      </c>
      <c r="G997" t="str">
        <f>_xlfn.XLOOKUP(Logs__2[[#This Row],[Cell_ID]],'Registre_Maintenance'!B:B,'Registre_Maintenance'!C:C,"Pas de correspondance")</f>
        <v>Kasaï-Central</v>
      </c>
      <c r="H997">
        <f>_xlfn.XLOOKUP(Logs__2[[#This Row],[Cell_ID]],'Registre_Maintenance'!B:B,'Registre_Maintenance'!D:D,"Pas de correspondance")</f>
        <v>-4.4451280000000004</v>
      </c>
      <c r="I997">
        <f>_xlfn.XLOOKUP(Logs__2[[#This Row],[Cell_ID]],'Registre_Maintenance'!B:B,'Registre_Maintenance'!E:E,"Pas de correspondance")</f>
        <v>16.536944999999999</v>
      </c>
      <c r="J997" t="str">
        <f>_xlfn.XLOOKUP(Logs__2[[#This Row],[Cell_ID]],'Registre_Maintenance'!B:B,'Registre_Maintenance'!F:F,"Pas de correspondance")</f>
        <v>4G</v>
      </c>
      <c r="K997" t="str">
        <f>_xlfn.XLOOKUP(Logs__2[[#This Row],[Cell_ID]],'Registre_Maintenance'!B:B,'Registre_Maintenance'!G:G,"Pas de correspondance")</f>
        <v>Ericsson</v>
      </c>
    </row>
    <row r="998" spans="1:11" hidden="1" x14ac:dyDescent="0.25">
      <c r="A998" s="1" t="s">
        <v>1459</v>
      </c>
      <c r="B998" s="2">
        <v>45204</v>
      </c>
      <c r="C998" s="3">
        <v>0.625</v>
      </c>
      <c r="D998" s="1" t="s">
        <v>1461</v>
      </c>
      <c r="E998">
        <v>94</v>
      </c>
      <c r="F998" s="1" t="s">
        <v>811</v>
      </c>
      <c r="G998" t="str">
        <f>_xlfn.XLOOKUP(Logs__2[[#This Row],[Cell_ID]],'Registre_Maintenance'!B:B,'Registre_Maintenance'!C:C,"Pas de correspondance")</f>
        <v>Pas de correspondance</v>
      </c>
      <c r="H998" t="str">
        <f>_xlfn.XLOOKUP(Logs__2[[#This Row],[Cell_ID]],'Registre_Maintenance'!B:B,'Registre_Maintenance'!D:D,"Pas de correspondance")</f>
        <v>Pas de correspondance</v>
      </c>
      <c r="I998" t="str">
        <f>_xlfn.XLOOKUP(Logs__2[[#This Row],[Cell_ID]],'Registre_Maintenance'!B:B,'Registre_Maintenance'!E:E,"Pas de correspondance")</f>
        <v>Pas de correspondance</v>
      </c>
      <c r="J998" t="str">
        <f>_xlfn.XLOOKUP(Logs__2[[#This Row],[Cell_ID]],'Registre_Maintenance'!B:B,'Registre_Maintenance'!F:F,"Pas de correspondance")</f>
        <v>Pas de correspondance</v>
      </c>
      <c r="K998" t="str">
        <f>_xlfn.XLOOKUP(Logs__2[[#This Row],[Cell_ID]],'Registre_Maintenance'!B:B,'Registre_Maintenance'!G:G,"Pas de correspondance")</f>
        <v>Pas de correspondance</v>
      </c>
    </row>
    <row r="999" spans="1:11" hidden="1" x14ac:dyDescent="0.25">
      <c r="A999" s="1" t="s">
        <v>1459</v>
      </c>
      <c r="B999" s="2">
        <v>45216</v>
      </c>
      <c r="C999" s="3">
        <v>0.9604166666666667</v>
      </c>
      <c r="D999" s="1" t="s">
        <v>1462</v>
      </c>
      <c r="E999">
        <v>41</v>
      </c>
      <c r="F999" s="1" t="s">
        <v>809</v>
      </c>
      <c r="G999" t="str">
        <f>_xlfn.XLOOKUP(Logs__2[[#This Row],[Cell_ID]],'Registre_Maintenance'!B:B,'Registre_Maintenance'!C:C,"Pas de correspondance")</f>
        <v>Pas de correspondance</v>
      </c>
      <c r="H999" t="str">
        <f>_xlfn.XLOOKUP(Logs__2[[#This Row],[Cell_ID]],'Registre_Maintenance'!B:B,'Registre_Maintenance'!D:D,"Pas de correspondance")</f>
        <v>Pas de correspondance</v>
      </c>
      <c r="I999" t="str">
        <f>_xlfn.XLOOKUP(Logs__2[[#This Row],[Cell_ID]],'Registre_Maintenance'!B:B,'Registre_Maintenance'!E:E,"Pas de correspondance")</f>
        <v>Pas de correspondance</v>
      </c>
      <c r="J999" t="str">
        <f>_xlfn.XLOOKUP(Logs__2[[#This Row],[Cell_ID]],'Registre_Maintenance'!B:B,'Registre_Maintenance'!F:F,"Pas de correspondance")</f>
        <v>Pas de correspondance</v>
      </c>
      <c r="K999" t="str">
        <f>_xlfn.XLOOKUP(Logs__2[[#This Row],[Cell_ID]],'Registre_Maintenance'!B:B,'Registre_Maintenance'!G:G,"Pas de correspondance")</f>
        <v>Pas de correspondance</v>
      </c>
    </row>
    <row r="1000" spans="1:11" x14ac:dyDescent="0.25">
      <c r="A1000" s="1" t="s">
        <v>1459</v>
      </c>
      <c r="B1000" s="2">
        <v>45217</v>
      </c>
      <c r="C1000" s="3">
        <v>0.57847222222222228</v>
      </c>
      <c r="D1000" s="1" t="s">
        <v>1463</v>
      </c>
      <c r="E1000">
        <v>93</v>
      </c>
      <c r="F1000" s="1" t="s">
        <v>809</v>
      </c>
      <c r="G1000" t="str">
        <f>_xlfn.XLOOKUP(Logs__2[[#This Row],[Cell_ID]],'Registre_Maintenance'!B:B,'Registre_Maintenance'!C:C,"Pas de correspondance")</f>
        <v>Kasaï-Central</v>
      </c>
      <c r="H1000">
        <f>_xlfn.XLOOKUP(Logs__2[[#This Row],[Cell_ID]],'Registre_Maintenance'!B:B,'Registre_Maintenance'!D:D,"Pas de correspondance")</f>
        <v>-10.735106</v>
      </c>
      <c r="I1000">
        <f>_xlfn.XLOOKUP(Logs__2[[#This Row],[Cell_ID]],'Registre_Maintenance'!B:B,'Registre_Maintenance'!E:E,"Pas de correspondance")</f>
        <v>27.868673999999999</v>
      </c>
      <c r="J1000" t="str">
        <f>_xlfn.XLOOKUP(Logs__2[[#This Row],[Cell_ID]],'Registre_Maintenance'!B:B,'Registre_Maintenance'!F:F,"Pas de correspondance")</f>
        <v>3G</v>
      </c>
      <c r="K1000" t="str">
        <f>_xlfn.XLOOKUP(Logs__2[[#This Row],[Cell_ID]],'Registre_Maintenance'!B:B,'Registre_Maintenance'!G:G,"Pas de correspondance")</f>
        <v>Ericsson</v>
      </c>
    </row>
    <row r="1001" spans="1:11" hidden="1" x14ac:dyDescent="0.25">
      <c r="A1001" s="1" t="s">
        <v>1459</v>
      </c>
      <c r="B1001" s="2">
        <v>45218</v>
      </c>
      <c r="C1001" s="3">
        <v>0.66597222222222219</v>
      </c>
      <c r="D1001" s="1" t="s">
        <v>1464</v>
      </c>
      <c r="E1001">
        <v>90</v>
      </c>
      <c r="F1001" s="1" t="s">
        <v>811</v>
      </c>
      <c r="G1001" t="str">
        <f>_xlfn.XLOOKUP(Logs__2[[#This Row],[Cell_ID]],'Registre_Maintenance'!B:B,'Registre_Maintenance'!C:C,"Pas de correspondance")</f>
        <v>Pas de correspondance</v>
      </c>
      <c r="H1001" t="str">
        <f>_xlfn.XLOOKUP(Logs__2[[#This Row],[Cell_ID]],'Registre_Maintenance'!B:B,'Registre_Maintenance'!D:D,"Pas de correspondance")</f>
        <v>Pas de correspondance</v>
      </c>
      <c r="I1001" t="str">
        <f>_xlfn.XLOOKUP(Logs__2[[#This Row],[Cell_ID]],'Registre_Maintenance'!B:B,'Registre_Maintenance'!E:E,"Pas de correspondance")</f>
        <v>Pas de correspondance</v>
      </c>
      <c r="J1001" t="str">
        <f>_xlfn.XLOOKUP(Logs__2[[#This Row],[Cell_ID]],'Registre_Maintenance'!B:B,'Registre_Maintenance'!F:F,"Pas de correspondance")</f>
        <v>Pas de correspondance</v>
      </c>
      <c r="K1001" t="str">
        <f>_xlfn.XLOOKUP(Logs__2[[#This Row],[Cell_ID]],'Registre_Maintenance'!B:B,'Registre_Maintenance'!G:G,"Pas de correspondance")</f>
        <v>Pas de correspondance</v>
      </c>
    </row>
    <row r="1002" spans="1:11" hidden="1" x14ac:dyDescent="0.25">
      <c r="A1002" s="1" t="s">
        <v>1459</v>
      </c>
      <c r="B1002" s="2">
        <v>45218</v>
      </c>
      <c r="C1002" s="3">
        <v>0.24027777777777778</v>
      </c>
      <c r="D1002" s="1" t="s">
        <v>941</v>
      </c>
      <c r="E1002">
        <v>53</v>
      </c>
      <c r="F1002" s="1" t="s">
        <v>811</v>
      </c>
      <c r="G1002" t="str">
        <f>_xlfn.XLOOKUP(Logs__2[[#This Row],[Cell_ID]],'Registre_Maintenance'!B:B,'Registre_Maintenance'!C:C,"Pas de correspondance")</f>
        <v>Pas de correspondance</v>
      </c>
      <c r="H1002" t="str">
        <f>_xlfn.XLOOKUP(Logs__2[[#This Row],[Cell_ID]],'Registre_Maintenance'!B:B,'Registre_Maintenance'!D:D,"Pas de correspondance")</f>
        <v>Pas de correspondance</v>
      </c>
      <c r="I1002" t="str">
        <f>_xlfn.XLOOKUP(Logs__2[[#This Row],[Cell_ID]],'Registre_Maintenance'!B:B,'Registre_Maintenance'!E:E,"Pas de correspondance")</f>
        <v>Pas de correspondance</v>
      </c>
      <c r="J1002" t="str">
        <f>_xlfn.XLOOKUP(Logs__2[[#This Row],[Cell_ID]],'Registre_Maintenance'!B:B,'Registre_Maintenance'!F:F,"Pas de correspondance")</f>
        <v>Pas de correspondance</v>
      </c>
      <c r="K1002" t="str">
        <f>_xlfn.XLOOKUP(Logs__2[[#This Row],[Cell_ID]],'Registre_Maintenance'!B:B,'Registre_Maintenance'!G:G,"Pas de correspondance")</f>
        <v>Pas de correspondance</v>
      </c>
    </row>
    <row r="1003" spans="1:11" x14ac:dyDescent="0.25">
      <c r="A1003" s="1" t="s">
        <v>1459</v>
      </c>
      <c r="B1003" s="2">
        <v>45226</v>
      </c>
      <c r="C1003" s="3">
        <v>0.17083333333333334</v>
      </c>
      <c r="D1003" s="1" t="s">
        <v>856</v>
      </c>
      <c r="E1003">
        <v>54</v>
      </c>
      <c r="F1003" s="1" t="s">
        <v>806</v>
      </c>
      <c r="G1003" t="str">
        <f>_xlfn.XLOOKUP(Logs__2[[#This Row],[Cell_ID]],'Registre_Maintenance'!B:B,'Registre_Maintenance'!C:C,"Pas de correspondance")</f>
        <v>Tshuapa</v>
      </c>
      <c r="H1003">
        <f>_xlfn.XLOOKUP(Logs__2[[#This Row],[Cell_ID]],'Registre_Maintenance'!B:B,'Registre_Maintenance'!D:D,"Pas de correspondance")</f>
        <v>-5.1030600000000002</v>
      </c>
      <c r="I1003">
        <f>_xlfn.XLOOKUP(Logs__2[[#This Row],[Cell_ID]],'Registre_Maintenance'!B:B,'Registre_Maintenance'!E:E,"Pas de correspondance")</f>
        <v>22.849231</v>
      </c>
      <c r="J1003" t="str">
        <f>_xlfn.XLOOKUP(Logs__2[[#This Row],[Cell_ID]],'Registre_Maintenance'!B:B,'Registre_Maintenance'!F:F,"Pas de correspondance")</f>
        <v>5G</v>
      </c>
      <c r="K1003" t="str">
        <f>_xlfn.XLOOKUP(Logs__2[[#This Row],[Cell_ID]],'Registre_Maintenance'!B:B,'Registre_Maintenance'!G:G,"Pas de correspondance")</f>
        <v>ZTE</v>
      </c>
    </row>
    <row r="1004" spans="1:11" x14ac:dyDescent="0.25">
      <c r="A1004" s="1" t="s">
        <v>1459</v>
      </c>
      <c r="B1004" s="2">
        <v>45212</v>
      </c>
      <c r="C1004" s="3">
        <v>0.90138888888888891</v>
      </c>
      <c r="D1004" s="1" t="s">
        <v>870</v>
      </c>
      <c r="E1004">
        <v>58</v>
      </c>
      <c r="F1004" s="1" t="s">
        <v>806</v>
      </c>
      <c r="G1004" t="str">
        <f>_xlfn.XLOOKUP(Logs__2[[#This Row],[Cell_ID]],'Registre_Maintenance'!B:B,'Registre_Maintenance'!C:C,"Pas de correspondance")</f>
        <v>Kwango</v>
      </c>
      <c r="H1004">
        <f>_xlfn.XLOOKUP(Logs__2[[#This Row],[Cell_ID]],'Registre_Maintenance'!B:B,'Registre_Maintenance'!D:D,"Pas de correspondance")</f>
        <v>-10.963041</v>
      </c>
      <c r="I1004">
        <f>_xlfn.XLOOKUP(Logs__2[[#This Row],[Cell_ID]],'Registre_Maintenance'!B:B,'Registre_Maintenance'!E:E,"Pas de correspondance")</f>
        <v>12.269857</v>
      </c>
      <c r="J1004" t="str">
        <f>_xlfn.XLOOKUP(Logs__2[[#This Row],[Cell_ID]],'Registre_Maintenance'!B:B,'Registre_Maintenance'!F:F,"Pas de correspondance")</f>
        <v>4G</v>
      </c>
      <c r="K1004" t="str">
        <f>_xlfn.XLOOKUP(Logs__2[[#This Row],[Cell_ID]],'Registre_Maintenance'!B:B,'Registre_Maintenance'!G:G,"Pas de correspondance")</f>
        <v>Huawei</v>
      </c>
    </row>
    <row r="1005" spans="1:11" x14ac:dyDescent="0.25">
      <c r="A1005" s="1" t="s">
        <v>1459</v>
      </c>
      <c r="B1005" s="2">
        <v>45219</v>
      </c>
      <c r="C1005" s="3">
        <v>0.43888888888888888</v>
      </c>
      <c r="D1005" s="1" t="s">
        <v>1466</v>
      </c>
      <c r="E1005">
        <v>105</v>
      </c>
      <c r="F1005" s="1" t="s">
        <v>809</v>
      </c>
      <c r="G1005" t="str">
        <f>_xlfn.XLOOKUP(Logs__2[[#This Row],[Cell_ID]],'Registre_Maintenance'!B:B,'Registre_Maintenance'!C:C,"Pas de correspondance")</f>
        <v>Sud-Ubangi</v>
      </c>
      <c r="H1005">
        <f>_xlfn.XLOOKUP(Logs__2[[#This Row],[Cell_ID]],'Registre_Maintenance'!B:B,'Registre_Maintenance'!D:D,"Pas de correspondance")</f>
        <v>-0.54908599999999996</v>
      </c>
      <c r="I1005">
        <f>_xlfn.XLOOKUP(Logs__2[[#This Row],[Cell_ID]],'Registre_Maintenance'!B:B,'Registre_Maintenance'!E:E,"Pas de correspondance")</f>
        <v>14.816867</v>
      </c>
      <c r="J1005" t="str">
        <f>_xlfn.XLOOKUP(Logs__2[[#This Row],[Cell_ID]],'Registre_Maintenance'!B:B,'Registre_Maintenance'!F:F,"Pas de correspondance")</f>
        <v>5G</v>
      </c>
      <c r="K1005" t="str">
        <f>_xlfn.XLOOKUP(Logs__2[[#This Row],[Cell_ID]],'Registre_Maintenance'!B:B,'Registre_Maintenance'!G:G,"Pas de correspondance")</f>
        <v>ZTE</v>
      </c>
    </row>
    <row r="1006" spans="1:11" hidden="1" x14ac:dyDescent="0.25">
      <c r="A1006" s="1" t="s">
        <v>1459</v>
      </c>
      <c r="B1006" s="2">
        <v>45228</v>
      </c>
      <c r="C1006" s="3">
        <v>0.5180555555555556</v>
      </c>
      <c r="D1006" s="1" t="s">
        <v>1408</v>
      </c>
      <c r="E1006">
        <v>92</v>
      </c>
      <c r="F1006" s="1" t="s">
        <v>811</v>
      </c>
      <c r="G1006" t="str">
        <f>_xlfn.XLOOKUP(Logs__2[[#This Row],[Cell_ID]],'Registre_Maintenance'!B:B,'Registre_Maintenance'!C:C,"Pas de correspondance")</f>
        <v>Pas de correspondance</v>
      </c>
      <c r="H1006" t="str">
        <f>_xlfn.XLOOKUP(Logs__2[[#This Row],[Cell_ID]],'Registre_Maintenance'!B:B,'Registre_Maintenance'!D:D,"Pas de correspondance")</f>
        <v>Pas de correspondance</v>
      </c>
      <c r="I1006" t="str">
        <f>_xlfn.XLOOKUP(Logs__2[[#This Row],[Cell_ID]],'Registre_Maintenance'!B:B,'Registre_Maintenance'!E:E,"Pas de correspondance")</f>
        <v>Pas de correspondance</v>
      </c>
      <c r="J1006" t="str">
        <f>_xlfn.XLOOKUP(Logs__2[[#This Row],[Cell_ID]],'Registre_Maintenance'!B:B,'Registre_Maintenance'!F:F,"Pas de correspondance")</f>
        <v>Pas de correspondance</v>
      </c>
      <c r="K1006" t="str">
        <f>_xlfn.XLOOKUP(Logs__2[[#This Row],[Cell_ID]],'Registre_Maintenance'!B:B,'Registre_Maintenance'!G:G,"Pas de correspondance")</f>
        <v>Pas de correspondance</v>
      </c>
    </row>
    <row r="1007" spans="1:11" hidden="1" x14ac:dyDescent="0.25">
      <c r="A1007" s="1" t="s">
        <v>1459</v>
      </c>
      <c r="B1007" s="2">
        <v>45219</v>
      </c>
      <c r="C1007" s="3">
        <v>0.95</v>
      </c>
      <c r="D1007" s="1" t="s">
        <v>861</v>
      </c>
      <c r="E1007">
        <v>45</v>
      </c>
      <c r="F1007" s="1" t="s">
        <v>811</v>
      </c>
      <c r="G1007" t="str">
        <f>_xlfn.XLOOKUP(Logs__2[[#This Row],[Cell_ID]],'Registre_Maintenance'!B:B,'Registre_Maintenance'!C:C,"Pas de correspondance")</f>
        <v>Pas de correspondance</v>
      </c>
      <c r="H1007" t="str">
        <f>_xlfn.XLOOKUP(Logs__2[[#This Row],[Cell_ID]],'Registre_Maintenance'!B:B,'Registre_Maintenance'!D:D,"Pas de correspondance")</f>
        <v>Pas de correspondance</v>
      </c>
      <c r="I1007" t="str">
        <f>_xlfn.XLOOKUP(Logs__2[[#This Row],[Cell_ID]],'Registre_Maintenance'!B:B,'Registre_Maintenance'!E:E,"Pas de correspondance")</f>
        <v>Pas de correspondance</v>
      </c>
      <c r="J1007" t="str">
        <f>_xlfn.XLOOKUP(Logs__2[[#This Row],[Cell_ID]],'Registre_Maintenance'!B:B,'Registre_Maintenance'!F:F,"Pas de correspondance")</f>
        <v>Pas de correspondance</v>
      </c>
      <c r="K1007" t="str">
        <f>_xlfn.XLOOKUP(Logs__2[[#This Row],[Cell_ID]],'Registre_Maintenance'!B:B,'Registre_Maintenance'!G:G,"Pas de correspondance")</f>
        <v>Pas de correspondance</v>
      </c>
    </row>
    <row r="1008" spans="1:11" hidden="1" x14ac:dyDescent="0.25">
      <c r="A1008" s="1" t="s">
        <v>1459</v>
      </c>
      <c r="B1008" s="2">
        <v>45207</v>
      </c>
      <c r="C1008" s="3">
        <v>0.35069444444444442</v>
      </c>
      <c r="D1008" s="1" t="s">
        <v>1467</v>
      </c>
      <c r="E1008">
        <v>75</v>
      </c>
      <c r="F1008" s="1" t="s">
        <v>811</v>
      </c>
      <c r="G1008" t="str">
        <f>_xlfn.XLOOKUP(Logs__2[[#This Row],[Cell_ID]],'Registre_Maintenance'!B:B,'Registre_Maintenance'!C:C,"Pas de correspondance")</f>
        <v>Pas de correspondance</v>
      </c>
      <c r="H1008" t="str">
        <f>_xlfn.XLOOKUP(Logs__2[[#This Row],[Cell_ID]],'Registre_Maintenance'!B:B,'Registre_Maintenance'!D:D,"Pas de correspondance")</f>
        <v>Pas de correspondance</v>
      </c>
      <c r="I1008" t="str">
        <f>_xlfn.XLOOKUP(Logs__2[[#This Row],[Cell_ID]],'Registre_Maintenance'!B:B,'Registre_Maintenance'!E:E,"Pas de correspondance")</f>
        <v>Pas de correspondance</v>
      </c>
      <c r="J1008" t="str">
        <f>_xlfn.XLOOKUP(Logs__2[[#This Row],[Cell_ID]],'Registre_Maintenance'!B:B,'Registre_Maintenance'!F:F,"Pas de correspondance")</f>
        <v>Pas de correspondance</v>
      </c>
      <c r="K1008" t="str">
        <f>_xlfn.XLOOKUP(Logs__2[[#This Row],[Cell_ID]],'Registre_Maintenance'!B:B,'Registre_Maintenance'!G:G,"Pas de correspondance")</f>
        <v>Pas de correspondance</v>
      </c>
    </row>
    <row r="1009" spans="1:11" x14ac:dyDescent="0.25">
      <c r="A1009" s="1" t="s">
        <v>1459</v>
      </c>
      <c r="B1009" s="2">
        <v>45230</v>
      </c>
      <c r="C1009" s="3">
        <v>0.42916666666666664</v>
      </c>
      <c r="D1009" s="1" t="s">
        <v>1199</v>
      </c>
      <c r="E1009">
        <v>11</v>
      </c>
      <c r="F1009" s="1" t="s">
        <v>811</v>
      </c>
      <c r="G1009" t="str">
        <f>_xlfn.XLOOKUP(Logs__2[[#This Row],[Cell_ID]],'Registre_Maintenance'!B:B,'Registre_Maintenance'!C:C,"Pas de correspondance")</f>
        <v>Bas-Uele</v>
      </c>
      <c r="H1009">
        <f>_xlfn.XLOOKUP(Logs__2[[#This Row],[Cell_ID]],'Registre_Maintenance'!B:B,'Registre_Maintenance'!D:D,"Pas de correspondance")</f>
        <v>-2.8532869999999999</v>
      </c>
      <c r="I1009">
        <f>_xlfn.XLOOKUP(Logs__2[[#This Row],[Cell_ID]],'Registre_Maintenance'!B:B,'Registre_Maintenance'!E:E,"Pas de correspondance")</f>
        <v>22.117896000000002</v>
      </c>
      <c r="J1009" t="str">
        <f>_xlfn.XLOOKUP(Logs__2[[#This Row],[Cell_ID]],'Registre_Maintenance'!B:B,'Registre_Maintenance'!F:F,"Pas de correspondance")</f>
        <v>5G</v>
      </c>
      <c r="K1009" t="str">
        <f>_xlfn.XLOOKUP(Logs__2[[#This Row],[Cell_ID]],'Registre_Maintenance'!B:B,'Registre_Maintenance'!G:G,"Pas de correspondance")</f>
        <v>Huawei</v>
      </c>
    </row>
    <row r="1010" spans="1:11" x14ac:dyDescent="0.25">
      <c r="A1010" s="1" t="s">
        <v>1459</v>
      </c>
      <c r="B1010" s="2">
        <v>45214</v>
      </c>
      <c r="C1010" s="3">
        <v>0.17222222222222222</v>
      </c>
      <c r="D1010" s="1" t="s">
        <v>975</v>
      </c>
      <c r="E1010">
        <v>6</v>
      </c>
      <c r="F1010" s="1" t="s">
        <v>806</v>
      </c>
      <c r="G1010" t="str">
        <f>_xlfn.XLOOKUP(Logs__2[[#This Row],[Cell_ID]],'Registre_Maintenance'!B:B,'Registre_Maintenance'!C:C,"Pas de correspondance")</f>
        <v>Bas-Uele</v>
      </c>
      <c r="H1010">
        <f>_xlfn.XLOOKUP(Logs__2[[#This Row],[Cell_ID]],'Registre_Maintenance'!B:B,'Registre_Maintenance'!D:D,"Pas de correspondance")</f>
        <v>-3.6945459999999999</v>
      </c>
      <c r="I1010">
        <f>_xlfn.XLOOKUP(Logs__2[[#This Row],[Cell_ID]],'Registre_Maintenance'!B:B,'Registre_Maintenance'!E:E,"Pas de correspondance")</f>
        <v>16.809108999999999</v>
      </c>
      <c r="J1010" t="str">
        <f>_xlfn.XLOOKUP(Logs__2[[#This Row],[Cell_ID]],'Registre_Maintenance'!B:B,'Registre_Maintenance'!F:F,"Pas de correspondance")</f>
        <v>5G</v>
      </c>
      <c r="K1010" t="str">
        <f>_xlfn.XLOOKUP(Logs__2[[#This Row],[Cell_ID]],'Registre_Maintenance'!B:B,'Registre_Maintenance'!G:G,"Pas de correspondance")</f>
        <v>ZTE</v>
      </c>
    </row>
    <row r="1011" spans="1:11" hidden="1" x14ac:dyDescent="0.25">
      <c r="A1011" s="1" t="s">
        <v>1459</v>
      </c>
      <c r="B1011" s="2">
        <v>45213</v>
      </c>
      <c r="C1011" s="3">
        <v>0.82222222222222219</v>
      </c>
      <c r="D1011" s="1" t="s">
        <v>1468</v>
      </c>
      <c r="E1011">
        <v>100</v>
      </c>
      <c r="F1011" s="1" t="s">
        <v>809</v>
      </c>
      <c r="G1011" t="str">
        <f>_xlfn.XLOOKUP(Logs__2[[#This Row],[Cell_ID]],'Registre_Maintenance'!B:B,'Registre_Maintenance'!C:C,"Pas de correspondance")</f>
        <v>Pas de correspondance</v>
      </c>
      <c r="H1011" t="str">
        <f>_xlfn.XLOOKUP(Logs__2[[#This Row],[Cell_ID]],'Registre_Maintenance'!B:B,'Registre_Maintenance'!D:D,"Pas de correspondance")</f>
        <v>Pas de correspondance</v>
      </c>
      <c r="I1011" t="str">
        <f>_xlfn.XLOOKUP(Logs__2[[#This Row],[Cell_ID]],'Registre_Maintenance'!B:B,'Registre_Maintenance'!E:E,"Pas de correspondance")</f>
        <v>Pas de correspondance</v>
      </c>
      <c r="J1011" t="str">
        <f>_xlfn.XLOOKUP(Logs__2[[#This Row],[Cell_ID]],'Registre_Maintenance'!B:B,'Registre_Maintenance'!F:F,"Pas de correspondance")</f>
        <v>Pas de correspondance</v>
      </c>
      <c r="K1011" t="str">
        <f>_xlfn.XLOOKUP(Logs__2[[#This Row],[Cell_ID]],'Registre_Maintenance'!B:B,'Registre_Maintenance'!G:G,"Pas de correspondance")</f>
        <v>Pas de correspondance</v>
      </c>
    </row>
    <row r="1012" spans="1:11" hidden="1" x14ac:dyDescent="0.25">
      <c r="A1012" s="1" t="s">
        <v>1459</v>
      </c>
      <c r="B1012" s="2">
        <v>45228</v>
      </c>
      <c r="C1012" s="3">
        <v>0.98055555555555551</v>
      </c>
      <c r="D1012" s="1" t="s">
        <v>1012</v>
      </c>
      <c r="E1012">
        <v>37</v>
      </c>
      <c r="F1012" s="1" t="s">
        <v>809</v>
      </c>
      <c r="G1012" t="str">
        <f>_xlfn.XLOOKUP(Logs__2[[#This Row],[Cell_ID]],'Registre_Maintenance'!B:B,'Registre_Maintenance'!C:C,"Pas de correspondance")</f>
        <v>Pas de correspondance</v>
      </c>
      <c r="H1012" t="str">
        <f>_xlfn.XLOOKUP(Logs__2[[#This Row],[Cell_ID]],'Registre_Maintenance'!B:B,'Registre_Maintenance'!D:D,"Pas de correspondance")</f>
        <v>Pas de correspondance</v>
      </c>
      <c r="I1012" t="str">
        <f>_xlfn.XLOOKUP(Logs__2[[#This Row],[Cell_ID]],'Registre_Maintenance'!B:B,'Registre_Maintenance'!E:E,"Pas de correspondance")</f>
        <v>Pas de correspondance</v>
      </c>
      <c r="J1012" t="str">
        <f>_xlfn.XLOOKUP(Logs__2[[#This Row],[Cell_ID]],'Registre_Maintenance'!B:B,'Registre_Maintenance'!F:F,"Pas de correspondance")</f>
        <v>Pas de correspondance</v>
      </c>
      <c r="K1012" t="str">
        <f>_xlfn.XLOOKUP(Logs__2[[#This Row],[Cell_ID]],'Registre_Maintenance'!B:B,'Registre_Maintenance'!G:G,"Pas de correspondance")</f>
        <v>Pas de correspondance</v>
      </c>
    </row>
    <row r="1013" spans="1:11" hidden="1" x14ac:dyDescent="0.25">
      <c r="A1013" s="1" t="s">
        <v>1459</v>
      </c>
      <c r="B1013" s="2">
        <v>45209</v>
      </c>
      <c r="C1013" s="3">
        <v>0.94097222222222221</v>
      </c>
      <c r="D1013" s="1" t="s">
        <v>1234</v>
      </c>
      <c r="E1013">
        <v>30</v>
      </c>
      <c r="F1013" s="1" t="s">
        <v>811</v>
      </c>
      <c r="G1013" t="str">
        <f>_xlfn.XLOOKUP(Logs__2[[#This Row],[Cell_ID]],'Registre_Maintenance'!B:B,'Registre_Maintenance'!C:C,"Pas de correspondance")</f>
        <v>Pas de correspondance</v>
      </c>
      <c r="H1013" t="str">
        <f>_xlfn.XLOOKUP(Logs__2[[#This Row],[Cell_ID]],'Registre_Maintenance'!B:B,'Registre_Maintenance'!D:D,"Pas de correspondance")</f>
        <v>Pas de correspondance</v>
      </c>
      <c r="I1013" t="str">
        <f>_xlfn.XLOOKUP(Logs__2[[#This Row],[Cell_ID]],'Registre_Maintenance'!B:B,'Registre_Maintenance'!E:E,"Pas de correspondance")</f>
        <v>Pas de correspondance</v>
      </c>
      <c r="J1013" t="str">
        <f>_xlfn.XLOOKUP(Logs__2[[#This Row],[Cell_ID]],'Registre_Maintenance'!B:B,'Registre_Maintenance'!F:F,"Pas de correspondance")</f>
        <v>Pas de correspondance</v>
      </c>
      <c r="K1013" t="str">
        <f>_xlfn.XLOOKUP(Logs__2[[#This Row],[Cell_ID]],'Registre_Maintenance'!B:B,'Registre_Maintenance'!G:G,"Pas de correspondance")</f>
        <v>Pas de correspondance</v>
      </c>
    </row>
    <row r="1014" spans="1:11" x14ac:dyDescent="0.25">
      <c r="A1014" s="1" t="s">
        <v>1459</v>
      </c>
      <c r="B1014" s="2">
        <v>45227</v>
      </c>
      <c r="C1014" s="3">
        <v>0.44791666666666669</v>
      </c>
      <c r="D1014" s="1" t="s">
        <v>1232</v>
      </c>
      <c r="E1014">
        <v>84</v>
      </c>
      <c r="F1014" s="1" t="s">
        <v>809</v>
      </c>
      <c r="G1014" t="str">
        <f>_xlfn.XLOOKUP(Logs__2[[#This Row],[Cell_ID]],'Registre_Maintenance'!B:B,'Registre_Maintenance'!C:C,"Pas de correspondance")</f>
        <v>Sud-Kivu</v>
      </c>
      <c r="H1014">
        <f>_xlfn.XLOOKUP(Logs__2[[#This Row],[Cell_ID]],'Registre_Maintenance'!B:B,'Registre_Maintenance'!D:D,"Pas de correspondance")</f>
        <v>2.4414509999999998</v>
      </c>
      <c r="I1014">
        <f>_xlfn.XLOOKUP(Logs__2[[#This Row],[Cell_ID]],'Registre_Maintenance'!B:B,'Registre_Maintenance'!E:E,"Pas de correspondance")</f>
        <v>30.167489</v>
      </c>
      <c r="J1014" t="str">
        <f>_xlfn.XLOOKUP(Logs__2[[#This Row],[Cell_ID]],'Registre_Maintenance'!B:B,'Registre_Maintenance'!F:F,"Pas de correspondance")</f>
        <v>5G</v>
      </c>
      <c r="K1014" t="str">
        <f>_xlfn.XLOOKUP(Logs__2[[#This Row],[Cell_ID]],'Registre_Maintenance'!B:B,'Registre_Maintenance'!G:G,"Pas de correspondance")</f>
        <v>Nokia</v>
      </c>
    </row>
    <row r="1015" spans="1:11" x14ac:dyDescent="0.25">
      <c r="A1015" s="1" t="s">
        <v>1459</v>
      </c>
      <c r="B1015" s="2">
        <v>45223</v>
      </c>
      <c r="C1015" s="3">
        <v>0.73611111111111116</v>
      </c>
      <c r="D1015" s="1" t="s">
        <v>1022</v>
      </c>
      <c r="E1015">
        <v>116</v>
      </c>
      <c r="F1015" s="1" t="s">
        <v>809</v>
      </c>
      <c r="G1015" t="str">
        <f>_xlfn.XLOOKUP(Logs__2[[#This Row],[Cell_ID]],'Registre_Maintenance'!B:B,'Registre_Maintenance'!C:C,"Pas de correspondance")</f>
        <v>Haut-Katanga</v>
      </c>
      <c r="H1015">
        <f>_xlfn.XLOOKUP(Logs__2[[#This Row],[Cell_ID]],'Registre_Maintenance'!B:B,'Registre_Maintenance'!D:D,"Pas de correspondance")</f>
        <v>0.16841400000000001</v>
      </c>
      <c r="I1015">
        <f>_xlfn.XLOOKUP(Logs__2[[#This Row],[Cell_ID]],'Registre_Maintenance'!B:B,'Registre_Maintenance'!E:E,"Pas de correspondance")</f>
        <v>30.029876999999999</v>
      </c>
      <c r="J1015" t="str">
        <f>_xlfn.XLOOKUP(Logs__2[[#This Row],[Cell_ID]],'Registre_Maintenance'!B:B,'Registre_Maintenance'!F:F,"Pas de correspondance")</f>
        <v>5G</v>
      </c>
      <c r="K1015" t="str">
        <f>_xlfn.XLOOKUP(Logs__2[[#This Row],[Cell_ID]],'Registre_Maintenance'!B:B,'Registre_Maintenance'!G:G,"Pas de correspondance")</f>
        <v>Huawei</v>
      </c>
    </row>
    <row r="1016" spans="1:11" hidden="1" x14ac:dyDescent="0.25">
      <c r="A1016" s="1" t="s">
        <v>1459</v>
      </c>
      <c r="B1016" s="2">
        <v>45206</v>
      </c>
      <c r="C1016" s="3">
        <v>0.2590277777777778</v>
      </c>
      <c r="D1016" s="1" t="s">
        <v>1469</v>
      </c>
      <c r="E1016">
        <v>104</v>
      </c>
      <c r="F1016" s="1" t="s">
        <v>806</v>
      </c>
      <c r="G1016" t="str">
        <f>_xlfn.XLOOKUP(Logs__2[[#This Row],[Cell_ID]],'Registre_Maintenance'!B:B,'Registre_Maintenance'!C:C,"Pas de correspondance")</f>
        <v>Pas de correspondance</v>
      </c>
      <c r="H1016" t="str">
        <f>_xlfn.XLOOKUP(Logs__2[[#This Row],[Cell_ID]],'Registre_Maintenance'!B:B,'Registre_Maintenance'!D:D,"Pas de correspondance")</f>
        <v>Pas de correspondance</v>
      </c>
      <c r="I1016" t="str">
        <f>_xlfn.XLOOKUP(Logs__2[[#This Row],[Cell_ID]],'Registre_Maintenance'!B:B,'Registre_Maintenance'!E:E,"Pas de correspondance")</f>
        <v>Pas de correspondance</v>
      </c>
      <c r="J1016" t="str">
        <f>_xlfn.XLOOKUP(Logs__2[[#This Row],[Cell_ID]],'Registre_Maintenance'!B:B,'Registre_Maintenance'!F:F,"Pas de correspondance")</f>
        <v>Pas de correspondance</v>
      </c>
      <c r="K1016" t="str">
        <f>_xlfn.XLOOKUP(Logs__2[[#This Row],[Cell_ID]],'Registre_Maintenance'!B:B,'Registre_Maintenance'!G:G,"Pas de correspondance")</f>
        <v>Pas de correspondance</v>
      </c>
    </row>
    <row r="1017" spans="1:11" hidden="1" x14ac:dyDescent="0.25">
      <c r="A1017" s="1" t="s">
        <v>1459</v>
      </c>
      <c r="B1017" s="2">
        <v>45219</v>
      </c>
      <c r="C1017" s="3">
        <v>0.9291666666666667</v>
      </c>
      <c r="D1017" s="1" t="s">
        <v>1470</v>
      </c>
      <c r="E1017">
        <v>115</v>
      </c>
      <c r="F1017" s="1" t="s">
        <v>806</v>
      </c>
      <c r="G1017" t="str">
        <f>_xlfn.XLOOKUP(Logs__2[[#This Row],[Cell_ID]],'Registre_Maintenance'!B:B,'Registre_Maintenance'!C:C,"Pas de correspondance")</f>
        <v>Pas de correspondance</v>
      </c>
      <c r="H1017" t="str">
        <f>_xlfn.XLOOKUP(Logs__2[[#This Row],[Cell_ID]],'Registre_Maintenance'!B:B,'Registre_Maintenance'!D:D,"Pas de correspondance")</f>
        <v>Pas de correspondance</v>
      </c>
      <c r="I1017" t="str">
        <f>_xlfn.XLOOKUP(Logs__2[[#This Row],[Cell_ID]],'Registre_Maintenance'!B:B,'Registre_Maintenance'!E:E,"Pas de correspondance")</f>
        <v>Pas de correspondance</v>
      </c>
      <c r="J1017" t="str">
        <f>_xlfn.XLOOKUP(Logs__2[[#This Row],[Cell_ID]],'Registre_Maintenance'!B:B,'Registre_Maintenance'!F:F,"Pas de correspondance")</f>
        <v>Pas de correspondance</v>
      </c>
      <c r="K1017" t="str">
        <f>_xlfn.XLOOKUP(Logs__2[[#This Row],[Cell_ID]],'Registre_Maintenance'!B:B,'Registre_Maintenance'!G:G,"Pas de correspondance")</f>
        <v>Pas de correspondance</v>
      </c>
    </row>
    <row r="1018" spans="1:11" hidden="1" x14ac:dyDescent="0.25">
      <c r="A1018" s="1" t="s">
        <v>1459</v>
      </c>
      <c r="B1018" s="2">
        <v>45221</v>
      </c>
      <c r="C1018" s="3">
        <v>0.49861111111111112</v>
      </c>
      <c r="D1018" s="1" t="s">
        <v>1471</v>
      </c>
      <c r="E1018">
        <v>116</v>
      </c>
      <c r="F1018" s="1" t="s">
        <v>809</v>
      </c>
      <c r="G1018" t="str">
        <f>_xlfn.XLOOKUP(Logs__2[[#This Row],[Cell_ID]],'Registre_Maintenance'!B:B,'Registre_Maintenance'!C:C,"Pas de correspondance")</f>
        <v>Pas de correspondance</v>
      </c>
      <c r="H1018" t="str">
        <f>_xlfn.XLOOKUP(Logs__2[[#This Row],[Cell_ID]],'Registre_Maintenance'!B:B,'Registre_Maintenance'!D:D,"Pas de correspondance")</f>
        <v>Pas de correspondance</v>
      </c>
      <c r="I1018" t="str">
        <f>_xlfn.XLOOKUP(Logs__2[[#This Row],[Cell_ID]],'Registre_Maintenance'!B:B,'Registre_Maintenance'!E:E,"Pas de correspondance")</f>
        <v>Pas de correspondance</v>
      </c>
      <c r="J1018" t="str">
        <f>_xlfn.XLOOKUP(Logs__2[[#This Row],[Cell_ID]],'Registre_Maintenance'!B:B,'Registre_Maintenance'!F:F,"Pas de correspondance")</f>
        <v>Pas de correspondance</v>
      </c>
      <c r="K1018" t="str">
        <f>_xlfn.XLOOKUP(Logs__2[[#This Row],[Cell_ID]],'Registre_Maintenance'!B:B,'Registre_Maintenance'!G:G,"Pas de correspondance")</f>
        <v>Pas de correspondance</v>
      </c>
    </row>
    <row r="1019" spans="1:11" x14ac:dyDescent="0.25">
      <c r="A1019" s="1" t="s">
        <v>1459</v>
      </c>
      <c r="B1019" s="2">
        <v>45221</v>
      </c>
      <c r="C1019" s="3">
        <v>0.19791666666666666</v>
      </c>
      <c r="D1019" s="1" t="s">
        <v>1068</v>
      </c>
      <c r="E1019">
        <v>61</v>
      </c>
      <c r="F1019" s="1" t="s">
        <v>811</v>
      </c>
      <c r="G1019" t="str">
        <f>_xlfn.XLOOKUP(Logs__2[[#This Row],[Cell_ID]],'Registre_Maintenance'!B:B,'Registre_Maintenance'!C:C,"Pas de correspondance")</f>
        <v>Kwango</v>
      </c>
      <c r="H1019">
        <f>_xlfn.XLOOKUP(Logs__2[[#This Row],[Cell_ID]],'Registre_Maintenance'!B:B,'Registre_Maintenance'!D:D,"Pas de correspondance")</f>
        <v>-7.5129409999999996</v>
      </c>
      <c r="I1019">
        <f>_xlfn.XLOOKUP(Logs__2[[#This Row],[Cell_ID]],'Registre_Maintenance'!B:B,'Registre_Maintenance'!E:E,"Pas de correspondance")</f>
        <v>18.701522000000001</v>
      </c>
      <c r="J1019" t="str">
        <f>_xlfn.XLOOKUP(Logs__2[[#This Row],[Cell_ID]],'Registre_Maintenance'!B:B,'Registre_Maintenance'!F:F,"Pas de correspondance")</f>
        <v>4G</v>
      </c>
      <c r="K1019" t="str">
        <f>_xlfn.XLOOKUP(Logs__2[[#This Row],[Cell_ID]],'Registre_Maintenance'!B:B,'Registre_Maintenance'!G:G,"Pas de correspondance")</f>
        <v>Nokia</v>
      </c>
    </row>
    <row r="1020" spans="1:11" hidden="1" x14ac:dyDescent="0.25">
      <c r="A1020" s="1" t="s">
        <v>1459</v>
      </c>
      <c r="B1020" s="2">
        <v>45220</v>
      </c>
      <c r="C1020" s="3">
        <v>0.23055555555555557</v>
      </c>
      <c r="D1020" s="1" t="s">
        <v>862</v>
      </c>
      <c r="E1020">
        <v>111</v>
      </c>
      <c r="F1020" s="1" t="s">
        <v>811</v>
      </c>
      <c r="G1020" t="str">
        <f>_xlfn.XLOOKUP(Logs__2[[#This Row],[Cell_ID]],'Registre_Maintenance'!B:B,'Registre_Maintenance'!C:C,"Pas de correspondance")</f>
        <v>Pas de correspondance</v>
      </c>
      <c r="H1020" t="str">
        <f>_xlfn.XLOOKUP(Logs__2[[#This Row],[Cell_ID]],'Registre_Maintenance'!B:B,'Registre_Maintenance'!D:D,"Pas de correspondance")</f>
        <v>Pas de correspondance</v>
      </c>
      <c r="I1020" t="str">
        <f>_xlfn.XLOOKUP(Logs__2[[#This Row],[Cell_ID]],'Registre_Maintenance'!B:B,'Registre_Maintenance'!E:E,"Pas de correspondance")</f>
        <v>Pas de correspondance</v>
      </c>
      <c r="J1020" t="str">
        <f>_xlfn.XLOOKUP(Logs__2[[#This Row],[Cell_ID]],'Registre_Maintenance'!B:B,'Registre_Maintenance'!F:F,"Pas de correspondance")</f>
        <v>Pas de correspondance</v>
      </c>
      <c r="K1020" t="str">
        <f>_xlfn.XLOOKUP(Logs__2[[#This Row],[Cell_ID]],'Registre_Maintenance'!B:B,'Registre_Maintenance'!G:G,"Pas de correspondance")</f>
        <v>Pas de correspondance</v>
      </c>
    </row>
    <row r="1021" spans="1:11" hidden="1" x14ac:dyDescent="0.25">
      <c r="A1021" s="1" t="s">
        <v>1459</v>
      </c>
      <c r="B1021" s="2">
        <v>45217</v>
      </c>
      <c r="C1021" s="3">
        <v>0.94444444444444442</v>
      </c>
      <c r="D1021" s="1" t="s">
        <v>1472</v>
      </c>
      <c r="E1021">
        <v>33</v>
      </c>
      <c r="F1021" s="1" t="s">
        <v>806</v>
      </c>
      <c r="G1021" t="str">
        <f>_xlfn.XLOOKUP(Logs__2[[#This Row],[Cell_ID]],'Registre_Maintenance'!B:B,'Registre_Maintenance'!C:C,"Pas de correspondance")</f>
        <v>Pas de correspondance</v>
      </c>
      <c r="H1021" t="str">
        <f>_xlfn.XLOOKUP(Logs__2[[#This Row],[Cell_ID]],'Registre_Maintenance'!B:B,'Registre_Maintenance'!D:D,"Pas de correspondance")</f>
        <v>Pas de correspondance</v>
      </c>
      <c r="I1021" t="str">
        <f>_xlfn.XLOOKUP(Logs__2[[#This Row],[Cell_ID]],'Registre_Maintenance'!B:B,'Registre_Maintenance'!E:E,"Pas de correspondance")</f>
        <v>Pas de correspondance</v>
      </c>
      <c r="J1021" t="str">
        <f>_xlfn.XLOOKUP(Logs__2[[#This Row],[Cell_ID]],'Registre_Maintenance'!B:B,'Registre_Maintenance'!F:F,"Pas de correspondance")</f>
        <v>Pas de correspondance</v>
      </c>
      <c r="K1021" t="str">
        <f>_xlfn.XLOOKUP(Logs__2[[#This Row],[Cell_ID]],'Registre_Maintenance'!B:B,'Registre_Maintenance'!G:G,"Pas de correspondance")</f>
        <v>Pas de correspondance</v>
      </c>
    </row>
    <row r="1022" spans="1:11" hidden="1" x14ac:dyDescent="0.25">
      <c r="A1022" s="1" t="s">
        <v>1459</v>
      </c>
      <c r="B1022" s="2">
        <v>45210</v>
      </c>
      <c r="C1022" s="3">
        <v>0.92152777777777772</v>
      </c>
      <c r="D1022" s="1" t="s">
        <v>1275</v>
      </c>
      <c r="E1022">
        <v>86</v>
      </c>
      <c r="F1022" s="1" t="s">
        <v>809</v>
      </c>
      <c r="G1022" t="str">
        <f>_xlfn.XLOOKUP(Logs__2[[#This Row],[Cell_ID]],'Registre_Maintenance'!B:B,'Registre_Maintenance'!C:C,"Pas de correspondance")</f>
        <v>Pas de correspondance</v>
      </c>
      <c r="H1022" t="str">
        <f>_xlfn.XLOOKUP(Logs__2[[#This Row],[Cell_ID]],'Registre_Maintenance'!B:B,'Registre_Maintenance'!D:D,"Pas de correspondance")</f>
        <v>Pas de correspondance</v>
      </c>
      <c r="I1022" t="str">
        <f>_xlfn.XLOOKUP(Logs__2[[#This Row],[Cell_ID]],'Registre_Maintenance'!B:B,'Registre_Maintenance'!E:E,"Pas de correspondance")</f>
        <v>Pas de correspondance</v>
      </c>
      <c r="J1022" t="str">
        <f>_xlfn.XLOOKUP(Logs__2[[#This Row],[Cell_ID]],'Registre_Maintenance'!B:B,'Registre_Maintenance'!F:F,"Pas de correspondance")</f>
        <v>Pas de correspondance</v>
      </c>
      <c r="K1022" t="str">
        <f>_xlfn.XLOOKUP(Logs__2[[#This Row],[Cell_ID]],'Registre_Maintenance'!B:B,'Registre_Maintenance'!G:G,"Pas de correspondance")</f>
        <v>Pas de correspondance</v>
      </c>
    </row>
    <row r="1023" spans="1:11" hidden="1" x14ac:dyDescent="0.25">
      <c r="A1023" s="1" t="s">
        <v>1459</v>
      </c>
      <c r="B1023" s="2">
        <v>45224</v>
      </c>
      <c r="C1023" s="3">
        <v>0.4826388888888889</v>
      </c>
      <c r="D1023" s="1" t="s">
        <v>823</v>
      </c>
      <c r="E1023">
        <v>95</v>
      </c>
      <c r="F1023" s="1" t="s">
        <v>809</v>
      </c>
      <c r="G1023" t="str">
        <f>_xlfn.XLOOKUP(Logs__2[[#This Row],[Cell_ID]],'Registre_Maintenance'!B:B,'Registre_Maintenance'!C:C,"Pas de correspondance")</f>
        <v>Pas de correspondance</v>
      </c>
      <c r="H1023" t="str">
        <f>_xlfn.XLOOKUP(Logs__2[[#This Row],[Cell_ID]],'Registre_Maintenance'!B:B,'Registre_Maintenance'!D:D,"Pas de correspondance")</f>
        <v>Pas de correspondance</v>
      </c>
      <c r="I1023" t="str">
        <f>_xlfn.XLOOKUP(Logs__2[[#This Row],[Cell_ID]],'Registre_Maintenance'!B:B,'Registre_Maintenance'!E:E,"Pas de correspondance")</f>
        <v>Pas de correspondance</v>
      </c>
      <c r="J1023" t="str">
        <f>_xlfn.XLOOKUP(Logs__2[[#This Row],[Cell_ID]],'Registre_Maintenance'!B:B,'Registre_Maintenance'!F:F,"Pas de correspondance")</f>
        <v>Pas de correspondance</v>
      </c>
      <c r="K1023" t="str">
        <f>_xlfn.XLOOKUP(Logs__2[[#This Row],[Cell_ID]],'Registre_Maintenance'!B:B,'Registre_Maintenance'!G:G,"Pas de correspondance")</f>
        <v>Pas de correspondance</v>
      </c>
    </row>
    <row r="1024" spans="1:11" x14ac:dyDescent="0.25">
      <c r="A1024" s="1" t="s">
        <v>1459</v>
      </c>
      <c r="B1024" s="2">
        <v>45215</v>
      </c>
      <c r="C1024" s="3">
        <v>0.77500000000000002</v>
      </c>
      <c r="D1024" s="1" t="s">
        <v>1169</v>
      </c>
      <c r="E1024">
        <v>95</v>
      </c>
      <c r="F1024" s="1" t="s">
        <v>809</v>
      </c>
      <c r="G1024" t="str">
        <f>_xlfn.XLOOKUP(Logs__2[[#This Row],[Cell_ID]],'Registre_Maintenance'!B:B,'Registre_Maintenance'!C:C,"Pas de correspondance")</f>
        <v>Tshopo</v>
      </c>
      <c r="H1024">
        <f>_xlfn.XLOOKUP(Logs__2[[#This Row],[Cell_ID]],'Registre_Maintenance'!B:B,'Registre_Maintenance'!D:D,"Pas de correspondance")</f>
        <v>-0.85624699999999998</v>
      </c>
      <c r="I1024">
        <f>_xlfn.XLOOKUP(Logs__2[[#This Row],[Cell_ID]],'Registre_Maintenance'!B:B,'Registre_Maintenance'!E:E,"Pas de correspondance")</f>
        <v>28.624870000000001</v>
      </c>
      <c r="J1024" t="str">
        <f>_xlfn.XLOOKUP(Logs__2[[#This Row],[Cell_ID]],'Registre_Maintenance'!B:B,'Registre_Maintenance'!F:F,"Pas de correspondance")</f>
        <v>3G</v>
      </c>
      <c r="K1024" t="str">
        <f>_xlfn.XLOOKUP(Logs__2[[#This Row],[Cell_ID]],'Registre_Maintenance'!B:B,'Registre_Maintenance'!G:G,"Pas de correspondance")</f>
        <v>Ericsson</v>
      </c>
    </row>
    <row r="1025" spans="1:11" hidden="1" x14ac:dyDescent="0.25">
      <c r="A1025" s="1" t="s">
        <v>1459</v>
      </c>
      <c r="B1025" s="2">
        <v>45230</v>
      </c>
      <c r="C1025" s="3">
        <v>0.90625</v>
      </c>
      <c r="D1025" s="1" t="s">
        <v>1410</v>
      </c>
      <c r="E1025">
        <v>87</v>
      </c>
      <c r="F1025" s="1" t="s">
        <v>806</v>
      </c>
      <c r="G1025" t="str">
        <f>_xlfn.XLOOKUP(Logs__2[[#This Row],[Cell_ID]],'Registre_Maintenance'!B:B,'Registre_Maintenance'!C:C,"Pas de correspondance")</f>
        <v>Pas de correspondance</v>
      </c>
      <c r="H1025" t="str">
        <f>_xlfn.XLOOKUP(Logs__2[[#This Row],[Cell_ID]],'Registre_Maintenance'!B:B,'Registre_Maintenance'!D:D,"Pas de correspondance")</f>
        <v>Pas de correspondance</v>
      </c>
      <c r="I1025" t="str">
        <f>_xlfn.XLOOKUP(Logs__2[[#This Row],[Cell_ID]],'Registre_Maintenance'!B:B,'Registre_Maintenance'!E:E,"Pas de correspondance")</f>
        <v>Pas de correspondance</v>
      </c>
      <c r="J1025" t="str">
        <f>_xlfn.XLOOKUP(Logs__2[[#This Row],[Cell_ID]],'Registre_Maintenance'!B:B,'Registre_Maintenance'!F:F,"Pas de correspondance")</f>
        <v>Pas de correspondance</v>
      </c>
      <c r="K1025" t="str">
        <f>_xlfn.XLOOKUP(Logs__2[[#This Row],[Cell_ID]],'Registre_Maintenance'!B:B,'Registre_Maintenance'!G:G,"Pas de correspondance")</f>
        <v>Pas de correspondance</v>
      </c>
    </row>
    <row r="1026" spans="1:11" x14ac:dyDescent="0.25">
      <c r="A1026" s="1" t="s">
        <v>1459</v>
      </c>
      <c r="B1026" s="2">
        <v>45213</v>
      </c>
      <c r="C1026" s="3">
        <v>0.90763888888888888</v>
      </c>
      <c r="D1026" s="1" t="s">
        <v>1432</v>
      </c>
      <c r="E1026">
        <v>52</v>
      </c>
      <c r="F1026" s="1" t="s">
        <v>806</v>
      </c>
      <c r="G1026" t="str">
        <f>_xlfn.XLOOKUP(Logs__2[[#This Row],[Cell_ID]],'Registre_Maintenance'!B:B,'Registre_Maintenance'!C:C,"Pas de correspondance")</f>
        <v>Nord-Kivu</v>
      </c>
      <c r="H1026">
        <f>_xlfn.XLOOKUP(Logs__2[[#This Row],[Cell_ID]],'Registre_Maintenance'!B:B,'Registre_Maintenance'!D:D,"Pas de correspondance")</f>
        <v>-10.298385</v>
      </c>
      <c r="I1026">
        <f>_xlfn.XLOOKUP(Logs__2[[#This Row],[Cell_ID]],'Registre_Maintenance'!B:B,'Registre_Maintenance'!E:E,"Pas de correspondance")</f>
        <v>29.698117</v>
      </c>
      <c r="J1026" t="str">
        <f>_xlfn.XLOOKUP(Logs__2[[#This Row],[Cell_ID]],'Registre_Maintenance'!B:B,'Registre_Maintenance'!F:F,"Pas de correspondance")</f>
        <v>5G</v>
      </c>
      <c r="K1026" t="str">
        <f>_xlfn.XLOOKUP(Logs__2[[#This Row],[Cell_ID]],'Registre_Maintenance'!B:B,'Registre_Maintenance'!G:G,"Pas de correspondance")</f>
        <v>Nokia</v>
      </c>
    </row>
    <row r="1027" spans="1:11" hidden="1" x14ac:dyDescent="0.25">
      <c r="A1027" s="1" t="s">
        <v>1459</v>
      </c>
      <c r="B1027" s="2">
        <v>45228</v>
      </c>
      <c r="C1027" s="3">
        <v>0.72083333333333333</v>
      </c>
      <c r="D1027" s="1" t="s">
        <v>1473</v>
      </c>
      <c r="E1027">
        <v>101</v>
      </c>
      <c r="F1027" s="1" t="s">
        <v>809</v>
      </c>
      <c r="G1027" t="str">
        <f>_xlfn.XLOOKUP(Logs__2[[#This Row],[Cell_ID]],'Registre_Maintenance'!B:B,'Registre_Maintenance'!C:C,"Pas de correspondance")</f>
        <v>Pas de correspondance</v>
      </c>
      <c r="H1027" t="str">
        <f>_xlfn.XLOOKUP(Logs__2[[#This Row],[Cell_ID]],'Registre_Maintenance'!B:B,'Registre_Maintenance'!D:D,"Pas de correspondance")</f>
        <v>Pas de correspondance</v>
      </c>
      <c r="I1027" t="str">
        <f>_xlfn.XLOOKUP(Logs__2[[#This Row],[Cell_ID]],'Registre_Maintenance'!B:B,'Registre_Maintenance'!E:E,"Pas de correspondance")</f>
        <v>Pas de correspondance</v>
      </c>
      <c r="J1027" t="str">
        <f>_xlfn.XLOOKUP(Logs__2[[#This Row],[Cell_ID]],'Registre_Maintenance'!B:B,'Registre_Maintenance'!F:F,"Pas de correspondance")</f>
        <v>Pas de correspondance</v>
      </c>
      <c r="K1027" t="str">
        <f>_xlfn.XLOOKUP(Logs__2[[#This Row],[Cell_ID]],'Registre_Maintenance'!B:B,'Registre_Maintenance'!G:G,"Pas de correspondance")</f>
        <v>Pas de correspondance</v>
      </c>
    </row>
    <row r="1028" spans="1:11" hidden="1" x14ac:dyDescent="0.25">
      <c r="A1028" s="1" t="s">
        <v>1459</v>
      </c>
      <c r="B1028" s="2">
        <v>45228</v>
      </c>
      <c r="C1028" s="3">
        <v>0.57708333333333328</v>
      </c>
      <c r="D1028" s="1" t="s">
        <v>955</v>
      </c>
      <c r="E1028">
        <v>80</v>
      </c>
      <c r="F1028" s="1" t="s">
        <v>811</v>
      </c>
      <c r="G1028" t="str">
        <f>_xlfn.XLOOKUP(Logs__2[[#This Row],[Cell_ID]],'Registre_Maintenance'!B:B,'Registre_Maintenance'!C:C,"Pas de correspondance")</f>
        <v>Pas de correspondance</v>
      </c>
      <c r="H1028" t="str">
        <f>_xlfn.XLOOKUP(Logs__2[[#This Row],[Cell_ID]],'Registre_Maintenance'!B:B,'Registre_Maintenance'!D:D,"Pas de correspondance")</f>
        <v>Pas de correspondance</v>
      </c>
      <c r="I1028" t="str">
        <f>_xlfn.XLOOKUP(Logs__2[[#This Row],[Cell_ID]],'Registre_Maintenance'!B:B,'Registre_Maintenance'!E:E,"Pas de correspondance")</f>
        <v>Pas de correspondance</v>
      </c>
      <c r="J1028" t="str">
        <f>_xlfn.XLOOKUP(Logs__2[[#This Row],[Cell_ID]],'Registre_Maintenance'!B:B,'Registre_Maintenance'!F:F,"Pas de correspondance")</f>
        <v>Pas de correspondance</v>
      </c>
      <c r="K1028" t="str">
        <f>_xlfn.XLOOKUP(Logs__2[[#This Row],[Cell_ID]],'Registre_Maintenance'!B:B,'Registre_Maintenance'!G:G,"Pas de correspondance")</f>
        <v>Pas de correspondance</v>
      </c>
    </row>
    <row r="1029" spans="1:11" x14ac:dyDescent="0.25">
      <c r="A1029" s="1" t="s">
        <v>1459</v>
      </c>
      <c r="B1029" s="2">
        <v>45200</v>
      </c>
      <c r="C1029" s="3">
        <v>0.67083333333333328</v>
      </c>
      <c r="D1029" s="1" t="s">
        <v>1474</v>
      </c>
      <c r="E1029">
        <v>74</v>
      </c>
      <c r="F1029" s="1" t="s">
        <v>811</v>
      </c>
      <c r="G1029" t="str">
        <f>_xlfn.XLOOKUP(Logs__2[[#This Row],[Cell_ID]],'Registre_Maintenance'!B:B,'Registre_Maintenance'!C:C,"Pas de correspondance")</f>
        <v>Ituri</v>
      </c>
      <c r="H1029">
        <f>_xlfn.XLOOKUP(Logs__2[[#This Row],[Cell_ID]],'Registre_Maintenance'!B:B,'Registre_Maintenance'!D:D,"Pas de correspondance")</f>
        <v>-4.6426759999999998</v>
      </c>
      <c r="I1029">
        <f>_xlfn.XLOOKUP(Logs__2[[#This Row],[Cell_ID]],'Registre_Maintenance'!B:B,'Registre_Maintenance'!E:E,"Pas de correspondance")</f>
        <v>22.124254000000001</v>
      </c>
      <c r="J1029" t="str">
        <f>_xlfn.XLOOKUP(Logs__2[[#This Row],[Cell_ID]],'Registre_Maintenance'!B:B,'Registre_Maintenance'!F:F,"Pas de correspondance")</f>
        <v>4G</v>
      </c>
      <c r="K1029" t="str">
        <f>_xlfn.XLOOKUP(Logs__2[[#This Row],[Cell_ID]],'Registre_Maintenance'!B:B,'Registre_Maintenance'!G:G,"Pas de correspondance")</f>
        <v>ZTE</v>
      </c>
    </row>
    <row r="1030" spans="1:11" x14ac:dyDescent="0.25">
      <c r="A1030" s="1" t="s">
        <v>1459</v>
      </c>
      <c r="B1030" s="2">
        <v>45200</v>
      </c>
      <c r="C1030" s="3">
        <v>0.50624999999999998</v>
      </c>
      <c r="D1030" s="1" t="s">
        <v>1303</v>
      </c>
      <c r="E1030">
        <v>99</v>
      </c>
      <c r="F1030" s="1" t="s">
        <v>806</v>
      </c>
      <c r="G1030" t="str">
        <f>_xlfn.XLOOKUP(Logs__2[[#This Row],[Cell_ID]],'Registre_Maintenance'!B:B,'Registre_Maintenance'!C:C,"Pas de correspondance")</f>
        <v>Haut-Katanga</v>
      </c>
      <c r="H1030">
        <f>_xlfn.XLOOKUP(Logs__2[[#This Row],[Cell_ID]],'Registre_Maintenance'!B:B,'Registre_Maintenance'!D:D,"Pas de correspondance")</f>
        <v>-10.945031</v>
      </c>
      <c r="I1030">
        <f>_xlfn.XLOOKUP(Logs__2[[#This Row],[Cell_ID]],'Registre_Maintenance'!B:B,'Registre_Maintenance'!E:E,"Pas de correspondance")</f>
        <v>27.922274000000002</v>
      </c>
      <c r="J1030" t="str">
        <f>_xlfn.XLOOKUP(Logs__2[[#This Row],[Cell_ID]],'Registre_Maintenance'!B:B,'Registre_Maintenance'!F:F,"Pas de correspondance")</f>
        <v>4G</v>
      </c>
      <c r="K1030" t="str">
        <f>_xlfn.XLOOKUP(Logs__2[[#This Row],[Cell_ID]],'Registre_Maintenance'!B:B,'Registre_Maintenance'!G:G,"Pas de correspondance")</f>
        <v>Ericsson</v>
      </c>
    </row>
    <row r="1031" spans="1:11" x14ac:dyDescent="0.25">
      <c r="A1031" s="1" t="s">
        <v>1459</v>
      </c>
      <c r="B1031" s="2">
        <v>45201</v>
      </c>
      <c r="C1031" s="3">
        <v>0.87708333333333333</v>
      </c>
      <c r="D1031" s="1" t="s">
        <v>974</v>
      </c>
      <c r="E1031">
        <v>82</v>
      </c>
      <c r="F1031" s="1" t="s">
        <v>811</v>
      </c>
      <c r="G1031" t="str">
        <f>_xlfn.XLOOKUP(Logs__2[[#This Row],[Cell_ID]],'Registre_Maintenance'!B:B,'Registre_Maintenance'!C:C,"Pas de correspondance")</f>
        <v>Nord-Kivu</v>
      </c>
      <c r="H1031">
        <f>_xlfn.XLOOKUP(Logs__2[[#This Row],[Cell_ID]],'Registre_Maintenance'!B:B,'Registre_Maintenance'!D:D,"Pas de correspondance")</f>
        <v>-12.336202</v>
      </c>
      <c r="I1031">
        <f>_xlfn.XLOOKUP(Logs__2[[#This Row],[Cell_ID]],'Registre_Maintenance'!B:B,'Registre_Maintenance'!E:E,"Pas de correspondance")</f>
        <v>13.693683999999999</v>
      </c>
      <c r="J1031" t="str">
        <f>_xlfn.XLOOKUP(Logs__2[[#This Row],[Cell_ID]],'Registre_Maintenance'!B:B,'Registre_Maintenance'!F:F,"Pas de correspondance")</f>
        <v>5G</v>
      </c>
      <c r="K1031" t="str">
        <f>_xlfn.XLOOKUP(Logs__2[[#This Row],[Cell_ID]],'Registre_Maintenance'!B:B,'Registre_Maintenance'!G:G,"Pas de correspondance")</f>
        <v>Huawei</v>
      </c>
    </row>
    <row r="1032" spans="1:11" hidden="1" x14ac:dyDescent="0.25">
      <c r="A1032" s="1" t="s">
        <v>1459</v>
      </c>
      <c r="B1032" s="2">
        <v>45206</v>
      </c>
      <c r="C1032" s="3">
        <v>0.36666666666666664</v>
      </c>
      <c r="D1032" s="1" t="s">
        <v>1475</v>
      </c>
      <c r="E1032">
        <v>30</v>
      </c>
      <c r="F1032" s="1" t="s">
        <v>811</v>
      </c>
      <c r="G1032" t="str">
        <f>_xlfn.XLOOKUP(Logs__2[[#This Row],[Cell_ID]],'Registre_Maintenance'!B:B,'Registre_Maintenance'!C:C,"Pas de correspondance")</f>
        <v>Pas de correspondance</v>
      </c>
      <c r="H1032" t="str">
        <f>_xlfn.XLOOKUP(Logs__2[[#This Row],[Cell_ID]],'Registre_Maintenance'!B:B,'Registre_Maintenance'!D:D,"Pas de correspondance")</f>
        <v>Pas de correspondance</v>
      </c>
      <c r="I1032" t="str">
        <f>_xlfn.XLOOKUP(Logs__2[[#This Row],[Cell_ID]],'Registre_Maintenance'!B:B,'Registre_Maintenance'!E:E,"Pas de correspondance")</f>
        <v>Pas de correspondance</v>
      </c>
      <c r="J1032" t="str">
        <f>_xlfn.XLOOKUP(Logs__2[[#This Row],[Cell_ID]],'Registre_Maintenance'!B:B,'Registre_Maintenance'!F:F,"Pas de correspondance")</f>
        <v>Pas de correspondance</v>
      </c>
      <c r="K1032" t="str">
        <f>_xlfn.XLOOKUP(Logs__2[[#This Row],[Cell_ID]],'Registre_Maintenance'!B:B,'Registre_Maintenance'!G:G,"Pas de correspondance")</f>
        <v>Pas de correspondance</v>
      </c>
    </row>
    <row r="1033" spans="1:11" hidden="1" x14ac:dyDescent="0.25">
      <c r="A1033" s="1" t="s">
        <v>1459</v>
      </c>
      <c r="B1033" s="2">
        <v>45225</v>
      </c>
      <c r="C1033" s="3">
        <v>0.22083333333333333</v>
      </c>
      <c r="D1033" s="1" t="s">
        <v>1476</v>
      </c>
      <c r="E1033">
        <v>104</v>
      </c>
      <c r="F1033" s="1" t="s">
        <v>809</v>
      </c>
      <c r="G1033" t="str">
        <f>_xlfn.XLOOKUP(Logs__2[[#This Row],[Cell_ID]],'Registre_Maintenance'!B:B,'Registre_Maintenance'!C:C,"Pas de correspondance")</f>
        <v>Pas de correspondance</v>
      </c>
      <c r="H1033" t="str">
        <f>_xlfn.XLOOKUP(Logs__2[[#This Row],[Cell_ID]],'Registre_Maintenance'!B:B,'Registre_Maintenance'!D:D,"Pas de correspondance")</f>
        <v>Pas de correspondance</v>
      </c>
      <c r="I1033" t="str">
        <f>_xlfn.XLOOKUP(Logs__2[[#This Row],[Cell_ID]],'Registre_Maintenance'!B:B,'Registre_Maintenance'!E:E,"Pas de correspondance")</f>
        <v>Pas de correspondance</v>
      </c>
      <c r="J1033" t="str">
        <f>_xlfn.XLOOKUP(Logs__2[[#This Row],[Cell_ID]],'Registre_Maintenance'!B:B,'Registre_Maintenance'!F:F,"Pas de correspondance")</f>
        <v>Pas de correspondance</v>
      </c>
      <c r="K1033" t="str">
        <f>_xlfn.XLOOKUP(Logs__2[[#This Row],[Cell_ID]],'Registre_Maintenance'!B:B,'Registre_Maintenance'!G:G,"Pas de correspondance")</f>
        <v>Pas de correspondance</v>
      </c>
    </row>
    <row r="1034" spans="1:11" hidden="1" x14ac:dyDescent="0.25">
      <c r="A1034" s="1" t="s">
        <v>1459</v>
      </c>
      <c r="B1034" s="2">
        <v>45221</v>
      </c>
      <c r="C1034" s="3">
        <v>0.33958333333333335</v>
      </c>
      <c r="D1034" s="1" t="s">
        <v>1326</v>
      </c>
      <c r="E1034">
        <v>97</v>
      </c>
      <c r="F1034" s="1" t="s">
        <v>809</v>
      </c>
      <c r="G1034" t="str">
        <f>_xlfn.XLOOKUP(Logs__2[[#This Row],[Cell_ID]],'Registre_Maintenance'!B:B,'Registre_Maintenance'!C:C,"Pas de correspondance")</f>
        <v>Pas de correspondance</v>
      </c>
      <c r="H1034" t="str">
        <f>_xlfn.XLOOKUP(Logs__2[[#This Row],[Cell_ID]],'Registre_Maintenance'!B:B,'Registre_Maintenance'!D:D,"Pas de correspondance")</f>
        <v>Pas de correspondance</v>
      </c>
      <c r="I1034" t="str">
        <f>_xlfn.XLOOKUP(Logs__2[[#This Row],[Cell_ID]],'Registre_Maintenance'!B:B,'Registre_Maintenance'!E:E,"Pas de correspondance")</f>
        <v>Pas de correspondance</v>
      </c>
      <c r="J1034" t="str">
        <f>_xlfn.XLOOKUP(Logs__2[[#This Row],[Cell_ID]],'Registre_Maintenance'!B:B,'Registre_Maintenance'!F:F,"Pas de correspondance")</f>
        <v>Pas de correspondance</v>
      </c>
      <c r="K1034" t="str">
        <f>_xlfn.XLOOKUP(Logs__2[[#This Row],[Cell_ID]],'Registre_Maintenance'!B:B,'Registre_Maintenance'!G:G,"Pas de correspondance")</f>
        <v>Pas de correspondance</v>
      </c>
    </row>
    <row r="1035" spans="1:11" hidden="1" x14ac:dyDescent="0.25">
      <c r="A1035" s="1" t="s">
        <v>1459</v>
      </c>
      <c r="B1035" s="2">
        <v>45226</v>
      </c>
      <c r="C1035" s="3">
        <v>7.2222222222222215E-2</v>
      </c>
      <c r="D1035" s="1" t="s">
        <v>1477</v>
      </c>
      <c r="E1035">
        <v>29</v>
      </c>
      <c r="F1035" s="1" t="s">
        <v>811</v>
      </c>
      <c r="G1035" t="str">
        <f>_xlfn.XLOOKUP(Logs__2[[#This Row],[Cell_ID]],'Registre_Maintenance'!B:B,'Registre_Maintenance'!C:C,"Pas de correspondance")</f>
        <v>Pas de correspondance</v>
      </c>
      <c r="H1035" t="str">
        <f>_xlfn.XLOOKUP(Logs__2[[#This Row],[Cell_ID]],'Registre_Maintenance'!B:B,'Registre_Maintenance'!D:D,"Pas de correspondance")</f>
        <v>Pas de correspondance</v>
      </c>
      <c r="I1035" t="str">
        <f>_xlfn.XLOOKUP(Logs__2[[#This Row],[Cell_ID]],'Registre_Maintenance'!B:B,'Registre_Maintenance'!E:E,"Pas de correspondance")</f>
        <v>Pas de correspondance</v>
      </c>
      <c r="J1035" t="str">
        <f>_xlfn.XLOOKUP(Logs__2[[#This Row],[Cell_ID]],'Registre_Maintenance'!B:B,'Registre_Maintenance'!F:F,"Pas de correspondance")</f>
        <v>Pas de correspondance</v>
      </c>
      <c r="K1035" t="str">
        <f>_xlfn.XLOOKUP(Logs__2[[#This Row],[Cell_ID]],'Registre_Maintenance'!B:B,'Registre_Maintenance'!G:G,"Pas de correspondance")</f>
        <v>Pas de correspondance</v>
      </c>
    </row>
    <row r="1036" spans="1:11" hidden="1" x14ac:dyDescent="0.25">
      <c r="A1036" s="1" t="s">
        <v>1459</v>
      </c>
      <c r="B1036" s="2">
        <v>45225</v>
      </c>
      <c r="C1036" s="3">
        <v>0.3840277777777778</v>
      </c>
      <c r="D1036" s="1" t="s">
        <v>1365</v>
      </c>
      <c r="E1036">
        <v>42</v>
      </c>
      <c r="F1036" s="1" t="s">
        <v>806</v>
      </c>
      <c r="G1036" t="str">
        <f>_xlfn.XLOOKUP(Logs__2[[#This Row],[Cell_ID]],'Registre_Maintenance'!B:B,'Registre_Maintenance'!C:C,"Pas de correspondance")</f>
        <v>Pas de correspondance</v>
      </c>
      <c r="H1036" t="str">
        <f>_xlfn.XLOOKUP(Logs__2[[#This Row],[Cell_ID]],'Registre_Maintenance'!B:B,'Registre_Maintenance'!D:D,"Pas de correspondance")</f>
        <v>Pas de correspondance</v>
      </c>
      <c r="I1036" t="str">
        <f>_xlfn.XLOOKUP(Logs__2[[#This Row],[Cell_ID]],'Registre_Maintenance'!B:B,'Registre_Maintenance'!E:E,"Pas de correspondance")</f>
        <v>Pas de correspondance</v>
      </c>
      <c r="J1036" t="str">
        <f>_xlfn.XLOOKUP(Logs__2[[#This Row],[Cell_ID]],'Registre_Maintenance'!B:B,'Registre_Maintenance'!F:F,"Pas de correspondance")</f>
        <v>Pas de correspondance</v>
      </c>
      <c r="K1036" t="str">
        <f>_xlfn.XLOOKUP(Logs__2[[#This Row],[Cell_ID]],'Registre_Maintenance'!B:B,'Registre_Maintenance'!G:G,"Pas de correspondance")</f>
        <v>Pas de correspondance</v>
      </c>
    </row>
    <row r="1037" spans="1:11" hidden="1" x14ac:dyDescent="0.25">
      <c r="A1037" s="1" t="s">
        <v>1459</v>
      </c>
      <c r="B1037" s="2">
        <v>45224</v>
      </c>
      <c r="C1037" s="3">
        <v>0.70972222222222225</v>
      </c>
      <c r="D1037" s="1" t="s">
        <v>1478</v>
      </c>
      <c r="E1037">
        <v>62</v>
      </c>
      <c r="F1037" s="1" t="s">
        <v>809</v>
      </c>
      <c r="G1037" t="str">
        <f>_xlfn.XLOOKUP(Logs__2[[#This Row],[Cell_ID]],'Registre_Maintenance'!B:B,'Registre_Maintenance'!C:C,"Pas de correspondance")</f>
        <v>Pas de correspondance</v>
      </c>
      <c r="H1037" t="str">
        <f>_xlfn.XLOOKUP(Logs__2[[#This Row],[Cell_ID]],'Registre_Maintenance'!B:B,'Registre_Maintenance'!D:D,"Pas de correspondance")</f>
        <v>Pas de correspondance</v>
      </c>
      <c r="I1037" t="str">
        <f>_xlfn.XLOOKUP(Logs__2[[#This Row],[Cell_ID]],'Registre_Maintenance'!B:B,'Registre_Maintenance'!E:E,"Pas de correspondance")</f>
        <v>Pas de correspondance</v>
      </c>
      <c r="J1037" t="str">
        <f>_xlfn.XLOOKUP(Logs__2[[#This Row],[Cell_ID]],'Registre_Maintenance'!B:B,'Registre_Maintenance'!F:F,"Pas de correspondance")</f>
        <v>Pas de correspondance</v>
      </c>
      <c r="K1037" t="str">
        <f>_xlfn.XLOOKUP(Logs__2[[#This Row],[Cell_ID]],'Registre_Maintenance'!B:B,'Registre_Maintenance'!G:G,"Pas de correspondance")</f>
        <v>Pas de correspondance</v>
      </c>
    </row>
    <row r="1038" spans="1:11" hidden="1" x14ac:dyDescent="0.25">
      <c r="A1038" s="1" t="s">
        <v>1459</v>
      </c>
      <c r="B1038" s="2">
        <v>45211</v>
      </c>
      <c r="C1038" s="3">
        <v>0.58750000000000002</v>
      </c>
      <c r="D1038" s="1" t="s">
        <v>1479</v>
      </c>
      <c r="E1038">
        <v>27</v>
      </c>
      <c r="F1038" s="1" t="s">
        <v>811</v>
      </c>
      <c r="G1038" t="str">
        <f>_xlfn.XLOOKUP(Logs__2[[#This Row],[Cell_ID]],'Registre_Maintenance'!B:B,'Registre_Maintenance'!C:C,"Pas de correspondance")</f>
        <v>Pas de correspondance</v>
      </c>
      <c r="H1038" t="str">
        <f>_xlfn.XLOOKUP(Logs__2[[#This Row],[Cell_ID]],'Registre_Maintenance'!B:B,'Registre_Maintenance'!D:D,"Pas de correspondance")</f>
        <v>Pas de correspondance</v>
      </c>
      <c r="I1038" t="str">
        <f>_xlfn.XLOOKUP(Logs__2[[#This Row],[Cell_ID]],'Registre_Maintenance'!B:B,'Registre_Maintenance'!E:E,"Pas de correspondance")</f>
        <v>Pas de correspondance</v>
      </c>
      <c r="J1038" t="str">
        <f>_xlfn.XLOOKUP(Logs__2[[#This Row],[Cell_ID]],'Registre_Maintenance'!B:B,'Registre_Maintenance'!F:F,"Pas de correspondance")</f>
        <v>Pas de correspondance</v>
      </c>
      <c r="K1038" t="str">
        <f>_xlfn.XLOOKUP(Logs__2[[#This Row],[Cell_ID]],'Registre_Maintenance'!B:B,'Registre_Maintenance'!G:G,"Pas de correspondance")</f>
        <v>Pas de correspondance</v>
      </c>
    </row>
    <row r="1039" spans="1:11" hidden="1" x14ac:dyDescent="0.25">
      <c r="A1039" s="1" t="s">
        <v>1459</v>
      </c>
      <c r="B1039" s="2">
        <v>45219</v>
      </c>
      <c r="C1039" s="3">
        <v>0.90763888888888888</v>
      </c>
      <c r="D1039" s="1" t="s">
        <v>1480</v>
      </c>
      <c r="E1039">
        <v>92</v>
      </c>
      <c r="F1039" s="1" t="s">
        <v>809</v>
      </c>
      <c r="G1039" t="str">
        <f>_xlfn.XLOOKUP(Logs__2[[#This Row],[Cell_ID]],'Registre_Maintenance'!B:B,'Registre_Maintenance'!C:C,"Pas de correspondance")</f>
        <v>Pas de correspondance</v>
      </c>
      <c r="H1039" t="str">
        <f>_xlfn.XLOOKUP(Logs__2[[#This Row],[Cell_ID]],'Registre_Maintenance'!B:B,'Registre_Maintenance'!D:D,"Pas de correspondance")</f>
        <v>Pas de correspondance</v>
      </c>
      <c r="I1039" t="str">
        <f>_xlfn.XLOOKUP(Logs__2[[#This Row],[Cell_ID]],'Registre_Maintenance'!B:B,'Registre_Maintenance'!E:E,"Pas de correspondance")</f>
        <v>Pas de correspondance</v>
      </c>
      <c r="J1039" t="str">
        <f>_xlfn.XLOOKUP(Logs__2[[#This Row],[Cell_ID]],'Registre_Maintenance'!B:B,'Registre_Maintenance'!F:F,"Pas de correspondance")</f>
        <v>Pas de correspondance</v>
      </c>
      <c r="K1039" t="str">
        <f>_xlfn.XLOOKUP(Logs__2[[#This Row],[Cell_ID]],'Registre_Maintenance'!B:B,'Registre_Maintenance'!G:G,"Pas de correspondance")</f>
        <v>Pas de correspondance</v>
      </c>
    </row>
    <row r="1040" spans="1:11" hidden="1" x14ac:dyDescent="0.25">
      <c r="A1040" s="1" t="s">
        <v>1459</v>
      </c>
      <c r="B1040" s="2">
        <v>45217</v>
      </c>
      <c r="C1040" s="3">
        <v>0.32430555555555557</v>
      </c>
      <c r="D1040" s="1" t="s">
        <v>1481</v>
      </c>
      <c r="E1040">
        <v>14</v>
      </c>
      <c r="F1040" s="1" t="s">
        <v>809</v>
      </c>
      <c r="G1040" t="str">
        <f>_xlfn.XLOOKUP(Logs__2[[#This Row],[Cell_ID]],'Registre_Maintenance'!B:B,'Registre_Maintenance'!C:C,"Pas de correspondance")</f>
        <v>Pas de correspondance</v>
      </c>
      <c r="H1040" t="str">
        <f>_xlfn.XLOOKUP(Logs__2[[#This Row],[Cell_ID]],'Registre_Maintenance'!B:B,'Registre_Maintenance'!D:D,"Pas de correspondance")</f>
        <v>Pas de correspondance</v>
      </c>
      <c r="I1040" t="str">
        <f>_xlfn.XLOOKUP(Logs__2[[#This Row],[Cell_ID]],'Registre_Maintenance'!B:B,'Registre_Maintenance'!E:E,"Pas de correspondance")</f>
        <v>Pas de correspondance</v>
      </c>
      <c r="J1040" t="str">
        <f>_xlfn.XLOOKUP(Logs__2[[#This Row],[Cell_ID]],'Registre_Maintenance'!B:B,'Registre_Maintenance'!F:F,"Pas de correspondance")</f>
        <v>Pas de correspondance</v>
      </c>
      <c r="K1040" t="str">
        <f>_xlfn.XLOOKUP(Logs__2[[#This Row],[Cell_ID]],'Registre_Maintenance'!B:B,'Registre_Maintenance'!G:G,"Pas de correspondance")</f>
        <v>Pas de correspondance</v>
      </c>
    </row>
    <row r="1041" spans="1:11" x14ac:dyDescent="0.25">
      <c r="A1041" s="1" t="s">
        <v>1459</v>
      </c>
      <c r="B1041" s="2">
        <v>45220</v>
      </c>
      <c r="C1041" s="3">
        <v>0.72499999999999998</v>
      </c>
      <c r="D1041" s="1" t="s">
        <v>926</v>
      </c>
      <c r="E1041">
        <v>28</v>
      </c>
      <c r="F1041" s="1" t="s">
        <v>811</v>
      </c>
      <c r="G1041" t="str">
        <f>_xlfn.XLOOKUP(Logs__2[[#This Row],[Cell_ID]],'Registre_Maintenance'!B:B,'Registre_Maintenance'!C:C,"Pas de correspondance")</f>
        <v>Tanganyika</v>
      </c>
      <c r="H1041">
        <f>_xlfn.XLOOKUP(Logs__2[[#This Row],[Cell_ID]],'Registre_Maintenance'!B:B,'Registre_Maintenance'!D:D,"Pas de correspondance")</f>
        <v>-9.002459</v>
      </c>
      <c r="I1041">
        <f>_xlfn.XLOOKUP(Logs__2[[#This Row],[Cell_ID]],'Registre_Maintenance'!B:B,'Registre_Maintenance'!E:E,"Pas de correspondance")</f>
        <v>25.182109000000001</v>
      </c>
      <c r="J1041" t="str">
        <f>_xlfn.XLOOKUP(Logs__2[[#This Row],[Cell_ID]],'Registre_Maintenance'!B:B,'Registre_Maintenance'!F:F,"Pas de correspondance")</f>
        <v>5G</v>
      </c>
      <c r="K1041" t="str">
        <f>_xlfn.XLOOKUP(Logs__2[[#This Row],[Cell_ID]],'Registre_Maintenance'!B:B,'Registre_Maintenance'!G:G,"Pas de correspondance")</f>
        <v>Huawei</v>
      </c>
    </row>
    <row r="1042" spans="1:11" hidden="1" x14ac:dyDescent="0.25">
      <c r="A1042" s="1" t="s">
        <v>1459</v>
      </c>
      <c r="B1042" s="2">
        <v>45207</v>
      </c>
      <c r="C1042" s="3">
        <v>0.70138888888888884</v>
      </c>
      <c r="D1042" s="1" t="s">
        <v>1482</v>
      </c>
      <c r="E1042">
        <v>27</v>
      </c>
      <c r="F1042" s="1" t="s">
        <v>811</v>
      </c>
      <c r="G1042" t="str">
        <f>_xlfn.XLOOKUP(Logs__2[[#This Row],[Cell_ID]],'Registre_Maintenance'!B:B,'Registre_Maintenance'!C:C,"Pas de correspondance")</f>
        <v>Pas de correspondance</v>
      </c>
      <c r="H1042" t="str">
        <f>_xlfn.XLOOKUP(Logs__2[[#This Row],[Cell_ID]],'Registre_Maintenance'!B:B,'Registre_Maintenance'!D:D,"Pas de correspondance")</f>
        <v>Pas de correspondance</v>
      </c>
      <c r="I1042" t="str">
        <f>_xlfn.XLOOKUP(Logs__2[[#This Row],[Cell_ID]],'Registre_Maintenance'!B:B,'Registre_Maintenance'!E:E,"Pas de correspondance")</f>
        <v>Pas de correspondance</v>
      </c>
      <c r="J1042" t="str">
        <f>_xlfn.XLOOKUP(Logs__2[[#This Row],[Cell_ID]],'Registre_Maintenance'!B:B,'Registre_Maintenance'!F:F,"Pas de correspondance")</f>
        <v>Pas de correspondance</v>
      </c>
      <c r="K1042" t="str">
        <f>_xlfn.XLOOKUP(Logs__2[[#This Row],[Cell_ID]],'Registre_Maintenance'!B:B,'Registre_Maintenance'!G:G,"Pas de correspondance")</f>
        <v>Pas de correspondance</v>
      </c>
    </row>
    <row r="1043" spans="1:11" hidden="1" x14ac:dyDescent="0.25">
      <c r="A1043" s="1" t="s">
        <v>1459</v>
      </c>
      <c r="B1043" s="2">
        <v>45219</v>
      </c>
      <c r="C1043" s="3">
        <v>0.9291666666666667</v>
      </c>
      <c r="D1043" s="1" t="s">
        <v>1470</v>
      </c>
      <c r="E1043">
        <v>115</v>
      </c>
      <c r="F1043" s="1" t="s">
        <v>806</v>
      </c>
      <c r="G1043" t="str">
        <f>_xlfn.XLOOKUP(Logs__2[[#This Row],[Cell_ID]],'Registre_Maintenance'!B:B,'Registre_Maintenance'!C:C,"Pas de correspondance")</f>
        <v>Pas de correspondance</v>
      </c>
      <c r="H1043" t="str">
        <f>_xlfn.XLOOKUP(Logs__2[[#This Row],[Cell_ID]],'Registre_Maintenance'!B:B,'Registre_Maintenance'!D:D,"Pas de correspondance")</f>
        <v>Pas de correspondance</v>
      </c>
      <c r="I1043" t="str">
        <f>_xlfn.XLOOKUP(Logs__2[[#This Row],[Cell_ID]],'Registre_Maintenance'!B:B,'Registre_Maintenance'!E:E,"Pas de correspondance")</f>
        <v>Pas de correspondance</v>
      </c>
      <c r="J1043" t="str">
        <f>_xlfn.XLOOKUP(Logs__2[[#This Row],[Cell_ID]],'Registre_Maintenance'!B:B,'Registre_Maintenance'!F:F,"Pas de correspondance")</f>
        <v>Pas de correspondance</v>
      </c>
      <c r="K1043" t="str">
        <f>_xlfn.XLOOKUP(Logs__2[[#This Row],[Cell_ID]],'Registre_Maintenance'!B:B,'Registre_Maintenance'!G:G,"Pas de correspondance")</f>
        <v>Pas de correspondance</v>
      </c>
    </row>
    <row r="1044" spans="1:11" hidden="1" x14ac:dyDescent="0.25">
      <c r="A1044" s="1" t="s">
        <v>1483</v>
      </c>
      <c r="B1044" s="2">
        <v>45230</v>
      </c>
      <c r="C1044" s="3">
        <v>0.7319444444444444</v>
      </c>
      <c r="D1044" s="1" t="s">
        <v>1104</v>
      </c>
      <c r="E1044">
        <v>52</v>
      </c>
      <c r="F1044" s="1" t="s">
        <v>806</v>
      </c>
      <c r="G1044" t="str">
        <f>_xlfn.XLOOKUP(Logs__2[[#This Row],[Cell_ID]],'Registre_Maintenance'!B:B,'Registre_Maintenance'!C:C,"Pas de correspondance")</f>
        <v>Pas de correspondance</v>
      </c>
      <c r="H1044" t="str">
        <f>_xlfn.XLOOKUP(Logs__2[[#This Row],[Cell_ID]],'Registre_Maintenance'!B:B,'Registre_Maintenance'!D:D,"Pas de correspondance")</f>
        <v>Pas de correspondance</v>
      </c>
      <c r="I1044" t="str">
        <f>_xlfn.XLOOKUP(Logs__2[[#This Row],[Cell_ID]],'Registre_Maintenance'!B:B,'Registre_Maintenance'!E:E,"Pas de correspondance")</f>
        <v>Pas de correspondance</v>
      </c>
      <c r="J1044" t="str">
        <f>_xlfn.XLOOKUP(Logs__2[[#This Row],[Cell_ID]],'Registre_Maintenance'!B:B,'Registre_Maintenance'!F:F,"Pas de correspondance")</f>
        <v>Pas de correspondance</v>
      </c>
      <c r="K1044" t="str">
        <f>_xlfn.XLOOKUP(Logs__2[[#This Row],[Cell_ID]],'Registre_Maintenance'!B:B,'Registre_Maintenance'!G:G,"Pas de correspondance")</f>
        <v>Pas de correspondance</v>
      </c>
    </row>
    <row r="1045" spans="1:11" hidden="1" x14ac:dyDescent="0.25">
      <c r="A1045" s="1" t="s">
        <v>1483</v>
      </c>
      <c r="B1045" s="2">
        <v>45200</v>
      </c>
      <c r="C1045" s="3">
        <v>0.83611111111111114</v>
      </c>
      <c r="D1045" s="1" t="s">
        <v>1072</v>
      </c>
      <c r="E1045">
        <v>6</v>
      </c>
      <c r="F1045" s="1" t="s">
        <v>806</v>
      </c>
      <c r="G1045" t="str">
        <f>_xlfn.XLOOKUP(Logs__2[[#This Row],[Cell_ID]],'Registre_Maintenance'!B:B,'Registre_Maintenance'!C:C,"Pas de correspondance")</f>
        <v>Pas de correspondance</v>
      </c>
      <c r="H1045" t="str">
        <f>_xlfn.XLOOKUP(Logs__2[[#This Row],[Cell_ID]],'Registre_Maintenance'!B:B,'Registre_Maintenance'!D:D,"Pas de correspondance")</f>
        <v>Pas de correspondance</v>
      </c>
      <c r="I1045" t="str">
        <f>_xlfn.XLOOKUP(Logs__2[[#This Row],[Cell_ID]],'Registre_Maintenance'!B:B,'Registre_Maintenance'!E:E,"Pas de correspondance")</f>
        <v>Pas de correspondance</v>
      </c>
      <c r="J1045" t="str">
        <f>_xlfn.XLOOKUP(Logs__2[[#This Row],[Cell_ID]],'Registre_Maintenance'!B:B,'Registre_Maintenance'!F:F,"Pas de correspondance")</f>
        <v>Pas de correspondance</v>
      </c>
      <c r="K1045" t="str">
        <f>_xlfn.XLOOKUP(Logs__2[[#This Row],[Cell_ID]],'Registre_Maintenance'!B:B,'Registre_Maintenance'!G:G,"Pas de correspondance")</f>
        <v>Pas de correspondance</v>
      </c>
    </row>
    <row r="1046" spans="1:11" hidden="1" x14ac:dyDescent="0.25">
      <c r="A1046" s="1" t="s">
        <v>1483</v>
      </c>
      <c r="B1046" s="2">
        <v>45206</v>
      </c>
      <c r="C1046" s="3">
        <v>0.90277777777777779</v>
      </c>
      <c r="D1046" s="1" t="s">
        <v>1484</v>
      </c>
      <c r="E1046">
        <v>75</v>
      </c>
      <c r="F1046" s="1" t="s">
        <v>811</v>
      </c>
      <c r="G1046" t="str">
        <f>_xlfn.XLOOKUP(Logs__2[[#This Row],[Cell_ID]],'Registre_Maintenance'!B:B,'Registre_Maintenance'!C:C,"Pas de correspondance")</f>
        <v>Pas de correspondance</v>
      </c>
      <c r="H1046" t="str">
        <f>_xlfn.XLOOKUP(Logs__2[[#This Row],[Cell_ID]],'Registre_Maintenance'!B:B,'Registre_Maintenance'!D:D,"Pas de correspondance")</f>
        <v>Pas de correspondance</v>
      </c>
      <c r="I1046" t="str">
        <f>_xlfn.XLOOKUP(Logs__2[[#This Row],[Cell_ID]],'Registre_Maintenance'!B:B,'Registre_Maintenance'!E:E,"Pas de correspondance")</f>
        <v>Pas de correspondance</v>
      </c>
      <c r="J1046" t="str">
        <f>_xlfn.XLOOKUP(Logs__2[[#This Row],[Cell_ID]],'Registre_Maintenance'!B:B,'Registre_Maintenance'!F:F,"Pas de correspondance")</f>
        <v>Pas de correspondance</v>
      </c>
      <c r="K1046" t="str">
        <f>_xlfn.XLOOKUP(Logs__2[[#This Row],[Cell_ID]],'Registre_Maintenance'!B:B,'Registre_Maintenance'!G:G,"Pas de correspondance")</f>
        <v>Pas de correspondance</v>
      </c>
    </row>
    <row r="1047" spans="1:11" hidden="1" x14ac:dyDescent="0.25">
      <c r="A1047" s="1" t="s">
        <v>1483</v>
      </c>
      <c r="B1047" s="2">
        <v>45224</v>
      </c>
      <c r="C1047" s="3">
        <v>0.28819444444444442</v>
      </c>
      <c r="D1047" s="1" t="s">
        <v>1145</v>
      </c>
      <c r="E1047">
        <v>116</v>
      </c>
      <c r="F1047" s="1" t="s">
        <v>811</v>
      </c>
      <c r="G1047" t="str">
        <f>_xlfn.XLOOKUP(Logs__2[[#This Row],[Cell_ID]],'Registre_Maintenance'!B:B,'Registre_Maintenance'!C:C,"Pas de correspondance")</f>
        <v>Pas de correspondance</v>
      </c>
      <c r="H1047" t="str">
        <f>_xlfn.XLOOKUP(Logs__2[[#This Row],[Cell_ID]],'Registre_Maintenance'!B:B,'Registre_Maintenance'!D:D,"Pas de correspondance")</f>
        <v>Pas de correspondance</v>
      </c>
      <c r="I1047" t="str">
        <f>_xlfn.XLOOKUP(Logs__2[[#This Row],[Cell_ID]],'Registre_Maintenance'!B:B,'Registre_Maintenance'!E:E,"Pas de correspondance")</f>
        <v>Pas de correspondance</v>
      </c>
      <c r="J1047" t="str">
        <f>_xlfn.XLOOKUP(Logs__2[[#This Row],[Cell_ID]],'Registre_Maintenance'!B:B,'Registre_Maintenance'!F:F,"Pas de correspondance")</f>
        <v>Pas de correspondance</v>
      </c>
      <c r="K1047" t="str">
        <f>_xlfn.XLOOKUP(Logs__2[[#This Row],[Cell_ID]],'Registre_Maintenance'!B:B,'Registre_Maintenance'!G:G,"Pas de correspondance")</f>
        <v>Pas de correspondance</v>
      </c>
    </row>
    <row r="1048" spans="1:11" hidden="1" x14ac:dyDescent="0.25">
      <c r="A1048" s="1" t="s">
        <v>1483</v>
      </c>
      <c r="B1048" s="2">
        <v>45221</v>
      </c>
      <c r="C1048" s="3">
        <v>0.57847222222222228</v>
      </c>
      <c r="D1048" s="1" t="s">
        <v>1011</v>
      </c>
      <c r="E1048">
        <v>76</v>
      </c>
      <c r="F1048" s="1" t="s">
        <v>811</v>
      </c>
      <c r="G1048" t="str">
        <f>_xlfn.XLOOKUP(Logs__2[[#This Row],[Cell_ID]],'Registre_Maintenance'!B:B,'Registre_Maintenance'!C:C,"Pas de correspondance")</f>
        <v>Pas de correspondance</v>
      </c>
      <c r="H1048" t="str">
        <f>_xlfn.XLOOKUP(Logs__2[[#This Row],[Cell_ID]],'Registre_Maintenance'!B:B,'Registre_Maintenance'!D:D,"Pas de correspondance")</f>
        <v>Pas de correspondance</v>
      </c>
      <c r="I1048" t="str">
        <f>_xlfn.XLOOKUP(Logs__2[[#This Row],[Cell_ID]],'Registre_Maintenance'!B:B,'Registre_Maintenance'!E:E,"Pas de correspondance")</f>
        <v>Pas de correspondance</v>
      </c>
      <c r="J1048" t="str">
        <f>_xlfn.XLOOKUP(Logs__2[[#This Row],[Cell_ID]],'Registre_Maintenance'!B:B,'Registre_Maintenance'!F:F,"Pas de correspondance")</f>
        <v>Pas de correspondance</v>
      </c>
      <c r="K1048" t="str">
        <f>_xlfn.XLOOKUP(Logs__2[[#This Row],[Cell_ID]],'Registre_Maintenance'!B:B,'Registre_Maintenance'!G:G,"Pas de correspondance")</f>
        <v>Pas de correspondance</v>
      </c>
    </row>
    <row r="1049" spans="1:11" hidden="1" x14ac:dyDescent="0.25">
      <c r="A1049" s="1" t="s">
        <v>1483</v>
      </c>
      <c r="B1049" s="2">
        <v>45203</v>
      </c>
      <c r="C1049" s="3">
        <v>0.27361111111111114</v>
      </c>
      <c r="D1049" s="1" t="s">
        <v>851</v>
      </c>
      <c r="E1049">
        <v>23</v>
      </c>
      <c r="F1049" s="1" t="s">
        <v>811</v>
      </c>
      <c r="G1049" t="str">
        <f>_xlfn.XLOOKUP(Logs__2[[#This Row],[Cell_ID]],'Registre_Maintenance'!B:B,'Registre_Maintenance'!C:C,"Pas de correspondance")</f>
        <v>Pas de correspondance</v>
      </c>
      <c r="H1049" t="str">
        <f>_xlfn.XLOOKUP(Logs__2[[#This Row],[Cell_ID]],'Registre_Maintenance'!B:B,'Registre_Maintenance'!D:D,"Pas de correspondance")</f>
        <v>Pas de correspondance</v>
      </c>
      <c r="I1049" t="str">
        <f>_xlfn.XLOOKUP(Logs__2[[#This Row],[Cell_ID]],'Registre_Maintenance'!B:B,'Registre_Maintenance'!E:E,"Pas de correspondance")</f>
        <v>Pas de correspondance</v>
      </c>
      <c r="J1049" t="str">
        <f>_xlfn.XLOOKUP(Logs__2[[#This Row],[Cell_ID]],'Registre_Maintenance'!B:B,'Registre_Maintenance'!F:F,"Pas de correspondance")</f>
        <v>Pas de correspondance</v>
      </c>
      <c r="K1049" t="str">
        <f>_xlfn.XLOOKUP(Logs__2[[#This Row],[Cell_ID]],'Registre_Maintenance'!B:B,'Registre_Maintenance'!G:G,"Pas de correspondance")</f>
        <v>Pas de correspondance</v>
      </c>
    </row>
    <row r="1050" spans="1:11" hidden="1" x14ac:dyDescent="0.25">
      <c r="A1050" s="1" t="s">
        <v>1483</v>
      </c>
      <c r="B1050" s="2">
        <v>45226</v>
      </c>
      <c r="C1050" s="3">
        <v>0.9555555555555556</v>
      </c>
      <c r="D1050" s="1" t="s">
        <v>1485</v>
      </c>
      <c r="E1050">
        <v>20</v>
      </c>
      <c r="F1050" s="1" t="s">
        <v>809</v>
      </c>
      <c r="G1050" t="str">
        <f>_xlfn.XLOOKUP(Logs__2[[#This Row],[Cell_ID]],'Registre_Maintenance'!B:B,'Registre_Maintenance'!C:C,"Pas de correspondance")</f>
        <v>Pas de correspondance</v>
      </c>
      <c r="H1050" t="str">
        <f>_xlfn.XLOOKUP(Logs__2[[#This Row],[Cell_ID]],'Registre_Maintenance'!B:B,'Registre_Maintenance'!D:D,"Pas de correspondance")</f>
        <v>Pas de correspondance</v>
      </c>
      <c r="I1050" t="str">
        <f>_xlfn.XLOOKUP(Logs__2[[#This Row],[Cell_ID]],'Registre_Maintenance'!B:B,'Registre_Maintenance'!E:E,"Pas de correspondance")</f>
        <v>Pas de correspondance</v>
      </c>
      <c r="J1050" t="str">
        <f>_xlfn.XLOOKUP(Logs__2[[#This Row],[Cell_ID]],'Registre_Maintenance'!B:B,'Registre_Maintenance'!F:F,"Pas de correspondance")</f>
        <v>Pas de correspondance</v>
      </c>
      <c r="K1050" t="str">
        <f>_xlfn.XLOOKUP(Logs__2[[#This Row],[Cell_ID]],'Registre_Maintenance'!B:B,'Registre_Maintenance'!G:G,"Pas de correspondance")</f>
        <v>Pas de correspondance</v>
      </c>
    </row>
    <row r="1051" spans="1:11" hidden="1" x14ac:dyDescent="0.25">
      <c r="A1051" s="1" t="s">
        <v>1483</v>
      </c>
      <c r="B1051" s="2">
        <v>45223</v>
      </c>
      <c r="C1051" s="3">
        <v>0.57013888888888886</v>
      </c>
      <c r="D1051" s="1" t="s">
        <v>991</v>
      </c>
      <c r="E1051">
        <v>10</v>
      </c>
      <c r="F1051" s="1" t="s">
        <v>809</v>
      </c>
      <c r="G1051" t="str">
        <f>_xlfn.XLOOKUP(Logs__2[[#This Row],[Cell_ID]],'Registre_Maintenance'!B:B,'Registre_Maintenance'!C:C,"Pas de correspondance")</f>
        <v>Pas de correspondance</v>
      </c>
      <c r="H1051" t="str">
        <f>_xlfn.XLOOKUP(Logs__2[[#This Row],[Cell_ID]],'Registre_Maintenance'!B:B,'Registre_Maintenance'!D:D,"Pas de correspondance")</f>
        <v>Pas de correspondance</v>
      </c>
      <c r="I1051" t="str">
        <f>_xlfn.XLOOKUP(Logs__2[[#This Row],[Cell_ID]],'Registre_Maintenance'!B:B,'Registre_Maintenance'!E:E,"Pas de correspondance")</f>
        <v>Pas de correspondance</v>
      </c>
      <c r="J1051" t="str">
        <f>_xlfn.XLOOKUP(Logs__2[[#This Row],[Cell_ID]],'Registre_Maintenance'!B:B,'Registre_Maintenance'!F:F,"Pas de correspondance")</f>
        <v>Pas de correspondance</v>
      </c>
      <c r="K1051" t="str">
        <f>_xlfn.XLOOKUP(Logs__2[[#This Row],[Cell_ID]],'Registre_Maintenance'!B:B,'Registre_Maintenance'!G:G,"Pas de correspondance")</f>
        <v>Pas de correspondance</v>
      </c>
    </row>
    <row r="1052" spans="1:11" x14ac:dyDescent="0.25">
      <c r="A1052" s="1" t="s">
        <v>1483</v>
      </c>
      <c r="B1052" s="2">
        <v>45226</v>
      </c>
      <c r="C1052" s="3">
        <v>0.11597222222222223</v>
      </c>
      <c r="D1052" s="1" t="s">
        <v>1129</v>
      </c>
      <c r="E1052">
        <v>5</v>
      </c>
      <c r="F1052" s="1" t="s">
        <v>811</v>
      </c>
      <c r="G1052" t="str">
        <f>_xlfn.XLOOKUP(Logs__2[[#This Row],[Cell_ID]],'Registre_Maintenance'!B:B,'Registre_Maintenance'!C:C,"Pas de correspondance")</f>
        <v>Kasaï-Oriental</v>
      </c>
      <c r="H1052">
        <f>_xlfn.XLOOKUP(Logs__2[[#This Row],[Cell_ID]],'Registre_Maintenance'!B:B,'Registre_Maintenance'!D:D,"Pas de correspondance")</f>
        <v>2.486888</v>
      </c>
      <c r="I1052">
        <f>_xlfn.XLOOKUP(Logs__2[[#This Row],[Cell_ID]],'Registre_Maintenance'!B:B,'Registre_Maintenance'!E:E,"Pas de correspondance")</f>
        <v>23.798074</v>
      </c>
      <c r="J1052" t="str">
        <f>_xlfn.XLOOKUP(Logs__2[[#This Row],[Cell_ID]],'Registre_Maintenance'!B:B,'Registre_Maintenance'!F:F,"Pas de correspondance")</f>
        <v>5G</v>
      </c>
      <c r="K1052" t="str">
        <f>_xlfn.XLOOKUP(Logs__2[[#This Row],[Cell_ID]],'Registre_Maintenance'!B:B,'Registre_Maintenance'!G:G,"Pas de correspondance")</f>
        <v>ZTE</v>
      </c>
    </row>
    <row r="1053" spans="1:11" hidden="1" x14ac:dyDescent="0.25">
      <c r="A1053" s="1" t="s">
        <v>1483</v>
      </c>
      <c r="B1053" s="2">
        <v>45221</v>
      </c>
      <c r="C1053" s="3">
        <v>0.1673611111111111</v>
      </c>
      <c r="D1053" s="1" t="s">
        <v>921</v>
      </c>
      <c r="E1053">
        <v>78</v>
      </c>
      <c r="F1053" s="1" t="s">
        <v>809</v>
      </c>
      <c r="G1053" t="str">
        <f>_xlfn.XLOOKUP(Logs__2[[#This Row],[Cell_ID]],'Registre_Maintenance'!B:B,'Registre_Maintenance'!C:C,"Pas de correspondance")</f>
        <v>Pas de correspondance</v>
      </c>
      <c r="H1053" t="str">
        <f>_xlfn.XLOOKUP(Logs__2[[#This Row],[Cell_ID]],'Registre_Maintenance'!B:B,'Registre_Maintenance'!D:D,"Pas de correspondance")</f>
        <v>Pas de correspondance</v>
      </c>
      <c r="I1053" t="str">
        <f>_xlfn.XLOOKUP(Logs__2[[#This Row],[Cell_ID]],'Registre_Maintenance'!B:B,'Registre_Maintenance'!E:E,"Pas de correspondance")</f>
        <v>Pas de correspondance</v>
      </c>
      <c r="J1053" t="str">
        <f>_xlfn.XLOOKUP(Logs__2[[#This Row],[Cell_ID]],'Registre_Maintenance'!B:B,'Registre_Maintenance'!F:F,"Pas de correspondance")</f>
        <v>Pas de correspondance</v>
      </c>
      <c r="K1053" t="str">
        <f>_xlfn.XLOOKUP(Logs__2[[#This Row],[Cell_ID]],'Registre_Maintenance'!B:B,'Registre_Maintenance'!G:G,"Pas de correspondance")</f>
        <v>Pas de correspondance</v>
      </c>
    </row>
    <row r="1054" spans="1:11" hidden="1" x14ac:dyDescent="0.25">
      <c r="A1054" s="1" t="s">
        <v>1483</v>
      </c>
      <c r="B1054" s="2">
        <v>45214</v>
      </c>
      <c r="C1054" s="3">
        <v>0.93125000000000002</v>
      </c>
      <c r="D1054" s="1" t="s">
        <v>1275</v>
      </c>
      <c r="E1054">
        <v>81</v>
      </c>
      <c r="F1054" s="1" t="s">
        <v>809</v>
      </c>
      <c r="G1054" t="str">
        <f>_xlfn.XLOOKUP(Logs__2[[#This Row],[Cell_ID]],'Registre_Maintenance'!B:B,'Registre_Maintenance'!C:C,"Pas de correspondance")</f>
        <v>Pas de correspondance</v>
      </c>
      <c r="H1054" t="str">
        <f>_xlfn.XLOOKUP(Logs__2[[#This Row],[Cell_ID]],'Registre_Maintenance'!B:B,'Registre_Maintenance'!D:D,"Pas de correspondance")</f>
        <v>Pas de correspondance</v>
      </c>
      <c r="I1054" t="str">
        <f>_xlfn.XLOOKUP(Logs__2[[#This Row],[Cell_ID]],'Registre_Maintenance'!B:B,'Registre_Maintenance'!E:E,"Pas de correspondance")</f>
        <v>Pas de correspondance</v>
      </c>
      <c r="J1054" t="str">
        <f>_xlfn.XLOOKUP(Logs__2[[#This Row],[Cell_ID]],'Registre_Maintenance'!B:B,'Registre_Maintenance'!F:F,"Pas de correspondance")</f>
        <v>Pas de correspondance</v>
      </c>
      <c r="K1054" t="str">
        <f>_xlfn.XLOOKUP(Logs__2[[#This Row],[Cell_ID]],'Registre_Maintenance'!B:B,'Registre_Maintenance'!G:G,"Pas de correspondance")</f>
        <v>Pas de correspondance</v>
      </c>
    </row>
    <row r="1055" spans="1:11" x14ac:dyDescent="0.25">
      <c r="A1055" s="1" t="s">
        <v>1483</v>
      </c>
      <c r="B1055" s="2">
        <v>45201</v>
      </c>
      <c r="C1055" s="3">
        <v>8.611111111111111E-2</v>
      </c>
      <c r="D1055" s="1" t="s">
        <v>1001</v>
      </c>
      <c r="E1055">
        <v>55</v>
      </c>
      <c r="F1055" s="1" t="s">
        <v>806</v>
      </c>
      <c r="G1055" t="str">
        <f>_xlfn.XLOOKUP(Logs__2[[#This Row],[Cell_ID]],'Registre_Maintenance'!B:B,'Registre_Maintenance'!C:C,"Pas de correspondance")</f>
        <v>Nord-Kivu</v>
      </c>
      <c r="H1055">
        <f>_xlfn.XLOOKUP(Logs__2[[#This Row],[Cell_ID]],'Registre_Maintenance'!B:B,'Registre_Maintenance'!D:D,"Pas de correspondance")</f>
        <v>-1.8555980000000001</v>
      </c>
      <c r="I1055">
        <f>_xlfn.XLOOKUP(Logs__2[[#This Row],[Cell_ID]],'Registre_Maintenance'!B:B,'Registre_Maintenance'!E:E,"Pas de correspondance")</f>
        <v>30.421918000000002</v>
      </c>
      <c r="J1055" t="str">
        <f>_xlfn.XLOOKUP(Logs__2[[#This Row],[Cell_ID]],'Registre_Maintenance'!B:B,'Registre_Maintenance'!F:F,"Pas de correspondance")</f>
        <v>3G</v>
      </c>
      <c r="K1055" t="str">
        <f>_xlfn.XLOOKUP(Logs__2[[#This Row],[Cell_ID]],'Registre_Maintenance'!B:B,'Registre_Maintenance'!G:G,"Pas de correspondance")</f>
        <v>ZTE</v>
      </c>
    </row>
    <row r="1056" spans="1:11" hidden="1" x14ac:dyDescent="0.25">
      <c r="A1056" s="1" t="s">
        <v>1483</v>
      </c>
      <c r="B1056" s="2">
        <v>45201</v>
      </c>
      <c r="C1056" s="3">
        <v>0.24305555555555555</v>
      </c>
      <c r="D1056" s="1" t="s">
        <v>1108</v>
      </c>
      <c r="E1056">
        <v>73</v>
      </c>
      <c r="F1056" s="1" t="s">
        <v>809</v>
      </c>
      <c r="G1056" t="str">
        <f>_xlfn.XLOOKUP(Logs__2[[#This Row],[Cell_ID]],'Registre_Maintenance'!B:B,'Registre_Maintenance'!C:C,"Pas de correspondance")</f>
        <v>Pas de correspondance</v>
      </c>
      <c r="H1056" t="str">
        <f>_xlfn.XLOOKUP(Logs__2[[#This Row],[Cell_ID]],'Registre_Maintenance'!B:B,'Registre_Maintenance'!D:D,"Pas de correspondance")</f>
        <v>Pas de correspondance</v>
      </c>
      <c r="I1056" t="str">
        <f>_xlfn.XLOOKUP(Logs__2[[#This Row],[Cell_ID]],'Registre_Maintenance'!B:B,'Registre_Maintenance'!E:E,"Pas de correspondance")</f>
        <v>Pas de correspondance</v>
      </c>
      <c r="J1056" t="str">
        <f>_xlfn.XLOOKUP(Logs__2[[#This Row],[Cell_ID]],'Registre_Maintenance'!B:B,'Registre_Maintenance'!F:F,"Pas de correspondance")</f>
        <v>Pas de correspondance</v>
      </c>
      <c r="K1056" t="str">
        <f>_xlfn.XLOOKUP(Logs__2[[#This Row],[Cell_ID]],'Registre_Maintenance'!B:B,'Registre_Maintenance'!G:G,"Pas de correspondance")</f>
        <v>Pas de correspondance</v>
      </c>
    </row>
    <row r="1057" spans="1:11" hidden="1" x14ac:dyDescent="0.25">
      <c r="A1057" s="1" t="s">
        <v>1483</v>
      </c>
      <c r="B1057" s="2">
        <v>45208</v>
      </c>
      <c r="C1057" s="3">
        <v>0.71111111111111114</v>
      </c>
      <c r="D1057" s="1" t="s">
        <v>1160</v>
      </c>
      <c r="E1057">
        <v>75</v>
      </c>
      <c r="F1057" s="1" t="s">
        <v>809</v>
      </c>
      <c r="G1057" t="str">
        <f>_xlfn.XLOOKUP(Logs__2[[#This Row],[Cell_ID]],'Registre_Maintenance'!B:B,'Registre_Maintenance'!C:C,"Pas de correspondance")</f>
        <v>Pas de correspondance</v>
      </c>
      <c r="H1057" t="str">
        <f>_xlfn.XLOOKUP(Logs__2[[#This Row],[Cell_ID]],'Registre_Maintenance'!B:B,'Registre_Maintenance'!D:D,"Pas de correspondance")</f>
        <v>Pas de correspondance</v>
      </c>
      <c r="I1057" t="str">
        <f>_xlfn.XLOOKUP(Logs__2[[#This Row],[Cell_ID]],'Registre_Maintenance'!B:B,'Registre_Maintenance'!E:E,"Pas de correspondance")</f>
        <v>Pas de correspondance</v>
      </c>
      <c r="J1057" t="str">
        <f>_xlfn.XLOOKUP(Logs__2[[#This Row],[Cell_ID]],'Registre_Maintenance'!B:B,'Registre_Maintenance'!F:F,"Pas de correspondance")</f>
        <v>Pas de correspondance</v>
      </c>
      <c r="K1057" t="str">
        <f>_xlfn.XLOOKUP(Logs__2[[#This Row],[Cell_ID]],'Registre_Maintenance'!B:B,'Registre_Maintenance'!G:G,"Pas de correspondance")</f>
        <v>Pas de correspondance</v>
      </c>
    </row>
    <row r="1058" spans="1:11" x14ac:dyDescent="0.25">
      <c r="A1058" s="1" t="s">
        <v>1483</v>
      </c>
      <c r="B1058" s="2">
        <v>45218</v>
      </c>
      <c r="C1058" s="3">
        <v>0.33194444444444443</v>
      </c>
      <c r="D1058" s="1" t="s">
        <v>1001</v>
      </c>
      <c r="E1058">
        <v>15</v>
      </c>
      <c r="F1058" s="1" t="s">
        <v>811</v>
      </c>
      <c r="G1058" t="str">
        <f>_xlfn.XLOOKUP(Logs__2[[#This Row],[Cell_ID]],'Registre_Maintenance'!B:B,'Registre_Maintenance'!C:C,"Pas de correspondance")</f>
        <v>Nord-Kivu</v>
      </c>
      <c r="H1058">
        <f>_xlfn.XLOOKUP(Logs__2[[#This Row],[Cell_ID]],'Registre_Maintenance'!B:B,'Registre_Maintenance'!D:D,"Pas de correspondance")</f>
        <v>-1.8555980000000001</v>
      </c>
      <c r="I1058">
        <f>_xlfn.XLOOKUP(Logs__2[[#This Row],[Cell_ID]],'Registre_Maintenance'!B:B,'Registre_Maintenance'!E:E,"Pas de correspondance")</f>
        <v>30.421918000000002</v>
      </c>
      <c r="J1058" t="str">
        <f>_xlfn.XLOOKUP(Logs__2[[#This Row],[Cell_ID]],'Registre_Maintenance'!B:B,'Registre_Maintenance'!F:F,"Pas de correspondance")</f>
        <v>3G</v>
      </c>
      <c r="K1058" t="str">
        <f>_xlfn.XLOOKUP(Logs__2[[#This Row],[Cell_ID]],'Registre_Maintenance'!B:B,'Registre_Maintenance'!G:G,"Pas de correspondance")</f>
        <v>ZTE</v>
      </c>
    </row>
    <row r="1059" spans="1:11" hidden="1" x14ac:dyDescent="0.25">
      <c r="A1059" s="1" t="s">
        <v>1483</v>
      </c>
      <c r="B1059" s="2">
        <v>45208</v>
      </c>
      <c r="C1059" s="3">
        <v>0.55833333333333335</v>
      </c>
      <c r="D1059" s="1" t="s">
        <v>1476</v>
      </c>
      <c r="E1059">
        <v>44</v>
      </c>
      <c r="F1059" s="1" t="s">
        <v>811</v>
      </c>
      <c r="G1059" t="str">
        <f>_xlfn.XLOOKUP(Logs__2[[#This Row],[Cell_ID]],'Registre_Maintenance'!B:B,'Registre_Maintenance'!C:C,"Pas de correspondance")</f>
        <v>Pas de correspondance</v>
      </c>
      <c r="H1059" t="str">
        <f>_xlfn.XLOOKUP(Logs__2[[#This Row],[Cell_ID]],'Registre_Maintenance'!B:B,'Registre_Maintenance'!D:D,"Pas de correspondance")</f>
        <v>Pas de correspondance</v>
      </c>
      <c r="I1059" t="str">
        <f>_xlfn.XLOOKUP(Logs__2[[#This Row],[Cell_ID]],'Registre_Maintenance'!B:B,'Registre_Maintenance'!E:E,"Pas de correspondance")</f>
        <v>Pas de correspondance</v>
      </c>
      <c r="J1059" t="str">
        <f>_xlfn.XLOOKUP(Logs__2[[#This Row],[Cell_ID]],'Registre_Maintenance'!B:B,'Registre_Maintenance'!F:F,"Pas de correspondance")</f>
        <v>Pas de correspondance</v>
      </c>
      <c r="K1059" t="str">
        <f>_xlfn.XLOOKUP(Logs__2[[#This Row],[Cell_ID]],'Registre_Maintenance'!B:B,'Registre_Maintenance'!G:G,"Pas de correspondance")</f>
        <v>Pas de correspondance</v>
      </c>
    </row>
    <row r="1060" spans="1:11" x14ac:dyDescent="0.25">
      <c r="A1060" s="1" t="s">
        <v>1483</v>
      </c>
      <c r="B1060" s="2">
        <v>45214</v>
      </c>
      <c r="C1060" s="3">
        <v>0.85069444444444442</v>
      </c>
      <c r="D1060" s="1" t="s">
        <v>1165</v>
      </c>
      <c r="E1060">
        <v>31</v>
      </c>
      <c r="F1060" s="1" t="s">
        <v>811</v>
      </c>
      <c r="G1060" t="str">
        <f>_xlfn.XLOOKUP(Logs__2[[#This Row],[Cell_ID]],'Registre_Maintenance'!B:B,'Registre_Maintenance'!C:C,"Pas de correspondance")</f>
        <v>Kasaï-Oriental</v>
      </c>
      <c r="H1060">
        <f>_xlfn.XLOOKUP(Logs__2[[#This Row],[Cell_ID]],'Registre_Maintenance'!B:B,'Registre_Maintenance'!D:D,"Pas de correspondance")</f>
        <v>-5.4073029999999997</v>
      </c>
      <c r="I1060">
        <f>_xlfn.XLOOKUP(Logs__2[[#This Row],[Cell_ID]],'Registre_Maintenance'!B:B,'Registre_Maintenance'!E:E,"Pas de correspondance")</f>
        <v>29.762294000000001</v>
      </c>
      <c r="J1060" t="str">
        <f>_xlfn.XLOOKUP(Logs__2[[#This Row],[Cell_ID]],'Registre_Maintenance'!B:B,'Registre_Maintenance'!F:F,"Pas de correspondance")</f>
        <v>3G</v>
      </c>
      <c r="K1060" t="str">
        <f>_xlfn.XLOOKUP(Logs__2[[#This Row],[Cell_ID]],'Registre_Maintenance'!B:B,'Registre_Maintenance'!G:G,"Pas de correspondance")</f>
        <v>Ericsson</v>
      </c>
    </row>
    <row r="1061" spans="1:11" hidden="1" x14ac:dyDescent="0.25">
      <c r="A1061" s="1" t="s">
        <v>1483</v>
      </c>
      <c r="B1061" s="2">
        <v>45213</v>
      </c>
      <c r="C1061" s="3">
        <v>0.41736111111111113</v>
      </c>
      <c r="D1061" s="1" t="s">
        <v>1145</v>
      </c>
      <c r="E1061">
        <v>100</v>
      </c>
      <c r="F1061" s="1" t="s">
        <v>806</v>
      </c>
      <c r="G1061" t="str">
        <f>_xlfn.XLOOKUP(Logs__2[[#This Row],[Cell_ID]],'Registre_Maintenance'!B:B,'Registre_Maintenance'!C:C,"Pas de correspondance")</f>
        <v>Pas de correspondance</v>
      </c>
      <c r="H1061" t="str">
        <f>_xlfn.XLOOKUP(Logs__2[[#This Row],[Cell_ID]],'Registre_Maintenance'!B:B,'Registre_Maintenance'!D:D,"Pas de correspondance")</f>
        <v>Pas de correspondance</v>
      </c>
      <c r="I1061" t="str">
        <f>_xlfn.XLOOKUP(Logs__2[[#This Row],[Cell_ID]],'Registre_Maintenance'!B:B,'Registre_Maintenance'!E:E,"Pas de correspondance")</f>
        <v>Pas de correspondance</v>
      </c>
      <c r="J1061" t="str">
        <f>_xlfn.XLOOKUP(Logs__2[[#This Row],[Cell_ID]],'Registre_Maintenance'!B:B,'Registre_Maintenance'!F:F,"Pas de correspondance")</f>
        <v>Pas de correspondance</v>
      </c>
      <c r="K1061" t="str">
        <f>_xlfn.XLOOKUP(Logs__2[[#This Row],[Cell_ID]],'Registre_Maintenance'!B:B,'Registre_Maintenance'!G:G,"Pas de correspondance")</f>
        <v>Pas de correspondance</v>
      </c>
    </row>
    <row r="1062" spans="1:11" hidden="1" x14ac:dyDescent="0.25">
      <c r="A1062" s="1" t="s">
        <v>1483</v>
      </c>
      <c r="B1062" s="2">
        <v>45212</v>
      </c>
      <c r="C1062" s="3">
        <v>0.87986111111111109</v>
      </c>
      <c r="D1062" s="1" t="s">
        <v>1158</v>
      </c>
      <c r="E1062">
        <v>99</v>
      </c>
      <c r="F1062" s="1" t="s">
        <v>806</v>
      </c>
      <c r="G1062" t="str">
        <f>_xlfn.XLOOKUP(Logs__2[[#This Row],[Cell_ID]],'Registre_Maintenance'!B:B,'Registre_Maintenance'!C:C,"Pas de correspondance")</f>
        <v>Pas de correspondance</v>
      </c>
      <c r="H1062" t="str">
        <f>_xlfn.XLOOKUP(Logs__2[[#This Row],[Cell_ID]],'Registre_Maintenance'!B:B,'Registre_Maintenance'!D:D,"Pas de correspondance")</f>
        <v>Pas de correspondance</v>
      </c>
      <c r="I1062" t="str">
        <f>_xlfn.XLOOKUP(Logs__2[[#This Row],[Cell_ID]],'Registre_Maintenance'!B:B,'Registre_Maintenance'!E:E,"Pas de correspondance")</f>
        <v>Pas de correspondance</v>
      </c>
      <c r="J1062" t="str">
        <f>_xlfn.XLOOKUP(Logs__2[[#This Row],[Cell_ID]],'Registre_Maintenance'!B:B,'Registre_Maintenance'!F:F,"Pas de correspondance")</f>
        <v>Pas de correspondance</v>
      </c>
      <c r="K1062" t="str">
        <f>_xlfn.XLOOKUP(Logs__2[[#This Row],[Cell_ID]],'Registre_Maintenance'!B:B,'Registre_Maintenance'!G:G,"Pas de correspondance")</f>
        <v>Pas de correspondance</v>
      </c>
    </row>
    <row r="1063" spans="1:11" hidden="1" x14ac:dyDescent="0.25">
      <c r="A1063" s="1" t="s">
        <v>1483</v>
      </c>
      <c r="B1063" s="2">
        <v>45217</v>
      </c>
      <c r="C1063" s="3">
        <v>2.8472222222222222E-2</v>
      </c>
      <c r="D1063" s="1" t="s">
        <v>1119</v>
      </c>
      <c r="E1063">
        <v>120</v>
      </c>
      <c r="F1063" s="1" t="s">
        <v>811</v>
      </c>
      <c r="G1063" t="str">
        <f>_xlfn.XLOOKUP(Logs__2[[#This Row],[Cell_ID]],'Registre_Maintenance'!B:B,'Registre_Maintenance'!C:C,"Pas de correspondance")</f>
        <v>Pas de correspondance</v>
      </c>
      <c r="H1063" t="str">
        <f>_xlfn.XLOOKUP(Logs__2[[#This Row],[Cell_ID]],'Registre_Maintenance'!B:B,'Registre_Maintenance'!D:D,"Pas de correspondance")</f>
        <v>Pas de correspondance</v>
      </c>
      <c r="I1063" t="str">
        <f>_xlfn.XLOOKUP(Logs__2[[#This Row],[Cell_ID]],'Registre_Maintenance'!B:B,'Registre_Maintenance'!E:E,"Pas de correspondance")</f>
        <v>Pas de correspondance</v>
      </c>
      <c r="J1063" t="str">
        <f>_xlfn.XLOOKUP(Logs__2[[#This Row],[Cell_ID]],'Registre_Maintenance'!B:B,'Registre_Maintenance'!F:F,"Pas de correspondance")</f>
        <v>Pas de correspondance</v>
      </c>
      <c r="K1063" t="str">
        <f>_xlfn.XLOOKUP(Logs__2[[#This Row],[Cell_ID]],'Registre_Maintenance'!B:B,'Registre_Maintenance'!G:G,"Pas de correspondance")</f>
        <v>Pas de correspondance</v>
      </c>
    </row>
    <row r="1064" spans="1:11" x14ac:dyDescent="0.25">
      <c r="A1064" s="1" t="s">
        <v>1483</v>
      </c>
      <c r="B1064" s="2">
        <v>45223</v>
      </c>
      <c r="C1064" s="3">
        <v>0.7944444444444444</v>
      </c>
      <c r="D1064" s="1" t="s">
        <v>1486</v>
      </c>
      <c r="E1064">
        <v>97</v>
      </c>
      <c r="F1064" s="1" t="s">
        <v>806</v>
      </c>
      <c r="G1064" t="str">
        <f>_xlfn.XLOOKUP(Logs__2[[#This Row],[Cell_ID]],'Registre_Maintenance'!B:B,'Registre_Maintenance'!C:C,"Pas de correspondance")</f>
        <v>Haut-Uele</v>
      </c>
      <c r="H1064">
        <f>_xlfn.XLOOKUP(Logs__2[[#This Row],[Cell_ID]],'Registre_Maintenance'!B:B,'Registre_Maintenance'!D:D,"Pas de correspondance")</f>
        <v>1.0134879999999999</v>
      </c>
      <c r="I1064">
        <f>_xlfn.XLOOKUP(Logs__2[[#This Row],[Cell_ID]],'Registre_Maintenance'!B:B,'Registre_Maintenance'!E:E,"Pas de correspondance")</f>
        <v>20.363515</v>
      </c>
      <c r="J1064" t="str">
        <f>_xlfn.XLOOKUP(Logs__2[[#This Row],[Cell_ID]],'Registre_Maintenance'!B:B,'Registre_Maintenance'!F:F,"Pas de correspondance")</f>
        <v>4G</v>
      </c>
      <c r="K1064" t="str">
        <f>_xlfn.XLOOKUP(Logs__2[[#This Row],[Cell_ID]],'Registre_Maintenance'!B:B,'Registre_Maintenance'!G:G,"Pas de correspondance")</f>
        <v>Nokia</v>
      </c>
    </row>
    <row r="1065" spans="1:11" hidden="1" x14ac:dyDescent="0.25">
      <c r="A1065" s="1" t="s">
        <v>1483</v>
      </c>
      <c r="B1065" s="2">
        <v>45224</v>
      </c>
      <c r="C1065" s="3">
        <v>0.98402777777777772</v>
      </c>
      <c r="D1065" s="1" t="s">
        <v>1487</v>
      </c>
      <c r="E1065">
        <v>49</v>
      </c>
      <c r="F1065" s="1" t="s">
        <v>806</v>
      </c>
      <c r="G1065" t="str">
        <f>_xlfn.XLOOKUP(Logs__2[[#This Row],[Cell_ID]],'Registre_Maintenance'!B:B,'Registre_Maintenance'!C:C,"Pas de correspondance")</f>
        <v>Pas de correspondance</v>
      </c>
      <c r="H1065" t="str">
        <f>_xlfn.XLOOKUP(Logs__2[[#This Row],[Cell_ID]],'Registre_Maintenance'!B:B,'Registre_Maintenance'!D:D,"Pas de correspondance")</f>
        <v>Pas de correspondance</v>
      </c>
      <c r="I1065" t="str">
        <f>_xlfn.XLOOKUP(Logs__2[[#This Row],[Cell_ID]],'Registre_Maintenance'!B:B,'Registre_Maintenance'!E:E,"Pas de correspondance")</f>
        <v>Pas de correspondance</v>
      </c>
      <c r="J1065" t="str">
        <f>_xlfn.XLOOKUP(Logs__2[[#This Row],[Cell_ID]],'Registre_Maintenance'!B:B,'Registre_Maintenance'!F:F,"Pas de correspondance")</f>
        <v>Pas de correspondance</v>
      </c>
      <c r="K1065" t="str">
        <f>_xlfn.XLOOKUP(Logs__2[[#This Row],[Cell_ID]],'Registre_Maintenance'!B:B,'Registre_Maintenance'!G:G,"Pas de correspondance")</f>
        <v>Pas de correspondance</v>
      </c>
    </row>
    <row r="1066" spans="1:11" hidden="1" x14ac:dyDescent="0.25">
      <c r="A1066" s="1" t="s">
        <v>1483</v>
      </c>
      <c r="B1066" s="2">
        <v>45201</v>
      </c>
      <c r="C1066" s="3">
        <v>0.95416666666666672</v>
      </c>
      <c r="D1066" s="1" t="s">
        <v>1488</v>
      </c>
      <c r="E1066">
        <v>32</v>
      </c>
      <c r="F1066" s="1" t="s">
        <v>809</v>
      </c>
      <c r="G1066" t="str">
        <f>_xlfn.XLOOKUP(Logs__2[[#This Row],[Cell_ID]],'Registre_Maintenance'!B:B,'Registre_Maintenance'!C:C,"Pas de correspondance")</f>
        <v>Pas de correspondance</v>
      </c>
      <c r="H1066" t="str">
        <f>_xlfn.XLOOKUP(Logs__2[[#This Row],[Cell_ID]],'Registre_Maintenance'!B:B,'Registre_Maintenance'!D:D,"Pas de correspondance")</f>
        <v>Pas de correspondance</v>
      </c>
      <c r="I1066" t="str">
        <f>_xlfn.XLOOKUP(Logs__2[[#This Row],[Cell_ID]],'Registre_Maintenance'!B:B,'Registre_Maintenance'!E:E,"Pas de correspondance")</f>
        <v>Pas de correspondance</v>
      </c>
      <c r="J1066" t="str">
        <f>_xlfn.XLOOKUP(Logs__2[[#This Row],[Cell_ID]],'Registre_Maintenance'!B:B,'Registre_Maintenance'!F:F,"Pas de correspondance")</f>
        <v>Pas de correspondance</v>
      </c>
      <c r="K1066" t="str">
        <f>_xlfn.XLOOKUP(Logs__2[[#This Row],[Cell_ID]],'Registre_Maintenance'!B:B,'Registre_Maintenance'!G:G,"Pas de correspondance")</f>
        <v>Pas de correspondance</v>
      </c>
    </row>
    <row r="1067" spans="1:11" hidden="1" x14ac:dyDescent="0.25">
      <c r="A1067" s="1" t="s">
        <v>1483</v>
      </c>
      <c r="B1067" s="2">
        <v>45202</v>
      </c>
      <c r="C1067" s="3">
        <v>0.49930555555555556</v>
      </c>
      <c r="D1067" s="1" t="s">
        <v>1354</v>
      </c>
      <c r="E1067">
        <v>57</v>
      </c>
      <c r="F1067" s="1" t="s">
        <v>809</v>
      </c>
      <c r="G1067" t="str">
        <f>_xlfn.XLOOKUP(Logs__2[[#This Row],[Cell_ID]],'Registre_Maintenance'!B:B,'Registre_Maintenance'!C:C,"Pas de correspondance")</f>
        <v>Pas de correspondance</v>
      </c>
      <c r="H1067" t="str">
        <f>_xlfn.XLOOKUP(Logs__2[[#This Row],[Cell_ID]],'Registre_Maintenance'!B:B,'Registre_Maintenance'!D:D,"Pas de correspondance")</f>
        <v>Pas de correspondance</v>
      </c>
      <c r="I1067" t="str">
        <f>_xlfn.XLOOKUP(Logs__2[[#This Row],[Cell_ID]],'Registre_Maintenance'!B:B,'Registre_Maintenance'!E:E,"Pas de correspondance")</f>
        <v>Pas de correspondance</v>
      </c>
      <c r="J1067" t="str">
        <f>_xlfn.XLOOKUP(Logs__2[[#This Row],[Cell_ID]],'Registre_Maintenance'!B:B,'Registre_Maintenance'!F:F,"Pas de correspondance")</f>
        <v>Pas de correspondance</v>
      </c>
      <c r="K1067" t="str">
        <f>_xlfn.XLOOKUP(Logs__2[[#This Row],[Cell_ID]],'Registre_Maintenance'!B:B,'Registre_Maintenance'!G:G,"Pas de correspondance")</f>
        <v>Pas de correspondance</v>
      </c>
    </row>
    <row r="1068" spans="1:11" x14ac:dyDescent="0.25">
      <c r="A1068" s="1" t="s">
        <v>1483</v>
      </c>
      <c r="B1068" s="2">
        <v>45216</v>
      </c>
      <c r="C1068" s="3">
        <v>0.13750000000000001</v>
      </c>
      <c r="D1068" s="1" t="s">
        <v>1489</v>
      </c>
      <c r="E1068">
        <v>120</v>
      </c>
      <c r="F1068" s="1" t="s">
        <v>809</v>
      </c>
      <c r="G1068" t="str">
        <f>_xlfn.XLOOKUP(Logs__2[[#This Row],[Cell_ID]],'Registre_Maintenance'!B:B,'Registre_Maintenance'!C:C,"Pas de correspondance")</f>
        <v>Mongala</v>
      </c>
      <c r="H1068">
        <f>_xlfn.XLOOKUP(Logs__2[[#This Row],[Cell_ID]],'Registre_Maintenance'!B:B,'Registre_Maintenance'!D:D,"Pas de correspondance")</f>
        <v>-7.2267089999999996</v>
      </c>
      <c r="I1068">
        <f>_xlfn.XLOOKUP(Logs__2[[#This Row],[Cell_ID]],'Registre_Maintenance'!B:B,'Registre_Maintenance'!E:E,"Pas de correspondance")</f>
        <v>28.421362999999999</v>
      </c>
      <c r="J1068" t="str">
        <f>_xlfn.XLOOKUP(Logs__2[[#This Row],[Cell_ID]],'Registre_Maintenance'!B:B,'Registre_Maintenance'!F:F,"Pas de correspondance")</f>
        <v>5G</v>
      </c>
      <c r="K1068" t="str">
        <f>_xlfn.XLOOKUP(Logs__2[[#This Row],[Cell_ID]],'Registre_Maintenance'!B:B,'Registre_Maintenance'!G:G,"Pas de correspondance")</f>
        <v>Ericsson</v>
      </c>
    </row>
    <row r="1069" spans="1:11" x14ac:dyDescent="0.25">
      <c r="A1069" s="1" t="s">
        <v>1483</v>
      </c>
      <c r="B1069" s="2">
        <v>45225</v>
      </c>
      <c r="C1069" s="3">
        <v>0.8881944444444444</v>
      </c>
      <c r="D1069" s="1" t="s">
        <v>1490</v>
      </c>
      <c r="E1069">
        <v>87</v>
      </c>
      <c r="F1069" s="1" t="s">
        <v>811</v>
      </c>
      <c r="G1069" t="str">
        <f>_xlfn.XLOOKUP(Logs__2[[#This Row],[Cell_ID]],'Registre_Maintenance'!B:B,'Registre_Maintenance'!C:C,"Pas de correspondance")</f>
        <v>Haut-Lomami</v>
      </c>
      <c r="H1069">
        <f>_xlfn.XLOOKUP(Logs__2[[#This Row],[Cell_ID]],'Registre_Maintenance'!B:B,'Registre_Maintenance'!D:D,"Pas de correspondance")</f>
        <v>-5.8145569999999998</v>
      </c>
      <c r="I1069">
        <f>_xlfn.XLOOKUP(Logs__2[[#This Row],[Cell_ID]],'Registre_Maintenance'!B:B,'Registre_Maintenance'!E:E,"Pas de correspondance")</f>
        <v>21.942052</v>
      </c>
      <c r="J1069" t="str">
        <f>_xlfn.XLOOKUP(Logs__2[[#This Row],[Cell_ID]],'Registre_Maintenance'!B:B,'Registre_Maintenance'!F:F,"Pas de correspondance")</f>
        <v>5G</v>
      </c>
      <c r="K1069" t="str">
        <f>_xlfn.XLOOKUP(Logs__2[[#This Row],[Cell_ID]],'Registre_Maintenance'!B:B,'Registre_Maintenance'!G:G,"Pas de correspondance")</f>
        <v>Huawei</v>
      </c>
    </row>
    <row r="1070" spans="1:11" x14ac:dyDescent="0.25">
      <c r="A1070" s="1" t="s">
        <v>1483</v>
      </c>
      <c r="B1070" s="2">
        <v>45219</v>
      </c>
      <c r="C1070" s="3">
        <v>9.583333333333334E-2</v>
      </c>
      <c r="D1070" s="1" t="s">
        <v>975</v>
      </c>
      <c r="E1070">
        <v>113</v>
      </c>
      <c r="F1070" s="1" t="s">
        <v>811</v>
      </c>
      <c r="G1070" t="str">
        <f>_xlfn.XLOOKUP(Logs__2[[#This Row],[Cell_ID]],'Registre_Maintenance'!B:B,'Registre_Maintenance'!C:C,"Pas de correspondance")</f>
        <v>Bas-Uele</v>
      </c>
      <c r="H1070">
        <f>_xlfn.XLOOKUP(Logs__2[[#This Row],[Cell_ID]],'Registre_Maintenance'!B:B,'Registre_Maintenance'!D:D,"Pas de correspondance")</f>
        <v>-3.6945459999999999</v>
      </c>
      <c r="I1070">
        <f>_xlfn.XLOOKUP(Logs__2[[#This Row],[Cell_ID]],'Registre_Maintenance'!B:B,'Registre_Maintenance'!E:E,"Pas de correspondance")</f>
        <v>16.809108999999999</v>
      </c>
      <c r="J1070" t="str">
        <f>_xlfn.XLOOKUP(Logs__2[[#This Row],[Cell_ID]],'Registre_Maintenance'!B:B,'Registre_Maintenance'!F:F,"Pas de correspondance")</f>
        <v>5G</v>
      </c>
      <c r="K1070" t="str">
        <f>_xlfn.XLOOKUP(Logs__2[[#This Row],[Cell_ID]],'Registre_Maintenance'!B:B,'Registre_Maintenance'!G:G,"Pas de correspondance")</f>
        <v>ZTE</v>
      </c>
    </row>
    <row r="1071" spans="1:11" hidden="1" x14ac:dyDescent="0.25">
      <c r="A1071" s="1" t="s">
        <v>1483</v>
      </c>
      <c r="B1071" s="2">
        <v>45224</v>
      </c>
      <c r="C1071" s="3">
        <v>0.6</v>
      </c>
      <c r="D1071" s="1" t="s">
        <v>1491</v>
      </c>
      <c r="E1071">
        <v>70</v>
      </c>
      <c r="F1071" s="1" t="s">
        <v>811</v>
      </c>
      <c r="G1071" t="str">
        <f>_xlfn.XLOOKUP(Logs__2[[#This Row],[Cell_ID]],'Registre_Maintenance'!B:B,'Registre_Maintenance'!C:C,"Pas de correspondance")</f>
        <v>Pas de correspondance</v>
      </c>
      <c r="H1071" t="str">
        <f>_xlfn.XLOOKUP(Logs__2[[#This Row],[Cell_ID]],'Registre_Maintenance'!B:B,'Registre_Maintenance'!D:D,"Pas de correspondance")</f>
        <v>Pas de correspondance</v>
      </c>
      <c r="I1071" t="str">
        <f>_xlfn.XLOOKUP(Logs__2[[#This Row],[Cell_ID]],'Registre_Maintenance'!B:B,'Registre_Maintenance'!E:E,"Pas de correspondance")</f>
        <v>Pas de correspondance</v>
      </c>
      <c r="J1071" t="str">
        <f>_xlfn.XLOOKUP(Logs__2[[#This Row],[Cell_ID]],'Registre_Maintenance'!B:B,'Registre_Maintenance'!F:F,"Pas de correspondance")</f>
        <v>Pas de correspondance</v>
      </c>
      <c r="K1071" t="str">
        <f>_xlfn.XLOOKUP(Logs__2[[#This Row],[Cell_ID]],'Registre_Maintenance'!B:B,'Registre_Maintenance'!G:G,"Pas de correspondance")</f>
        <v>Pas de correspondance</v>
      </c>
    </row>
    <row r="1072" spans="1:11" hidden="1" x14ac:dyDescent="0.25">
      <c r="A1072" s="1" t="s">
        <v>1483</v>
      </c>
      <c r="B1072" s="2">
        <v>45212</v>
      </c>
      <c r="C1072" s="3">
        <v>0.87569444444444444</v>
      </c>
      <c r="D1072" s="1" t="s">
        <v>1492</v>
      </c>
      <c r="E1072">
        <v>23</v>
      </c>
      <c r="F1072" s="1" t="s">
        <v>806</v>
      </c>
      <c r="G1072" t="str">
        <f>_xlfn.XLOOKUP(Logs__2[[#This Row],[Cell_ID]],'Registre_Maintenance'!B:B,'Registre_Maintenance'!C:C,"Pas de correspondance")</f>
        <v>Pas de correspondance</v>
      </c>
      <c r="H1072" t="str">
        <f>_xlfn.XLOOKUP(Logs__2[[#This Row],[Cell_ID]],'Registre_Maintenance'!B:B,'Registre_Maintenance'!D:D,"Pas de correspondance")</f>
        <v>Pas de correspondance</v>
      </c>
      <c r="I1072" t="str">
        <f>_xlfn.XLOOKUP(Logs__2[[#This Row],[Cell_ID]],'Registre_Maintenance'!B:B,'Registre_Maintenance'!E:E,"Pas de correspondance")</f>
        <v>Pas de correspondance</v>
      </c>
      <c r="J1072" t="str">
        <f>_xlfn.XLOOKUP(Logs__2[[#This Row],[Cell_ID]],'Registre_Maintenance'!B:B,'Registre_Maintenance'!F:F,"Pas de correspondance")</f>
        <v>Pas de correspondance</v>
      </c>
      <c r="K1072" t="str">
        <f>_xlfn.XLOOKUP(Logs__2[[#This Row],[Cell_ID]],'Registre_Maintenance'!B:B,'Registre_Maintenance'!G:G,"Pas de correspondance")</f>
        <v>Pas de correspondance</v>
      </c>
    </row>
    <row r="1073" spans="1:11" hidden="1" x14ac:dyDescent="0.25">
      <c r="A1073" s="1" t="s">
        <v>1483</v>
      </c>
      <c r="B1073" s="2">
        <v>45215</v>
      </c>
      <c r="C1073" s="3">
        <v>0.23194444444444445</v>
      </c>
      <c r="D1073" s="1" t="s">
        <v>1145</v>
      </c>
      <c r="E1073">
        <v>25</v>
      </c>
      <c r="F1073" s="1" t="s">
        <v>809</v>
      </c>
      <c r="G1073" t="str">
        <f>_xlfn.XLOOKUP(Logs__2[[#This Row],[Cell_ID]],'Registre_Maintenance'!B:B,'Registre_Maintenance'!C:C,"Pas de correspondance")</f>
        <v>Pas de correspondance</v>
      </c>
      <c r="H1073" t="str">
        <f>_xlfn.XLOOKUP(Logs__2[[#This Row],[Cell_ID]],'Registre_Maintenance'!B:B,'Registre_Maintenance'!D:D,"Pas de correspondance")</f>
        <v>Pas de correspondance</v>
      </c>
      <c r="I1073" t="str">
        <f>_xlfn.XLOOKUP(Logs__2[[#This Row],[Cell_ID]],'Registre_Maintenance'!B:B,'Registre_Maintenance'!E:E,"Pas de correspondance")</f>
        <v>Pas de correspondance</v>
      </c>
      <c r="J1073" t="str">
        <f>_xlfn.XLOOKUP(Logs__2[[#This Row],[Cell_ID]],'Registre_Maintenance'!B:B,'Registre_Maintenance'!F:F,"Pas de correspondance")</f>
        <v>Pas de correspondance</v>
      </c>
      <c r="K1073" t="str">
        <f>_xlfn.XLOOKUP(Logs__2[[#This Row],[Cell_ID]],'Registre_Maintenance'!B:B,'Registre_Maintenance'!G:G,"Pas de correspondance")</f>
        <v>Pas de correspondance</v>
      </c>
    </row>
    <row r="1074" spans="1:11" hidden="1" x14ac:dyDescent="0.25">
      <c r="A1074" s="1" t="s">
        <v>1483</v>
      </c>
      <c r="B1074" s="2">
        <v>45207</v>
      </c>
      <c r="C1074" s="3">
        <v>0.19930555555555557</v>
      </c>
      <c r="D1074" s="1" t="s">
        <v>1417</v>
      </c>
      <c r="E1074">
        <v>28</v>
      </c>
      <c r="F1074" s="1" t="s">
        <v>809</v>
      </c>
      <c r="G1074" t="str">
        <f>_xlfn.XLOOKUP(Logs__2[[#This Row],[Cell_ID]],'Registre_Maintenance'!B:B,'Registre_Maintenance'!C:C,"Pas de correspondance")</f>
        <v>Pas de correspondance</v>
      </c>
      <c r="H1074" t="str">
        <f>_xlfn.XLOOKUP(Logs__2[[#This Row],[Cell_ID]],'Registre_Maintenance'!B:B,'Registre_Maintenance'!D:D,"Pas de correspondance")</f>
        <v>Pas de correspondance</v>
      </c>
      <c r="I1074" t="str">
        <f>_xlfn.XLOOKUP(Logs__2[[#This Row],[Cell_ID]],'Registre_Maintenance'!B:B,'Registre_Maintenance'!E:E,"Pas de correspondance")</f>
        <v>Pas de correspondance</v>
      </c>
      <c r="J1074" t="str">
        <f>_xlfn.XLOOKUP(Logs__2[[#This Row],[Cell_ID]],'Registre_Maintenance'!B:B,'Registre_Maintenance'!F:F,"Pas de correspondance")</f>
        <v>Pas de correspondance</v>
      </c>
      <c r="K1074" t="str">
        <f>_xlfn.XLOOKUP(Logs__2[[#This Row],[Cell_ID]],'Registre_Maintenance'!B:B,'Registre_Maintenance'!G:G,"Pas de correspondance")</f>
        <v>Pas de correspondance</v>
      </c>
    </row>
    <row r="1075" spans="1:11" hidden="1" x14ac:dyDescent="0.25">
      <c r="A1075" s="1" t="s">
        <v>1483</v>
      </c>
      <c r="B1075" s="2">
        <v>45212</v>
      </c>
      <c r="C1075" s="3">
        <v>0.72083333333333333</v>
      </c>
      <c r="D1075" s="1" t="s">
        <v>1493</v>
      </c>
      <c r="E1075">
        <v>33</v>
      </c>
      <c r="F1075" s="1" t="s">
        <v>811</v>
      </c>
      <c r="G1075" t="str">
        <f>_xlfn.XLOOKUP(Logs__2[[#This Row],[Cell_ID]],'Registre_Maintenance'!B:B,'Registre_Maintenance'!C:C,"Pas de correspondance")</f>
        <v>Pas de correspondance</v>
      </c>
      <c r="H1075" t="str">
        <f>_xlfn.XLOOKUP(Logs__2[[#This Row],[Cell_ID]],'Registre_Maintenance'!B:B,'Registre_Maintenance'!D:D,"Pas de correspondance")</f>
        <v>Pas de correspondance</v>
      </c>
      <c r="I1075" t="str">
        <f>_xlfn.XLOOKUP(Logs__2[[#This Row],[Cell_ID]],'Registre_Maintenance'!B:B,'Registre_Maintenance'!E:E,"Pas de correspondance")</f>
        <v>Pas de correspondance</v>
      </c>
      <c r="J1075" t="str">
        <f>_xlfn.XLOOKUP(Logs__2[[#This Row],[Cell_ID]],'Registre_Maintenance'!B:B,'Registre_Maintenance'!F:F,"Pas de correspondance")</f>
        <v>Pas de correspondance</v>
      </c>
      <c r="K1075" t="str">
        <f>_xlfn.XLOOKUP(Logs__2[[#This Row],[Cell_ID]],'Registre_Maintenance'!B:B,'Registre_Maintenance'!G:G,"Pas de correspondance")</f>
        <v>Pas de correspondance</v>
      </c>
    </row>
    <row r="1076" spans="1:11" x14ac:dyDescent="0.25">
      <c r="A1076" s="1" t="s">
        <v>1483</v>
      </c>
      <c r="B1076" s="2">
        <v>45230</v>
      </c>
      <c r="C1076" s="3">
        <v>0.83958333333333335</v>
      </c>
      <c r="D1076" s="1" t="s">
        <v>1196</v>
      </c>
      <c r="E1076">
        <v>83</v>
      </c>
      <c r="F1076" s="1" t="s">
        <v>811</v>
      </c>
      <c r="G1076" t="str">
        <f>_xlfn.XLOOKUP(Logs__2[[#This Row],[Cell_ID]],'Registre_Maintenance'!B:B,'Registre_Maintenance'!C:C,"Pas de correspondance")</f>
        <v>Equateur</v>
      </c>
      <c r="H1076">
        <f>_xlfn.XLOOKUP(Logs__2[[#This Row],[Cell_ID]],'Registre_Maintenance'!B:B,'Registre_Maintenance'!D:D,"Pas de correspondance")</f>
        <v>-0.79459900000000006</v>
      </c>
      <c r="I1076">
        <f>_xlfn.XLOOKUP(Logs__2[[#This Row],[Cell_ID]],'Registre_Maintenance'!B:B,'Registre_Maintenance'!E:E,"Pas de correspondance")</f>
        <v>26.775570999999999</v>
      </c>
      <c r="J1076" t="str">
        <f>_xlfn.XLOOKUP(Logs__2[[#This Row],[Cell_ID]],'Registre_Maintenance'!B:B,'Registre_Maintenance'!F:F,"Pas de correspondance")</f>
        <v>5G</v>
      </c>
      <c r="K1076" t="str">
        <f>_xlfn.XLOOKUP(Logs__2[[#This Row],[Cell_ID]],'Registre_Maintenance'!B:B,'Registre_Maintenance'!G:G,"Pas de correspondance")</f>
        <v>Huawei</v>
      </c>
    </row>
    <row r="1077" spans="1:11" x14ac:dyDescent="0.25">
      <c r="A1077" s="1" t="s">
        <v>1483</v>
      </c>
      <c r="B1077" s="2">
        <v>45209</v>
      </c>
      <c r="C1077" s="3">
        <v>0.91388888888888886</v>
      </c>
      <c r="D1077" s="1" t="s">
        <v>1131</v>
      </c>
      <c r="E1077">
        <v>111</v>
      </c>
      <c r="F1077" s="1" t="s">
        <v>811</v>
      </c>
      <c r="G1077" t="str">
        <f>_xlfn.XLOOKUP(Logs__2[[#This Row],[Cell_ID]],'Registre_Maintenance'!B:B,'Registre_Maintenance'!C:C,"Pas de correspondance")</f>
        <v>Bas-Uele</v>
      </c>
      <c r="H1077">
        <f>_xlfn.XLOOKUP(Logs__2[[#This Row],[Cell_ID]],'Registre_Maintenance'!B:B,'Registre_Maintenance'!D:D,"Pas de correspondance")</f>
        <v>-6.4197189999999997</v>
      </c>
      <c r="I1077">
        <f>_xlfn.XLOOKUP(Logs__2[[#This Row],[Cell_ID]],'Registre_Maintenance'!B:B,'Registre_Maintenance'!E:E,"Pas de correspondance")</f>
        <v>22.287264</v>
      </c>
      <c r="J1077" t="str">
        <f>_xlfn.XLOOKUP(Logs__2[[#This Row],[Cell_ID]],'Registre_Maintenance'!B:B,'Registre_Maintenance'!F:F,"Pas de correspondance")</f>
        <v>3G</v>
      </c>
      <c r="K1077" t="str">
        <f>_xlfn.XLOOKUP(Logs__2[[#This Row],[Cell_ID]],'Registre_Maintenance'!B:B,'Registre_Maintenance'!G:G,"Pas de correspondance")</f>
        <v>Ericsson</v>
      </c>
    </row>
    <row r="1078" spans="1:11" hidden="1" x14ac:dyDescent="0.25">
      <c r="A1078" s="1" t="s">
        <v>1483</v>
      </c>
      <c r="B1078" s="2">
        <v>45229</v>
      </c>
      <c r="C1078" s="3">
        <v>0.9868055555555556</v>
      </c>
      <c r="D1078" s="1" t="s">
        <v>1256</v>
      </c>
      <c r="E1078">
        <v>37</v>
      </c>
      <c r="F1078" s="1" t="s">
        <v>811</v>
      </c>
      <c r="G1078" t="str">
        <f>_xlfn.XLOOKUP(Logs__2[[#This Row],[Cell_ID]],'Registre_Maintenance'!B:B,'Registre_Maintenance'!C:C,"Pas de correspondance")</f>
        <v>Pas de correspondance</v>
      </c>
      <c r="H1078" t="str">
        <f>_xlfn.XLOOKUP(Logs__2[[#This Row],[Cell_ID]],'Registre_Maintenance'!B:B,'Registre_Maintenance'!D:D,"Pas de correspondance")</f>
        <v>Pas de correspondance</v>
      </c>
      <c r="I1078" t="str">
        <f>_xlfn.XLOOKUP(Logs__2[[#This Row],[Cell_ID]],'Registre_Maintenance'!B:B,'Registre_Maintenance'!E:E,"Pas de correspondance")</f>
        <v>Pas de correspondance</v>
      </c>
      <c r="J1078" t="str">
        <f>_xlfn.XLOOKUP(Logs__2[[#This Row],[Cell_ID]],'Registre_Maintenance'!B:B,'Registre_Maintenance'!F:F,"Pas de correspondance")</f>
        <v>Pas de correspondance</v>
      </c>
      <c r="K1078" t="str">
        <f>_xlfn.XLOOKUP(Logs__2[[#This Row],[Cell_ID]],'Registre_Maintenance'!B:B,'Registre_Maintenance'!G:G,"Pas de correspondance")</f>
        <v>Pas de correspondance</v>
      </c>
    </row>
  </sheetData>
  <phoneticPr fontId="2" type="noConversion"/>
  <pageMargins left="0.7" right="0.7" top="0.75" bottom="0.75" header="0.3" footer="0.3"/>
  <pageSetup orientation="portrait" horizontalDpi="300" verticalDpi="0" copies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5790-3470-439F-B83E-605A7A592CE8}">
  <dimension ref="A1:K400"/>
  <sheetViews>
    <sheetView zoomScale="80" zoomScaleNormal="80" workbookViewId="0">
      <selection activeCell="C22" sqref="C22"/>
    </sheetView>
  </sheetViews>
  <sheetFormatPr baseColWidth="10" defaultRowHeight="15" x14ac:dyDescent="0.25"/>
  <cols>
    <col min="1" max="1" width="32.42578125" bestFit="1" customWidth="1"/>
    <col min="2" max="2" width="14.28515625" bestFit="1" customWidth="1"/>
    <col min="3" max="3" width="16.7109375" bestFit="1" customWidth="1"/>
    <col min="4" max="4" width="11.5703125" bestFit="1" customWidth="1"/>
    <col min="5" max="5" width="12.85546875" bestFit="1" customWidth="1"/>
    <col min="6" max="6" width="14.5703125" bestFit="1" customWidth="1"/>
    <col min="7" max="7" width="17" bestFit="1" customWidth="1"/>
    <col min="8" max="10" width="22" bestFit="1" customWidth="1"/>
    <col min="11" max="11" width="19.85546875" bestFit="1" customWidth="1"/>
  </cols>
  <sheetData>
    <row r="1" spans="1:11" x14ac:dyDescent="0.25">
      <c r="A1" t="s">
        <v>0</v>
      </c>
      <c r="B1" t="s">
        <v>1494</v>
      </c>
      <c r="C1" t="s">
        <v>1495</v>
      </c>
      <c r="D1" t="s">
        <v>1496</v>
      </c>
      <c r="E1" t="s">
        <v>1497</v>
      </c>
      <c r="F1" t="s">
        <v>1498</v>
      </c>
      <c r="G1" t="s">
        <v>1499</v>
      </c>
      <c r="H1" t="s">
        <v>1657</v>
      </c>
      <c r="I1" t="s">
        <v>1658</v>
      </c>
      <c r="J1" t="s">
        <v>802</v>
      </c>
      <c r="K1" t="s">
        <v>803</v>
      </c>
    </row>
    <row r="2" spans="1:11" x14ac:dyDescent="0.25">
      <c r="A2" s="1" t="s">
        <v>1500</v>
      </c>
      <c r="B2" s="1" t="s">
        <v>1323</v>
      </c>
      <c r="C2" s="1" t="s">
        <v>127</v>
      </c>
      <c r="D2">
        <v>-3.003879</v>
      </c>
      <c r="E2">
        <v>23.633893</v>
      </c>
      <c r="F2" s="1" t="s">
        <v>1501</v>
      </c>
      <c r="G2" s="1" t="s">
        <v>1502</v>
      </c>
      <c r="H2" s="1" t="str">
        <f>_xlfn.XLOOKUP(Registre_Maintenance__2[[#This Row],[ID_Antenne]],Master!D:D,Master!B:B,"Pas de correspondance")</f>
        <v>Pas de correspondance</v>
      </c>
      <c r="I2" s="1" t="str">
        <f>_xlfn.XLOOKUP(Registre_Maintenance__2[[#This Row],[ID_Antenne]],Master!D:D,Master!C:C,"Pas de correspondance")</f>
        <v>Pas de correspondance</v>
      </c>
      <c r="J2" s="1" t="str">
        <f>_xlfn.XLOOKUP(Registre_Maintenance__2[[#This Row],[ID_Antenne]],Master!D:D,Master!F:F,"Pas de correspondance")</f>
        <v>Pas de correspondance</v>
      </c>
      <c r="K2" s="1" t="e">
        <f>_xlfn.XLOOKUP(Registre_Maintenance__2[[#This Row],[ID_Antenne]],Master!D:D,Master!#REF!,"Pas de correspondance")</f>
        <v>#REF!</v>
      </c>
    </row>
    <row r="3" spans="1:11" x14ac:dyDescent="0.25">
      <c r="A3" s="1" t="s">
        <v>1500</v>
      </c>
      <c r="B3" s="1" t="s">
        <v>1503</v>
      </c>
      <c r="C3" s="1" t="s">
        <v>51</v>
      </c>
      <c r="D3">
        <v>2.413557</v>
      </c>
      <c r="E3">
        <v>19.690681999999999</v>
      </c>
      <c r="F3" s="1" t="s">
        <v>1504</v>
      </c>
      <c r="G3" s="1" t="s">
        <v>1505</v>
      </c>
      <c r="H3" s="1" t="str">
        <f>_xlfn.XLOOKUP(Registre_Maintenance__2[[#This Row],[ID_Antenne]],Master!D:D,Master!B:B,"Pas de correspondance")</f>
        <v>Pas de correspondance</v>
      </c>
      <c r="I3" s="1" t="str">
        <f>_xlfn.XLOOKUP(Registre_Maintenance__2[[#This Row],[ID_Antenne]],Master!D:D,Master!C:C,"Pas de correspondance")</f>
        <v>Pas de correspondance</v>
      </c>
      <c r="J3" s="1" t="str">
        <f>_xlfn.XLOOKUP(Registre_Maintenance__2[[#This Row],[ID_Antenne]],Master!D:D,Master!F:F,"Pas de correspondance")</f>
        <v>Pas de correspondance</v>
      </c>
      <c r="K3" s="1" t="e">
        <f>_xlfn.XLOOKUP(Registre_Maintenance__2[[#This Row],[ID_Antenne]],Master!D:D,Master!#REF!,"Pas de correspondance")</f>
        <v>#REF!</v>
      </c>
    </row>
    <row r="4" spans="1:11" x14ac:dyDescent="0.25">
      <c r="A4" s="1" t="s">
        <v>1500</v>
      </c>
      <c r="B4" s="1" t="s">
        <v>825</v>
      </c>
      <c r="C4" s="1" t="s">
        <v>37</v>
      </c>
      <c r="D4">
        <v>-9.4708620000000003</v>
      </c>
      <c r="E4">
        <v>29.234387999999999</v>
      </c>
      <c r="F4" s="1" t="s">
        <v>1506</v>
      </c>
      <c r="G4" s="1" t="s">
        <v>1507</v>
      </c>
      <c r="H4" s="1" t="str">
        <f>_xlfn.XLOOKUP(Registre_Maintenance__2[[#This Row],[ID_Antenne]],Master!D:D,Master!B:B,"Pas de correspondance")</f>
        <v>Pas de correspondance</v>
      </c>
      <c r="I4" s="1" t="str">
        <f>_xlfn.XLOOKUP(Registre_Maintenance__2[[#This Row],[ID_Antenne]],Master!D:D,Master!C:C,"Pas de correspondance")</f>
        <v>Pas de correspondance</v>
      </c>
      <c r="J4" s="1" t="str">
        <f>_xlfn.XLOOKUP(Registre_Maintenance__2[[#This Row],[ID_Antenne]],Master!D:D,Master!F:F,"Pas de correspondance")</f>
        <v>Pas de correspondance</v>
      </c>
      <c r="K4" s="1" t="e">
        <f>_xlfn.XLOOKUP(Registre_Maintenance__2[[#This Row],[ID_Antenne]],Master!D:D,Master!#REF!,"Pas de correspondance")</f>
        <v>#REF!</v>
      </c>
    </row>
    <row r="5" spans="1:11" x14ac:dyDescent="0.25">
      <c r="A5" s="1" t="s">
        <v>1500</v>
      </c>
      <c r="B5" s="1" t="s">
        <v>1272</v>
      </c>
      <c r="C5" s="1" t="s">
        <v>73</v>
      </c>
      <c r="D5">
        <v>1.400674</v>
      </c>
      <c r="E5">
        <v>13.503126999999999</v>
      </c>
      <c r="F5" s="1" t="s">
        <v>1501</v>
      </c>
      <c r="G5" s="1" t="s">
        <v>1507</v>
      </c>
      <c r="H5" s="1" t="str">
        <f>_xlfn.XLOOKUP(Registre_Maintenance__2[[#This Row],[ID_Antenne]],Master!D:D,Master!B:B,"Pas de correspondance")</f>
        <v>Pas de correspondance</v>
      </c>
      <c r="I5" s="1" t="str">
        <f>_xlfn.XLOOKUP(Registre_Maintenance__2[[#This Row],[ID_Antenne]],Master!D:D,Master!C:C,"Pas de correspondance")</f>
        <v>Pas de correspondance</v>
      </c>
      <c r="J5" s="1" t="str">
        <f>_xlfn.XLOOKUP(Registre_Maintenance__2[[#This Row],[ID_Antenne]],Master!D:D,Master!F:F,"Pas de correspondance")</f>
        <v>Pas de correspondance</v>
      </c>
      <c r="K5" s="1" t="e">
        <f>_xlfn.XLOOKUP(Registre_Maintenance__2[[#This Row],[ID_Antenne]],Master!D:D,Master!#REF!,"Pas de correspondance")</f>
        <v>#REF!</v>
      </c>
    </row>
    <row r="6" spans="1:11" x14ac:dyDescent="0.25">
      <c r="A6" s="1" t="s">
        <v>1500</v>
      </c>
      <c r="B6" s="1" t="s">
        <v>1508</v>
      </c>
      <c r="C6" s="1" t="s">
        <v>127</v>
      </c>
      <c r="D6">
        <v>0.29375600000000002</v>
      </c>
      <c r="E6">
        <v>18.528884000000001</v>
      </c>
      <c r="F6" s="1" t="s">
        <v>1501</v>
      </c>
      <c r="G6" s="1" t="s">
        <v>1507</v>
      </c>
      <c r="H6" s="1" t="str">
        <f>_xlfn.XLOOKUP(Registre_Maintenance__2[[#This Row],[ID_Antenne]],Master!D:D,Master!B:B,"Pas de correspondance")</f>
        <v>Pas de correspondance</v>
      </c>
      <c r="I6" s="1" t="str">
        <f>_xlfn.XLOOKUP(Registre_Maintenance__2[[#This Row],[ID_Antenne]],Master!D:D,Master!C:C,"Pas de correspondance")</f>
        <v>Pas de correspondance</v>
      </c>
      <c r="J6" s="1" t="str">
        <f>_xlfn.XLOOKUP(Registre_Maintenance__2[[#This Row],[ID_Antenne]],Master!D:D,Master!F:F,"Pas de correspondance")</f>
        <v>Pas de correspondance</v>
      </c>
      <c r="K6" s="1" t="e">
        <f>_xlfn.XLOOKUP(Registre_Maintenance__2[[#This Row],[ID_Antenne]],Master!D:D,Master!#REF!,"Pas de correspondance")</f>
        <v>#REF!</v>
      </c>
    </row>
    <row r="7" spans="1:11" x14ac:dyDescent="0.25">
      <c r="A7" s="1" t="s">
        <v>1500</v>
      </c>
      <c r="B7" s="1" t="s">
        <v>1509</v>
      </c>
      <c r="C7" s="1" t="s">
        <v>78</v>
      </c>
      <c r="D7">
        <v>-4.4862339999999996</v>
      </c>
      <c r="E7">
        <v>17.956159</v>
      </c>
      <c r="F7" s="1" t="s">
        <v>1506</v>
      </c>
      <c r="G7" s="1" t="s">
        <v>1505</v>
      </c>
      <c r="H7" s="1" t="str">
        <f>_xlfn.XLOOKUP(Registre_Maintenance__2[[#This Row],[ID_Antenne]],Master!D:D,Master!B:B,"Pas de correspondance")</f>
        <v>Pas de correspondance</v>
      </c>
      <c r="I7" s="1" t="str">
        <f>_xlfn.XLOOKUP(Registre_Maintenance__2[[#This Row],[ID_Antenne]],Master!D:D,Master!C:C,"Pas de correspondance")</f>
        <v>Pas de correspondance</v>
      </c>
      <c r="J7" s="1" t="str">
        <f>_xlfn.XLOOKUP(Registre_Maintenance__2[[#This Row],[ID_Antenne]],Master!D:D,Master!F:F,"Pas de correspondance")</f>
        <v>Pas de correspondance</v>
      </c>
      <c r="K7" s="1" t="e">
        <f>_xlfn.XLOOKUP(Registre_Maintenance__2[[#This Row],[ID_Antenne]],Master!D:D,Master!#REF!,"Pas de correspondance")</f>
        <v>#REF!</v>
      </c>
    </row>
    <row r="8" spans="1:11" x14ac:dyDescent="0.25">
      <c r="A8" s="1" t="s">
        <v>1500</v>
      </c>
      <c r="B8" s="1" t="s">
        <v>1510</v>
      </c>
      <c r="C8" s="1" t="s">
        <v>37</v>
      </c>
      <c r="D8">
        <v>-12.824638999999999</v>
      </c>
      <c r="E8">
        <v>24.407249</v>
      </c>
      <c r="F8" s="1" t="s">
        <v>1501</v>
      </c>
      <c r="G8" s="1" t="s">
        <v>1505</v>
      </c>
      <c r="H8" s="1" t="str">
        <f>_xlfn.XLOOKUP(Registre_Maintenance__2[[#This Row],[ID_Antenne]],Master!D:D,Master!B:B,"Pas de correspondance")</f>
        <v>Pas de correspondance</v>
      </c>
      <c r="I8" s="1" t="str">
        <f>_xlfn.XLOOKUP(Registre_Maintenance__2[[#This Row],[ID_Antenne]],Master!D:D,Master!C:C,"Pas de correspondance")</f>
        <v>Pas de correspondance</v>
      </c>
      <c r="J8" s="1" t="str">
        <f>_xlfn.XLOOKUP(Registre_Maintenance__2[[#This Row],[ID_Antenne]],Master!D:D,Master!F:F,"Pas de correspondance")</f>
        <v>Pas de correspondance</v>
      </c>
      <c r="K8" s="1" t="e">
        <f>_xlfn.XLOOKUP(Registre_Maintenance__2[[#This Row],[ID_Antenne]],Master!D:D,Master!#REF!,"Pas de correspondance")</f>
        <v>#REF!</v>
      </c>
    </row>
    <row r="9" spans="1:11" x14ac:dyDescent="0.25">
      <c r="A9" s="1" t="s">
        <v>1500</v>
      </c>
      <c r="B9" s="1" t="s">
        <v>903</v>
      </c>
      <c r="C9" s="1" t="s">
        <v>64</v>
      </c>
      <c r="D9">
        <v>-5.4126279999999998</v>
      </c>
      <c r="E9">
        <v>25.498235999999999</v>
      </c>
      <c r="F9" s="1" t="s">
        <v>1501</v>
      </c>
      <c r="G9" s="1" t="s">
        <v>1507</v>
      </c>
      <c r="H9" s="1" t="str">
        <f>_xlfn.XLOOKUP(Registre_Maintenance__2[[#This Row],[ID_Antenne]],Master!D:D,Master!B:B,"Pas de correspondance")</f>
        <v>Pas de correspondance</v>
      </c>
      <c r="I9" s="1" t="str">
        <f>_xlfn.XLOOKUP(Registre_Maintenance__2[[#This Row],[ID_Antenne]],Master!D:D,Master!C:C,"Pas de correspondance")</f>
        <v>Pas de correspondance</v>
      </c>
      <c r="J9" s="1" t="str">
        <f>_xlfn.XLOOKUP(Registre_Maintenance__2[[#This Row],[ID_Antenne]],Master!D:D,Master!F:F,"Pas de correspondance")</f>
        <v>Pas de correspondance</v>
      </c>
      <c r="K9" s="1" t="e">
        <f>_xlfn.XLOOKUP(Registre_Maintenance__2[[#This Row],[ID_Antenne]],Master!D:D,Master!#REF!,"Pas de correspondance")</f>
        <v>#REF!</v>
      </c>
    </row>
    <row r="10" spans="1:11" x14ac:dyDescent="0.25">
      <c r="A10" s="1" t="s">
        <v>1500</v>
      </c>
      <c r="B10" s="1" t="s">
        <v>1511</v>
      </c>
      <c r="C10" s="1" t="s">
        <v>64</v>
      </c>
      <c r="D10">
        <v>-10.579510000000001</v>
      </c>
      <c r="E10">
        <v>23.502313999999998</v>
      </c>
      <c r="F10" s="1" t="s">
        <v>1504</v>
      </c>
      <c r="G10" s="1" t="s">
        <v>1507</v>
      </c>
      <c r="H10" s="1" t="str">
        <f>_xlfn.XLOOKUP(Registre_Maintenance__2[[#This Row],[ID_Antenne]],Master!D:D,Master!B:B,"Pas de correspondance")</f>
        <v>Pas de correspondance</v>
      </c>
      <c r="I10" s="1" t="str">
        <f>_xlfn.XLOOKUP(Registre_Maintenance__2[[#This Row],[ID_Antenne]],Master!D:D,Master!C:C,"Pas de correspondance")</f>
        <v>Pas de correspondance</v>
      </c>
      <c r="J10" s="1" t="str">
        <f>_xlfn.XLOOKUP(Registre_Maintenance__2[[#This Row],[ID_Antenne]],Master!D:D,Master!F:F,"Pas de correspondance")</f>
        <v>Pas de correspondance</v>
      </c>
      <c r="K10" s="1" t="e">
        <f>_xlfn.XLOOKUP(Registre_Maintenance__2[[#This Row],[ID_Antenne]],Master!D:D,Master!#REF!,"Pas de correspondance")</f>
        <v>#REF!</v>
      </c>
    </row>
    <row r="11" spans="1:11" x14ac:dyDescent="0.25">
      <c r="A11" s="1" t="s">
        <v>1500</v>
      </c>
      <c r="B11" s="1" t="s">
        <v>1512</v>
      </c>
      <c r="C11" s="1" t="s">
        <v>13</v>
      </c>
      <c r="D11">
        <v>3.0788669999999998</v>
      </c>
      <c r="E11">
        <v>19.513650999999999</v>
      </c>
      <c r="F11" s="1" t="s">
        <v>1501</v>
      </c>
      <c r="G11" s="1" t="s">
        <v>1505</v>
      </c>
      <c r="H11" s="1" t="str">
        <f>_xlfn.XLOOKUP(Registre_Maintenance__2[[#This Row],[ID_Antenne]],Master!D:D,Master!B:B,"Pas de correspondance")</f>
        <v>Pas de correspondance</v>
      </c>
      <c r="I11" s="1" t="str">
        <f>_xlfn.XLOOKUP(Registre_Maintenance__2[[#This Row],[ID_Antenne]],Master!D:D,Master!C:C,"Pas de correspondance")</f>
        <v>Pas de correspondance</v>
      </c>
      <c r="J11" s="1" t="str">
        <f>_xlfn.XLOOKUP(Registre_Maintenance__2[[#This Row],[ID_Antenne]],Master!D:D,Master!F:F,"Pas de correspondance")</f>
        <v>Pas de correspondance</v>
      </c>
      <c r="K11" s="1" t="e">
        <f>_xlfn.XLOOKUP(Registre_Maintenance__2[[#This Row],[ID_Antenne]],Master!D:D,Master!#REF!,"Pas de correspondance")</f>
        <v>#REF!</v>
      </c>
    </row>
    <row r="12" spans="1:11" x14ac:dyDescent="0.25">
      <c r="A12" s="1" t="s">
        <v>1500</v>
      </c>
      <c r="B12" s="1" t="s">
        <v>814</v>
      </c>
      <c r="C12" s="1" t="s">
        <v>1675</v>
      </c>
      <c r="D12">
        <v>-1.648264</v>
      </c>
      <c r="E12">
        <v>28.866143999999998</v>
      </c>
      <c r="F12" s="1" t="s">
        <v>1501</v>
      </c>
      <c r="G12" s="1" t="s">
        <v>1502</v>
      </c>
      <c r="H12" s="1" t="str">
        <f>_xlfn.XLOOKUP(Registre_Maintenance__2[[#This Row],[ID_Antenne]],Master!D:D,Master!B:B,"Pas de correspondance")</f>
        <v>Pas de correspondance</v>
      </c>
      <c r="I12" s="1" t="str">
        <f>_xlfn.XLOOKUP(Registre_Maintenance__2[[#This Row],[ID_Antenne]],Master!D:D,Master!C:C,"Pas de correspondance")</f>
        <v>Pas de correspondance</v>
      </c>
      <c r="J12" s="1" t="str">
        <f>_xlfn.XLOOKUP(Registre_Maintenance__2[[#This Row],[ID_Antenne]],Master!D:D,Master!F:F,"Pas de correspondance")</f>
        <v>Pas de correspondance</v>
      </c>
      <c r="K12" s="1" t="e">
        <f>_xlfn.XLOOKUP(Registre_Maintenance__2[[#This Row],[ID_Antenne]],Master!D:D,Master!#REF!,"Pas de correspondance")</f>
        <v>#REF!</v>
      </c>
    </row>
    <row r="13" spans="1:11" x14ac:dyDescent="0.25">
      <c r="A13" s="1" t="s">
        <v>1500</v>
      </c>
      <c r="B13" s="1" t="s">
        <v>1513</v>
      </c>
      <c r="C13" s="1" t="s">
        <v>131</v>
      </c>
      <c r="D13">
        <v>-3.3883130000000001</v>
      </c>
      <c r="E13">
        <v>26.838507</v>
      </c>
      <c r="F13" s="1" t="s">
        <v>1501</v>
      </c>
      <c r="G13" s="1" t="s">
        <v>1514</v>
      </c>
      <c r="H13" s="1" t="str">
        <f>_xlfn.XLOOKUP(Registre_Maintenance__2[[#This Row],[ID_Antenne]],Master!D:D,Master!B:B,"Pas de correspondance")</f>
        <v>Pas de correspondance</v>
      </c>
      <c r="I13" s="1" t="str">
        <f>_xlfn.XLOOKUP(Registre_Maintenance__2[[#This Row],[ID_Antenne]],Master!D:D,Master!C:C,"Pas de correspondance")</f>
        <v>Pas de correspondance</v>
      </c>
      <c r="J13" s="1" t="str">
        <f>_xlfn.XLOOKUP(Registre_Maintenance__2[[#This Row],[ID_Antenne]],Master!D:D,Master!F:F,"Pas de correspondance")</f>
        <v>Pas de correspondance</v>
      </c>
      <c r="K13" s="1" t="e">
        <f>_xlfn.XLOOKUP(Registre_Maintenance__2[[#This Row],[ID_Antenne]],Master!D:D,Master!#REF!,"Pas de correspondance")</f>
        <v>#REF!</v>
      </c>
    </row>
    <row r="14" spans="1:11" x14ac:dyDescent="0.25">
      <c r="A14" s="1" t="s">
        <v>1500</v>
      </c>
      <c r="B14" s="1" t="s">
        <v>1515</v>
      </c>
      <c r="C14" s="1" t="s">
        <v>89</v>
      </c>
      <c r="D14">
        <v>-7.31691</v>
      </c>
      <c r="E14">
        <v>29.836627</v>
      </c>
      <c r="F14" s="1" t="s">
        <v>1501</v>
      </c>
      <c r="G14" s="1" t="s">
        <v>1507</v>
      </c>
      <c r="H14" s="1" t="str">
        <f>_xlfn.XLOOKUP(Registre_Maintenance__2[[#This Row],[ID_Antenne]],Master!D:D,Master!B:B,"Pas de correspondance")</f>
        <v>Pas de correspondance</v>
      </c>
      <c r="I14" s="1" t="str">
        <f>_xlfn.XLOOKUP(Registre_Maintenance__2[[#This Row],[ID_Antenne]],Master!D:D,Master!C:C,"Pas de correspondance")</f>
        <v>Pas de correspondance</v>
      </c>
      <c r="J14" s="1" t="str">
        <f>_xlfn.XLOOKUP(Registre_Maintenance__2[[#This Row],[ID_Antenne]],Master!D:D,Master!F:F,"Pas de correspondance")</f>
        <v>Pas de correspondance</v>
      </c>
      <c r="K14" s="1" t="e">
        <f>_xlfn.XLOOKUP(Registre_Maintenance__2[[#This Row],[ID_Antenne]],Master!D:D,Master!#REF!,"Pas de correspondance")</f>
        <v>#REF!</v>
      </c>
    </row>
    <row r="15" spans="1:11" x14ac:dyDescent="0.25">
      <c r="A15" s="1" t="s">
        <v>1500</v>
      </c>
      <c r="B15" s="1" t="s">
        <v>928</v>
      </c>
      <c r="C15" s="1" t="s">
        <v>51</v>
      </c>
      <c r="D15">
        <v>-4.2408359999999998</v>
      </c>
      <c r="E15">
        <v>26.210014000000001</v>
      </c>
      <c r="F15" s="1" t="s">
        <v>1504</v>
      </c>
      <c r="G15" s="1" t="s">
        <v>1505</v>
      </c>
      <c r="H15" s="1" t="str">
        <f>_xlfn.XLOOKUP(Registre_Maintenance__2[[#This Row],[ID_Antenne]],Master!D:D,Master!B:B,"Pas de correspondance")</f>
        <v>Pas de correspondance</v>
      </c>
      <c r="I15" s="1" t="str">
        <f>_xlfn.XLOOKUP(Registre_Maintenance__2[[#This Row],[ID_Antenne]],Master!D:D,Master!C:C,"Pas de correspondance")</f>
        <v>Pas de correspondance</v>
      </c>
      <c r="J15" s="1" t="str">
        <f>_xlfn.XLOOKUP(Registre_Maintenance__2[[#This Row],[ID_Antenne]],Master!D:D,Master!F:F,"Pas de correspondance")</f>
        <v>Pas de correspondance</v>
      </c>
      <c r="K15" s="1" t="e">
        <f>_xlfn.XLOOKUP(Registre_Maintenance__2[[#This Row],[ID_Antenne]],Master!D:D,Master!#REF!,"Pas de correspondance")</f>
        <v>#REF!</v>
      </c>
    </row>
    <row r="16" spans="1:11" x14ac:dyDescent="0.25">
      <c r="A16" s="1" t="s">
        <v>1500</v>
      </c>
      <c r="B16" s="1" t="s">
        <v>1096</v>
      </c>
      <c r="C16" s="1" t="s">
        <v>78</v>
      </c>
      <c r="D16">
        <v>-8.4824669999999998</v>
      </c>
      <c r="E16">
        <v>21.897777999999999</v>
      </c>
      <c r="F16" s="1" t="s">
        <v>1501</v>
      </c>
      <c r="G16" s="1" t="s">
        <v>1502</v>
      </c>
      <c r="H16" s="1" t="str">
        <f>_xlfn.XLOOKUP(Registre_Maintenance__2[[#This Row],[ID_Antenne]],Master!D:D,Master!B:B,"Pas de correspondance")</f>
        <v>Pas de correspondance</v>
      </c>
      <c r="I16" s="1" t="str">
        <f>_xlfn.XLOOKUP(Registre_Maintenance__2[[#This Row],[ID_Antenne]],Master!D:D,Master!C:C,"Pas de correspondance")</f>
        <v>Pas de correspondance</v>
      </c>
      <c r="J16" s="1" t="str">
        <f>_xlfn.XLOOKUP(Registre_Maintenance__2[[#This Row],[ID_Antenne]],Master!D:D,Master!F:F,"Pas de correspondance")</f>
        <v>Pas de correspondance</v>
      </c>
      <c r="K16" s="1" t="e">
        <f>_xlfn.XLOOKUP(Registre_Maintenance__2[[#This Row],[ID_Antenne]],Master!D:D,Master!#REF!,"Pas de correspondance")</f>
        <v>#REF!</v>
      </c>
    </row>
    <row r="17" spans="1:11" x14ac:dyDescent="0.25">
      <c r="A17" s="1" t="s">
        <v>1500</v>
      </c>
      <c r="B17" s="1" t="s">
        <v>1282</v>
      </c>
      <c r="C17" s="1" t="s">
        <v>21</v>
      </c>
      <c r="D17">
        <v>2.453036</v>
      </c>
      <c r="E17">
        <v>20.555484</v>
      </c>
      <c r="F17" s="1" t="s">
        <v>1501</v>
      </c>
      <c r="G17" s="1" t="s">
        <v>1502</v>
      </c>
      <c r="H17" s="1" t="str">
        <f>_xlfn.XLOOKUP(Registre_Maintenance__2[[#This Row],[ID_Antenne]],Master!D:D,Master!B:B,"Pas de correspondance")</f>
        <v>Pas de correspondance</v>
      </c>
      <c r="I17" s="1" t="str">
        <f>_xlfn.XLOOKUP(Registre_Maintenance__2[[#This Row],[ID_Antenne]],Master!D:D,Master!C:C,"Pas de correspondance")</f>
        <v>Pas de correspondance</v>
      </c>
      <c r="J17" s="1" t="str">
        <f>_xlfn.XLOOKUP(Registre_Maintenance__2[[#This Row],[ID_Antenne]],Master!D:D,Master!F:F,"Pas de correspondance")</f>
        <v>Pas de correspondance</v>
      </c>
      <c r="K17" s="1" t="e">
        <f>_xlfn.XLOOKUP(Registre_Maintenance__2[[#This Row],[ID_Antenne]],Master!D:D,Master!#REF!,"Pas de correspondance")</f>
        <v>#REF!</v>
      </c>
    </row>
    <row r="18" spans="1:11" x14ac:dyDescent="0.25">
      <c r="A18" s="1" t="s">
        <v>1500</v>
      </c>
      <c r="B18" s="1" t="s">
        <v>880</v>
      </c>
      <c r="C18" s="1" t="s">
        <v>31</v>
      </c>
      <c r="D18">
        <v>-12.141233</v>
      </c>
      <c r="E18">
        <v>15.179043999999999</v>
      </c>
      <c r="F18" s="1" t="s">
        <v>1501</v>
      </c>
      <c r="G18" s="1" t="s">
        <v>1502</v>
      </c>
      <c r="H18" s="1" t="str">
        <f>_xlfn.XLOOKUP(Registre_Maintenance__2[[#This Row],[ID_Antenne]],Master!D:D,Master!B:B,"Pas de correspondance")</f>
        <v>Pas de correspondance</v>
      </c>
      <c r="I18" s="1" t="str">
        <f>_xlfn.XLOOKUP(Registre_Maintenance__2[[#This Row],[ID_Antenne]],Master!D:D,Master!C:C,"Pas de correspondance")</f>
        <v>Pas de correspondance</v>
      </c>
      <c r="J18" s="1" t="str">
        <f>_xlfn.XLOOKUP(Registre_Maintenance__2[[#This Row],[ID_Antenne]],Master!D:D,Master!F:F,"Pas de correspondance")</f>
        <v>Pas de correspondance</v>
      </c>
      <c r="K18" s="1" t="e">
        <f>_xlfn.XLOOKUP(Registre_Maintenance__2[[#This Row],[ID_Antenne]],Master!D:D,Master!#REF!,"Pas de correspondance")</f>
        <v>#REF!</v>
      </c>
    </row>
    <row r="19" spans="1:11" x14ac:dyDescent="0.25">
      <c r="A19" s="1" t="s">
        <v>1500</v>
      </c>
      <c r="B19" s="1" t="s">
        <v>907</v>
      </c>
      <c r="C19" s="1" t="s">
        <v>67</v>
      </c>
      <c r="D19">
        <v>-11.218453999999999</v>
      </c>
      <c r="E19">
        <v>28.230025000000001</v>
      </c>
      <c r="F19" s="1" t="s">
        <v>1501</v>
      </c>
      <c r="G19" s="1" t="s">
        <v>1507</v>
      </c>
      <c r="H19" s="1" t="str">
        <f>_xlfn.XLOOKUP(Registre_Maintenance__2[[#This Row],[ID_Antenne]],Master!D:D,Master!B:B,"Pas de correspondance")</f>
        <v>Pas de correspondance</v>
      </c>
      <c r="I19" s="1" t="str">
        <f>_xlfn.XLOOKUP(Registre_Maintenance__2[[#This Row],[ID_Antenne]],Master!D:D,Master!C:C,"Pas de correspondance")</f>
        <v>Pas de correspondance</v>
      </c>
      <c r="J19" s="1" t="str">
        <f>_xlfn.XLOOKUP(Registre_Maintenance__2[[#This Row],[ID_Antenne]],Master!D:D,Master!F:F,"Pas de correspondance")</f>
        <v>Pas de correspondance</v>
      </c>
      <c r="K19" s="1" t="e">
        <f>_xlfn.XLOOKUP(Registre_Maintenance__2[[#This Row],[ID_Antenne]],Master!D:D,Master!#REF!,"Pas de correspondance")</f>
        <v>#REF!</v>
      </c>
    </row>
    <row r="20" spans="1:11" x14ac:dyDescent="0.25">
      <c r="A20" s="1" t="s">
        <v>1500</v>
      </c>
      <c r="B20" s="1" t="s">
        <v>841</v>
      </c>
      <c r="C20" s="1" t="s">
        <v>1674</v>
      </c>
      <c r="D20">
        <v>-10.059846</v>
      </c>
      <c r="E20">
        <v>14.375757999999999</v>
      </c>
      <c r="F20" s="1" t="s">
        <v>1504</v>
      </c>
      <c r="G20" s="1" t="s">
        <v>1505</v>
      </c>
      <c r="H20" s="1" t="str">
        <f>_xlfn.XLOOKUP(Registre_Maintenance__2[[#This Row],[ID_Antenne]],Master!D:D,Master!B:B,"Pas de correspondance")</f>
        <v>Pas de correspondance</v>
      </c>
      <c r="I20" s="1" t="str">
        <f>_xlfn.XLOOKUP(Registre_Maintenance__2[[#This Row],[ID_Antenne]],Master!D:D,Master!C:C,"Pas de correspondance")</f>
        <v>Pas de correspondance</v>
      </c>
      <c r="J20" s="1" t="str">
        <f>_xlfn.XLOOKUP(Registre_Maintenance__2[[#This Row],[ID_Antenne]],Master!D:D,Master!F:F,"Pas de correspondance")</f>
        <v>Pas de correspondance</v>
      </c>
      <c r="K20" s="1" t="e">
        <f>_xlfn.XLOOKUP(Registre_Maintenance__2[[#This Row],[ID_Antenne]],Master!D:D,Master!#REF!,"Pas de correspondance")</f>
        <v>#REF!</v>
      </c>
    </row>
    <row r="21" spans="1:11" x14ac:dyDescent="0.25">
      <c r="A21" s="1" t="s">
        <v>1500</v>
      </c>
      <c r="B21" s="1" t="s">
        <v>1155</v>
      </c>
      <c r="C21" s="1" t="s">
        <v>60</v>
      </c>
      <c r="D21">
        <v>-9.1215879999999991</v>
      </c>
      <c r="E21">
        <v>16.457916999999998</v>
      </c>
      <c r="F21" s="1" t="s">
        <v>1504</v>
      </c>
      <c r="G21" s="1" t="s">
        <v>1514</v>
      </c>
      <c r="H21" s="1" t="str">
        <f>_xlfn.XLOOKUP(Registre_Maintenance__2[[#This Row],[ID_Antenne]],Master!D:D,Master!B:B,"Pas de correspondance")</f>
        <v>Pas de correspondance</v>
      </c>
      <c r="I21" s="1" t="str">
        <f>_xlfn.XLOOKUP(Registre_Maintenance__2[[#This Row],[ID_Antenne]],Master!D:D,Master!C:C,"Pas de correspondance")</f>
        <v>Pas de correspondance</v>
      </c>
      <c r="J21" s="1" t="str">
        <f>_xlfn.XLOOKUP(Registre_Maintenance__2[[#This Row],[ID_Antenne]],Master!D:D,Master!F:F,"Pas de correspondance")</f>
        <v>Pas de correspondance</v>
      </c>
      <c r="K21" s="1" t="e">
        <f>_xlfn.XLOOKUP(Registre_Maintenance__2[[#This Row],[ID_Antenne]],Master!D:D,Master!#REF!,"Pas de correspondance")</f>
        <v>#REF!</v>
      </c>
    </row>
    <row r="22" spans="1:11" x14ac:dyDescent="0.25">
      <c r="A22" s="1" t="s">
        <v>1500</v>
      </c>
      <c r="B22" s="1" t="s">
        <v>819</v>
      </c>
      <c r="C22" s="1" t="s">
        <v>67</v>
      </c>
      <c r="D22">
        <v>-8.4227860000000003</v>
      </c>
      <c r="E22">
        <v>16.781293000000002</v>
      </c>
      <c r="F22" s="1" t="s">
        <v>1504</v>
      </c>
      <c r="G22" s="1" t="s">
        <v>1505</v>
      </c>
      <c r="H22" s="1" t="str">
        <f>_xlfn.XLOOKUP(Registre_Maintenance__2[[#This Row],[ID_Antenne]],Master!D:D,Master!B:B,"Pas de correspondance")</f>
        <v>Pas de correspondance</v>
      </c>
      <c r="I22" s="1" t="str">
        <f>_xlfn.XLOOKUP(Registre_Maintenance__2[[#This Row],[ID_Antenne]],Master!D:D,Master!C:C,"Pas de correspondance")</f>
        <v>Pas de correspondance</v>
      </c>
      <c r="J22" s="1" t="str">
        <f>_xlfn.XLOOKUP(Registre_Maintenance__2[[#This Row],[ID_Antenne]],Master!D:D,Master!F:F,"Pas de correspondance")</f>
        <v>Pas de correspondance</v>
      </c>
      <c r="K22" s="1" t="e">
        <f>_xlfn.XLOOKUP(Registre_Maintenance__2[[#This Row],[ID_Antenne]],Master!D:D,Master!#REF!,"Pas de correspondance")</f>
        <v>#REF!</v>
      </c>
    </row>
    <row r="23" spans="1:11" x14ac:dyDescent="0.25">
      <c r="A23" s="1" t="s">
        <v>1500</v>
      </c>
      <c r="B23" s="1" t="s">
        <v>1516</v>
      </c>
      <c r="C23" s="1" t="s">
        <v>1676</v>
      </c>
      <c r="D23">
        <v>2.1014910000000002</v>
      </c>
      <c r="E23">
        <v>26.133631999999999</v>
      </c>
      <c r="F23" s="1" t="s">
        <v>1501</v>
      </c>
      <c r="G23" s="1" t="s">
        <v>1505</v>
      </c>
      <c r="H23" s="1" t="str">
        <f>_xlfn.XLOOKUP(Registre_Maintenance__2[[#This Row],[ID_Antenne]],Master!D:D,Master!B:B,"Pas de correspondance")</f>
        <v>Pas de correspondance</v>
      </c>
      <c r="I23" s="1" t="str">
        <f>_xlfn.XLOOKUP(Registre_Maintenance__2[[#This Row],[ID_Antenne]],Master!D:D,Master!C:C,"Pas de correspondance")</f>
        <v>Pas de correspondance</v>
      </c>
      <c r="J23" s="1" t="str">
        <f>_xlfn.XLOOKUP(Registre_Maintenance__2[[#This Row],[ID_Antenne]],Master!D:D,Master!F:F,"Pas de correspondance")</f>
        <v>Pas de correspondance</v>
      </c>
      <c r="K23" s="1" t="e">
        <f>_xlfn.XLOOKUP(Registre_Maintenance__2[[#This Row],[ID_Antenne]],Master!D:D,Master!#REF!,"Pas de correspondance")</f>
        <v>#REF!</v>
      </c>
    </row>
    <row r="24" spans="1:11" x14ac:dyDescent="0.25">
      <c r="A24" s="1" t="s">
        <v>1500</v>
      </c>
      <c r="B24" s="1" t="s">
        <v>1153</v>
      </c>
      <c r="C24" s="1" t="s">
        <v>67</v>
      </c>
      <c r="D24">
        <v>-11.266565999999999</v>
      </c>
      <c r="E24">
        <v>26.245055000000001</v>
      </c>
      <c r="F24" s="1" t="s">
        <v>1506</v>
      </c>
      <c r="G24" s="1" t="s">
        <v>1502</v>
      </c>
      <c r="H24" s="1" t="str">
        <f>_xlfn.XLOOKUP(Registre_Maintenance__2[[#This Row],[ID_Antenne]],Master!D:D,Master!B:B,"Pas de correspondance")</f>
        <v>Pas de correspondance</v>
      </c>
      <c r="I24" s="1" t="str">
        <f>_xlfn.XLOOKUP(Registre_Maintenance__2[[#This Row],[ID_Antenne]],Master!D:D,Master!C:C,"Pas de correspondance")</f>
        <v>Pas de correspondance</v>
      </c>
      <c r="J24" s="1" t="str">
        <f>_xlfn.XLOOKUP(Registre_Maintenance__2[[#This Row],[ID_Antenne]],Master!D:D,Master!F:F,"Pas de correspondance")</f>
        <v>Pas de correspondance</v>
      </c>
      <c r="K24" s="1" t="e">
        <f>_xlfn.XLOOKUP(Registre_Maintenance__2[[#This Row],[ID_Antenne]],Master!D:D,Master!#REF!,"Pas de correspondance")</f>
        <v>#REF!</v>
      </c>
    </row>
    <row r="25" spans="1:11" x14ac:dyDescent="0.25">
      <c r="A25" s="1" t="s">
        <v>1500</v>
      </c>
      <c r="B25" s="1" t="s">
        <v>1248</v>
      </c>
      <c r="C25" s="1" t="s">
        <v>26</v>
      </c>
      <c r="D25">
        <v>0.40267799999999998</v>
      </c>
      <c r="E25">
        <v>16.000858000000001</v>
      </c>
      <c r="F25" s="1" t="s">
        <v>1506</v>
      </c>
      <c r="G25" s="1" t="s">
        <v>1514</v>
      </c>
      <c r="H25" s="1" t="str">
        <f>_xlfn.XLOOKUP(Registre_Maintenance__2[[#This Row],[ID_Antenne]],Master!D:D,Master!B:B,"Pas de correspondance")</f>
        <v>Pas de correspondance</v>
      </c>
      <c r="I25" s="1" t="str">
        <f>_xlfn.XLOOKUP(Registre_Maintenance__2[[#This Row],[ID_Antenne]],Master!D:D,Master!C:C,"Pas de correspondance")</f>
        <v>Pas de correspondance</v>
      </c>
      <c r="J25" s="1" t="str">
        <f>_xlfn.XLOOKUP(Registre_Maintenance__2[[#This Row],[ID_Antenne]],Master!D:D,Master!F:F,"Pas de correspondance")</f>
        <v>Pas de correspondance</v>
      </c>
      <c r="K25" s="1" t="e">
        <f>_xlfn.XLOOKUP(Registre_Maintenance__2[[#This Row],[ID_Antenne]],Master!D:D,Master!#REF!,"Pas de correspondance")</f>
        <v>#REF!</v>
      </c>
    </row>
    <row r="26" spans="1:11" x14ac:dyDescent="0.25">
      <c r="A26" s="1" t="s">
        <v>1500</v>
      </c>
      <c r="B26" s="1" t="s">
        <v>967</v>
      </c>
      <c r="C26" s="1" t="s">
        <v>31</v>
      </c>
      <c r="D26">
        <v>-8.3241560000000003</v>
      </c>
      <c r="E26">
        <v>19.543866000000001</v>
      </c>
      <c r="F26" s="1" t="s">
        <v>1504</v>
      </c>
      <c r="G26" s="1" t="s">
        <v>1507</v>
      </c>
      <c r="H26" s="1" t="str">
        <f>_xlfn.XLOOKUP(Registre_Maintenance__2[[#This Row],[ID_Antenne]],Master!D:D,Master!B:B,"Pas de correspondance")</f>
        <v>Pas de correspondance</v>
      </c>
      <c r="I26" s="1" t="str">
        <f>_xlfn.XLOOKUP(Registre_Maintenance__2[[#This Row],[ID_Antenne]],Master!D:D,Master!C:C,"Pas de correspondance")</f>
        <v>Pas de correspondance</v>
      </c>
      <c r="J26" s="1" t="str">
        <f>_xlfn.XLOOKUP(Registre_Maintenance__2[[#This Row],[ID_Antenne]],Master!D:D,Master!F:F,"Pas de correspondance")</f>
        <v>Pas de correspondance</v>
      </c>
      <c r="K26" s="1" t="e">
        <f>_xlfn.XLOOKUP(Registre_Maintenance__2[[#This Row],[ID_Antenne]],Master!D:D,Master!#REF!,"Pas de correspondance")</f>
        <v>#REF!</v>
      </c>
    </row>
    <row r="27" spans="1:11" x14ac:dyDescent="0.25">
      <c r="A27" s="1" t="s">
        <v>1500</v>
      </c>
      <c r="B27" s="1" t="s">
        <v>1517</v>
      </c>
      <c r="C27" s="1" t="s">
        <v>78</v>
      </c>
      <c r="D27">
        <v>-6.5144820000000001</v>
      </c>
      <c r="E27">
        <v>13.815521</v>
      </c>
      <c r="F27" s="1" t="s">
        <v>1504</v>
      </c>
      <c r="G27" s="1" t="s">
        <v>1507</v>
      </c>
      <c r="H27" s="1" t="str">
        <f>_xlfn.XLOOKUP(Registre_Maintenance__2[[#This Row],[ID_Antenne]],Master!D:D,Master!B:B,"Pas de correspondance")</f>
        <v>Pas de correspondance</v>
      </c>
      <c r="I27" s="1" t="str">
        <f>_xlfn.XLOOKUP(Registre_Maintenance__2[[#This Row],[ID_Antenne]],Master!D:D,Master!C:C,"Pas de correspondance")</f>
        <v>Pas de correspondance</v>
      </c>
      <c r="J27" s="1" t="str">
        <f>_xlfn.XLOOKUP(Registre_Maintenance__2[[#This Row],[ID_Antenne]],Master!D:D,Master!F:F,"Pas de correspondance")</f>
        <v>Pas de correspondance</v>
      </c>
      <c r="K27" s="1" t="e">
        <f>_xlfn.XLOOKUP(Registre_Maintenance__2[[#This Row],[ID_Antenne]],Master!D:D,Master!#REF!,"Pas de correspondance")</f>
        <v>#REF!</v>
      </c>
    </row>
    <row r="28" spans="1:11" x14ac:dyDescent="0.25">
      <c r="A28" s="1" t="s">
        <v>1500</v>
      </c>
      <c r="B28" s="1" t="s">
        <v>962</v>
      </c>
      <c r="C28" s="1" t="s">
        <v>21</v>
      </c>
      <c r="D28">
        <v>-2.9651529999999999</v>
      </c>
      <c r="E28">
        <v>29.79908</v>
      </c>
      <c r="F28" s="1" t="s">
        <v>1504</v>
      </c>
      <c r="G28" s="1" t="s">
        <v>1502</v>
      </c>
      <c r="H28" s="1" t="str">
        <f>_xlfn.XLOOKUP(Registre_Maintenance__2[[#This Row],[ID_Antenne]],Master!D:D,Master!B:B,"Pas de correspondance")</f>
        <v>Pas de correspondance</v>
      </c>
      <c r="I28" s="1" t="str">
        <f>_xlfn.XLOOKUP(Registre_Maintenance__2[[#This Row],[ID_Antenne]],Master!D:D,Master!C:C,"Pas de correspondance")</f>
        <v>Pas de correspondance</v>
      </c>
      <c r="J28" s="1" t="str">
        <f>_xlfn.XLOOKUP(Registre_Maintenance__2[[#This Row],[ID_Antenne]],Master!D:D,Master!F:F,"Pas de correspondance")</f>
        <v>Pas de correspondance</v>
      </c>
      <c r="K28" s="1" t="e">
        <f>_xlfn.XLOOKUP(Registre_Maintenance__2[[#This Row],[ID_Antenne]],Master!D:D,Master!#REF!,"Pas de correspondance")</f>
        <v>#REF!</v>
      </c>
    </row>
    <row r="29" spans="1:11" x14ac:dyDescent="0.25">
      <c r="A29" s="1" t="s">
        <v>1500</v>
      </c>
      <c r="B29" s="1" t="s">
        <v>1109</v>
      </c>
      <c r="C29" s="1" t="s">
        <v>1674</v>
      </c>
      <c r="D29">
        <v>1.5802860000000001</v>
      </c>
      <c r="E29">
        <v>20.99053</v>
      </c>
      <c r="F29" s="1" t="s">
        <v>1504</v>
      </c>
      <c r="G29" s="1" t="s">
        <v>1507</v>
      </c>
      <c r="H29" s="1" t="str">
        <f>_xlfn.XLOOKUP(Registre_Maintenance__2[[#This Row],[ID_Antenne]],Master!D:D,Master!B:B,"Pas de correspondance")</f>
        <v>Pas de correspondance</v>
      </c>
      <c r="I29" s="1" t="str">
        <f>_xlfn.XLOOKUP(Registre_Maintenance__2[[#This Row],[ID_Antenne]],Master!D:D,Master!C:C,"Pas de correspondance")</f>
        <v>Pas de correspondance</v>
      </c>
      <c r="J29" s="1" t="str">
        <f>_xlfn.XLOOKUP(Registre_Maintenance__2[[#This Row],[ID_Antenne]],Master!D:D,Master!F:F,"Pas de correspondance")</f>
        <v>Pas de correspondance</v>
      </c>
      <c r="K29" s="1" t="e">
        <f>_xlfn.XLOOKUP(Registre_Maintenance__2[[#This Row],[ID_Antenne]],Master!D:D,Master!#REF!,"Pas de correspondance")</f>
        <v>#REF!</v>
      </c>
    </row>
    <row r="30" spans="1:11" x14ac:dyDescent="0.25">
      <c r="A30" s="1" t="s">
        <v>1500</v>
      </c>
      <c r="B30" s="1" t="s">
        <v>1518</v>
      </c>
      <c r="C30" s="1" t="s">
        <v>26</v>
      </c>
      <c r="D30">
        <v>-6.8054750000000004</v>
      </c>
      <c r="E30">
        <v>13.022683000000001</v>
      </c>
      <c r="F30" s="1" t="s">
        <v>1504</v>
      </c>
      <c r="G30" s="1" t="s">
        <v>1505</v>
      </c>
      <c r="H30" s="1" t="str">
        <f>_xlfn.XLOOKUP(Registre_Maintenance__2[[#This Row],[ID_Antenne]],Master!D:D,Master!B:B,"Pas de correspondance")</f>
        <v>Pas de correspondance</v>
      </c>
      <c r="I30" s="1" t="str">
        <f>_xlfn.XLOOKUP(Registre_Maintenance__2[[#This Row],[ID_Antenne]],Master!D:D,Master!C:C,"Pas de correspondance")</f>
        <v>Pas de correspondance</v>
      </c>
      <c r="J30" s="1" t="str">
        <f>_xlfn.XLOOKUP(Registre_Maintenance__2[[#This Row],[ID_Antenne]],Master!D:D,Master!F:F,"Pas de correspondance")</f>
        <v>Pas de correspondance</v>
      </c>
      <c r="K30" s="1" t="e">
        <f>_xlfn.XLOOKUP(Registre_Maintenance__2[[#This Row],[ID_Antenne]],Master!D:D,Master!#REF!,"Pas de correspondance")</f>
        <v>#REF!</v>
      </c>
    </row>
    <row r="31" spans="1:11" x14ac:dyDescent="0.25">
      <c r="A31" s="1" t="s">
        <v>1500</v>
      </c>
      <c r="B31" s="1" t="s">
        <v>1519</v>
      </c>
      <c r="C31" s="1" t="s">
        <v>10</v>
      </c>
      <c r="D31">
        <v>-5.5883039999999999</v>
      </c>
      <c r="E31">
        <v>26.647739999999999</v>
      </c>
      <c r="F31" s="1" t="s">
        <v>1506</v>
      </c>
      <c r="G31" s="1" t="s">
        <v>1502</v>
      </c>
      <c r="H31" s="1" t="str">
        <f>_xlfn.XLOOKUP(Registre_Maintenance__2[[#This Row],[ID_Antenne]],Master!D:D,Master!B:B,"Pas de correspondance")</f>
        <v>Pas de correspondance</v>
      </c>
      <c r="I31" s="1" t="str">
        <f>_xlfn.XLOOKUP(Registre_Maintenance__2[[#This Row],[ID_Antenne]],Master!D:D,Master!C:C,"Pas de correspondance")</f>
        <v>Pas de correspondance</v>
      </c>
      <c r="J31" s="1" t="str">
        <f>_xlfn.XLOOKUP(Registre_Maintenance__2[[#This Row],[ID_Antenne]],Master!D:D,Master!F:F,"Pas de correspondance")</f>
        <v>Pas de correspondance</v>
      </c>
      <c r="K31" s="1" t="e">
        <f>_xlfn.XLOOKUP(Registre_Maintenance__2[[#This Row],[ID_Antenne]],Master!D:D,Master!#REF!,"Pas de correspondance")</f>
        <v>#REF!</v>
      </c>
    </row>
    <row r="32" spans="1:11" x14ac:dyDescent="0.25">
      <c r="A32" s="1" t="s">
        <v>1500</v>
      </c>
      <c r="B32" s="1" t="s">
        <v>911</v>
      </c>
      <c r="C32" s="1" t="s">
        <v>1675</v>
      </c>
      <c r="D32">
        <v>-6.6803710000000001</v>
      </c>
      <c r="E32">
        <v>21.955673000000001</v>
      </c>
      <c r="F32" s="1" t="s">
        <v>1504</v>
      </c>
      <c r="G32" s="1" t="s">
        <v>1514</v>
      </c>
      <c r="H32" s="1" t="str">
        <f>_xlfn.XLOOKUP(Registre_Maintenance__2[[#This Row],[ID_Antenne]],Master!D:D,Master!B:B,"Pas de correspondance")</f>
        <v>Pas de correspondance</v>
      </c>
      <c r="I32" s="1" t="str">
        <f>_xlfn.XLOOKUP(Registre_Maintenance__2[[#This Row],[ID_Antenne]],Master!D:D,Master!C:C,"Pas de correspondance")</f>
        <v>Pas de correspondance</v>
      </c>
      <c r="J32" s="1" t="str">
        <f>_xlfn.XLOOKUP(Registre_Maintenance__2[[#This Row],[ID_Antenne]],Master!D:D,Master!F:F,"Pas de correspondance")</f>
        <v>Pas de correspondance</v>
      </c>
      <c r="K32" s="1" t="e">
        <f>_xlfn.XLOOKUP(Registre_Maintenance__2[[#This Row],[ID_Antenne]],Master!D:D,Master!#REF!,"Pas de correspondance")</f>
        <v>#REF!</v>
      </c>
    </row>
    <row r="33" spans="1:11" x14ac:dyDescent="0.25">
      <c r="A33" s="1" t="s">
        <v>1500</v>
      </c>
      <c r="B33" s="1" t="s">
        <v>1520</v>
      </c>
      <c r="C33" s="1" t="s">
        <v>10</v>
      </c>
      <c r="D33">
        <v>-0.767455</v>
      </c>
      <c r="E33">
        <v>30.924261000000001</v>
      </c>
      <c r="F33" s="1" t="s">
        <v>1506</v>
      </c>
      <c r="G33" s="1" t="s">
        <v>1505</v>
      </c>
      <c r="H33" s="1" t="str">
        <f>_xlfn.XLOOKUP(Registre_Maintenance__2[[#This Row],[ID_Antenne]],Master!D:D,Master!B:B,"Pas de correspondance")</f>
        <v>Pas de correspondance</v>
      </c>
      <c r="I33" s="1" t="str">
        <f>_xlfn.XLOOKUP(Registre_Maintenance__2[[#This Row],[ID_Antenne]],Master!D:D,Master!C:C,"Pas de correspondance")</f>
        <v>Pas de correspondance</v>
      </c>
      <c r="J33" s="1" t="str">
        <f>_xlfn.XLOOKUP(Registre_Maintenance__2[[#This Row],[ID_Antenne]],Master!D:D,Master!F:F,"Pas de correspondance")</f>
        <v>Pas de correspondance</v>
      </c>
      <c r="K33" s="1" t="e">
        <f>_xlfn.XLOOKUP(Registre_Maintenance__2[[#This Row],[ID_Antenne]],Master!D:D,Master!#REF!,"Pas de correspondance")</f>
        <v>#REF!</v>
      </c>
    </row>
    <row r="34" spans="1:11" x14ac:dyDescent="0.25">
      <c r="A34" s="1" t="s">
        <v>1500</v>
      </c>
      <c r="B34" s="1" t="s">
        <v>875</v>
      </c>
      <c r="C34" s="1" t="s">
        <v>37</v>
      </c>
      <c r="D34">
        <v>-2.099631</v>
      </c>
      <c r="E34">
        <v>13.974640000000001</v>
      </c>
      <c r="F34" s="1" t="s">
        <v>1506</v>
      </c>
      <c r="G34" s="1" t="s">
        <v>1514</v>
      </c>
      <c r="H34" s="1" t="str">
        <f>_xlfn.XLOOKUP(Registre_Maintenance__2[[#This Row],[ID_Antenne]],Master!D:D,Master!B:B,"Pas de correspondance")</f>
        <v>Pas de correspondance</v>
      </c>
      <c r="I34" s="1" t="str">
        <f>_xlfn.XLOOKUP(Registre_Maintenance__2[[#This Row],[ID_Antenne]],Master!D:D,Master!C:C,"Pas de correspondance")</f>
        <v>Pas de correspondance</v>
      </c>
      <c r="J34" s="1" t="str">
        <f>_xlfn.XLOOKUP(Registre_Maintenance__2[[#This Row],[ID_Antenne]],Master!D:D,Master!F:F,"Pas de correspondance")</f>
        <v>Pas de correspondance</v>
      </c>
      <c r="K34" s="1" t="e">
        <f>_xlfn.XLOOKUP(Registre_Maintenance__2[[#This Row],[ID_Antenne]],Master!D:D,Master!#REF!,"Pas de correspondance")</f>
        <v>#REF!</v>
      </c>
    </row>
    <row r="35" spans="1:11" x14ac:dyDescent="0.25">
      <c r="A35" s="1" t="s">
        <v>1500</v>
      </c>
      <c r="B35" s="1" t="s">
        <v>1521</v>
      </c>
      <c r="C35" s="1" t="s">
        <v>137</v>
      </c>
      <c r="D35">
        <v>-2.6166320000000001</v>
      </c>
      <c r="E35">
        <v>23.743941</v>
      </c>
      <c r="F35" s="1" t="s">
        <v>1501</v>
      </c>
      <c r="G35" s="1" t="s">
        <v>1514</v>
      </c>
      <c r="H35" s="1" t="str">
        <f>_xlfn.XLOOKUP(Registre_Maintenance__2[[#This Row],[ID_Antenne]],Master!D:D,Master!B:B,"Pas de correspondance")</f>
        <v>Pas de correspondance</v>
      </c>
      <c r="I35" s="1" t="str">
        <f>_xlfn.XLOOKUP(Registre_Maintenance__2[[#This Row],[ID_Antenne]],Master!D:D,Master!C:C,"Pas de correspondance")</f>
        <v>Pas de correspondance</v>
      </c>
      <c r="J35" s="1" t="str">
        <f>_xlfn.XLOOKUP(Registre_Maintenance__2[[#This Row],[ID_Antenne]],Master!D:D,Master!F:F,"Pas de correspondance")</f>
        <v>Pas de correspondance</v>
      </c>
      <c r="K35" s="1" t="e">
        <f>_xlfn.XLOOKUP(Registre_Maintenance__2[[#This Row],[ID_Antenne]],Master!D:D,Master!#REF!,"Pas de correspondance")</f>
        <v>#REF!</v>
      </c>
    </row>
    <row r="36" spans="1:11" x14ac:dyDescent="0.25">
      <c r="A36" s="1" t="s">
        <v>1500</v>
      </c>
      <c r="B36" s="1" t="s">
        <v>1306</v>
      </c>
      <c r="C36" s="1" t="s">
        <v>21</v>
      </c>
      <c r="D36">
        <v>-1.3024210000000001</v>
      </c>
      <c r="E36">
        <v>13.601914000000001</v>
      </c>
      <c r="F36" s="1" t="s">
        <v>1506</v>
      </c>
      <c r="G36" s="1" t="s">
        <v>1505</v>
      </c>
      <c r="H36" s="1" t="str">
        <f>_xlfn.XLOOKUP(Registre_Maintenance__2[[#This Row],[ID_Antenne]],Master!D:D,Master!B:B,"Pas de correspondance")</f>
        <v>Pas de correspondance</v>
      </c>
      <c r="I36" s="1" t="str">
        <f>_xlfn.XLOOKUP(Registre_Maintenance__2[[#This Row],[ID_Antenne]],Master!D:D,Master!C:C,"Pas de correspondance")</f>
        <v>Pas de correspondance</v>
      </c>
      <c r="J36" s="1" t="str">
        <f>_xlfn.XLOOKUP(Registre_Maintenance__2[[#This Row],[ID_Antenne]],Master!D:D,Master!F:F,"Pas de correspondance")</f>
        <v>Pas de correspondance</v>
      </c>
      <c r="K36" s="1" t="e">
        <f>_xlfn.XLOOKUP(Registre_Maintenance__2[[#This Row],[ID_Antenne]],Master!D:D,Master!#REF!,"Pas de correspondance")</f>
        <v>#REF!</v>
      </c>
    </row>
    <row r="37" spans="1:11" x14ac:dyDescent="0.25">
      <c r="A37" s="1" t="s">
        <v>1500</v>
      </c>
      <c r="B37" s="1" t="s">
        <v>1522</v>
      </c>
      <c r="C37" s="1" t="s">
        <v>21</v>
      </c>
      <c r="D37">
        <v>-3.3081109999999998</v>
      </c>
      <c r="E37">
        <v>29.700202000000001</v>
      </c>
      <c r="F37" s="1" t="s">
        <v>1504</v>
      </c>
      <c r="G37" s="1" t="s">
        <v>1514</v>
      </c>
      <c r="H37" s="1" t="str">
        <f>_xlfn.XLOOKUP(Registre_Maintenance__2[[#This Row],[ID_Antenne]],Master!D:D,Master!B:B,"Pas de correspondance")</f>
        <v>Pas de correspondance</v>
      </c>
      <c r="I37" s="1" t="str">
        <f>_xlfn.XLOOKUP(Registre_Maintenance__2[[#This Row],[ID_Antenne]],Master!D:D,Master!C:C,"Pas de correspondance")</f>
        <v>Pas de correspondance</v>
      </c>
      <c r="J37" s="1" t="str">
        <f>_xlfn.XLOOKUP(Registre_Maintenance__2[[#This Row],[ID_Antenne]],Master!D:D,Master!F:F,"Pas de correspondance")</f>
        <v>Pas de correspondance</v>
      </c>
      <c r="K37" s="1" t="e">
        <f>_xlfn.XLOOKUP(Registre_Maintenance__2[[#This Row],[ID_Antenne]],Master!D:D,Master!#REF!,"Pas de correspondance")</f>
        <v>#REF!</v>
      </c>
    </row>
    <row r="38" spans="1:11" x14ac:dyDescent="0.25">
      <c r="A38" s="1" t="s">
        <v>1500</v>
      </c>
      <c r="B38" s="1" t="s">
        <v>832</v>
      </c>
      <c r="C38" s="1" t="s">
        <v>131</v>
      </c>
      <c r="D38">
        <v>4.6287159999999998</v>
      </c>
      <c r="E38">
        <v>19.407077999999998</v>
      </c>
      <c r="F38" s="1" t="s">
        <v>1504</v>
      </c>
      <c r="G38" s="1" t="s">
        <v>1502</v>
      </c>
      <c r="H38" s="1" t="str">
        <f>_xlfn.XLOOKUP(Registre_Maintenance__2[[#This Row],[ID_Antenne]],Master!D:D,Master!B:B,"Pas de correspondance")</f>
        <v>Pas de correspondance</v>
      </c>
      <c r="I38" s="1" t="str">
        <f>_xlfn.XLOOKUP(Registre_Maintenance__2[[#This Row],[ID_Antenne]],Master!D:D,Master!C:C,"Pas de correspondance")</f>
        <v>Pas de correspondance</v>
      </c>
      <c r="J38" s="1" t="str">
        <f>_xlfn.XLOOKUP(Registre_Maintenance__2[[#This Row],[ID_Antenne]],Master!D:D,Master!F:F,"Pas de correspondance")</f>
        <v>Pas de correspondance</v>
      </c>
      <c r="K38" s="1" t="e">
        <f>_xlfn.XLOOKUP(Registre_Maintenance__2[[#This Row],[ID_Antenne]],Master!D:D,Master!#REF!,"Pas de correspondance")</f>
        <v>#REF!</v>
      </c>
    </row>
    <row r="39" spans="1:11" x14ac:dyDescent="0.25">
      <c r="A39" s="1" t="s">
        <v>1500</v>
      </c>
      <c r="B39" s="1" t="s">
        <v>1198</v>
      </c>
      <c r="C39" s="1" t="s">
        <v>67</v>
      </c>
      <c r="D39">
        <v>-7.8770429999999996</v>
      </c>
      <c r="E39">
        <v>16.357762999999998</v>
      </c>
      <c r="F39" s="1" t="s">
        <v>1504</v>
      </c>
      <c r="G39" s="1" t="s">
        <v>1502</v>
      </c>
      <c r="H39" s="1" t="str">
        <f>_xlfn.XLOOKUP(Registre_Maintenance__2[[#This Row],[ID_Antenne]],Master!D:D,Master!B:B,"Pas de correspondance")</f>
        <v>Pas de correspondance</v>
      </c>
      <c r="I39" s="1" t="str">
        <f>_xlfn.XLOOKUP(Registre_Maintenance__2[[#This Row],[ID_Antenne]],Master!D:D,Master!C:C,"Pas de correspondance")</f>
        <v>Pas de correspondance</v>
      </c>
      <c r="J39" s="1" t="str">
        <f>_xlfn.XLOOKUP(Registre_Maintenance__2[[#This Row],[ID_Antenne]],Master!D:D,Master!F:F,"Pas de correspondance")</f>
        <v>Pas de correspondance</v>
      </c>
      <c r="K39" s="1" t="e">
        <f>_xlfn.XLOOKUP(Registre_Maintenance__2[[#This Row],[ID_Antenne]],Master!D:D,Master!#REF!,"Pas de correspondance")</f>
        <v>#REF!</v>
      </c>
    </row>
    <row r="40" spans="1:11" x14ac:dyDescent="0.25">
      <c r="A40" s="1" t="s">
        <v>1500</v>
      </c>
      <c r="B40" s="1" t="s">
        <v>1215</v>
      </c>
      <c r="C40" s="1" t="s">
        <v>127</v>
      </c>
      <c r="D40">
        <v>-7.1483749999999997</v>
      </c>
      <c r="E40">
        <v>26.014271000000001</v>
      </c>
      <c r="F40" s="1" t="s">
        <v>1501</v>
      </c>
      <c r="G40" s="1" t="s">
        <v>1505</v>
      </c>
      <c r="H40" s="1" t="str">
        <f>_xlfn.XLOOKUP(Registre_Maintenance__2[[#This Row],[ID_Antenne]],Master!D:D,Master!B:B,"Pas de correspondance")</f>
        <v>Pas de correspondance</v>
      </c>
      <c r="I40" s="1" t="str">
        <f>_xlfn.XLOOKUP(Registre_Maintenance__2[[#This Row],[ID_Antenne]],Master!D:D,Master!C:C,"Pas de correspondance")</f>
        <v>Pas de correspondance</v>
      </c>
      <c r="J40" s="1" t="str">
        <f>_xlfn.XLOOKUP(Registre_Maintenance__2[[#This Row],[ID_Antenne]],Master!D:D,Master!F:F,"Pas de correspondance")</f>
        <v>Pas de correspondance</v>
      </c>
      <c r="K40" s="1" t="e">
        <f>_xlfn.XLOOKUP(Registre_Maintenance__2[[#This Row],[ID_Antenne]],Master!D:D,Master!#REF!,"Pas de correspondance")</f>
        <v>#REF!</v>
      </c>
    </row>
    <row r="41" spans="1:11" x14ac:dyDescent="0.25">
      <c r="A41" s="1" t="s">
        <v>1500</v>
      </c>
      <c r="B41" s="1" t="s">
        <v>1305</v>
      </c>
      <c r="C41" s="1" t="s">
        <v>1674</v>
      </c>
      <c r="D41">
        <v>-3.8119990000000001</v>
      </c>
      <c r="E41">
        <v>20.420048000000001</v>
      </c>
      <c r="F41" s="1" t="s">
        <v>1506</v>
      </c>
      <c r="G41" s="1" t="s">
        <v>1507</v>
      </c>
      <c r="H41" s="1" t="str">
        <f>_xlfn.XLOOKUP(Registre_Maintenance__2[[#This Row],[ID_Antenne]],Master!D:D,Master!B:B,"Pas de correspondance")</f>
        <v>Pas de correspondance</v>
      </c>
      <c r="I41" s="1" t="str">
        <f>_xlfn.XLOOKUP(Registre_Maintenance__2[[#This Row],[ID_Antenne]],Master!D:D,Master!C:C,"Pas de correspondance")</f>
        <v>Pas de correspondance</v>
      </c>
      <c r="J41" s="1" t="str">
        <f>_xlfn.XLOOKUP(Registre_Maintenance__2[[#This Row],[ID_Antenne]],Master!D:D,Master!F:F,"Pas de correspondance")</f>
        <v>Pas de correspondance</v>
      </c>
      <c r="K41" s="1" t="e">
        <f>_xlfn.XLOOKUP(Registre_Maintenance__2[[#This Row],[ID_Antenne]],Master!D:D,Master!#REF!,"Pas de correspondance")</f>
        <v>#REF!</v>
      </c>
    </row>
    <row r="42" spans="1:11" x14ac:dyDescent="0.25">
      <c r="A42" s="1" t="s">
        <v>1500</v>
      </c>
      <c r="B42" s="1" t="s">
        <v>885</v>
      </c>
      <c r="C42" s="1" t="s">
        <v>89</v>
      </c>
      <c r="D42">
        <v>0.94539899999999999</v>
      </c>
      <c r="E42">
        <v>14.401821999999999</v>
      </c>
      <c r="F42" s="1" t="s">
        <v>1501</v>
      </c>
      <c r="G42" s="1" t="s">
        <v>1514</v>
      </c>
      <c r="H42" s="1" t="str">
        <f>_xlfn.XLOOKUP(Registre_Maintenance__2[[#This Row],[ID_Antenne]],Master!D:D,Master!B:B,"Pas de correspondance")</f>
        <v>Pas de correspondance</v>
      </c>
      <c r="I42" s="1" t="str">
        <f>_xlfn.XLOOKUP(Registre_Maintenance__2[[#This Row],[ID_Antenne]],Master!D:D,Master!C:C,"Pas de correspondance")</f>
        <v>Pas de correspondance</v>
      </c>
      <c r="J42" s="1" t="str">
        <f>_xlfn.XLOOKUP(Registre_Maintenance__2[[#This Row],[ID_Antenne]],Master!D:D,Master!F:F,"Pas de correspondance")</f>
        <v>Pas de correspondance</v>
      </c>
      <c r="K42" s="1" t="e">
        <f>_xlfn.XLOOKUP(Registre_Maintenance__2[[#This Row],[ID_Antenne]],Master!D:D,Master!#REF!,"Pas de correspondance")</f>
        <v>#REF!</v>
      </c>
    </row>
    <row r="43" spans="1:11" x14ac:dyDescent="0.25">
      <c r="A43" s="1" t="s">
        <v>1500</v>
      </c>
      <c r="B43" s="1" t="s">
        <v>1042</v>
      </c>
      <c r="C43" s="1" t="s">
        <v>44</v>
      </c>
      <c r="D43">
        <v>-4.9552579999999997</v>
      </c>
      <c r="E43">
        <v>22.008103999999999</v>
      </c>
      <c r="F43" s="1" t="s">
        <v>1504</v>
      </c>
      <c r="G43" s="1" t="s">
        <v>1505</v>
      </c>
      <c r="H43" s="1" t="str">
        <f>_xlfn.XLOOKUP(Registre_Maintenance__2[[#This Row],[ID_Antenne]],Master!D:D,Master!B:B,"Pas de correspondance")</f>
        <v>Pas de correspondance</v>
      </c>
      <c r="I43" s="1" t="str">
        <f>_xlfn.XLOOKUP(Registre_Maintenance__2[[#This Row],[ID_Antenne]],Master!D:D,Master!C:C,"Pas de correspondance")</f>
        <v>Pas de correspondance</v>
      </c>
      <c r="J43" s="1" t="str">
        <f>_xlfn.XLOOKUP(Registre_Maintenance__2[[#This Row],[ID_Antenne]],Master!D:D,Master!F:F,"Pas de correspondance")</f>
        <v>Pas de correspondance</v>
      </c>
      <c r="K43" s="1" t="e">
        <f>_xlfn.XLOOKUP(Registre_Maintenance__2[[#This Row],[ID_Antenne]],Master!D:D,Master!#REF!,"Pas de correspondance")</f>
        <v>#REF!</v>
      </c>
    </row>
    <row r="44" spans="1:11" x14ac:dyDescent="0.25">
      <c r="A44" s="1" t="s">
        <v>1500</v>
      </c>
      <c r="B44" s="1" t="s">
        <v>1325</v>
      </c>
      <c r="C44" s="1" t="s">
        <v>89</v>
      </c>
      <c r="D44">
        <v>-11.588665000000001</v>
      </c>
      <c r="E44">
        <v>15.241552</v>
      </c>
      <c r="F44" s="1" t="s">
        <v>1504</v>
      </c>
      <c r="G44" s="1" t="s">
        <v>1514</v>
      </c>
      <c r="H44" s="1" t="str">
        <f>_xlfn.XLOOKUP(Registre_Maintenance__2[[#This Row],[ID_Antenne]],Master!D:D,Master!B:B,"Pas de correspondance")</f>
        <v>Pas de correspondance</v>
      </c>
      <c r="I44" s="1" t="str">
        <f>_xlfn.XLOOKUP(Registre_Maintenance__2[[#This Row],[ID_Antenne]],Master!D:D,Master!C:C,"Pas de correspondance")</f>
        <v>Pas de correspondance</v>
      </c>
      <c r="J44" s="1" t="str">
        <f>_xlfn.XLOOKUP(Registre_Maintenance__2[[#This Row],[ID_Antenne]],Master!D:D,Master!F:F,"Pas de correspondance")</f>
        <v>Pas de correspondance</v>
      </c>
      <c r="K44" s="1" t="e">
        <f>_xlfn.XLOOKUP(Registre_Maintenance__2[[#This Row],[ID_Antenne]],Master!D:D,Master!#REF!,"Pas de correspondance")</f>
        <v>#REF!</v>
      </c>
    </row>
    <row r="45" spans="1:11" x14ac:dyDescent="0.25">
      <c r="A45" s="1" t="s">
        <v>1500</v>
      </c>
      <c r="B45" s="1" t="s">
        <v>1222</v>
      </c>
      <c r="C45" s="1" t="s">
        <v>13</v>
      </c>
      <c r="D45">
        <v>-1.9540519999999999</v>
      </c>
      <c r="E45">
        <v>12.667945</v>
      </c>
      <c r="F45" s="1" t="s">
        <v>1504</v>
      </c>
      <c r="G45" s="1" t="s">
        <v>1505</v>
      </c>
      <c r="H45" s="1" t="str">
        <f>_xlfn.XLOOKUP(Registre_Maintenance__2[[#This Row],[ID_Antenne]],Master!D:D,Master!B:B,"Pas de correspondance")</f>
        <v>Pas de correspondance</v>
      </c>
      <c r="I45" s="1" t="str">
        <f>_xlfn.XLOOKUP(Registre_Maintenance__2[[#This Row],[ID_Antenne]],Master!D:D,Master!C:C,"Pas de correspondance")</f>
        <v>Pas de correspondance</v>
      </c>
      <c r="J45" s="1" t="str">
        <f>_xlfn.XLOOKUP(Registre_Maintenance__2[[#This Row],[ID_Antenne]],Master!D:D,Master!F:F,"Pas de correspondance")</f>
        <v>Pas de correspondance</v>
      </c>
      <c r="K45" s="1" t="e">
        <f>_xlfn.XLOOKUP(Registre_Maintenance__2[[#This Row],[ID_Antenne]],Master!D:D,Master!#REF!,"Pas de correspondance")</f>
        <v>#REF!</v>
      </c>
    </row>
    <row r="46" spans="1:11" x14ac:dyDescent="0.25">
      <c r="A46" s="1" t="s">
        <v>1500</v>
      </c>
      <c r="B46" s="1" t="s">
        <v>1523</v>
      </c>
      <c r="C46" s="1" t="s">
        <v>1676</v>
      </c>
      <c r="D46">
        <v>-4.652463</v>
      </c>
      <c r="E46">
        <v>18.779983999999999</v>
      </c>
      <c r="F46" s="1" t="s">
        <v>1506</v>
      </c>
      <c r="G46" s="1" t="s">
        <v>1514</v>
      </c>
      <c r="H46" s="1" t="str">
        <f>_xlfn.XLOOKUP(Registre_Maintenance__2[[#This Row],[ID_Antenne]],Master!D:D,Master!B:B,"Pas de correspondance")</f>
        <v>Pas de correspondance</v>
      </c>
      <c r="I46" s="1" t="str">
        <f>_xlfn.XLOOKUP(Registre_Maintenance__2[[#This Row],[ID_Antenne]],Master!D:D,Master!C:C,"Pas de correspondance")</f>
        <v>Pas de correspondance</v>
      </c>
      <c r="J46" s="1" t="str">
        <f>_xlfn.XLOOKUP(Registre_Maintenance__2[[#This Row],[ID_Antenne]],Master!D:D,Master!F:F,"Pas de correspondance")</f>
        <v>Pas de correspondance</v>
      </c>
      <c r="K46" s="1" t="e">
        <f>_xlfn.XLOOKUP(Registre_Maintenance__2[[#This Row],[ID_Antenne]],Master!D:D,Master!#REF!,"Pas de correspondance")</f>
        <v>#REF!</v>
      </c>
    </row>
    <row r="47" spans="1:11" x14ac:dyDescent="0.25">
      <c r="A47" s="1" t="s">
        <v>1500</v>
      </c>
      <c r="B47" s="1" t="s">
        <v>1524</v>
      </c>
      <c r="C47" s="1" t="s">
        <v>51</v>
      </c>
      <c r="D47">
        <v>4.2187000000000001</v>
      </c>
      <c r="E47">
        <v>29.390174999999999</v>
      </c>
      <c r="F47" s="1" t="s">
        <v>1504</v>
      </c>
      <c r="G47" s="1" t="s">
        <v>1507</v>
      </c>
      <c r="H47" s="1" t="str">
        <f>_xlfn.XLOOKUP(Registre_Maintenance__2[[#This Row],[ID_Antenne]],Master!D:D,Master!B:B,"Pas de correspondance")</f>
        <v>Pas de correspondance</v>
      </c>
      <c r="I47" s="1" t="str">
        <f>_xlfn.XLOOKUP(Registre_Maintenance__2[[#This Row],[ID_Antenne]],Master!D:D,Master!C:C,"Pas de correspondance")</f>
        <v>Pas de correspondance</v>
      </c>
      <c r="J47" s="1" t="str">
        <f>_xlfn.XLOOKUP(Registre_Maintenance__2[[#This Row],[ID_Antenne]],Master!D:D,Master!F:F,"Pas de correspondance")</f>
        <v>Pas de correspondance</v>
      </c>
      <c r="K47" s="1" t="e">
        <f>_xlfn.XLOOKUP(Registre_Maintenance__2[[#This Row],[ID_Antenne]],Master!D:D,Master!#REF!,"Pas de correspondance")</f>
        <v>#REF!</v>
      </c>
    </row>
    <row r="48" spans="1:11" x14ac:dyDescent="0.25">
      <c r="A48" s="1" t="s">
        <v>1500</v>
      </c>
      <c r="B48" s="1" t="s">
        <v>1088</v>
      </c>
      <c r="C48" s="1" t="s">
        <v>18</v>
      </c>
      <c r="D48">
        <v>2.628638</v>
      </c>
      <c r="E48">
        <v>28.420582</v>
      </c>
      <c r="F48" s="1" t="s">
        <v>1504</v>
      </c>
      <c r="G48" s="1" t="s">
        <v>1505</v>
      </c>
      <c r="H48" s="1" t="str">
        <f>_xlfn.XLOOKUP(Registre_Maintenance__2[[#This Row],[ID_Antenne]],Master!D:D,Master!B:B,"Pas de correspondance")</f>
        <v>Pas de correspondance</v>
      </c>
      <c r="I48" s="1" t="str">
        <f>_xlfn.XLOOKUP(Registre_Maintenance__2[[#This Row],[ID_Antenne]],Master!D:D,Master!C:C,"Pas de correspondance")</f>
        <v>Pas de correspondance</v>
      </c>
      <c r="J48" s="1" t="str">
        <f>_xlfn.XLOOKUP(Registre_Maintenance__2[[#This Row],[ID_Antenne]],Master!D:D,Master!F:F,"Pas de correspondance")</f>
        <v>Pas de correspondance</v>
      </c>
      <c r="K48" s="1" t="e">
        <f>_xlfn.XLOOKUP(Registre_Maintenance__2[[#This Row],[ID_Antenne]],Master!D:D,Master!#REF!,"Pas de correspondance")</f>
        <v>#REF!</v>
      </c>
    </row>
    <row r="49" spans="1:11" x14ac:dyDescent="0.25">
      <c r="A49" s="1" t="s">
        <v>1500</v>
      </c>
      <c r="B49" s="1" t="s">
        <v>1525</v>
      </c>
      <c r="C49" s="1" t="s">
        <v>67</v>
      </c>
      <c r="D49">
        <v>-1.4695480000000001</v>
      </c>
      <c r="E49">
        <v>20.876676</v>
      </c>
      <c r="F49" s="1" t="s">
        <v>1501</v>
      </c>
      <c r="G49" s="1" t="s">
        <v>1502</v>
      </c>
      <c r="H49" s="1" t="str">
        <f>_xlfn.XLOOKUP(Registre_Maintenance__2[[#This Row],[ID_Antenne]],Master!D:D,Master!B:B,"Pas de correspondance")</f>
        <v>Pas de correspondance</v>
      </c>
      <c r="I49" s="1" t="str">
        <f>_xlfn.XLOOKUP(Registre_Maintenance__2[[#This Row],[ID_Antenne]],Master!D:D,Master!C:C,"Pas de correspondance")</f>
        <v>Pas de correspondance</v>
      </c>
      <c r="J49" s="1" t="str">
        <f>_xlfn.XLOOKUP(Registre_Maintenance__2[[#This Row],[ID_Antenne]],Master!D:D,Master!F:F,"Pas de correspondance")</f>
        <v>Pas de correspondance</v>
      </c>
      <c r="K49" s="1" t="e">
        <f>_xlfn.XLOOKUP(Registre_Maintenance__2[[#This Row],[ID_Antenne]],Master!D:D,Master!#REF!,"Pas de correspondance")</f>
        <v>#REF!</v>
      </c>
    </row>
    <row r="50" spans="1:11" x14ac:dyDescent="0.25">
      <c r="A50" s="1" t="s">
        <v>1500</v>
      </c>
      <c r="B50" s="1" t="s">
        <v>1526</v>
      </c>
      <c r="C50" s="1" t="s">
        <v>24</v>
      </c>
      <c r="D50">
        <v>3.7141999999999999</v>
      </c>
      <c r="E50">
        <v>28.547066999999998</v>
      </c>
      <c r="F50" s="1" t="s">
        <v>1506</v>
      </c>
      <c r="G50" s="1" t="s">
        <v>1507</v>
      </c>
      <c r="H50" s="1" t="str">
        <f>_xlfn.XLOOKUP(Registre_Maintenance__2[[#This Row],[ID_Antenne]],Master!D:D,Master!B:B,"Pas de correspondance")</f>
        <v>Pas de correspondance</v>
      </c>
      <c r="I50" s="1" t="str">
        <f>_xlfn.XLOOKUP(Registre_Maintenance__2[[#This Row],[ID_Antenne]],Master!D:D,Master!C:C,"Pas de correspondance")</f>
        <v>Pas de correspondance</v>
      </c>
      <c r="J50" s="1" t="str">
        <f>_xlfn.XLOOKUP(Registre_Maintenance__2[[#This Row],[ID_Antenne]],Master!D:D,Master!F:F,"Pas de correspondance")</f>
        <v>Pas de correspondance</v>
      </c>
      <c r="K50" s="1" t="e">
        <f>_xlfn.XLOOKUP(Registre_Maintenance__2[[#This Row],[ID_Antenne]],Master!D:D,Master!#REF!,"Pas de correspondance")</f>
        <v>#REF!</v>
      </c>
    </row>
    <row r="51" spans="1:11" x14ac:dyDescent="0.25">
      <c r="A51" s="1" t="s">
        <v>1500</v>
      </c>
      <c r="B51" s="1" t="s">
        <v>1165</v>
      </c>
      <c r="C51" s="1" t="s">
        <v>1676</v>
      </c>
      <c r="D51">
        <v>-5.4073029999999997</v>
      </c>
      <c r="E51">
        <v>29.762294000000001</v>
      </c>
      <c r="F51" s="1" t="s">
        <v>1506</v>
      </c>
      <c r="G51" s="1" t="s">
        <v>1502</v>
      </c>
      <c r="H51" s="1" t="str">
        <f>_xlfn.XLOOKUP(Registre_Maintenance__2[[#This Row],[ID_Antenne]],Master!D:D,Master!B:B,"Pas de correspondance")</f>
        <v>Pas de correspondance</v>
      </c>
      <c r="I51" s="1" t="str">
        <f>_xlfn.XLOOKUP(Registre_Maintenance__2[[#This Row],[ID_Antenne]],Master!D:D,Master!C:C,"Pas de correspondance")</f>
        <v>Pas de correspondance</v>
      </c>
      <c r="J51" s="1" t="str">
        <f>_xlfn.XLOOKUP(Registre_Maintenance__2[[#This Row],[ID_Antenne]],Master!D:D,Master!F:F,"Pas de correspondance")</f>
        <v>Pas de correspondance</v>
      </c>
      <c r="K51" s="1" t="e">
        <f>_xlfn.XLOOKUP(Registre_Maintenance__2[[#This Row],[ID_Antenne]],Master!D:D,Master!#REF!,"Pas de correspondance")</f>
        <v>#REF!</v>
      </c>
    </row>
    <row r="52" spans="1:11" x14ac:dyDescent="0.25">
      <c r="A52" s="1" t="s">
        <v>1527</v>
      </c>
      <c r="B52" s="1" t="s">
        <v>1528</v>
      </c>
      <c r="C52" s="1" t="s">
        <v>21</v>
      </c>
      <c r="D52">
        <v>-3.6233270000000002</v>
      </c>
      <c r="E52">
        <v>25.915645999999999</v>
      </c>
      <c r="F52" s="1" t="s">
        <v>1506</v>
      </c>
      <c r="G52" s="1" t="s">
        <v>1505</v>
      </c>
      <c r="H52" s="1" t="str">
        <f>_xlfn.XLOOKUP(Registre_Maintenance__2[[#This Row],[ID_Antenne]],Master!D:D,Master!B:B,"Pas de correspondance")</f>
        <v>Pas de correspondance</v>
      </c>
      <c r="I52" s="1" t="str">
        <f>_xlfn.XLOOKUP(Registre_Maintenance__2[[#This Row],[ID_Antenne]],Master!D:D,Master!C:C,"Pas de correspondance")</f>
        <v>Pas de correspondance</v>
      </c>
      <c r="J52" s="1" t="str">
        <f>_xlfn.XLOOKUP(Registre_Maintenance__2[[#This Row],[ID_Antenne]],Master!D:D,Master!F:F,"Pas de correspondance")</f>
        <v>Pas de correspondance</v>
      </c>
      <c r="K52" s="1" t="e">
        <f>_xlfn.XLOOKUP(Registre_Maintenance__2[[#This Row],[ID_Antenne]],Master!D:D,Master!#REF!,"Pas de correspondance")</f>
        <v>#REF!</v>
      </c>
    </row>
    <row r="53" spans="1:11" x14ac:dyDescent="0.25">
      <c r="A53" s="1" t="s">
        <v>1527</v>
      </c>
      <c r="B53" s="1" t="s">
        <v>1529</v>
      </c>
      <c r="C53" s="1" t="s">
        <v>127</v>
      </c>
      <c r="D53">
        <v>-8.4403710000000007</v>
      </c>
      <c r="E53">
        <v>17.231165000000001</v>
      </c>
      <c r="F53" s="1" t="s">
        <v>1504</v>
      </c>
      <c r="G53" s="1" t="s">
        <v>1505</v>
      </c>
      <c r="H53" s="1" t="str">
        <f>_xlfn.XLOOKUP(Registre_Maintenance__2[[#This Row],[ID_Antenne]],Master!D:D,Master!B:B,"Pas de correspondance")</f>
        <v>Pas de correspondance</v>
      </c>
      <c r="I53" s="1" t="str">
        <f>_xlfn.XLOOKUP(Registre_Maintenance__2[[#This Row],[ID_Antenne]],Master!D:D,Master!C:C,"Pas de correspondance")</f>
        <v>Pas de correspondance</v>
      </c>
      <c r="J53" s="1" t="str">
        <f>_xlfn.XLOOKUP(Registre_Maintenance__2[[#This Row],[ID_Antenne]],Master!D:D,Master!F:F,"Pas de correspondance")</f>
        <v>Pas de correspondance</v>
      </c>
      <c r="K53" s="1" t="e">
        <f>_xlfn.XLOOKUP(Registre_Maintenance__2[[#This Row],[ID_Antenne]],Master!D:D,Master!#REF!,"Pas de correspondance")</f>
        <v>#REF!</v>
      </c>
    </row>
    <row r="54" spans="1:11" x14ac:dyDescent="0.25">
      <c r="A54" s="1" t="s">
        <v>1527</v>
      </c>
      <c r="B54" s="1" t="s">
        <v>1043</v>
      </c>
      <c r="C54" s="1" t="s">
        <v>37</v>
      </c>
      <c r="D54">
        <v>-1.50664</v>
      </c>
      <c r="E54">
        <v>27.795642000000001</v>
      </c>
      <c r="F54" s="1" t="s">
        <v>1501</v>
      </c>
      <c r="G54" s="1" t="s">
        <v>1507</v>
      </c>
      <c r="H54" s="1" t="str">
        <f>_xlfn.XLOOKUP(Registre_Maintenance__2[[#This Row],[ID_Antenne]],Master!D:D,Master!B:B,"Pas de correspondance")</f>
        <v>Pas de correspondance</v>
      </c>
      <c r="I54" s="1" t="str">
        <f>_xlfn.XLOOKUP(Registre_Maintenance__2[[#This Row],[ID_Antenne]],Master!D:D,Master!C:C,"Pas de correspondance")</f>
        <v>Pas de correspondance</v>
      </c>
      <c r="J54" s="1" t="str">
        <f>_xlfn.XLOOKUP(Registre_Maintenance__2[[#This Row],[ID_Antenne]],Master!D:D,Master!F:F,"Pas de correspondance")</f>
        <v>Pas de correspondance</v>
      </c>
      <c r="K54" s="1" t="e">
        <f>_xlfn.XLOOKUP(Registre_Maintenance__2[[#This Row],[ID_Antenne]],Master!D:D,Master!#REF!,"Pas de correspondance")</f>
        <v>#REF!</v>
      </c>
    </row>
    <row r="55" spans="1:11" x14ac:dyDescent="0.25">
      <c r="A55" s="1" t="s">
        <v>1527</v>
      </c>
      <c r="B55" s="1" t="s">
        <v>1097</v>
      </c>
      <c r="C55" s="1" t="s">
        <v>24</v>
      </c>
      <c r="D55">
        <v>-9.4229749999999992</v>
      </c>
      <c r="E55">
        <v>29.375005999999999</v>
      </c>
      <c r="F55" s="1" t="s">
        <v>1506</v>
      </c>
      <c r="G55" s="1" t="s">
        <v>1502</v>
      </c>
      <c r="H55" s="1" t="str">
        <f>_xlfn.XLOOKUP(Registre_Maintenance__2[[#This Row],[ID_Antenne]],Master!D:D,Master!B:B,"Pas de correspondance")</f>
        <v>Pas de correspondance</v>
      </c>
      <c r="I55" s="1" t="str">
        <f>_xlfn.XLOOKUP(Registre_Maintenance__2[[#This Row],[ID_Antenne]],Master!D:D,Master!C:C,"Pas de correspondance")</f>
        <v>Pas de correspondance</v>
      </c>
      <c r="J55" s="1" t="str">
        <f>_xlfn.XLOOKUP(Registre_Maintenance__2[[#This Row],[ID_Antenne]],Master!D:D,Master!F:F,"Pas de correspondance")</f>
        <v>Pas de correspondance</v>
      </c>
      <c r="K55" s="1" t="e">
        <f>_xlfn.XLOOKUP(Registre_Maintenance__2[[#This Row],[ID_Antenne]],Master!D:D,Master!#REF!,"Pas de correspondance")</f>
        <v>#REF!</v>
      </c>
    </row>
    <row r="56" spans="1:11" x14ac:dyDescent="0.25">
      <c r="A56" s="1" t="s">
        <v>1527</v>
      </c>
      <c r="B56" s="1" t="s">
        <v>1030</v>
      </c>
      <c r="C56" s="1" t="s">
        <v>62</v>
      </c>
      <c r="D56">
        <v>2.975352</v>
      </c>
      <c r="E56">
        <v>22.535886000000001</v>
      </c>
      <c r="F56" s="1" t="s">
        <v>1504</v>
      </c>
      <c r="G56" s="1" t="s">
        <v>1505</v>
      </c>
      <c r="H56" s="1" t="str">
        <f>_xlfn.XLOOKUP(Registre_Maintenance__2[[#This Row],[ID_Antenne]],Master!D:D,Master!B:B,"Pas de correspondance")</f>
        <v>Pas de correspondance</v>
      </c>
      <c r="I56" s="1" t="str">
        <f>_xlfn.XLOOKUP(Registre_Maintenance__2[[#This Row],[ID_Antenne]],Master!D:D,Master!C:C,"Pas de correspondance")</f>
        <v>Pas de correspondance</v>
      </c>
      <c r="J56" s="1" t="str">
        <f>_xlfn.XLOOKUP(Registre_Maintenance__2[[#This Row],[ID_Antenne]],Master!D:D,Master!F:F,"Pas de correspondance")</f>
        <v>Pas de correspondance</v>
      </c>
      <c r="K56" s="1" t="e">
        <f>_xlfn.XLOOKUP(Registre_Maintenance__2[[#This Row],[ID_Antenne]],Master!D:D,Master!#REF!,"Pas de correspondance")</f>
        <v>#REF!</v>
      </c>
    </row>
    <row r="57" spans="1:11" x14ac:dyDescent="0.25">
      <c r="A57" s="1" t="s">
        <v>1527</v>
      </c>
      <c r="B57" s="1" t="s">
        <v>1260</v>
      </c>
      <c r="C57" s="1" t="s">
        <v>78</v>
      </c>
      <c r="D57">
        <v>2.5458379999999998</v>
      </c>
      <c r="E57">
        <v>13.308655</v>
      </c>
      <c r="F57" s="1" t="s">
        <v>1501</v>
      </c>
      <c r="G57" s="1" t="s">
        <v>1507</v>
      </c>
      <c r="H57" s="1" t="str">
        <f>_xlfn.XLOOKUP(Registre_Maintenance__2[[#This Row],[ID_Antenne]],Master!D:D,Master!B:B,"Pas de correspondance")</f>
        <v>Pas de correspondance</v>
      </c>
      <c r="I57" s="1" t="str">
        <f>_xlfn.XLOOKUP(Registre_Maintenance__2[[#This Row],[ID_Antenne]],Master!D:D,Master!C:C,"Pas de correspondance")</f>
        <v>Pas de correspondance</v>
      </c>
      <c r="J57" s="1" t="str">
        <f>_xlfn.XLOOKUP(Registre_Maintenance__2[[#This Row],[ID_Antenne]],Master!D:D,Master!F:F,"Pas de correspondance")</f>
        <v>Pas de correspondance</v>
      </c>
      <c r="K57" s="1" t="e">
        <f>_xlfn.XLOOKUP(Registre_Maintenance__2[[#This Row],[ID_Antenne]],Master!D:D,Master!#REF!,"Pas de correspondance")</f>
        <v>#REF!</v>
      </c>
    </row>
    <row r="58" spans="1:11" x14ac:dyDescent="0.25">
      <c r="A58" s="1" t="s">
        <v>1527</v>
      </c>
      <c r="B58" s="1" t="s">
        <v>1147</v>
      </c>
      <c r="C58" s="1" t="s">
        <v>40</v>
      </c>
      <c r="D58">
        <v>-9.0798120000000004</v>
      </c>
      <c r="E58">
        <v>14.945484</v>
      </c>
      <c r="F58" s="1" t="s">
        <v>1501</v>
      </c>
      <c r="G58" s="1" t="s">
        <v>1502</v>
      </c>
      <c r="H58" s="1" t="str">
        <f>_xlfn.XLOOKUP(Registre_Maintenance__2[[#This Row],[ID_Antenne]],Master!D:D,Master!B:B,"Pas de correspondance")</f>
        <v>Pas de correspondance</v>
      </c>
      <c r="I58" s="1" t="str">
        <f>_xlfn.XLOOKUP(Registre_Maintenance__2[[#This Row],[ID_Antenne]],Master!D:D,Master!C:C,"Pas de correspondance")</f>
        <v>Pas de correspondance</v>
      </c>
      <c r="J58" s="1" t="str">
        <f>_xlfn.XLOOKUP(Registre_Maintenance__2[[#This Row],[ID_Antenne]],Master!D:D,Master!F:F,"Pas de correspondance")</f>
        <v>Pas de correspondance</v>
      </c>
      <c r="K58" s="1" t="e">
        <f>_xlfn.XLOOKUP(Registre_Maintenance__2[[#This Row],[ID_Antenne]],Master!D:D,Master!#REF!,"Pas de correspondance")</f>
        <v>#REF!</v>
      </c>
    </row>
    <row r="59" spans="1:11" x14ac:dyDescent="0.25">
      <c r="A59" s="1" t="s">
        <v>1527</v>
      </c>
      <c r="B59" s="1" t="s">
        <v>1112</v>
      </c>
      <c r="C59" s="1" t="s">
        <v>137</v>
      </c>
      <c r="D59">
        <v>-10.967288</v>
      </c>
      <c r="E59">
        <v>17.617781000000001</v>
      </c>
      <c r="F59" s="1" t="s">
        <v>1504</v>
      </c>
      <c r="G59" s="1" t="s">
        <v>1502</v>
      </c>
      <c r="H59" s="1" t="str">
        <f>_xlfn.XLOOKUP(Registre_Maintenance__2[[#This Row],[ID_Antenne]],Master!D:D,Master!B:B,"Pas de correspondance")</f>
        <v>Pas de correspondance</v>
      </c>
      <c r="I59" s="1" t="str">
        <f>_xlfn.XLOOKUP(Registre_Maintenance__2[[#This Row],[ID_Antenne]],Master!D:D,Master!C:C,"Pas de correspondance")</f>
        <v>Pas de correspondance</v>
      </c>
      <c r="J59" s="1" t="str">
        <f>_xlfn.XLOOKUP(Registre_Maintenance__2[[#This Row],[ID_Antenne]],Master!D:D,Master!F:F,"Pas de correspondance")</f>
        <v>Pas de correspondance</v>
      </c>
      <c r="K59" s="1" t="e">
        <f>_xlfn.XLOOKUP(Registre_Maintenance__2[[#This Row],[ID_Antenne]],Master!D:D,Master!#REF!,"Pas de correspondance")</f>
        <v>#REF!</v>
      </c>
    </row>
    <row r="60" spans="1:11" x14ac:dyDescent="0.25">
      <c r="A60" s="1" t="s">
        <v>1527</v>
      </c>
      <c r="B60" s="1" t="s">
        <v>942</v>
      </c>
      <c r="C60" s="1" t="s">
        <v>44</v>
      </c>
      <c r="D60">
        <v>-1.607639</v>
      </c>
      <c r="E60">
        <v>17.003636</v>
      </c>
      <c r="F60" s="1" t="s">
        <v>1504</v>
      </c>
      <c r="G60" s="1" t="s">
        <v>1502</v>
      </c>
      <c r="H60" s="1" t="str">
        <f>_xlfn.XLOOKUP(Registre_Maintenance__2[[#This Row],[ID_Antenne]],Master!D:D,Master!B:B,"Pas de correspondance")</f>
        <v>Pas de correspondance</v>
      </c>
      <c r="I60" s="1" t="str">
        <f>_xlfn.XLOOKUP(Registre_Maintenance__2[[#This Row],[ID_Antenne]],Master!D:D,Master!C:C,"Pas de correspondance")</f>
        <v>Pas de correspondance</v>
      </c>
      <c r="J60" s="1" t="str">
        <f>_xlfn.XLOOKUP(Registre_Maintenance__2[[#This Row],[ID_Antenne]],Master!D:D,Master!F:F,"Pas de correspondance")</f>
        <v>Pas de correspondance</v>
      </c>
      <c r="K60" s="1" t="e">
        <f>_xlfn.XLOOKUP(Registre_Maintenance__2[[#This Row],[ID_Antenne]],Master!D:D,Master!#REF!,"Pas de correspondance")</f>
        <v>#REF!</v>
      </c>
    </row>
    <row r="61" spans="1:11" x14ac:dyDescent="0.25">
      <c r="A61" s="1" t="s">
        <v>1527</v>
      </c>
      <c r="B61" s="1" t="s">
        <v>1361</v>
      </c>
      <c r="C61" s="1" t="s">
        <v>62</v>
      </c>
      <c r="D61">
        <v>-7.1587569999999996</v>
      </c>
      <c r="E61">
        <v>18.975141000000001</v>
      </c>
      <c r="F61" s="1" t="s">
        <v>1501</v>
      </c>
      <c r="G61" s="1" t="s">
        <v>1502</v>
      </c>
      <c r="H61" s="1" t="str">
        <f>_xlfn.XLOOKUP(Registre_Maintenance__2[[#This Row],[ID_Antenne]],Master!D:D,Master!B:B,"Pas de correspondance")</f>
        <v>Pas de correspondance</v>
      </c>
      <c r="I61" s="1" t="str">
        <f>_xlfn.XLOOKUP(Registre_Maintenance__2[[#This Row],[ID_Antenne]],Master!D:D,Master!C:C,"Pas de correspondance")</f>
        <v>Pas de correspondance</v>
      </c>
      <c r="J61" s="1" t="str">
        <f>_xlfn.XLOOKUP(Registre_Maintenance__2[[#This Row],[ID_Antenne]],Master!D:D,Master!F:F,"Pas de correspondance")</f>
        <v>Pas de correspondance</v>
      </c>
      <c r="K61" s="1" t="e">
        <f>_xlfn.XLOOKUP(Registre_Maintenance__2[[#This Row],[ID_Antenne]],Master!D:D,Master!#REF!,"Pas de correspondance")</f>
        <v>#REF!</v>
      </c>
    </row>
    <row r="62" spans="1:11" x14ac:dyDescent="0.25">
      <c r="A62" s="1" t="s">
        <v>1527</v>
      </c>
      <c r="B62" s="1" t="s">
        <v>929</v>
      </c>
      <c r="C62" s="1" t="s">
        <v>67</v>
      </c>
      <c r="D62">
        <v>-9.9875139999999991</v>
      </c>
      <c r="E62">
        <v>12.013676999999999</v>
      </c>
      <c r="F62" s="1" t="s">
        <v>1506</v>
      </c>
      <c r="G62" s="1" t="s">
        <v>1507</v>
      </c>
      <c r="H62" s="1" t="str">
        <f>_xlfn.XLOOKUP(Registre_Maintenance__2[[#This Row],[ID_Antenne]],Master!D:D,Master!B:B,"Pas de correspondance")</f>
        <v>Pas de correspondance</v>
      </c>
      <c r="I62" s="1" t="str">
        <f>_xlfn.XLOOKUP(Registre_Maintenance__2[[#This Row],[ID_Antenne]],Master!D:D,Master!C:C,"Pas de correspondance")</f>
        <v>Pas de correspondance</v>
      </c>
      <c r="J62" s="1" t="str">
        <f>_xlfn.XLOOKUP(Registre_Maintenance__2[[#This Row],[ID_Antenne]],Master!D:D,Master!F:F,"Pas de correspondance")</f>
        <v>Pas de correspondance</v>
      </c>
      <c r="K62" s="1" t="e">
        <f>_xlfn.XLOOKUP(Registre_Maintenance__2[[#This Row],[ID_Antenne]],Master!D:D,Master!#REF!,"Pas de correspondance")</f>
        <v>#REF!</v>
      </c>
    </row>
    <row r="63" spans="1:11" x14ac:dyDescent="0.25">
      <c r="A63" s="1" t="s">
        <v>1527</v>
      </c>
      <c r="B63" s="1" t="s">
        <v>1268</v>
      </c>
      <c r="C63" s="1" t="s">
        <v>137</v>
      </c>
      <c r="D63">
        <v>-8.0301989999999996</v>
      </c>
      <c r="E63">
        <v>24.122495000000001</v>
      </c>
      <c r="F63" s="1" t="s">
        <v>1501</v>
      </c>
      <c r="G63" s="1" t="s">
        <v>1507</v>
      </c>
      <c r="H63" s="1" t="str">
        <f>_xlfn.XLOOKUP(Registre_Maintenance__2[[#This Row],[ID_Antenne]],Master!D:D,Master!B:B,"Pas de correspondance")</f>
        <v>Pas de correspondance</v>
      </c>
      <c r="I63" s="1" t="str">
        <f>_xlfn.XLOOKUP(Registre_Maintenance__2[[#This Row],[ID_Antenne]],Master!D:D,Master!C:C,"Pas de correspondance")</f>
        <v>Pas de correspondance</v>
      </c>
      <c r="J63" s="1" t="str">
        <f>_xlfn.XLOOKUP(Registre_Maintenance__2[[#This Row],[ID_Antenne]],Master!D:D,Master!F:F,"Pas de correspondance")</f>
        <v>Pas de correspondance</v>
      </c>
      <c r="K63" s="1" t="e">
        <f>_xlfn.XLOOKUP(Registre_Maintenance__2[[#This Row],[ID_Antenne]],Master!D:D,Master!#REF!,"Pas de correspondance")</f>
        <v>#REF!</v>
      </c>
    </row>
    <row r="64" spans="1:11" x14ac:dyDescent="0.25">
      <c r="A64" s="1" t="s">
        <v>1527</v>
      </c>
      <c r="B64" s="1" t="s">
        <v>1051</v>
      </c>
      <c r="C64" s="1" t="s">
        <v>131</v>
      </c>
      <c r="D64">
        <v>-10.846306999999999</v>
      </c>
      <c r="E64">
        <v>19.201827999999999</v>
      </c>
      <c r="F64" s="1" t="s">
        <v>1504</v>
      </c>
      <c r="G64" s="1" t="s">
        <v>1502</v>
      </c>
      <c r="H64" s="1" t="str">
        <f>_xlfn.XLOOKUP(Registre_Maintenance__2[[#This Row],[ID_Antenne]],Master!D:D,Master!B:B,"Pas de correspondance")</f>
        <v>Pas de correspondance</v>
      </c>
      <c r="I64" s="1" t="str">
        <f>_xlfn.XLOOKUP(Registre_Maintenance__2[[#This Row],[ID_Antenne]],Master!D:D,Master!C:C,"Pas de correspondance")</f>
        <v>Pas de correspondance</v>
      </c>
      <c r="J64" s="1" t="str">
        <f>_xlfn.XLOOKUP(Registre_Maintenance__2[[#This Row],[ID_Antenne]],Master!D:D,Master!F:F,"Pas de correspondance")</f>
        <v>Pas de correspondance</v>
      </c>
      <c r="K64" s="1" t="e">
        <f>_xlfn.XLOOKUP(Registre_Maintenance__2[[#This Row],[ID_Antenne]],Master!D:D,Master!#REF!,"Pas de correspondance")</f>
        <v>#REF!</v>
      </c>
    </row>
    <row r="65" spans="1:11" x14ac:dyDescent="0.25">
      <c r="A65" s="1" t="s">
        <v>1527</v>
      </c>
      <c r="B65" s="1" t="s">
        <v>1530</v>
      </c>
      <c r="C65" s="1" t="s">
        <v>40</v>
      </c>
      <c r="D65">
        <v>1.204588</v>
      </c>
      <c r="E65">
        <v>15.525152</v>
      </c>
      <c r="F65" s="1" t="s">
        <v>1501</v>
      </c>
      <c r="G65" s="1" t="s">
        <v>1505</v>
      </c>
      <c r="H65" s="1" t="str">
        <f>_xlfn.XLOOKUP(Registre_Maintenance__2[[#This Row],[ID_Antenne]],Master!D:D,Master!B:B,"Pas de correspondance")</f>
        <v>Pas de correspondance</v>
      </c>
      <c r="I65" s="1" t="str">
        <f>_xlfn.XLOOKUP(Registre_Maintenance__2[[#This Row],[ID_Antenne]],Master!D:D,Master!C:C,"Pas de correspondance")</f>
        <v>Pas de correspondance</v>
      </c>
      <c r="J65" s="1" t="str">
        <f>_xlfn.XLOOKUP(Registre_Maintenance__2[[#This Row],[ID_Antenne]],Master!D:D,Master!F:F,"Pas de correspondance")</f>
        <v>Pas de correspondance</v>
      </c>
      <c r="K65" s="1" t="e">
        <f>_xlfn.XLOOKUP(Registre_Maintenance__2[[#This Row],[ID_Antenne]],Master!D:D,Master!#REF!,"Pas de correspondance")</f>
        <v>#REF!</v>
      </c>
    </row>
    <row r="66" spans="1:11" x14ac:dyDescent="0.25">
      <c r="A66" s="1" t="s">
        <v>1527</v>
      </c>
      <c r="B66" s="1" t="s">
        <v>1266</v>
      </c>
      <c r="C66" s="1" t="s">
        <v>60</v>
      </c>
      <c r="D66">
        <v>-12.839263000000001</v>
      </c>
      <c r="E66">
        <v>12.355677</v>
      </c>
      <c r="F66" s="1" t="s">
        <v>1506</v>
      </c>
      <c r="G66" s="1" t="s">
        <v>1505</v>
      </c>
      <c r="H66" s="1" t="str">
        <f>_xlfn.XLOOKUP(Registre_Maintenance__2[[#This Row],[ID_Antenne]],Master!D:D,Master!B:B,"Pas de correspondance")</f>
        <v>Pas de correspondance</v>
      </c>
      <c r="I66" s="1" t="str">
        <f>_xlfn.XLOOKUP(Registre_Maintenance__2[[#This Row],[ID_Antenne]],Master!D:D,Master!C:C,"Pas de correspondance")</f>
        <v>Pas de correspondance</v>
      </c>
      <c r="J66" s="1" t="str">
        <f>_xlfn.XLOOKUP(Registre_Maintenance__2[[#This Row],[ID_Antenne]],Master!D:D,Master!F:F,"Pas de correspondance")</f>
        <v>Pas de correspondance</v>
      </c>
      <c r="K66" s="1" t="e">
        <f>_xlfn.XLOOKUP(Registre_Maintenance__2[[#This Row],[ID_Antenne]],Master!D:D,Master!#REF!,"Pas de correspondance")</f>
        <v>#REF!</v>
      </c>
    </row>
    <row r="67" spans="1:11" x14ac:dyDescent="0.25">
      <c r="A67" s="1" t="s">
        <v>1527</v>
      </c>
      <c r="B67" s="1" t="s">
        <v>1531</v>
      </c>
      <c r="C67" s="1" t="s">
        <v>26</v>
      </c>
      <c r="D67">
        <v>-12.244119</v>
      </c>
      <c r="E67">
        <v>28.279755999999999</v>
      </c>
      <c r="F67" s="1" t="s">
        <v>1501</v>
      </c>
      <c r="G67" s="1" t="s">
        <v>1507</v>
      </c>
      <c r="H67" s="1" t="str">
        <f>_xlfn.XLOOKUP(Registre_Maintenance__2[[#This Row],[ID_Antenne]],Master!D:D,Master!B:B,"Pas de correspondance")</f>
        <v>Pas de correspondance</v>
      </c>
      <c r="I67" s="1" t="str">
        <f>_xlfn.XLOOKUP(Registre_Maintenance__2[[#This Row],[ID_Antenne]],Master!D:D,Master!C:C,"Pas de correspondance")</f>
        <v>Pas de correspondance</v>
      </c>
      <c r="J67" s="1" t="str">
        <f>_xlfn.XLOOKUP(Registre_Maintenance__2[[#This Row],[ID_Antenne]],Master!D:D,Master!F:F,"Pas de correspondance")</f>
        <v>Pas de correspondance</v>
      </c>
      <c r="K67" s="1" t="e">
        <f>_xlfn.XLOOKUP(Registre_Maintenance__2[[#This Row],[ID_Antenne]],Master!D:D,Master!#REF!,"Pas de correspondance")</f>
        <v>#REF!</v>
      </c>
    </row>
    <row r="68" spans="1:11" x14ac:dyDescent="0.25">
      <c r="A68" s="1" t="s">
        <v>1527</v>
      </c>
      <c r="B68" s="1" t="s">
        <v>1532</v>
      </c>
      <c r="C68" s="1" t="s">
        <v>1674</v>
      </c>
      <c r="D68">
        <v>1.102554</v>
      </c>
      <c r="E68">
        <v>26.744315</v>
      </c>
      <c r="F68" s="1" t="s">
        <v>1506</v>
      </c>
      <c r="G68" s="1" t="s">
        <v>1502</v>
      </c>
      <c r="H68" s="1" t="str">
        <f>_xlfn.XLOOKUP(Registre_Maintenance__2[[#This Row],[ID_Antenne]],Master!D:D,Master!B:B,"Pas de correspondance")</f>
        <v>Pas de correspondance</v>
      </c>
      <c r="I68" s="1" t="str">
        <f>_xlfn.XLOOKUP(Registre_Maintenance__2[[#This Row],[ID_Antenne]],Master!D:D,Master!C:C,"Pas de correspondance")</f>
        <v>Pas de correspondance</v>
      </c>
      <c r="J68" s="1" t="str">
        <f>_xlfn.XLOOKUP(Registre_Maintenance__2[[#This Row],[ID_Antenne]],Master!D:D,Master!F:F,"Pas de correspondance")</f>
        <v>Pas de correspondance</v>
      </c>
      <c r="K68" s="1" t="e">
        <f>_xlfn.XLOOKUP(Registre_Maintenance__2[[#This Row],[ID_Antenne]],Master!D:D,Master!#REF!,"Pas de correspondance")</f>
        <v>#REF!</v>
      </c>
    </row>
    <row r="69" spans="1:11" x14ac:dyDescent="0.25">
      <c r="A69" s="1" t="s">
        <v>1527</v>
      </c>
      <c r="B69" s="1" t="s">
        <v>983</v>
      </c>
      <c r="C69" s="1" t="s">
        <v>1675</v>
      </c>
      <c r="D69">
        <v>-4.4451280000000004</v>
      </c>
      <c r="E69">
        <v>16.536944999999999</v>
      </c>
      <c r="F69" s="1" t="s">
        <v>1504</v>
      </c>
      <c r="G69" s="1" t="s">
        <v>1502</v>
      </c>
      <c r="H69" s="1" t="str">
        <f>_xlfn.XLOOKUP(Registre_Maintenance__2[[#This Row],[ID_Antenne]],Master!D:D,Master!B:B,"Pas de correspondance")</f>
        <v>Pas de correspondance</v>
      </c>
      <c r="I69" s="1" t="str">
        <f>_xlfn.XLOOKUP(Registre_Maintenance__2[[#This Row],[ID_Antenne]],Master!D:D,Master!C:C,"Pas de correspondance")</f>
        <v>Pas de correspondance</v>
      </c>
      <c r="J69" s="1" t="str">
        <f>_xlfn.XLOOKUP(Registre_Maintenance__2[[#This Row],[ID_Antenne]],Master!D:D,Master!F:F,"Pas de correspondance")</f>
        <v>Pas de correspondance</v>
      </c>
      <c r="K69" s="1" t="e">
        <f>_xlfn.XLOOKUP(Registre_Maintenance__2[[#This Row],[ID_Antenne]],Master!D:D,Master!#REF!,"Pas de correspondance")</f>
        <v>#REF!</v>
      </c>
    </row>
    <row r="70" spans="1:11" x14ac:dyDescent="0.25">
      <c r="A70" s="1" t="s">
        <v>1527</v>
      </c>
      <c r="B70" s="1" t="s">
        <v>979</v>
      </c>
      <c r="C70" s="1" t="s">
        <v>67</v>
      </c>
      <c r="D70">
        <v>-2.2681789999999999</v>
      </c>
      <c r="E70">
        <v>25.699068</v>
      </c>
      <c r="F70" s="1" t="s">
        <v>1506</v>
      </c>
      <c r="G70" s="1" t="s">
        <v>1507</v>
      </c>
      <c r="H70" s="1" t="str">
        <f>_xlfn.XLOOKUP(Registre_Maintenance__2[[#This Row],[ID_Antenne]],Master!D:D,Master!B:B,"Pas de correspondance")</f>
        <v>Pas de correspondance</v>
      </c>
      <c r="I70" s="1" t="str">
        <f>_xlfn.XLOOKUP(Registre_Maintenance__2[[#This Row],[ID_Antenne]],Master!D:D,Master!C:C,"Pas de correspondance")</f>
        <v>Pas de correspondance</v>
      </c>
      <c r="J70" s="1" t="str">
        <f>_xlfn.XLOOKUP(Registre_Maintenance__2[[#This Row],[ID_Antenne]],Master!D:D,Master!F:F,"Pas de correspondance")</f>
        <v>Pas de correspondance</v>
      </c>
      <c r="K70" s="1" t="e">
        <f>_xlfn.XLOOKUP(Registre_Maintenance__2[[#This Row],[ID_Antenne]],Master!D:D,Master!#REF!,"Pas de correspondance")</f>
        <v>#REF!</v>
      </c>
    </row>
    <row r="71" spans="1:11" x14ac:dyDescent="0.25">
      <c r="A71" s="1" t="s">
        <v>1527</v>
      </c>
      <c r="B71" s="1" t="s">
        <v>913</v>
      </c>
      <c r="C71" s="1" t="s">
        <v>131</v>
      </c>
      <c r="D71">
        <v>-6.3148239999999998</v>
      </c>
      <c r="E71">
        <v>24.507498999999999</v>
      </c>
      <c r="F71" s="1" t="s">
        <v>1506</v>
      </c>
      <c r="G71" s="1" t="s">
        <v>1507</v>
      </c>
      <c r="H71" s="1" t="str">
        <f>_xlfn.XLOOKUP(Registre_Maintenance__2[[#This Row],[ID_Antenne]],Master!D:D,Master!B:B,"Pas de correspondance")</f>
        <v>Pas de correspondance</v>
      </c>
      <c r="I71" s="1" t="str">
        <f>_xlfn.XLOOKUP(Registre_Maintenance__2[[#This Row],[ID_Antenne]],Master!D:D,Master!C:C,"Pas de correspondance")</f>
        <v>Pas de correspondance</v>
      </c>
      <c r="J71" s="1" t="str">
        <f>_xlfn.XLOOKUP(Registre_Maintenance__2[[#This Row],[ID_Antenne]],Master!D:D,Master!F:F,"Pas de correspondance")</f>
        <v>Pas de correspondance</v>
      </c>
      <c r="K71" s="1" t="e">
        <f>_xlfn.XLOOKUP(Registre_Maintenance__2[[#This Row],[ID_Antenne]],Master!D:D,Master!#REF!,"Pas de correspondance")</f>
        <v>#REF!</v>
      </c>
    </row>
    <row r="72" spans="1:11" x14ac:dyDescent="0.25">
      <c r="A72" s="1" t="s">
        <v>1527</v>
      </c>
      <c r="B72" s="1" t="s">
        <v>1151</v>
      </c>
      <c r="C72" s="1" t="s">
        <v>64</v>
      </c>
      <c r="D72">
        <v>-11.389362</v>
      </c>
      <c r="E72">
        <v>22.240174</v>
      </c>
      <c r="F72" s="1" t="s">
        <v>1501</v>
      </c>
      <c r="G72" s="1" t="s">
        <v>1507</v>
      </c>
      <c r="H72" s="1" t="str">
        <f>_xlfn.XLOOKUP(Registre_Maintenance__2[[#This Row],[ID_Antenne]],Master!D:D,Master!B:B,"Pas de correspondance")</f>
        <v>Pas de correspondance</v>
      </c>
      <c r="I72" s="1" t="str">
        <f>_xlfn.XLOOKUP(Registre_Maintenance__2[[#This Row],[ID_Antenne]],Master!D:D,Master!C:C,"Pas de correspondance")</f>
        <v>Pas de correspondance</v>
      </c>
      <c r="J72" s="1" t="str">
        <f>_xlfn.XLOOKUP(Registre_Maintenance__2[[#This Row],[ID_Antenne]],Master!D:D,Master!F:F,"Pas de correspondance")</f>
        <v>Pas de correspondance</v>
      </c>
      <c r="K72" s="1" t="e">
        <f>_xlfn.XLOOKUP(Registre_Maintenance__2[[#This Row],[ID_Antenne]],Master!D:D,Master!#REF!,"Pas de correspondance")</f>
        <v>#REF!</v>
      </c>
    </row>
    <row r="73" spans="1:11" x14ac:dyDescent="0.25">
      <c r="A73" s="1" t="s">
        <v>1527</v>
      </c>
      <c r="B73" s="1" t="s">
        <v>1252</v>
      </c>
      <c r="C73" s="1" t="s">
        <v>51</v>
      </c>
      <c r="D73">
        <v>-10.161428000000001</v>
      </c>
      <c r="E73">
        <v>19.362325999999999</v>
      </c>
      <c r="F73" s="1" t="s">
        <v>1506</v>
      </c>
      <c r="G73" s="1" t="s">
        <v>1514</v>
      </c>
      <c r="H73" s="1" t="str">
        <f>_xlfn.XLOOKUP(Registre_Maintenance__2[[#This Row],[ID_Antenne]],Master!D:D,Master!B:B,"Pas de correspondance")</f>
        <v>Pas de correspondance</v>
      </c>
      <c r="I73" s="1" t="str">
        <f>_xlfn.XLOOKUP(Registre_Maintenance__2[[#This Row],[ID_Antenne]],Master!D:D,Master!C:C,"Pas de correspondance")</f>
        <v>Pas de correspondance</v>
      </c>
      <c r="J73" s="1" t="str">
        <f>_xlfn.XLOOKUP(Registre_Maintenance__2[[#This Row],[ID_Antenne]],Master!D:D,Master!F:F,"Pas de correspondance")</f>
        <v>Pas de correspondance</v>
      </c>
      <c r="K73" s="1" t="e">
        <f>_xlfn.XLOOKUP(Registre_Maintenance__2[[#This Row],[ID_Antenne]],Master!D:D,Master!#REF!,"Pas de correspondance")</f>
        <v>#REF!</v>
      </c>
    </row>
    <row r="74" spans="1:11" x14ac:dyDescent="0.25">
      <c r="A74" s="1" t="s">
        <v>1527</v>
      </c>
      <c r="B74" s="1" t="s">
        <v>1299</v>
      </c>
      <c r="C74" s="1" t="s">
        <v>137</v>
      </c>
      <c r="D74">
        <v>-11.354772000000001</v>
      </c>
      <c r="E74">
        <v>21.957325999999998</v>
      </c>
      <c r="F74" s="1" t="s">
        <v>1506</v>
      </c>
      <c r="G74" s="1" t="s">
        <v>1514</v>
      </c>
      <c r="H74" s="1" t="str">
        <f>_xlfn.XLOOKUP(Registre_Maintenance__2[[#This Row],[ID_Antenne]],Master!D:D,Master!B:B,"Pas de correspondance")</f>
        <v>Pas de correspondance</v>
      </c>
      <c r="I74" s="1" t="str">
        <f>_xlfn.XLOOKUP(Registre_Maintenance__2[[#This Row],[ID_Antenne]],Master!D:D,Master!C:C,"Pas de correspondance")</f>
        <v>Pas de correspondance</v>
      </c>
      <c r="J74" s="1" t="str">
        <f>_xlfn.XLOOKUP(Registre_Maintenance__2[[#This Row],[ID_Antenne]],Master!D:D,Master!F:F,"Pas de correspondance")</f>
        <v>Pas de correspondance</v>
      </c>
      <c r="K74" s="1" t="e">
        <f>_xlfn.XLOOKUP(Registre_Maintenance__2[[#This Row],[ID_Antenne]],Master!D:D,Master!#REF!,"Pas de correspondance")</f>
        <v>#REF!</v>
      </c>
    </row>
    <row r="75" spans="1:11" x14ac:dyDescent="0.25">
      <c r="A75" s="1" t="s">
        <v>1527</v>
      </c>
      <c r="B75" s="1" t="s">
        <v>859</v>
      </c>
      <c r="C75" s="1" t="s">
        <v>37</v>
      </c>
      <c r="D75">
        <v>-1.864393</v>
      </c>
      <c r="E75">
        <v>21.453434000000001</v>
      </c>
      <c r="F75" s="1" t="s">
        <v>1501</v>
      </c>
      <c r="G75" s="1" t="s">
        <v>1502</v>
      </c>
      <c r="H75" s="1" t="str">
        <f>_xlfn.XLOOKUP(Registre_Maintenance__2[[#This Row],[ID_Antenne]],Master!D:D,Master!B:B,"Pas de correspondance")</f>
        <v>Pas de correspondance</v>
      </c>
      <c r="I75" s="1" t="str">
        <f>_xlfn.XLOOKUP(Registre_Maintenance__2[[#This Row],[ID_Antenne]],Master!D:D,Master!C:C,"Pas de correspondance")</f>
        <v>Pas de correspondance</v>
      </c>
      <c r="J75" s="1" t="str">
        <f>_xlfn.XLOOKUP(Registre_Maintenance__2[[#This Row],[ID_Antenne]],Master!D:D,Master!F:F,"Pas de correspondance")</f>
        <v>Pas de correspondance</v>
      </c>
      <c r="K75" s="1" t="e">
        <f>_xlfn.XLOOKUP(Registre_Maintenance__2[[#This Row],[ID_Antenne]],Master!D:D,Master!#REF!,"Pas de correspondance")</f>
        <v>#REF!</v>
      </c>
    </row>
    <row r="76" spans="1:11" x14ac:dyDescent="0.25">
      <c r="A76" s="1" t="s">
        <v>1527</v>
      </c>
      <c r="B76" s="1" t="s">
        <v>1533</v>
      </c>
      <c r="C76" s="1" t="s">
        <v>1676</v>
      </c>
      <c r="D76">
        <v>3.7552780000000001</v>
      </c>
      <c r="E76">
        <v>22.477888</v>
      </c>
      <c r="F76" s="1" t="s">
        <v>1506</v>
      </c>
      <c r="G76" s="1" t="s">
        <v>1514</v>
      </c>
      <c r="H76" s="1" t="str">
        <f>_xlfn.XLOOKUP(Registre_Maintenance__2[[#This Row],[ID_Antenne]],Master!D:D,Master!B:B,"Pas de correspondance")</f>
        <v>Pas de correspondance</v>
      </c>
      <c r="I76" s="1" t="str">
        <f>_xlfn.XLOOKUP(Registre_Maintenance__2[[#This Row],[ID_Antenne]],Master!D:D,Master!C:C,"Pas de correspondance")</f>
        <v>Pas de correspondance</v>
      </c>
      <c r="J76" s="1" t="str">
        <f>_xlfn.XLOOKUP(Registre_Maintenance__2[[#This Row],[ID_Antenne]],Master!D:D,Master!F:F,"Pas de correspondance")</f>
        <v>Pas de correspondance</v>
      </c>
      <c r="K76" s="1" t="e">
        <f>_xlfn.XLOOKUP(Registre_Maintenance__2[[#This Row],[ID_Antenne]],Master!D:D,Master!#REF!,"Pas de correspondance")</f>
        <v>#REF!</v>
      </c>
    </row>
    <row r="77" spans="1:11" x14ac:dyDescent="0.25">
      <c r="A77" s="1" t="s">
        <v>1527</v>
      </c>
      <c r="B77" s="1" t="s">
        <v>1118</v>
      </c>
      <c r="C77" s="1" t="s">
        <v>131</v>
      </c>
      <c r="D77">
        <v>4.9455159999999996</v>
      </c>
      <c r="E77">
        <v>23.647746000000001</v>
      </c>
      <c r="F77" s="1" t="s">
        <v>1501</v>
      </c>
      <c r="G77" s="1" t="s">
        <v>1505</v>
      </c>
      <c r="H77" s="1" t="str">
        <f>_xlfn.XLOOKUP(Registre_Maintenance__2[[#This Row],[ID_Antenne]],Master!D:D,Master!B:B,"Pas de correspondance")</f>
        <v>Pas de correspondance</v>
      </c>
      <c r="I77" s="1" t="str">
        <f>_xlfn.XLOOKUP(Registre_Maintenance__2[[#This Row],[ID_Antenne]],Master!D:D,Master!C:C,"Pas de correspondance")</f>
        <v>Pas de correspondance</v>
      </c>
      <c r="J77" s="1" t="str">
        <f>_xlfn.XLOOKUP(Registre_Maintenance__2[[#This Row],[ID_Antenne]],Master!D:D,Master!F:F,"Pas de correspondance")</f>
        <v>Pas de correspondance</v>
      </c>
      <c r="K77" s="1" t="e">
        <f>_xlfn.XLOOKUP(Registre_Maintenance__2[[#This Row],[ID_Antenne]],Master!D:D,Master!#REF!,"Pas de correspondance")</f>
        <v>#REF!</v>
      </c>
    </row>
    <row r="78" spans="1:11" x14ac:dyDescent="0.25">
      <c r="A78" s="1" t="s">
        <v>1527</v>
      </c>
      <c r="B78" s="1" t="s">
        <v>1534</v>
      </c>
      <c r="C78" s="1" t="s">
        <v>137</v>
      </c>
      <c r="D78">
        <v>-1.7476179999999999</v>
      </c>
      <c r="E78">
        <v>18.129401000000001</v>
      </c>
      <c r="F78" s="1" t="s">
        <v>1504</v>
      </c>
      <c r="G78" s="1" t="s">
        <v>1502</v>
      </c>
      <c r="H78" s="1" t="str">
        <f>_xlfn.XLOOKUP(Registre_Maintenance__2[[#This Row],[ID_Antenne]],Master!D:D,Master!B:B,"Pas de correspondance")</f>
        <v>Pas de correspondance</v>
      </c>
      <c r="I78" s="1" t="str">
        <f>_xlfn.XLOOKUP(Registre_Maintenance__2[[#This Row],[ID_Antenne]],Master!D:D,Master!C:C,"Pas de correspondance")</f>
        <v>Pas de correspondance</v>
      </c>
      <c r="J78" s="1" t="str">
        <f>_xlfn.XLOOKUP(Registre_Maintenance__2[[#This Row],[ID_Antenne]],Master!D:D,Master!F:F,"Pas de correspondance")</f>
        <v>Pas de correspondance</v>
      </c>
      <c r="K78" s="1" t="e">
        <f>_xlfn.XLOOKUP(Registre_Maintenance__2[[#This Row],[ID_Antenne]],Master!D:D,Master!#REF!,"Pas de correspondance")</f>
        <v>#REF!</v>
      </c>
    </row>
    <row r="79" spans="1:11" x14ac:dyDescent="0.25">
      <c r="A79" s="1" t="s">
        <v>1527</v>
      </c>
      <c r="B79" s="1" t="s">
        <v>1312</v>
      </c>
      <c r="C79" s="1" t="s">
        <v>127</v>
      </c>
      <c r="D79">
        <v>-11.924048000000001</v>
      </c>
      <c r="E79">
        <v>24.177174999999998</v>
      </c>
      <c r="F79" s="1" t="s">
        <v>1506</v>
      </c>
      <c r="G79" s="1" t="s">
        <v>1514</v>
      </c>
      <c r="H79" s="1" t="str">
        <f>_xlfn.XLOOKUP(Registre_Maintenance__2[[#This Row],[ID_Antenne]],Master!D:D,Master!B:B,"Pas de correspondance")</f>
        <v>Pas de correspondance</v>
      </c>
      <c r="I79" s="1" t="str">
        <f>_xlfn.XLOOKUP(Registre_Maintenance__2[[#This Row],[ID_Antenne]],Master!D:D,Master!C:C,"Pas de correspondance")</f>
        <v>Pas de correspondance</v>
      </c>
      <c r="J79" s="1" t="str">
        <f>_xlfn.XLOOKUP(Registre_Maintenance__2[[#This Row],[ID_Antenne]],Master!D:D,Master!F:F,"Pas de correspondance")</f>
        <v>Pas de correspondance</v>
      </c>
      <c r="K79" s="1" t="e">
        <f>_xlfn.XLOOKUP(Registre_Maintenance__2[[#This Row],[ID_Antenne]],Master!D:D,Master!#REF!,"Pas de correspondance")</f>
        <v>#REF!</v>
      </c>
    </row>
    <row r="80" spans="1:11" x14ac:dyDescent="0.25">
      <c r="A80" s="1" t="s">
        <v>1527</v>
      </c>
      <c r="B80" s="1" t="s">
        <v>1029</v>
      </c>
      <c r="C80" s="1" t="s">
        <v>1676</v>
      </c>
      <c r="D80">
        <v>-1.3976519999999999</v>
      </c>
      <c r="E80">
        <v>14.098819000000001</v>
      </c>
      <c r="F80" s="1" t="s">
        <v>1506</v>
      </c>
      <c r="G80" s="1" t="s">
        <v>1502</v>
      </c>
      <c r="H80" s="1" t="str">
        <f>_xlfn.XLOOKUP(Registre_Maintenance__2[[#This Row],[ID_Antenne]],Master!D:D,Master!B:B,"Pas de correspondance")</f>
        <v>Pas de correspondance</v>
      </c>
      <c r="I80" s="1" t="str">
        <f>_xlfn.XLOOKUP(Registre_Maintenance__2[[#This Row],[ID_Antenne]],Master!D:D,Master!C:C,"Pas de correspondance")</f>
        <v>Pas de correspondance</v>
      </c>
      <c r="J80" s="1" t="str">
        <f>_xlfn.XLOOKUP(Registre_Maintenance__2[[#This Row],[ID_Antenne]],Master!D:D,Master!F:F,"Pas de correspondance")</f>
        <v>Pas de correspondance</v>
      </c>
      <c r="K80" s="1" t="e">
        <f>_xlfn.XLOOKUP(Registre_Maintenance__2[[#This Row],[ID_Antenne]],Master!D:D,Master!#REF!,"Pas de correspondance")</f>
        <v>#REF!</v>
      </c>
    </row>
    <row r="81" spans="1:11" x14ac:dyDescent="0.25">
      <c r="A81" s="1" t="s">
        <v>1527</v>
      </c>
      <c r="B81" s="1" t="s">
        <v>1535</v>
      </c>
      <c r="C81" s="1" t="s">
        <v>18</v>
      </c>
      <c r="D81">
        <v>-0.37609300000000001</v>
      </c>
      <c r="E81">
        <v>21.940809999999999</v>
      </c>
      <c r="F81" s="1" t="s">
        <v>1501</v>
      </c>
      <c r="G81" s="1" t="s">
        <v>1505</v>
      </c>
      <c r="H81" s="1" t="str">
        <f>_xlfn.XLOOKUP(Registre_Maintenance__2[[#This Row],[ID_Antenne]],Master!D:D,Master!B:B,"Pas de correspondance")</f>
        <v>Pas de correspondance</v>
      </c>
      <c r="I81" s="1" t="str">
        <f>_xlfn.XLOOKUP(Registre_Maintenance__2[[#This Row],[ID_Antenne]],Master!D:D,Master!C:C,"Pas de correspondance")</f>
        <v>Pas de correspondance</v>
      </c>
      <c r="J81" s="1" t="str">
        <f>_xlfn.XLOOKUP(Registre_Maintenance__2[[#This Row],[ID_Antenne]],Master!D:D,Master!F:F,"Pas de correspondance")</f>
        <v>Pas de correspondance</v>
      </c>
      <c r="K81" s="1" t="e">
        <f>_xlfn.XLOOKUP(Registre_Maintenance__2[[#This Row],[ID_Antenne]],Master!D:D,Master!#REF!,"Pas de correspondance")</f>
        <v>#REF!</v>
      </c>
    </row>
    <row r="82" spans="1:11" x14ac:dyDescent="0.25">
      <c r="A82" s="1" t="s">
        <v>1527</v>
      </c>
      <c r="B82" s="1" t="s">
        <v>1367</v>
      </c>
      <c r="C82" s="1" t="s">
        <v>62</v>
      </c>
      <c r="D82">
        <v>1.2463919999999999</v>
      </c>
      <c r="E82">
        <v>13.266916999999999</v>
      </c>
      <c r="F82" s="1" t="s">
        <v>1501</v>
      </c>
      <c r="G82" s="1" t="s">
        <v>1505</v>
      </c>
      <c r="H82" s="1" t="str">
        <f>_xlfn.XLOOKUP(Registre_Maintenance__2[[#This Row],[ID_Antenne]],Master!D:D,Master!B:B,"Pas de correspondance")</f>
        <v>Pas de correspondance</v>
      </c>
      <c r="I82" s="1" t="str">
        <f>_xlfn.XLOOKUP(Registre_Maintenance__2[[#This Row],[ID_Antenne]],Master!D:D,Master!C:C,"Pas de correspondance")</f>
        <v>Pas de correspondance</v>
      </c>
      <c r="J82" s="1" t="str">
        <f>_xlfn.XLOOKUP(Registre_Maintenance__2[[#This Row],[ID_Antenne]],Master!D:D,Master!F:F,"Pas de correspondance")</f>
        <v>Pas de correspondance</v>
      </c>
      <c r="K82" s="1" t="e">
        <f>_xlfn.XLOOKUP(Registre_Maintenance__2[[#This Row],[ID_Antenne]],Master!D:D,Master!#REF!,"Pas de correspondance")</f>
        <v>#REF!</v>
      </c>
    </row>
    <row r="83" spans="1:11" x14ac:dyDescent="0.25">
      <c r="A83" s="1" t="s">
        <v>1527</v>
      </c>
      <c r="B83" s="1" t="s">
        <v>1463</v>
      </c>
      <c r="C83" s="1" t="s">
        <v>1675</v>
      </c>
      <c r="D83">
        <v>-10.735106</v>
      </c>
      <c r="E83">
        <v>27.868673999999999</v>
      </c>
      <c r="F83" s="1" t="s">
        <v>1506</v>
      </c>
      <c r="G83" s="1" t="s">
        <v>1502</v>
      </c>
      <c r="H83" s="1" t="str">
        <f>_xlfn.XLOOKUP(Registre_Maintenance__2[[#This Row],[ID_Antenne]],Master!D:D,Master!B:B,"Pas de correspondance")</f>
        <v>Pas de correspondance</v>
      </c>
      <c r="I83" s="1" t="str">
        <f>_xlfn.XLOOKUP(Registre_Maintenance__2[[#This Row],[ID_Antenne]],Master!D:D,Master!C:C,"Pas de correspondance")</f>
        <v>Pas de correspondance</v>
      </c>
      <c r="J83" s="1" t="str">
        <f>_xlfn.XLOOKUP(Registre_Maintenance__2[[#This Row],[ID_Antenne]],Master!D:D,Master!F:F,"Pas de correspondance")</f>
        <v>Pas de correspondance</v>
      </c>
      <c r="K83" s="1" t="e">
        <f>_xlfn.XLOOKUP(Registre_Maintenance__2[[#This Row],[ID_Antenne]],Master!D:D,Master!#REF!,"Pas de correspondance")</f>
        <v>#REF!</v>
      </c>
    </row>
    <row r="84" spans="1:11" x14ac:dyDescent="0.25">
      <c r="A84" s="1" t="s">
        <v>1527</v>
      </c>
      <c r="B84" s="1" t="s">
        <v>1381</v>
      </c>
      <c r="C84" s="1" t="s">
        <v>127</v>
      </c>
      <c r="D84">
        <v>-8.8118569999999998</v>
      </c>
      <c r="E84">
        <v>14.465711000000001</v>
      </c>
      <c r="F84" s="1" t="s">
        <v>1501</v>
      </c>
      <c r="G84" s="1" t="s">
        <v>1514</v>
      </c>
      <c r="H84" s="1" t="str">
        <f>_xlfn.XLOOKUP(Registre_Maintenance__2[[#This Row],[ID_Antenne]],Master!D:D,Master!B:B,"Pas de correspondance")</f>
        <v>Pas de correspondance</v>
      </c>
      <c r="I84" s="1" t="str">
        <f>_xlfn.XLOOKUP(Registre_Maintenance__2[[#This Row],[ID_Antenne]],Master!D:D,Master!C:C,"Pas de correspondance")</f>
        <v>Pas de correspondance</v>
      </c>
      <c r="J84" s="1" t="str">
        <f>_xlfn.XLOOKUP(Registre_Maintenance__2[[#This Row],[ID_Antenne]],Master!D:D,Master!F:F,"Pas de correspondance")</f>
        <v>Pas de correspondance</v>
      </c>
      <c r="K84" s="1" t="e">
        <f>_xlfn.XLOOKUP(Registre_Maintenance__2[[#This Row],[ID_Antenne]],Master!D:D,Master!#REF!,"Pas de correspondance")</f>
        <v>#REF!</v>
      </c>
    </row>
    <row r="85" spans="1:11" x14ac:dyDescent="0.25">
      <c r="A85" s="1" t="s">
        <v>1527</v>
      </c>
      <c r="B85" s="1" t="s">
        <v>1536</v>
      </c>
      <c r="C85" s="1" t="s">
        <v>18</v>
      </c>
      <c r="D85">
        <v>4.6701629999999996</v>
      </c>
      <c r="E85">
        <v>28.596363</v>
      </c>
      <c r="F85" s="1" t="s">
        <v>1501</v>
      </c>
      <c r="G85" s="1" t="s">
        <v>1502</v>
      </c>
      <c r="H85" s="1" t="str">
        <f>_xlfn.XLOOKUP(Registre_Maintenance__2[[#This Row],[ID_Antenne]],Master!D:D,Master!B:B,"Pas de correspondance")</f>
        <v>Pas de correspondance</v>
      </c>
      <c r="I85" s="1" t="str">
        <f>_xlfn.XLOOKUP(Registre_Maintenance__2[[#This Row],[ID_Antenne]],Master!D:D,Master!C:C,"Pas de correspondance")</f>
        <v>Pas de correspondance</v>
      </c>
      <c r="J85" s="1" t="str">
        <f>_xlfn.XLOOKUP(Registre_Maintenance__2[[#This Row],[ID_Antenne]],Master!D:D,Master!F:F,"Pas de correspondance")</f>
        <v>Pas de correspondance</v>
      </c>
      <c r="K85" s="1" t="e">
        <f>_xlfn.XLOOKUP(Registre_Maintenance__2[[#This Row],[ID_Antenne]],Master!D:D,Master!#REF!,"Pas de correspondance")</f>
        <v>#REF!</v>
      </c>
    </row>
    <row r="86" spans="1:11" x14ac:dyDescent="0.25">
      <c r="A86" s="1" t="s">
        <v>1527</v>
      </c>
      <c r="B86" s="1" t="s">
        <v>1537</v>
      </c>
      <c r="C86" s="1" t="s">
        <v>137</v>
      </c>
      <c r="D86">
        <v>1.194113</v>
      </c>
      <c r="E86">
        <v>15.839502</v>
      </c>
      <c r="F86" s="1" t="s">
        <v>1506</v>
      </c>
      <c r="G86" s="1" t="s">
        <v>1505</v>
      </c>
      <c r="H86" s="1" t="str">
        <f>_xlfn.XLOOKUP(Registre_Maintenance__2[[#This Row],[ID_Antenne]],Master!D:D,Master!B:B,"Pas de correspondance")</f>
        <v>Pas de correspondance</v>
      </c>
      <c r="I86" s="1" t="str">
        <f>_xlfn.XLOOKUP(Registre_Maintenance__2[[#This Row],[ID_Antenne]],Master!D:D,Master!C:C,"Pas de correspondance")</f>
        <v>Pas de correspondance</v>
      </c>
      <c r="J86" s="1" t="str">
        <f>_xlfn.XLOOKUP(Registre_Maintenance__2[[#This Row],[ID_Antenne]],Master!D:D,Master!F:F,"Pas de correspondance")</f>
        <v>Pas de correspondance</v>
      </c>
      <c r="K86" s="1" t="e">
        <f>_xlfn.XLOOKUP(Registre_Maintenance__2[[#This Row],[ID_Antenne]],Master!D:D,Master!#REF!,"Pas de correspondance")</f>
        <v>#REF!</v>
      </c>
    </row>
    <row r="87" spans="1:11" x14ac:dyDescent="0.25">
      <c r="A87" s="1" t="s">
        <v>1527</v>
      </c>
      <c r="B87" s="1" t="s">
        <v>1211</v>
      </c>
      <c r="C87" s="1" t="s">
        <v>51</v>
      </c>
      <c r="D87">
        <v>0.62055499999999997</v>
      </c>
      <c r="E87">
        <v>21.222035000000002</v>
      </c>
      <c r="F87" s="1" t="s">
        <v>1501</v>
      </c>
      <c r="G87" s="1" t="s">
        <v>1514</v>
      </c>
      <c r="H87" s="1" t="str">
        <f>_xlfn.XLOOKUP(Registre_Maintenance__2[[#This Row],[ID_Antenne]],Master!D:D,Master!B:B,"Pas de correspondance")</f>
        <v>Pas de correspondance</v>
      </c>
      <c r="I87" s="1" t="str">
        <f>_xlfn.XLOOKUP(Registre_Maintenance__2[[#This Row],[ID_Antenne]],Master!D:D,Master!C:C,"Pas de correspondance")</f>
        <v>Pas de correspondance</v>
      </c>
      <c r="J87" s="1" t="str">
        <f>_xlfn.XLOOKUP(Registre_Maintenance__2[[#This Row],[ID_Antenne]],Master!D:D,Master!F:F,"Pas de correspondance")</f>
        <v>Pas de correspondance</v>
      </c>
      <c r="K87" s="1" t="e">
        <f>_xlfn.XLOOKUP(Registre_Maintenance__2[[#This Row],[ID_Antenne]],Master!D:D,Master!#REF!,"Pas de correspondance")</f>
        <v>#REF!</v>
      </c>
    </row>
    <row r="88" spans="1:11" x14ac:dyDescent="0.25">
      <c r="A88" s="1" t="s">
        <v>1527</v>
      </c>
      <c r="B88" s="1" t="s">
        <v>1538</v>
      </c>
      <c r="C88" s="1" t="s">
        <v>73</v>
      </c>
      <c r="D88">
        <v>1.499457</v>
      </c>
      <c r="E88">
        <v>13.876317999999999</v>
      </c>
      <c r="F88" s="1" t="s">
        <v>1501</v>
      </c>
      <c r="G88" s="1" t="s">
        <v>1514</v>
      </c>
      <c r="H88" s="1" t="str">
        <f>_xlfn.XLOOKUP(Registre_Maintenance__2[[#This Row],[ID_Antenne]],Master!D:D,Master!B:B,"Pas de correspondance")</f>
        <v>Pas de correspondance</v>
      </c>
      <c r="I88" s="1" t="str">
        <f>_xlfn.XLOOKUP(Registre_Maintenance__2[[#This Row],[ID_Antenne]],Master!D:D,Master!C:C,"Pas de correspondance")</f>
        <v>Pas de correspondance</v>
      </c>
      <c r="J88" s="1" t="str">
        <f>_xlfn.XLOOKUP(Registre_Maintenance__2[[#This Row],[ID_Antenne]],Master!D:D,Master!F:F,"Pas de correspondance")</f>
        <v>Pas de correspondance</v>
      </c>
      <c r="K88" s="1" t="e">
        <f>_xlfn.XLOOKUP(Registre_Maintenance__2[[#This Row],[ID_Antenne]],Master!D:D,Master!#REF!,"Pas de correspondance")</f>
        <v>#REF!</v>
      </c>
    </row>
    <row r="89" spans="1:11" x14ac:dyDescent="0.25">
      <c r="A89" s="1" t="s">
        <v>1527</v>
      </c>
      <c r="B89" s="1" t="s">
        <v>856</v>
      </c>
      <c r="C89" s="1" t="s">
        <v>13</v>
      </c>
      <c r="D89">
        <v>-5.1030600000000002</v>
      </c>
      <c r="E89">
        <v>22.849231</v>
      </c>
      <c r="F89" s="1" t="s">
        <v>1501</v>
      </c>
      <c r="G89" s="1" t="s">
        <v>1507</v>
      </c>
      <c r="H89" s="1" t="str">
        <f>_xlfn.XLOOKUP(Registre_Maintenance__2[[#This Row],[ID_Antenne]],Master!D:D,Master!B:B,"Pas de correspondance")</f>
        <v>Pas de correspondance</v>
      </c>
      <c r="I89" s="1" t="str">
        <f>_xlfn.XLOOKUP(Registre_Maintenance__2[[#This Row],[ID_Antenne]],Master!D:D,Master!C:C,"Pas de correspondance")</f>
        <v>Pas de correspondance</v>
      </c>
      <c r="J89" s="1" t="str">
        <f>_xlfn.XLOOKUP(Registre_Maintenance__2[[#This Row],[ID_Antenne]],Master!D:D,Master!F:F,"Pas de correspondance")</f>
        <v>Pas de correspondance</v>
      </c>
      <c r="K89" s="1" t="e">
        <f>_xlfn.XLOOKUP(Registre_Maintenance__2[[#This Row],[ID_Antenne]],Master!D:D,Master!#REF!,"Pas de correspondance")</f>
        <v>#REF!</v>
      </c>
    </row>
    <row r="90" spans="1:11" x14ac:dyDescent="0.25">
      <c r="A90" s="1" t="s">
        <v>1527</v>
      </c>
      <c r="B90" s="1" t="s">
        <v>889</v>
      </c>
      <c r="C90" s="1" t="s">
        <v>1675</v>
      </c>
      <c r="D90">
        <v>-9.5266249999999992</v>
      </c>
      <c r="E90">
        <v>27.889690999999999</v>
      </c>
      <c r="F90" s="1" t="s">
        <v>1504</v>
      </c>
      <c r="G90" s="1" t="s">
        <v>1502</v>
      </c>
      <c r="H90" s="1" t="str">
        <f>_xlfn.XLOOKUP(Registre_Maintenance__2[[#This Row],[ID_Antenne]],Master!D:D,Master!B:B,"Pas de correspondance")</f>
        <v>Pas de correspondance</v>
      </c>
      <c r="I90" s="1" t="str">
        <f>_xlfn.XLOOKUP(Registre_Maintenance__2[[#This Row],[ID_Antenne]],Master!D:D,Master!C:C,"Pas de correspondance")</f>
        <v>Pas de correspondance</v>
      </c>
      <c r="J90" s="1" t="str">
        <f>_xlfn.XLOOKUP(Registre_Maintenance__2[[#This Row],[ID_Antenne]],Master!D:D,Master!F:F,"Pas de correspondance")</f>
        <v>Pas de correspondance</v>
      </c>
      <c r="K90" s="1" t="e">
        <f>_xlfn.XLOOKUP(Registre_Maintenance__2[[#This Row],[ID_Antenne]],Master!D:D,Master!#REF!,"Pas de correspondance")</f>
        <v>#REF!</v>
      </c>
    </row>
    <row r="91" spans="1:11" x14ac:dyDescent="0.25">
      <c r="A91" s="1" t="s">
        <v>1527</v>
      </c>
      <c r="B91" s="1" t="s">
        <v>1539</v>
      </c>
      <c r="C91" s="1" t="s">
        <v>26</v>
      </c>
      <c r="D91">
        <v>-0.59350000000000003</v>
      </c>
      <c r="E91">
        <v>24.500503999999999</v>
      </c>
      <c r="F91" s="1" t="s">
        <v>1501</v>
      </c>
      <c r="G91" s="1" t="s">
        <v>1505</v>
      </c>
      <c r="H91" s="1" t="str">
        <f>_xlfn.XLOOKUP(Registre_Maintenance__2[[#This Row],[ID_Antenne]],Master!D:D,Master!B:B,"Pas de correspondance")</f>
        <v>Pas de correspondance</v>
      </c>
      <c r="I91" s="1" t="str">
        <f>_xlfn.XLOOKUP(Registre_Maintenance__2[[#This Row],[ID_Antenne]],Master!D:D,Master!C:C,"Pas de correspondance")</f>
        <v>Pas de correspondance</v>
      </c>
      <c r="J91" s="1" t="str">
        <f>_xlfn.XLOOKUP(Registre_Maintenance__2[[#This Row],[ID_Antenne]],Master!D:D,Master!F:F,"Pas de correspondance")</f>
        <v>Pas de correspondance</v>
      </c>
      <c r="K91" s="1" t="e">
        <f>_xlfn.XLOOKUP(Registre_Maintenance__2[[#This Row],[ID_Antenne]],Master!D:D,Master!#REF!,"Pas de correspondance")</f>
        <v>#REF!</v>
      </c>
    </row>
    <row r="92" spans="1:11" x14ac:dyDescent="0.25">
      <c r="A92" s="1" t="s">
        <v>1527</v>
      </c>
      <c r="B92" s="1" t="s">
        <v>1136</v>
      </c>
      <c r="C92" s="1" t="s">
        <v>131</v>
      </c>
      <c r="D92">
        <v>-6.5529849999999996</v>
      </c>
      <c r="E92">
        <v>21.990606</v>
      </c>
      <c r="F92" s="1" t="s">
        <v>1506</v>
      </c>
      <c r="G92" s="1" t="s">
        <v>1505</v>
      </c>
      <c r="H92" s="1" t="str">
        <f>_xlfn.XLOOKUP(Registre_Maintenance__2[[#This Row],[ID_Antenne]],Master!D:D,Master!B:B,"Pas de correspondance")</f>
        <v>Pas de correspondance</v>
      </c>
      <c r="I92" s="1" t="str">
        <f>_xlfn.XLOOKUP(Registre_Maintenance__2[[#This Row],[ID_Antenne]],Master!D:D,Master!C:C,"Pas de correspondance")</f>
        <v>Pas de correspondance</v>
      </c>
      <c r="J92" s="1" t="str">
        <f>_xlfn.XLOOKUP(Registre_Maintenance__2[[#This Row],[ID_Antenne]],Master!D:D,Master!F:F,"Pas de correspondance")</f>
        <v>Pas de correspondance</v>
      </c>
      <c r="K92" s="1" t="e">
        <f>_xlfn.XLOOKUP(Registre_Maintenance__2[[#This Row],[ID_Antenne]],Master!D:D,Master!#REF!,"Pas de correspondance")</f>
        <v>#REF!</v>
      </c>
    </row>
    <row r="93" spans="1:11" x14ac:dyDescent="0.25">
      <c r="A93" s="1" t="s">
        <v>1527</v>
      </c>
      <c r="B93" s="1" t="s">
        <v>1389</v>
      </c>
      <c r="C93" s="1" t="s">
        <v>13</v>
      </c>
      <c r="D93">
        <v>-10.574821</v>
      </c>
      <c r="E93">
        <v>25.324966</v>
      </c>
      <c r="F93" s="1" t="s">
        <v>1501</v>
      </c>
      <c r="G93" s="1" t="s">
        <v>1502</v>
      </c>
      <c r="H93" s="1" t="str">
        <f>_xlfn.XLOOKUP(Registre_Maintenance__2[[#This Row],[ID_Antenne]],Master!D:D,Master!B:B,"Pas de correspondance")</f>
        <v>Pas de correspondance</v>
      </c>
      <c r="I93" s="1" t="str">
        <f>_xlfn.XLOOKUP(Registre_Maintenance__2[[#This Row],[ID_Antenne]],Master!D:D,Master!C:C,"Pas de correspondance")</f>
        <v>Pas de correspondance</v>
      </c>
      <c r="J93" s="1" t="str">
        <f>_xlfn.XLOOKUP(Registre_Maintenance__2[[#This Row],[ID_Antenne]],Master!D:D,Master!F:F,"Pas de correspondance")</f>
        <v>Pas de correspondance</v>
      </c>
      <c r="K93" s="1" t="e">
        <f>_xlfn.XLOOKUP(Registre_Maintenance__2[[#This Row],[ID_Antenne]],Master!D:D,Master!#REF!,"Pas de correspondance")</f>
        <v>#REF!</v>
      </c>
    </row>
    <row r="94" spans="1:11" x14ac:dyDescent="0.25">
      <c r="A94" s="1" t="s">
        <v>1527</v>
      </c>
      <c r="B94" s="1" t="s">
        <v>1450</v>
      </c>
      <c r="C94" s="1" t="s">
        <v>35</v>
      </c>
      <c r="D94">
        <v>3.175935</v>
      </c>
      <c r="E94">
        <v>16.862832000000001</v>
      </c>
      <c r="F94" s="1" t="s">
        <v>1501</v>
      </c>
      <c r="G94" s="1" t="s">
        <v>1502</v>
      </c>
      <c r="H94" s="1" t="str">
        <f>_xlfn.XLOOKUP(Registre_Maintenance__2[[#This Row],[ID_Antenne]],Master!D:D,Master!B:B,"Pas de correspondance")</f>
        <v>Pas de correspondance</v>
      </c>
      <c r="I94" s="1" t="str">
        <f>_xlfn.XLOOKUP(Registre_Maintenance__2[[#This Row],[ID_Antenne]],Master!D:D,Master!C:C,"Pas de correspondance")</f>
        <v>Pas de correspondance</v>
      </c>
      <c r="J94" s="1" t="str">
        <f>_xlfn.XLOOKUP(Registre_Maintenance__2[[#This Row],[ID_Antenne]],Master!D:D,Master!F:F,"Pas de correspondance")</f>
        <v>Pas de correspondance</v>
      </c>
      <c r="K94" s="1" t="e">
        <f>_xlfn.XLOOKUP(Registre_Maintenance__2[[#This Row],[ID_Antenne]],Master!D:D,Master!#REF!,"Pas de correspondance")</f>
        <v>#REF!</v>
      </c>
    </row>
    <row r="95" spans="1:11" x14ac:dyDescent="0.25">
      <c r="A95" s="1" t="s">
        <v>1527</v>
      </c>
      <c r="B95" s="1" t="s">
        <v>993</v>
      </c>
      <c r="C95" s="1" t="s">
        <v>78</v>
      </c>
      <c r="D95">
        <v>-4.2645619999999997</v>
      </c>
      <c r="E95">
        <v>18.960726000000001</v>
      </c>
      <c r="F95" s="1" t="s">
        <v>1504</v>
      </c>
      <c r="G95" s="1" t="s">
        <v>1505</v>
      </c>
      <c r="H95" s="1" t="str">
        <f>_xlfn.XLOOKUP(Registre_Maintenance__2[[#This Row],[ID_Antenne]],Master!D:D,Master!B:B,"Pas de correspondance")</f>
        <v>Pas de correspondance</v>
      </c>
      <c r="I95" s="1" t="str">
        <f>_xlfn.XLOOKUP(Registre_Maintenance__2[[#This Row],[ID_Antenne]],Master!D:D,Master!C:C,"Pas de correspondance")</f>
        <v>Pas de correspondance</v>
      </c>
      <c r="J95" s="1" t="str">
        <f>_xlfn.XLOOKUP(Registre_Maintenance__2[[#This Row],[ID_Antenne]],Master!D:D,Master!F:F,"Pas de correspondance")</f>
        <v>Pas de correspondance</v>
      </c>
      <c r="K95" s="1" t="e">
        <f>_xlfn.XLOOKUP(Registre_Maintenance__2[[#This Row],[ID_Antenne]],Master!D:D,Master!#REF!,"Pas de correspondance")</f>
        <v>#REF!</v>
      </c>
    </row>
    <row r="96" spans="1:11" x14ac:dyDescent="0.25">
      <c r="A96" s="1" t="s">
        <v>1527</v>
      </c>
      <c r="B96" s="1" t="s">
        <v>1142</v>
      </c>
      <c r="C96" s="1" t="s">
        <v>1674</v>
      </c>
      <c r="D96">
        <v>-5.125</v>
      </c>
      <c r="E96">
        <v>23.513119</v>
      </c>
      <c r="F96" s="1" t="s">
        <v>1501</v>
      </c>
      <c r="G96" s="1" t="s">
        <v>1505</v>
      </c>
      <c r="H96" s="1" t="str">
        <f>_xlfn.XLOOKUP(Registre_Maintenance__2[[#This Row],[ID_Antenne]],Master!D:D,Master!B:B,"Pas de correspondance")</f>
        <v>Pas de correspondance</v>
      </c>
      <c r="I96" s="1" t="str">
        <f>_xlfn.XLOOKUP(Registre_Maintenance__2[[#This Row],[ID_Antenne]],Master!D:D,Master!C:C,"Pas de correspondance")</f>
        <v>Pas de correspondance</v>
      </c>
      <c r="J96" s="1" t="str">
        <f>_xlfn.XLOOKUP(Registre_Maintenance__2[[#This Row],[ID_Antenne]],Master!D:D,Master!F:F,"Pas de correspondance")</f>
        <v>Pas de correspondance</v>
      </c>
      <c r="K96" s="1" t="e">
        <f>_xlfn.XLOOKUP(Registre_Maintenance__2[[#This Row],[ID_Antenne]],Master!D:D,Master!#REF!,"Pas de correspondance")</f>
        <v>#REF!</v>
      </c>
    </row>
    <row r="97" spans="1:11" x14ac:dyDescent="0.25">
      <c r="A97" s="1" t="s">
        <v>1527</v>
      </c>
      <c r="B97" s="1" t="s">
        <v>1334</v>
      </c>
      <c r="C97" s="1" t="s">
        <v>16</v>
      </c>
      <c r="D97">
        <v>-7.6951369999999999</v>
      </c>
      <c r="E97">
        <v>13.346605</v>
      </c>
      <c r="F97" s="1" t="s">
        <v>1504</v>
      </c>
      <c r="G97" s="1" t="s">
        <v>1502</v>
      </c>
      <c r="H97" s="1" t="str">
        <f>_xlfn.XLOOKUP(Registre_Maintenance__2[[#This Row],[ID_Antenne]],Master!D:D,Master!B:B,"Pas de correspondance")</f>
        <v>Pas de correspondance</v>
      </c>
      <c r="I97" s="1" t="str">
        <f>_xlfn.XLOOKUP(Registre_Maintenance__2[[#This Row],[ID_Antenne]],Master!D:D,Master!C:C,"Pas de correspondance")</f>
        <v>Pas de correspondance</v>
      </c>
      <c r="J97" s="1" t="str">
        <f>_xlfn.XLOOKUP(Registre_Maintenance__2[[#This Row],[ID_Antenne]],Master!D:D,Master!F:F,"Pas de correspondance")</f>
        <v>Pas de correspondance</v>
      </c>
      <c r="K97" s="1" t="e">
        <f>_xlfn.XLOOKUP(Registre_Maintenance__2[[#This Row],[ID_Antenne]],Master!D:D,Master!#REF!,"Pas de correspondance")</f>
        <v>#REF!</v>
      </c>
    </row>
    <row r="98" spans="1:11" x14ac:dyDescent="0.25">
      <c r="A98" s="1" t="s">
        <v>1527</v>
      </c>
      <c r="B98" s="1" t="s">
        <v>1540</v>
      </c>
      <c r="C98" s="1" t="s">
        <v>18</v>
      </c>
      <c r="D98">
        <v>-0.45332</v>
      </c>
      <c r="E98">
        <v>29.674009999999999</v>
      </c>
      <c r="F98" s="1" t="s">
        <v>1501</v>
      </c>
      <c r="G98" s="1" t="s">
        <v>1502</v>
      </c>
      <c r="H98" s="1" t="str">
        <f>_xlfn.XLOOKUP(Registre_Maintenance__2[[#This Row],[ID_Antenne]],Master!D:D,Master!B:B,"Pas de correspondance")</f>
        <v>Pas de correspondance</v>
      </c>
      <c r="I98" s="1" t="str">
        <f>_xlfn.XLOOKUP(Registre_Maintenance__2[[#This Row],[ID_Antenne]],Master!D:D,Master!C:C,"Pas de correspondance")</f>
        <v>Pas de correspondance</v>
      </c>
      <c r="J98" s="1" t="str">
        <f>_xlfn.XLOOKUP(Registre_Maintenance__2[[#This Row],[ID_Antenne]],Master!D:D,Master!F:F,"Pas de correspondance")</f>
        <v>Pas de correspondance</v>
      </c>
      <c r="K98" s="1" t="e">
        <f>_xlfn.XLOOKUP(Registre_Maintenance__2[[#This Row],[ID_Antenne]],Master!D:D,Master!#REF!,"Pas de correspondance")</f>
        <v>#REF!</v>
      </c>
    </row>
    <row r="99" spans="1:11" x14ac:dyDescent="0.25">
      <c r="A99" s="1" t="s">
        <v>1527</v>
      </c>
      <c r="B99" s="1" t="s">
        <v>1102</v>
      </c>
      <c r="C99" s="1" t="s">
        <v>62</v>
      </c>
      <c r="D99">
        <v>-9.5840350000000001</v>
      </c>
      <c r="E99">
        <v>15.966024000000001</v>
      </c>
      <c r="F99" s="1" t="s">
        <v>1501</v>
      </c>
      <c r="G99" s="1" t="s">
        <v>1514</v>
      </c>
      <c r="H99" s="1" t="str">
        <f>_xlfn.XLOOKUP(Registre_Maintenance__2[[#This Row],[ID_Antenne]],Master!D:D,Master!B:B,"Pas de correspondance")</f>
        <v>Pas de correspondance</v>
      </c>
      <c r="I99" s="1" t="str">
        <f>_xlfn.XLOOKUP(Registre_Maintenance__2[[#This Row],[ID_Antenne]],Master!D:D,Master!C:C,"Pas de correspondance")</f>
        <v>Pas de correspondance</v>
      </c>
      <c r="J99" s="1" t="str">
        <f>_xlfn.XLOOKUP(Registre_Maintenance__2[[#This Row],[ID_Antenne]],Master!D:D,Master!F:F,"Pas de correspondance")</f>
        <v>Pas de correspondance</v>
      </c>
      <c r="K99" s="1" t="e">
        <f>_xlfn.XLOOKUP(Registre_Maintenance__2[[#This Row],[ID_Antenne]],Master!D:D,Master!#REF!,"Pas de correspondance")</f>
        <v>#REF!</v>
      </c>
    </row>
    <row r="100" spans="1:11" x14ac:dyDescent="0.25">
      <c r="A100" s="1" t="s">
        <v>1527</v>
      </c>
      <c r="B100" s="1" t="s">
        <v>1455</v>
      </c>
      <c r="C100" s="1" t="s">
        <v>18</v>
      </c>
      <c r="D100">
        <v>-9.6407190000000007</v>
      </c>
      <c r="E100">
        <v>21.336704999999998</v>
      </c>
      <c r="F100" s="1" t="s">
        <v>1504</v>
      </c>
      <c r="G100" s="1" t="s">
        <v>1507</v>
      </c>
      <c r="H100" s="1" t="str">
        <f>_xlfn.XLOOKUP(Registre_Maintenance__2[[#This Row],[ID_Antenne]],Master!D:D,Master!B:B,"Pas de correspondance")</f>
        <v>Pas de correspondance</v>
      </c>
      <c r="I100" s="1" t="str">
        <f>_xlfn.XLOOKUP(Registre_Maintenance__2[[#This Row],[ID_Antenne]],Master!D:D,Master!C:C,"Pas de correspondance")</f>
        <v>Pas de correspondance</v>
      </c>
      <c r="J100" s="1" t="str">
        <f>_xlfn.XLOOKUP(Registre_Maintenance__2[[#This Row],[ID_Antenne]],Master!D:D,Master!F:F,"Pas de correspondance")</f>
        <v>Pas de correspondance</v>
      </c>
      <c r="K100" s="1" t="e">
        <f>_xlfn.XLOOKUP(Registre_Maintenance__2[[#This Row],[ID_Antenne]],Master!D:D,Master!#REF!,"Pas de correspondance")</f>
        <v>#REF!</v>
      </c>
    </row>
    <row r="101" spans="1:11" x14ac:dyDescent="0.25">
      <c r="A101" s="1" t="s">
        <v>1527</v>
      </c>
      <c r="B101" s="1" t="s">
        <v>1541</v>
      </c>
      <c r="C101" s="1" t="s">
        <v>60</v>
      </c>
      <c r="D101">
        <v>-6.7420359999999997</v>
      </c>
      <c r="E101">
        <v>28.905578999999999</v>
      </c>
      <c r="F101" s="1" t="s">
        <v>1506</v>
      </c>
      <c r="G101" s="1" t="s">
        <v>1505</v>
      </c>
      <c r="H101" s="1" t="str">
        <f>_xlfn.XLOOKUP(Registre_Maintenance__2[[#This Row],[ID_Antenne]],Master!D:D,Master!B:B,"Pas de correspondance")</f>
        <v>Pas de correspondance</v>
      </c>
      <c r="I101" s="1" t="str">
        <f>_xlfn.XLOOKUP(Registre_Maintenance__2[[#This Row],[ID_Antenne]],Master!D:D,Master!C:C,"Pas de correspondance")</f>
        <v>Pas de correspondance</v>
      </c>
      <c r="J101" s="1" t="str">
        <f>_xlfn.XLOOKUP(Registre_Maintenance__2[[#This Row],[ID_Antenne]],Master!D:D,Master!F:F,"Pas de correspondance")</f>
        <v>Pas de correspondance</v>
      </c>
      <c r="K101" s="1" t="e">
        <f>_xlfn.XLOOKUP(Registre_Maintenance__2[[#This Row],[ID_Antenne]],Master!D:D,Master!#REF!,"Pas de correspondance")</f>
        <v>#REF!</v>
      </c>
    </row>
    <row r="102" spans="1:11" x14ac:dyDescent="0.25">
      <c r="A102" s="1" t="s">
        <v>1542</v>
      </c>
      <c r="B102" s="1" t="s">
        <v>1022</v>
      </c>
      <c r="C102" s="1" t="s">
        <v>24</v>
      </c>
      <c r="D102">
        <v>0.16841400000000001</v>
      </c>
      <c r="E102">
        <v>30.029876999999999</v>
      </c>
      <c r="F102" s="1" t="s">
        <v>1501</v>
      </c>
      <c r="G102" s="1" t="s">
        <v>1505</v>
      </c>
      <c r="H102" s="1" t="str">
        <f>_xlfn.XLOOKUP(Registre_Maintenance__2[[#This Row],[ID_Antenne]],Master!D:D,Master!B:B,"Pas de correspondance")</f>
        <v>Pas de correspondance</v>
      </c>
      <c r="I102" s="1" t="str">
        <f>_xlfn.XLOOKUP(Registre_Maintenance__2[[#This Row],[ID_Antenne]],Master!D:D,Master!C:C,"Pas de correspondance")</f>
        <v>Pas de correspondance</v>
      </c>
      <c r="J102" s="1" t="str">
        <f>_xlfn.XLOOKUP(Registre_Maintenance__2[[#This Row],[ID_Antenne]],Master!D:D,Master!F:F,"Pas de correspondance")</f>
        <v>Pas de correspondance</v>
      </c>
      <c r="K102" s="1" t="e">
        <f>_xlfn.XLOOKUP(Registre_Maintenance__2[[#This Row],[ID_Antenne]],Master!D:D,Master!#REF!,"Pas de correspondance")</f>
        <v>#REF!</v>
      </c>
    </row>
    <row r="103" spans="1:11" x14ac:dyDescent="0.25">
      <c r="A103" s="1" t="s">
        <v>1542</v>
      </c>
      <c r="B103" s="1" t="s">
        <v>1543</v>
      </c>
      <c r="C103" s="1" t="s">
        <v>26</v>
      </c>
      <c r="D103">
        <v>-5.9281110000000004</v>
      </c>
      <c r="E103">
        <v>29.607863999999999</v>
      </c>
      <c r="F103" s="1" t="s">
        <v>1504</v>
      </c>
      <c r="G103" s="1" t="s">
        <v>1505</v>
      </c>
      <c r="H103" s="1" t="str">
        <f>_xlfn.XLOOKUP(Registre_Maintenance__2[[#This Row],[ID_Antenne]],Master!D:D,Master!B:B,"Pas de correspondance")</f>
        <v>Pas de correspondance</v>
      </c>
      <c r="I103" s="1" t="str">
        <f>_xlfn.XLOOKUP(Registre_Maintenance__2[[#This Row],[ID_Antenne]],Master!D:D,Master!C:C,"Pas de correspondance")</f>
        <v>Pas de correspondance</v>
      </c>
      <c r="J103" s="1" t="str">
        <f>_xlfn.XLOOKUP(Registre_Maintenance__2[[#This Row],[ID_Antenne]],Master!D:D,Master!F:F,"Pas de correspondance")</f>
        <v>Pas de correspondance</v>
      </c>
      <c r="K103" s="1" t="e">
        <f>_xlfn.XLOOKUP(Registre_Maintenance__2[[#This Row],[ID_Antenne]],Master!D:D,Master!#REF!,"Pas de correspondance")</f>
        <v>#REF!</v>
      </c>
    </row>
    <row r="104" spans="1:11" x14ac:dyDescent="0.25">
      <c r="A104" s="1" t="s">
        <v>1542</v>
      </c>
      <c r="B104" s="1" t="s">
        <v>839</v>
      </c>
      <c r="C104" s="1" t="s">
        <v>1674</v>
      </c>
      <c r="D104">
        <v>-4.9789079999999997</v>
      </c>
      <c r="E104">
        <v>28.506295000000001</v>
      </c>
      <c r="F104" s="1" t="s">
        <v>1504</v>
      </c>
      <c r="G104" s="1" t="s">
        <v>1505</v>
      </c>
      <c r="H104" s="1" t="str">
        <f>_xlfn.XLOOKUP(Registre_Maintenance__2[[#This Row],[ID_Antenne]],Master!D:D,Master!B:B,"Pas de correspondance")</f>
        <v>Pas de correspondance</v>
      </c>
      <c r="I104" s="1" t="str">
        <f>_xlfn.XLOOKUP(Registre_Maintenance__2[[#This Row],[ID_Antenne]],Master!D:D,Master!C:C,"Pas de correspondance")</f>
        <v>Pas de correspondance</v>
      </c>
      <c r="J104" s="1" t="str">
        <f>_xlfn.XLOOKUP(Registre_Maintenance__2[[#This Row],[ID_Antenne]],Master!D:D,Master!F:F,"Pas de correspondance")</f>
        <v>Pas de correspondance</v>
      </c>
      <c r="K104" s="1" t="e">
        <f>_xlfn.XLOOKUP(Registre_Maintenance__2[[#This Row],[ID_Antenne]],Master!D:D,Master!#REF!,"Pas de correspondance")</f>
        <v>#REF!</v>
      </c>
    </row>
    <row r="105" spans="1:11" x14ac:dyDescent="0.25">
      <c r="A105" s="1" t="s">
        <v>1542</v>
      </c>
      <c r="B105" s="1" t="s">
        <v>1127</v>
      </c>
      <c r="C105" s="1" t="s">
        <v>26</v>
      </c>
      <c r="D105">
        <v>-2.2876210000000001</v>
      </c>
      <c r="E105">
        <v>27.582545</v>
      </c>
      <c r="F105" s="1" t="s">
        <v>1504</v>
      </c>
      <c r="G105" s="1" t="s">
        <v>1505</v>
      </c>
      <c r="H105" s="1" t="str">
        <f>_xlfn.XLOOKUP(Registre_Maintenance__2[[#This Row],[ID_Antenne]],Master!D:D,Master!B:B,"Pas de correspondance")</f>
        <v>Pas de correspondance</v>
      </c>
      <c r="I105" s="1" t="str">
        <f>_xlfn.XLOOKUP(Registre_Maintenance__2[[#This Row],[ID_Antenne]],Master!D:D,Master!C:C,"Pas de correspondance")</f>
        <v>Pas de correspondance</v>
      </c>
      <c r="J105" s="1" t="str">
        <f>_xlfn.XLOOKUP(Registre_Maintenance__2[[#This Row],[ID_Antenne]],Master!D:D,Master!F:F,"Pas de correspondance")</f>
        <v>Pas de correspondance</v>
      </c>
      <c r="K105" s="1" t="e">
        <f>_xlfn.XLOOKUP(Registre_Maintenance__2[[#This Row],[ID_Antenne]],Master!D:D,Master!#REF!,"Pas de correspondance")</f>
        <v>#REF!</v>
      </c>
    </row>
    <row r="106" spans="1:11" x14ac:dyDescent="0.25">
      <c r="A106" s="1" t="s">
        <v>1542</v>
      </c>
      <c r="B106" s="1" t="s">
        <v>1370</v>
      </c>
      <c r="C106" s="1" t="s">
        <v>37</v>
      </c>
      <c r="D106">
        <v>-3.9148719999999999</v>
      </c>
      <c r="E106">
        <v>12.260933</v>
      </c>
      <c r="F106" s="1" t="s">
        <v>1504</v>
      </c>
      <c r="G106" s="1" t="s">
        <v>1502</v>
      </c>
      <c r="H106" s="1" t="str">
        <f>_xlfn.XLOOKUP(Registre_Maintenance__2[[#This Row],[ID_Antenne]],Master!D:D,Master!B:B,"Pas de correspondance")</f>
        <v>Pas de correspondance</v>
      </c>
      <c r="I106" s="1" t="str">
        <f>_xlfn.XLOOKUP(Registre_Maintenance__2[[#This Row],[ID_Antenne]],Master!D:D,Master!C:C,"Pas de correspondance")</f>
        <v>Pas de correspondance</v>
      </c>
      <c r="J106" s="1" t="str">
        <f>_xlfn.XLOOKUP(Registre_Maintenance__2[[#This Row],[ID_Antenne]],Master!D:D,Master!F:F,"Pas de correspondance")</f>
        <v>Pas de correspondance</v>
      </c>
      <c r="K106" s="1" t="e">
        <f>_xlfn.XLOOKUP(Registre_Maintenance__2[[#This Row],[ID_Antenne]],Master!D:D,Master!#REF!,"Pas de correspondance")</f>
        <v>#REF!</v>
      </c>
    </row>
    <row r="107" spans="1:11" x14ac:dyDescent="0.25">
      <c r="A107" s="1" t="s">
        <v>1542</v>
      </c>
      <c r="B107" s="1" t="s">
        <v>926</v>
      </c>
      <c r="C107" s="1" t="s">
        <v>37</v>
      </c>
      <c r="D107">
        <v>-9.002459</v>
      </c>
      <c r="E107">
        <v>25.182109000000001</v>
      </c>
      <c r="F107" s="1" t="s">
        <v>1501</v>
      </c>
      <c r="G107" s="1" t="s">
        <v>1505</v>
      </c>
      <c r="H107" s="1" t="str">
        <f>_xlfn.XLOOKUP(Registre_Maintenance__2[[#This Row],[ID_Antenne]],Master!D:D,Master!B:B,"Pas de correspondance")</f>
        <v>Pas de correspondance</v>
      </c>
      <c r="I107" s="1" t="str">
        <f>_xlfn.XLOOKUP(Registre_Maintenance__2[[#This Row],[ID_Antenne]],Master!D:D,Master!C:C,"Pas de correspondance")</f>
        <v>Pas de correspondance</v>
      </c>
      <c r="J107" s="1" t="str">
        <f>_xlfn.XLOOKUP(Registre_Maintenance__2[[#This Row],[ID_Antenne]],Master!D:D,Master!F:F,"Pas de correspondance")</f>
        <v>Pas de correspondance</v>
      </c>
      <c r="K107" s="1" t="e">
        <f>_xlfn.XLOOKUP(Registre_Maintenance__2[[#This Row],[ID_Antenne]],Master!D:D,Master!#REF!,"Pas de correspondance")</f>
        <v>#REF!</v>
      </c>
    </row>
    <row r="108" spans="1:11" x14ac:dyDescent="0.25">
      <c r="A108" s="1" t="s">
        <v>1542</v>
      </c>
      <c r="B108" s="1" t="s">
        <v>1064</v>
      </c>
      <c r="C108" s="1" t="s">
        <v>89</v>
      </c>
      <c r="D108">
        <v>-7.7839049999999999</v>
      </c>
      <c r="E108">
        <v>14.114281999999999</v>
      </c>
      <c r="F108" s="1" t="s">
        <v>1506</v>
      </c>
      <c r="G108" s="1" t="s">
        <v>1507</v>
      </c>
      <c r="H108" s="1" t="str">
        <f>_xlfn.XLOOKUP(Registre_Maintenance__2[[#This Row],[ID_Antenne]],Master!D:D,Master!B:B,"Pas de correspondance")</f>
        <v>Pas de correspondance</v>
      </c>
      <c r="I108" s="1" t="str">
        <f>_xlfn.XLOOKUP(Registre_Maintenance__2[[#This Row],[ID_Antenne]],Master!D:D,Master!C:C,"Pas de correspondance")</f>
        <v>Pas de correspondance</v>
      </c>
      <c r="J108" s="1" t="str">
        <f>_xlfn.XLOOKUP(Registre_Maintenance__2[[#This Row],[ID_Antenne]],Master!D:D,Master!F:F,"Pas de correspondance")</f>
        <v>Pas de correspondance</v>
      </c>
      <c r="K108" s="1" t="e">
        <f>_xlfn.XLOOKUP(Registre_Maintenance__2[[#This Row],[ID_Antenne]],Master!D:D,Master!#REF!,"Pas de correspondance")</f>
        <v>#REF!</v>
      </c>
    </row>
    <row r="109" spans="1:11" x14ac:dyDescent="0.25">
      <c r="A109" s="1" t="s">
        <v>1542</v>
      </c>
      <c r="B109" s="1" t="s">
        <v>865</v>
      </c>
      <c r="C109" s="1" t="s">
        <v>51</v>
      </c>
      <c r="D109">
        <v>-5.9021970000000001</v>
      </c>
      <c r="E109">
        <v>20.551169999999999</v>
      </c>
      <c r="F109" s="1" t="s">
        <v>1506</v>
      </c>
      <c r="G109" s="1" t="s">
        <v>1505</v>
      </c>
      <c r="H109" s="1" t="str">
        <f>_xlfn.XLOOKUP(Registre_Maintenance__2[[#This Row],[ID_Antenne]],Master!D:D,Master!B:B,"Pas de correspondance")</f>
        <v>Pas de correspondance</v>
      </c>
      <c r="I109" s="1" t="str">
        <f>_xlfn.XLOOKUP(Registre_Maintenance__2[[#This Row],[ID_Antenne]],Master!D:D,Master!C:C,"Pas de correspondance")</f>
        <v>Pas de correspondance</v>
      </c>
      <c r="J109" s="1" t="str">
        <f>_xlfn.XLOOKUP(Registre_Maintenance__2[[#This Row],[ID_Antenne]],Master!D:D,Master!F:F,"Pas de correspondance")</f>
        <v>Pas de correspondance</v>
      </c>
      <c r="K109" s="1" t="e">
        <f>_xlfn.XLOOKUP(Registre_Maintenance__2[[#This Row],[ID_Antenne]],Master!D:D,Master!#REF!,"Pas de correspondance")</f>
        <v>#REF!</v>
      </c>
    </row>
    <row r="110" spans="1:11" x14ac:dyDescent="0.25">
      <c r="A110" s="1" t="s">
        <v>1542</v>
      </c>
      <c r="B110" s="1" t="s">
        <v>1544</v>
      </c>
      <c r="C110" s="1" t="s">
        <v>31</v>
      </c>
      <c r="D110">
        <v>-10.620597</v>
      </c>
      <c r="E110">
        <v>12.432214</v>
      </c>
      <c r="F110" s="1" t="s">
        <v>1504</v>
      </c>
      <c r="G110" s="1" t="s">
        <v>1505</v>
      </c>
      <c r="H110" s="1" t="str">
        <f>_xlfn.XLOOKUP(Registre_Maintenance__2[[#This Row],[ID_Antenne]],Master!D:D,Master!B:B,"Pas de correspondance")</f>
        <v>Pas de correspondance</v>
      </c>
      <c r="I110" s="1" t="str">
        <f>_xlfn.XLOOKUP(Registre_Maintenance__2[[#This Row],[ID_Antenne]],Master!D:D,Master!C:C,"Pas de correspondance")</f>
        <v>Pas de correspondance</v>
      </c>
      <c r="J110" s="1" t="str">
        <f>_xlfn.XLOOKUP(Registre_Maintenance__2[[#This Row],[ID_Antenne]],Master!D:D,Master!F:F,"Pas de correspondance")</f>
        <v>Pas de correspondance</v>
      </c>
      <c r="K110" s="1" t="e">
        <f>_xlfn.XLOOKUP(Registre_Maintenance__2[[#This Row],[ID_Antenne]],Master!D:D,Master!#REF!,"Pas de correspondance")</f>
        <v>#REF!</v>
      </c>
    </row>
    <row r="111" spans="1:11" x14ac:dyDescent="0.25">
      <c r="A111" s="1" t="s">
        <v>1542</v>
      </c>
      <c r="B111" s="1" t="s">
        <v>888</v>
      </c>
      <c r="C111" s="1" t="s">
        <v>16</v>
      </c>
      <c r="D111">
        <v>-11.514188000000001</v>
      </c>
      <c r="E111">
        <v>15.971181</v>
      </c>
      <c r="F111" s="1" t="s">
        <v>1501</v>
      </c>
      <c r="G111" s="1" t="s">
        <v>1502</v>
      </c>
      <c r="H111" s="1" t="str">
        <f>_xlfn.XLOOKUP(Registre_Maintenance__2[[#This Row],[ID_Antenne]],Master!D:D,Master!B:B,"Pas de correspondance")</f>
        <v>Pas de correspondance</v>
      </c>
      <c r="I111" s="1" t="str">
        <f>_xlfn.XLOOKUP(Registre_Maintenance__2[[#This Row],[ID_Antenne]],Master!D:D,Master!C:C,"Pas de correspondance")</f>
        <v>Pas de correspondance</v>
      </c>
      <c r="J111" s="1" t="str">
        <f>_xlfn.XLOOKUP(Registre_Maintenance__2[[#This Row],[ID_Antenne]],Master!D:D,Master!F:F,"Pas de correspondance")</f>
        <v>Pas de correspondance</v>
      </c>
      <c r="K111" s="1" t="e">
        <f>_xlfn.XLOOKUP(Registre_Maintenance__2[[#This Row],[ID_Antenne]],Master!D:D,Master!#REF!,"Pas de correspondance")</f>
        <v>#REF!</v>
      </c>
    </row>
    <row r="112" spans="1:11" x14ac:dyDescent="0.25">
      <c r="A112" s="1" t="s">
        <v>1542</v>
      </c>
      <c r="B112" s="1" t="s">
        <v>873</v>
      </c>
      <c r="C112" s="1" t="s">
        <v>35</v>
      </c>
      <c r="D112">
        <v>-2.7140689999999998</v>
      </c>
      <c r="E112">
        <v>22.222104000000002</v>
      </c>
      <c r="F112" s="1" t="s">
        <v>1504</v>
      </c>
      <c r="G112" s="1" t="s">
        <v>1514</v>
      </c>
      <c r="H112" s="1" t="str">
        <f>_xlfn.XLOOKUP(Registre_Maintenance__2[[#This Row],[ID_Antenne]],Master!D:D,Master!B:B,"Pas de correspondance")</f>
        <v>Pas de correspondance</v>
      </c>
      <c r="I112" s="1" t="str">
        <f>_xlfn.XLOOKUP(Registre_Maintenance__2[[#This Row],[ID_Antenne]],Master!D:D,Master!C:C,"Pas de correspondance")</f>
        <v>Pas de correspondance</v>
      </c>
      <c r="J112" s="1" t="str">
        <f>_xlfn.XLOOKUP(Registre_Maintenance__2[[#This Row],[ID_Antenne]],Master!D:D,Master!F:F,"Pas de correspondance")</f>
        <v>Pas de correspondance</v>
      </c>
      <c r="K112" s="1" t="e">
        <f>_xlfn.XLOOKUP(Registre_Maintenance__2[[#This Row],[ID_Antenne]],Master!D:D,Master!#REF!,"Pas de correspondance")</f>
        <v>#REF!</v>
      </c>
    </row>
    <row r="113" spans="1:11" x14ac:dyDescent="0.25">
      <c r="A113" s="1" t="s">
        <v>1542</v>
      </c>
      <c r="B113" s="1" t="s">
        <v>1077</v>
      </c>
      <c r="C113" s="1" t="s">
        <v>62</v>
      </c>
      <c r="D113">
        <v>-12.112399999999999</v>
      </c>
      <c r="E113">
        <v>15.872226</v>
      </c>
      <c r="F113" s="1" t="s">
        <v>1504</v>
      </c>
      <c r="G113" s="1" t="s">
        <v>1514</v>
      </c>
      <c r="H113" s="1" t="str">
        <f>_xlfn.XLOOKUP(Registre_Maintenance__2[[#This Row],[ID_Antenne]],Master!D:D,Master!B:B,"Pas de correspondance")</f>
        <v>Pas de correspondance</v>
      </c>
      <c r="I113" s="1" t="str">
        <f>_xlfn.XLOOKUP(Registre_Maintenance__2[[#This Row],[ID_Antenne]],Master!D:D,Master!C:C,"Pas de correspondance")</f>
        <v>Pas de correspondance</v>
      </c>
      <c r="J113" s="1" t="str">
        <f>_xlfn.XLOOKUP(Registre_Maintenance__2[[#This Row],[ID_Antenne]],Master!D:D,Master!F:F,"Pas de correspondance")</f>
        <v>Pas de correspondance</v>
      </c>
      <c r="K113" s="1" t="e">
        <f>_xlfn.XLOOKUP(Registre_Maintenance__2[[#This Row],[ID_Antenne]],Master!D:D,Master!#REF!,"Pas de correspondance")</f>
        <v>#REF!</v>
      </c>
    </row>
    <row r="114" spans="1:11" x14ac:dyDescent="0.25">
      <c r="A114" s="1" t="s">
        <v>1542</v>
      </c>
      <c r="B114" s="1" t="s">
        <v>1490</v>
      </c>
      <c r="C114" s="1" t="s">
        <v>18</v>
      </c>
      <c r="D114">
        <v>-5.8145569999999998</v>
      </c>
      <c r="E114">
        <v>21.942052</v>
      </c>
      <c r="F114" s="1" t="s">
        <v>1501</v>
      </c>
      <c r="G114" s="1" t="s">
        <v>1505</v>
      </c>
      <c r="H114" s="1" t="str">
        <f>_xlfn.XLOOKUP(Registre_Maintenance__2[[#This Row],[ID_Antenne]],Master!D:D,Master!B:B,"Pas de correspondance")</f>
        <v>Pas de correspondance</v>
      </c>
      <c r="I114" s="1" t="str">
        <f>_xlfn.XLOOKUP(Registre_Maintenance__2[[#This Row],[ID_Antenne]],Master!D:D,Master!C:C,"Pas de correspondance")</f>
        <v>Pas de correspondance</v>
      </c>
      <c r="J114" s="1" t="str">
        <f>_xlfn.XLOOKUP(Registre_Maintenance__2[[#This Row],[ID_Antenne]],Master!D:D,Master!F:F,"Pas de correspondance")</f>
        <v>Pas de correspondance</v>
      </c>
      <c r="K114" s="1" t="e">
        <f>_xlfn.XLOOKUP(Registre_Maintenance__2[[#This Row],[ID_Antenne]],Master!D:D,Master!#REF!,"Pas de correspondance")</f>
        <v>#REF!</v>
      </c>
    </row>
    <row r="115" spans="1:11" x14ac:dyDescent="0.25">
      <c r="A115" s="1" t="s">
        <v>1542</v>
      </c>
      <c r="B115" s="1" t="s">
        <v>1225</v>
      </c>
      <c r="C115" s="1" t="s">
        <v>24</v>
      </c>
      <c r="D115">
        <v>-11.468578000000001</v>
      </c>
      <c r="E115">
        <v>16.914501999999999</v>
      </c>
      <c r="F115" s="1" t="s">
        <v>1504</v>
      </c>
      <c r="G115" s="1" t="s">
        <v>1502</v>
      </c>
      <c r="H115" s="1" t="str">
        <f>_xlfn.XLOOKUP(Registre_Maintenance__2[[#This Row],[ID_Antenne]],Master!D:D,Master!B:B,"Pas de correspondance")</f>
        <v>Pas de correspondance</v>
      </c>
      <c r="I115" s="1" t="str">
        <f>_xlfn.XLOOKUP(Registre_Maintenance__2[[#This Row],[ID_Antenne]],Master!D:D,Master!C:C,"Pas de correspondance")</f>
        <v>Pas de correspondance</v>
      </c>
      <c r="J115" s="1" t="str">
        <f>_xlfn.XLOOKUP(Registre_Maintenance__2[[#This Row],[ID_Antenne]],Master!D:D,Master!F:F,"Pas de correspondance")</f>
        <v>Pas de correspondance</v>
      </c>
      <c r="K115" s="1" t="e">
        <f>_xlfn.XLOOKUP(Registre_Maintenance__2[[#This Row],[ID_Antenne]],Master!D:D,Master!#REF!,"Pas de correspondance")</f>
        <v>#REF!</v>
      </c>
    </row>
    <row r="116" spans="1:11" x14ac:dyDescent="0.25">
      <c r="A116" s="1" t="s">
        <v>1542</v>
      </c>
      <c r="B116" s="1" t="s">
        <v>1545</v>
      </c>
      <c r="C116" s="1" t="s">
        <v>89</v>
      </c>
      <c r="D116">
        <v>-3.967184</v>
      </c>
      <c r="E116">
        <v>21.177499999999998</v>
      </c>
      <c r="F116" s="1" t="s">
        <v>1506</v>
      </c>
      <c r="G116" s="1" t="s">
        <v>1505</v>
      </c>
      <c r="H116" s="1" t="str">
        <f>_xlfn.XLOOKUP(Registre_Maintenance__2[[#This Row],[ID_Antenne]],Master!D:D,Master!B:B,"Pas de correspondance")</f>
        <v>Pas de correspondance</v>
      </c>
      <c r="I116" s="1" t="str">
        <f>_xlfn.XLOOKUP(Registre_Maintenance__2[[#This Row],[ID_Antenne]],Master!D:D,Master!C:C,"Pas de correspondance")</f>
        <v>Pas de correspondance</v>
      </c>
      <c r="J116" s="1" t="str">
        <f>_xlfn.XLOOKUP(Registre_Maintenance__2[[#This Row],[ID_Antenne]],Master!D:D,Master!F:F,"Pas de correspondance")</f>
        <v>Pas de correspondance</v>
      </c>
      <c r="K116" s="1" t="e">
        <f>_xlfn.XLOOKUP(Registre_Maintenance__2[[#This Row],[ID_Antenne]],Master!D:D,Master!#REF!,"Pas de correspondance")</f>
        <v>#REF!</v>
      </c>
    </row>
    <row r="117" spans="1:11" x14ac:dyDescent="0.25">
      <c r="A117" s="1" t="s">
        <v>1542</v>
      </c>
      <c r="B117" s="1" t="s">
        <v>1546</v>
      </c>
      <c r="C117" s="1" t="s">
        <v>131</v>
      </c>
      <c r="D117">
        <v>0.92885200000000001</v>
      </c>
      <c r="E117">
        <v>25.868548000000001</v>
      </c>
      <c r="F117" s="1" t="s">
        <v>1501</v>
      </c>
      <c r="G117" s="1" t="s">
        <v>1514</v>
      </c>
      <c r="H117" s="1" t="str">
        <f>_xlfn.XLOOKUP(Registre_Maintenance__2[[#This Row],[ID_Antenne]],Master!D:D,Master!B:B,"Pas de correspondance")</f>
        <v>Pas de correspondance</v>
      </c>
      <c r="I117" s="1" t="str">
        <f>_xlfn.XLOOKUP(Registre_Maintenance__2[[#This Row],[ID_Antenne]],Master!D:D,Master!C:C,"Pas de correspondance")</f>
        <v>Pas de correspondance</v>
      </c>
      <c r="J117" s="1" t="str">
        <f>_xlfn.XLOOKUP(Registre_Maintenance__2[[#This Row],[ID_Antenne]],Master!D:D,Master!F:F,"Pas de correspondance")</f>
        <v>Pas de correspondance</v>
      </c>
      <c r="K117" s="1" t="e">
        <f>_xlfn.XLOOKUP(Registre_Maintenance__2[[#This Row],[ID_Antenne]],Master!D:D,Master!#REF!,"Pas de correspondance")</f>
        <v>#REF!</v>
      </c>
    </row>
    <row r="118" spans="1:11" x14ac:dyDescent="0.25">
      <c r="A118" s="1" t="s">
        <v>1542</v>
      </c>
      <c r="B118" s="1" t="s">
        <v>1271</v>
      </c>
      <c r="C118" s="1" t="s">
        <v>40</v>
      </c>
      <c r="D118">
        <v>-10.653247</v>
      </c>
      <c r="E118">
        <v>14.685601</v>
      </c>
      <c r="F118" s="1" t="s">
        <v>1504</v>
      </c>
      <c r="G118" s="1" t="s">
        <v>1502</v>
      </c>
      <c r="H118" s="1" t="str">
        <f>_xlfn.XLOOKUP(Registre_Maintenance__2[[#This Row],[ID_Antenne]],Master!D:D,Master!B:B,"Pas de correspondance")</f>
        <v>Pas de correspondance</v>
      </c>
      <c r="I118" s="1" t="str">
        <f>_xlfn.XLOOKUP(Registre_Maintenance__2[[#This Row],[ID_Antenne]],Master!D:D,Master!C:C,"Pas de correspondance")</f>
        <v>Pas de correspondance</v>
      </c>
      <c r="J118" s="1" t="str">
        <f>_xlfn.XLOOKUP(Registre_Maintenance__2[[#This Row],[ID_Antenne]],Master!D:D,Master!F:F,"Pas de correspondance")</f>
        <v>Pas de correspondance</v>
      </c>
      <c r="K118" s="1" t="e">
        <f>_xlfn.XLOOKUP(Registre_Maintenance__2[[#This Row],[ID_Antenne]],Master!D:D,Master!#REF!,"Pas de correspondance")</f>
        <v>#REF!</v>
      </c>
    </row>
    <row r="119" spans="1:11" x14ac:dyDescent="0.25">
      <c r="A119" s="1" t="s">
        <v>1542</v>
      </c>
      <c r="B119" s="1" t="s">
        <v>1547</v>
      </c>
      <c r="C119" s="1" t="s">
        <v>137</v>
      </c>
      <c r="D119">
        <v>-10.572326</v>
      </c>
      <c r="E119">
        <v>25.276349</v>
      </c>
      <c r="F119" s="1" t="s">
        <v>1506</v>
      </c>
      <c r="G119" s="1" t="s">
        <v>1507</v>
      </c>
      <c r="H119" s="1" t="str">
        <f>_xlfn.XLOOKUP(Registre_Maintenance__2[[#This Row],[ID_Antenne]],Master!D:D,Master!B:B,"Pas de correspondance")</f>
        <v>Pas de correspondance</v>
      </c>
      <c r="I119" s="1" t="str">
        <f>_xlfn.XLOOKUP(Registre_Maintenance__2[[#This Row],[ID_Antenne]],Master!D:D,Master!C:C,"Pas de correspondance")</f>
        <v>Pas de correspondance</v>
      </c>
      <c r="J119" s="1" t="str">
        <f>_xlfn.XLOOKUP(Registre_Maintenance__2[[#This Row],[ID_Antenne]],Master!D:D,Master!F:F,"Pas de correspondance")</f>
        <v>Pas de correspondance</v>
      </c>
      <c r="K119" s="1" t="e">
        <f>_xlfn.XLOOKUP(Registre_Maintenance__2[[#This Row],[ID_Antenne]],Master!D:D,Master!#REF!,"Pas de correspondance")</f>
        <v>#REF!</v>
      </c>
    </row>
    <row r="120" spans="1:11" x14ac:dyDescent="0.25">
      <c r="A120" s="1" t="s">
        <v>1542</v>
      </c>
      <c r="B120" s="1" t="s">
        <v>1548</v>
      </c>
      <c r="C120" s="1" t="s">
        <v>62</v>
      </c>
      <c r="D120">
        <v>-2.9326690000000002</v>
      </c>
      <c r="E120">
        <v>12.349382</v>
      </c>
      <c r="F120" s="1" t="s">
        <v>1501</v>
      </c>
      <c r="G120" s="1" t="s">
        <v>1507</v>
      </c>
      <c r="H120" s="1" t="str">
        <f>_xlfn.XLOOKUP(Registre_Maintenance__2[[#This Row],[ID_Antenne]],Master!D:D,Master!B:B,"Pas de correspondance")</f>
        <v>Pas de correspondance</v>
      </c>
      <c r="I120" s="1" t="str">
        <f>_xlfn.XLOOKUP(Registre_Maintenance__2[[#This Row],[ID_Antenne]],Master!D:D,Master!C:C,"Pas de correspondance")</f>
        <v>Pas de correspondance</v>
      </c>
      <c r="J120" s="1" t="str">
        <f>_xlfn.XLOOKUP(Registre_Maintenance__2[[#This Row],[ID_Antenne]],Master!D:D,Master!F:F,"Pas de correspondance")</f>
        <v>Pas de correspondance</v>
      </c>
      <c r="K120" s="1" t="e">
        <f>_xlfn.XLOOKUP(Registre_Maintenance__2[[#This Row],[ID_Antenne]],Master!D:D,Master!#REF!,"Pas de correspondance")</f>
        <v>#REF!</v>
      </c>
    </row>
    <row r="121" spans="1:11" x14ac:dyDescent="0.25">
      <c r="A121" s="1" t="s">
        <v>1542</v>
      </c>
      <c r="B121" s="1" t="s">
        <v>1397</v>
      </c>
      <c r="C121" s="1" t="s">
        <v>137</v>
      </c>
      <c r="D121">
        <v>-4.2184999999999997</v>
      </c>
      <c r="E121">
        <v>23.077093999999999</v>
      </c>
      <c r="F121" s="1" t="s">
        <v>1504</v>
      </c>
      <c r="G121" s="1" t="s">
        <v>1502</v>
      </c>
      <c r="H121" s="1" t="str">
        <f>_xlfn.XLOOKUP(Registre_Maintenance__2[[#This Row],[ID_Antenne]],Master!D:D,Master!B:B,"Pas de correspondance")</f>
        <v>Pas de correspondance</v>
      </c>
      <c r="I121" s="1" t="str">
        <f>_xlfn.XLOOKUP(Registre_Maintenance__2[[#This Row],[ID_Antenne]],Master!D:D,Master!C:C,"Pas de correspondance")</f>
        <v>Pas de correspondance</v>
      </c>
      <c r="J121" s="1" t="str">
        <f>_xlfn.XLOOKUP(Registre_Maintenance__2[[#This Row],[ID_Antenne]],Master!D:D,Master!F:F,"Pas de correspondance")</f>
        <v>Pas de correspondance</v>
      </c>
      <c r="K121" s="1" t="e">
        <f>_xlfn.XLOOKUP(Registre_Maintenance__2[[#This Row],[ID_Antenne]],Master!D:D,Master!#REF!,"Pas de correspondance")</f>
        <v>#REF!</v>
      </c>
    </row>
    <row r="122" spans="1:11" x14ac:dyDescent="0.25">
      <c r="A122" s="1" t="s">
        <v>1542</v>
      </c>
      <c r="B122" s="1" t="s">
        <v>1549</v>
      </c>
      <c r="C122" s="1" t="s">
        <v>78</v>
      </c>
      <c r="D122">
        <v>-1.259528</v>
      </c>
      <c r="E122">
        <v>24.607037999999999</v>
      </c>
      <c r="F122" s="1" t="s">
        <v>1504</v>
      </c>
      <c r="G122" s="1" t="s">
        <v>1507</v>
      </c>
      <c r="H122" s="1" t="str">
        <f>_xlfn.XLOOKUP(Registre_Maintenance__2[[#This Row],[ID_Antenne]],Master!D:D,Master!B:B,"Pas de correspondance")</f>
        <v>Pas de correspondance</v>
      </c>
      <c r="I122" s="1" t="str">
        <f>_xlfn.XLOOKUP(Registre_Maintenance__2[[#This Row],[ID_Antenne]],Master!D:D,Master!C:C,"Pas de correspondance")</f>
        <v>Pas de correspondance</v>
      </c>
      <c r="J122" s="1" t="str">
        <f>_xlfn.XLOOKUP(Registre_Maintenance__2[[#This Row],[ID_Antenne]],Master!D:D,Master!F:F,"Pas de correspondance")</f>
        <v>Pas de correspondance</v>
      </c>
      <c r="K122" s="1" t="e">
        <f>_xlfn.XLOOKUP(Registre_Maintenance__2[[#This Row],[ID_Antenne]],Master!D:D,Master!#REF!,"Pas de correspondance")</f>
        <v>#REF!</v>
      </c>
    </row>
    <row r="123" spans="1:11" x14ac:dyDescent="0.25">
      <c r="A123" s="1" t="s">
        <v>1542</v>
      </c>
      <c r="B123" s="1" t="s">
        <v>917</v>
      </c>
      <c r="C123" s="1" t="s">
        <v>21</v>
      </c>
      <c r="D123">
        <v>-9.4702129999999993</v>
      </c>
      <c r="E123">
        <v>12.826158</v>
      </c>
      <c r="F123" s="1" t="s">
        <v>1506</v>
      </c>
      <c r="G123" s="1" t="s">
        <v>1502</v>
      </c>
      <c r="H123" s="1" t="str">
        <f>_xlfn.XLOOKUP(Registre_Maintenance__2[[#This Row],[ID_Antenne]],Master!D:D,Master!B:B,"Pas de correspondance")</f>
        <v>Pas de correspondance</v>
      </c>
      <c r="I123" s="1" t="str">
        <f>_xlfn.XLOOKUP(Registre_Maintenance__2[[#This Row],[ID_Antenne]],Master!D:D,Master!C:C,"Pas de correspondance")</f>
        <v>Pas de correspondance</v>
      </c>
      <c r="J123" s="1" t="str">
        <f>_xlfn.XLOOKUP(Registre_Maintenance__2[[#This Row],[ID_Antenne]],Master!D:D,Master!F:F,"Pas de correspondance")</f>
        <v>Pas de correspondance</v>
      </c>
      <c r="K123" s="1" t="e">
        <f>_xlfn.XLOOKUP(Registre_Maintenance__2[[#This Row],[ID_Antenne]],Master!D:D,Master!#REF!,"Pas de correspondance")</f>
        <v>#REF!</v>
      </c>
    </row>
    <row r="124" spans="1:11" x14ac:dyDescent="0.25">
      <c r="A124" s="1" t="s">
        <v>1542</v>
      </c>
      <c r="B124" s="1" t="s">
        <v>1103</v>
      </c>
      <c r="C124" s="1" t="s">
        <v>10</v>
      </c>
      <c r="D124">
        <v>-1.9120569999999999</v>
      </c>
      <c r="E124">
        <v>15.236072999999999</v>
      </c>
      <c r="F124" s="1" t="s">
        <v>1501</v>
      </c>
      <c r="G124" s="1" t="s">
        <v>1505</v>
      </c>
      <c r="H124" s="1" t="str">
        <f>_xlfn.XLOOKUP(Registre_Maintenance__2[[#This Row],[ID_Antenne]],Master!D:D,Master!B:B,"Pas de correspondance")</f>
        <v>Pas de correspondance</v>
      </c>
      <c r="I124" s="1" t="str">
        <f>_xlfn.XLOOKUP(Registre_Maintenance__2[[#This Row],[ID_Antenne]],Master!D:D,Master!C:C,"Pas de correspondance")</f>
        <v>Pas de correspondance</v>
      </c>
      <c r="J124" s="1" t="str">
        <f>_xlfn.XLOOKUP(Registre_Maintenance__2[[#This Row],[ID_Antenne]],Master!D:D,Master!F:F,"Pas de correspondance")</f>
        <v>Pas de correspondance</v>
      </c>
      <c r="K124" s="1" t="e">
        <f>_xlfn.XLOOKUP(Registre_Maintenance__2[[#This Row],[ID_Antenne]],Master!D:D,Master!#REF!,"Pas de correspondance")</f>
        <v>#REF!</v>
      </c>
    </row>
    <row r="125" spans="1:11" x14ac:dyDescent="0.25">
      <c r="A125" s="1" t="s">
        <v>1542</v>
      </c>
      <c r="B125" s="1" t="s">
        <v>932</v>
      </c>
      <c r="C125" s="1" t="s">
        <v>10</v>
      </c>
      <c r="D125">
        <v>0.24202000000000001</v>
      </c>
      <c r="E125">
        <v>17.396256999999999</v>
      </c>
      <c r="F125" s="1" t="s">
        <v>1504</v>
      </c>
      <c r="G125" s="1" t="s">
        <v>1505</v>
      </c>
      <c r="H125" s="1" t="str">
        <f>_xlfn.XLOOKUP(Registre_Maintenance__2[[#This Row],[ID_Antenne]],Master!D:D,Master!B:B,"Pas de correspondance")</f>
        <v>Pas de correspondance</v>
      </c>
      <c r="I125" s="1" t="str">
        <f>_xlfn.XLOOKUP(Registre_Maintenance__2[[#This Row],[ID_Antenne]],Master!D:D,Master!C:C,"Pas de correspondance")</f>
        <v>Pas de correspondance</v>
      </c>
      <c r="J125" s="1" t="str">
        <f>_xlfn.XLOOKUP(Registre_Maintenance__2[[#This Row],[ID_Antenne]],Master!D:D,Master!F:F,"Pas de correspondance")</f>
        <v>Pas de correspondance</v>
      </c>
      <c r="K125" s="1" t="e">
        <f>_xlfn.XLOOKUP(Registre_Maintenance__2[[#This Row],[ID_Antenne]],Master!D:D,Master!#REF!,"Pas de correspondance")</f>
        <v>#REF!</v>
      </c>
    </row>
    <row r="126" spans="1:11" x14ac:dyDescent="0.25">
      <c r="A126" s="1" t="s">
        <v>1542</v>
      </c>
      <c r="B126" s="1" t="s">
        <v>943</v>
      </c>
      <c r="C126" s="1" t="s">
        <v>51</v>
      </c>
      <c r="D126">
        <v>-8.5675749999999997</v>
      </c>
      <c r="E126">
        <v>26.994581</v>
      </c>
      <c r="F126" s="1" t="s">
        <v>1506</v>
      </c>
      <c r="G126" s="1" t="s">
        <v>1514</v>
      </c>
      <c r="H126" s="1" t="str">
        <f>_xlfn.XLOOKUP(Registre_Maintenance__2[[#This Row],[ID_Antenne]],Master!D:D,Master!B:B,"Pas de correspondance")</f>
        <v>Pas de correspondance</v>
      </c>
      <c r="I126" s="1" t="str">
        <f>_xlfn.XLOOKUP(Registre_Maintenance__2[[#This Row],[ID_Antenne]],Master!D:D,Master!C:C,"Pas de correspondance")</f>
        <v>Pas de correspondance</v>
      </c>
      <c r="J126" s="1" t="str">
        <f>_xlfn.XLOOKUP(Registre_Maintenance__2[[#This Row],[ID_Antenne]],Master!D:D,Master!F:F,"Pas de correspondance")</f>
        <v>Pas de correspondance</v>
      </c>
      <c r="K126" s="1" t="e">
        <f>_xlfn.XLOOKUP(Registre_Maintenance__2[[#This Row],[ID_Antenne]],Master!D:D,Master!#REF!,"Pas de correspondance")</f>
        <v>#REF!</v>
      </c>
    </row>
    <row r="127" spans="1:11" x14ac:dyDescent="0.25">
      <c r="A127" s="1" t="s">
        <v>1542</v>
      </c>
      <c r="B127" s="1" t="s">
        <v>858</v>
      </c>
      <c r="C127" s="1" t="s">
        <v>137</v>
      </c>
      <c r="D127">
        <v>-11.710407999999999</v>
      </c>
      <c r="E127">
        <v>23.741330999999999</v>
      </c>
      <c r="F127" s="1" t="s">
        <v>1506</v>
      </c>
      <c r="G127" s="1" t="s">
        <v>1505</v>
      </c>
      <c r="H127" s="1" t="str">
        <f>_xlfn.XLOOKUP(Registre_Maintenance__2[[#This Row],[ID_Antenne]],Master!D:D,Master!B:B,"Pas de correspondance")</f>
        <v>Pas de correspondance</v>
      </c>
      <c r="I127" s="1" t="str">
        <f>_xlfn.XLOOKUP(Registre_Maintenance__2[[#This Row],[ID_Antenne]],Master!D:D,Master!C:C,"Pas de correspondance")</f>
        <v>Pas de correspondance</v>
      </c>
      <c r="J127" s="1" t="str">
        <f>_xlfn.XLOOKUP(Registre_Maintenance__2[[#This Row],[ID_Antenne]],Master!D:D,Master!F:F,"Pas de correspondance")</f>
        <v>Pas de correspondance</v>
      </c>
      <c r="K127" s="1" t="e">
        <f>_xlfn.XLOOKUP(Registre_Maintenance__2[[#This Row],[ID_Antenne]],Master!D:D,Master!#REF!,"Pas de correspondance")</f>
        <v>#REF!</v>
      </c>
    </row>
    <row r="128" spans="1:11" x14ac:dyDescent="0.25">
      <c r="A128" s="1" t="s">
        <v>1542</v>
      </c>
      <c r="B128" s="1" t="s">
        <v>1550</v>
      </c>
      <c r="C128" s="1" t="s">
        <v>1676</v>
      </c>
      <c r="D128">
        <v>0.98189400000000004</v>
      </c>
      <c r="E128">
        <v>13.008620000000001</v>
      </c>
      <c r="F128" s="1" t="s">
        <v>1504</v>
      </c>
      <c r="G128" s="1" t="s">
        <v>1505</v>
      </c>
      <c r="H128" s="1" t="str">
        <f>_xlfn.XLOOKUP(Registre_Maintenance__2[[#This Row],[ID_Antenne]],Master!D:D,Master!B:B,"Pas de correspondance")</f>
        <v>Pas de correspondance</v>
      </c>
      <c r="I128" s="1" t="str">
        <f>_xlfn.XLOOKUP(Registre_Maintenance__2[[#This Row],[ID_Antenne]],Master!D:D,Master!C:C,"Pas de correspondance")</f>
        <v>Pas de correspondance</v>
      </c>
      <c r="J128" s="1" t="str">
        <f>_xlfn.XLOOKUP(Registre_Maintenance__2[[#This Row],[ID_Antenne]],Master!D:D,Master!F:F,"Pas de correspondance")</f>
        <v>Pas de correspondance</v>
      </c>
      <c r="K128" s="1" t="e">
        <f>_xlfn.XLOOKUP(Registre_Maintenance__2[[#This Row],[ID_Antenne]],Master!D:D,Master!#REF!,"Pas de correspondance")</f>
        <v>#REF!</v>
      </c>
    </row>
    <row r="129" spans="1:11" x14ac:dyDescent="0.25">
      <c r="A129" s="1" t="s">
        <v>1542</v>
      </c>
      <c r="B129" s="1" t="s">
        <v>1126</v>
      </c>
      <c r="C129" s="1" t="s">
        <v>18</v>
      </c>
      <c r="D129">
        <v>-7.1785899999999998</v>
      </c>
      <c r="E129">
        <v>24.4404</v>
      </c>
      <c r="F129" s="1" t="s">
        <v>1504</v>
      </c>
      <c r="G129" s="1" t="s">
        <v>1514</v>
      </c>
      <c r="H129" s="1" t="str">
        <f>_xlfn.XLOOKUP(Registre_Maintenance__2[[#This Row],[ID_Antenne]],Master!D:D,Master!B:B,"Pas de correspondance")</f>
        <v>Pas de correspondance</v>
      </c>
      <c r="I129" s="1" t="str">
        <f>_xlfn.XLOOKUP(Registre_Maintenance__2[[#This Row],[ID_Antenne]],Master!D:D,Master!C:C,"Pas de correspondance")</f>
        <v>Pas de correspondance</v>
      </c>
      <c r="J129" s="1" t="str">
        <f>_xlfn.XLOOKUP(Registre_Maintenance__2[[#This Row],[ID_Antenne]],Master!D:D,Master!F:F,"Pas de correspondance")</f>
        <v>Pas de correspondance</v>
      </c>
      <c r="K129" s="1" t="e">
        <f>_xlfn.XLOOKUP(Registre_Maintenance__2[[#This Row],[ID_Antenne]],Master!D:D,Master!#REF!,"Pas de correspondance")</f>
        <v>#REF!</v>
      </c>
    </row>
    <row r="130" spans="1:11" x14ac:dyDescent="0.25">
      <c r="A130" s="1" t="s">
        <v>1542</v>
      </c>
      <c r="B130" s="1" t="s">
        <v>1128</v>
      </c>
      <c r="C130" s="1" t="s">
        <v>16</v>
      </c>
      <c r="D130">
        <v>3.6344850000000002</v>
      </c>
      <c r="E130">
        <v>12.158348999999999</v>
      </c>
      <c r="F130" s="1" t="s">
        <v>1501</v>
      </c>
      <c r="G130" s="1" t="s">
        <v>1502</v>
      </c>
      <c r="H130" s="1" t="str">
        <f>_xlfn.XLOOKUP(Registre_Maintenance__2[[#This Row],[ID_Antenne]],Master!D:D,Master!B:B,"Pas de correspondance")</f>
        <v>Pas de correspondance</v>
      </c>
      <c r="I130" s="1" t="str">
        <f>_xlfn.XLOOKUP(Registre_Maintenance__2[[#This Row],[ID_Antenne]],Master!D:D,Master!C:C,"Pas de correspondance")</f>
        <v>Pas de correspondance</v>
      </c>
      <c r="J130" s="1" t="str">
        <f>_xlfn.XLOOKUP(Registre_Maintenance__2[[#This Row],[ID_Antenne]],Master!D:D,Master!F:F,"Pas de correspondance")</f>
        <v>Pas de correspondance</v>
      </c>
      <c r="K130" s="1" t="e">
        <f>_xlfn.XLOOKUP(Registre_Maintenance__2[[#This Row],[ID_Antenne]],Master!D:D,Master!#REF!,"Pas de correspondance")</f>
        <v>#REF!</v>
      </c>
    </row>
    <row r="131" spans="1:11" x14ac:dyDescent="0.25">
      <c r="A131" s="1" t="s">
        <v>1542</v>
      </c>
      <c r="B131" s="1" t="s">
        <v>1146</v>
      </c>
      <c r="C131" s="1" t="s">
        <v>31</v>
      </c>
      <c r="D131">
        <v>-11.387295999999999</v>
      </c>
      <c r="E131">
        <v>19.384257999999999</v>
      </c>
      <c r="F131" s="1" t="s">
        <v>1506</v>
      </c>
      <c r="G131" s="1" t="s">
        <v>1505</v>
      </c>
      <c r="H131" s="1" t="str">
        <f>_xlfn.XLOOKUP(Registre_Maintenance__2[[#This Row],[ID_Antenne]],Master!D:D,Master!B:B,"Pas de correspondance")</f>
        <v>Pas de correspondance</v>
      </c>
      <c r="I131" s="1" t="str">
        <f>_xlfn.XLOOKUP(Registre_Maintenance__2[[#This Row],[ID_Antenne]],Master!D:D,Master!C:C,"Pas de correspondance")</f>
        <v>Pas de correspondance</v>
      </c>
      <c r="J131" s="1" t="str">
        <f>_xlfn.XLOOKUP(Registre_Maintenance__2[[#This Row],[ID_Antenne]],Master!D:D,Master!F:F,"Pas de correspondance")</f>
        <v>Pas de correspondance</v>
      </c>
      <c r="K131" s="1" t="e">
        <f>_xlfn.XLOOKUP(Registre_Maintenance__2[[#This Row],[ID_Antenne]],Master!D:D,Master!#REF!,"Pas de correspondance")</f>
        <v>#REF!</v>
      </c>
    </row>
    <row r="132" spans="1:11" x14ac:dyDescent="0.25">
      <c r="A132" s="1" t="s">
        <v>1542</v>
      </c>
      <c r="B132" s="1" t="s">
        <v>1139</v>
      </c>
      <c r="C132" s="1" t="s">
        <v>64</v>
      </c>
      <c r="D132">
        <v>-0.90854400000000002</v>
      </c>
      <c r="E132">
        <v>17.154896999999998</v>
      </c>
      <c r="F132" s="1" t="s">
        <v>1506</v>
      </c>
      <c r="G132" s="1" t="s">
        <v>1505</v>
      </c>
      <c r="H132" s="1" t="str">
        <f>_xlfn.XLOOKUP(Registre_Maintenance__2[[#This Row],[ID_Antenne]],Master!D:D,Master!B:B,"Pas de correspondance")</f>
        <v>Pas de correspondance</v>
      </c>
      <c r="I132" s="1" t="str">
        <f>_xlfn.XLOOKUP(Registre_Maintenance__2[[#This Row],[ID_Antenne]],Master!D:D,Master!C:C,"Pas de correspondance")</f>
        <v>Pas de correspondance</v>
      </c>
      <c r="J132" s="1" t="str">
        <f>_xlfn.XLOOKUP(Registre_Maintenance__2[[#This Row],[ID_Antenne]],Master!D:D,Master!F:F,"Pas de correspondance")</f>
        <v>Pas de correspondance</v>
      </c>
      <c r="K132" s="1" t="e">
        <f>_xlfn.XLOOKUP(Registre_Maintenance__2[[#This Row],[ID_Antenne]],Master!D:D,Master!#REF!,"Pas de correspondance")</f>
        <v>#REF!</v>
      </c>
    </row>
    <row r="133" spans="1:11" x14ac:dyDescent="0.25">
      <c r="A133" s="1" t="s">
        <v>1542</v>
      </c>
      <c r="B133" s="1" t="s">
        <v>1115</v>
      </c>
      <c r="C133" s="1" t="s">
        <v>16</v>
      </c>
      <c r="D133">
        <v>-5.3762689999999997</v>
      </c>
      <c r="E133">
        <v>28.189575999999999</v>
      </c>
      <c r="F133" s="1" t="s">
        <v>1501</v>
      </c>
      <c r="G133" s="1" t="s">
        <v>1505</v>
      </c>
      <c r="H133" s="1" t="str">
        <f>_xlfn.XLOOKUP(Registre_Maintenance__2[[#This Row],[ID_Antenne]],Master!D:D,Master!B:B,"Pas de correspondance")</f>
        <v>Pas de correspondance</v>
      </c>
      <c r="I133" s="1" t="str">
        <f>_xlfn.XLOOKUP(Registre_Maintenance__2[[#This Row],[ID_Antenne]],Master!D:D,Master!C:C,"Pas de correspondance")</f>
        <v>Pas de correspondance</v>
      </c>
      <c r="J133" s="1" t="str">
        <f>_xlfn.XLOOKUP(Registre_Maintenance__2[[#This Row],[ID_Antenne]],Master!D:D,Master!F:F,"Pas de correspondance")</f>
        <v>Pas de correspondance</v>
      </c>
      <c r="K133" s="1" t="e">
        <f>_xlfn.XLOOKUP(Registre_Maintenance__2[[#This Row],[ID_Antenne]],Master!D:D,Master!#REF!,"Pas de correspondance")</f>
        <v>#REF!</v>
      </c>
    </row>
    <row r="134" spans="1:11" x14ac:dyDescent="0.25">
      <c r="A134" s="1" t="s">
        <v>1542</v>
      </c>
      <c r="B134" s="1" t="s">
        <v>1551</v>
      </c>
      <c r="C134" s="1" t="s">
        <v>137</v>
      </c>
      <c r="D134">
        <v>-6.7304589999999997</v>
      </c>
      <c r="E134">
        <v>24.541906999999998</v>
      </c>
      <c r="F134" s="1" t="s">
        <v>1504</v>
      </c>
      <c r="G134" s="1" t="s">
        <v>1514</v>
      </c>
      <c r="H134" s="1" t="str">
        <f>_xlfn.XLOOKUP(Registre_Maintenance__2[[#This Row],[ID_Antenne]],Master!D:D,Master!B:B,"Pas de correspondance")</f>
        <v>Pas de correspondance</v>
      </c>
      <c r="I134" s="1" t="str">
        <f>_xlfn.XLOOKUP(Registre_Maintenance__2[[#This Row],[ID_Antenne]],Master!D:D,Master!C:C,"Pas de correspondance")</f>
        <v>Pas de correspondance</v>
      </c>
      <c r="J134" s="1" t="str">
        <f>_xlfn.XLOOKUP(Registre_Maintenance__2[[#This Row],[ID_Antenne]],Master!D:D,Master!F:F,"Pas de correspondance")</f>
        <v>Pas de correspondance</v>
      </c>
      <c r="K134" s="1" t="e">
        <f>_xlfn.XLOOKUP(Registre_Maintenance__2[[#This Row],[ID_Antenne]],Master!D:D,Master!#REF!,"Pas de correspondance")</f>
        <v>#REF!</v>
      </c>
    </row>
    <row r="135" spans="1:11" x14ac:dyDescent="0.25">
      <c r="A135" s="1" t="s">
        <v>1542</v>
      </c>
      <c r="B135" s="1" t="s">
        <v>1489</v>
      </c>
      <c r="C135" s="1" t="s">
        <v>16</v>
      </c>
      <c r="D135">
        <v>-7.2267089999999996</v>
      </c>
      <c r="E135">
        <v>28.421362999999999</v>
      </c>
      <c r="F135" s="1" t="s">
        <v>1501</v>
      </c>
      <c r="G135" s="1" t="s">
        <v>1502</v>
      </c>
      <c r="H135" s="1" t="str">
        <f>_xlfn.XLOOKUP(Registre_Maintenance__2[[#This Row],[ID_Antenne]],Master!D:D,Master!B:B,"Pas de correspondance")</f>
        <v>Pas de correspondance</v>
      </c>
      <c r="I135" s="1" t="str">
        <f>_xlfn.XLOOKUP(Registre_Maintenance__2[[#This Row],[ID_Antenne]],Master!D:D,Master!C:C,"Pas de correspondance")</f>
        <v>Pas de correspondance</v>
      </c>
      <c r="J135" s="1" t="str">
        <f>_xlfn.XLOOKUP(Registre_Maintenance__2[[#This Row],[ID_Antenne]],Master!D:D,Master!F:F,"Pas de correspondance")</f>
        <v>Pas de correspondance</v>
      </c>
      <c r="K135" s="1" t="e">
        <f>_xlfn.XLOOKUP(Registre_Maintenance__2[[#This Row],[ID_Antenne]],Master!D:D,Master!#REF!,"Pas de correspondance")</f>
        <v>#REF!</v>
      </c>
    </row>
    <row r="136" spans="1:11" x14ac:dyDescent="0.25">
      <c r="A136" s="1" t="s">
        <v>1542</v>
      </c>
      <c r="B136" s="1" t="s">
        <v>957</v>
      </c>
      <c r="C136" s="1" t="s">
        <v>131</v>
      </c>
      <c r="D136">
        <v>-2.3102109999999998</v>
      </c>
      <c r="E136">
        <v>12.362488000000001</v>
      </c>
      <c r="F136" s="1" t="s">
        <v>1501</v>
      </c>
      <c r="G136" s="1" t="s">
        <v>1514</v>
      </c>
      <c r="H136" s="1" t="str">
        <f>_xlfn.XLOOKUP(Registre_Maintenance__2[[#This Row],[ID_Antenne]],Master!D:D,Master!B:B,"Pas de correspondance")</f>
        <v>Pas de correspondance</v>
      </c>
      <c r="I136" s="1" t="str">
        <f>_xlfn.XLOOKUP(Registre_Maintenance__2[[#This Row],[ID_Antenne]],Master!D:D,Master!C:C,"Pas de correspondance")</f>
        <v>Pas de correspondance</v>
      </c>
      <c r="J136" s="1" t="str">
        <f>_xlfn.XLOOKUP(Registre_Maintenance__2[[#This Row],[ID_Antenne]],Master!D:D,Master!F:F,"Pas de correspondance")</f>
        <v>Pas de correspondance</v>
      </c>
      <c r="K136" s="1" t="e">
        <f>_xlfn.XLOOKUP(Registre_Maintenance__2[[#This Row],[ID_Antenne]],Master!D:D,Master!#REF!,"Pas de correspondance")</f>
        <v>#REF!</v>
      </c>
    </row>
    <row r="137" spans="1:11" x14ac:dyDescent="0.25">
      <c r="A137" s="1" t="s">
        <v>1542</v>
      </c>
      <c r="B137" s="1" t="s">
        <v>1049</v>
      </c>
      <c r="C137" s="1" t="s">
        <v>62</v>
      </c>
      <c r="D137">
        <v>-12.564277000000001</v>
      </c>
      <c r="E137">
        <v>28.480798</v>
      </c>
      <c r="F137" s="1" t="s">
        <v>1501</v>
      </c>
      <c r="G137" s="1" t="s">
        <v>1507</v>
      </c>
      <c r="H137" s="1" t="str">
        <f>_xlfn.XLOOKUP(Registre_Maintenance__2[[#This Row],[ID_Antenne]],Master!D:D,Master!B:B,"Pas de correspondance")</f>
        <v>Pas de correspondance</v>
      </c>
      <c r="I137" s="1" t="str">
        <f>_xlfn.XLOOKUP(Registre_Maintenance__2[[#This Row],[ID_Antenne]],Master!D:D,Master!C:C,"Pas de correspondance")</f>
        <v>Pas de correspondance</v>
      </c>
      <c r="J137" s="1" t="str">
        <f>_xlfn.XLOOKUP(Registre_Maintenance__2[[#This Row],[ID_Antenne]],Master!D:D,Master!F:F,"Pas de correspondance")</f>
        <v>Pas de correspondance</v>
      </c>
      <c r="K137" s="1" t="e">
        <f>_xlfn.XLOOKUP(Registre_Maintenance__2[[#This Row],[ID_Antenne]],Master!D:D,Master!#REF!,"Pas de correspondance")</f>
        <v>#REF!</v>
      </c>
    </row>
    <row r="138" spans="1:11" x14ac:dyDescent="0.25">
      <c r="A138" s="1" t="s">
        <v>1542</v>
      </c>
      <c r="B138" s="1" t="s">
        <v>1443</v>
      </c>
      <c r="C138" s="1" t="s">
        <v>35</v>
      </c>
      <c r="D138">
        <v>-7.513261</v>
      </c>
      <c r="E138">
        <v>24.338812000000001</v>
      </c>
      <c r="F138" s="1" t="s">
        <v>1501</v>
      </c>
      <c r="G138" s="1" t="s">
        <v>1505</v>
      </c>
      <c r="H138" s="1" t="str">
        <f>_xlfn.XLOOKUP(Registre_Maintenance__2[[#This Row],[ID_Antenne]],Master!D:D,Master!B:B,"Pas de correspondance")</f>
        <v>Pas de correspondance</v>
      </c>
      <c r="I138" s="1" t="str">
        <f>_xlfn.XLOOKUP(Registre_Maintenance__2[[#This Row],[ID_Antenne]],Master!D:D,Master!C:C,"Pas de correspondance")</f>
        <v>Pas de correspondance</v>
      </c>
      <c r="J138" s="1" t="str">
        <f>_xlfn.XLOOKUP(Registre_Maintenance__2[[#This Row],[ID_Antenne]],Master!D:D,Master!F:F,"Pas de correspondance")</f>
        <v>Pas de correspondance</v>
      </c>
      <c r="K138" s="1" t="e">
        <f>_xlfn.XLOOKUP(Registre_Maintenance__2[[#This Row],[ID_Antenne]],Master!D:D,Master!#REF!,"Pas de correspondance")</f>
        <v>#REF!</v>
      </c>
    </row>
    <row r="139" spans="1:11" x14ac:dyDescent="0.25">
      <c r="A139" s="1" t="s">
        <v>1542</v>
      </c>
      <c r="B139" s="1" t="s">
        <v>1242</v>
      </c>
      <c r="C139" s="1" t="s">
        <v>73</v>
      </c>
      <c r="D139">
        <v>4.7777349999999998</v>
      </c>
      <c r="E139">
        <v>16.392204</v>
      </c>
      <c r="F139" s="1" t="s">
        <v>1501</v>
      </c>
      <c r="G139" s="1" t="s">
        <v>1507</v>
      </c>
      <c r="H139" s="1" t="str">
        <f>_xlfn.XLOOKUP(Registre_Maintenance__2[[#This Row],[ID_Antenne]],Master!D:D,Master!B:B,"Pas de correspondance")</f>
        <v>Pas de correspondance</v>
      </c>
      <c r="I139" s="1" t="str">
        <f>_xlfn.XLOOKUP(Registre_Maintenance__2[[#This Row],[ID_Antenne]],Master!D:D,Master!C:C,"Pas de correspondance")</f>
        <v>Pas de correspondance</v>
      </c>
      <c r="J139" s="1" t="str">
        <f>_xlfn.XLOOKUP(Registre_Maintenance__2[[#This Row],[ID_Antenne]],Master!D:D,Master!F:F,"Pas de correspondance")</f>
        <v>Pas de correspondance</v>
      </c>
      <c r="K139" s="1" t="e">
        <f>_xlfn.XLOOKUP(Registre_Maintenance__2[[#This Row],[ID_Antenne]],Master!D:D,Master!#REF!,"Pas de correspondance")</f>
        <v>#REF!</v>
      </c>
    </row>
    <row r="140" spans="1:11" x14ac:dyDescent="0.25">
      <c r="A140" s="1" t="s">
        <v>1542</v>
      </c>
      <c r="B140" s="1" t="s">
        <v>1552</v>
      </c>
      <c r="C140" s="1" t="s">
        <v>62</v>
      </c>
      <c r="D140">
        <v>-1.9080220000000001</v>
      </c>
      <c r="E140">
        <v>19.233322999999999</v>
      </c>
      <c r="F140" s="1" t="s">
        <v>1506</v>
      </c>
      <c r="G140" s="1" t="s">
        <v>1502</v>
      </c>
      <c r="H140" s="1" t="str">
        <f>_xlfn.XLOOKUP(Registre_Maintenance__2[[#This Row],[ID_Antenne]],Master!D:D,Master!B:B,"Pas de correspondance")</f>
        <v>Pas de correspondance</v>
      </c>
      <c r="I140" s="1" t="str">
        <f>_xlfn.XLOOKUP(Registre_Maintenance__2[[#This Row],[ID_Antenne]],Master!D:D,Master!C:C,"Pas de correspondance")</f>
        <v>Pas de correspondance</v>
      </c>
      <c r="J140" s="1" t="str">
        <f>_xlfn.XLOOKUP(Registre_Maintenance__2[[#This Row],[ID_Antenne]],Master!D:D,Master!F:F,"Pas de correspondance")</f>
        <v>Pas de correspondance</v>
      </c>
      <c r="K140" s="1" t="e">
        <f>_xlfn.XLOOKUP(Registre_Maintenance__2[[#This Row],[ID_Antenne]],Master!D:D,Master!#REF!,"Pas de correspondance")</f>
        <v>#REF!</v>
      </c>
    </row>
    <row r="141" spans="1:11" x14ac:dyDescent="0.25">
      <c r="A141" s="1" t="s">
        <v>1542</v>
      </c>
      <c r="B141" s="1" t="s">
        <v>1293</v>
      </c>
      <c r="C141" s="1" t="s">
        <v>78</v>
      </c>
      <c r="D141">
        <v>4.8228650000000002</v>
      </c>
      <c r="E141">
        <v>30.555627000000001</v>
      </c>
      <c r="F141" s="1" t="s">
        <v>1504</v>
      </c>
      <c r="G141" s="1" t="s">
        <v>1505</v>
      </c>
      <c r="H141" s="1" t="str">
        <f>_xlfn.XLOOKUP(Registre_Maintenance__2[[#This Row],[ID_Antenne]],Master!D:D,Master!B:B,"Pas de correspondance")</f>
        <v>Pas de correspondance</v>
      </c>
      <c r="I141" s="1" t="str">
        <f>_xlfn.XLOOKUP(Registre_Maintenance__2[[#This Row],[ID_Antenne]],Master!D:D,Master!C:C,"Pas de correspondance")</f>
        <v>Pas de correspondance</v>
      </c>
      <c r="J141" s="1" t="str">
        <f>_xlfn.XLOOKUP(Registre_Maintenance__2[[#This Row],[ID_Antenne]],Master!D:D,Master!F:F,"Pas de correspondance")</f>
        <v>Pas de correspondance</v>
      </c>
      <c r="K141" s="1" t="e">
        <f>_xlfn.XLOOKUP(Registre_Maintenance__2[[#This Row],[ID_Antenne]],Master!D:D,Master!#REF!,"Pas de correspondance")</f>
        <v>#REF!</v>
      </c>
    </row>
    <row r="142" spans="1:11" x14ac:dyDescent="0.25">
      <c r="A142" s="1" t="s">
        <v>1542</v>
      </c>
      <c r="B142" s="1" t="s">
        <v>931</v>
      </c>
      <c r="C142" s="1" t="s">
        <v>60</v>
      </c>
      <c r="D142">
        <v>-5.0402180000000003</v>
      </c>
      <c r="E142">
        <v>13.892471</v>
      </c>
      <c r="F142" s="1" t="s">
        <v>1506</v>
      </c>
      <c r="G142" s="1" t="s">
        <v>1507</v>
      </c>
      <c r="H142" s="1" t="str">
        <f>_xlfn.XLOOKUP(Registre_Maintenance__2[[#This Row],[ID_Antenne]],Master!D:D,Master!B:B,"Pas de correspondance")</f>
        <v>Pas de correspondance</v>
      </c>
      <c r="I142" s="1" t="str">
        <f>_xlfn.XLOOKUP(Registre_Maintenance__2[[#This Row],[ID_Antenne]],Master!D:D,Master!C:C,"Pas de correspondance")</f>
        <v>Pas de correspondance</v>
      </c>
      <c r="J142" s="1" t="str">
        <f>_xlfn.XLOOKUP(Registre_Maintenance__2[[#This Row],[ID_Antenne]],Master!D:D,Master!F:F,"Pas de correspondance")</f>
        <v>Pas de correspondance</v>
      </c>
      <c r="K142" s="1" t="e">
        <f>_xlfn.XLOOKUP(Registre_Maintenance__2[[#This Row],[ID_Antenne]],Master!D:D,Master!#REF!,"Pas de correspondance")</f>
        <v>#REF!</v>
      </c>
    </row>
    <row r="143" spans="1:11" x14ac:dyDescent="0.25">
      <c r="A143" s="1" t="s">
        <v>1542</v>
      </c>
      <c r="B143" s="1" t="s">
        <v>820</v>
      </c>
      <c r="C143" s="1" t="s">
        <v>89</v>
      </c>
      <c r="D143">
        <v>-10.375266999999999</v>
      </c>
      <c r="E143">
        <v>17.993663000000002</v>
      </c>
      <c r="F143" s="1" t="s">
        <v>1501</v>
      </c>
      <c r="G143" s="1" t="s">
        <v>1507</v>
      </c>
      <c r="H143" s="1" t="str">
        <f>_xlfn.XLOOKUP(Registre_Maintenance__2[[#This Row],[ID_Antenne]],Master!D:D,Master!B:B,"Pas de correspondance")</f>
        <v>Pas de correspondance</v>
      </c>
      <c r="I143" s="1" t="str">
        <f>_xlfn.XLOOKUP(Registre_Maintenance__2[[#This Row],[ID_Antenne]],Master!D:D,Master!C:C,"Pas de correspondance")</f>
        <v>Pas de correspondance</v>
      </c>
      <c r="J143" s="1" t="str">
        <f>_xlfn.XLOOKUP(Registre_Maintenance__2[[#This Row],[ID_Antenne]],Master!D:D,Master!F:F,"Pas de correspondance")</f>
        <v>Pas de correspondance</v>
      </c>
      <c r="K143" s="1" t="e">
        <f>_xlfn.XLOOKUP(Registre_Maintenance__2[[#This Row],[ID_Antenne]],Master!D:D,Master!#REF!,"Pas de correspondance")</f>
        <v>#REF!</v>
      </c>
    </row>
    <row r="144" spans="1:11" x14ac:dyDescent="0.25">
      <c r="A144" s="1" t="s">
        <v>1542</v>
      </c>
      <c r="B144" s="1" t="s">
        <v>1230</v>
      </c>
      <c r="C144" s="1" t="s">
        <v>44</v>
      </c>
      <c r="D144">
        <v>-12.192204</v>
      </c>
      <c r="E144">
        <v>28.468682000000001</v>
      </c>
      <c r="F144" s="1" t="s">
        <v>1506</v>
      </c>
      <c r="G144" s="1" t="s">
        <v>1507</v>
      </c>
      <c r="H144" s="1" t="str">
        <f>_xlfn.XLOOKUP(Registre_Maintenance__2[[#This Row],[ID_Antenne]],Master!D:D,Master!B:B,"Pas de correspondance")</f>
        <v>Pas de correspondance</v>
      </c>
      <c r="I144" s="1" t="str">
        <f>_xlfn.XLOOKUP(Registre_Maintenance__2[[#This Row],[ID_Antenne]],Master!D:D,Master!C:C,"Pas de correspondance")</f>
        <v>Pas de correspondance</v>
      </c>
      <c r="J144" s="1" t="str">
        <f>_xlfn.XLOOKUP(Registre_Maintenance__2[[#This Row],[ID_Antenne]],Master!D:D,Master!F:F,"Pas de correspondance")</f>
        <v>Pas de correspondance</v>
      </c>
      <c r="K144" s="1" t="e">
        <f>_xlfn.XLOOKUP(Registre_Maintenance__2[[#This Row],[ID_Antenne]],Master!D:D,Master!#REF!,"Pas de correspondance")</f>
        <v>#REF!</v>
      </c>
    </row>
    <row r="145" spans="1:11" x14ac:dyDescent="0.25">
      <c r="A145" s="1" t="s">
        <v>1542</v>
      </c>
      <c r="B145" s="1" t="s">
        <v>1171</v>
      </c>
      <c r="C145" s="1" t="s">
        <v>78</v>
      </c>
      <c r="D145">
        <v>1.727095</v>
      </c>
      <c r="E145">
        <v>22.099651999999999</v>
      </c>
      <c r="F145" s="1" t="s">
        <v>1504</v>
      </c>
      <c r="G145" s="1" t="s">
        <v>1505</v>
      </c>
      <c r="H145" s="1" t="str">
        <f>_xlfn.XLOOKUP(Registre_Maintenance__2[[#This Row],[ID_Antenne]],Master!D:D,Master!B:B,"Pas de correspondance")</f>
        <v>Pas de correspondance</v>
      </c>
      <c r="I145" s="1" t="str">
        <f>_xlfn.XLOOKUP(Registre_Maintenance__2[[#This Row],[ID_Antenne]],Master!D:D,Master!C:C,"Pas de correspondance")</f>
        <v>Pas de correspondance</v>
      </c>
      <c r="J145" s="1" t="str">
        <f>_xlfn.XLOOKUP(Registre_Maintenance__2[[#This Row],[ID_Antenne]],Master!D:D,Master!F:F,"Pas de correspondance")</f>
        <v>Pas de correspondance</v>
      </c>
      <c r="K145" s="1" t="e">
        <f>_xlfn.XLOOKUP(Registre_Maintenance__2[[#This Row],[ID_Antenne]],Master!D:D,Master!#REF!,"Pas de correspondance")</f>
        <v>#REF!</v>
      </c>
    </row>
    <row r="146" spans="1:11" x14ac:dyDescent="0.25">
      <c r="A146" s="1" t="s">
        <v>1542</v>
      </c>
      <c r="B146" s="1" t="s">
        <v>1553</v>
      </c>
      <c r="C146" s="1" t="s">
        <v>73</v>
      </c>
      <c r="D146">
        <v>-9.4056660000000001</v>
      </c>
      <c r="E146">
        <v>15.541930000000001</v>
      </c>
      <c r="F146" s="1" t="s">
        <v>1504</v>
      </c>
      <c r="G146" s="1" t="s">
        <v>1505</v>
      </c>
      <c r="H146" s="1" t="str">
        <f>_xlfn.XLOOKUP(Registre_Maintenance__2[[#This Row],[ID_Antenne]],Master!D:D,Master!B:B,"Pas de correspondance")</f>
        <v>Pas de correspondance</v>
      </c>
      <c r="I146" s="1" t="str">
        <f>_xlfn.XLOOKUP(Registre_Maintenance__2[[#This Row],[ID_Antenne]],Master!D:D,Master!C:C,"Pas de correspondance")</f>
        <v>Pas de correspondance</v>
      </c>
      <c r="J146" s="1" t="str">
        <f>_xlfn.XLOOKUP(Registre_Maintenance__2[[#This Row],[ID_Antenne]],Master!D:D,Master!F:F,"Pas de correspondance")</f>
        <v>Pas de correspondance</v>
      </c>
      <c r="K146" s="1" t="e">
        <f>_xlfn.XLOOKUP(Registre_Maintenance__2[[#This Row],[ID_Antenne]],Master!D:D,Master!#REF!,"Pas de correspondance")</f>
        <v>#REF!</v>
      </c>
    </row>
    <row r="147" spans="1:11" x14ac:dyDescent="0.25">
      <c r="A147" s="1" t="s">
        <v>1542</v>
      </c>
      <c r="B147" s="1" t="s">
        <v>1554</v>
      </c>
      <c r="C147" s="1" t="s">
        <v>37</v>
      </c>
      <c r="D147">
        <v>-6.2712260000000004</v>
      </c>
      <c r="E147">
        <v>21.512366</v>
      </c>
      <c r="F147" s="1" t="s">
        <v>1501</v>
      </c>
      <c r="G147" s="1" t="s">
        <v>1505</v>
      </c>
      <c r="H147" s="1" t="str">
        <f>_xlfn.XLOOKUP(Registre_Maintenance__2[[#This Row],[ID_Antenne]],Master!D:D,Master!B:B,"Pas de correspondance")</f>
        <v>Pas de correspondance</v>
      </c>
      <c r="I147" s="1" t="str">
        <f>_xlfn.XLOOKUP(Registre_Maintenance__2[[#This Row],[ID_Antenne]],Master!D:D,Master!C:C,"Pas de correspondance")</f>
        <v>Pas de correspondance</v>
      </c>
      <c r="J147" s="1" t="str">
        <f>_xlfn.XLOOKUP(Registre_Maintenance__2[[#This Row],[ID_Antenne]],Master!D:D,Master!F:F,"Pas de correspondance")</f>
        <v>Pas de correspondance</v>
      </c>
      <c r="K147" s="1" t="e">
        <f>_xlfn.XLOOKUP(Registre_Maintenance__2[[#This Row],[ID_Antenne]],Master!D:D,Master!#REF!,"Pas de correspondance")</f>
        <v>#REF!</v>
      </c>
    </row>
    <row r="148" spans="1:11" x14ac:dyDescent="0.25">
      <c r="A148" s="1" t="s">
        <v>1542</v>
      </c>
      <c r="B148" s="1" t="s">
        <v>1009</v>
      </c>
      <c r="C148" s="1" t="s">
        <v>1676</v>
      </c>
      <c r="D148">
        <v>0.639208</v>
      </c>
      <c r="E148">
        <v>20.701739</v>
      </c>
      <c r="F148" s="1" t="s">
        <v>1504</v>
      </c>
      <c r="G148" s="1" t="s">
        <v>1505</v>
      </c>
      <c r="H148" s="1" t="str">
        <f>_xlfn.XLOOKUP(Registre_Maintenance__2[[#This Row],[ID_Antenne]],Master!D:D,Master!B:B,"Pas de correspondance")</f>
        <v>Pas de correspondance</v>
      </c>
      <c r="I148" s="1" t="str">
        <f>_xlfn.XLOOKUP(Registre_Maintenance__2[[#This Row],[ID_Antenne]],Master!D:D,Master!C:C,"Pas de correspondance")</f>
        <v>Pas de correspondance</v>
      </c>
      <c r="J148" s="1" t="str">
        <f>_xlfn.XLOOKUP(Registre_Maintenance__2[[#This Row],[ID_Antenne]],Master!D:D,Master!F:F,"Pas de correspondance")</f>
        <v>Pas de correspondance</v>
      </c>
      <c r="K148" s="1" t="e">
        <f>_xlfn.XLOOKUP(Registre_Maintenance__2[[#This Row],[ID_Antenne]],Master!D:D,Master!#REF!,"Pas de correspondance")</f>
        <v>#REF!</v>
      </c>
    </row>
    <row r="149" spans="1:11" x14ac:dyDescent="0.25">
      <c r="A149" s="1" t="s">
        <v>1542</v>
      </c>
      <c r="B149" s="1" t="s">
        <v>1555</v>
      </c>
      <c r="C149" s="1" t="s">
        <v>44</v>
      </c>
      <c r="D149">
        <v>2.349755</v>
      </c>
      <c r="E149">
        <v>29.600649000000001</v>
      </c>
      <c r="F149" s="1" t="s">
        <v>1504</v>
      </c>
      <c r="G149" s="1" t="s">
        <v>1514</v>
      </c>
      <c r="H149" s="1" t="str">
        <f>_xlfn.XLOOKUP(Registre_Maintenance__2[[#This Row],[ID_Antenne]],Master!D:D,Master!B:B,"Pas de correspondance")</f>
        <v>Pas de correspondance</v>
      </c>
      <c r="I149" s="1" t="str">
        <f>_xlfn.XLOOKUP(Registre_Maintenance__2[[#This Row],[ID_Antenne]],Master!D:D,Master!C:C,"Pas de correspondance")</f>
        <v>Pas de correspondance</v>
      </c>
      <c r="J149" s="1" t="str">
        <f>_xlfn.XLOOKUP(Registre_Maintenance__2[[#This Row],[ID_Antenne]],Master!D:D,Master!F:F,"Pas de correspondance")</f>
        <v>Pas de correspondance</v>
      </c>
      <c r="K149" s="1" t="e">
        <f>_xlfn.XLOOKUP(Registre_Maintenance__2[[#This Row],[ID_Antenne]],Master!D:D,Master!#REF!,"Pas de correspondance")</f>
        <v>#REF!</v>
      </c>
    </row>
    <row r="150" spans="1:11" x14ac:dyDescent="0.25">
      <c r="A150" s="1" t="s">
        <v>1542</v>
      </c>
      <c r="B150" s="1" t="s">
        <v>1418</v>
      </c>
      <c r="C150" s="1" t="s">
        <v>62</v>
      </c>
      <c r="D150">
        <v>-10.977309</v>
      </c>
      <c r="E150">
        <v>12.408281000000001</v>
      </c>
      <c r="F150" s="1" t="s">
        <v>1501</v>
      </c>
      <c r="G150" s="1" t="s">
        <v>1507</v>
      </c>
      <c r="H150" s="1" t="str">
        <f>_xlfn.XLOOKUP(Registre_Maintenance__2[[#This Row],[ID_Antenne]],Master!D:D,Master!B:B,"Pas de correspondance")</f>
        <v>Pas de correspondance</v>
      </c>
      <c r="I150" s="1" t="str">
        <f>_xlfn.XLOOKUP(Registre_Maintenance__2[[#This Row],[ID_Antenne]],Master!D:D,Master!C:C,"Pas de correspondance")</f>
        <v>Pas de correspondance</v>
      </c>
      <c r="J150" s="1" t="str">
        <f>_xlfn.XLOOKUP(Registre_Maintenance__2[[#This Row],[ID_Antenne]],Master!D:D,Master!F:F,"Pas de correspondance")</f>
        <v>Pas de correspondance</v>
      </c>
      <c r="K150" s="1" t="e">
        <f>_xlfn.XLOOKUP(Registre_Maintenance__2[[#This Row],[ID_Antenne]],Master!D:D,Master!#REF!,"Pas de correspondance")</f>
        <v>#REF!</v>
      </c>
    </row>
    <row r="151" spans="1:11" x14ac:dyDescent="0.25">
      <c r="A151" s="1" t="s">
        <v>1542</v>
      </c>
      <c r="B151" s="1" t="s">
        <v>1556</v>
      </c>
      <c r="C151" s="1" t="s">
        <v>13</v>
      </c>
      <c r="D151">
        <v>-12.018316</v>
      </c>
      <c r="E151">
        <v>16.700451000000001</v>
      </c>
      <c r="F151" s="1" t="s">
        <v>1506</v>
      </c>
      <c r="G151" s="1" t="s">
        <v>1514</v>
      </c>
      <c r="H151" s="1" t="str">
        <f>_xlfn.XLOOKUP(Registre_Maintenance__2[[#This Row],[ID_Antenne]],Master!D:D,Master!B:B,"Pas de correspondance")</f>
        <v>Pas de correspondance</v>
      </c>
      <c r="I151" s="1" t="str">
        <f>_xlfn.XLOOKUP(Registre_Maintenance__2[[#This Row],[ID_Antenne]],Master!D:D,Master!C:C,"Pas de correspondance")</f>
        <v>Pas de correspondance</v>
      </c>
      <c r="J151" s="1" t="str">
        <f>_xlfn.XLOOKUP(Registre_Maintenance__2[[#This Row],[ID_Antenne]],Master!D:D,Master!F:F,"Pas de correspondance")</f>
        <v>Pas de correspondance</v>
      </c>
      <c r="K151" s="1" t="e">
        <f>_xlfn.XLOOKUP(Registre_Maintenance__2[[#This Row],[ID_Antenne]],Master!D:D,Master!#REF!,"Pas de correspondance")</f>
        <v>#REF!</v>
      </c>
    </row>
    <row r="152" spans="1:11" x14ac:dyDescent="0.25">
      <c r="A152" s="1" t="s">
        <v>1557</v>
      </c>
      <c r="B152" s="1" t="s">
        <v>1201</v>
      </c>
      <c r="C152" s="1" t="s">
        <v>1676</v>
      </c>
      <c r="D152">
        <v>-1.648326</v>
      </c>
      <c r="E152">
        <v>25.528901999999999</v>
      </c>
      <c r="F152" s="1" t="s">
        <v>1504</v>
      </c>
      <c r="G152" s="1" t="s">
        <v>1505</v>
      </c>
      <c r="H152" s="1" t="str">
        <f>_xlfn.XLOOKUP(Registre_Maintenance__2[[#This Row],[ID_Antenne]],Master!D:D,Master!B:B,"Pas de correspondance")</f>
        <v>Pas de correspondance</v>
      </c>
      <c r="I152" s="1" t="str">
        <f>_xlfn.XLOOKUP(Registre_Maintenance__2[[#This Row],[ID_Antenne]],Master!D:D,Master!C:C,"Pas de correspondance")</f>
        <v>Pas de correspondance</v>
      </c>
      <c r="J152" s="1" t="str">
        <f>_xlfn.XLOOKUP(Registre_Maintenance__2[[#This Row],[ID_Antenne]],Master!D:D,Master!F:F,"Pas de correspondance")</f>
        <v>Pas de correspondance</v>
      </c>
      <c r="K152" s="1" t="e">
        <f>_xlfn.XLOOKUP(Registre_Maintenance__2[[#This Row],[ID_Antenne]],Master!D:D,Master!#REF!,"Pas de correspondance")</f>
        <v>#REF!</v>
      </c>
    </row>
    <row r="153" spans="1:11" x14ac:dyDescent="0.25">
      <c r="A153" s="1" t="s">
        <v>1557</v>
      </c>
      <c r="B153" s="1" t="s">
        <v>994</v>
      </c>
      <c r="C153" s="1" t="s">
        <v>18</v>
      </c>
      <c r="D153">
        <v>-12.112682</v>
      </c>
      <c r="E153">
        <v>19.972052000000001</v>
      </c>
      <c r="F153" s="1" t="s">
        <v>1504</v>
      </c>
      <c r="G153" s="1" t="s">
        <v>1505</v>
      </c>
      <c r="H153" s="1" t="str">
        <f>_xlfn.XLOOKUP(Registre_Maintenance__2[[#This Row],[ID_Antenne]],Master!D:D,Master!B:B,"Pas de correspondance")</f>
        <v>Pas de correspondance</v>
      </c>
      <c r="I153" s="1" t="str">
        <f>_xlfn.XLOOKUP(Registre_Maintenance__2[[#This Row],[ID_Antenne]],Master!D:D,Master!C:C,"Pas de correspondance")</f>
        <v>Pas de correspondance</v>
      </c>
      <c r="J153" s="1" t="str">
        <f>_xlfn.XLOOKUP(Registre_Maintenance__2[[#This Row],[ID_Antenne]],Master!D:D,Master!F:F,"Pas de correspondance")</f>
        <v>Pas de correspondance</v>
      </c>
      <c r="K153" s="1" t="e">
        <f>_xlfn.XLOOKUP(Registre_Maintenance__2[[#This Row],[ID_Antenne]],Master!D:D,Master!#REF!,"Pas de correspondance")</f>
        <v>#REF!</v>
      </c>
    </row>
    <row r="154" spans="1:11" x14ac:dyDescent="0.25">
      <c r="A154" s="1" t="s">
        <v>1557</v>
      </c>
      <c r="B154" s="1" t="s">
        <v>1380</v>
      </c>
      <c r="C154" s="1" t="s">
        <v>13</v>
      </c>
      <c r="D154">
        <v>-7.7587710000000003</v>
      </c>
      <c r="E154">
        <v>17.880848</v>
      </c>
      <c r="F154" s="1" t="s">
        <v>1506</v>
      </c>
      <c r="G154" s="1" t="s">
        <v>1502</v>
      </c>
      <c r="H154" s="1" t="str">
        <f>_xlfn.XLOOKUP(Registre_Maintenance__2[[#This Row],[ID_Antenne]],Master!D:D,Master!B:B,"Pas de correspondance")</f>
        <v>Pas de correspondance</v>
      </c>
      <c r="I154" s="1" t="str">
        <f>_xlfn.XLOOKUP(Registre_Maintenance__2[[#This Row],[ID_Antenne]],Master!D:D,Master!C:C,"Pas de correspondance")</f>
        <v>Pas de correspondance</v>
      </c>
      <c r="J154" s="1" t="str">
        <f>_xlfn.XLOOKUP(Registre_Maintenance__2[[#This Row],[ID_Antenne]],Master!D:D,Master!F:F,"Pas de correspondance")</f>
        <v>Pas de correspondance</v>
      </c>
      <c r="K154" s="1" t="e">
        <f>_xlfn.XLOOKUP(Registre_Maintenance__2[[#This Row],[ID_Antenne]],Master!D:D,Master!#REF!,"Pas de correspondance")</f>
        <v>#REF!</v>
      </c>
    </row>
    <row r="155" spans="1:11" x14ac:dyDescent="0.25">
      <c r="A155" s="1" t="s">
        <v>1557</v>
      </c>
      <c r="B155" s="1" t="s">
        <v>1197</v>
      </c>
      <c r="C155" s="1" t="s">
        <v>1675</v>
      </c>
      <c r="D155">
        <v>-5.8352820000000003</v>
      </c>
      <c r="E155">
        <v>26.603978000000001</v>
      </c>
      <c r="F155" s="1" t="s">
        <v>1504</v>
      </c>
      <c r="G155" s="1" t="s">
        <v>1505</v>
      </c>
      <c r="H155" s="1" t="str">
        <f>_xlfn.XLOOKUP(Registre_Maintenance__2[[#This Row],[ID_Antenne]],Master!D:D,Master!B:B,"Pas de correspondance")</f>
        <v>Pas de correspondance</v>
      </c>
      <c r="I155" s="1" t="str">
        <f>_xlfn.XLOOKUP(Registre_Maintenance__2[[#This Row],[ID_Antenne]],Master!D:D,Master!C:C,"Pas de correspondance")</f>
        <v>Pas de correspondance</v>
      </c>
      <c r="J155" s="1" t="str">
        <f>_xlfn.XLOOKUP(Registre_Maintenance__2[[#This Row],[ID_Antenne]],Master!D:D,Master!F:F,"Pas de correspondance")</f>
        <v>Pas de correspondance</v>
      </c>
      <c r="K155" s="1" t="e">
        <f>_xlfn.XLOOKUP(Registre_Maintenance__2[[#This Row],[ID_Antenne]],Master!D:D,Master!#REF!,"Pas de correspondance")</f>
        <v>#REF!</v>
      </c>
    </row>
    <row r="156" spans="1:11" x14ac:dyDescent="0.25">
      <c r="A156" s="1" t="s">
        <v>1557</v>
      </c>
      <c r="B156" s="1" t="s">
        <v>1558</v>
      </c>
      <c r="C156" s="1" t="s">
        <v>137</v>
      </c>
      <c r="D156">
        <v>-7.5180249999999997</v>
      </c>
      <c r="E156">
        <v>20.478905999999998</v>
      </c>
      <c r="F156" s="1" t="s">
        <v>1501</v>
      </c>
      <c r="G156" s="1" t="s">
        <v>1514</v>
      </c>
      <c r="H156" s="1" t="str">
        <f>_xlfn.XLOOKUP(Registre_Maintenance__2[[#This Row],[ID_Antenne]],Master!D:D,Master!B:B,"Pas de correspondance")</f>
        <v>Pas de correspondance</v>
      </c>
      <c r="I156" s="1" t="str">
        <f>_xlfn.XLOOKUP(Registre_Maintenance__2[[#This Row],[ID_Antenne]],Master!D:D,Master!C:C,"Pas de correspondance")</f>
        <v>Pas de correspondance</v>
      </c>
      <c r="J156" s="1" t="str">
        <f>_xlfn.XLOOKUP(Registre_Maintenance__2[[#This Row],[ID_Antenne]],Master!D:D,Master!F:F,"Pas de correspondance")</f>
        <v>Pas de correspondance</v>
      </c>
      <c r="K156" s="1" t="e">
        <f>_xlfn.XLOOKUP(Registre_Maintenance__2[[#This Row],[ID_Antenne]],Master!D:D,Master!#REF!,"Pas de correspondance")</f>
        <v>#REF!</v>
      </c>
    </row>
    <row r="157" spans="1:11" x14ac:dyDescent="0.25">
      <c r="A157" s="1" t="s">
        <v>1557</v>
      </c>
      <c r="B157" s="1" t="s">
        <v>1218</v>
      </c>
      <c r="C157" s="1" t="s">
        <v>1675</v>
      </c>
      <c r="D157">
        <v>1.897178</v>
      </c>
      <c r="E157">
        <v>23.902604</v>
      </c>
      <c r="F157" s="1" t="s">
        <v>1506</v>
      </c>
      <c r="G157" s="1" t="s">
        <v>1514</v>
      </c>
      <c r="H157" s="1" t="str">
        <f>_xlfn.XLOOKUP(Registre_Maintenance__2[[#This Row],[ID_Antenne]],Master!D:D,Master!B:B,"Pas de correspondance")</f>
        <v>Pas de correspondance</v>
      </c>
      <c r="I157" s="1" t="str">
        <f>_xlfn.XLOOKUP(Registre_Maintenance__2[[#This Row],[ID_Antenne]],Master!D:D,Master!C:C,"Pas de correspondance")</f>
        <v>Pas de correspondance</v>
      </c>
      <c r="J157" s="1" t="str">
        <f>_xlfn.XLOOKUP(Registre_Maintenance__2[[#This Row],[ID_Antenne]],Master!D:D,Master!F:F,"Pas de correspondance")</f>
        <v>Pas de correspondance</v>
      </c>
      <c r="K157" s="1" t="e">
        <f>_xlfn.XLOOKUP(Registre_Maintenance__2[[#This Row],[ID_Antenne]],Master!D:D,Master!#REF!,"Pas de correspondance")</f>
        <v>#REF!</v>
      </c>
    </row>
    <row r="158" spans="1:11" x14ac:dyDescent="0.25">
      <c r="A158" s="1" t="s">
        <v>1557</v>
      </c>
      <c r="B158" s="1" t="s">
        <v>1239</v>
      </c>
      <c r="C158" s="1" t="s">
        <v>40</v>
      </c>
      <c r="D158">
        <v>-4.6957509999999996</v>
      </c>
      <c r="E158">
        <v>14.233525999999999</v>
      </c>
      <c r="F158" s="1" t="s">
        <v>1504</v>
      </c>
      <c r="G158" s="1" t="s">
        <v>1514</v>
      </c>
      <c r="H158" s="1" t="str">
        <f>_xlfn.XLOOKUP(Registre_Maintenance__2[[#This Row],[ID_Antenne]],Master!D:D,Master!B:B,"Pas de correspondance")</f>
        <v>Pas de correspondance</v>
      </c>
      <c r="I158" s="1" t="str">
        <f>_xlfn.XLOOKUP(Registre_Maintenance__2[[#This Row],[ID_Antenne]],Master!D:D,Master!C:C,"Pas de correspondance")</f>
        <v>Pas de correspondance</v>
      </c>
      <c r="J158" s="1" t="str">
        <f>_xlfn.XLOOKUP(Registre_Maintenance__2[[#This Row],[ID_Antenne]],Master!D:D,Master!F:F,"Pas de correspondance")</f>
        <v>Pas de correspondance</v>
      </c>
      <c r="K158" s="1" t="e">
        <f>_xlfn.XLOOKUP(Registre_Maintenance__2[[#This Row],[ID_Antenne]],Master!D:D,Master!#REF!,"Pas de correspondance")</f>
        <v>#REF!</v>
      </c>
    </row>
    <row r="159" spans="1:11" x14ac:dyDescent="0.25">
      <c r="A159" s="1" t="s">
        <v>1557</v>
      </c>
      <c r="B159" s="1" t="s">
        <v>1559</v>
      </c>
      <c r="C159" s="1" t="s">
        <v>1674</v>
      </c>
      <c r="D159">
        <v>-5.3956809999999997</v>
      </c>
      <c r="E159">
        <v>14.49985</v>
      </c>
      <c r="F159" s="1" t="s">
        <v>1504</v>
      </c>
      <c r="G159" s="1" t="s">
        <v>1507</v>
      </c>
      <c r="H159" s="1" t="str">
        <f>_xlfn.XLOOKUP(Registre_Maintenance__2[[#This Row],[ID_Antenne]],Master!D:D,Master!B:B,"Pas de correspondance")</f>
        <v>Pas de correspondance</v>
      </c>
      <c r="I159" s="1" t="str">
        <f>_xlfn.XLOOKUP(Registre_Maintenance__2[[#This Row],[ID_Antenne]],Master!D:D,Master!C:C,"Pas de correspondance")</f>
        <v>Pas de correspondance</v>
      </c>
      <c r="J159" s="1" t="str">
        <f>_xlfn.XLOOKUP(Registre_Maintenance__2[[#This Row],[ID_Antenne]],Master!D:D,Master!F:F,"Pas de correspondance")</f>
        <v>Pas de correspondance</v>
      </c>
      <c r="K159" s="1" t="e">
        <f>_xlfn.XLOOKUP(Registre_Maintenance__2[[#This Row],[ID_Antenne]],Master!D:D,Master!#REF!,"Pas de correspondance")</f>
        <v>#REF!</v>
      </c>
    </row>
    <row r="160" spans="1:11" x14ac:dyDescent="0.25">
      <c r="A160" s="1" t="s">
        <v>1557</v>
      </c>
      <c r="B160" s="1" t="s">
        <v>1560</v>
      </c>
      <c r="C160" s="1" t="s">
        <v>127</v>
      </c>
      <c r="D160">
        <v>-1.9635830000000001</v>
      </c>
      <c r="E160">
        <v>15.854182</v>
      </c>
      <c r="F160" s="1" t="s">
        <v>1506</v>
      </c>
      <c r="G160" s="1" t="s">
        <v>1514</v>
      </c>
      <c r="H160" s="1" t="str">
        <f>_xlfn.XLOOKUP(Registre_Maintenance__2[[#This Row],[ID_Antenne]],Master!D:D,Master!B:B,"Pas de correspondance")</f>
        <v>Pas de correspondance</v>
      </c>
      <c r="I160" s="1" t="str">
        <f>_xlfn.XLOOKUP(Registre_Maintenance__2[[#This Row],[ID_Antenne]],Master!D:D,Master!C:C,"Pas de correspondance")</f>
        <v>Pas de correspondance</v>
      </c>
      <c r="J160" s="1" t="str">
        <f>_xlfn.XLOOKUP(Registre_Maintenance__2[[#This Row],[ID_Antenne]],Master!D:D,Master!F:F,"Pas de correspondance")</f>
        <v>Pas de correspondance</v>
      </c>
      <c r="K160" s="1" t="e">
        <f>_xlfn.XLOOKUP(Registre_Maintenance__2[[#This Row],[ID_Antenne]],Master!D:D,Master!#REF!,"Pas de correspondance")</f>
        <v>#REF!</v>
      </c>
    </row>
    <row r="161" spans="1:11" x14ac:dyDescent="0.25">
      <c r="A161" s="1" t="s">
        <v>1557</v>
      </c>
      <c r="B161" s="1" t="s">
        <v>1561</v>
      </c>
      <c r="C161" s="1" t="s">
        <v>31</v>
      </c>
      <c r="D161">
        <v>-12.01816</v>
      </c>
      <c r="E161">
        <v>23.828645999999999</v>
      </c>
      <c r="F161" s="1" t="s">
        <v>1506</v>
      </c>
      <c r="G161" s="1" t="s">
        <v>1505</v>
      </c>
      <c r="H161" s="1" t="str">
        <f>_xlfn.XLOOKUP(Registre_Maintenance__2[[#This Row],[ID_Antenne]],Master!D:D,Master!B:B,"Pas de correspondance")</f>
        <v>Pas de correspondance</v>
      </c>
      <c r="I161" s="1" t="str">
        <f>_xlfn.XLOOKUP(Registre_Maintenance__2[[#This Row],[ID_Antenne]],Master!D:D,Master!C:C,"Pas de correspondance")</f>
        <v>Pas de correspondance</v>
      </c>
      <c r="J161" s="1" t="str">
        <f>_xlfn.XLOOKUP(Registre_Maintenance__2[[#This Row],[ID_Antenne]],Master!D:D,Master!F:F,"Pas de correspondance")</f>
        <v>Pas de correspondance</v>
      </c>
      <c r="K161" s="1" t="e">
        <f>_xlfn.XLOOKUP(Registre_Maintenance__2[[#This Row],[ID_Antenne]],Master!D:D,Master!#REF!,"Pas de correspondance")</f>
        <v>#REF!</v>
      </c>
    </row>
    <row r="162" spans="1:11" x14ac:dyDescent="0.25">
      <c r="A162" s="1" t="s">
        <v>1557</v>
      </c>
      <c r="B162" s="1" t="s">
        <v>975</v>
      </c>
      <c r="C162" s="1" t="s">
        <v>26</v>
      </c>
      <c r="D162">
        <v>-3.6945459999999999</v>
      </c>
      <c r="E162">
        <v>16.809108999999999</v>
      </c>
      <c r="F162" s="1" t="s">
        <v>1501</v>
      </c>
      <c r="G162" s="1" t="s">
        <v>1507</v>
      </c>
      <c r="H162" s="1" t="str">
        <f>_xlfn.XLOOKUP(Registre_Maintenance__2[[#This Row],[ID_Antenne]],Master!D:D,Master!B:B,"Pas de correspondance")</f>
        <v>Pas de correspondance</v>
      </c>
      <c r="I162" s="1" t="str">
        <f>_xlfn.XLOOKUP(Registre_Maintenance__2[[#This Row],[ID_Antenne]],Master!D:D,Master!C:C,"Pas de correspondance")</f>
        <v>Pas de correspondance</v>
      </c>
      <c r="J162" s="1" t="str">
        <f>_xlfn.XLOOKUP(Registre_Maintenance__2[[#This Row],[ID_Antenne]],Master!D:D,Master!F:F,"Pas de correspondance")</f>
        <v>Pas de correspondance</v>
      </c>
      <c r="K162" s="1" t="e">
        <f>_xlfn.XLOOKUP(Registre_Maintenance__2[[#This Row],[ID_Antenne]],Master!D:D,Master!#REF!,"Pas de correspondance")</f>
        <v>#REF!</v>
      </c>
    </row>
    <row r="163" spans="1:11" x14ac:dyDescent="0.25">
      <c r="A163" s="1" t="s">
        <v>1557</v>
      </c>
      <c r="B163" s="1" t="s">
        <v>948</v>
      </c>
      <c r="C163" s="1" t="s">
        <v>37</v>
      </c>
      <c r="D163">
        <v>-10.439686999999999</v>
      </c>
      <c r="E163">
        <v>20.714210000000001</v>
      </c>
      <c r="F163" s="1" t="s">
        <v>1504</v>
      </c>
      <c r="G163" s="1" t="s">
        <v>1507</v>
      </c>
      <c r="H163" s="1" t="str">
        <f>_xlfn.XLOOKUP(Registre_Maintenance__2[[#This Row],[ID_Antenne]],Master!D:D,Master!B:B,"Pas de correspondance")</f>
        <v>Pas de correspondance</v>
      </c>
      <c r="I163" s="1" t="str">
        <f>_xlfn.XLOOKUP(Registre_Maintenance__2[[#This Row],[ID_Antenne]],Master!D:D,Master!C:C,"Pas de correspondance")</f>
        <v>Pas de correspondance</v>
      </c>
      <c r="J163" s="1" t="str">
        <f>_xlfn.XLOOKUP(Registre_Maintenance__2[[#This Row],[ID_Antenne]],Master!D:D,Master!F:F,"Pas de correspondance")</f>
        <v>Pas de correspondance</v>
      </c>
      <c r="K163" s="1" t="e">
        <f>_xlfn.XLOOKUP(Registre_Maintenance__2[[#This Row],[ID_Antenne]],Master!D:D,Master!#REF!,"Pas de correspondance")</f>
        <v>#REF!</v>
      </c>
    </row>
    <row r="164" spans="1:11" x14ac:dyDescent="0.25">
      <c r="A164" s="1" t="s">
        <v>1557</v>
      </c>
      <c r="B164" s="1" t="s">
        <v>1274</v>
      </c>
      <c r="C164" s="1" t="s">
        <v>78</v>
      </c>
      <c r="D164">
        <v>1.938083</v>
      </c>
      <c r="E164">
        <v>28.25281</v>
      </c>
      <c r="F164" s="1" t="s">
        <v>1504</v>
      </c>
      <c r="G164" s="1" t="s">
        <v>1514</v>
      </c>
      <c r="H164" s="1" t="str">
        <f>_xlfn.XLOOKUP(Registre_Maintenance__2[[#This Row],[ID_Antenne]],Master!D:D,Master!B:B,"Pas de correspondance")</f>
        <v>Pas de correspondance</v>
      </c>
      <c r="I164" s="1" t="str">
        <f>_xlfn.XLOOKUP(Registre_Maintenance__2[[#This Row],[ID_Antenne]],Master!D:D,Master!C:C,"Pas de correspondance")</f>
        <v>Pas de correspondance</v>
      </c>
      <c r="J164" s="1" t="str">
        <f>_xlfn.XLOOKUP(Registre_Maintenance__2[[#This Row],[ID_Antenne]],Master!D:D,Master!F:F,"Pas de correspondance")</f>
        <v>Pas de correspondance</v>
      </c>
      <c r="K164" s="1" t="e">
        <f>_xlfn.XLOOKUP(Registre_Maintenance__2[[#This Row],[ID_Antenne]],Master!D:D,Master!#REF!,"Pas de correspondance")</f>
        <v>#REF!</v>
      </c>
    </row>
    <row r="165" spans="1:11" x14ac:dyDescent="0.25">
      <c r="A165" s="1" t="s">
        <v>1557</v>
      </c>
      <c r="B165" s="1" t="s">
        <v>1086</v>
      </c>
      <c r="C165" s="1" t="s">
        <v>127</v>
      </c>
      <c r="D165">
        <v>-4.869434</v>
      </c>
      <c r="E165">
        <v>22.326522000000001</v>
      </c>
      <c r="F165" s="1" t="s">
        <v>1501</v>
      </c>
      <c r="G165" s="1" t="s">
        <v>1502</v>
      </c>
      <c r="H165" s="1" t="str">
        <f>_xlfn.XLOOKUP(Registre_Maintenance__2[[#This Row],[ID_Antenne]],Master!D:D,Master!B:B,"Pas de correspondance")</f>
        <v>Pas de correspondance</v>
      </c>
      <c r="I165" s="1" t="str">
        <f>_xlfn.XLOOKUP(Registre_Maintenance__2[[#This Row],[ID_Antenne]],Master!D:D,Master!C:C,"Pas de correspondance")</f>
        <v>Pas de correspondance</v>
      </c>
      <c r="J165" s="1" t="str">
        <f>_xlfn.XLOOKUP(Registre_Maintenance__2[[#This Row],[ID_Antenne]],Master!D:D,Master!F:F,"Pas de correspondance")</f>
        <v>Pas de correspondance</v>
      </c>
      <c r="K165" s="1" t="e">
        <f>_xlfn.XLOOKUP(Registre_Maintenance__2[[#This Row],[ID_Antenne]],Master!D:D,Master!#REF!,"Pas de correspondance")</f>
        <v>#REF!</v>
      </c>
    </row>
    <row r="166" spans="1:11" x14ac:dyDescent="0.25">
      <c r="A166" s="1" t="s">
        <v>1557</v>
      </c>
      <c r="B166" s="1" t="s">
        <v>1562</v>
      </c>
      <c r="C166" s="1" t="s">
        <v>1676</v>
      </c>
      <c r="D166">
        <v>7.6420000000000004E-3</v>
      </c>
      <c r="E166">
        <v>12.109260000000001</v>
      </c>
      <c r="F166" s="1" t="s">
        <v>1504</v>
      </c>
      <c r="G166" s="1" t="s">
        <v>1502</v>
      </c>
      <c r="H166" s="1" t="str">
        <f>_xlfn.XLOOKUP(Registre_Maintenance__2[[#This Row],[ID_Antenne]],Master!D:D,Master!B:B,"Pas de correspondance")</f>
        <v>Pas de correspondance</v>
      </c>
      <c r="I166" s="1" t="str">
        <f>_xlfn.XLOOKUP(Registre_Maintenance__2[[#This Row],[ID_Antenne]],Master!D:D,Master!C:C,"Pas de correspondance")</f>
        <v>Pas de correspondance</v>
      </c>
      <c r="J166" s="1" t="str">
        <f>_xlfn.XLOOKUP(Registre_Maintenance__2[[#This Row],[ID_Antenne]],Master!D:D,Master!F:F,"Pas de correspondance")</f>
        <v>Pas de correspondance</v>
      </c>
      <c r="K166" s="1" t="e">
        <f>_xlfn.XLOOKUP(Registre_Maintenance__2[[#This Row],[ID_Antenne]],Master!D:D,Master!#REF!,"Pas de correspondance")</f>
        <v>#REF!</v>
      </c>
    </row>
    <row r="167" spans="1:11" x14ac:dyDescent="0.25">
      <c r="A167" s="1" t="s">
        <v>1557</v>
      </c>
      <c r="B167" s="1" t="s">
        <v>1563</v>
      </c>
      <c r="C167" s="1" t="s">
        <v>10</v>
      </c>
      <c r="D167">
        <v>-10.962911</v>
      </c>
      <c r="E167">
        <v>28.771355</v>
      </c>
      <c r="F167" s="1" t="s">
        <v>1501</v>
      </c>
      <c r="G167" s="1" t="s">
        <v>1505</v>
      </c>
      <c r="H167" s="1" t="str">
        <f>_xlfn.XLOOKUP(Registre_Maintenance__2[[#This Row],[ID_Antenne]],Master!D:D,Master!B:B,"Pas de correspondance")</f>
        <v>Pas de correspondance</v>
      </c>
      <c r="I167" s="1" t="str">
        <f>_xlfn.XLOOKUP(Registre_Maintenance__2[[#This Row],[ID_Antenne]],Master!D:D,Master!C:C,"Pas de correspondance")</f>
        <v>Pas de correspondance</v>
      </c>
      <c r="J167" s="1" t="str">
        <f>_xlfn.XLOOKUP(Registre_Maintenance__2[[#This Row],[ID_Antenne]],Master!D:D,Master!F:F,"Pas de correspondance")</f>
        <v>Pas de correspondance</v>
      </c>
      <c r="K167" s="1" t="e">
        <f>_xlfn.XLOOKUP(Registre_Maintenance__2[[#This Row],[ID_Antenne]],Master!D:D,Master!#REF!,"Pas de correspondance")</f>
        <v>#REF!</v>
      </c>
    </row>
    <row r="168" spans="1:11" x14ac:dyDescent="0.25">
      <c r="A168" s="1" t="s">
        <v>1557</v>
      </c>
      <c r="B168" s="1" t="s">
        <v>906</v>
      </c>
      <c r="C168" s="1" t="s">
        <v>131</v>
      </c>
      <c r="D168">
        <v>1.017161</v>
      </c>
      <c r="E168">
        <v>16.519689</v>
      </c>
      <c r="F168" s="1" t="s">
        <v>1506</v>
      </c>
      <c r="G168" s="1" t="s">
        <v>1514</v>
      </c>
      <c r="H168" s="1" t="str">
        <f>_xlfn.XLOOKUP(Registre_Maintenance__2[[#This Row],[ID_Antenne]],Master!D:D,Master!B:B,"Pas de correspondance")</f>
        <v>Pas de correspondance</v>
      </c>
      <c r="I168" s="1" t="str">
        <f>_xlfn.XLOOKUP(Registre_Maintenance__2[[#This Row],[ID_Antenne]],Master!D:D,Master!C:C,"Pas de correspondance")</f>
        <v>Pas de correspondance</v>
      </c>
      <c r="J168" s="1" t="str">
        <f>_xlfn.XLOOKUP(Registre_Maintenance__2[[#This Row],[ID_Antenne]],Master!D:D,Master!F:F,"Pas de correspondance")</f>
        <v>Pas de correspondance</v>
      </c>
      <c r="K168" s="1" t="e">
        <f>_xlfn.XLOOKUP(Registre_Maintenance__2[[#This Row],[ID_Antenne]],Master!D:D,Master!#REF!,"Pas de correspondance")</f>
        <v>#REF!</v>
      </c>
    </row>
    <row r="169" spans="1:11" x14ac:dyDescent="0.25">
      <c r="A169" s="1" t="s">
        <v>1557</v>
      </c>
      <c r="B169" s="1" t="s">
        <v>1564</v>
      </c>
      <c r="C169" s="1" t="s">
        <v>137</v>
      </c>
      <c r="D169">
        <v>3.8811640000000001</v>
      </c>
      <c r="E169">
        <v>23.188383999999999</v>
      </c>
      <c r="F169" s="1" t="s">
        <v>1501</v>
      </c>
      <c r="G169" s="1" t="s">
        <v>1505</v>
      </c>
      <c r="H169" s="1" t="str">
        <f>_xlfn.XLOOKUP(Registre_Maintenance__2[[#This Row],[ID_Antenne]],Master!D:D,Master!B:B,"Pas de correspondance")</f>
        <v>Pas de correspondance</v>
      </c>
      <c r="I169" s="1" t="str">
        <f>_xlfn.XLOOKUP(Registre_Maintenance__2[[#This Row],[ID_Antenne]],Master!D:D,Master!C:C,"Pas de correspondance")</f>
        <v>Pas de correspondance</v>
      </c>
      <c r="J169" s="1" t="str">
        <f>_xlfn.XLOOKUP(Registre_Maintenance__2[[#This Row],[ID_Antenne]],Master!D:D,Master!F:F,"Pas de correspondance")</f>
        <v>Pas de correspondance</v>
      </c>
      <c r="K169" s="1" t="e">
        <f>_xlfn.XLOOKUP(Registre_Maintenance__2[[#This Row],[ID_Antenne]],Master!D:D,Master!#REF!,"Pas de correspondance")</f>
        <v>#REF!</v>
      </c>
    </row>
    <row r="170" spans="1:11" x14ac:dyDescent="0.25">
      <c r="A170" s="1" t="s">
        <v>1557</v>
      </c>
      <c r="B170" s="1" t="s">
        <v>1373</v>
      </c>
      <c r="C170" s="1" t="s">
        <v>62</v>
      </c>
      <c r="D170">
        <v>-0.469945</v>
      </c>
      <c r="E170">
        <v>21.038527999999999</v>
      </c>
      <c r="F170" s="1" t="s">
        <v>1506</v>
      </c>
      <c r="G170" s="1" t="s">
        <v>1502</v>
      </c>
      <c r="H170" s="1" t="str">
        <f>_xlfn.XLOOKUP(Registre_Maintenance__2[[#This Row],[ID_Antenne]],Master!D:D,Master!B:B,"Pas de correspondance")</f>
        <v>Pas de correspondance</v>
      </c>
      <c r="I170" s="1" t="str">
        <f>_xlfn.XLOOKUP(Registre_Maintenance__2[[#This Row],[ID_Antenne]],Master!D:D,Master!C:C,"Pas de correspondance")</f>
        <v>Pas de correspondance</v>
      </c>
      <c r="J170" s="1" t="str">
        <f>_xlfn.XLOOKUP(Registre_Maintenance__2[[#This Row],[ID_Antenne]],Master!D:D,Master!F:F,"Pas de correspondance")</f>
        <v>Pas de correspondance</v>
      </c>
      <c r="K170" s="1" t="e">
        <f>_xlfn.XLOOKUP(Registre_Maintenance__2[[#This Row],[ID_Antenne]],Master!D:D,Master!#REF!,"Pas de correspondance")</f>
        <v>#REF!</v>
      </c>
    </row>
    <row r="171" spans="1:11" x14ac:dyDescent="0.25">
      <c r="A171" s="1" t="s">
        <v>1557</v>
      </c>
      <c r="B171" s="1" t="s">
        <v>831</v>
      </c>
      <c r="C171" s="1" t="s">
        <v>31</v>
      </c>
      <c r="D171">
        <v>-10.56448</v>
      </c>
      <c r="E171">
        <v>19.792876</v>
      </c>
      <c r="F171" s="1" t="s">
        <v>1501</v>
      </c>
      <c r="G171" s="1" t="s">
        <v>1502</v>
      </c>
      <c r="H171" s="1" t="str">
        <f>_xlfn.XLOOKUP(Registre_Maintenance__2[[#This Row],[ID_Antenne]],Master!D:D,Master!B:B,"Pas de correspondance")</f>
        <v>Pas de correspondance</v>
      </c>
      <c r="I171" s="1" t="str">
        <f>_xlfn.XLOOKUP(Registre_Maintenance__2[[#This Row],[ID_Antenne]],Master!D:D,Master!C:C,"Pas de correspondance")</f>
        <v>Pas de correspondance</v>
      </c>
      <c r="J171" s="1" t="str">
        <f>_xlfn.XLOOKUP(Registre_Maintenance__2[[#This Row],[ID_Antenne]],Master!D:D,Master!F:F,"Pas de correspondance")</f>
        <v>Pas de correspondance</v>
      </c>
      <c r="K171" s="1" t="e">
        <f>_xlfn.XLOOKUP(Registre_Maintenance__2[[#This Row],[ID_Antenne]],Master!D:D,Master!#REF!,"Pas de correspondance")</f>
        <v>#REF!</v>
      </c>
    </row>
    <row r="172" spans="1:11" x14ac:dyDescent="0.25">
      <c r="A172" s="1" t="s">
        <v>1557</v>
      </c>
      <c r="B172" s="1" t="s">
        <v>1413</v>
      </c>
      <c r="C172" s="1" t="s">
        <v>18</v>
      </c>
      <c r="D172">
        <v>-5.5559329999999996</v>
      </c>
      <c r="E172">
        <v>13.508692999999999</v>
      </c>
      <c r="F172" s="1" t="s">
        <v>1506</v>
      </c>
      <c r="G172" s="1" t="s">
        <v>1514</v>
      </c>
      <c r="H172" s="1" t="str">
        <f>_xlfn.XLOOKUP(Registre_Maintenance__2[[#This Row],[ID_Antenne]],Master!D:D,Master!B:B,"Pas de correspondance")</f>
        <v>Pas de correspondance</v>
      </c>
      <c r="I172" s="1" t="str">
        <f>_xlfn.XLOOKUP(Registre_Maintenance__2[[#This Row],[ID_Antenne]],Master!D:D,Master!C:C,"Pas de correspondance")</f>
        <v>Pas de correspondance</v>
      </c>
      <c r="J172" s="1" t="str">
        <f>_xlfn.XLOOKUP(Registre_Maintenance__2[[#This Row],[ID_Antenne]],Master!D:D,Master!F:F,"Pas de correspondance")</f>
        <v>Pas de correspondance</v>
      </c>
      <c r="K172" s="1" t="e">
        <f>_xlfn.XLOOKUP(Registre_Maintenance__2[[#This Row],[ID_Antenne]],Master!D:D,Master!#REF!,"Pas de correspondance")</f>
        <v>#REF!</v>
      </c>
    </row>
    <row r="173" spans="1:11" x14ac:dyDescent="0.25">
      <c r="A173" s="1" t="s">
        <v>1557</v>
      </c>
      <c r="B173" s="1" t="s">
        <v>1565</v>
      </c>
      <c r="C173" s="1" t="s">
        <v>131</v>
      </c>
      <c r="D173">
        <v>-4.884055</v>
      </c>
      <c r="E173">
        <v>23.40194</v>
      </c>
      <c r="F173" s="1" t="s">
        <v>1506</v>
      </c>
      <c r="G173" s="1" t="s">
        <v>1502</v>
      </c>
      <c r="H173" s="1" t="str">
        <f>_xlfn.XLOOKUP(Registre_Maintenance__2[[#This Row],[ID_Antenne]],Master!D:D,Master!B:B,"Pas de correspondance")</f>
        <v>Pas de correspondance</v>
      </c>
      <c r="I173" s="1" t="str">
        <f>_xlfn.XLOOKUP(Registre_Maintenance__2[[#This Row],[ID_Antenne]],Master!D:D,Master!C:C,"Pas de correspondance")</f>
        <v>Pas de correspondance</v>
      </c>
      <c r="J173" s="1" t="str">
        <f>_xlfn.XLOOKUP(Registre_Maintenance__2[[#This Row],[ID_Antenne]],Master!D:D,Master!F:F,"Pas de correspondance")</f>
        <v>Pas de correspondance</v>
      </c>
      <c r="K173" s="1" t="e">
        <f>_xlfn.XLOOKUP(Registre_Maintenance__2[[#This Row],[ID_Antenne]],Master!D:D,Master!#REF!,"Pas de correspondance")</f>
        <v>#REF!</v>
      </c>
    </row>
    <row r="174" spans="1:11" x14ac:dyDescent="0.25">
      <c r="A174" s="1" t="s">
        <v>1557</v>
      </c>
      <c r="B174" s="1" t="s">
        <v>1566</v>
      </c>
      <c r="C174" s="1" t="s">
        <v>18</v>
      </c>
      <c r="D174">
        <v>-9.7801860000000005</v>
      </c>
      <c r="E174">
        <v>16.649550000000001</v>
      </c>
      <c r="F174" s="1" t="s">
        <v>1501</v>
      </c>
      <c r="G174" s="1" t="s">
        <v>1502</v>
      </c>
      <c r="H174" s="1" t="str">
        <f>_xlfn.XLOOKUP(Registre_Maintenance__2[[#This Row],[ID_Antenne]],Master!D:D,Master!B:B,"Pas de correspondance")</f>
        <v>Pas de correspondance</v>
      </c>
      <c r="I174" s="1" t="str">
        <f>_xlfn.XLOOKUP(Registre_Maintenance__2[[#This Row],[ID_Antenne]],Master!D:D,Master!C:C,"Pas de correspondance")</f>
        <v>Pas de correspondance</v>
      </c>
      <c r="J174" s="1" t="str">
        <f>_xlfn.XLOOKUP(Registre_Maintenance__2[[#This Row],[ID_Antenne]],Master!D:D,Master!F:F,"Pas de correspondance")</f>
        <v>Pas de correspondance</v>
      </c>
      <c r="K174" s="1" t="e">
        <f>_xlfn.XLOOKUP(Registre_Maintenance__2[[#This Row],[ID_Antenne]],Master!D:D,Master!#REF!,"Pas de correspondance")</f>
        <v>#REF!</v>
      </c>
    </row>
    <row r="175" spans="1:11" x14ac:dyDescent="0.25">
      <c r="A175" s="1" t="s">
        <v>1557</v>
      </c>
      <c r="B175" s="1" t="s">
        <v>964</v>
      </c>
      <c r="C175" s="1" t="s">
        <v>78</v>
      </c>
      <c r="D175">
        <v>-2.3743210000000001</v>
      </c>
      <c r="E175">
        <v>22.399491000000001</v>
      </c>
      <c r="F175" s="1" t="s">
        <v>1501</v>
      </c>
      <c r="G175" s="1" t="s">
        <v>1502</v>
      </c>
      <c r="H175" s="1" t="str">
        <f>_xlfn.XLOOKUP(Registre_Maintenance__2[[#This Row],[ID_Antenne]],Master!D:D,Master!B:B,"Pas de correspondance")</f>
        <v>Pas de correspondance</v>
      </c>
      <c r="I175" s="1" t="str">
        <f>_xlfn.XLOOKUP(Registre_Maintenance__2[[#This Row],[ID_Antenne]],Master!D:D,Master!C:C,"Pas de correspondance")</f>
        <v>Pas de correspondance</v>
      </c>
      <c r="J175" s="1" t="str">
        <f>_xlfn.XLOOKUP(Registre_Maintenance__2[[#This Row],[ID_Antenne]],Master!D:D,Master!F:F,"Pas de correspondance")</f>
        <v>Pas de correspondance</v>
      </c>
      <c r="K175" s="1" t="e">
        <f>_xlfn.XLOOKUP(Registre_Maintenance__2[[#This Row],[ID_Antenne]],Master!D:D,Master!#REF!,"Pas de correspondance")</f>
        <v>#REF!</v>
      </c>
    </row>
    <row r="176" spans="1:11" x14ac:dyDescent="0.25">
      <c r="A176" s="1" t="s">
        <v>1557</v>
      </c>
      <c r="B176" s="1" t="s">
        <v>1343</v>
      </c>
      <c r="C176" s="1" t="s">
        <v>131</v>
      </c>
      <c r="D176">
        <v>-0.17258100000000001</v>
      </c>
      <c r="E176">
        <v>23.775555000000001</v>
      </c>
      <c r="F176" s="1" t="s">
        <v>1501</v>
      </c>
      <c r="G176" s="1" t="s">
        <v>1514</v>
      </c>
      <c r="H176" s="1" t="str">
        <f>_xlfn.XLOOKUP(Registre_Maintenance__2[[#This Row],[ID_Antenne]],Master!D:D,Master!B:B,"Pas de correspondance")</f>
        <v>Pas de correspondance</v>
      </c>
      <c r="I176" s="1" t="str">
        <f>_xlfn.XLOOKUP(Registre_Maintenance__2[[#This Row],[ID_Antenne]],Master!D:D,Master!C:C,"Pas de correspondance")</f>
        <v>Pas de correspondance</v>
      </c>
      <c r="J176" s="1" t="str">
        <f>_xlfn.XLOOKUP(Registre_Maintenance__2[[#This Row],[ID_Antenne]],Master!D:D,Master!F:F,"Pas de correspondance")</f>
        <v>Pas de correspondance</v>
      </c>
      <c r="K176" s="1" t="e">
        <f>_xlfn.XLOOKUP(Registre_Maintenance__2[[#This Row],[ID_Antenne]],Master!D:D,Master!#REF!,"Pas de correspondance")</f>
        <v>#REF!</v>
      </c>
    </row>
    <row r="177" spans="1:11" x14ac:dyDescent="0.25">
      <c r="A177" s="1" t="s">
        <v>1557</v>
      </c>
      <c r="B177" s="1" t="s">
        <v>894</v>
      </c>
      <c r="C177" s="1" t="s">
        <v>31</v>
      </c>
      <c r="D177">
        <v>-9.3652239999999995</v>
      </c>
      <c r="E177">
        <v>22.593423999999999</v>
      </c>
      <c r="F177" s="1" t="s">
        <v>1501</v>
      </c>
      <c r="G177" s="1" t="s">
        <v>1514</v>
      </c>
      <c r="H177" s="1" t="str">
        <f>_xlfn.XLOOKUP(Registre_Maintenance__2[[#This Row],[ID_Antenne]],Master!D:D,Master!B:B,"Pas de correspondance")</f>
        <v>Pas de correspondance</v>
      </c>
      <c r="I177" s="1" t="str">
        <f>_xlfn.XLOOKUP(Registre_Maintenance__2[[#This Row],[ID_Antenne]],Master!D:D,Master!C:C,"Pas de correspondance")</f>
        <v>Pas de correspondance</v>
      </c>
      <c r="J177" s="1" t="str">
        <f>_xlfn.XLOOKUP(Registre_Maintenance__2[[#This Row],[ID_Antenne]],Master!D:D,Master!F:F,"Pas de correspondance")</f>
        <v>Pas de correspondance</v>
      </c>
      <c r="K177" s="1" t="e">
        <f>_xlfn.XLOOKUP(Registre_Maintenance__2[[#This Row],[ID_Antenne]],Master!D:D,Master!#REF!,"Pas de correspondance")</f>
        <v>#REF!</v>
      </c>
    </row>
    <row r="178" spans="1:11" x14ac:dyDescent="0.25">
      <c r="A178" s="1" t="s">
        <v>1557</v>
      </c>
      <c r="B178" s="1" t="s">
        <v>1210</v>
      </c>
      <c r="C178" s="1" t="s">
        <v>18</v>
      </c>
      <c r="D178">
        <v>-4.8157019999999999</v>
      </c>
      <c r="E178">
        <v>27.679798000000002</v>
      </c>
      <c r="F178" s="1" t="s">
        <v>1506</v>
      </c>
      <c r="G178" s="1" t="s">
        <v>1502</v>
      </c>
      <c r="H178" s="1" t="str">
        <f>_xlfn.XLOOKUP(Registre_Maintenance__2[[#This Row],[ID_Antenne]],Master!D:D,Master!B:B,"Pas de correspondance")</f>
        <v>Pas de correspondance</v>
      </c>
      <c r="I178" s="1" t="str">
        <f>_xlfn.XLOOKUP(Registre_Maintenance__2[[#This Row],[ID_Antenne]],Master!D:D,Master!C:C,"Pas de correspondance")</f>
        <v>Pas de correspondance</v>
      </c>
      <c r="J178" s="1" t="str">
        <f>_xlfn.XLOOKUP(Registre_Maintenance__2[[#This Row],[ID_Antenne]],Master!D:D,Master!F:F,"Pas de correspondance")</f>
        <v>Pas de correspondance</v>
      </c>
      <c r="K178" s="1" t="e">
        <f>_xlfn.XLOOKUP(Registre_Maintenance__2[[#This Row],[ID_Antenne]],Master!D:D,Master!#REF!,"Pas de correspondance")</f>
        <v>#REF!</v>
      </c>
    </row>
    <row r="179" spans="1:11" x14ac:dyDescent="0.25">
      <c r="A179" s="1" t="s">
        <v>1557</v>
      </c>
      <c r="B179" s="1" t="s">
        <v>1277</v>
      </c>
      <c r="C179" s="1" t="s">
        <v>89</v>
      </c>
      <c r="D179">
        <v>-8.4985189999999999</v>
      </c>
      <c r="E179">
        <v>12.929456999999999</v>
      </c>
      <c r="F179" s="1" t="s">
        <v>1504</v>
      </c>
      <c r="G179" s="1" t="s">
        <v>1502</v>
      </c>
      <c r="H179" s="1" t="str">
        <f>_xlfn.XLOOKUP(Registre_Maintenance__2[[#This Row],[ID_Antenne]],Master!D:D,Master!B:B,"Pas de correspondance")</f>
        <v>Pas de correspondance</v>
      </c>
      <c r="I179" s="1" t="str">
        <f>_xlfn.XLOOKUP(Registre_Maintenance__2[[#This Row],[ID_Antenne]],Master!D:D,Master!C:C,"Pas de correspondance")</f>
        <v>Pas de correspondance</v>
      </c>
      <c r="J179" s="1" t="str">
        <f>_xlfn.XLOOKUP(Registre_Maintenance__2[[#This Row],[ID_Antenne]],Master!D:D,Master!F:F,"Pas de correspondance")</f>
        <v>Pas de correspondance</v>
      </c>
      <c r="K179" s="1" t="e">
        <f>_xlfn.XLOOKUP(Registre_Maintenance__2[[#This Row],[ID_Antenne]],Master!D:D,Master!#REF!,"Pas de correspondance")</f>
        <v>#REF!</v>
      </c>
    </row>
    <row r="180" spans="1:11" x14ac:dyDescent="0.25">
      <c r="A180" s="1" t="s">
        <v>1557</v>
      </c>
      <c r="B180" s="1" t="s">
        <v>1466</v>
      </c>
      <c r="C180" s="1" t="s">
        <v>31</v>
      </c>
      <c r="D180">
        <v>-0.54908599999999996</v>
      </c>
      <c r="E180">
        <v>14.816867</v>
      </c>
      <c r="F180" s="1" t="s">
        <v>1501</v>
      </c>
      <c r="G180" s="1" t="s">
        <v>1507</v>
      </c>
      <c r="H180" s="1" t="str">
        <f>_xlfn.XLOOKUP(Registre_Maintenance__2[[#This Row],[ID_Antenne]],Master!D:D,Master!B:B,"Pas de correspondance")</f>
        <v>Pas de correspondance</v>
      </c>
      <c r="I180" s="1" t="str">
        <f>_xlfn.XLOOKUP(Registre_Maintenance__2[[#This Row],[ID_Antenne]],Master!D:D,Master!C:C,"Pas de correspondance")</f>
        <v>Pas de correspondance</v>
      </c>
      <c r="J180" s="1" t="str">
        <f>_xlfn.XLOOKUP(Registre_Maintenance__2[[#This Row],[ID_Antenne]],Master!D:D,Master!F:F,"Pas de correspondance")</f>
        <v>Pas de correspondance</v>
      </c>
      <c r="K180" s="1" t="e">
        <f>_xlfn.XLOOKUP(Registre_Maintenance__2[[#This Row],[ID_Antenne]],Master!D:D,Master!#REF!,"Pas de correspondance")</f>
        <v>#REF!</v>
      </c>
    </row>
    <row r="181" spans="1:11" x14ac:dyDescent="0.25">
      <c r="A181" s="1" t="s">
        <v>1557</v>
      </c>
      <c r="B181" s="1" t="s">
        <v>1003</v>
      </c>
      <c r="C181" s="1" t="s">
        <v>60</v>
      </c>
      <c r="D181">
        <v>3.3289240000000002</v>
      </c>
      <c r="E181">
        <v>24.412261000000001</v>
      </c>
      <c r="F181" s="1" t="s">
        <v>1501</v>
      </c>
      <c r="G181" s="1" t="s">
        <v>1514</v>
      </c>
      <c r="H181" s="1" t="str">
        <f>_xlfn.XLOOKUP(Registre_Maintenance__2[[#This Row],[ID_Antenne]],Master!D:D,Master!B:B,"Pas de correspondance")</f>
        <v>Pas de correspondance</v>
      </c>
      <c r="I181" s="1" t="str">
        <f>_xlfn.XLOOKUP(Registre_Maintenance__2[[#This Row],[ID_Antenne]],Master!D:D,Master!C:C,"Pas de correspondance")</f>
        <v>Pas de correspondance</v>
      </c>
      <c r="J181" s="1" t="str">
        <f>_xlfn.XLOOKUP(Registre_Maintenance__2[[#This Row],[ID_Antenne]],Master!D:D,Master!F:F,"Pas de correspondance")</f>
        <v>Pas de correspondance</v>
      </c>
      <c r="K181" s="1" t="e">
        <f>_xlfn.XLOOKUP(Registre_Maintenance__2[[#This Row],[ID_Antenne]],Master!D:D,Master!#REF!,"Pas de correspondance")</f>
        <v>#REF!</v>
      </c>
    </row>
    <row r="182" spans="1:11" x14ac:dyDescent="0.25">
      <c r="A182" s="1" t="s">
        <v>1557</v>
      </c>
      <c r="B182" s="1" t="s">
        <v>1567</v>
      </c>
      <c r="C182" s="1" t="s">
        <v>73</v>
      </c>
      <c r="D182">
        <v>1.3367519999999999</v>
      </c>
      <c r="E182">
        <v>12.697699999999999</v>
      </c>
      <c r="F182" s="1" t="s">
        <v>1501</v>
      </c>
      <c r="G182" s="1" t="s">
        <v>1505</v>
      </c>
      <c r="H182" s="1" t="str">
        <f>_xlfn.XLOOKUP(Registre_Maintenance__2[[#This Row],[ID_Antenne]],Master!D:D,Master!B:B,"Pas de correspondance")</f>
        <v>Pas de correspondance</v>
      </c>
      <c r="I182" s="1" t="str">
        <f>_xlfn.XLOOKUP(Registre_Maintenance__2[[#This Row],[ID_Antenne]],Master!D:D,Master!C:C,"Pas de correspondance")</f>
        <v>Pas de correspondance</v>
      </c>
      <c r="J182" s="1" t="str">
        <f>_xlfn.XLOOKUP(Registre_Maintenance__2[[#This Row],[ID_Antenne]],Master!D:D,Master!F:F,"Pas de correspondance")</f>
        <v>Pas de correspondance</v>
      </c>
      <c r="K182" s="1" t="e">
        <f>_xlfn.XLOOKUP(Registre_Maintenance__2[[#This Row],[ID_Antenne]],Master!D:D,Master!#REF!,"Pas de correspondance")</f>
        <v>#REF!</v>
      </c>
    </row>
    <row r="183" spans="1:11" x14ac:dyDescent="0.25">
      <c r="A183" s="1" t="s">
        <v>1557</v>
      </c>
      <c r="B183" s="1" t="s">
        <v>1568</v>
      </c>
      <c r="C183" s="1" t="s">
        <v>16</v>
      </c>
      <c r="D183">
        <v>-6.9254999999999997E-2</v>
      </c>
      <c r="E183">
        <v>28.222756</v>
      </c>
      <c r="F183" s="1" t="s">
        <v>1501</v>
      </c>
      <c r="G183" s="1" t="s">
        <v>1505</v>
      </c>
      <c r="H183" s="1" t="str">
        <f>_xlfn.XLOOKUP(Registre_Maintenance__2[[#This Row],[ID_Antenne]],Master!D:D,Master!B:B,"Pas de correspondance")</f>
        <v>Pas de correspondance</v>
      </c>
      <c r="I183" s="1" t="str">
        <f>_xlfn.XLOOKUP(Registre_Maintenance__2[[#This Row],[ID_Antenne]],Master!D:D,Master!C:C,"Pas de correspondance")</f>
        <v>Pas de correspondance</v>
      </c>
      <c r="J183" s="1" t="str">
        <f>_xlfn.XLOOKUP(Registre_Maintenance__2[[#This Row],[ID_Antenne]],Master!D:D,Master!F:F,"Pas de correspondance")</f>
        <v>Pas de correspondance</v>
      </c>
      <c r="K183" s="1" t="e">
        <f>_xlfn.XLOOKUP(Registre_Maintenance__2[[#This Row],[ID_Antenne]],Master!D:D,Master!#REF!,"Pas de correspondance")</f>
        <v>#REF!</v>
      </c>
    </row>
    <row r="184" spans="1:11" x14ac:dyDescent="0.25">
      <c r="A184" s="1" t="s">
        <v>1557</v>
      </c>
      <c r="B184" s="1" t="s">
        <v>845</v>
      </c>
      <c r="C184" s="1" t="s">
        <v>37</v>
      </c>
      <c r="D184">
        <v>-10.776204</v>
      </c>
      <c r="E184">
        <v>24.672934000000001</v>
      </c>
      <c r="F184" s="1" t="s">
        <v>1504</v>
      </c>
      <c r="G184" s="1" t="s">
        <v>1502</v>
      </c>
      <c r="H184" s="1" t="str">
        <f>_xlfn.XLOOKUP(Registre_Maintenance__2[[#This Row],[ID_Antenne]],Master!D:D,Master!B:B,"Pas de correspondance")</f>
        <v>Pas de correspondance</v>
      </c>
      <c r="I184" s="1" t="str">
        <f>_xlfn.XLOOKUP(Registre_Maintenance__2[[#This Row],[ID_Antenne]],Master!D:D,Master!C:C,"Pas de correspondance")</f>
        <v>Pas de correspondance</v>
      </c>
      <c r="J184" s="1" t="str">
        <f>_xlfn.XLOOKUP(Registre_Maintenance__2[[#This Row],[ID_Antenne]],Master!D:D,Master!F:F,"Pas de correspondance")</f>
        <v>Pas de correspondance</v>
      </c>
      <c r="K184" s="1" t="e">
        <f>_xlfn.XLOOKUP(Registre_Maintenance__2[[#This Row],[ID_Antenne]],Master!D:D,Master!#REF!,"Pas de correspondance")</f>
        <v>#REF!</v>
      </c>
    </row>
    <row r="185" spans="1:11" x14ac:dyDescent="0.25">
      <c r="A185" s="1" t="s">
        <v>1557</v>
      </c>
      <c r="B185" s="1" t="s">
        <v>1303</v>
      </c>
      <c r="C185" s="1" t="s">
        <v>24</v>
      </c>
      <c r="D185">
        <v>-10.945031</v>
      </c>
      <c r="E185">
        <v>27.922274000000002</v>
      </c>
      <c r="F185" s="1" t="s">
        <v>1504</v>
      </c>
      <c r="G185" s="1" t="s">
        <v>1502</v>
      </c>
      <c r="H185" s="1" t="str">
        <f>_xlfn.XLOOKUP(Registre_Maintenance__2[[#This Row],[ID_Antenne]],Master!D:D,Master!B:B,"Pas de correspondance")</f>
        <v>Pas de correspondance</v>
      </c>
      <c r="I185" s="1" t="str">
        <f>_xlfn.XLOOKUP(Registre_Maintenance__2[[#This Row],[ID_Antenne]],Master!D:D,Master!C:C,"Pas de correspondance")</f>
        <v>Pas de correspondance</v>
      </c>
      <c r="J185" s="1" t="str">
        <f>_xlfn.XLOOKUP(Registre_Maintenance__2[[#This Row],[ID_Antenne]],Master!D:D,Master!F:F,"Pas de correspondance")</f>
        <v>Pas de correspondance</v>
      </c>
      <c r="K185" s="1" t="e">
        <f>_xlfn.XLOOKUP(Registre_Maintenance__2[[#This Row],[ID_Antenne]],Master!D:D,Master!#REF!,"Pas de correspondance")</f>
        <v>#REF!</v>
      </c>
    </row>
    <row r="186" spans="1:11" x14ac:dyDescent="0.25">
      <c r="A186" s="1" t="s">
        <v>1557</v>
      </c>
      <c r="B186" s="1" t="s">
        <v>1569</v>
      </c>
      <c r="C186" s="1" t="s">
        <v>62</v>
      </c>
      <c r="D186">
        <v>-4.9108280000000004</v>
      </c>
      <c r="E186">
        <v>17.670389</v>
      </c>
      <c r="F186" s="1" t="s">
        <v>1501</v>
      </c>
      <c r="G186" s="1" t="s">
        <v>1507</v>
      </c>
      <c r="H186" s="1" t="str">
        <f>_xlfn.XLOOKUP(Registre_Maintenance__2[[#This Row],[ID_Antenne]],Master!D:D,Master!B:B,"Pas de correspondance")</f>
        <v>Pas de correspondance</v>
      </c>
      <c r="I186" s="1" t="str">
        <f>_xlfn.XLOOKUP(Registre_Maintenance__2[[#This Row],[ID_Antenne]],Master!D:D,Master!C:C,"Pas de correspondance")</f>
        <v>Pas de correspondance</v>
      </c>
      <c r="J186" s="1" t="str">
        <f>_xlfn.XLOOKUP(Registre_Maintenance__2[[#This Row],[ID_Antenne]],Master!D:D,Master!F:F,"Pas de correspondance")</f>
        <v>Pas de correspondance</v>
      </c>
      <c r="K186" s="1" t="e">
        <f>_xlfn.XLOOKUP(Registre_Maintenance__2[[#This Row],[ID_Antenne]],Master!D:D,Master!#REF!,"Pas de correspondance")</f>
        <v>#REF!</v>
      </c>
    </row>
    <row r="187" spans="1:11" x14ac:dyDescent="0.25">
      <c r="A187" s="1" t="s">
        <v>1557</v>
      </c>
      <c r="B187" s="1" t="s">
        <v>1379</v>
      </c>
      <c r="C187" s="1" t="s">
        <v>73</v>
      </c>
      <c r="D187">
        <v>-6.4670189999999996</v>
      </c>
      <c r="E187">
        <v>29.487309</v>
      </c>
      <c r="F187" s="1" t="s">
        <v>1504</v>
      </c>
      <c r="G187" s="1" t="s">
        <v>1507</v>
      </c>
      <c r="H187" s="1" t="str">
        <f>_xlfn.XLOOKUP(Registre_Maintenance__2[[#This Row],[ID_Antenne]],Master!D:D,Master!B:B,"Pas de correspondance")</f>
        <v>Pas de correspondance</v>
      </c>
      <c r="I187" s="1" t="str">
        <f>_xlfn.XLOOKUP(Registre_Maintenance__2[[#This Row],[ID_Antenne]],Master!D:D,Master!C:C,"Pas de correspondance")</f>
        <v>Pas de correspondance</v>
      </c>
      <c r="J187" s="1" t="str">
        <f>_xlfn.XLOOKUP(Registre_Maintenance__2[[#This Row],[ID_Antenne]],Master!D:D,Master!F:F,"Pas de correspondance")</f>
        <v>Pas de correspondance</v>
      </c>
      <c r="K187" s="1" t="e">
        <f>_xlfn.XLOOKUP(Registre_Maintenance__2[[#This Row],[ID_Antenne]],Master!D:D,Master!#REF!,"Pas de correspondance")</f>
        <v>#REF!</v>
      </c>
    </row>
    <row r="188" spans="1:11" x14ac:dyDescent="0.25">
      <c r="A188" s="1" t="s">
        <v>1557</v>
      </c>
      <c r="B188" s="1" t="s">
        <v>1570</v>
      </c>
      <c r="C188" s="1" t="s">
        <v>51</v>
      </c>
      <c r="D188">
        <v>-3.571288</v>
      </c>
      <c r="E188">
        <v>12.931596000000001</v>
      </c>
      <c r="F188" s="1" t="s">
        <v>1504</v>
      </c>
      <c r="G188" s="1" t="s">
        <v>1514</v>
      </c>
      <c r="H188" s="1" t="str">
        <f>_xlfn.XLOOKUP(Registre_Maintenance__2[[#This Row],[ID_Antenne]],Master!D:D,Master!B:B,"Pas de correspondance")</f>
        <v>Pas de correspondance</v>
      </c>
      <c r="I188" s="1" t="str">
        <f>_xlfn.XLOOKUP(Registre_Maintenance__2[[#This Row],[ID_Antenne]],Master!D:D,Master!C:C,"Pas de correspondance")</f>
        <v>Pas de correspondance</v>
      </c>
      <c r="J188" s="1" t="str">
        <f>_xlfn.XLOOKUP(Registre_Maintenance__2[[#This Row],[ID_Antenne]],Master!D:D,Master!F:F,"Pas de correspondance")</f>
        <v>Pas de correspondance</v>
      </c>
      <c r="K188" s="1" t="e">
        <f>_xlfn.XLOOKUP(Registre_Maintenance__2[[#This Row],[ID_Antenne]],Master!D:D,Master!#REF!,"Pas de correspondance")</f>
        <v>#REF!</v>
      </c>
    </row>
    <row r="189" spans="1:11" x14ac:dyDescent="0.25">
      <c r="A189" s="1" t="s">
        <v>1557</v>
      </c>
      <c r="B189" s="1" t="s">
        <v>1571</v>
      </c>
      <c r="C189" s="1" t="s">
        <v>127</v>
      </c>
      <c r="D189">
        <v>-6.0864269999999996</v>
      </c>
      <c r="E189">
        <v>19.922181999999999</v>
      </c>
      <c r="F189" s="1" t="s">
        <v>1501</v>
      </c>
      <c r="G189" s="1" t="s">
        <v>1505</v>
      </c>
      <c r="H189" s="1" t="str">
        <f>_xlfn.XLOOKUP(Registre_Maintenance__2[[#This Row],[ID_Antenne]],Master!D:D,Master!B:B,"Pas de correspondance")</f>
        <v>Pas de correspondance</v>
      </c>
      <c r="I189" s="1" t="str">
        <f>_xlfn.XLOOKUP(Registre_Maintenance__2[[#This Row],[ID_Antenne]],Master!D:D,Master!C:C,"Pas de correspondance")</f>
        <v>Pas de correspondance</v>
      </c>
      <c r="J189" s="1" t="str">
        <f>_xlfn.XLOOKUP(Registre_Maintenance__2[[#This Row],[ID_Antenne]],Master!D:D,Master!F:F,"Pas de correspondance")</f>
        <v>Pas de correspondance</v>
      </c>
      <c r="K189" s="1" t="e">
        <f>_xlfn.XLOOKUP(Registre_Maintenance__2[[#This Row],[ID_Antenne]],Master!D:D,Master!#REF!,"Pas de correspondance")</f>
        <v>#REF!</v>
      </c>
    </row>
    <row r="190" spans="1:11" x14ac:dyDescent="0.25">
      <c r="A190" s="1" t="s">
        <v>1557</v>
      </c>
      <c r="B190" s="1" t="s">
        <v>1278</v>
      </c>
      <c r="C190" s="1" t="s">
        <v>127</v>
      </c>
      <c r="D190">
        <v>1.2391989999999999</v>
      </c>
      <c r="E190">
        <v>15.386718999999999</v>
      </c>
      <c r="F190" s="1" t="s">
        <v>1501</v>
      </c>
      <c r="G190" s="1" t="s">
        <v>1507</v>
      </c>
      <c r="H190" s="1" t="str">
        <f>_xlfn.XLOOKUP(Registre_Maintenance__2[[#This Row],[ID_Antenne]],Master!D:D,Master!B:B,"Pas de correspondance")</f>
        <v>Pas de correspondance</v>
      </c>
      <c r="I190" s="1" t="str">
        <f>_xlfn.XLOOKUP(Registre_Maintenance__2[[#This Row],[ID_Antenne]],Master!D:D,Master!C:C,"Pas de correspondance")</f>
        <v>Pas de correspondance</v>
      </c>
      <c r="J190" s="1" t="str">
        <f>_xlfn.XLOOKUP(Registre_Maintenance__2[[#This Row],[ID_Antenne]],Master!D:D,Master!F:F,"Pas de correspondance")</f>
        <v>Pas de correspondance</v>
      </c>
      <c r="K190" s="1" t="e">
        <f>_xlfn.XLOOKUP(Registre_Maintenance__2[[#This Row],[ID_Antenne]],Master!D:D,Master!#REF!,"Pas de correspondance")</f>
        <v>#REF!</v>
      </c>
    </row>
    <row r="191" spans="1:11" x14ac:dyDescent="0.25">
      <c r="A191" s="1" t="s">
        <v>1557</v>
      </c>
      <c r="B191" s="1" t="s">
        <v>1572</v>
      </c>
      <c r="C191" s="1" t="s">
        <v>62</v>
      </c>
      <c r="D191">
        <v>-3.7900040000000002</v>
      </c>
      <c r="E191">
        <v>24.769718999999998</v>
      </c>
      <c r="F191" s="1" t="s">
        <v>1501</v>
      </c>
      <c r="G191" s="1" t="s">
        <v>1505</v>
      </c>
      <c r="H191" s="1" t="str">
        <f>_xlfn.XLOOKUP(Registre_Maintenance__2[[#This Row],[ID_Antenne]],Master!D:D,Master!B:B,"Pas de correspondance")</f>
        <v>Pas de correspondance</v>
      </c>
      <c r="I191" s="1" t="str">
        <f>_xlfn.XLOOKUP(Registre_Maintenance__2[[#This Row],[ID_Antenne]],Master!D:D,Master!C:C,"Pas de correspondance")</f>
        <v>Pas de correspondance</v>
      </c>
      <c r="J191" s="1" t="str">
        <f>_xlfn.XLOOKUP(Registre_Maintenance__2[[#This Row],[ID_Antenne]],Master!D:D,Master!F:F,"Pas de correspondance")</f>
        <v>Pas de correspondance</v>
      </c>
      <c r="K191" s="1" t="e">
        <f>_xlfn.XLOOKUP(Registre_Maintenance__2[[#This Row],[ID_Antenne]],Master!D:D,Master!#REF!,"Pas de correspondance")</f>
        <v>#REF!</v>
      </c>
    </row>
    <row r="192" spans="1:11" x14ac:dyDescent="0.25">
      <c r="A192" s="1" t="s">
        <v>1557</v>
      </c>
      <c r="B192" s="1" t="s">
        <v>1573</v>
      </c>
      <c r="C192" s="1" t="s">
        <v>1676</v>
      </c>
      <c r="D192">
        <v>4.0955700000000004</v>
      </c>
      <c r="E192">
        <v>23.610704999999999</v>
      </c>
      <c r="F192" s="1" t="s">
        <v>1504</v>
      </c>
      <c r="G192" s="1" t="s">
        <v>1507</v>
      </c>
      <c r="H192" s="1" t="str">
        <f>_xlfn.XLOOKUP(Registre_Maintenance__2[[#This Row],[ID_Antenne]],Master!D:D,Master!B:B,"Pas de correspondance")</f>
        <v>Pas de correspondance</v>
      </c>
      <c r="I192" s="1" t="str">
        <f>_xlfn.XLOOKUP(Registre_Maintenance__2[[#This Row],[ID_Antenne]],Master!D:D,Master!C:C,"Pas de correspondance")</f>
        <v>Pas de correspondance</v>
      </c>
      <c r="J192" s="1" t="str">
        <f>_xlfn.XLOOKUP(Registre_Maintenance__2[[#This Row],[ID_Antenne]],Master!D:D,Master!F:F,"Pas de correspondance")</f>
        <v>Pas de correspondance</v>
      </c>
      <c r="K192" s="1" t="e">
        <f>_xlfn.XLOOKUP(Registre_Maintenance__2[[#This Row],[ID_Antenne]],Master!D:D,Master!#REF!,"Pas de correspondance")</f>
        <v>#REF!</v>
      </c>
    </row>
    <row r="193" spans="1:11" x14ac:dyDescent="0.25">
      <c r="A193" s="1" t="s">
        <v>1557</v>
      </c>
      <c r="B193" s="1" t="s">
        <v>838</v>
      </c>
      <c r="C193" s="1" t="s">
        <v>73</v>
      </c>
      <c r="D193">
        <v>-6.1837850000000003</v>
      </c>
      <c r="E193">
        <v>25.138759</v>
      </c>
      <c r="F193" s="1" t="s">
        <v>1506</v>
      </c>
      <c r="G193" s="1" t="s">
        <v>1502</v>
      </c>
      <c r="H193" s="1" t="str">
        <f>_xlfn.XLOOKUP(Registre_Maintenance__2[[#This Row],[ID_Antenne]],Master!D:D,Master!B:B,"Pas de correspondance")</f>
        <v>Pas de correspondance</v>
      </c>
      <c r="I193" s="1" t="str">
        <f>_xlfn.XLOOKUP(Registre_Maintenance__2[[#This Row],[ID_Antenne]],Master!D:D,Master!C:C,"Pas de correspondance")</f>
        <v>Pas de correspondance</v>
      </c>
      <c r="J193" s="1" t="str">
        <f>_xlfn.XLOOKUP(Registre_Maintenance__2[[#This Row],[ID_Antenne]],Master!D:D,Master!F:F,"Pas de correspondance")</f>
        <v>Pas de correspondance</v>
      </c>
      <c r="K193" s="1" t="e">
        <f>_xlfn.XLOOKUP(Registre_Maintenance__2[[#This Row],[ID_Antenne]],Master!D:D,Master!#REF!,"Pas de correspondance")</f>
        <v>#REF!</v>
      </c>
    </row>
    <row r="194" spans="1:11" x14ac:dyDescent="0.25">
      <c r="A194" s="1" t="s">
        <v>1557</v>
      </c>
      <c r="B194" s="1" t="s">
        <v>1276</v>
      </c>
      <c r="C194" s="1" t="s">
        <v>60</v>
      </c>
      <c r="D194">
        <v>-6.1490739999999997</v>
      </c>
      <c r="E194">
        <v>23.304411000000002</v>
      </c>
      <c r="F194" s="1" t="s">
        <v>1501</v>
      </c>
      <c r="G194" s="1" t="s">
        <v>1507</v>
      </c>
      <c r="H194" s="1" t="str">
        <f>_xlfn.XLOOKUP(Registre_Maintenance__2[[#This Row],[ID_Antenne]],Master!D:D,Master!B:B,"Pas de correspondance")</f>
        <v>Pas de correspondance</v>
      </c>
      <c r="I194" s="1" t="str">
        <f>_xlfn.XLOOKUP(Registre_Maintenance__2[[#This Row],[ID_Antenne]],Master!D:D,Master!C:C,"Pas de correspondance")</f>
        <v>Pas de correspondance</v>
      </c>
      <c r="J194" s="1" t="str">
        <f>_xlfn.XLOOKUP(Registre_Maintenance__2[[#This Row],[ID_Antenne]],Master!D:D,Master!F:F,"Pas de correspondance")</f>
        <v>Pas de correspondance</v>
      </c>
      <c r="K194" s="1" t="e">
        <f>_xlfn.XLOOKUP(Registre_Maintenance__2[[#This Row],[ID_Antenne]],Master!D:D,Master!#REF!,"Pas de correspondance")</f>
        <v>#REF!</v>
      </c>
    </row>
    <row r="195" spans="1:11" x14ac:dyDescent="0.25">
      <c r="A195" s="1" t="s">
        <v>1557</v>
      </c>
      <c r="B195" s="1" t="s">
        <v>871</v>
      </c>
      <c r="C195" s="1" t="s">
        <v>131</v>
      </c>
      <c r="D195">
        <v>0.82868600000000003</v>
      </c>
      <c r="E195">
        <v>26.958843999999999</v>
      </c>
      <c r="F195" s="1" t="s">
        <v>1501</v>
      </c>
      <c r="G195" s="1" t="s">
        <v>1507</v>
      </c>
      <c r="H195" s="1" t="str">
        <f>_xlfn.XLOOKUP(Registre_Maintenance__2[[#This Row],[ID_Antenne]],Master!D:D,Master!B:B,"Pas de correspondance")</f>
        <v>Pas de correspondance</v>
      </c>
      <c r="I195" s="1" t="str">
        <f>_xlfn.XLOOKUP(Registre_Maintenance__2[[#This Row],[ID_Antenne]],Master!D:D,Master!C:C,"Pas de correspondance")</f>
        <v>Pas de correspondance</v>
      </c>
      <c r="J195" s="1" t="str">
        <f>_xlfn.XLOOKUP(Registre_Maintenance__2[[#This Row],[ID_Antenne]],Master!D:D,Master!F:F,"Pas de correspondance")</f>
        <v>Pas de correspondance</v>
      </c>
      <c r="K195" s="1" t="e">
        <f>_xlfn.XLOOKUP(Registre_Maintenance__2[[#This Row],[ID_Antenne]],Master!D:D,Master!#REF!,"Pas de correspondance")</f>
        <v>#REF!</v>
      </c>
    </row>
    <row r="196" spans="1:11" x14ac:dyDescent="0.25">
      <c r="A196" s="1" t="s">
        <v>1557</v>
      </c>
      <c r="B196" s="1" t="s">
        <v>1574</v>
      </c>
      <c r="C196" s="1" t="s">
        <v>18</v>
      </c>
      <c r="D196">
        <v>3.42055</v>
      </c>
      <c r="E196">
        <v>15.370965999999999</v>
      </c>
      <c r="F196" s="1" t="s">
        <v>1504</v>
      </c>
      <c r="G196" s="1" t="s">
        <v>1514</v>
      </c>
      <c r="H196" s="1" t="str">
        <f>_xlfn.XLOOKUP(Registre_Maintenance__2[[#This Row],[ID_Antenne]],Master!D:D,Master!B:B,"Pas de correspondance")</f>
        <v>Pas de correspondance</v>
      </c>
      <c r="I196" s="1" t="str">
        <f>_xlfn.XLOOKUP(Registre_Maintenance__2[[#This Row],[ID_Antenne]],Master!D:D,Master!C:C,"Pas de correspondance")</f>
        <v>Pas de correspondance</v>
      </c>
      <c r="J196" s="1" t="str">
        <f>_xlfn.XLOOKUP(Registre_Maintenance__2[[#This Row],[ID_Antenne]],Master!D:D,Master!F:F,"Pas de correspondance")</f>
        <v>Pas de correspondance</v>
      </c>
      <c r="K196" s="1" t="e">
        <f>_xlfn.XLOOKUP(Registre_Maintenance__2[[#This Row],[ID_Antenne]],Master!D:D,Master!#REF!,"Pas de correspondance")</f>
        <v>#REF!</v>
      </c>
    </row>
    <row r="197" spans="1:11" x14ac:dyDescent="0.25">
      <c r="A197" s="1" t="s">
        <v>1557</v>
      </c>
      <c r="B197" s="1" t="s">
        <v>813</v>
      </c>
      <c r="C197" s="1" t="s">
        <v>62</v>
      </c>
      <c r="D197">
        <v>-2.8211520000000001</v>
      </c>
      <c r="E197">
        <v>20.651419000000001</v>
      </c>
      <c r="F197" s="1" t="s">
        <v>1501</v>
      </c>
      <c r="G197" s="1" t="s">
        <v>1502</v>
      </c>
      <c r="H197" s="1" t="str">
        <f>_xlfn.XLOOKUP(Registre_Maintenance__2[[#This Row],[ID_Antenne]],Master!D:D,Master!B:B,"Pas de correspondance")</f>
        <v>Pas de correspondance</v>
      </c>
      <c r="I197" s="1" t="str">
        <f>_xlfn.XLOOKUP(Registre_Maintenance__2[[#This Row],[ID_Antenne]],Master!D:D,Master!C:C,"Pas de correspondance")</f>
        <v>Pas de correspondance</v>
      </c>
      <c r="J197" s="1" t="str">
        <f>_xlfn.XLOOKUP(Registre_Maintenance__2[[#This Row],[ID_Antenne]],Master!D:D,Master!F:F,"Pas de correspondance")</f>
        <v>Pas de correspondance</v>
      </c>
      <c r="K197" s="1" t="e">
        <f>_xlfn.XLOOKUP(Registre_Maintenance__2[[#This Row],[ID_Antenne]],Master!D:D,Master!#REF!,"Pas de correspondance")</f>
        <v>#REF!</v>
      </c>
    </row>
    <row r="198" spans="1:11" x14ac:dyDescent="0.25">
      <c r="A198" s="1" t="s">
        <v>1557</v>
      </c>
      <c r="B198" s="1" t="s">
        <v>1221</v>
      </c>
      <c r="C198" s="1" t="s">
        <v>60</v>
      </c>
      <c r="D198">
        <v>-1.1284540000000001</v>
      </c>
      <c r="E198">
        <v>23.000360000000001</v>
      </c>
      <c r="F198" s="1" t="s">
        <v>1501</v>
      </c>
      <c r="G198" s="1" t="s">
        <v>1502</v>
      </c>
      <c r="H198" s="1" t="str">
        <f>_xlfn.XLOOKUP(Registre_Maintenance__2[[#This Row],[ID_Antenne]],Master!D:D,Master!B:B,"Pas de correspondance")</f>
        <v>Pas de correspondance</v>
      </c>
      <c r="I198" s="1" t="str">
        <f>_xlfn.XLOOKUP(Registre_Maintenance__2[[#This Row],[ID_Antenne]],Master!D:D,Master!C:C,"Pas de correspondance")</f>
        <v>Pas de correspondance</v>
      </c>
      <c r="J198" s="1" t="str">
        <f>_xlfn.XLOOKUP(Registre_Maintenance__2[[#This Row],[ID_Antenne]],Master!D:D,Master!F:F,"Pas de correspondance")</f>
        <v>Pas de correspondance</v>
      </c>
      <c r="K198" s="1" t="e">
        <f>_xlfn.XLOOKUP(Registre_Maintenance__2[[#This Row],[ID_Antenne]],Master!D:D,Master!#REF!,"Pas de correspondance")</f>
        <v>#REF!</v>
      </c>
    </row>
    <row r="199" spans="1:11" x14ac:dyDescent="0.25">
      <c r="A199" s="1" t="s">
        <v>1557</v>
      </c>
      <c r="B199" s="1" t="s">
        <v>1432</v>
      </c>
      <c r="C199" s="1" t="s">
        <v>131</v>
      </c>
      <c r="D199">
        <v>-10.298385</v>
      </c>
      <c r="E199">
        <v>29.698117</v>
      </c>
      <c r="F199" s="1" t="s">
        <v>1501</v>
      </c>
      <c r="G199" s="1" t="s">
        <v>1514</v>
      </c>
      <c r="H199" s="1" t="str">
        <f>_xlfn.XLOOKUP(Registre_Maintenance__2[[#This Row],[ID_Antenne]],Master!D:D,Master!B:B,"Pas de correspondance")</f>
        <v>Pas de correspondance</v>
      </c>
      <c r="I199" s="1" t="str">
        <f>_xlfn.XLOOKUP(Registre_Maintenance__2[[#This Row],[ID_Antenne]],Master!D:D,Master!C:C,"Pas de correspondance")</f>
        <v>Pas de correspondance</v>
      </c>
      <c r="J199" s="1" t="str">
        <f>_xlfn.XLOOKUP(Registre_Maintenance__2[[#This Row],[ID_Antenne]],Master!D:D,Master!F:F,"Pas de correspondance")</f>
        <v>Pas de correspondance</v>
      </c>
      <c r="K199" s="1" t="e">
        <f>_xlfn.XLOOKUP(Registre_Maintenance__2[[#This Row],[ID_Antenne]],Master!D:D,Master!#REF!,"Pas de correspondance")</f>
        <v>#REF!</v>
      </c>
    </row>
    <row r="200" spans="1:11" x14ac:dyDescent="0.25">
      <c r="A200" s="1" t="s">
        <v>1557</v>
      </c>
      <c r="B200" s="1" t="s">
        <v>1575</v>
      </c>
      <c r="C200" s="1" t="s">
        <v>73</v>
      </c>
      <c r="D200">
        <v>2.6387339999999999</v>
      </c>
      <c r="E200">
        <v>13.769399</v>
      </c>
      <c r="F200" s="1" t="s">
        <v>1504</v>
      </c>
      <c r="G200" s="1" t="s">
        <v>1505</v>
      </c>
      <c r="H200" s="1" t="str">
        <f>_xlfn.XLOOKUP(Registre_Maintenance__2[[#This Row],[ID_Antenne]],Master!D:D,Master!B:B,"Pas de correspondance")</f>
        <v>Pas de correspondance</v>
      </c>
      <c r="I200" s="1" t="str">
        <f>_xlfn.XLOOKUP(Registre_Maintenance__2[[#This Row],[ID_Antenne]],Master!D:D,Master!C:C,"Pas de correspondance")</f>
        <v>Pas de correspondance</v>
      </c>
      <c r="J200" s="1" t="str">
        <f>_xlfn.XLOOKUP(Registre_Maintenance__2[[#This Row],[ID_Antenne]],Master!D:D,Master!F:F,"Pas de correspondance")</f>
        <v>Pas de correspondance</v>
      </c>
      <c r="K200" s="1" t="e">
        <f>_xlfn.XLOOKUP(Registre_Maintenance__2[[#This Row],[ID_Antenne]],Master!D:D,Master!#REF!,"Pas de correspondance")</f>
        <v>#REF!</v>
      </c>
    </row>
    <row r="201" spans="1:11" x14ac:dyDescent="0.25">
      <c r="A201" s="1" t="s">
        <v>1557</v>
      </c>
      <c r="B201" s="1" t="s">
        <v>946</v>
      </c>
      <c r="C201" s="1" t="s">
        <v>137</v>
      </c>
      <c r="D201">
        <v>-9.7803979999999999</v>
      </c>
      <c r="E201">
        <v>17.686595000000001</v>
      </c>
      <c r="F201" s="1" t="s">
        <v>1504</v>
      </c>
      <c r="G201" s="1" t="s">
        <v>1502</v>
      </c>
      <c r="H201" s="1" t="str">
        <f>_xlfn.XLOOKUP(Registre_Maintenance__2[[#This Row],[ID_Antenne]],Master!D:D,Master!B:B,"Pas de correspondance")</f>
        <v>Pas de correspondance</v>
      </c>
      <c r="I201" s="1" t="str">
        <f>_xlfn.XLOOKUP(Registre_Maintenance__2[[#This Row],[ID_Antenne]],Master!D:D,Master!C:C,"Pas de correspondance")</f>
        <v>Pas de correspondance</v>
      </c>
      <c r="J201" s="1" t="str">
        <f>_xlfn.XLOOKUP(Registre_Maintenance__2[[#This Row],[ID_Antenne]],Master!D:D,Master!F:F,"Pas de correspondance")</f>
        <v>Pas de correspondance</v>
      </c>
      <c r="K201" s="1" t="e">
        <f>_xlfn.XLOOKUP(Registre_Maintenance__2[[#This Row],[ID_Antenne]],Master!D:D,Master!#REF!,"Pas de correspondance")</f>
        <v>#REF!</v>
      </c>
    </row>
    <row r="202" spans="1:11" x14ac:dyDescent="0.25">
      <c r="A202" s="1" t="s">
        <v>1576</v>
      </c>
      <c r="B202" s="1" t="s">
        <v>1577</v>
      </c>
      <c r="C202" s="1" t="s">
        <v>21</v>
      </c>
      <c r="D202">
        <v>-6.8779139999999996</v>
      </c>
      <c r="E202">
        <v>12.550860999999999</v>
      </c>
      <c r="F202" s="1" t="s">
        <v>1501</v>
      </c>
      <c r="G202" s="1" t="s">
        <v>1507</v>
      </c>
      <c r="H202" s="1" t="str">
        <f>_xlfn.XLOOKUP(Registre_Maintenance__2[[#This Row],[ID_Antenne]],Master!D:D,Master!B:B,"Pas de correspondance")</f>
        <v>Pas de correspondance</v>
      </c>
      <c r="I202" s="1" t="str">
        <f>_xlfn.XLOOKUP(Registre_Maintenance__2[[#This Row],[ID_Antenne]],Master!D:D,Master!C:C,"Pas de correspondance")</f>
        <v>Pas de correspondance</v>
      </c>
      <c r="J202" s="1" t="str">
        <f>_xlfn.XLOOKUP(Registre_Maintenance__2[[#This Row],[ID_Antenne]],Master!D:D,Master!F:F,"Pas de correspondance")</f>
        <v>Pas de correspondance</v>
      </c>
      <c r="K202" s="1" t="e">
        <f>_xlfn.XLOOKUP(Registre_Maintenance__2[[#This Row],[ID_Antenne]],Master!D:D,Master!#REF!,"Pas de correspondance")</f>
        <v>#REF!</v>
      </c>
    </row>
    <row r="203" spans="1:11" x14ac:dyDescent="0.25">
      <c r="A203" s="1" t="s">
        <v>1576</v>
      </c>
      <c r="B203" s="1" t="s">
        <v>1578</v>
      </c>
      <c r="C203" s="1" t="s">
        <v>40</v>
      </c>
      <c r="D203">
        <v>-4.2975050000000001</v>
      </c>
      <c r="E203">
        <v>29.162555999999999</v>
      </c>
      <c r="F203" s="1" t="s">
        <v>1501</v>
      </c>
      <c r="G203" s="1" t="s">
        <v>1502</v>
      </c>
      <c r="H203" s="1" t="str">
        <f>_xlfn.XLOOKUP(Registre_Maintenance__2[[#This Row],[ID_Antenne]],Master!D:D,Master!B:B,"Pas de correspondance")</f>
        <v>Pas de correspondance</v>
      </c>
      <c r="I203" s="1" t="str">
        <f>_xlfn.XLOOKUP(Registre_Maintenance__2[[#This Row],[ID_Antenne]],Master!D:D,Master!C:C,"Pas de correspondance")</f>
        <v>Pas de correspondance</v>
      </c>
      <c r="J203" s="1" t="str">
        <f>_xlfn.XLOOKUP(Registre_Maintenance__2[[#This Row],[ID_Antenne]],Master!D:D,Master!F:F,"Pas de correspondance")</f>
        <v>Pas de correspondance</v>
      </c>
      <c r="K203" s="1" t="e">
        <f>_xlfn.XLOOKUP(Registre_Maintenance__2[[#This Row],[ID_Antenne]],Master!D:D,Master!#REF!,"Pas de correspondance")</f>
        <v>#REF!</v>
      </c>
    </row>
    <row r="204" spans="1:11" x14ac:dyDescent="0.25">
      <c r="A204" s="1" t="s">
        <v>1576</v>
      </c>
      <c r="B204" s="1" t="s">
        <v>1579</v>
      </c>
      <c r="C204" s="1" t="s">
        <v>44</v>
      </c>
      <c r="D204">
        <v>2.7298239999999998</v>
      </c>
      <c r="E204">
        <v>12.958664000000001</v>
      </c>
      <c r="F204" s="1" t="s">
        <v>1506</v>
      </c>
      <c r="G204" s="1" t="s">
        <v>1507</v>
      </c>
      <c r="H204" s="1" t="str">
        <f>_xlfn.XLOOKUP(Registre_Maintenance__2[[#This Row],[ID_Antenne]],Master!D:D,Master!B:B,"Pas de correspondance")</f>
        <v>Pas de correspondance</v>
      </c>
      <c r="I204" s="1" t="str">
        <f>_xlfn.XLOOKUP(Registre_Maintenance__2[[#This Row],[ID_Antenne]],Master!D:D,Master!C:C,"Pas de correspondance")</f>
        <v>Pas de correspondance</v>
      </c>
      <c r="J204" s="1" t="str">
        <f>_xlfn.XLOOKUP(Registre_Maintenance__2[[#This Row],[ID_Antenne]],Master!D:D,Master!F:F,"Pas de correspondance")</f>
        <v>Pas de correspondance</v>
      </c>
      <c r="K204" s="1" t="e">
        <f>_xlfn.XLOOKUP(Registre_Maintenance__2[[#This Row],[ID_Antenne]],Master!D:D,Master!#REF!,"Pas de correspondance")</f>
        <v>#REF!</v>
      </c>
    </row>
    <row r="205" spans="1:11" x14ac:dyDescent="0.25">
      <c r="A205" s="1" t="s">
        <v>1576</v>
      </c>
      <c r="B205" s="1" t="s">
        <v>1580</v>
      </c>
      <c r="C205" s="1" t="s">
        <v>67</v>
      </c>
      <c r="D205">
        <v>-7.4135429999999998</v>
      </c>
      <c r="E205">
        <v>19.288392999999999</v>
      </c>
      <c r="F205" s="1" t="s">
        <v>1504</v>
      </c>
      <c r="G205" s="1" t="s">
        <v>1514</v>
      </c>
      <c r="H205" s="1" t="str">
        <f>_xlfn.XLOOKUP(Registre_Maintenance__2[[#This Row],[ID_Antenne]],Master!D:D,Master!B:B,"Pas de correspondance")</f>
        <v>Pas de correspondance</v>
      </c>
      <c r="I205" s="1" t="str">
        <f>_xlfn.XLOOKUP(Registre_Maintenance__2[[#This Row],[ID_Antenne]],Master!D:D,Master!C:C,"Pas de correspondance")</f>
        <v>Pas de correspondance</v>
      </c>
      <c r="J205" s="1" t="str">
        <f>_xlfn.XLOOKUP(Registre_Maintenance__2[[#This Row],[ID_Antenne]],Master!D:D,Master!F:F,"Pas de correspondance")</f>
        <v>Pas de correspondance</v>
      </c>
      <c r="K205" s="1" t="e">
        <f>_xlfn.XLOOKUP(Registre_Maintenance__2[[#This Row],[ID_Antenne]],Master!D:D,Master!#REF!,"Pas de correspondance")</f>
        <v>#REF!</v>
      </c>
    </row>
    <row r="206" spans="1:11" x14ac:dyDescent="0.25">
      <c r="A206" s="1" t="s">
        <v>1576</v>
      </c>
      <c r="B206" s="1" t="s">
        <v>1441</v>
      </c>
      <c r="C206" s="1" t="s">
        <v>64</v>
      </c>
      <c r="D206">
        <v>-7.1079169999999996</v>
      </c>
      <c r="E206">
        <v>13.636272</v>
      </c>
      <c r="F206" s="1" t="s">
        <v>1501</v>
      </c>
      <c r="G206" s="1" t="s">
        <v>1514</v>
      </c>
      <c r="H206" s="1" t="str">
        <f>_xlfn.XLOOKUP(Registre_Maintenance__2[[#This Row],[ID_Antenne]],Master!D:D,Master!B:B,"Pas de correspondance")</f>
        <v>Pas de correspondance</v>
      </c>
      <c r="I206" s="1" t="str">
        <f>_xlfn.XLOOKUP(Registre_Maintenance__2[[#This Row],[ID_Antenne]],Master!D:D,Master!C:C,"Pas de correspondance")</f>
        <v>Pas de correspondance</v>
      </c>
      <c r="J206" s="1" t="str">
        <f>_xlfn.XLOOKUP(Registre_Maintenance__2[[#This Row],[ID_Antenne]],Master!D:D,Master!F:F,"Pas de correspondance")</f>
        <v>Pas de correspondance</v>
      </c>
      <c r="K206" s="1" t="e">
        <f>_xlfn.XLOOKUP(Registre_Maintenance__2[[#This Row],[ID_Antenne]],Master!D:D,Master!#REF!,"Pas de correspondance")</f>
        <v>#REF!</v>
      </c>
    </row>
    <row r="207" spans="1:11" x14ac:dyDescent="0.25">
      <c r="A207" s="1" t="s">
        <v>1576</v>
      </c>
      <c r="B207" s="1" t="s">
        <v>1581</v>
      </c>
      <c r="C207" s="1" t="s">
        <v>78</v>
      </c>
      <c r="D207">
        <v>0.850665</v>
      </c>
      <c r="E207">
        <v>19.446418000000001</v>
      </c>
      <c r="F207" s="1" t="s">
        <v>1504</v>
      </c>
      <c r="G207" s="1" t="s">
        <v>1505</v>
      </c>
      <c r="H207" s="1" t="str">
        <f>_xlfn.XLOOKUP(Registre_Maintenance__2[[#This Row],[ID_Antenne]],Master!D:D,Master!B:B,"Pas de correspondance")</f>
        <v>Pas de correspondance</v>
      </c>
      <c r="I207" s="1" t="str">
        <f>_xlfn.XLOOKUP(Registre_Maintenance__2[[#This Row],[ID_Antenne]],Master!D:D,Master!C:C,"Pas de correspondance")</f>
        <v>Pas de correspondance</v>
      </c>
      <c r="J207" s="1" t="str">
        <f>_xlfn.XLOOKUP(Registre_Maintenance__2[[#This Row],[ID_Antenne]],Master!D:D,Master!F:F,"Pas de correspondance")</f>
        <v>Pas de correspondance</v>
      </c>
      <c r="K207" s="1" t="e">
        <f>_xlfn.XLOOKUP(Registre_Maintenance__2[[#This Row],[ID_Antenne]],Master!D:D,Master!#REF!,"Pas de correspondance")</f>
        <v>#REF!</v>
      </c>
    </row>
    <row r="208" spans="1:11" x14ac:dyDescent="0.25">
      <c r="A208" s="1" t="s">
        <v>1576</v>
      </c>
      <c r="B208" s="1" t="s">
        <v>1349</v>
      </c>
      <c r="C208" s="1" t="s">
        <v>131</v>
      </c>
      <c r="D208">
        <v>-11.231472</v>
      </c>
      <c r="E208">
        <v>25.388874000000001</v>
      </c>
      <c r="F208" s="1" t="s">
        <v>1504</v>
      </c>
      <c r="G208" s="1" t="s">
        <v>1505</v>
      </c>
      <c r="H208" s="1" t="str">
        <f>_xlfn.XLOOKUP(Registre_Maintenance__2[[#This Row],[ID_Antenne]],Master!D:D,Master!B:B,"Pas de correspondance")</f>
        <v>Pas de correspondance</v>
      </c>
      <c r="I208" s="1" t="str">
        <f>_xlfn.XLOOKUP(Registre_Maintenance__2[[#This Row],[ID_Antenne]],Master!D:D,Master!C:C,"Pas de correspondance")</f>
        <v>Pas de correspondance</v>
      </c>
      <c r="J208" s="1" t="str">
        <f>_xlfn.XLOOKUP(Registre_Maintenance__2[[#This Row],[ID_Antenne]],Master!D:D,Master!F:F,"Pas de correspondance")</f>
        <v>Pas de correspondance</v>
      </c>
      <c r="K208" s="1" t="e">
        <f>_xlfn.XLOOKUP(Registre_Maintenance__2[[#This Row],[ID_Antenne]],Master!D:D,Master!#REF!,"Pas de correspondance")</f>
        <v>#REF!</v>
      </c>
    </row>
    <row r="209" spans="1:11" x14ac:dyDescent="0.25">
      <c r="A209" s="1" t="s">
        <v>1576</v>
      </c>
      <c r="B209" s="1" t="s">
        <v>1100</v>
      </c>
      <c r="C209" s="1" t="s">
        <v>16</v>
      </c>
      <c r="D209">
        <v>4.6809229999999999</v>
      </c>
      <c r="E209">
        <v>28.934242000000001</v>
      </c>
      <c r="F209" s="1" t="s">
        <v>1501</v>
      </c>
      <c r="G209" s="1" t="s">
        <v>1514</v>
      </c>
      <c r="H209" s="1" t="str">
        <f>_xlfn.XLOOKUP(Registre_Maintenance__2[[#This Row],[ID_Antenne]],Master!D:D,Master!B:B,"Pas de correspondance")</f>
        <v>Pas de correspondance</v>
      </c>
      <c r="I209" s="1" t="str">
        <f>_xlfn.XLOOKUP(Registre_Maintenance__2[[#This Row],[ID_Antenne]],Master!D:D,Master!C:C,"Pas de correspondance")</f>
        <v>Pas de correspondance</v>
      </c>
      <c r="J209" s="1" t="str">
        <f>_xlfn.XLOOKUP(Registre_Maintenance__2[[#This Row],[ID_Antenne]],Master!D:D,Master!F:F,"Pas de correspondance")</f>
        <v>Pas de correspondance</v>
      </c>
      <c r="K209" s="1" t="e">
        <f>_xlfn.XLOOKUP(Registre_Maintenance__2[[#This Row],[ID_Antenne]],Master!D:D,Master!#REF!,"Pas de correspondance")</f>
        <v>#REF!</v>
      </c>
    </row>
    <row r="210" spans="1:11" x14ac:dyDescent="0.25">
      <c r="A210" s="1" t="s">
        <v>1576</v>
      </c>
      <c r="B210" s="1" t="s">
        <v>1582</v>
      </c>
      <c r="C210" s="1" t="s">
        <v>60</v>
      </c>
      <c r="D210">
        <v>-3.7093609999999999</v>
      </c>
      <c r="E210">
        <v>23.959942999999999</v>
      </c>
      <c r="F210" s="1" t="s">
        <v>1504</v>
      </c>
      <c r="G210" s="1" t="s">
        <v>1505</v>
      </c>
      <c r="H210" s="1" t="str">
        <f>_xlfn.XLOOKUP(Registre_Maintenance__2[[#This Row],[ID_Antenne]],Master!D:D,Master!B:B,"Pas de correspondance")</f>
        <v>Pas de correspondance</v>
      </c>
      <c r="I210" s="1" t="str">
        <f>_xlfn.XLOOKUP(Registre_Maintenance__2[[#This Row],[ID_Antenne]],Master!D:D,Master!C:C,"Pas de correspondance")</f>
        <v>Pas de correspondance</v>
      </c>
      <c r="J210" s="1" t="str">
        <f>_xlfn.XLOOKUP(Registre_Maintenance__2[[#This Row],[ID_Antenne]],Master!D:D,Master!F:F,"Pas de correspondance")</f>
        <v>Pas de correspondance</v>
      </c>
      <c r="K210" s="1" t="e">
        <f>_xlfn.XLOOKUP(Registre_Maintenance__2[[#This Row],[ID_Antenne]],Master!D:D,Master!#REF!,"Pas de correspondance")</f>
        <v>#REF!</v>
      </c>
    </row>
    <row r="211" spans="1:11" x14ac:dyDescent="0.25">
      <c r="A211" s="1" t="s">
        <v>1576</v>
      </c>
      <c r="B211" s="1" t="s">
        <v>1154</v>
      </c>
      <c r="C211" s="1" t="s">
        <v>1674</v>
      </c>
      <c r="D211">
        <v>4.8689660000000003</v>
      </c>
      <c r="E211">
        <v>25.112373000000002</v>
      </c>
      <c r="F211" s="1" t="s">
        <v>1506</v>
      </c>
      <c r="G211" s="1" t="s">
        <v>1505</v>
      </c>
      <c r="H211" s="1" t="str">
        <f>_xlfn.XLOOKUP(Registre_Maintenance__2[[#This Row],[ID_Antenne]],Master!D:D,Master!B:B,"Pas de correspondance")</f>
        <v>Pas de correspondance</v>
      </c>
      <c r="I211" s="1" t="str">
        <f>_xlfn.XLOOKUP(Registre_Maintenance__2[[#This Row],[ID_Antenne]],Master!D:D,Master!C:C,"Pas de correspondance")</f>
        <v>Pas de correspondance</v>
      </c>
      <c r="J211" s="1" t="str">
        <f>_xlfn.XLOOKUP(Registre_Maintenance__2[[#This Row],[ID_Antenne]],Master!D:D,Master!F:F,"Pas de correspondance")</f>
        <v>Pas de correspondance</v>
      </c>
      <c r="K211" s="1" t="e">
        <f>_xlfn.XLOOKUP(Registre_Maintenance__2[[#This Row],[ID_Antenne]],Master!D:D,Master!#REF!,"Pas de correspondance")</f>
        <v>#REF!</v>
      </c>
    </row>
    <row r="212" spans="1:11" x14ac:dyDescent="0.25">
      <c r="A212" s="1" t="s">
        <v>1576</v>
      </c>
      <c r="B212" s="1" t="s">
        <v>890</v>
      </c>
      <c r="C212" s="1" t="s">
        <v>89</v>
      </c>
      <c r="D212">
        <v>-9.3066320000000005</v>
      </c>
      <c r="E212">
        <v>20.470889</v>
      </c>
      <c r="F212" s="1" t="s">
        <v>1501</v>
      </c>
      <c r="G212" s="1" t="s">
        <v>1507</v>
      </c>
      <c r="H212" s="1" t="str">
        <f>_xlfn.XLOOKUP(Registre_Maintenance__2[[#This Row],[ID_Antenne]],Master!D:D,Master!B:B,"Pas de correspondance")</f>
        <v>Pas de correspondance</v>
      </c>
      <c r="I212" s="1" t="str">
        <f>_xlfn.XLOOKUP(Registre_Maintenance__2[[#This Row],[ID_Antenne]],Master!D:D,Master!C:C,"Pas de correspondance")</f>
        <v>Pas de correspondance</v>
      </c>
      <c r="J212" s="1" t="str">
        <f>_xlfn.XLOOKUP(Registre_Maintenance__2[[#This Row],[ID_Antenne]],Master!D:D,Master!F:F,"Pas de correspondance")</f>
        <v>Pas de correspondance</v>
      </c>
      <c r="K212" s="1" t="e">
        <f>_xlfn.XLOOKUP(Registre_Maintenance__2[[#This Row],[ID_Antenne]],Master!D:D,Master!#REF!,"Pas de correspondance")</f>
        <v>#REF!</v>
      </c>
    </row>
    <row r="213" spans="1:11" x14ac:dyDescent="0.25">
      <c r="A213" s="1" t="s">
        <v>1576</v>
      </c>
      <c r="B213" s="1" t="s">
        <v>1015</v>
      </c>
      <c r="C213" s="1" t="s">
        <v>31</v>
      </c>
      <c r="D213">
        <v>-12.342053999999999</v>
      </c>
      <c r="E213">
        <v>18.756862000000002</v>
      </c>
      <c r="F213" s="1" t="s">
        <v>1506</v>
      </c>
      <c r="G213" s="1" t="s">
        <v>1502</v>
      </c>
      <c r="H213" s="1" t="str">
        <f>_xlfn.XLOOKUP(Registre_Maintenance__2[[#This Row],[ID_Antenne]],Master!D:D,Master!B:B,"Pas de correspondance")</f>
        <v>Pas de correspondance</v>
      </c>
      <c r="I213" s="1" t="str">
        <f>_xlfn.XLOOKUP(Registre_Maintenance__2[[#This Row],[ID_Antenne]],Master!D:D,Master!C:C,"Pas de correspondance")</f>
        <v>Pas de correspondance</v>
      </c>
      <c r="J213" s="1" t="str">
        <f>_xlfn.XLOOKUP(Registre_Maintenance__2[[#This Row],[ID_Antenne]],Master!D:D,Master!F:F,"Pas de correspondance")</f>
        <v>Pas de correspondance</v>
      </c>
      <c r="K213" s="1" t="e">
        <f>_xlfn.XLOOKUP(Registre_Maintenance__2[[#This Row],[ID_Antenne]],Master!D:D,Master!#REF!,"Pas de correspondance")</f>
        <v>#REF!</v>
      </c>
    </row>
    <row r="214" spans="1:11" x14ac:dyDescent="0.25">
      <c r="A214" s="1" t="s">
        <v>1576</v>
      </c>
      <c r="B214" s="1" t="s">
        <v>1583</v>
      </c>
      <c r="C214" s="1" t="s">
        <v>131</v>
      </c>
      <c r="D214">
        <v>-6.0234120000000004</v>
      </c>
      <c r="E214">
        <v>18.314309999999999</v>
      </c>
      <c r="F214" s="1" t="s">
        <v>1501</v>
      </c>
      <c r="G214" s="1" t="s">
        <v>1507</v>
      </c>
      <c r="H214" s="1" t="str">
        <f>_xlfn.XLOOKUP(Registre_Maintenance__2[[#This Row],[ID_Antenne]],Master!D:D,Master!B:B,"Pas de correspondance")</f>
        <v>Pas de correspondance</v>
      </c>
      <c r="I214" s="1" t="str">
        <f>_xlfn.XLOOKUP(Registre_Maintenance__2[[#This Row],[ID_Antenne]],Master!D:D,Master!C:C,"Pas de correspondance")</f>
        <v>Pas de correspondance</v>
      </c>
      <c r="J214" s="1" t="str">
        <f>_xlfn.XLOOKUP(Registre_Maintenance__2[[#This Row],[ID_Antenne]],Master!D:D,Master!F:F,"Pas de correspondance")</f>
        <v>Pas de correspondance</v>
      </c>
      <c r="K214" s="1" t="e">
        <f>_xlfn.XLOOKUP(Registre_Maintenance__2[[#This Row],[ID_Antenne]],Master!D:D,Master!#REF!,"Pas de correspondance")</f>
        <v>#REF!</v>
      </c>
    </row>
    <row r="215" spans="1:11" x14ac:dyDescent="0.25">
      <c r="A215" s="1" t="s">
        <v>1576</v>
      </c>
      <c r="B215" s="1" t="s">
        <v>1407</v>
      </c>
      <c r="C215" s="1" t="s">
        <v>1674</v>
      </c>
      <c r="D215">
        <v>2.5665840000000002</v>
      </c>
      <c r="E215">
        <v>15.764796</v>
      </c>
      <c r="F215" s="1" t="s">
        <v>1506</v>
      </c>
      <c r="G215" s="1" t="s">
        <v>1507</v>
      </c>
      <c r="H215" s="1" t="str">
        <f>_xlfn.XLOOKUP(Registre_Maintenance__2[[#This Row],[ID_Antenne]],Master!D:D,Master!B:B,"Pas de correspondance")</f>
        <v>Pas de correspondance</v>
      </c>
      <c r="I215" s="1" t="str">
        <f>_xlfn.XLOOKUP(Registre_Maintenance__2[[#This Row],[ID_Antenne]],Master!D:D,Master!C:C,"Pas de correspondance")</f>
        <v>Pas de correspondance</v>
      </c>
      <c r="J215" s="1" t="str">
        <f>_xlfn.XLOOKUP(Registre_Maintenance__2[[#This Row],[ID_Antenne]],Master!D:D,Master!F:F,"Pas de correspondance")</f>
        <v>Pas de correspondance</v>
      </c>
      <c r="K215" s="1" t="e">
        <f>_xlfn.XLOOKUP(Registre_Maintenance__2[[#This Row],[ID_Antenne]],Master!D:D,Master!#REF!,"Pas de correspondance")</f>
        <v>#REF!</v>
      </c>
    </row>
    <row r="216" spans="1:11" x14ac:dyDescent="0.25">
      <c r="A216" s="1" t="s">
        <v>1576</v>
      </c>
      <c r="B216" s="1" t="s">
        <v>884</v>
      </c>
      <c r="C216" s="1" t="s">
        <v>31</v>
      </c>
      <c r="D216">
        <v>-10.914952</v>
      </c>
      <c r="E216">
        <v>26.409648000000001</v>
      </c>
      <c r="F216" s="1" t="s">
        <v>1504</v>
      </c>
      <c r="G216" s="1" t="s">
        <v>1505</v>
      </c>
      <c r="H216" s="1" t="str">
        <f>_xlfn.XLOOKUP(Registre_Maintenance__2[[#This Row],[ID_Antenne]],Master!D:D,Master!B:B,"Pas de correspondance")</f>
        <v>Pas de correspondance</v>
      </c>
      <c r="I216" s="1" t="str">
        <f>_xlfn.XLOOKUP(Registre_Maintenance__2[[#This Row],[ID_Antenne]],Master!D:D,Master!C:C,"Pas de correspondance")</f>
        <v>Pas de correspondance</v>
      </c>
      <c r="J216" s="1" t="str">
        <f>_xlfn.XLOOKUP(Registre_Maintenance__2[[#This Row],[ID_Antenne]],Master!D:D,Master!F:F,"Pas de correspondance")</f>
        <v>Pas de correspondance</v>
      </c>
      <c r="K216" s="1" t="e">
        <f>_xlfn.XLOOKUP(Registre_Maintenance__2[[#This Row],[ID_Antenne]],Master!D:D,Master!#REF!,"Pas de correspondance")</f>
        <v>#REF!</v>
      </c>
    </row>
    <row r="217" spans="1:11" x14ac:dyDescent="0.25">
      <c r="A217" s="1" t="s">
        <v>1576</v>
      </c>
      <c r="B217" s="1" t="s">
        <v>1302</v>
      </c>
      <c r="C217" s="1" t="s">
        <v>51</v>
      </c>
      <c r="D217">
        <v>-7.402336</v>
      </c>
      <c r="E217">
        <v>27.376697</v>
      </c>
      <c r="F217" s="1" t="s">
        <v>1504</v>
      </c>
      <c r="G217" s="1" t="s">
        <v>1505</v>
      </c>
      <c r="H217" s="1" t="str">
        <f>_xlfn.XLOOKUP(Registre_Maintenance__2[[#This Row],[ID_Antenne]],Master!D:D,Master!B:B,"Pas de correspondance")</f>
        <v>Pas de correspondance</v>
      </c>
      <c r="I217" s="1" t="str">
        <f>_xlfn.XLOOKUP(Registre_Maintenance__2[[#This Row],[ID_Antenne]],Master!D:D,Master!C:C,"Pas de correspondance")</f>
        <v>Pas de correspondance</v>
      </c>
      <c r="J217" s="1" t="str">
        <f>_xlfn.XLOOKUP(Registre_Maintenance__2[[#This Row],[ID_Antenne]],Master!D:D,Master!F:F,"Pas de correspondance")</f>
        <v>Pas de correspondance</v>
      </c>
      <c r="K217" s="1" t="e">
        <f>_xlfn.XLOOKUP(Registre_Maintenance__2[[#This Row],[ID_Antenne]],Master!D:D,Master!#REF!,"Pas de correspondance")</f>
        <v>#REF!</v>
      </c>
    </row>
    <row r="218" spans="1:11" x14ac:dyDescent="0.25">
      <c r="A218" s="1" t="s">
        <v>1576</v>
      </c>
      <c r="B218" s="1" t="s">
        <v>1584</v>
      </c>
      <c r="C218" s="1" t="s">
        <v>24</v>
      </c>
      <c r="D218">
        <v>-12.207461</v>
      </c>
      <c r="E218">
        <v>13.492367</v>
      </c>
      <c r="F218" s="1" t="s">
        <v>1506</v>
      </c>
      <c r="G218" s="1" t="s">
        <v>1502</v>
      </c>
      <c r="H218" s="1" t="str">
        <f>_xlfn.XLOOKUP(Registre_Maintenance__2[[#This Row],[ID_Antenne]],Master!D:D,Master!B:B,"Pas de correspondance")</f>
        <v>Pas de correspondance</v>
      </c>
      <c r="I218" s="1" t="str">
        <f>_xlfn.XLOOKUP(Registre_Maintenance__2[[#This Row],[ID_Antenne]],Master!D:D,Master!C:C,"Pas de correspondance")</f>
        <v>Pas de correspondance</v>
      </c>
      <c r="J218" s="1" t="str">
        <f>_xlfn.XLOOKUP(Registre_Maintenance__2[[#This Row],[ID_Antenne]],Master!D:D,Master!F:F,"Pas de correspondance")</f>
        <v>Pas de correspondance</v>
      </c>
      <c r="K218" s="1" t="e">
        <f>_xlfn.XLOOKUP(Registre_Maintenance__2[[#This Row],[ID_Antenne]],Master!D:D,Master!#REF!,"Pas de correspondance")</f>
        <v>#REF!</v>
      </c>
    </row>
    <row r="219" spans="1:11" x14ac:dyDescent="0.25">
      <c r="A219" s="1" t="s">
        <v>1576</v>
      </c>
      <c r="B219" s="1" t="s">
        <v>1585</v>
      </c>
      <c r="C219" s="1" t="s">
        <v>137</v>
      </c>
      <c r="D219">
        <v>2.266232</v>
      </c>
      <c r="E219">
        <v>29.532896000000001</v>
      </c>
      <c r="F219" s="1" t="s">
        <v>1504</v>
      </c>
      <c r="G219" s="1" t="s">
        <v>1502</v>
      </c>
      <c r="H219" s="1" t="str">
        <f>_xlfn.XLOOKUP(Registre_Maintenance__2[[#This Row],[ID_Antenne]],Master!D:D,Master!B:B,"Pas de correspondance")</f>
        <v>Pas de correspondance</v>
      </c>
      <c r="I219" s="1" t="str">
        <f>_xlfn.XLOOKUP(Registre_Maintenance__2[[#This Row],[ID_Antenne]],Master!D:D,Master!C:C,"Pas de correspondance")</f>
        <v>Pas de correspondance</v>
      </c>
      <c r="J219" s="1" t="str">
        <f>_xlfn.XLOOKUP(Registre_Maintenance__2[[#This Row],[ID_Antenne]],Master!D:D,Master!F:F,"Pas de correspondance")</f>
        <v>Pas de correspondance</v>
      </c>
      <c r="K219" s="1" t="e">
        <f>_xlfn.XLOOKUP(Registre_Maintenance__2[[#This Row],[ID_Antenne]],Master!D:D,Master!#REF!,"Pas de correspondance")</f>
        <v>#REF!</v>
      </c>
    </row>
    <row r="220" spans="1:11" x14ac:dyDescent="0.25">
      <c r="A220" s="1" t="s">
        <v>1576</v>
      </c>
      <c r="B220" s="1" t="s">
        <v>1586</v>
      </c>
      <c r="C220" s="1" t="s">
        <v>35</v>
      </c>
      <c r="D220">
        <v>2.6937519999999999</v>
      </c>
      <c r="E220">
        <v>26.524137</v>
      </c>
      <c r="F220" s="1" t="s">
        <v>1506</v>
      </c>
      <c r="G220" s="1" t="s">
        <v>1502</v>
      </c>
      <c r="H220" s="1" t="str">
        <f>_xlfn.XLOOKUP(Registre_Maintenance__2[[#This Row],[ID_Antenne]],Master!D:D,Master!B:B,"Pas de correspondance")</f>
        <v>Pas de correspondance</v>
      </c>
      <c r="I220" s="1" t="str">
        <f>_xlfn.XLOOKUP(Registre_Maintenance__2[[#This Row],[ID_Antenne]],Master!D:D,Master!C:C,"Pas de correspondance")</f>
        <v>Pas de correspondance</v>
      </c>
      <c r="J220" s="1" t="str">
        <f>_xlfn.XLOOKUP(Registre_Maintenance__2[[#This Row],[ID_Antenne]],Master!D:D,Master!F:F,"Pas de correspondance")</f>
        <v>Pas de correspondance</v>
      </c>
      <c r="K220" s="1" t="e">
        <f>_xlfn.XLOOKUP(Registre_Maintenance__2[[#This Row],[ID_Antenne]],Master!D:D,Master!#REF!,"Pas de correspondance")</f>
        <v>#REF!</v>
      </c>
    </row>
    <row r="221" spans="1:11" x14ac:dyDescent="0.25">
      <c r="A221" s="1" t="s">
        <v>1576</v>
      </c>
      <c r="B221" s="1" t="s">
        <v>1430</v>
      </c>
      <c r="C221" s="1" t="s">
        <v>37</v>
      </c>
      <c r="D221">
        <v>-7.0007840000000003</v>
      </c>
      <c r="E221">
        <v>22.787997000000001</v>
      </c>
      <c r="F221" s="1" t="s">
        <v>1501</v>
      </c>
      <c r="G221" s="1" t="s">
        <v>1507</v>
      </c>
      <c r="H221" s="1" t="str">
        <f>_xlfn.XLOOKUP(Registre_Maintenance__2[[#This Row],[ID_Antenne]],Master!D:D,Master!B:B,"Pas de correspondance")</f>
        <v>Pas de correspondance</v>
      </c>
      <c r="I221" s="1" t="str">
        <f>_xlfn.XLOOKUP(Registre_Maintenance__2[[#This Row],[ID_Antenne]],Master!D:D,Master!C:C,"Pas de correspondance")</f>
        <v>Pas de correspondance</v>
      </c>
      <c r="J221" s="1" t="str">
        <f>_xlfn.XLOOKUP(Registre_Maintenance__2[[#This Row],[ID_Antenne]],Master!D:D,Master!F:F,"Pas de correspondance")</f>
        <v>Pas de correspondance</v>
      </c>
      <c r="K221" s="1" t="e">
        <f>_xlfn.XLOOKUP(Registre_Maintenance__2[[#This Row],[ID_Antenne]],Master!D:D,Master!#REF!,"Pas de correspondance")</f>
        <v>#REF!</v>
      </c>
    </row>
    <row r="222" spans="1:11" x14ac:dyDescent="0.25">
      <c r="A222" s="1" t="s">
        <v>1576</v>
      </c>
      <c r="B222" s="1" t="s">
        <v>1587</v>
      </c>
      <c r="C222" s="1" t="s">
        <v>78</v>
      </c>
      <c r="D222">
        <v>3.0053459999999999</v>
      </c>
      <c r="E222">
        <v>13.765407</v>
      </c>
      <c r="F222" s="1" t="s">
        <v>1501</v>
      </c>
      <c r="G222" s="1" t="s">
        <v>1502</v>
      </c>
      <c r="H222" s="1" t="str">
        <f>_xlfn.XLOOKUP(Registre_Maintenance__2[[#This Row],[ID_Antenne]],Master!D:D,Master!B:B,"Pas de correspondance")</f>
        <v>Pas de correspondance</v>
      </c>
      <c r="I222" s="1" t="str">
        <f>_xlfn.XLOOKUP(Registre_Maintenance__2[[#This Row],[ID_Antenne]],Master!D:D,Master!C:C,"Pas de correspondance")</f>
        <v>Pas de correspondance</v>
      </c>
      <c r="J222" s="1" t="str">
        <f>_xlfn.XLOOKUP(Registre_Maintenance__2[[#This Row],[ID_Antenne]],Master!D:D,Master!F:F,"Pas de correspondance")</f>
        <v>Pas de correspondance</v>
      </c>
      <c r="K222" s="1" t="e">
        <f>_xlfn.XLOOKUP(Registre_Maintenance__2[[#This Row],[ID_Antenne]],Master!D:D,Master!#REF!,"Pas de correspondance")</f>
        <v>#REF!</v>
      </c>
    </row>
    <row r="223" spans="1:11" x14ac:dyDescent="0.25">
      <c r="A223" s="1" t="s">
        <v>1576</v>
      </c>
      <c r="B223" s="1" t="s">
        <v>805</v>
      </c>
      <c r="C223" s="1" t="s">
        <v>37</v>
      </c>
      <c r="D223">
        <v>-11.144149000000001</v>
      </c>
      <c r="E223">
        <v>27.244658999999999</v>
      </c>
      <c r="F223" s="1" t="s">
        <v>1504</v>
      </c>
      <c r="G223" s="1" t="s">
        <v>1514</v>
      </c>
      <c r="H223" s="1" t="str">
        <f>_xlfn.XLOOKUP(Registre_Maintenance__2[[#This Row],[ID_Antenne]],Master!D:D,Master!B:B,"Pas de correspondance")</f>
        <v>Pas de correspondance</v>
      </c>
      <c r="I223" s="1" t="str">
        <f>_xlfn.XLOOKUP(Registre_Maintenance__2[[#This Row],[ID_Antenne]],Master!D:D,Master!C:C,"Pas de correspondance")</f>
        <v>Pas de correspondance</v>
      </c>
      <c r="J223" s="1" t="str">
        <f>_xlfn.XLOOKUP(Registre_Maintenance__2[[#This Row],[ID_Antenne]],Master!D:D,Master!F:F,"Pas de correspondance")</f>
        <v>Pas de correspondance</v>
      </c>
      <c r="K223" s="1" t="e">
        <f>_xlfn.XLOOKUP(Registre_Maintenance__2[[#This Row],[ID_Antenne]],Master!D:D,Master!#REF!,"Pas de correspondance")</f>
        <v>#REF!</v>
      </c>
    </row>
    <row r="224" spans="1:11" x14ac:dyDescent="0.25">
      <c r="A224" s="1" t="s">
        <v>1576</v>
      </c>
      <c r="B224" s="1" t="s">
        <v>938</v>
      </c>
      <c r="C224" s="1" t="s">
        <v>62</v>
      </c>
      <c r="D224">
        <v>0.79124300000000003</v>
      </c>
      <c r="E224">
        <v>25.273389000000002</v>
      </c>
      <c r="F224" s="1" t="s">
        <v>1504</v>
      </c>
      <c r="G224" s="1" t="s">
        <v>1514</v>
      </c>
      <c r="H224" s="1" t="str">
        <f>_xlfn.XLOOKUP(Registre_Maintenance__2[[#This Row],[ID_Antenne]],Master!D:D,Master!B:B,"Pas de correspondance")</f>
        <v>Pas de correspondance</v>
      </c>
      <c r="I224" s="1" t="str">
        <f>_xlfn.XLOOKUP(Registre_Maintenance__2[[#This Row],[ID_Antenne]],Master!D:D,Master!C:C,"Pas de correspondance")</f>
        <v>Pas de correspondance</v>
      </c>
      <c r="J224" s="1" t="str">
        <f>_xlfn.XLOOKUP(Registre_Maintenance__2[[#This Row],[ID_Antenne]],Master!D:D,Master!F:F,"Pas de correspondance")</f>
        <v>Pas de correspondance</v>
      </c>
      <c r="K224" s="1" t="e">
        <f>_xlfn.XLOOKUP(Registre_Maintenance__2[[#This Row],[ID_Antenne]],Master!D:D,Master!#REF!,"Pas de correspondance")</f>
        <v>#REF!</v>
      </c>
    </row>
    <row r="225" spans="1:11" x14ac:dyDescent="0.25">
      <c r="A225" s="1" t="s">
        <v>1576</v>
      </c>
      <c r="B225" s="1" t="s">
        <v>1588</v>
      </c>
      <c r="C225" s="1" t="s">
        <v>67</v>
      </c>
      <c r="D225">
        <v>0.419985</v>
      </c>
      <c r="E225">
        <v>13.847996999999999</v>
      </c>
      <c r="F225" s="1" t="s">
        <v>1501</v>
      </c>
      <c r="G225" s="1" t="s">
        <v>1507</v>
      </c>
      <c r="H225" s="1" t="str">
        <f>_xlfn.XLOOKUP(Registre_Maintenance__2[[#This Row],[ID_Antenne]],Master!D:D,Master!B:B,"Pas de correspondance")</f>
        <v>Pas de correspondance</v>
      </c>
      <c r="I225" s="1" t="str">
        <f>_xlfn.XLOOKUP(Registre_Maintenance__2[[#This Row],[ID_Antenne]],Master!D:D,Master!C:C,"Pas de correspondance")</f>
        <v>Pas de correspondance</v>
      </c>
      <c r="J225" s="1" t="str">
        <f>_xlfn.XLOOKUP(Registre_Maintenance__2[[#This Row],[ID_Antenne]],Master!D:D,Master!F:F,"Pas de correspondance")</f>
        <v>Pas de correspondance</v>
      </c>
      <c r="K225" s="1" t="e">
        <f>_xlfn.XLOOKUP(Registre_Maintenance__2[[#This Row],[ID_Antenne]],Master!D:D,Master!#REF!,"Pas de correspondance")</f>
        <v>#REF!</v>
      </c>
    </row>
    <row r="226" spans="1:11" x14ac:dyDescent="0.25">
      <c r="A226" s="1" t="s">
        <v>1576</v>
      </c>
      <c r="B226" s="1" t="s">
        <v>1289</v>
      </c>
      <c r="C226" s="1" t="s">
        <v>10</v>
      </c>
      <c r="D226">
        <v>-12.595355</v>
      </c>
      <c r="E226">
        <v>17.897442000000002</v>
      </c>
      <c r="F226" s="1" t="s">
        <v>1504</v>
      </c>
      <c r="G226" s="1" t="s">
        <v>1505</v>
      </c>
      <c r="H226" s="1" t="str">
        <f>_xlfn.XLOOKUP(Registre_Maintenance__2[[#This Row],[ID_Antenne]],Master!D:D,Master!B:B,"Pas de correspondance")</f>
        <v>Pas de correspondance</v>
      </c>
      <c r="I226" s="1" t="str">
        <f>_xlfn.XLOOKUP(Registre_Maintenance__2[[#This Row],[ID_Antenne]],Master!D:D,Master!C:C,"Pas de correspondance")</f>
        <v>Pas de correspondance</v>
      </c>
      <c r="J226" s="1" t="str">
        <f>_xlfn.XLOOKUP(Registre_Maintenance__2[[#This Row],[ID_Antenne]],Master!D:D,Master!F:F,"Pas de correspondance")</f>
        <v>Pas de correspondance</v>
      </c>
      <c r="K226" s="1" t="e">
        <f>_xlfn.XLOOKUP(Registre_Maintenance__2[[#This Row],[ID_Antenne]],Master!D:D,Master!#REF!,"Pas de correspondance")</f>
        <v>#REF!</v>
      </c>
    </row>
    <row r="227" spans="1:11" x14ac:dyDescent="0.25">
      <c r="A227" s="1" t="s">
        <v>1576</v>
      </c>
      <c r="B227" s="1" t="s">
        <v>1308</v>
      </c>
      <c r="C227" s="1" t="s">
        <v>40</v>
      </c>
      <c r="D227">
        <v>0.65288900000000005</v>
      </c>
      <c r="E227">
        <v>24.243953999999999</v>
      </c>
      <c r="F227" s="1" t="s">
        <v>1501</v>
      </c>
      <c r="G227" s="1" t="s">
        <v>1502</v>
      </c>
      <c r="H227" s="1" t="str">
        <f>_xlfn.XLOOKUP(Registre_Maintenance__2[[#This Row],[ID_Antenne]],Master!D:D,Master!B:B,"Pas de correspondance")</f>
        <v>Pas de correspondance</v>
      </c>
      <c r="I227" s="1" t="str">
        <f>_xlfn.XLOOKUP(Registre_Maintenance__2[[#This Row],[ID_Antenne]],Master!D:D,Master!C:C,"Pas de correspondance")</f>
        <v>Pas de correspondance</v>
      </c>
      <c r="J227" s="1" t="str">
        <f>_xlfn.XLOOKUP(Registre_Maintenance__2[[#This Row],[ID_Antenne]],Master!D:D,Master!F:F,"Pas de correspondance")</f>
        <v>Pas de correspondance</v>
      </c>
      <c r="K227" s="1" t="e">
        <f>_xlfn.XLOOKUP(Registre_Maintenance__2[[#This Row],[ID_Antenne]],Master!D:D,Master!#REF!,"Pas de correspondance")</f>
        <v>#REF!</v>
      </c>
    </row>
    <row r="228" spans="1:11" x14ac:dyDescent="0.25">
      <c r="A228" s="1" t="s">
        <v>1576</v>
      </c>
      <c r="B228" s="1" t="s">
        <v>1336</v>
      </c>
      <c r="C228" s="1" t="s">
        <v>26</v>
      </c>
      <c r="D228">
        <v>-1.500685</v>
      </c>
      <c r="E228">
        <v>26.563376000000002</v>
      </c>
      <c r="F228" s="1" t="s">
        <v>1501</v>
      </c>
      <c r="G228" s="1" t="s">
        <v>1514</v>
      </c>
      <c r="H228" s="1" t="str">
        <f>_xlfn.XLOOKUP(Registre_Maintenance__2[[#This Row],[ID_Antenne]],Master!D:D,Master!B:B,"Pas de correspondance")</f>
        <v>Pas de correspondance</v>
      </c>
      <c r="I228" s="1" t="str">
        <f>_xlfn.XLOOKUP(Registre_Maintenance__2[[#This Row],[ID_Antenne]],Master!D:D,Master!C:C,"Pas de correspondance")</f>
        <v>Pas de correspondance</v>
      </c>
      <c r="J228" s="1" t="str">
        <f>_xlfn.XLOOKUP(Registre_Maintenance__2[[#This Row],[ID_Antenne]],Master!D:D,Master!F:F,"Pas de correspondance")</f>
        <v>Pas de correspondance</v>
      </c>
      <c r="K228" s="1" t="e">
        <f>_xlfn.XLOOKUP(Registre_Maintenance__2[[#This Row],[ID_Antenne]],Master!D:D,Master!#REF!,"Pas de correspondance")</f>
        <v>#REF!</v>
      </c>
    </row>
    <row r="229" spans="1:11" x14ac:dyDescent="0.25">
      <c r="A229" s="1" t="s">
        <v>1576</v>
      </c>
      <c r="B229" s="1" t="s">
        <v>1589</v>
      </c>
      <c r="C229" s="1" t="s">
        <v>1676</v>
      </c>
      <c r="D229">
        <v>-9.2227779999999999</v>
      </c>
      <c r="E229">
        <v>20.940372</v>
      </c>
      <c r="F229" s="1" t="s">
        <v>1506</v>
      </c>
      <c r="G229" s="1" t="s">
        <v>1502</v>
      </c>
      <c r="H229" s="1" t="str">
        <f>_xlfn.XLOOKUP(Registre_Maintenance__2[[#This Row],[ID_Antenne]],Master!D:D,Master!B:B,"Pas de correspondance")</f>
        <v>Pas de correspondance</v>
      </c>
      <c r="I229" s="1" t="str">
        <f>_xlfn.XLOOKUP(Registre_Maintenance__2[[#This Row],[ID_Antenne]],Master!D:D,Master!C:C,"Pas de correspondance")</f>
        <v>Pas de correspondance</v>
      </c>
      <c r="J229" s="1" t="str">
        <f>_xlfn.XLOOKUP(Registre_Maintenance__2[[#This Row],[ID_Antenne]],Master!D:D,Master!F:F,"Pas de correspondance")</f>
        <v>Pas de correspondance</v>
      </c>
      <c r="K229" s="1" t="e">
        <f>_xlfn.XLOOKUP(Registre_Maintenance__2[[#This Row],[ID_Antenne]],Master!D:D,Master!#REF!,"Pas de correspondance")</f>
        <v>#REF!</v>
      </c>
    </row>
    <row r="230" spans="1:11" x14ac:dyDescent="0.25">
      <c r="A230" s="1" t="s">
        <v>1576</v>
      </c>
      <c r="B230" s="1" t="s">
        <v>1038</v>
      </c>
      <c r="C230" s="1" t="s">
        <v>21</v>
      </c>
      <c r="D230">
        <v>-9.3900009999999998</v>
      </c>
      <c r="E230">
        <v>30.001517</v>
      </c>
      <c r="F230" s="1" t="s">
        <v>1506</v>
      </c>
      <c r="G230" s="1" t="s">
        <v>1514</v>
      </c>
      <c r="H230" s="1" t="str">
        <f>_xlfn.XLOOKUP(Registre_Maintenance__2[[#This Row],[ID_Antenne]],Master!D:D,Master!B:B,"Pas de correspondance")</f>
        <v>Pas de correspondance</v>
      </c>
      <c r="I230" s="1" t="str">
        <f>_xlfn.XLOOKUP(Registre_Maintenance__2[[#This Row],[ID_Antenne]],Master!D:D,Master!C:C,"Pas de correspondance")</f>
        <v>Pas de correspondance</v>
      </c>
      <c r="J230" s="1" t="str">
        <f>_xlfn.XLOOKUP(Registre_Maintenance__2[[#This Row],[ID_Antenne]],Master!D:D,Master!F:F,"Pas de correspondance")</f>
        <v>Pas de correspondance</v>
      </c>
      <c r="K230" s="1" t="e">
        <f>_xlfn.XLOOKUP(Registre_Maintenance__2[[#This Row],[ID_Antenne]],Master!D:D,Master!#REF!,"Pas de correspondance")</f>
        <v>#REF!</v>
      </c>
    </row>
    <row r="231" spans="1:11" x14ac:dyDescent="0.25">
      <c r="A231" s="1" t="s">
        <v>1576</v>
      </c>
      <c r="B231" s="1" t="s">
        <v>1590</v>
      </c>
      <c r="C231" s="1" t="s">
        <v>127</v>
      </c>
      <c r="D231">
        <v>-7.8417870000000001</v>
      </c>
      <c r="E231">
        <v>14.730712</v>
      </c>
      <c r="F231" s="1" t="s">
        <v>1501</v>
      </c>
      <c r="G231" s="1" t="s">
        <v>1514</v>
      </c>
      <c r="H231" s="1" t="str">
        <f>_xlfn.XLOOKUP(Registre_Maintenance__2[[#This Row],[ID_Antenne]],Master!D:D,Master!B:B,"Pas de correspondance")</f>
        <v>Pas de correspondance</v>
      </c>
      <c r="I231" s="1" t="str">
        <f>_xlfn.XLOOKUP(Registre_Maintenance__2[[#This Row],[ID_Antenne]],Master!D:D,Master!C:C,"Pas de correspondance")</f>
        <v>Pas de correspondance</v>
      </c>
      <c r="J231" s="1" t="str">
        <f>_xlfn.XLOOKUP(Registre_Maintenance__2[[#This Row],[ID_Antenne]],Master!D:D,Master!F:F,"Pas de correspondance")</f>
        <v>Pas de correspondance</v>
      </c>
      <c r="K231" s="1" t="e">
        <f>_xlfn.XLOOKUP(Registre_Maintenance__2[[#This Row],[ID_Antenne]],Master!D:D,Master!#REF!,"Pas de correspondance")</f>
        <v>#REF!</v>
      </c>
    </row>
    <row r="232" spans="1:11" x14ac:dyDescent="0.25">
      <c r="A232" s="1" t="s">
        <v>1576</v>
      </c>
      <c r="B232" s="1" t="s">
        <v>1591</v>
      </c>
      <c r="C232" s="1" t="s">
        <v>35</v>
      </c>
      <c r="D232">
        <v>-3.419035</v>
      </c>
      <c r="E232">
        <v>29.018315999999999</v>
      </c>
      <c r="F232" s="1" t="s">
        <v>1501</v>
      </c>
      <c r="G232" s="1" t="s">
        <v>1502</v>
      </c>
      <c r="H232" s="1" t="str">
        <f>_xlfn.XLOOKUP(Registre_Maintenance__2[[#This Row],[ID_Antenne]],Master!D:D,Master!B:B,"Pas de correspondance")</f>
        <v>Pas de correspondance</v>
      </c>
      <c r="I232" s="1" t="str">
        <f>_xlfn.XLOOKUP(Registre_Maintenance__2[[#This Row],[ID_Antenne]],Master!D:D,Master!C:C,"Pas de correspondance")</f>
        <v>Pas de correspondance</v>
      </c>
      <c r="J232" s="1" t="str">
        <f>_xlfn.XLOOKUP(Registre_Maintenance__2[[#This Row],[ID_Antenne]],Master!D:D,Master!F:F,"Pas de correspondance")</f>
        <v>Pas de correspondance</v>
      </c>
      <c r="K232" s="1" t="e">
        <f>_xlfn.XLOOKUP(Registre_Maintenance__2[[#This Row],[ID_Antenne]],Master!D:D,Master!#REF!,"Pas de correspondance")</f>
        <v>#REF!</v>
      </c>
    </row>
    <row r="233" spans="1:11" x14ac:dyDescent="0.25">
      <c r="A233" s="1" t="s">
        <v>1576</v>
      </c>
      <c r="B233" s="1" t="s">
        <v>1592</v>
      </c>
      <c r="C233" s="1" t="s">
        <v>1675</v>
      </c>
      <c r="D233">
        <v>0.91016799999999998</v>
      </c>
      <c r="E233">
        <v>16.903002999999998</v>
      </c>
      <c r="F233" s="1" t="s">
        <v>1506</v>
      </c>
      <c r="G233" s="1" t="s">
        <v>1514</v>
      </c>
      <c r="H233" s="1" t="str">
        <f>_xlfn.XLOOKUP(Registre_Maintenance__2[[#This Row],[ID_Antenne]],Master!D:D,Master!B:B,"Pas de correspondance")</f>
        <v>Pas de correspondance</v>
      </c>
      <c r="I233" s="1" t="str">
        <f>_xlfn.XLOOKUP(Registre_Maintenance__2[[#This Row],[ID_Antenne]],Master!D:D,Master!C:C,"Pas de correspondance")</f>
        <v>Pas de correspondance</v>
      </c>
      <c r="J233" s="1" t="str">
        <f>_xlfn.XLOOKUP(Registre_Maintenance__2[[#This Row],[ID_Antenne]],Master!D:D,Master!F:F,"Pas de correspondance")</f>
        <v>Pas de correspondance</v>
      </c>
      <c r="K233" s="1" t="e">
        <f>_xlfn.XLOOKUP(Registre_Maintenance__2[[#This Row],[ID_Antenne]],Master!D:D,Master!#REF!,"Pas de correspondance")</f>
        <v>#REF!</v>
      </c>
    </row>
    <row r="234" spans="1:11" x14ac:dyDescent="0.25">
      <c r="A234" s="1" t="s">
        <v>1576</v>
      </c>
      <c r="B234" s="1" t="s">
        <v>1394</v>
      </c>
      <c r="C234" s="1" t="s">
        <v>73</v>
      </c>
      <c r="D234">
        <v>-0.919767</v>
      </c>
      <c r="E234">
        <v>18.905538</v>
      </c>
      <c r="F234" s="1" t="s">
        <v>1501</v>
      </c>
      <c r="G234" s="1" t="s">
        <v>1502</v>
      </c>
      <c r="H234" s="1" t="str">
        <f>_xlfn.XLOOKUP(Registre_Maintenance__2[[#This Row],[ID_Antenne]],Master!D:D,Master!B:B,"Pas de correspondance")</f>
        <v>Pas de correspondance</v>
      </c>
      <c r="I234" s="1" t="str">
        <f>_xlfn.XLOOKUP(Registre_Maintenance__2[[#This Row],[ID_Antenne]],Master!D:D,Master!C:C,"Pas de correspondance")</f>
        <v>Pas de correspondance</v>
      </c>
      <c r="J234" s="1" t="str">
        <f>_xlfn.XLOOKUP(Registre_Maintenance__2[[#This Row],[ID_Antenne]],Master!D:D,Master!F:F,"Pas de correspondance")</f>
        <v>Pas de correspondance</v>
      </c>
      <c r="K234" s="1" t="e">
        <f>_xlfn.XLOOKUP(Registre_Maintenance__2[[#This Row],[ID_Antenne]],Master!D:D,Master!#REF!,"Pas de correspondance")</f>
        <v>#REF!</v>
      </c>
    </row>
    <row r="235" spans="1:11" x14ac:dyDescent="0.25">
      <c r="A235" s="1" t="s">
        <v>1576</v>
      </c>
      <c r="B235" s="1" t="s">
        <v>908</v>
      </c>
      <c r="C235" s="1" t="s">
        <v>35</v>
      </c>
      <c r="D235">
        <v>-8.0922239999999999</v>
      </c>
      <c r="E235">
        <v>15.483708</v>
      </c>
      <c r="F235" s="1" t="s">
        <v>1501</v>
      </c>
      <c r="G235" s="1" t="s">
        <v>1514</v>
      </c>
      <c r="H235" s="1" t="str">
        <f>_xlfn.XLOOKUP(Registre_Maintenance__2[[#This Row],[ID_Antenne]],Master!D:D,Master!B:B,"Pas de correspondance")</f>
        <v>Pas de correspondance</v>
      </c>
      <c r="I235" s="1" t="str">
        <f>_xlfn.XLOOKUP(Registre_Maintenance__2[[#This Row],[ID_Antenne]],Master!D:D,Master!C:C,"Pas de correspondance")</f>
        <v>Pas de correspondance</v>
      </c>
      <c r="J235" s="1" t="str">
        <f>_xlfn.XLOOKUP(Registre_Maintenance__2[[#This Row],[ID_Antenne]],Master!D:D,Master!F:F,"Pas de correspondance")</f>
        <v>Pas de correspondance</v>
      </c>
      <c r="K235" s="1" t="e">
        <f>_xlfn.XLOOKUP(Registre_Maintenance__2[[#This Row],[ID_Antenne]],Master!D:D,Master!#REF!,"Pas de correspondance")</f>
        <v>#REF!</v>
      </c>
    </row>
    <row r="236" spans="1:11" x14ac:dyDescent="0.25">
      <c r="A236" s="1" t="s">
        <v>1576</v>
      </c>
      <c r="B236" s="1" t="s">
        <v>1044</v>
      </c>
      <c r="C236" s="1" t="s">
        <v>1674</v>
      </c>
      <c r="D236">
        <v>-10.165072</v>
      </c>
      <c r="E236">
        <v>29.428024000000001</v>
      </c>
      <c r="F236" s="1" t="s">
        <v>1501</v>
      </c>
      <c r="G236" s="1" t="s">
        <v>1505</v>
      </c>
      <c r="H236" s="1" t="str">
        <f>_xlfn.XLOOKUP(Registre_Maintenance__2[[#This Row],[ID_Antenne]],Master!D:D,Master!B:B,"Pas de correspondance")</f>
        <v>Pas de correspondance</v>
      </c>
      <c r="I236" s="1" t="str">
        <f>_xlfn.XLOOKUP(Registre_Maintenance__2[[#This Row],[ID_Antenne]],Master!D:D,Master!C:C,"Pas de correspondance")</f>
        <v>Pas de correspondance</v>
      </c>
      <c r="J236" s="1" t="str">
        <f>_xlfn.XLOOKUP(Registre_Maintenance__2[[#This Row],[ID_Antenne]],Master!D:D,Master!F:F,"Pas de correspondance")</f>
        <v>Pas de correspondance</v>
      </c>
      <c r="K236" s="1" t="e">
        <f>_xlfn.XLOOKUP(Registre_Maintenance__2[[#This Row],[ID_Antenne]],Master!D:D,Master!#REF!,"Pas de correspondance")</f>
        <v>#REF!</v>
      </c>
    </row>
    <row r="237" spans="1:11" x14ac:dyDescent="0.25">
      <c r="A237" s="1" t="s">
        <v>1576</v>
      </c>
      <c r="B237" s="1" t="s">
        <v>1240</v>
      </c>
      <c r="C237" s="1" t="s">
        <v>51</v>
      </c>
      <c r="D237">
        <v>-10.939712999999999</v>
      </c>
      <c r="E237">
        <v>18.276230999999999</v>
      </c>
      <c r="F237" s="1" t="s">
        <v>1504</v>
      </c>
      <c r="G237" s="1" t="s">
        <v>1507</v>
      </c>
      <c r="H237" s="1" t="str">
        <f>_xlfn.XLOOKUP(Registre_Maintenance__2[[#This Row],[ID_Antenne]],Master!D:D,Master!B:B,"Pas de correspondance")</f>
        <v>Pas de correspondance</v>
      </c>
      <c r="I237" s="1" t="str">
        <f>_xlfn.XLOOKUP(Registre_Maintenance__2[[#This Row],[ID_Antenne]],Master!D:D,Master!C:C,"Pas de correspondance")</f>
        <v>Pas de correspondance</v>
      </c>
      <c r="J237" s="1" t="str">
        <f>_xlfn.XLOOKUP(Registre_Maintenance__2[[#This Row],[ID_Antenne]],Master!D:D,Master!F:F,"Pas de correspondance")</f>
        <v>Pas de correspondance</v>
      </c>
      <c r="K237" s="1" t="e">
        <f>_xlfn.XLOOKUP(Registre_Maintenance__2[[#This Row],[ID_Antenne]],Master!D:D,Master!#REF!,"Pas de correspondance")</f>
        <v>#REF!</v>
      </c>
    </row>
    <row r="238" spans="1:11" x14ac:dyDescent="0.25">
      <c r="A238" s="1" t="s">
        <v>1576</v>
      </c>
      <c r="B238" s="1" t="s">
        <v>846</v>
      </c>
      <c r="C238" s="1" t="s">
        <v>21</v>
      </c>
      <c r="D238">
        <v>4.2493650000000001</v>
      </c>
      <c r="E238">
        <v>28.355039999999999</v>
      </c>
      <c r="F238" s="1" t="s">
        <v>1506</v>
      </c>
      <c r="G238" s="1" t="s">
        <v>1507</v>
      </c>
      <c r="H238" s="1" t="str">
        <f>_xlfn.XLOOKUP(Registre_Maintenance__2[[#This Row],[ID_Antenne]],Master!D:D,Master!B:B,"Pas de correspondance")</f>
        <v>Pas de correspondance</v>
      </c>
      <c r="I238" s="1" t="str">
        <f>_xlfn.XLOOKUP(Registre_Maintenance__2[[#This Row],[ID_Antenne]],Master!D:D,Master!C:C,"Pas de correspondance")</f>
        <v>Pas de correspondance</v>
      </c>
      <c r="J238" s="1" t="str">
        <f>_xlfn.XLOOKUP(Registre_Maintenance__2[[#This Row],[ID_Antenne]],Master!D:D,Master!F:F,"Pas de correspondance")</f>
        <v>Pas de correspondance</v>
      </c>
      <c r="K238" s="1" t="e">
        <f>_xlfn.XLOOKUP(Registre_Maintenance__2[[#This Row],[ID_Antenne]],Master!D:D,Master!#REF!,"Pas de correspondance")</f>
        <v>#REF!</v>
      </c>
    </row>
    <row r="239" spans="1:11" x14ac:dyDescent="0.25">
      <c r="A239" s="1" t="s">
        <v>1576</v>
      </c>
      <c r="B239" s="1" t="s">
        <v>1435</v>
      </c>
      <c r="C239" s="1" t="s">
        <v>24</v>
      </c>
      <c r="D239">
        <v>-2.926736</v>
      </c>
      <c r="E239">
        <v>18.170461</v>
      </c>
      <c r="F239" s="1" t="s">
        <v>1501</v>
      </c>
      <c r="G239" s="1" t="s">
        <v>1502</v>
      </c>
      <c r="H239" s="1" t="str">
        <f>_xlfn.XLOOKUP(Registre_Maintenance__2[[#This Row],[ID_Antenne]],Master!D:D,Master!B:B,"Pas de correspondance")</f>
        <v>Pas de correspondance</v>
      </c>
      <c r="I239" s="1" t="str">
        <f>_xlfn.XLOOKUP(Registre_Maintenance__2[[#This Row],[ID_Antenne]],Master!D:D,Master!C:C,"Pas de correspondance")</f>
        <v>Pas de correspondance</v>
      </c>
      <c r="J239" s="1" t="str">
        <f>_xlfn.XLOOKUP(Registre_Maintenance__2[[#This Row],[ID_Antenne]],Master!D:D,Master!F:F,"Pas de correspondance")</f>
        <v>Pas de correspondance</v>
      </c>
      <c r="K239" s="1" t="e">
        <f>_xlfn.XLOOKUP(Registre_Maintenance__2[[#This Row],[ID_Antenne]],Master!D:D,Master!#REF!,"Pas de correspondance")</f>
        <v>#REF!</v>
      </c>
    </row>
    <row r="240" spans="1:11" x14ac:dyDescent="0.25">
      <c r="A240" s="1" t="s">
        <v>1576</v>
      </c>
      <c r="B240" s="1" t="s">
        <v>1254</v>
      </c>
      <c r="C240" s="1" t="s">
        <v>62</v>
      </c>
      <c r="D240">
        <v>-11.157245</v>
      </c>
      <c r="E240">
        <v>21.262627999999999</v>
      </c>
      <c r="F240" s="1" t="s">
        <v>1501</v>
      </c>
      <c r="G240" s="1" t="s">
        <v>1507</v>
      </c>
      <c r="H240" s="1" t="str">
        <f>_xlfn.XLOOKUP(Registre_Maintenance__2[[#This Row],[ID_Antenne]],Master!D:D,Master!B:B,"Pas de correspondance")</f>
        <v>Pas de correspondance</v>
      </c>
      <c r="I240" s="1" t="str">
        <f>_xlfn.XLOOKUP(Registre_Maintenance__2[[#This Row],[ID_Antenne]],Master!D:D,Master!C:C,"Pas de correspondance")</f>
        <v>Pas de correspondance</v>
      </c>
      <c r="J240" s="1" t="str">
        <f>_xlfn.XLOOKUP(Registre_Maintenance__2[[#This Row],[ID_Antenne]],Master!D:D,Master!F:F,"Pas de correspondance")</f>
        <v>Pas de correspondance</v>
      </c>
      <c r="K240" s="1" t="e">
        <f>_xlfn.XLOOKUP(Registre_Maintenance__2[[#This Row],[ID_Antenne]],Master!D:D,Master!#REF!,"Pas de correspondance")</f>
        <v>#REF!</v>
      </c>
    </row>
    <row r="241" spans="1:11" x14ac:dyDescent="0.25">
      <c r="A241" s="1" t="s">
        <v>1576</v>
      </c>
      <c r="B241" s="1" t="s">
        <v>1593</v>
      </c>
      <c r="C241" s="1" t="s">
        <v>137</v>
      </c>
      <c r="D241">
        <v>-3.234483</v>
      </c>
      <c r="E241">
        <v>13.241939</v>
      </c>
      <c r="F241" s="1" t="s">
        <v>1504</v>
      </c>
      <c r="G241" s="1" t="s">
        <v>1507</v>
      </c>
      <c r="H241" s="1" t="str">
        <f>_xlfn.XLOOKUP(Registre_Maintenance__2[[#This Row],[ID_Antenne]],Master!D:D,Master!B:B,"Pas de correspondance")</f>
        <v>Pas de correspondance</v>
      </c>
      <c r="I241" s="1" t="str">
        <f>_xlfn.XLOOKUP(Registre_Maintenance__2[[#This Row],[ID_Antenne]],Master!D:D,Master!C:C,"Pas de correspondance")</f>
        <v>Pas de correspondance</v>
      </c>
      <c r="J241" s="1" t="str">
        <f>_xlfn.XLOOKUP(Registre_Maintenance__2[[#This Row],[ID_Antenne]],Master!D:D,Master!F:F,"Pas de correspondance")</f>
        <v>Pas de correspondance</v>
      </c>
      <c r="K241" s="1" t="e">
        <f>_xlfn.XLOOKUP(Registre_Maintenance__2[[#This Row],[ID_Antenne]],Master!D:D,Master!#REF!,"Pas de correspondance")</f>
        <v>#REF!</v>
      </c>
    </row>
    <row r="242" spans="1:11" x14ac:dyDescent="0.25">
      <c r="A242" s="1" t="s">
        <v>1576</v>
      </c>
      <c r="B242" s="1" t="s">
        <v>952</v>
      </c>
      <c r="C242" s="1" t="s">
        <v>1675</v>
      </c>
      <c r="D242">
        <v>-3.111418</v>
      </c>
      <c r="E242">
        <v>14.144854</v>
      </c>
      <c r="F242" s="1" t="s">
        <v>1504</v>
      </c>
      <c r="G242" s="1" t="s">
        <v>1507</v>
      </c>
      <c r="H242" s="1" t="str">
        <f>_xlfn.XLOOKUP(Registre_Maintenance__2[[#This Row],[ID_Antenne]],Master!D:D,Master!B:B,"Pas de correspondance")</f>
        <v>Pas de correspondance</v>
      </c>
      <c r="I242" s="1" t="str">
        <f>_xlfn.XLOOKUP(Registre_Maintenance__2[[#This Row],[ID_Antenne]],Master!D:D,Master!C:C,"Pas de correspondance")</f>
        <v>Pas de correspondance</v>
      </c>
      <c r="J242" s="1" t="str">
        <f>_xlfn.XLOOKUP(Registre_Maintenance__2[[#This Row],[ID_Antenne]],Master!D:D,Master!F:F,"Pas de correspondance")</f>
        <v>Pas de correspondance</v>
      </c>
      <c r="K242" s="1" t="e">
        <f>_xlfn.XLOOKUP(Registre_Maintenance__2[[#This Row],[ID_Antenne]],Master!D:D,Master!#REF!,"Pas de correspondance")</f>
        <v>#REF!</v>
      </c>
    </row>
    <row r="243" spans="1:11" x14ac:dyDescent="0.25">
      <c r="A243" s="1" t="s">
        <v>1576</v>
      </c>
      <c r="B243" s="1" t="s">
        <v>1140</v>
      </c>
      <c r="C243" s="1" t="s">
        <v>40</v>
      </c>
      <c r="D243">
        <v>-8.1210620000000002</v>
      </c>
      <c r="E243">
        <v>21.094390000000001</v>
      </c>
      <c r="F243" s="1" t="s">
        <v>1501</v>
      </c>
      <c r="G243" s="1" t="s">
        <v>1507</v>
      </c>
      <c r="H243" s="1" t="str">
        <f>_xlfn.XLOOKUP(Registre_Maintenance__2[[#This Row],[ID_Antenne]],Master!D:D,Master!B:B,"Pas de correspondance")</f>
        <v>Pas de correspondance</v>
      </c>
      <c r="I243" s="1" t="str">
        <f>_xlfn.XLOOKUP(Registre_Maintenance__2[[#This Row],[ID_Antenne]],Master!D:D,Master!C:C,"Pas de correspondance")</f>
        <v>Pas de correspondance</v>
      </c>
      <c r="J243" s="1" t="str">
        <f>_xlfn.XLOOKUP(Registre_Maintenance__2[[#This Row],[ID_Antenne]],Master!D:D,Master!F:F,"Pas de correspondance")</f>
        <v>Pas de correspondance</v>
      </c>
      <c r="K243" s="1" t="e">
        <f>_xlfn.XLOOKUP(Registre_Maintenance__2[[#This Row],[ID_Antenne]],Master!D:D,Master!#REF!,"Pas de correspondance")</f>
        <v>#REF!</v>
      </c>
    </row>
    <row r="244" spans="1:11" x14ac:dyDescent="0.25">
      <c r="A244" s="1" t="s">
        <v>1576</v>
      </c>
      <c r="B244" s="1" t="s">
        <v>1594</v>
      </c>
      <c r="C244" s="1" t="s">
        <v>73</v>
      </c>
      <c r="D244">
        <v>1.472051</v>
      </c>
      <c r="E244">
        <v>17.36289</v>
      </c>
      <c r="F244" s="1" t="s">
        <v>1504</v>
      </c>
      <c r="G244" s="1" t="s">
        <v>1505</v>
      </c>
      <c r="H244" s="1" t="str">
        <f>_xlfn.XLOOKUP(Registre_Maintenance__2[[#This Row],[ID_Antenne]],Master!D:D,Master!B:B,"Pas de correspondance")</f>
        <v>Pas de correspondance</v>
      </c>
      <c r="I244" s="1" t="str">
        <f>_xlfn.XLOOKUP(Registre_Maintenance__2[[#This Row],[ID_Antenne]],Master!D:D,Master!C:C,"Pas de correspondance")</f>
        <v>Pas de correspondance</v>
      </c>
      <c r="J244" s="1" t="str">
        <f>_xlfn.XLOOKUP(Registre_Maintenance__2[[#This Row],[ID_Antenne]],Master!D:D,Master!F:F,"Pas de correspondance")</f>
        <v>Pas de correspondance</v>
      </c>
      <c r="K244" s="1" t="e">
        <f>_xlfn.XLOOKUP(Registre_Maintenance__2[[#This Row],[ID_Antenne]],Master!D:D,Master!#REF!,"Pas de correspondance")</f>
        <v>#REF!</v>
      </c>
    </row>
    <row r="245" spans="1:11" x14ac:dyDescent="0.25">
      <c r="A245" s="1" t="s">
        <v>1576</v>
      </c>
      <c r="B245" s="1" t="s">
        <v>1227</v>
      </c>
      <c r="C245" s="1" t="s">
        <v>64</v>
      </c>
      <c r="D245">
        <v>-2.6665070000000002</v>
      </c>
      <c r="E245">
        <v>18.623692999999999</v>
      </c>
      <c r="F245" s="1" t="s">
        <v>1506</v>
      </c>
      <c r="G245" s="1" t="s">
        <v>1507</v>
      </c>
      <c r="H245" s="1" t="str">
        <f>_xlfn.XLOOKUP(Registre_Maintenance__2[[#This Row],[ID_Antenne]],Master!D:D,Master!B:B,"Pas de correspondance")</f>
        <v>Pas de correspondance</v>
      </c>
      <c r="I245" s="1" t="str">
        <f>_xlfn.XLOOKUP(Registre_Maintenance__2[[#This Row],[ID_Antenne]],Master!D:D,Master!C:C,"Pas de correspondance")</f>
        <v>Pas de correspondance</v>
      </c>
      <c r="J245" s="1" t="str">
        <f>_xlfn.XLOOKUP(Registre_Maintenance__2[[#This Row],[ID_Antenne]],Master!D:D,Master!F:F,"Pas de correspondance")</f>
        <v>Pas de correspondance</v>
      </c>
      <c r="K245" s="1" t="e">
        <f>_xlfn.XLOOKUP(Registre_Maintenance__2[[#This Row],[ID_Antenne]],Master!D:D,Master!#REF!,"Pas de correspondance")</f>
        <v>#REF!</v>
      </c>
    </row>
    <row r="246" spans="1:11" x14ac:dyDescent="0.25">
      <c r="A246" s="1" t="s">
        <v>1576</v>
      </c>
      <c r="B246" s="1" t="s">
        <v>1595</v>
      </c>
      <c r="C246" s="1" t="s">
        <v>24</v>
      </c>
      <c r="D246">
        <v>-9.9170499999999997</v>
      </c>
      <c r="E246">
        <v>22.918887000000002</v>
      </c>
      <c r="F246" s="1" t="s">
        <v>1504</v>
      </c>
      <c r="G246" s="1" t="s">
        <v>1505</v>
      </c>
      <c r="H246" s="1" t="str">
        <f>_xlfn.XLOOKUP(Registre_Maintenance__2[[#This Row],[ID_Antenne]],Master!D:D,Master!B:B,"Pas de correspondance")</f>
        <v>Pas de correspondance</v>
      </c>
      <c r="I246" s="1" t="str">
        <f>_xlfn.XLOOKUP(Registre_Maintenance__2[[#This Row],[ID_Antenne]],Master!D:D,Master!C:C,"Pas de correspondance")</f>
        <v>Pas de correspondance</v>
      </c>
      <c r="J246" s="1" t="str">
        <f>_xlfn.XLOOKUP(Registre_Maintenance__2[[#This Row],[ID_Antenne]],Master!D:D,Master!F:F,"Pas de correspondance")</f>
        <v>Pas de correspondance</v>
      </c>
      <c r="K246" s="1" t="e">
        <f>_xlfn.XLOOKUP(Registre_Maintenance__2[[#This Row],[ID_Antenne]],Master!D:D,Master!#REF!,"Pas de correspondance")</f>
        <v>#REF!</v>
      </c>
    </row>
    <row r="247" spans="1:11" x14ac:dyDescent="0.25">
      <c r="A247" s="1" t="s">
        <v>1576</v>
      </c>
      <c r="B247" s="1" t="s">
        <v>1437</v>
      </c>
      <c r="C247" s="1" t="s">
        <v>26</v>
      </c>
      <c r="D247">
        <v>-7.3952039999999997</v>
      </c>
      <c r="E247">
        <v>21.651043999999999</v>
      </c>
      <c r="F247" s="1" t="s">
        <v>1504</v>
      </c>
      <c r="G247" s="1" t="s">
        <v>1505</v>
      </c>
      <c r="H247" s="1" t="str">
        <f>_xlfn.XLOOKUP(Registre_Maintenance__2[[#This Row],[ID_Antenne]],Master!D:D,Master!B:B,"Pas de correspondance")</f>
        <v>Pas de correspondance</v>
      </c>
      <c r="I247" s="1" t="str">
        <f>_xlfn.XLOOKUP(Registre_Maintenance__2[[#This Row],[ID_Antenne]],Master!D:D,Master!C:C,"Pas de correspondance")</f>
        <v>Pas de correspondance</v>
      </c>
      <c r="J247" s="1" t="str">
        <f>_xlfn.XLOOKUP(Registre_Maintenance__2[[#This Row],[ID_Antenne]],Master!D:D,Master!F:F,"Pas de correspondance")</f>
        <v>Pas de correspondance</v>
      </c>
      <c r="K247" s="1" t="e">
        <f>_xlfn.XLOOKUP(Registre_Maintenance__2[[#This Row],[ID_Antenne]],Master!D:D,Master!#REF!,"Pas de correspondance")</f>
        <v>#REF!</v>
      </c>
    </row>
    <row r="248" spans="1:11" x14ac:dyDescent="0.25">
      <c r="A248" s="1" t="s">
        <v>1576</v>
      </c>
      <c r="B248" s="1" t="s">
        <v>959</v>
      </c>
      <c r="C248" s="1" t="s">
        <v>73</v>
      </c>
      <c r="D248">
        <v>3.0603760000000002</v>
      </c>
      <c r="E248">
        <v>19.708034000000001</v>
      </c>
      <c r="F248" s="1" t="s">
        <v>1506</v>
      </c>
      <c r="G248" s="1" t="s">
        <v>1507</v>
      </c>
      <c r="H248" s="1" t="str">
        <f>_xlfn.XLOOKUP(Registre_Maintenance__2[[#This Row],[ID_Antenne]],Master!D:D,Master!B:B,"Pas de correspondance")</f>
        <v>Pas de correspondance</v>
      </c>
      <c r="I248" s="1" t="str">
        <f>_xlfn.XLOOKUP(Registre_Maintenance__2[[#This Row],[ID_Antenne]],Master!D:D,Master!C:C,"Pas de correspondance")</f>
        <v>Pas de correspondance</v>
      </c>
      <c r="J248" s="1" t="str">
        <f>_xlfn.XLOOKUP(Registre_Maintenance__2[[#This Row],[ID_Antenne]],Master!D:D,Master!F:F,"Pas de correspondance")</f>
        <v>Pas de correspondance</v>
      </c>
      <c r="K248" s="1" t="e">
        <f>_xlfn.XLOOKUP(Registre_Maintenance__2[[#This Row],[ID_Antenne]],Master!D:D,Master!#REF!,"Pas de correspondance")</f>
        <v>#REF!</v>
      </c>
    </row>
    <row r="249" spans="1:11" x14ac:dyDescent="0.25">
      <c r="A249" s="1" t="s">
        <v>1576</v>
      </c>
      <c r="B249" s="1" t="s">
        <v>1596</v>
      </c>
      <c r="C249" s="1" t="s">
        <v>44</v>
      </c>
      <c r="D249">
        <v>-3.269612</v>
      </c>
      <c r="E249">
        <v>25.571189</v>
      </c>
      <c r="F249" s="1" t="s">
        <v>1501</v>
      </c>
      <c r="G249" s="1" t="s">
        <v>1502</v>
      </c>
      <c r="H249" s="1" t="str">
        <f>_xlfn.XLOOKUP(Registre_Maintenance__2[[#This Row],[ID_Antenne]],Master!D:D,Master!B:B,"Pas de correspondance")</f>
        <v>Pas de correspondance</v>
      </c>
      <c r="I249" s="1" t="str">
        <f>_xlfn.XLOOKUP(Registre_Maintenance__2[[#This Row],[ID_Antenne]],Master!D:D,Master!C:C,"Pas de correspondance")</f>
        <v>Pas de correspondance</v>
      </c>
      <c r="J249" s="1" t="str">
        <f>_xlfn.XLOOKUP(Registre_Maintenance__2[[#This Row],[ID_Antenne]],Master!D:D,Master!F:F,"Pas de correspondance")</f>
        <v>Pas de correspondance</v>
      </c>
      <c r="K249" s="1" t="e">
        <f>_xlfn.XLOOKUP(Registre_Maintenance__2[[#This Row],[ID_Antenne]],Master!D:D,Master!#REF!,"Pas de correspondance")</f>
        <v>#REF!</v>
      </c>
    </row>
    <row r="250" spans="1:11" x14ac:dyDescent="0.25">
      <c r="A250" s="1" t="s">
        <v>1576</v>
      </c>
      <c r="B250" s="1" t="s">
        <v>1597</v>
      </c>
      <c r="C250" s="1" t="s">
        <v>1675</v>
      </c>
      <c r="D250">
        <v>-12.086929</v>
      </c>
      <c r="E250">
        <v>14.032645</v>
      </c>
      <c r="F250" s="1" t="s">
        <v>1506</v>
      </c>
      <c r="G250" s="1" t="s">
        <v>1507</v>
      </c>
      <c r="H250" s="1" t="str">
        <f>_xlfn.XLOOKUP(Registre_Maintenance__2[[#This Row],[ID_Antenne]],Master!D:D,Master!B:B,"Pas de correspondance")</f>
        <v>Pas de correspondance</v>
      </c>
      <c r="I250" s="1" t="str">
        <f>_xlfn.XLOOKUP(Registre_Maintenance__2[[#This Row],[ID_Antenne]],Master!D:D,Master!C:C,"Pas de correspondance")</f>
        <v>Pas de correspondance</v>
      </c>
      <c r="J250" s="1" t="str">
        <f>_xlfn.XLOOKUP(Registre_Maintenance__2[[#This Row],[ID_Antenne]],Master!D:D,Master!F:F,"Pas de correspondance")</f>
        <v>Pas de correspondance</v>
      </c>
      <c r="K250" s="1" t="e">
        <f>_xlfn.XLOOKUP(Registre_Maintenance__2[[#This Row],[ID_Antenne]],Master!D:D,Master!#REF!,"Pas de correspondance")</f>
        <v>#REF!</v>
      </c>
    </row>
    <row r="251" spans="1:11" x14ac:dyDescent="0.25">
      <c r="A251" s="1" t="s">
        <v>1598</v>
      </c>
      <c r="B251" s="1" t="s">
        <v>870</v>
      </c>
      <c r="C251" s="1" t="s">
        <v>40</v>
      </c>
      <c r="D251">
        <v>-10.963041</v>
      </c>
      <c r="E251">
        <v>12.269857</v>
      </c>
      <c r="F251" s="1" t="s">
        <v>1504</v>
      </c>
      <c r="G251" s="1" t="s">
        <v>1505</v>
      </c>
      <c r="H251" s="1" t="str">
        <f>_xlfn.XLOOKUP(Registre_Maintenance__2[[#This Row],[ID_Antenne]],Master!D:D,Master!B:B,"Pas de correspondance")</f>
        <v>Pas de correspondance</v>
      </c>
      <c r="I251" s="1" t="str">
        <f>_xlfn.XLOOKUP(Registre_Maintenance__2[[#This Row],[ID_Antenne]],Master!D:D,Master!C:C,"Pas de correspondance")</f>
        <v>Pas de correspondance</v>
      </c>
      <c r="J251" s="1" t="str">
        <f>_xlfn.XLOOKUP(Registre_Maintenance__2[[#This Row],[ID_Antenne]],Master!D:D,Master!F:F,"Pas de correspondance")</f>
        <v>Pas de correspondance</v>
      </c>
      <c r="K251" s="1" t="e">
        <f>_xlfn.XLOOKUP(Registre_Maintenance__2[[#This Row],[ID_Antenne]],Master!D:D,Master!#REF!,"Pas de correspondance")</f>
        <v>#REF!</v>
      </c>
    </row>
    <row r="252" spans="1:11" x14ac:dyDescent="0.25">
      <c r="A252" s="1" t="s">
        <v>1598</v>
      </c>
      <c r="B252" s="1" t="s">
        <v>1599</v>
      </c>
      <c r="C252" s="1" t="s">
        <v>16</v>
      </c>
      <c r="D252">
        <v>-4.332408</v>
      </c>
      <c r="E252">
        <v>14.119439</v>
      </c>
      <c r="F252" s="1" t="s">
        <v>1501</v>
      </c>
      <c r="G252" s="1" t="s">
        <v>1514</v>
      </c>
      <c r="H252" s="1" t="str">
        <f>_xlfn.XLOOKUP(Registre_Maintenance__2[[#This Row],[ID_Antenne]],Master!D:D,Master!B:B,"Pas de correspondance")</f>
        <v>Pas de correspondance</v>
      </c>
      <c r="I252" s="1" t="str">
        <f>_xlfn.XLOOKUP(Registre_Maintenance__2[[#This Row],[ID_Antenne]],Master!D:D,Master!C:C,"Pas de correspondance")</f>
        <v>Pas de correspondance</v>
      </c>
      <c r="J252" s="1" t="str">
        <f>_xlfn.XLOOKUP(Registre_Maintenance__2[[#This Row],[ID_Antenne]],Master!D:D,Master!F:F,"Pas de correspondance")</f>
        <v>Pas de correspondance</v>
      </c>
      <c r="K252" s="1" t="e">
        <f>_xlfn.XLOOKUP(Registre_Maintenance__2[[#This Row],[ID_Antenne]],Master!D:D,Master!#REF!,"Pas de correspondance")</f>
        <v>#REF!</v>
      </c>
    </row>
    <row r="253" spans="1:11" x14ac:dyDescent="0.25">
      <c r="A253" s="1" t="s">
        <v>1598</v>
      </c>
      <c r="B253" s="1" t="s">
        <v>1318</v>
      </c>
      <c r="C253" s="1" t="s">
        <v>64</v>
      </c>
      <c r="D253">
        <v>-0.57104900000000003</v>
      </c>
      <c r="E253">
        <v>15.317663</v>
      </c>
      <c r="F253" s="1" t="s">
        <v>1501</v>
      </c>
      <c r="G253" s="1" t="s">
        <v>1514</v>
      </c>
      <c r="H253" s="1" t="str">
        <f>_xlfn.XLOOKUP(Registre_Maintenance__2[[#This Row],[ID_Antenne]],Master!D:D,Master!B:B,"Pas de correspondance")</f>
        <v>Pas de correspondance</v>
      </c>
      <c r="I253" s="1" t="str">
        <f>_xlfn.XLOOKUP(Registre_Maintenance__2[[#This Row],[ID_Antenne]],Master!D:D,Master!C:C,"Pas de correspondance")</f>
        <v>Pas de correspondance</v>
      </c>
      <c r="J253" s="1" t="str">
        <f>_xlfn.XLOOKUP(Registre_Maintenance__2[[#This Row],[ID_Antenne]],Master!D:D,Master!F:F,"Pas de correspondance")</f>
        <v>Pas de correspondance</v>
      </c>
      <c r="K253" s="1" t="e">
        <f>_xlfn.XLOOKUP(Registre_Maintenance__2[[#This Row],[ID_Antenne]],Master!D:D,Master!#REF!,"Pas de correspondance")</f>
        <v>#REF!</v>
      </c>
    </row>
    <row r="254" spans="1:11" x14ac:dyDescent="0.25">
      <c r="A254" s="1" t="s">
        <v>1598</v>
      </c>
      <c r="B254" s="1" t="s">
        <v>985</v>
      </c>
      <c r="C254" s="1" t="s">
        <v>44</v>
      </c>
      <c r="D254">
        <v>-10.442425</v>
      </c>
      <c r="E254">
        <v>23.243632000000002</v>
      </c>
      <c r="F254" s="1" t="s">
        <v>1504</v>
      </c>
      <c r="G254" s="1" t="s">
        <v>1514</v>
      </c>
      <c r="H254" s="1" t="str">
        <f>_xlfn.XLOOKUP(Registre_Maintenance__2[[#This Row],[ID_Antenne]],Master!D:D,Master!B:B,"Pas de correspondance")</f>
        <v>Pas de correspondance</v>
      </c>
      <c r="I254" s="1" t="str">
        <f>_xlfn.XLOOKUP(Registre_Maintenance__2[[#This Row],[ID_Antenne]],Master!D:D,Master!C:C,"Pas de correspondance")</f>
        <v>Pas de correspondance</v>
      </c>
      <c r="J254" s="1" t="str">
        <f>_xlfn.XLOOKUP(Registre_Maintenance__2[[#This Row],[ID_Antenne]],Master!D:D,Master!F:F,"Pas de correspondance")</f>
        <v>Pas de correspondance</v>
      </c>
      <c r="K254" s="1" t="e">
        <f>_xlfn.XLOOKUP(Registre_Maintenance__2[[#This Row],[ID_Antenne]],Master!D:D,Master!#REF!,"Pas de correspondance")</f>
        <v>#REF!</v>
      </c>
    </row>
    <row r="255" spans="1:11" x14ac:dyDescent="0.25">
      <c r="A255" s="1" t="s">
        <v>1598</v>
      </c>
      <c r="B255" s="1" t="s">
        <v>1106</v>
      </c>
      <c r="C255" s="1" t="s">
        <v>18</v>
      </c>
      <c r="D255">
        <v>0.16327700000000001</v>
      </c>
      <c r="E255">
        <v>14.871577</v>
      </c>
      <c r="F255" s="1" t="s">
        <v>1504</v>
      </c>
      <c r="G255" s="1" t="s">
        <v>1505</v>
      </c>
      <c r="H255" s="1" t="str">
        <f>_xlfn.XLOOKUP(Registre_Maintenance__2[[#This Row],[ID_Antenne]],Master!D:D,Master!B:B,"Pas de correspondance")</f>
        <v>Pas de correspondance</v>
      </c>
      <c r="I255" s="1" t="str">
        <f>_xlfn.XLOOKUP(Registre_Maintenance__2[[#This Row],[ID_Antenne]],Master!D:D,Master!C:C,"Pas de correspondance")</f>
        <v>Pas de correspondance</v>
      </c>
      <c r="J255" s="1" t="str">
        <f>_xlfn.XLOOKUP(Registre_Maintenance__2[[#This Row],[ID_Antenne]],Master!D:D,Master!F:F,"Pas de correspondance")</f>
        <v>Pas de correspondance</v>
      </c>
      <c r="K255" s="1" t="e">
        <f>_xlfn.XLOOKUP(Registre_Maintenance__2[[#This Row],[ID_Antenne]],Master!D:D,Master!#REF!,"Pas de correspondance")</f>
        <v>#REF!</v>
      </c>
    </row>
    <row r="256" spans="1:11" x14ac:dyDescent="0.25">
      <c r="A256" s="1" t="s">
        <v>1598</v>
      </c>
      <c r="B256" s="1" t="s">
        <v>1600</v>
      </c>
      <c r="C256" s="1" t="s">
        <v>26</v>
      </c>
      <c r="D256">
        <v>4.7044240000000004</v>
      </c>
      <c r="E256">
        <v>20.486409999999999</v>
      </c>
      <c r="F256" s="1" t="s">
        <v>1504</v>
      </c>
      <c r="G256" s="1" t="s">
        <v>1507</v>
      </c>
      <c r="H256" s="1" t="str">
        <f>_xlfn.XLOOKUP(Registre_Maintenance__2[[#This Row],[ID_Antenne]],Master!D:D,Master!B:B,"Pas de correspondance")</f>
        <v>Pas de correspondance</v>
      </c>
      <c r="I256" s="1" t="str">
        <f>_xlfn.XLOOKUP(Registre_Maintenance__2[[#This Row],[ID_Antenne]],Master!D:D,Master!C:C,"Pas de correspondance")</f>
        <v>Pas de correspondance</v>
      </c>
      <c r="J256" s="1" t="str">
        <f>_xlfn.XLOOKUP(Registre_Maintenance__2[[#This Row],[ID_Antenne]],Master!D:D,Master!F:F,"Pas de correspondance")</f>
        <v>Pas de correspondance</v>
      </c>
      <c r="K256" s="1" t="e">
        <f>_xlfn.XLOOKUP(Registre_Maintenance__2[[#This Row],[ID_Antenne]],Master!D:D,Master!#REF!,"Pas de correspondance")</f>
        <v>#REF!</v>
      </c>
    </row>
    <row r="257" spans="1:11" x14ac:dyDescent="0.25">
      <c r="A257" s="1" t="s">
        <v>1598</v>
      </c>
      <c r="B257" s="1" t="s">
        <v>1601</v>
      </c>
      <c r="C257" s="1" t="s">
        <v>13</v>
      </c>
      <c r="D257">
        <v>4.7060310000000003</v>
      </c>
      <c r="E257">
        <v>27.348973000000001</v>
      </c>
      <c r="F257" s="1" t="s">
        <v>1504</v>
      </c>
      <c r="G257" s="1" t="s">
        <v>1505</v>
      </c>
      <c r="H257" s="1" t="str">
        <f>_xlfn.XLOOKUP(Registre_Maintenance__2[[#This Row],[ID_Antenne]],Master!D:D,Master!B:B,"Pas de correspondance")</f>
        <v>Pas de correspondance</v>
      </c>
      <c r="I257" s="1" t="str">
        <f>_xlfn.XLOOKUP(Registre_Maintenance__2[[#This Row],[ID_Antenne]],Master!D:D,Master!C:C,"Pas de correspondance")</f>
        <v>Pas de correspondance</v>
      </c>
      <c r="J257" s="1" t="str">
        <f>_xlfn.XLOOKUP(Registre_Maintenance__2[[#This Row],[ID_Antenne]],Master!D:D,Master!F:F,"Pas de correspondance")</f>
        <v>Pas de correspondance</v>
      </c>
      <c r="K257" s="1" t="e">
        <f>_xlfn.XLOOKUP(Registre_Maintenance__2[[#This Row],[ID_Antenne]],Master!D:D,Master!#REF!,"Pas de correspondance")</f>
        <v>#REF!</v>
      </c>
    </row>
    <row r="258" spans="1:11" x14ac:dyDescent="0.25">
      <c r="A258" s="1" t="s">
        <v>1598</v>
      </c>
      <c r="B258" s="1" t="s">
        <v>1602</v>
      </c>
      <c r="C258" s="1" t="s">
        <v>10</v>
      </c>
      <c r="D258">
        <v>1.019657</v>
      </c>
      <c r="E258">
        <v>16.963799000000002</v>
      </c>
      <c r="F258" s="1" t="s">
        <v>1506</v>
      </c>
      <c r="G258" s="1" t="s">
        <v>1514</v>
      </c>
      <c r="H258" s="1" t="str">
        <f>_xlfn.XLOOKUP(Registre_Maintenance__2[[#This Row],[ID_Antenne]],Master!D:D,Master!B:B,"Pas de correspondance")</f>
        <v>Pas de correspondance</v>
      </c>
      <c r="I258" s="1" t="str">
        <f>_xlfn.XLOOKUP(Registre_Maintenance__2[[#This Row],[ID_Antenne]],Master!D:D,Master!C:C,"Pas de correspondance")</f>
        <v>Pas de correspondance</v>
      </c>
      <c r="J258" s="1" t="str">
        <f>_xlfn.XLOOKUP(Registre_Maintenance__2[[#This Row],[ID_Antenne]],Master!D:D,Master!F:F,"Pas de correspondance")</f>
        <v>Pas de correspondance</v>
      </c>
      <c r="K258" s="1" t="e">
        <f>_xlfn.XLOOKUP(Registre_Maintenance__2[[#This Row],[ID_Antenne]],Master!D:D,Master!#REF!,"Pas de correspondance")</f>
        <v>#REF!</v>
      </c>
    </row>
    <row r="259" spans="1:11" x14ac:dyDescent="0.25">
      <c r="A259" s="1" t="s">
        <v>1598</v>
      </c>
      <c r="B259" s="1" t="s">
        <v>1431</v>
      </c>
      <c r="C259" s="1" t="s">
        <v>44</v>
      </c>
      <c r="D259">
        <v>-4.6311460000000002</v>
      </c>
      <c r="E259">
        <v>25.314723000000001</v>
      </c>
      <c r="F259" s="1" t="s">
        <v>1504</v>
      </c>
      <c r="G259" s="1" t="s">
        <v>1505</v>
      </c>
      <c r="H259" s="1" t="str">
        <f>_xlfn.XLOOKUP(Registre_Maintenance__2[[#This Row],[ID_Antenne]],Master!D:D,Master!B:B,"Pas de correspondance")</f>
        <v>Pas de correspondance</v>
      </c>
      <c r="I259" s="1" t="str">
        <f>_xlfn.XLOOKUP(Registre_Maintenance__2[[#This Row],[ID_Antenne]],Master!D:D,Master!C:C,"Pas de correspondance")</f>
        <v>Pas de correspondance</v>
      </c>
      <c r="J259" s="1" t="str">
        <f>_xlfn.XLOOKUP(Registre_Maintenance__2[[#This Row],[ID_Antenne]],Master!D:D,Master!F:F,"Pas de correspondance")</f>
        <v>Pas de correspondance</v>
      </c>
      <c r="K259" s="1" t="e">
        <f>_xlfn.XLOOKUP(Registre_Maintenance__2[[#This Row],[ID_Antenne]],Master!D:D,Master!#REF!,"Pas de correspondance")</f>
        <v>#REF!</v>
      </c>
    </row>
    <row r="260" spans="1:11" x14ac:dyDescent="0.25">
      <c r="A260" s="1" t="s">
        <v>1598</v>
      </c>
      <c r="B260" s="1" t="s">
        <v>1603</v>
      </c>
      <c r="C260" s="1" t="s">
        <v>40</v>
      </c>
      <c r="D260">
        <v>-11.591777</v>
      </c>
      <c r="E260">
        <v>21.213452</v>
      </c>
      <c r="F260" s="1" t="s">
        <v>1501</v>
      </c>
      <c r="G260" s="1" t="s">
        <v>1502</v>
      </c>
      <c r="H260" s="1" t="str">
        <f>_xlfn.XLOOKUP(Registre_Maintenance__2[[#This Row],[ID_Antenne]],Master!D:D,Master!B:B,"Pas de correspondance")</f>
        <v>Pas de correspondance</v>
      </c>
      <c r="I260" s="1" t="str">
        <f>_xlfn.XLOOKUP(Registre_Maintenance__2[[#This Row],[ID_Antenne]],Master!D:D,Master!C:C,"Pas de correspondance")</f>
        <v>Pas de correspondance</v>
      </c>
      <c r="J260" s="1" t="str">
        <f>_xlfn.XLOOKUP(Registre_Maintenance__2[[#This Row],[ID_Antenne]],Master!D:D,Master!F:F,"Pas de correspondance")</f>
        <v>Pas de correspondance</v>
      </c>
      <c r="K260" s="1" t="e">
        <f>_xlfn.XLOOKUP(Registre_Maintenance__2[[#This Row],[ID_Antenne]],Master!D:D,Master!#REF!,"Pas de correspondance")</f>
        <v>#REF!</v>
      </c>
    </row>
    <row r="261" spans="1:11" x14ac:dyDescent="0.25">
      <c r="A261" s="1" t="s">
        <v>1598</v>
      </c>
      <c r="B261" s="1" t="s">
        <v>1604</v>
      </c>
      <c r="C261" s="1" t="s">
        <v>44</v>
      </c>
      <c r="D261">
        <v>3.0184790000000001</v>
      </c>
      <c r="E261">
        <v>27.188068000000001</v>
      </c>
      <c r="F261" s="1" t="s">
        <v>1501</v>
      </c>
      <c r="G261" s="1" t="s">
        <v>1502</v>
      </c>
      <c r="H261" s="1" t="str">
        <f>_xlfn.XLOOKUP(Registre_Maintenance__2[[#This Row],[ID_Antenne]],Master!D:D,Master!B:B,"Pas de correspondance")</f>
        <v>Pas de correspondance</v>
      </c>
      <c r="I261" s="1" t="str">
        <f>_xlfn.XLOOKUP(Registre_Maintenance__2[[#This Row],[ID_Antenne]],Master!D:D,Master!C:C,"Pas de correspondance")</f>
        <v>Pas de correspondance</v>
      </c>
      <c r="J261" s="1" t="str">
        <f>_xlfn.XLOOKUP(Registre_Maintenance__2[[#This Row],[ID_Antenne]],Master!D:D,Master!F:F,"Pas de correspondance")</f>
        <v>Pas de correspondance</v>
      </c>
      <c r="K261" s="1" t="e">
        <f>_xlfn.XLOOKUP(Registre_Maintenance__2[[#This Row],[ID_Antenne]],Master!D:D,Master!#REF!,"Pas de correspondance")</f>
        <v>#REF!</v>
      </c>
    </row>
    <row r="262" spans="1:11" x14ac:dyDescent="0.25">
      <c r="A262" s="1" t="s">
        <v>1598</v>
      </c>
      <c r="B262" s="1" t="s">
        <v>1249</v>
      </c>
      <c r="C262" s="1" t="s">
        <v>16</v>
      </c>
      <c r="D262">
        <v>-11.407966</v>
      </c>
      <c r="E262">
        <v>28.378274000000001</v>
      </c>
      <c r="F262" s="1" t="s">
        <v>1504</v>
      </c>
      <c r="G262" s="1" t="s">
        <v>1507</v>
      </c>
      <c r="H262" s="1" t="str">
        <f>_xlfn.XLOOKUP(Registre_Maintenance__2[[#This Row],[ID_Antenne]],Master!D:D,Master!B:B,"Pas de correspondance")</f>
        <v>Pas de correspondance</v>
      </c>
      <c r="I262" s="1" t="str">
        <f>_xlfn.XLOOKUP(Registre_Maintenance__2[[#This Row],[ID_Antenne]],Master!D:D,Master!C:C,"Pas de correspondance")</f>
        <v>Pas de correspondance</v>
      </c>
      <c r="J262" s="1" t="str">
        <f>_xlfn.XLOOKUP(Registre_Maintenance__2[[#This Row],[ID_Antenne]],Master!D:D,Master!F:F,"Pas de correspondance")</f>
        <v>Pas de correspondance</v>
      </c>
      <c r="K262" s="1" t="e">
        <f>_xlfn.XLOOKUP(Registre_Maintenance__2[[#This Row],[ID_Antenne]],Master!D:D,Master!#REF!,"Pas de correspondance")</f>
        <v>#REF!</v>
      </c>
    </row>
    <row r="263" spans="1:11" x14ac:dyDescent="0.25">
      <c r="A263" s="1" t="s">
        <v>1598</v>
      </c>
      <c r="B263" s="1" t="s">
        <v>1245</v>
      </c>
      <c r="C263" s="1" t="s">
        <v>24</v>
      </c>
      <c r="D263">
        <v>-4.4958720000000003</v>
      </c>
      <c r="E263">
        <v>18.514112000000001</v>
      </c>
      <c r="F263" s="1" t="s">
        <v>1504</v>
      </c>
      <c r="G263" s="1" t="s">
        <v>1514</v>
      </c>
      <c r="H263" s="1" t="str">
        <f>_xlfn.XLOOKUP(Registre_Maintenance__2[[#This Row],[ID_Antenne]],Master!D:D,Master!B:B,"Pas de correspondance")</f>
        <v>Pas de correspondance</v>
      </c>
      <c r="I263" s="1" t="str">
        <f>_xlfn.XLOOKUP(Registre_Maintenance__2[[#This Row],[ID_Antenne]],Master!D:D,Master!C:C,"Pas de correspondance")</f>
        <v>Pas de correspondance</v>
      </c>
      <c r="J263" s="1" t="str">
        <f>_xlfn.XLOOKUP(Registre_Maintenance__2[[#This Row],[ID_Antenne]],Master!D:D,Master!F:F,"Pas de correspondance")</f>
        <v>Pas de correspondance</v>
      </c>
      <c r="K263" s="1" t="e">
        <f>_xlfn.XLOOKUP(Registre_Maintenance__2[[#This Row],[ID_Antenne]],Master!D:D,Master!#REF!,"Pas de correspondance")</f>
        <v>#REF!</v>
      </c>
    </row>
    <row r="264" spans="1:11" x14ac:dyDescent="0.25">
      <c r="A264" s="1" t="s">
        <v>1598</v>
      </c>
      <c r="B264" s="1" t="s">
        <v>1605</v>
      </c>
      <c r="C264" s="1" t="s">
        <v>10</v>
      </c>
      <c r="D264">
        <v>0.35034999999999999</v>
      </c>
      <c r="E264">
        <v>13.603628</v>
      </c>
      <c r="F264" s="1" t="s">
        <v>1501</v>
      </c>
      <c r="G264" s="1" t="s">
        <v>1507</v>
      </c>
      <c r="H264" s="1" t="str">
        <f>_xlfn.XLOOKUP(Registre_Maintenance__2[[#This Row],[ID_Antenne]],Master!D:D,Master!B:B,"Pas de correspondance")</f>
        <v>Pas de correspondance</v>
      </c>
      <c r="I264" s="1" t="str">
        <f>_xlfn.XLOOKUP(Registre_Maintenance__2[[#This Row],[ID_Antenne]],Master!D:D,Master!C:C,"Pas de correspondance")</f>
        <v>Pas de correspondance</v>
      </c>
      <c r="J264" s="1" t="str">
        <f>_xlfn.XLOOKUP(Registre_Maintenance__2[[#This Row],[ID_Antenne]],Master!D:D,Master!F:F,"Pas de correspondance")</f>
        <v>Pas de correspondance</v>
      </c>
      <c r="K264" s="1" t="e">
        <f>_xlfn.XLOOKUP(Registre_Maintenance__2[[#This Row],[ID_Antenne]],Master!D:D,Master!#REF!,"Pas de correspondance")</f>
        <v>#REF!</v>
      </c>
    </row>
    <row r="265" spans="1:11" x14ac:dyDescent="0.25">
      <c r="A265" s="1" t="s">
        <v>1598</v>
      </c>
      <c r="B265" s="1" t="s">
        <v>1606</v>
      </c>
      <c r="C265" s="1" t="s">
        <v>127</v>
      </c>
      <c r="D265">
        <v>4.2873989999999997</v>
      </c>
      <c r="E265">
        <v>14.756335</v>
      </c>
      <c r="F265" s="1" t="s">
        <v>1501</v>
      </c>
      <c r="G265" s="1" t="s">
        <v>1502</v>
      </c>
      <c r="H265" s="1" t="str">
        <f>_xlfn.XLOOKUP(Registre_Maintenance__2[[#This Row],[ID_Antenne]],Master!D:D,Master!B:B,"Pas de correspondance")</f>
        <v>Pas de correspondance</v>
      </c>
      <c r="I265" s="1" t="str">
        <f>_xlfn.XLOOKUP(Registre_Maintenance__2[[#This Row],[ID_Antenne]],Master!D:D,Master!C:C,"Pas de correspondance")</f>
        <v>Pas de correspondance</v>
      </c>
      <c r="J265" s="1" t="str">
        <f>_xlfn.XLOOKUP(Registre_Maintenance__2[[#This Row],[ID_Antenne]],Master!D:D,Master!F:F,"Pas de correspondance")</f>
        <v>Pas de correspondance</v>
      </c>
      <c r="K265" s="1" t="e">
        <f>_xlfn.XLOOKUP(Registre_Maintenance__2[[#This Row],[ID_Antenne]],Master!D:D,Master!#REF!,"Pas de correspondance")</f>
        <v>#REF!</v>
      </c>
    </row>
    <row r="266" spans="1:11" x14ac:dyDescent="0.25">
      <c r="A266" s="1" t="s">
        <v>1598</v>
      </c>
      <c r="B266" s="1" t="s">
        <v>1099</v>
      </c>
      <c r="C266" s="1" t="s">
        <v>24</v>
      </c>
      <c r="D266">
        <v>-11.594525000000001</v>
      </c>
      <c r="E266">
        <v>29.744895</v>
      </c>
      <c r="F266" s="1" t="s">
        <v>1506</v>
      </c>
      <c r="G266" s="1" t="s">
        <v>1507</v>
      </c>
      <c r="H266" s="1" t="str">
        <f>_xlfn.XLOOKUP(Registre_Maintenance__2[[#This Row],[ID_Antenne]],Master!D:D,Master!B:B,"Pas de correspondance")</f>
        <v>Pas de correspondance</v>
      </c>
      <c r="I266" s="1" t="str">
        <f>_xlfn.XLOOKUP(Registre_Maintenance__2[[#This Row],[ID_Antenne]],Master!D:D,Master!C:C,"Pas de correspondance")</f>
        <v>Pas de correspondance</v>
      </c>
      <c r="J266" s="1" t="str">
        <f>_xlfn.XLOOKUP(Registre_Maintenance__2[[#This Row],[ID_Antenne]],Master!D:D,Master!F:F,"Pas de correspondance")</f>
        <v>Pas de correspondance</v>
      </c>
      <c r="K266" s="1" t="e">
        <f>_xlfn.XLOOKUP(Registre_Maintenance__2[[#This Row],[ID_Antenne]],Master!D:D,Master!#REF!,"Pas de correspondance")</f>
        <v>#REF!</v>
      </c>
    </row>
    <row r="267" spans="1:11" x14ac:dyDescent="0.25">
      <c r="A267" s="1" t="s">
        <v>1598</v>
      </c>
      <c r="B267" s="1" t="s">
        <v>1067</v>
      </c>
      <c r="C267" s="1" t="s">
        <v>37</v>
      </c>
      <c r="D267">
        <v>-1.5936220000000001</v>
      </c>
      <c r="E267">
        <v>14.928856</v>
      </c>
      <c r="F267" s="1" t="s">
        <v>1501</v>
      </c>
      <c r="G267" s="1" t="s">
        <v>1502</v>
      </c>
      <c r="H267" s="1" t="str">
        <f>_xlfn.XLOOKUP(Registre_Maintenance__2[[#This Row],[ID_Antenne]],Master!D:D,Master!B:B,"Pas de correspondance")</f>
        <v>Pas de correspondance</v>
      </c>
      <c r="I267" s="1" t="str">
        <f>_xlfn.XLOOKUP(Registre_Maintenance__2[[#This Row],[ID_Antenne]],Master!D:D,Master!C:C,"Pas de correspondance")</f>
        <v>Pas de correspondance</v>
      </c>
      <c r="J267" s="1" t="str">
        <f>_xlfn.XLOOKUP(Registre_Maintenance__2[[#This Row],[ID_Antenne]],Master!D:D,Master!F:F,"Pas de correspondance")</f>
        <v>Pas de correspondance</v>
      </c>
      <c r="K267" s="1" t="e">
        <f>_xlfn.XLOOKUP(Registre_Maintenance__2[[#This Row],[ID_Antenne]],Master!D:D,Master!#REF!,"Pas de correspondance")</f>
        <v>#REF!</v>
      </c>
    </row>
    <row r="268" spans="1:11" x14ac:dyDescent="0.25">
      <c r="A268" s="1" t="s">
        <v>1598</v>
      </c>
      <c r="B268" s="1" t="s">
        <v>1607</v>
      </c>
      <c r="C268" s="1" t="s">
        <v>31</v>
      </c>
      <c r="D268">
        <v>1.3657680000000001</v>
      </c>
      <c r="E268">
        <v>21.423017000000002</v>
      </c>
      <c r="F268" s="1" t="s">
        <v>1501</v>
      </c>
      <c r="G268" s="1" t="s">
        <v>1502</v>
      </c>
      <c r="H268" s="1" t="str">
        <f>_xlfn.XLOOKUP(Registre_Maintenance__2[[#This Row],[ID_Antenne]],Master!D:D,Master!B:B,"Pas de correspondance")</f>
        <v>Pas de correspondance</v>
      </c>
      <c r="I268" s="1" t="str">
        <f>_xlfn.XLOOKUP(Registre_Maintenance__2[[#This Row],[ID_Antenne]],Master!D:D,Master!C:C,"Pas de correspondance")</f>
        <v>Pas de correspondance</v>
      </c>
      <c r="J268" s="1" t="str">
        <f>_xlfn.XLOOKUP(Registre_Maintenance__2[[#This Row],[ID_Antenne]],Master!D:D,Master!F:F,"Pas de correspondance")</f>
        <v>Pas de correspondance</v>
      </c>
      <c r="K268" s="1" t="e">
        <f>_xlfn.XLOOKUP(Registre_Maintenance__2[[#This Row],[ID_Antenne]],Master!D:D,Master!#REF!,"Pas de correspondance")</f>
        <v>#REF!</v>
      </c>
    </row>
    <row r="269" spans="1:11" x14ac:dyDescent="0.25">
      <c r="A269" s="1" t="s">
        <v>1598</v>
      </c>
      <c r="B269" s="1" t="s">
        <v>1608</v>
      </c>
      <c r="C269" s="1" t="s">
        <v>10</v>
      </c>
      <c r="D269">
        <v>-7.3750049999999998</v>
      </c>
      <c r="E269">
        <v>30.878126000000002</v>
      </c>
      <c r="F269" s="1" t="s">
        <v>1501</v>
      </c>
      <c r="G269" s="1" t="s">
        <v>1505</v>
      </c>
      <c r="H269" s="1" t="str">
        <f>_xlfn.XLOOKUP(Registre_Maintenance__2[[#This Row],[ID_Antenne]],Master!D:D,Master!B:B,"Pas de correspondance")</f>
        <v>Pas de correspondance</v>
      </c>
      <c r="I269" s="1" t="str">
        <f>_xlfn.XLOOKUP(Registre_Maintenance__2[[#This Row],[ID_Antenne]],Master!D:D,Master!C:C,"Pas de correspondance")</f>
        <v>Pas de correspondance</v>
      </c>
      <c r="J269" s="1" t="str">
        <f>_xlfn.XLOOKUP(Registre_Maintenance__2[[#This Row],[ID_Antenne]],Master!D:D,Master!F:F,"Pas de correspondance")</f>
        <v>Pas de correspondance</v>
      </c>
      <c r="K269" s="1" t="e">
        <f>_xlfn.XLOOKUP(Registre_Maintenance__2[[#This Row],[ID_Antenne]],Master!D:D,Master!#REF!,"Pas de correspondance")</f>
        <v>#REF!</v>
      </c>
    </row>
    <row r="270" spans="1:11" x14ac:dyDescent="0.25">
      <c r="A270" s="1" t="s">
        <v>1598</v>
      </c>
      <c r="B270" s="1" t="s">
        <v>1264</v>
      </c>
      <c r="C270" s="1" t="s">
        <v>31</v>
      </c>
      <c r="D270">
        <v>-12.050063</v>
      </c>
      <c r="E270">
        <v>26.636987999999999</v>
      </c>
      <c r="F270" s="1" t="s">
        <v>1506</v>
      </c>
      <c r="G270" s="1" t="s">
        <v>1514</v>
      </c>
      <c r="H270" s="1" t="str">
        <f>_xlfn.XLOOKUP(Registre_Maintenance__2[[#This Row],[ID_Antenne]],Master!D:D,Master!B:B,"Pas de correspondance")</f>
        <v>Pas de correspondance</v>
      </c>
      <c r="I270" s="1" t="str">
        <f>_xlfn.XLOOKUP(Registre_Maintenance__2[[#This Row],[ID_Antenne]],Master!D:D,Master!C:C,"Pas de correspondance")</f>
        <v>Pas de correspondance</v>
      </c>
      <c r="J270" s="1" t="str">
        <f>_xlfn.XLOOKUP(Registre_Maintenance__2[[#This Row],[ID_Antenne]],Master!D:D,Master!F:F,"Pas de correspondance")</f>
        <v>Pas de correspondance</v>
      </c>
      <c r="K270" s="1" t="e">
        <f>_xlfn.XLOOKUP(Registre_Maintenance__2[[#This Row],[ID_Antenne]],Master!D:D,Master!#REF!,"Pas de correspondance")</f>
        <v>#REF!</v>
      </c>
    </row>
    <row r="271" spans="1:11" x14ac:dyDescent="0.25">
      <c r="A271" s="1" t="s">
        <v>1598</v>
      </c>
      <c r="B271" s="1" t="s">
        <v>1609</v>
      </c>
      <c r="C271" s="1" t="s">
        <v>1674</v>
      </c>
      <c r="D271">
        <v>-6.8161690000000004</v>
      </c>
      <c r="E271">
        <v>16.521000999999998</v>
      </c>
      <c r="F271" s="1" t="s">
        <v>1501</v>
      </c>
      <c r="G271" s="1" t="s">
        <v>1502</v>
      </c>
      <c r="H271" s="1" t="str">
        <f>_xlfn.XLOOKUP(Registre_Maintenance__2[[#This Row],[ID_Antenne]],Master!D:D,Master!B:B,"Pas de correspondance")</f>
        <v>Pas de correspondance</v>
      </c>
      <c r="I271" s="1" t="str">
        <f>_xlfn.XLOOKUP(Registre_Maintenance__2[[#This Row],[ID_Antenne]],Master!D:D,Master!C:C,"Pas de correspondance")</f>
        <v>Pas de correspondance</v>
      </c>
      <c r="J271" s="1" t="str">
        <f>_xlfn.XLOOKUP(Registre_Maintenance__2[[#This Row],[ID_Antenne]],Master!D:D,Master!F:F,"Pas de correspondance")</f>
        <v>Pas de correspondance</v>
      </c>
      <c r="K271" s="1" t="e">
        <f>_xlfn.XLOOKUP(Registre_Maintenance__2[[#This Row],[ID_Antenne]],Master!D:D,Master!#REF!,"Pas de correspondance")</f>
        <v>#REF!</v>
      </c>
    </row>
    <row r="272" spans="1:11" x14ac:dyDescent="0.25">
      <c r="A272" s="1" t="s">
        <v>1598</v>
      </c>
      <c r="B272" s="1" t="s">
        <v>1486</v>
      </c>
      <c r="C272" s="1" t="s">
        <v>127</v>
      </c>
      <c r="D272">
        <v>1.0134879999999999</v>
      </c>
      <c r="E272">
        <v>20.363515</v>
      </c>
      <c r="F272" s="1" t="s">
        <v>1504</v>
      </c>
      <c r="G272" s="1" t="s">
        <v>1514</v>
      </c>
      <c r="H272" s="1" t="str">
        <f>_xlfn.XLOOKUP(Registre_Maintenance__2[[#This Row],[ID_Antenne]],Master!D:D,Master!B:B,"Pas de correspondance")</f>
        <v>Pas de correspondance</v>
      </c>
      <c r="I272" s="1" t="str">
        <f>_xlfn.XLOOKUP(Registre_Maintenance__2[[#This Row],[ID_Antenne]],Master!D:D,Master!C:C,"Pas de correspondance")</f>
        <v>Pas de correspondance</v>
      </c>
      <c r="J272" s="1" t="str">
        <f>_xlfn.XLOOKUP(Registre_Maintenance__2[[#This Row],[ID_Antenne]],Master!D:D,Master!F:F,"Pas de correspondance")</f>
        <v>Pas de correspondance</v>
      </c>
      <c r="K272" s="1" t="e">
        <f>_xlfn.XLOOKUP(Registre_Maintenance__2[[#This Row],[ID_Antenne]],Master!D:D,Master!#REF!,"Pas de correspondance")</f>
        <v>#REF!</v>
      </c>
    </row>
    <row r="273" spans="1:11" x14ac:dyDescent="0.25">
      <c r="A273" s="1" t="s">
        <v>1598</v>
      </c>
      <c r="B273" s="1" t="s">
        <v>972</v>
      </c>
      <c r="C273" s="1" t="s">
        <v>73</v>
      </c>
      <c r="D273">
        <v>-4.5603610000000003</v>
      </c>
      <c r="E273">
        <v>24.113918999999999</v>
      </c>
      <c r="F273" s="1" t="s">
        <v>1501</v>
      </c>
      <c r="G273" s="1" t="s">
        <v>1507</v>
      </c>
      <c r="H273" s="1" t="str">
        <f>_xlfn.XLOOKUP(Registre_Maintenance__2[[#This Row],[ID_Antenne]],Master!D:D,Master!B:B,"Pas de correspondance")</f>
        <v>Pas de correspondance</v>
      </c>
      <c r="I273" s="1" t="str">
        <f>_xlfn.XLOOKUP(Registre_Maintenance__2[[#This Row],[ID_Antenne]],Master!D:D,Master!C:C,"Pas de correspondance")</f>
        <v>Pas de correspondance</v>
      </c>
      <c r="J273" s="1" t="str">
        <f>_xlfn.XLOOKUP(Registre_Maintenance__2[[#This Row],[ID_Antenne]],Master!D:D,Master!F:F,"Pas de correspondance")</f>
        <v>Pas de correspondance</v>
      </c>
      <c r="K273" s="1" t="e">
        <f>_xlfn.XLOOKUP(Registre_Maintenance__2[[#This Row],[ID_Antenne]],Master!D:D,Master!#REF!,"Pas de correspondance")</f>
        <v>#REF!</v>
      </c>
    </row>
    <row r="274" spans="1:11" x14ac:dyDescent="0.25">
      <c r="A274" s="1" t="s">
        <v>1598</v>
      </c>
      <c r="B274" s="1" t="s">
        <v>1079</v>
      </c>
      <c r="C274" s="1" t="s">
        <v>10</v>
      </c>
      <c r="D274">
        <v>-3.7720639999999999</v>
      </c>
      <c r="E274">
        <v>16.006277999999998</v>
      </c>
      <c r="F274" s="1" t="s">
        <v>1501</v>
      </c>
      <c r="G274" s="1" t="s">
        <v>1507</v>
      </c>
      <c r="H274" s="1" t="str">
        <f>_xlfn.XLOOKUP(Registre_Maintenance__2[[#This Row],[ID_Antenne]],Master!D:D,Master!B:B,"Pas de correspondance")</f>
        <v>Pas de correspondance</v>
      </c>
      <c r="I274" s="1" t="str">
        <f>_xlfn.XLOOKUP(Registre_Maintenance__2[[#This Row],[ID_Antenne]],Master!D:D,Master!C:C,"Pas de correspondance")</f>
        <v>Pas de correspondance</v>
      </c>
      <c r="J274" s="1" t="str">
        <f>_xlfn.XLOOKUP(Registre_Maintenance__2[[#This Row],[ID_Antenne]],Master!D:D,Master!F:F,"Pas de correspondance")</f>
        <v>Pas de correspondance</v>
      </c>
      <c r="K274" s="1" t="e">
        <f>_xlfn.XLOOKUP(Registre_Maintenance__2[[#This Row],[ID_Antenne]],Master!D:D,Master!#REF!,"Pas de correspondance")</f>
        <v>#REF!</v>
      </c>
    </row>
    <row r="275" spans="1:11" x14ac:dyDescent="0.25">
      <c r="A275" s="1" t="s">
        <v>1598</v>
      </c>
      <c r="B275" s="1" t="s">
        <v>1610</v>
      </c>
      <c r="C275" s="1" t="s">
        <v>60</v>
      </c>
      <c r="D275">
        <v>-4.5538169999999996</v>
      </c>
      <c r="E275">
        <v>25.952860999999999</v>
      </c>
      <c r="F275" s="1" t="s">
        <v>1506</v>
      </c>
      <c r="G275" s="1" t="s">
        <v>1502</v>
      </c>
      <c r="H275" s="1" t="str">
        <f>_xlfn.XLOOKUP(Registre_Maintenance__2[[#This Row],[ID_Antenne]],Master!D:D,Master!B:B,"Pas de correspondance")</f>
        <v>Pas de correspondance</v>
      </c>
      <c r="I275" s="1" t="str">
        <f>_xlfn.XLOOKUP(Registre_Maintenance__2[[#This Row],[ID_Antenne]],Master!D:D,Master!C:C,"Pas de correspondance")</f>
        <v>Pas de correspondance</v>
      </c>
      <c r="J275" s="1" t="str">
        <f>_xlfn.XLOOKUP(Registre_Maintenance__2[[#This Row],[ID_Antenne]],Master!D:D,Master!F:F,"Pas de correspondance")</f>
        <v>Pas de correspondance</v>
      </c>
      <c r="K275" s="1" t="e">
        <f>_xlfn.XLOOKUP(Registre_Maintenance__2[[#This Row],[ID_Antenne]],Master!D:D,Master!#REF!,"Pas de correspondance")</f>
        <v>#REF!</v>
      </c>
    </row>
    <row r="276" spans="1:11" x14ac:dyDescent="0.25">
      <c r="A276" s="1" t="s">
        <v>1598</v>
      </c>
      <c r="B276" s="1" t="s">
        <v>1204</v>
      </c>
      <c r="C276" s="1" t="s">
        <v>127</v>
      </c>
      <c r="D276">
        <v>0.20866199999999999</v>
      </c>
      <c r="E276">
        <v>18.556439000000001</v>
      </c>
      <c r="F276" s="1" t="s">
        <v>1504</v>
      </c>
      <c r="G276" s="1" t="s">
        <v>1514</v>
      </c>
      <c r="H276" s="1" t="str">
        <f>_xlfn.XLOOKUP(Registre_Maintenance__2[[#This Row],[ID_Antenne]],Master!D:D,Master!B:B,"Pas de correspondance")</f>
        <v>Pas de correspondance</v>
      </c>
      <c r="I276" s="1" t="str">
        <f>_xlfn.XLOOKUP(Registre_Maintenance__2[[#This Row],[ID_Antenne]],Master!D:D,Master!C:C,"Pas de correspondance")</f>
        <v>Pas de correspondance</v>
      </c>
      <c r="J276" s="1" t="str">
        <f>_xlfn.XLOOKUP(Registre_Maintenance__2[[#This Row],[ID_Antenne]],Master!D:D,Master!F:F,"Pas de correspondance")</f>
        <v>Pas de correspondance</v>
      </c>
      <c r="K276" s="1" t="e">
        <f>_xlfn.XLOOKUP(Registre_Maintenance__2[[#This Row],[ID_Antenne]],Master!D:D,Master!#REF!,"Pas de correspondance")</f>
        <v>#REF!</v>
      </c>
    </row>
    <row r="277" spans="1:11" x14ac:dyDescent="0.25">
      <c r="A277" s="1" t="s">
        <v>1598</v>
      </c>
      <c r="B277" s="1" t="s">
        <v>1195</v>
      </c>
      <c r="C277" s="1" t="s">
        <v>131</v>
      </c>
      <c r="D277">
        <v>-5.42171</v>
      </c>
      <c r="E277">
        <v>24.202960999999998</v>
      </c>
      <c r="F277" s="1" t="s">
        <v>1501</v>
      </c>
      <c r="G277" s="1" t="s">
        <v>1502</v>
      </c>
      <c r="H277" s="1" t="str">
        <f>_xlfn.XLOOKUP(Registre_Maintenance__2[[#This Row],[ID_Antenne]],Master!D:D,Master!B:B,"Pas de correspondance")</f>
        <v>Pas de correspondance</v>
      </c>
      <c r="I277" s="1" t="str">
        <f>_xlfn.XLOOKUP(Registre_Maintenance__2[[#This Row],[ID_Antenne]],Master!D:D,Master!C:C,"Pas de correspondance")</f>
        <v>Pas de correspondance</v>
      </c>
      <c r="J277" s="1" t="str">
        <f>_xlfn.XLOOKUP(Registre_Maintenance__2[[#This Row],[ID_Antenne]],Master!D:D,Master!F:F,"Pas de correspondance")</f>
        <v>Pas de correspondance</v>
      </c>
      <c r="K277" s="1" t="e">
        <f>_xlfn.XLOOKUP(Registre_Maintenance__2[[#This Row],[ID_Antenne]],Master!D:D,Master!#REF!,"Pas de correspondance")</f>
        <v>#REF!</v>
      </c>
    </row>
    <row r="278" spans="1:11" x14ac:dyDescent="0.25">
      <c r="A278" s="1" t="s">
        <v>1598</v>
      </c>
      <c r="B278" s="1" t="s">
        <v>1132</v>
      </c>
      <c r="C278" s="1" t="s">
        <v>21</v>
      </c>
      <c r="D278">
        <v>4.2904629999999999</v>
      </c>
      <c r="E278">
        <v>26.354195000000001</v>
      </c>
      <c r="F278" s="1" t="s">
        <v>1506</v>
      </c>
      <c r="G278" s="1" t="s">
        <v>1502</v>
      </c>
      <c r="H278" s="1" t="str">
        <f>_xlfn.XLOOKUP(Registre_Maintenance__2[[#This Row],[ID_Antenne]],Master!D:D,Master!B:B,"Pas de correspondance")</f>
        <v>Pas de correspondance</v>
      </c>
      <c r="I278" s="1" t="str">
        <f>_xlfn.XLOOKUP(Registre_Maintenance__2[[#This Row],[ID_Antenne]],Master!D:D,Master!C:C,"Pas de correspondance")</f>
        <v>Pas de correspondance</v>
      </c>
      <c r="J278" s="1" t="str">
        <f>_xlfn.XLOOKUP(Registre_Maintenance__2[[#This Row],[ID_Antenne]],Master!D:D,Master!F:F,"Pas de correspondance")</f>
        <v>Pas de correspondance</v>
      </c>
      <c r="K278" s="1" t="e">
        <f>_xlfn.XLOOKUP(Registre_Maintenance__2[[#This Row],[ID_Antenne]],Master!D:D,Master!#REF!,"Pas de correspondance")</f>
        <v>#REF!</v>
      </c>
    </row>
    <row r="279" spans="1:11" x14ac:dyDescent="0.25">
      <c r="A279" s="1" t="s">
        <v>1598</v>
      </c>
      <c r="B279" s="1" t="s">
        <v>1611</v>
      </c>
      <c r="C279" s="1" t="s">
        <v>1676</v>
      </c>
      <c r="D279">
        <v>1.368018</v>
      </c>
      <c r="E279">
        <v>14.203893000000001</v>
      </c>
      <c r="F279" s="1" t="s">
        <v>1501</v>
      </c>
      <c r="G279" s="1" t="s">
        <v>1505</v>
      </c>
      <c r="H279" s="1" t="str">
        <f>_xlfn.XLOOKUP(Registre_Maintenance__2[[#This Row],[ID_Antenne]],Master!D:D,Master!B:B,"Pas de correspondance")</f>
        <v>Pas de correspondance</v>
      </c>
      <c r="I279" s="1" t="str">
        <f>_xlfn.XLOOKUP(Registre_Maintenance__2[[#This Row],[ID_Antenne]],Master!D:D,Master!C:C,"Pas de correspondance")</f>
        <v>Pas de correspondance</v>
      </c>
      <c r="J279" s="1" t="str">
        <f>_xlfn.XLOOKUP(Registre_Maintenance__2[[#This Row],[ID_Antenne]],Master!D:D,Master!F:F,"Pas de correspondance")</f>
        <v>Pas de correspondance</v>
      </c>
      <c r="K279" s="1" t="e">
        <f>_xlfn.XLOOKUP(Registre_Maintenance__2[[#This Row],[ID_Antenne]],Master!D:D,Master!#REF!,"Pas de correspondance")</f>
        <v>#REF!</v>
      </c>
    </row>
    <row r="280" spans="1:11" x14ac:dyDescent="0.25">
      <c r="A280" s="1" t="s">
        <v>1598</v>
      </c>
      <c r="B280" s="1" t="s">
        <v>1612</v>
      </c>
      <c r="C280" s="1" t="s">
        <v>1674</v>
      </c>
      <c r="D280">
        <v>-7.7942479999999996</v>
      </c>
      <c r="E280">
        <v>15.184407999999999</v>
      </c>
      <c r="F280" s="1" t="s">
        <v>1506</v>
      </c>
      <c r="G280" s="1" t="s">
        <v>1507</v>
      </c>
      <c r="H280" s="1" t="str">
        <f>_xlfn.XLOOKUP(Registre_Maintenance__2[[#This Row],[ID_Antenne]],Master!D:D,Master!B:B,"Pas de correspondance")</f>
        <v>Pas de correspondance</v>
      </c>
      <c r="I280" s="1" t="str">
        <f>_xlfn.XLOOKUP(Registre_Maintenance__2[[#This Row],[ID_Antenne]],Master!D:D,Master!C:C,"Pas de correspondance")</f>
        <v>Pas de correspondance</v>
      </c>
      <c r="J280" s="1" t="str">
        <f>_xlfn.XLOOKUP(Registre_Maintenance__2[[#This Row],[ID_Antenne]],Master!D:D,Master!F:F,"Pas de correspondance")</f>
        <v>Pas de correspondance</v>
      </c>
      <c r="K280" s="1" t="e">
        <f>_xlfn.XLOOKUP(Registre_Maintenance__2[[#This Row],[ID_Antenne]],Master!D:D,Master!#REF!,"Pas de correspondance")</f>
        <v>#REF!</v>
      </c>
    </row>
    <row r="281" spans="1:11" x14ac:dyDescent="0.25">
      <c r="A281" s="1" t="s">
        <v>1598</v>
      </c>
      <c r="B281" s="1" t="s">
        <v>1283</v>
      </c>
      <c r="C281" s="1" t="s">
        <v>10</v>
      </c>
      <c r="D281">
        <v>-12.364127999999999</v>
      </c>
      <c r="E281">
        <v>19.576150999999999</v>
      </c>
      <c r="F281" s="1" t="s">
        <v>1506</v>
      </c>
      <c r="G281" s="1" t="s">
        <v>1514</v>
      </c>
      <c r="H281" s="1" t="str">
        <f>_xlfn.XLOOKUP(Registre_Maintenance__2[[#This Row],[ID_Antenne]],Master!D:D,Master!B:B,"Pas de correspondance")</f>
        <v>Pas de correspondance</v>
      </c>
      <c r="I281" s="1" t="str">
        <f>_xlfn.XLOOKUP(Registre_Maintenance__2[[#This Row],[ID_Antenne]],Master!D:D,Master!C:C,"Pas de correspondance")</f>
        <v>Pas de correspondance</v>
      </c>
      <c r="J281" s="1" t="str">
        <f>_xlfn.XLOOKUP(Registre_Maintenance__2[[#This Row],[ID_Antenne]],Master!D:D,Master!F:F,"Pas de correspondance")</f>
        <v>Pas de correspondance</v>
      </c>
      <c r="K281" s="1" t="e">
        <f>_xlfn.XLOOKUP(Registre_Maintenance__2[[#This Row],[ID_Antenne]],Master!D:D,Master!#REF!,"Pas de correspondance")</f>
        <v>#REF!</v>
      </c>
    </row>
    <row r="282" spans="1:11" x14ac:dyDescent="0.25">
      <c r="A282" s="1" t="s">
        <v>1598</v>
      </c>
      <c r="B282" s="1" t="s">
        <v>1291</v>
      </c>
      <c r="C282" s="1" t="s">
        <v>31</v>
      </c>
      <c r="D282">
        <v>3.611561</v>
      </c>
      <c r="E282">
        <v>17.725974999999998</v>
      </c>
      <c r="F282" s="1" t="s">
        <v>1506</v>
      </c>
      <c r="G282" s="1" t="s">
        <v>1507</v>
      </c>
      <c r="H282" s="1" t="str">
        <f>_xlfn.XLOOKUP(Registre_Maintenance__2[[#This Row],[ID_Antenne]],Master!D:D,Master!B:B,"Pas de correspondance")</f>
        <v>Pas de correspondance</v>
      </c>
      <c r="I282" s="1" t="str">
        <f>_xlfn.XLOOKUP(Registre_Maintenance__2[[#This Row],[ID_Antenne]],Master!D:D,Master!C:C,"Pas de correspondance")</f>
        <v>Pas de correspondance</v>
      </c>
      <c r="J282" s="1" t="str">
        <f>_xlfn.XLOOKUP(Registre_Maintenance__2[[#This Row],[ID_Antenne]],Master!D:D,Master!F:F,"Pas de correspondance")</f>
        <v>Pas de correspondance</v>
      </c>
      <c r="K282" s="1" t="e">
        <f>_xlfn.XLOOKUP(Registre_Maintenance__2[[#This Row],[ID_Antenne]],Master!D:D,Master!#REF!,"Pas de correspondance")</f>
        <v>#REF!</v>
      </c>
    </row>
    <row r="283" spans="1:11" x14ac:dyDescent="0.25">
      <c r="A283" s="1" t="s">
        <v>1598</v>
      </c>
      <c r="B283" s="1" t="s">
        <v>1047</v>
      </c>
      <c r="C283" s="1" t="s">
        <v>64</v>
      </c>
      <c r="D283">
        <v>0.48965500000000001</v>
      </c>
      <c r="E283">
        <v>26.176860000000001</v>
      </c>
      <c r="F283" s="1" t="s">
        <v>1504</v>
      </c>
      <c r="G283" s="1" t="s">
        <v>1505</v>
      </c>
      <c r="H283" s="1" t="str">
        <f>_xlfn.XLOOKUP(Registre_Maintenance__2[[#This Row],[ID_Antenne]],Master!D:D,Master!B:B,"Pas de correspondance")</f>
        <v>Pas de correspondance</v>
      </c>
      <c r="I283" s="1" t="str">
        <f>_xlfn.XLOOKUP(Registre_Maintenance__2[[#This Row],[ID_Antenne]],Master!D:D,Master!C:C,"Pas de correspondance")</f>
        <v>Pas de correspondance</v>
      </c>
      <c r="J283" s="1" t="str">
        <f>_xlfn.XLOOKUP(Registre_Maintenance__2[[#This Row],[ID_Antenne]],Master!D:D,Master!F:F,"Pas de correspondance")</f>
        <v>Pas de correspondance</v>
      </c>
      <c r="K283" s="1" t="e">
        <f>_xlfn.XLOOKUP(Registre_Maintenance__2[[#This Row],[ID_Antenne]],Master!D:D,Master!#REF!,"Pas de correspondance")</f>
        <v>#REF!</v>
      </c>
    </row>
    <row r="284" spans="1:11" x14ac:dyDescent="0.25">
      <c r="A284" s="1" t="s">
        <v>1598</v>
      </c>
      <c r="B284" s="1" t="s">
        <v>1233</v>
      </c>
      <c r="C284" s="1" t="s">
        <v>89</v>
      </c>
      <c r="D284">
        <v>8.5490999999999998E-2</v>
      </c>
      <c r="E284">
        <v>26.296129000000001</v>
      </c>
      <c r="F284" s="1" t="s">
        <v>1506</v>
      </c>
      <c r="G284" s="1" t="s">
        <v>1507</v>
      </c>
      <c r="H284" s="1" t="str">
        <f>_xlfn.XLOOKUP(Registre_Maintenance__2[[#This Row],[ID_Antenne]],Master!D:D,Master!B:B,"Pas de correspondance")</f>
        <v>Pas de correspondance</v>
      </c>
      <c r="I284" s="1" t="str">
        <f>_xlfn.XLOOKUP(Registre_Maintenance__2[[#This Row],[ID_Antenne]],Master!D:D,Master!C:C,"Pas de correspondance")</f>
        <v>Pas de correspondance</v>
      </c>
      <c r="J284" s="1" t="str">
        <f>_xlfn.XLOOKUP(Registre_Maintenance__2[[#This Row],[ID_Antenne]],Master!D:D,Master!F:F,"Pas de correspondance")</f>
        <v>Pas de correspondance</v>
      </c>
      <c r="K284" s="1" t="e">
        <f>_xlfn.XLOOKUP(Registre_Maintenance__2[[#This Row],[ID_Antenne]],Master!D:D,Master!#REF!,"Pas de correspondance")</f>
        <v>#REF!</v>
      </c>
    </row>
    <row r="285" spans="1:11" x14ac:dyDescent="0.25">
      <c r="A285" s="1" t="s">
        <v>1598</v>
      </c>
      <c r="B285" s="1" t="s">
        <v>1199</v>
      </c>
      <c r="C285" s="1" t="s">
        <v>26</v>
      </c>
      <c r="D285">
        <v>-2.8532869999999999</v>
      </c>
      <c r="E285">
        <v>22.117896000000002</v>
      </c>
      <c r="F285" s="1" t="s">
        <v>1501</v>
      </c>
      <c r="G285" s="1" t="s">
        <v>1505</v>
      </c>
      <c r="H285" s="1" t="str">
        <f>_xlfn.XLOOKUP(Registre_Maintenance__2[[#This Row],[ID_Antenne]],Master!D:D,Master!B:B,"Pas de correspondance")</f>
        <v>Pas de correspondance</v>
      </c>
      <c r="I285" s="1" t="str">
        <f>_xlfn.XLOOKUP(Registre_Maintenance__2[[#This Row],[ID_Antenne]],Master!D:D,Master!C:C,"Pas de correspondance")</f>
        <v>Pas de correspondance</v>
      </c>
      <c r="J285" s="1" t="str">
        <f>_xlfn.XLOOKUP(Registre_Maintenance__2[[#This Row],[ID_Antenne]],Master!D:D,Master!F:F,"Pas de correspondance")</f>
        <v>Pas de correspondance</v>
      </c>
      <c r="K285" s="1" t="e">
        <f>_xlfn.XLOOKUP(Registre_Maintenance__2[[#This Row],[ID_Antenne]],Master!D:D,Master!#REF!,"Pas de correspondance")</f>
        <v>#REF!</v>
      </c>
    </row>
    <row r="286" spans="1:11" x14ac:dyDescent="0.25">
      <c r="A286" s="1" t="s">
        <v>1598</v>
      </c>
      <c r="B286" s="1" t="s">
        <v>1409</v>
      </c>
      <c r="C286" s="1" t="s">
        <v>18</v>
      </c>
      <c r="D286">
        <v>-11.89448</v>
      </c>
      <c r="E286">
        <v>19.216214999999998</v>
      </c>
      <c r="F286" s="1" t="s">
        <v>1506</v>
      </c>
      <c r="G286" s="1" t="s">
        <v>1507</v>
      </c>
      <c r="H286" s="1" t="str">
        <f>_xlfn.XLOOKUP(Registre_Maintenance__2[[#This Row],[ID_Antenne]],Master!D:D,Master!B:B,"Pas de correspondance")</f>
        <v>Pas de correspondance</v>
      </c>
      <c r="I286" s="1" t="str">
        <f>_xlfn.XLOOKUP(Registre_Maintenance__2[[#This Row],[ID_Antenne]],Master!D:D,Master!C:C,"Pas de correspondance")</f>
        <v>Pas de correspondance</v>
      </c>
      <c r="J286" s="1" t="str">
        <f>_xlfn.XLOOKUP(Registre_Maintenance__2[[#This Row],[ID_Antenne]],Master!D:D,Master!F:F,"Pas de correspondance")</f>
        <v>Pas de correspondance</v>
      </c>
      <c r="K286" s="1" t="e">
        <f>_xlfn.XLOOKUP(Registre_Maintenance__2[[#This Row],[ID_Antenne]],Master!D:D,Master!#REF!,"Pas de correspondance")</f>
        <v>#REF!</v>
      </c>
    </row>
    <row r="287" spans="1:11" x14ac:dyDescent="0.25">
      <c r="A287" s="1" t="s">
        <v>1598</v>
      </c>
      <c r="B287" s="1" t="s">
        <v>1176</v>
      </c>
      <c r="C287" s="1" t="s">
        <v>1676</v>
      </c>
      <c r="D287">
        <v>-4.4831099999999999</v>
      </c>
      <c r="E287">
        <v>25.406548000000001</v>
      </c>
      <c r="F287" s="1" t="s">
        <v>1501</v>
      </c>
      <c r="G287" s="1" t="s">
        <v>1514</v>
      </c>
      <c r="H287" s="1" t="str">
        <f>_xlfn.XLOOKUP(Registre_Maintenance__2[[#This Row],[ID_Antenne]],Master!D:D,Master!B:B,"Pas de correspondance")</f>
        <v>Pas de correspondance</v>
      </c>
      <c r="I287" s="1" t="str">
        <f>_xlfn.XLOOKUP(Registre_Maintenance__2[[#This Row],[ID_Antenne]],Master!D:D,Master!C:C,"Pas de correspondance")</f>
        <v>Pas de correspondance</v>
      </c>
      <c r="J287" s="1" t="str">
        <f>_xlfn.XLOOKUP(Registre_Maintenance__2[[#This Row],[ID_Antenne]],Master!D:D,Master!F:F,"Pas de correspondance")</f>
        <v>Pas de correspondance</v>
      </c>
      <c r="K287" s="1" t="e">
        <f>_xlfn.XLOOKUP(Registre_Maintenance__2[[#This Row],[ID_Antenne]],Master!D:D,Master!#REF!,"Pas de correspondance")</f>
        <v>#REF!</v>
      </c>
    </row>
    <row r="288" spans="1:11" x14ac:dyDescent="0.25">
      <c r="A288" s="1" t="s">
        <v>1598</v>
      </c>
      <c r="B288" s="1" t="s">
        <v>1149</v>
      </c>
      <c r="C288" s="1" t="s">
        <v>37</v>
      </c>
      <c r="D288">
        <v>-9.9565739999999998</v>
      </c>
      <c r="E288">
        <v>21.017202000000001</v>
      </c>
      <c r="F288" s="1" t="s">
        <v>1504</v>
      </c>
      <c r="G288" s="1" t="s">
        <v>1505</v>
      </c>
      <c r="H288" s="1" t="str">
        <f>_xlfn.XLOOKUP(Registre_Maintenance__2[[#This Row],[ID_Antenne]],Master!D:D,Master!B:B,"Pas de correspondance")</f>
        <v>Pas de correspondance</v>
      </c>
      <c r="I288" s="1" t="str">
        <f>_xlfn.XLOOKUP(Registre_Maintenance__2[[#This Row],[ID_Antenne]],Master!D:D,Master!C:C,"Pas de correspondance")</f>
        <v>Pas de correspondance</v>
      </c>
      <c r="J288" s="1" t="str">
        <f>_xlfn.XLOOKUP(Registre_Maintenance__2[[#This Row],[ID_Antenne]],Master!D:D,Master!F:F,"Pas de correspondance")</f>
        <v>Pas de correspondance</v>
      </c>
      <c r="K288" s="1" t="e">
        <f>_xlfn.XLOOKUP(Registre_Maintenance__2[[#This Row],[ID_Antenne]],Master!D:D,Master!#REF!,"Pas de correspondance")</f>
        <v>#REF!</v>
      </c>
    </row>
    <row r="289" spans="1:11" x14ac:dyDescent="0.25">
      <c r="A289" s="1" t="s">
        <v>1598</v>
      </c>
      <c r="B289" s="1" t="s">
        <v>1403</v>
      </c>
      <c r="C289" s="1" t="s">
        <v>73</v>
      </c>
      <c r="D289">
        <v>-12.070842000000001</v>
      </c>
      <c r="E289">
        <v>14.757847</v>
      </c>
      <c r="F289" s="1" t="s">
        <v>1504</v>
      </c>
      <c r="G289" s="1" t="s">
        <v>1507</v>
      </c>
      <c r="H289" s="1" t="str">
        <f>_xlfn.XLOOKUP(Registre_Maintenance__2[[#This Row],[ID_Antenne]],Master!D:D,Master!B:B,"Pas de correspondance")</f>
        <v>Pas de correspondance</v>
      </c>
      <c r="I289" s="1" t="str">
        <f>_xlfn.XLOOKUP(Registre_Maintenance__2[[#This Row],[ID_Antenne]],Master!D:D,Master!C:C,"Pas de correspondance")</f>
        <v>Pas de correspondance</v>
      </c>
      <c r="J289" s="1" t="str">
        <f>_xlfn.XLOOKUP(Registre_Maintenance__2[[#This Row],[ID_Antenne]],Master!D:D,Master!F:F,"Pas de correspondance")</f>
        <v>Pas de correspondance</v>
      </c>
      <c r="K289" s="1" t="e">
        <f>_xlfn.XLOOKUP(Registre_Maintenance__2[[#This Row],[ID_Antenne]],Master!D:D,Master!#REF!,"Pas de correspondance")</f>
        <v>#REF!</v>
      </c>
    </row>
    <row r="290" spans="1:11" x14ac:dyDescent="0.25">
      <c r="A290" s="1" t="s">
        <v>1598</v>
      </c>
      <c r="B290" s="1" t="s">
        <v>1346</v>
      </c>
      <c r="C290" s="1" t="s">
        <v>67</v>
      </c>
      <c r="D290">
        <v>4.8265669999999998</v>
      </c>
      <c r="E290">
        <v>28.535277000000001</v>
      </c>
      <c r="F290" s="1" t="s">
        <v>1506</v>
      </c>
      <c r="G290" s="1" t="s">
        <v>1505</v>
      </c>
      <c r="H290" s="1" t="str">
        <f>_xlfn.XLOOKUP(Registre_Maintenance__2[[#This Row],[ID_Antenne]],Master!D:D,Master!B:B,"Pas de correspondance")</f>
        <v>Pas de correspondance</v>
      </c>
      <c r="I290" s="1" t="str">
        <f>_xlfn.XLOOKUP(Registre_Maintenance__2[[#This Row],[ID_Antenne]],Master!D:D,Master!C:C,"Pas de correspondance")</f>
        <v>Pas de correspondance</v>
      </c>
      <c r="J290" s="1" t="str">
        <f>_xlfn.XLOOKUP(Registre_Maintenance__2[[#This Row],[ID_Antenne]],Master!D:D,Master!F:F,"Pas de correspondance")</f>
        <v>Pas de correspondance</v>
      </c>
      <c r="K290" s="1" t="e">
        <f>_xlfn.XLOOKUP(Registre_Maintenance__2[[#This Row],[ID_Antenne]],Master!D:D,Master!#REF!,"Pas de correspondance")</f>
        <v>#REF!</v>
      </c>
    </row>
    <row r="291" spans="1:11" x14ac:dyDescent="0.25">
      <c r="A291" s="1" t="s">
        <v>1598</v>
      </c>
      <c r="B291" s="1" t="s">
        <v>1613</v>
      </c>
      <c r="C291" s="1" t="s">
        <v>10</v>
      </c>
      <c r="D291">
        <v>1.5601240000000001</v>
      </c>
      <c r="E291">
        <v>12.225398</v>
      </c>
      <c r="F291" s="1" t="s">
        <v>1501</v>
      </c>
      <c r="G291" s="1" t="s">
        <v>1514</v>
      </c>
      <c r="H291" s="1" t="str">
        <f>_xlfn.XLOOKUP(Registre_Maintenance__2[[#This Row],[ID_Antenne]],Master!D:D,Master!B:B,"Pas de correspondance")</f>
        <v>Pas de correspondance</v>
      </c>
      <c r="I291" s="1" t="str">
        <f>_xlfn.XLOOKUP(Registre_Maintenance__2[[#This Row],[ID_Antenne]],Master!D:D,Master!C:C,"Pas de correspondance")</f>
        <v>Pas de correspondance</v>
      </c>
      <c r="J291" s="1" t="str">
        <f>_xlfn.XLOOKUP(Registre_Maintenance__2[[#This Row],[ID_Antenne]],Master!D:D,Master!F:F,"Pas de correspondance")</f>
        <v>Pas de correspondance</v>
      </c>
      <c r="K291" s="1" t="e">
        <f>_xlfn.XLOOKUP(Registre_Maintenance__2[[#This Row],[ID_Antenne]],Master!D:D,Master!#REF!,"Pas de correspondance")</f>
        <v>#REF!</v>
      </c>
    </row>
    <row r="292" spans="1:11" x14ac:dyDescent="0.25">
      <c r="A292" s="1" t="s">
        <v>1598</v>
      </c>
      <c r="B292" s="1" t="s">
        <v>1614</v>
      </c>
      <c r="C292" s="1" t="s">
        <v>60</v>
      </c>
      <c r="D292">
        <v>-1.762294</v>
      </c>
      <c r="E292">
        <v>29.617228000000001</v>
      </c>
      <c r="F292" s="1" t="s">
        <v>1504</v>
      </c>
      <c r="G292" s="1" t="s">
        <v>1507</v>
      </c>
      <c r="H292" s="1" t="str">
        <f>_xlfn.XLOOKUP(Registre_Maintenance__2[[#This Row],[ID_Antenne]],Master!D:D,Master!B:B,"Pas de correspondance")</f>
        <v>Pas de correspondance</v>
      </c>
      <c r="I292" s="1" t="str">
        <f>_xlfn.XLOOKUP(Registre_Maintenance__2[[#This Row],[ID_Antenne]],Master!D:D,Master!C:C,"Pas de correspondance")</f>
        <v>Pas de correspondance</v>
      </c>
      <c r="J292" s="1" t="str">
        <f>_xlfn.XLOOKUP(Registre_Maintenance__2[[#This Row],[ID_Antenne]],Master!D:D,Master!F:F,"Pas de correspondance")</f>
        <v>Pas de correspondance</v>
      </c>
      <c r="K292" s="1" t="e">
        <f>_xlfn.XLOOKUP(Registre_Maintenance__2[[#This Row],[ID_Antenne]],Master!D:D,Master!#REF!,"Pas de correspondance")</f>
        <v>#REF!</v>
      </c>
    </row>
    <row r="293" spans="1:11" x14ac:dyDescent="0.25">
      <c r="A293" s="1" t="s">
        <v>1598</v>
      </c>
      <c r="B293" s="1" t="s">
        <v>1451</v>
      </c>
      <c r="C293" s="1" t="s">
        <v>89</v>
      </c>
      <c r="D293">
        <v>-7.8373179999999998</v>
      </c>
      <c r="E293">
        <v>20.527591999999999</v>
      </c>
      <c r="F293" s="1" t="s">
        <v>1504</v>
      </c>
      <c r="G293" s="1" t="s">
        <v>1502</v>
      </c>
      <c r="H293" s="1" t="str">
        <f>_xlfn.XLOOKUP(Registre_Maintenance__2[[#This Row],[ID_Antenne]],Master!D:D,Master!B:B,"Pas de correspondance")</f>
        <v>Pas de correspondance</v>
      </c>
      <c r="I293" s="1" t="str">
        <f>_xlfn.XLOOKUP(Registre_Maintenance__2[[#This Row],[ID_Antenne]],Master!D:D,Master!C:C,"Pas de correspondance")</f>
        <v>Pas de correspondance</v>
      </c>
      <c r="J293" s="1" t="str">
        <f>_xlfn.XLOOKUP(Registre_Maintenance__2[[#This Row],[ID_Antenne]],Master!D:D,Master!F:F,"Pas de correspondance")</f>
        <v>Pas de correspondance</v>
      </c>
      <c r="K293" s="1" t="e">
        <f>_xlfn.XLOOKUP(Registre_Maintenance__2[[#This Row],[ID_Antenne]],Master!D:D,Master!#REF!,"Pas de correspondance")</f>
        <v>#REF!</v>
      </c>
    </row>
    <row r="294" spans="1:11" x14ac:dyDescent="0.25">
      <c r="A294" s="1" t="s">
        <v>1598</v>
      </c>
      <c r="B294" s="1" t="s">
        <v>1322</v>
      </c>
      <c r="C294" s="1" t="s">
        <v>21</v>
      </c>
      <c r="D294">
        <v>-11.514817000000001</v>
      </c>
      <c r="E294">
        <v>24.891375</v>
      </c>
      <c r="F294" s="1" t="s">
        <v>1506</v>
      </c>
      <c r="G294" s="1" t="s">
        <v>1514</v>
      </c>
      <c r="H294" s="1" t="str">
        <f>_xlfn.XLOOKUP(Registre_Maintenance__2[[#This Row],[ID_Antenne]],Master!D:D,Master!B:B,"Pas de correspondance")</f>
        <v>Pas de correspondance</v>
      </c>
      <c r="I294" s="1" t="str">
        <f>_xlfn.XLOOKUP(Registre_Maintenance__2[[#This Row],[ID_Antenne]],Master!D:D,Master!C:C,"Pas de correspondance")</f>
        <v>Pas de correspondance</v>
      </c>
      <c r="J294" s="1" t="str">
        <f>_xlfn.XLOOKUP(Registre_Maintenance__2[[#This Row],[ID_Antenne]],Master!D:D,Master!F:F,"Pas de correspondance")</f>
        <v>Pas de correspondance</v>
      </c>
      <c r="K294" s="1" t="e">
        <f>_xlfn.XLOOKUP(Registre_Maintenance__2[[#This Row],[ID_Antenne]],Master!D:D,Master!#REF!,"Pas de correspondance")</f>
        <v>#REF!</v>
      </c>
    </row>
    <row r="295" spans="1:11" x14ac:dyDescent="0.25">
      <c r="A295" s="1" t="s">
        <v>1598</v>
      </c>
      <c r="B295" s="1" t="s">
        <v>1615</v>
      </c>
      <c r="C295" s="1" t="s">
        <v>62</v>
      </c>
      <c r="D295">
        <v>-3.89927</v>
      </c>
      <c r="E295">
        <v>30.273492000000001</v>
      </c>
      <c r="F295" s="1" t="s">
        <v>1506</v>
      </c>
      <c r="G295" s="1" t="s">
        <v>1514</v>
      </c>
      <c r="H295" s="1" t="str">
        <f>_xlfn.XLOOKUP(Registre_Maintenance__2[[#This Row],[ID_Antenne]],Master!D:D,Master!B:B,"Pas de correspondance")</f>
        <v>Pas de correspondance</v>
      </c>
      <c r="I295" s="1" t="str">
        <f>_xlfn.XLOOKUP(Registre_Maintenance__2[[#This Row],[ID_Antenne]],Master!D:D,Master!C:C,"Pas de correspondance")</f>
        <v>Pas de correspondance</v>
      </c>
      <c r="J295" s="1" t="str">
        <f>_xlfn.XLOOKUP(Registre_Maintenance__2[[#This Row],[ID_Antenne]],Master!D:D,Master!F:F,"Pas de correspondance")</f>
        <v>Pas de correspondance</v>
      </c>
      <c r="K295" s="1" t="e">
        <f>_xlfn.XLOOKUP(Registre_Maintenance__2[[#This Row],[ID_Antenne]],Master!D:D,Master!#REF!,"Pas de correspondance")</f>
        <v>#REF!</v>
      </c>
    </row>
    <row r="296" spans="1:11" x14ac:dyDescent="0.25">
      <c r="A296" s="1" t="s">
        <v>1598</v>
      </c>
      <c r="B296" s="1" t="s">
        <v>1616</v>
      </c>
      <c r="C296" s="1" t="s">
        <v>62</v>
      </c>
      <c r="D296">
        <v>2.3260149999999999</v>
      </c>
      <c r="E296">
        <v>24.97465</v>
      </c>
      <c r="F296" s="1" t="s">
        <v>1506</v>
      </c>
      <c r="G296" s="1" t="s">
        <v>1514</v>
      </c>
      <c r="H296" s="1" t="str">
        <f>_xlfn.XLOOKUP(Registre_Maintenance__2[[#This Row],[ID_Antenne]],Master!D:D,Master!B:B,"Pas de correspondance")</f>
        <v>Pas de correspondance</v>
      </c>
      <c r="I296" s="1" t="str">
        <f>_xlfn.XLOOKUP(Registre_Maintenance__2[[#This Row],[ID_Antenne]],Master!D:D,Master!C:C,"Pas de correspondance")</f>
        <v>Pas de correspondance</v>
      </c>
      <c r="J296" s="1" t="str">
        <f>_xlfn.XLOOKUP(Registre_Maintenance__2[[#This Row],[ID_Antenne]],Master!D:D,Master!F:F,"Pas de correspondance")</f>
        <v>Pas de correspondance</v>
      </c>
      <c r="K296" s="1" t="e">
        <f>_xlfn.XLOOKUP(Registre_Maintenance__2[[#This Row],[ID_Antenne]],Master!D:D,Master!#REF!,"Pas de correspondance")</f>
        <v>#REF!</v>
      </c>
    </row>
    <row r="297" spans="1:11" x14ac:dyDescent="0.25">
      <c r="A297" s="1" t="s">
        <v>1598</v>
      </c>
      <c r="B297" s="1" t="s">
        <v>939</v>
      </c>
      <c r="C297" s="1" t="s">
        <v>89</v>
      </c>
      <c r="D297">
        <v>-7.9987219999999999</v>
      </c>
      <c r="E297">
        <v>12.779335</v>
      </c>
      <c r="F297" s="1" t="s">
        <v>1501</v>
      </c>
      <c r="G297" s="1" t="s">
        <v>1514</v>
      </c>
      <c r="H297" s="1" t="str">
        <f>_xlfn.XLOOKUP(Registre_Maintenance__2[[#This Row],[ID_Antenne]],Master!D:D,Master!B:B,"Pas de correspondance")</f>
        <v>Pas de correspondance</v>
      </c>
      <c r="I297" s="1" t="str">
        <f>_xlfn.XLOOKUP(Registre_Maintenance__2[[#This Row],[ID_Antenne]],Master!D:D,Master!C:C,"Pas de correspondance")</f>
        <v>Pas de correspondance</v>
      </c>
      <c r="J297" s="1" t="str">
        <f>_xlfn.XLOOKUP(Registre_Maintenance__2[[#This Row],[ID_Antenne]],Master!D:D,Master!F:F,"Pas de correspondance")</f>
        <v>Pas de correspondance</v>
      </c>
      <c r="K297" s="1" t="e">
        <f>_xlfn.XLOOKUP(Registre_Maintenance__2[[#This Row],[ID_Antenne]],Master!D:D,Master!#REF!,"Pas de correspondance")</f>
        <v>#REF!</v>
      </c>
    </row>
    <row r="298" spans="1:11" x14ac:dyDescent="0.25">
      <c r="A298" s="1" t="s">
        <v>1598</v>
      </c>
      <c r="B298" s="1" t="s">
        <v>1617</v>
      </c>
      <c r="C298" s="1" t="s">
        <v>26</v>
      </c>
      <c r="D298">
        <v>-10.614302</v>
      </c>
      <c r="E298">
        <v>29.436530999999999</v>
      </c>
      <c r="F298" s="1" t="s">
        <v>1506</v>
      </c>
      <c r="G298" s="1" t="s">
        <v>1502</v>
      </c>
      <c r="H298" s="1" t="str">
        <f>_xlfn.XLOOKUP(Registre_Maintenance__2[[#This Row],[ID_Antenne]],Master!D:D,Master!B:B,"Pas de correspondance")</f>
        <v>Pas de correspondance</v>
      </c>
      <c r="I298" s="1" t="str">
        <f>_xlfn.XLOOKUP(Registre_Maintenance__2[[#This Row],[ID_Antenne]],Master!D:D,Master!C:C,"Pas de correspondance")</f>
        <v>Pas de correspondance</v>
      </c>
      <c r="J298" s="1" t="str">
        <f>_xlfn.XLOOKUP(Registre_Maintenance__2[[#This Row],[ID_Antenne]],Master!D:D,Master!F:F,"Pas de correspondance")</f>
        <v>Pas de correspondance</v>
      </c>
      <c r="K298" s="1" t="e">
        <f>_xlfn.XLOOKUP(Registre_Maintenance__2[[#This Row],[ID_Antenne]],Master!D:D,Master!#REF!,"Pas de correspondance")</f>
        <v>#REF!</v>
      </c>
    </row>
    <row r="299" spans="1:11" x14ac:dyDescent="0.25">
      <c r="A299" s="1" t="s">
        <v>1598</v>
      </c>
      <c r="B299" s="1" t="s">
        <v>1253</v>
      </c>
      <c r="C299" s="1" t="s">
        <v>37</v>
      </c>
      <c r="D299">
        <v>-7.9425049999999997</v>
      </c>
      <c r="E299">
        <v>24.111059000000001</v>
      </c>
      <c r="F299" s="1" t="s">
        <v>1506</v>
      </c>
      <c r="G299" s="1" t="s">
        <v>1507</v>
      </c>
      <c r="H299" s="1" t="str">
        <f>_xlfn.XLOOKUP(Registre_Maintenance__2[[#This Row],[ID_Antenne]],Master!D:D,Master!B:B,"Pas de correspondance")</f>
        <v>Pas de correspondance</v>
      </c>
      <c r="I299" s="1" t="str">
        <f>_xlfn.XLOOKUP(Registre_Maintenance__2[[#This Row],[ID_Antenne]],Master!D:D,Master!C:C,"Pas de correspondance")</f>
        <v>Pas de correspondance</v>
      </c>
      <c r="J299" s="1" t="str">
        <f>_xlfn.XLOOKUP(Registre_Maintenance__2[[#This Row],[ID_Antenne]],Master!D:D,Master!F:F,"Pas de correspondance")</f>
        <v>Pas de correspondance</v>
      </c>
      <c r="K299" s="1" t="e">
        <f>_xlfn.XLOOKUP(Registre_Maintenance__2[[#This Row],[ID_Antenne]],Master!D:D,Master!#REF!,"Pas de correspondance")</f>
        <v>#REF!</v>
      </c>
    </row>
    <row r="300" spans="1:11" x14ac:dyDescent="0.25">
      <c r="A300" s="1" t="s">
        <v>1598</v>
      </c>
      <c r="B300" s="1" t="s">
        <v>1232</v>
      </c>
      <c r="C300" s="1" t="s">
        <v>21</v>
      </c>
      <c r="D300">
        <v>2.4414509999999998</v>
      </c>
      <c r="E300">
        <v>30.167489</v>
      </c>
      <c r="F300" s="1" t="s">
        <v>1501</v>
      </c>
      <c r="G300" s="1" t="s">
        <v>1514</v>
      </c>
      <c r="H300" s="1" t="str">
        <f>_xlfn.XLOOKUP(Registre_Maintenance__2[[#This Row],[ID_Antenne]],Master!D:D,Master!B:B,"Pas de correspondance")</f>
        <v>Pas de correspondance</v>
      </c>
      <c r="I300" s="1" t="str">
        <f>_xlfn.XLOOKUP(Registre_Maintenance__2[[#This Row],[ID_Antenne]],Master!D:D,Master!C:C,"Pas de correspondance")</f>
        <v>Pas de correspondance</v>
      </c>
      <c r="J300" s="1" t="str">
        <f>_xlfn.XLOOKUP(Registre_Maintenance__2[[#This Row],[ID_Antenne]],Master!D:D,Master!F:F,"Pas de correspondance")</f>
        <v>Pas de correspondance</v>
      </c>
      <c r="K300" s="1" t="e">
        <f>_xlfn.XLOOKUP(Registre_Maintenance__2[[#This Row],[ID_Antenne]],Master!D:D,Master!#REF!,"Pas de correspondance")</f>
        <v>#REF!</v>
      </c>
    </row>
    <row r="301" spans="1:11" x14ac:dyDescent="0.25">
      <c r="A301" s="1" t="s">
        <v>1618</v>
      </c>
      <c r="B301" s="1" t="s">
        <v>909</v>
      </c>
      <c r="C301" s="1" t="s">
        <v>64</v>
      </c>
      <c r="D301">
        <v>-1.339734</v>
      </c>
      <c r="E301">
        <v>15.243098</v>
      </c>
      <c r="F301" s="1" t="s">
        <v>1506</v>
      </c>
      <c r="G301" s="1" t="s">
        <v>1514</v>
      </c>
      <c r="H301" s="1" t="str">
        <f>_xlfn.XLOOKUP(Registre_Maintenance__2[[#This Row],[ID_Antenne]],Master!D:D,Master!B:B,"Pas de correspondance")</f>
        <v>Pas de correspondance</v>
      </c>
      <c r="I301" s="1" t="str">
        <f>_xlfn.XLOOKUP(Registre_Maintenance__2[[#This Row],[ID_Antenne]],Master!D:D,Master!C:C,"Pas de correspondance")</f>
        <v>Pas de correspondance</v>
      </c>
      <c r="J301" s="1" t="str">
        <f>_xlfn.XLOOKUP(Registre_Maintenance__2[[#This Row],[ID_Antenne]],Master!D:D,Master!F:F,"Pas de correspondance")</f>
        <v>Pas de correspondance</v>
      </c>
      <c r="K301" s="1" t="e">
        <f>_xlfn.XLOOKUP(Registre_Maintenance__2[[#This Row],[ID_Antenne]],Master!D:D,Master!#REF!,"Pas de correspondance")</f>
        <v>#REF!</v>
      </c>
    </row>
    <row r="302" spans="1:11" x14ac:dyDescent="0.25">
      <c r="A302" s="1" t="s">
        <v>1618</v>
      </c>
      <c r="B302" s="1" t="s">
        <v>1209</v>
      </c>
      <c r="C302" s="1" t="s">
        <v>62</v>
      </c>
      <c r="D302">
        <v>-9.8208710000000004</v>
      </c>
      <c r="E302">
        <v>23.229807000000001</v>
      </c>
      <c r="F302" s="1" t="s">
        <v>1501</v>
      </c>
      <c r="G302" s="1" t="s">
        <v>1514</v>
      </c>
      <c r="H302" s="1" t="str">
        <f>_xlfn.XLOOKUP(Registre_Maintenance__2[[#This Row],[ID_Antenne]],Master!D:D,Master!B:B,"Pas de correspondance")</f>
        <v>Pas de correspondance</v>
      </c>
      <c r="I302" s="1" t="str">
        <f>_xlfn.XLOOKUP(Registre_Maintenance__2[[#This Row],[ID_Antenne]],Master!D:D,Master!C:C,"Pas de correspondance")</f>
        <v>Pas de correspondance</v>
      </c>
      <c r="J302" s="1" t="str">
        <f>_xlfn.XLOOKUP(Registre_Maintenance__2[[#This Row],[ID_Antenne]],Master!D:D,Master!F:F,"Pas de correspondance")</f>
        <v>Pas de correspondance</v>
      </c>
      <c r="K302" s="1" t="e">
        <f>_xlfn.XLOOKUP(Registre_Maintenance__2[[#This Row],[ID_Antenne]],Master!D:D,Master!#REF!,"Pas de correspondance")</f>
        <v>#REF!</v>
      </c>
    </row>
    <row r="303" spans="1:11" x14ac:dyDescent="0.25">
      <c r="A303" s="1" t="s">
        <v>1618</v>
      </c>
      <c r="B303" s="1" t="s">
        <v>1065</v>
      </c>
      <c r="C303" s="1" t="s">
        <v>13</v>
      </c>
      <c r="D303">
        <v>-12.292039000000001</v>
      </c>
      <c r="E303">
        <v>27.538202999999999</v>
      </c>
      <c r="F303" s="1" t="s">
        <v>1506</v>
      </c>
      <c r="G303" s="1" t="s">
        <v>1505</v>
      </c>
      <c r="H303" s="1" t="str">
        <f>_xlfn.XLOOKUP(Registre_Maintenance__2[[#This Row],[ID_Antenne]],Master!D:D,Master!B:B,"Pas de correspondance")</f>
        <v>Pas de correspondance</v>
      </c>
      <c r="I303" s="1" t="str">
        <f>_xlfn.XLOOKUP(Registre_Maintenance__2[[#This Row],[ID_Antenne]],Master!D:D,Master!C:C,"Pas de correspondance")</f>
        <v>Pas de correspondance</v>
      </c>
      <c r="J303" s="1" t="str">
        <f>_xlfn.XLOOKUP(Registre_Maintenance__2[[#This Row],[ID_Antenne]],Master!D:D,Master!F:F,"Pas de correspondance")</f>
        <v>Pas de correspondance</v>
      </c>
      <c r="K303" s="1" t="e">
        <f>_xlfn.XLOOKUP(Registre_Maintenance__2[[#This Row],[ID_Antenne]],Master!D:D,Master!#REF!,"Pas de correspondance")</f>
        <v>#REF!</v>
      </c>
    </row>
    <row r="304" spans="1:11" x14ac:dyDescent="0.25">
      <c r="A304" s="1" t="s">
        <v>1618</v>
      </c>
      <c r="B304" s="1" t="s">
        <v>1619</v>
      </c>
      <c r="C304" s="1" t="s">
        <v>131</v>
      </c>
      <c r="D304">
        <v>-6.0850540000000004</v>
      </c>
      <c r="E304">
        <v>14.020293000000001</v>
      </c>
      <c r="F304" s="1" t="s">
        <v>1501</v>
      </c>
      <c r="G304" s="1" t="s">
        <v>1505</v>
      </c>
      <c r="H304" s="1" t="str">
        <f>_xlfn.XLOOKUP(Registre_Maintenance__2[[#This Row],[ID_Antenne]],Master!D:D,Master!B:B,"Pas de correspondance")</f>
        <v>Pas de correspondance</v>
      </c>
      <c r="I304" s="1" t="str">
        <f>_xlfn.XLOOKUP(Registre_Maintenance__2[[#This Row],[ID_Antenne]],Master!D:D,Master!C:C,"Pas de correspondance")</f>
        <v>Pas de correspondance</v>
      </c>
      <c r="J304" s="1" t="str">
        <f>_xlfn.XLOOKUP(Registre_Maintenance__2[[#This Row],[ID_Antenne]],Master!D:D,Master!F:F,"Pas de correspondance")</f>
        <v>Pas de correspondance</v>
      </c>
      <c r="K304" s="1" t="e">
        <f>_xlfn.XLOOKUP(Registre_Maintenance__2[[#This Row],[ID_Antenne]],Master!D:D,Master!#REF!,"Pas de correspondance")</f>
        <v>#REF!</v>
      </c>
    </row>
    <row r="305" spans="1:11" x14ac:dyDescent="0.25">
      <c r="A305" s="1" t="s">
        <v>1618</v>
      </c>
      <c r="B305" s="1" t="s">
        <v>1363</v>
      </c>
      <c r="C305" s="1" t="s">
        <v>67</v>
      </c>
      <c r="D305">
        <v>-9.5619429999999994</v>
      </c>
      <c r="E305">
        <v>21.445726000000001</v>
      </c>
      <c r="F305" s="1" t="s">
        <v>1504</v>
      </c>
      <c r="G305" s="1" t="s">
        <v>1514</v>
      </c>
      <c r="H305" s="1" t="str">
        <f>_xlfn.XLOOKUP(Registre_Maintenance__2[[#This Row],[ID_Antenne]],Master!D:D,Master!B:B,"Pas de correspondance")</f>
        <v>Pas de correspondance</v>
      </c>
      <c r="I305" s="1" t="str">
        <f>_xlfn.XLOOKUP(Registre_Maintenance__2[[#This Row],[ID_Antenne]],Master!D:D,Master!C:C,"Pas de correspondance")</f>
        <v>Pas de correspondance</v>
      </c>
      <c r="J305" s="1" t="str">
        <f>_xlfn.XLOOKUP(Registre_Maintenance__2[[#This Row],[ID_Antenne]],Master!D:D,Master!F:F,"Pas de correspondance")</f>
        <v>Pas de correspondance</v>
      </c>
      <c r="K305" s="1" t="e">
        <f>_xlfn.XLOOKUP(Registre_Maintenance__2[[#This Row],[ID_Antenne]],Master!D:D,Master!#REF!,"Pas de correspondance")</f>
        <v>#REF!</v>
      </c>
    </row>
    <row r="306" spans="1:11" x14ac:dyDescent="0.25">
      <c r="A306" s="1" t="s">
        <v>1618</v>
      </c>
      <c r="B306" s="1" t="s">
        <v>1246</v>
      </c>
      <c r="C306" s="1" t="s">
        <v>44</v>
      </c>
      <c r="D306">
        <v>-0.47411900000000001</v>
      </c>
      <c r="E306">
        <v>27.184329000000002</v>
      </c>
      <c r="F306" s="1" t="s">
        <v>1501</v>
      </c>
      <c r="G306" s="1" t="s">
        <v>1507</v>
      </c>
      <c r="H306" s="1" t="str">
        <f>_xlfn.XLOOKUP(Registre_Maintenance__2[[#This Row],[ID_Antenne]],Master!D:D,Master!B:B,"Pas de correspondance")</f>
        <v>Pas de correspondance</v>
      </c>
      <c r="I306" s="1" t="str">
        <f>_xlfn.XLOOKUP(Registre_Maintenance__2[[#This Row],[ID_Antenne]],Master!D:D,Master!C:C,"Pas de correspondance")</f>
        <v>Pas de correspondance</v>
      </c>
      <c r="J306" s="1" t="str">
        <f>_xlfn.XLOOKUP(Registre_Maintenance__2[[#This Row],[ID_Antenne]],Master!D:D,Master!F:F,"Pas de correspondance")</f>
        <v>Pas de correspondance</v>
      </c>
      <c r="K306" s="1" t="e">
        <f>_xlfn.XLOOKUP(Registre_Maintenance__2[[#This Row],[ID_Antenne]],Master!D:D,Master!#REF!,"Pas de correspondance")</f>
        <v>#REF!</v>
      </c>
    </row>
    <row r="307" spans="1:11" x14ac:dyDescent="0.25">
      <c r="A307" s="1" t="s">
        <v>1618</v>
      </c>
      <c r="B307" s="1" t="s">
        <v>864</v>
      </c>
      <c r="C307" s="1" t="s">
        <v>37</v>
      </c>
      <c r="D307">
        <v>3.1362930000000002</v>
      </c>
      <c r="E307">
        <v>16.190878000000001</v>
      </c>
      <c r="F307" s="1" t="s">
        <v>1506</v>
      </c>
      <c r="G307" s="1" t="s">
        <v>1514</v>
      </c>
      <c r="H307" s="1" t="str">
        <f>_xlfn.XLOOKUP(Registre_Maintenance__2[[#This Row],[ID_Antenne]],Master!D:D,Master!B:B,"Pas de correspondance")</f>
        <v>Pas de correspondance</v>
      </c>
      <c r="I307" s="1" t="str">
        <f>_xlfn.XLOOKUP(Registre_Maintenance__2[[#This Row],[ID_Antenne]],Master!D:D,Master!C:C,"Pas de correspondance")</f>
        <v>Pas de correspondance</v>
      </c>
      <c r="J307" s="1" t="str">
        <f>_xlfn.XLOOKUP(Registre_Maintenance__2[[#This Row],[ID_Antenne]],Master!D:D,Master!F:F,"Pas de correspondance")</f>
        <v>Pas de correspondance</v>
      </c>
      <c r="K307" s="1" t="e">
        <f>_xlfn.XLOOKUP(Registre_Maintenance__2[[#This Row],[ID_Antenne]],Master!D:D,Master!#REF!,"Pas de correspondance")</f>
        <v>#REF!</v>
      </c>
    </row>
    <row r="308" spans="1:11" x14ac:dyDescent="0.25">
      <c r="A308" s="1" t="s">
        <v>1618</v>
      </c>
      <c r="B308" s="1" t="s">
        <v>1263</v>
      </c>
      <c r="C308" s="1" t="s">
        <v>78</v>
      </c>
      <c r="D308">
        <v>-1.6488929999999999</v>
      </c>
      <c r="E308">
        <v>27.284617000000001</v>
      </c>
      <c r="F308" s="1" t="s">
        <v>1501</v>
      </c>
      <c r="G308" s="1" t="s">
        <v>1514</v>
      </c>
      <c r="H308" s="1" t="str">
        <f>_xlfn.XLOOKUP(Registre_Maintenance__2[[#This Row],[ID_Antenne]],Master!D:D,Master!B:B,"Pas de correspondance")</f>
        <v>Pas de correspondance</v>
      </c>
      <c r="I308" s="1" t="str">
        <f>_xlfn.XLOOKUP(Registre_Maintenance__2[[#This Row],[ID_Antenne]],Master!D:D,Master!C:C,"Pas de correspondance")</f>
        <v>Pas de correspondance</v>
      </c>
      <c r="J308" s="1" t="str">
        <f>_xlfn.XLOOKUP(Registre_Maintenance__2[[#This Row],[ID_Antenne]],Master!D:D,Master!F:F,"Pas de correspondance")</f>
        <v>Pas de correspondance</v>
      </c>
      <c r="K308" s="1" t="e">
        <f>_xlfn.XLOOKUP(Registre_Maintenance__2[[#This Row],[ID_Antenne]],Master!D:D,Master!#REF!,"Pas de correspondance")</f>
        <v>#REF!</v>
      </c>
    </row>
    <row r="309" spans="1:11" x14ac:dyDescent="0.25">
      <c r="A309" s="1" t="s">
        <v>1618</v>
      </c>
      <c r="B309" s="1" t="s">
        <v>1216</v>
      </c>
      <c r="C309" s="1" t="s">
        <v>131</v>
      </c>
      <c r="D309">
        <v>-6.5332999999999997</v>
      </c>
      <c r="E309">
        <v>20.098018</v>
      </c>
      <c r="F309" s="1" t="s">
        <v>1504</v>
      </c>
      <c r="G309" s="1" t="s">
        <v>1505</v>
      </c>
      <c r="H309" s="1" t="str">
        <f>_xlfn.XLOOKUP(Registre_Maintenance__2[[#This Row],[ID_Antenne]],Master!D:D,Master!B:B,"Pas de correspondance")</f>
        <v>Pas de correspondance</v>
      </c>
      <c r="I309" s="1" t="str">
        <f>_xlfn.XLOOKUP(Registre_Maintenance__2[[#This Row],[ID_Antenne]],Master!D:D,Master!C:C,"Pas de correspondance")</f>
        <v>Pas de correspondance</v>
      </c>
      <c r="J309" s="1" t="str">
        <f>_xlfn.XLOOKUP(Registre_Maintenance__2[[#This Row],[ID_Antenne]],Master!D:D,Master!F:F,"Pas de correspondance")</f>
        <v>Pas de correspondance</v>
      </c>
      <c r="K309" s="1" t="e">
        <f>_xlfn.XLOOKUP(Registre_Maintenance__2[[#This Row],[ID_Antenne]],Master!D:D,Master!#REF!,"Pas de correspondance")</f>
        <v>#REF!</v>
      </c>
    </row>
    <row r="310" spans="1:11" x14ac:dyDescent="0.25">
      <c r="A310" s="1" t="s">
        <v>1618</v>
      </c>
      <c r="B310" s="1" t="s">
        <v>1620</v>
      </c>
      <c r="C310" s="1" t="s">
        <v>89</v>
      </c>
      <c r="D310">
        <v>-11.472474999999999</v>
      </c>
      <c r="E310">
        <v>27.418900000000001</v>
      </c>
      <c r="F310" s="1" t="s">
        <v>1504</v>
      </c>
      <c r="G310" s="1" t="s">
        <v>1507</v>
      </c>
      <c r="H310" s="1" t="str">
        <f>_xlfn.XLOOKUP(Registre_Maintenance__2[[#This Row],[ID_Antenne]],Master!D:D,Master!B:B,"Pas de correspondance")</f>
        <v>Pas de correspondance</v>
      </c>
      <c r="I310" s="1" t="str">
        <f>_xlfn.XLOOKUP(Registre_Maintenance__2[[#This Row],[ID_Antenne]],Master!D:D,Master!C:C,"Pas de correspondance")</f>
        <v>Pas de correspondance</v>
      </c>
      <c r="J310" s="1" t="str">
        <f>_xlfn.XLOOKUP(Registre_Maintenance__2[[#This Row],[ID_Antenne]],Master!D:D,Master!F:F,"Pas de correspondance")</f>
        <v>Pas de correspondance</v>
      </c>
      <c r="K310" s="1" t="e">
        <f>_xlfn.XLOOKUP(Registre_Maintenance__2[[#This Row],[ID_Antenne]],Master!D:D,Master!#REF!,"Pas de correspondance")</f>
        <v>#REF!</v>
      </c>
    </row>
    <row r="311" spans="1:11" x14ac:dyDescent="0.25">
      <c r="A311" s="1" t="s">
        <v>1618</v>
      </c>
      <c r="B311" s="1" t="s">
        <v>940</v>
      </c>
      <c r="C311" s="1" t="s">
        <v>64</v>
      </c>
      <c r="D311">
        <v>-1.6097570000000001</v>
      </c>
      <c r="E311">
        <v>30.661662</v>
      </c>
      <c r="F311" s="1" t="s">
        <v>1504</v>
      </c>
      <c r="G311" s="1" t="s">
        <v>1502</v>
      </c>
      <c r="H311" s="1" t="str">
        <f>_xlfn.XLOOKUP(Registre_Maintenance__2[[#This Row],[ID_Antenne]],Master!D:D,Master!B:B,"Pas de correspondance")</f>
        <v>Pas de correspondance</v>
      </c>
      <c r="I311" s="1" t="str">
        <f>_xlfn.XLOOKUP(Registre_Maintenance__2[[#This Row],[ID_Antenne]],Master!D:D,Master!C:C,"Pas de correspondance")</f>
        <v>Pas de correspondance</v>
      </c>
      <c r="J311" s="1" t="str">
        <f>_xlfn.XLOOKUP(Registre_Maintenance__2[[#This Row],[ID_Antenne]],Master!D:D,Master!F:F,"Pas de correspondance")</f>
        <v>Pas de correspondance</v>
      </c>
      <c r="K311" s="1" t="e">
        <f>_xlfn.XLOOKUP(Registre_Maintenance__2[[#This Row],[ID_Antenne]],Master!D:D,Master!#REF!,"Pas de correspondance")</f>
        <v>#REF!</v>
      </c>
    </row>
    <row r="312" spans="1:11" x14ac:dyDescent="0.25">
      <c r="A312" s="1" t="s">
        <v>1618</v>
      </c>
      <c r="B312" s="1" t="s">
        <v>834</v>
      </c>
      <c r="C312" s="1" t="s">
        <v>73</v>
      </c>
      <c r="D312">
        <v>0.23583499999999999</v>
      </c>
      <c r="E312">
        <v>24.889558999999998</v>
      </c>
      <c r="F312" s="1" t="s">
        <v>1506</v>
      </c>
      <c r="G312" s="1" t="s">
        <v>1507</v>
      </c>
      <c r="H312" s="1" t="str">
        <f>_xlfn.XLOOKUP(Registre_Maintenance__2[[#This Row],[ID_Antenne]],Master!D:D,Master!B:B,"Pas de correspondance")</f>
        <v>Pas de correspondance</v>
      </c>
      <c r="I312" s="1" t="str">
        <f>_xlfn.XLOOKUP(Registre_Maintenance__2[[#This Row],[ID_Antenne]],Master!D:D,Master!C:C,"Pas de correspondance")</f>
        <v>Pas de correspondance</v>
      </c>
      <c r="J312" s="1" t="str">
        <f>_xlfn.XLOOKUP(Registre_Maintenance__2[[#This Row],[ID_Antenne]],Master!D:D,Master!F:F,"Pas de correspondance")</f>
        <v>Pas de correspondance</v>
      </c>
      <c r="K312" s="1" t="e">
        <f>_xlfn.XLOOKUP(Registre_Maintenance__2[[#This Row],[ID_Antenne]],Master!D:D,Master!#REF!,"Pas de correspondance")</f>
        <v>#REF!</v>
      </c>
    </row>
    <row r="313" spans="1:11" x14ac:dyDescent="0.25">
      <c r="A313" s="1" t="s">
        <v>1618</v>
      </c>
      <c r="B313" s="1" t="s">
        <v>999</v>
      </c>
      <c r="C313" s="1" t="s">
        <v>37</v>
      </c>
      <c r="D313">
        <v>-10.481026999999999</v>
      </c>
      <c r="E313">
        <v>18.160464000000001</v>
      </c>
      <c r="F313" s="1" t="s">
        <v>1501</v>
      </c>
      <c r="G313" s="1" t="s">
        <v>1505</v>
      </c>
      <c r="H313" s="1" t="str">
        <f>_xlfn.XLOOKUP(Registre_Maintenance__2[[#This Row],[ID_Antenne]],Master!D:D,Master!B:B,"Pas de correspondance")</f>
        <v>Pas de correspondance</v>
      </c>
      <c r="I313" s="1" t="str">
        <f>_xlfn.XLOOKUP(Registre_Maintenance__2[[#This Row],[ID_Antenne]],Master!D:D,Master!C:C,"Pas de correspondance")</f>
        <v>Pas de correspondance</v>
      </c>
      <c r="J313" s="1" t="str">
        <f>_xlfn.XLOOKUP(Registre_Maintenance__2[[#This Row],[ID_Antenne]],Master!D:D,Master!F:F,"Pas de correspondance")</f>
        <v>Pas de correspondance</v>
      </c>
      <c r="K313" s="1" t="e">
        <f>_xlfn.XLOOKUP(Registre_Maintenance__2[[#This Row],[ID_Antenne]],Master!D:D,Master!#REF!,"Pas de correspondance")</f>
        <v>#REF!</v>
      </c>
    </row>
    <row r="314" spans="1:11" x14ac:dyDescent="0.25">
      <c r="A314" s="1" t="s">
        <v>1618</v>
      </c>
      <c r="B314" s="1" t="s">
        <v>990</v>
      </c>
      <c r="C314" s="1" t="s">
        <v>137</v>
      </c>
      <c r="D314">
        <v>-9.5243310000000001</v>
      </c>
      <c r="E314">
        <v>30.541212000000002</v>
      </c>
      <c r="F314" s="1" t="s">
        <v>1506</v>
      </c>
      <c r="G314" s="1" t="s">
        <v>1502</v>
      </c>
      <c r="H314" s="1" t="str">
        <f>_xlfn.XLOOKUP(Registre_Maintenance__2[[#This Row],[ID_Antenne]],Master!D:D,Master!B:B,"Pas de correspondance")</f>
        <v>Pas de correspondance</v>
      </c>
      <c r="I314" s="1" t="str">
        <f>_xlfn.XLOOKUP(Registre_Maintenance__2[[#This Row],[ID_Antenne]],Master!D:D,Master!C:C,"Pas de correspondance")</f>
        <v>Pas de correspondance</v>
      </c>
      <c r="J314" s="1" t="str">
        <f>_xlfn.XLOOKUP(Registre_Maintenance__2[[#This Row],[ID_Antenne]],Master!D:D,Master!F:F,"Pas de correspondance")</f>
        <v>Pas de correspondance</v>
      </c>
      <c r="K314" s="1" t="e">
        <f>_xlfn.XLOOKUP(Registre_Maintenance__2[[#This Row],[ID_Antenne]],Master!D:D,Master!#REF!,"Pas de correspondance")</f>
        <v>#REF!</v>
      </c>
    </row>
    <row r="315" spans="1:11" x14ac:dyDescent="0.25">
      <c r="A315" s="1" t="s">
        <v>1618</v>
      </c>
      <c r="B315" s="1" t="s">
        <v>891</v>
      </c>
      <c r="C315" s="1" t="s">
        <v>26</v>
      </c>
      <c r="D315">
        <v>-4.4697000000000001E-2</v>
      </c>
      <c r="E315">
        <v>22.943373000000001</v>
      </c>
      <c r="F315" s="1" t="s">
        <v>1506</v>
      </c>
      <c r="G315" s="1" t="s">
        <v>1505</v>
      </c>
      <c r="H315" s="1" t="str">
        <f>_xlfn.XLOOKUP(Registre_Maintenance__2[[#This Row],[ID_Antenne]],Master!D:D,Master!B:B,"Pas de correspondance")</f>
        <v>Pas de correspondance</v>
      </c>
      <c r="I315" s="1" t="str">
        <f>_xlfn.XLOOKUP(Registre_Maintenance__2[[#This Row],[ID_Antenne]],Master!D:D,Master!C:C,"Pas de correspondance")</f>
        <v>Pas de correspondance</v>
      </c>
      <c r="J315" s="1" t="str">
        <f>_xlfn.XLOOKUP(Registre_Maintenance__2[[#This Row],[ID_Antenne]],Master!D:D,Master!F:F,"Pas de correspondance")</f>
        <v>Pas de correspondance</v>
      </c>
      <c r="K315" s="1" t="e">
        <f>_xlfn.XLOOKUP(Registre_Maintenance__2[[#This Row],[ID_Antenne]],Master!D:D,Master!#REF!,"Pas de correspondance")</f>
        <v>#REF!</v>
      </c>
    </row>
    <row r="316" spans="1:11" x14ac:dyDescent="0.25">
      <c r="A316" s="1" t="s">
        <v>1618</v>
      </c>
      <c r="B316" s="1" t="s">
        <v>1440</v>
      </c>
      <c r="C316" s="1" t="s">
        <v>26</v>
      </c>
      <c r="D316">
        <v>-2.3269820000000001</v>
      </c>
      <c r="E316">
        <v>14.609259</v>
      </c>
      <c r="F316" s="1" t="s">
        <v>1506</v>
      </c>
      <c r="G316" s="1" t="s">
        <v>1514</v>
      </c>
      <c r="H316" s="1" t="str">
        <f>_xlfn.XLOOKUP(Registre_Maintenance__2[[#This Row],[ID_Antenne]],Master!D:D,Master!B:B,"Pas de correspondance")</f>
        <v>Pas de correspondance</v>
      </c>
      <c r="I316" s="1" t="str">
        <f>_xlfn.XLOOKUP(Registre_Maintenance__2[[#This Row],[ID_Antenne]],Master!D:D,Master!C:C,"Pas de correspondance")</f>
        <v>Pas de correspondance</v>
      </c>
      <c r="J316" s="1" t="str">
        <f>_xlfn.XLOOKUP(Registre_Maintenance__2[[#This Row],[ID_Antenne]],Master!D:D,Master!F:F,"Pas de correspondance")</f>
        <v>Pas de correspondance</v>
      </c>
      <c r="K316" s="1" t="e">
        <f>_xlfn.XLOOKUP(Registre_Maintenance__2[[#This Row],[ID_Antenne]],Master!D:D,Master!#REF!,"Pas de correspondance")</f>
        <v>#REF!</v>
      </c>
    </row>
    <row r="317" spans="1:11" x14ac:dyDescent="0.25">
      <c r="A317" s="1" t="s">
        <v>1618</v>
      </c>
      <c r="B317" s="1" t="s">
        <v>1621</v>
      </c>
      <c r="C317" s="1" t="s">
        <v>10</v>
      </c>
      <c r="D317">
        <v>-4.1938139999999997</v>
      </c>
      <c r="E317">
        <v>27.892115</v>
      </c>
      <c r="F317" s="1" t="s">
        <v>1501</v>
      </c>
      <c r="G317" s="1" t="s">
        <v>1502</v>
      </c>
      <c r="H317" s="1" t="str">
        <f>_xlfn.XLOOKUP(Registre_Maintenance__2[[#This Row],[ID_Antenne]],Master!D:D,Master!B:B,"Pas de correspondance")</f>
        <v>Pas de correspondance</v>
      </c>
      <c r="I317" s="1" t="str">
        <f>_xlfn.XLOOKUP(Registre_Maintenance__2[[#This Row],[ID_Antenne]],Master!D:D,Master!C:C,"Pas de correspondance")</f>
        <v>Pas de correspondance</v>
      </c>
      <c r="J317" s="1" t="str">
        <f>_xlfn.XLOOKUP(Registre_Maintenance__2[[#This Row],[ID_Antenne]],Master!D:D,Master!F:F,"Pas de correspondance")</f>
        <v>Pas de correspondance</v>
      </c>
      <c r="K317" s="1" t="e">
        <f>_xlfn.XLOOKUP(Registre_Maintenance__2[[#This Row],[ID_Antenne]],Master!D:D,Master!#REF!,"Pas de correspondance")</f>
        <v>#REF!</v>
      </c>
    </row>
    <row r="318" spans="1:11" x14ac:dyDescent="0.25">
      <c r="A318" s="1" t="s">
        <v>1618</v>
      </c>
      <c r="B318" s="1" t="s">
        <v>852</v>
      </c>
      <c r="C318" s="1" t="s">
        <v>131</v>
      </c>
      <c r="D318">
        <v>-11.866133</v>
      </c>
      <c r="E318">
        <v>27.068932</v>
      </c>
      <c r="F318" s="1" t="s">
        <v>1506</v>
      </c>
      <c r="G318" s="1" t="s">
        <v>1505</v>
      </c>
      <c r="H318" s="1" t="str">
        <f>_xlfn.XLOOKUP(Registre_Maintenance__2[[#This Row],[ID_Antenne]],Master!D:D,Master!B:B,"Pas de correspondance")</f>
        <v>Pas de correspondance</v>
      </c>
      <c r="I318" s="1" t="str">
        <f>_xlfn.XLOOKUP(Registre_Maintenance__2[[#This Row],[ID_Antenne]],Master!D:D,Master!C:C,"Pas de correspondance")</f>
        <v>Pas de correspondance</v>
      </c>
      <c r="J318" s="1" t="str">
        <f>_xlfn.XLOOKUP(Registre_Maintenance__2[[#This Row],[ID_Antenne]],Master!D:D,Master!F:F,"Pas de correspondance")</f>
        <v>Pas de correspondance</v>
      </c>
      <c r="K318" s="1" t="e">
        <f>_xlfn.XLOOKUP(Registre_Maintenance__2[[#This Row],[ID_Antenne]],Master!D:D,Master!#REF!,"Pas de correspondance")</f>
        <v>#REF!</v>
      </c>
    </row>
    <row r="319" spans="1:11" x14ac:dyDescent="0.25">
      <c r="A319" s="1" t="s">
        <v>1618</v>
      </c>
      <c r="B319" s="1" t="s">
        <v>1622</v>
      </c>
      <c r="C319" s="1" t="s">
        <v>18</v>
      </c>
      <c r="D319">
        <v>-3.2700629999999999</v>
      </c>
      <c r="E319">
        <v>26.520330000000001</v>
      </c>
      <c r="F319" s="1" t="s">
        <v>1501</v>
      </c>
      <c r="G319" s="1" t="s">
        <v>1514</v>
      </c>
      <c r="H319" s="1" t="str">
        <f>_xlfn.XLOOKUP(Registre_Maintenance__2[[#This Row],[ID_Antenne]],Master!D:D,Master!B:B,"Pas de correspondance")</f>
        <v>Pas de correspondance</v>
      </c>
      <c r="I319" s="1" t="str">
        <f>_xlfn.XLOOKUP(Registre_Maintenance__2[[#This Row],[ID_Antenne]],Master!D:D,Master!C:C,"Pas de correspondance")</f>
        <v>Pas de correspondance</v>
      </c>
      <c r="J319" s="1" t="str">
        <f>_xlfn.XLOOKUP(Registre_Maintenance__2[[#This Row],[ID_Antenne]],Master!D:D,Master!F:F,"Pas de correspondance")</f>
        <v>Pas de correspondance</v>
      </c>
      <c r="K319" s="1" t="e">
        <f>_xlfn.XLOOKUP(Registre_Maintenance__2[[#This Row],[ID_Antenne]],Master!D:D,Master!#REF!,"Pas de correspondance")</f>
        <v>#REF!</v>
      </c>
    </row>
    <row r="320" spans="1:11" x14ac:dyDescent="0.25">
      <c r="A320" s="1" t="s">
        <v>1618</v>
      </c>
      <c r="B320" s="1" t="s">
        <v>898</v>
      </c>
      <c r="C320" s="1" t="s">
        <v>137</v>
      </c>
      <c r="D320">
        <v>-7.4608439999999998</v>
      </c>
      <c r="E320">
        <v>23.268619999999999</v>
      </c>
      <c r="F320" s="1" t="s">
        <v>1504</v>
      </c>
      <c r="G320" s="1" t="s">
        <v>1505</v>
      </c>
      <c r="H320" s="1" t="str">
        <f>_xlfn.XLOOKUP(Registre_Maintenance__2[[#This Row],[ID_Antenne]],Master!D:D,Master!B:B,"Pas de correspondance")</f>
        <v>Pas de correspondance</v>
      </c>
      <c r="I320" s="1" t="str">
        <f>_xlfn.XLOOKUP(Registre_Maintenance__2[[#This Row],[ID_Antenne]],Master!D:D,Master!C:C,"Pas de correspondance")</f>
        <v>Pas de correspondance</v>
      </c>
      <c r="J320" s="1" t="str">
        <f>_xlfn.XLOOKUP(Registre_Maintenance__2[[#This Row],[ID_Antenne]],Master!D:D,Master!F:F,"Pas de correspondance")</f>
        <v>Pas de correspondance</v>
      </c>
      <c r="K320" s="1" t="e">
        <f>_xlfn.XLOOKUP(Registre_Maintenance__2[[#This Row],[ID_Antenne]],Master!D:D,Master!#REF!,"Pas de correspondance")</f>
        <v>#REF!</v>
      </c>
    </row>
    <row r="321" spans="1:11" x14ac:dyDescent="0.25">
      <c r="A321" s="1" t="s">
        <v>1618</v>
      </c>
      <c r="B321" s="1" t="s">
        <v>950</v>
      </c>
      <c r="C321" s="1" t="s">
        <v>24</v>
      </c>
      <c r="D321">
        <v>-3.3890790000000002</v>
      </c>
      <c r="E321">
        <v>18.374571</v>
      </c>
      <c r="F321" s="1" t="s">
        <v>1501</v>
      </c>
      <c r="G321" s="1" t="s">
        <v>1507</v>
      </c>
      <c r="H321" s="1" t="str">
        <f>_xlfn.XLOOKUP(Registre_Maintenance__2[[#This Row],[ID_Antenne]],Master!D:D,Master!B:B,"Pas de correspondance")</f>
        <v>Pas de correspondance</v>
      </c>
      <c r="I321" s="1" t="str">
        <f>_xlfn.XLOOKUP(Registre_Maintenance__2[[#This Row],[ID_Antenne]],Master!D:D,Master!C:C,"Pas de correspondance")</f>
        <v>Pas de correspondance</v>
      </c>
      <c r="J321" s="1" t="str">
        <f>_xlfn.XLOOKUP(Registre_Maintenance__2[[#This Row],[ID_Antenne]],Master!D:D,Master!F:F,"Pas de correspondance")</f>
        <v>Pas de correspondance</v>
      </c>
      <c r="K321" s="1" t="e">
        <f>_xlfn.XLOOKUP(Registre_Maintenance__2[[#This Row],[ID_Antenne]],Master!D:D,Master!#REF!,"Pas de correspondance")</f>
        <v>#REF!</v>
      </c>
    </row>
    <row r="322" spans="1:11" x14ac:dyDescent="0.25">
      <c r="A322" s="1" t="s">
        <v>1618</v>
      </c>
      <c r="B322" s="1" t="s">
        <v>1057</v>
      </c>
      <c r="C322" s="1" t="s">
        <v>24</v>
      </c>
      <c r="D322">
        <v>2.016505</v>
      </c>
      <c r="E322">
        <v>14.294164</v>
      </c>
      <c r="F322" s="1" t="s">
        <v>1501</v>
      </c>
      <c r="G322" s="1" t="s">
        <v>1505</v>
      </c>
      <c r="H322" s="1" t="str">
        <f>_xlfn.XLOOKUP(Registre_Maintenance__2[[#This Row],[ID_Antenne]],Master!D:D,Master!B:B,"Pas de correspondance")</f>
        <v>Pas de correspondance</v>
      </c>
      <c r="I322" s="1" t="str">
        <f>_xlfn.XLOOKUP(Registre_Maintenance__2[[#This Row],[ID_Antenne]],Master!D:D,Master!C:C,"Pas de correspondance")</f>
        <v>Pas de correspondance</v>
      </c>
      <c r="J322" s="1" t="str">
        <f>_xlfn.XLOOKUP(Registre_Maintenance__2[[#This Row],[ID_Antenne]],Master!D:D,Master!F:F,"Pas de correspondance")</f>
        <v>Pas de correspondance</v>
      </c>
      <c r="K322" s="1" t="e">
        <f>_xlfn.XLOOKUP(Registre_Maintenance__2[[#This Row],[ID_Antenne]],Master!D:D,Master!#REF!,"Pas de correspondance")</f>
        <v>#REF!</v>
      </c>
    </row>
    <row r="323" spans="1:11" x14ac:dyDescent="0.25">
      <c r="A323" s="1" t="s">
        <v>1618</v>
      </c>
      <c r="B323" s="1" t="s">
        <v>1623</v>
      </c>
      <c r="C323" s="1" t="s">
        <v>40</v>
      </c>
      <c r="D323">
        <v>-4.9124689999999998</v>
      </c>
      <c r="E323">
        <v>14.683498999999999</v>
      </c>
      <c r="F323" s="1" t="s">
        <v>1506</v>
      </c>
      <c r="G323" s="1" t="s">
        <v>1507</v>
      </c>
      <c r="H323" s="1" t="str">
        <f>_xlfn.XLOOKUP(Registre_Maintenance__2[[#This Row],[ID_Antenne]],Master!D:D,Master!B:B,"Pas de correspondance")</f>
        <v>Pas de correspondance</v>
      </c>
      <c r="I323" s="1" t="str">
        <f>_xlfn.XLOOKUP(Registre_Maintenance__2[[#This Row],[ID_Antenne]],Master!D:D,Master!C:C,"Pas de correspondance")</f>
        <v>Pas de correspondance</v>
      </c>
      <c r="J323" s="1" t="str">
        <f>_xlfn.XLOOKUP(Registre_Maintenance__2[[#This Row],[ID_Antenne]],Master!D:D,Master!F:F,"Pas de correspondance")</f>
        <v>Pas de correspondance</v>
      </c>
      <c r="K323" s="1" t="e">
        <f>_xlfn.XLOOKUP(Registre_Maintenance__2[[#This Row],[ID_Antenne]],Master!D:D,Master!#REF!,"Pas de correspondance")</f>
        <v>#REF!</v>
      </c>
    </row>
    <row r="324" spans="1:11" x14ac:dyDescent="0.25">
      <c r="A324" s="1" t="s">
        <v>1618</v>
      </c>
      <c r="B324" s="1" t="s">
        <v>847</v>
      </c>
      <c r="C324" s="1" t="s">
        <v>60</v>
      </c>
      <c r="D324">
        <v>4.9250049999999996</v>
      </c>
      <c r="E324">
        <v>19.887931999999999</v>
      </c>
      <c r="F324" s="1" t="s">
        <v>1504</v>
      </c>
      <c r="G324" s="1" t="s">
        <v>1505</v>
      </c>
      <c r="H324" s="1" t="str">
        <f>_xlfn.XLOOKUP(Registre_Maintenance__2[[#This Row],[ID_Antenne]],Master!D:D,Master!B:B,"Pas de correspondance")</f>
        <v>Pas de correspondance</v>
      </c>
      <c r="I324" s="1" t="str">
        <f>_xlfn.XLOOKUP(Registre_Maintenance__2[[#This Row],[ID_Antenne]],Master!D:D,Master!C:C,"Pas de correspondance")</f>
        <v>Pas de correspondance</v>
      </c>
      <c r="J324" s="1" t="str">
        <f>_xlfn.XLOOKUP(Registre_Maintenance__2[[#This Row],[ID_Antenne]],Master!D:D,Master!F:F,"Pas de correspondance")</f>
        <v>Pas de correspondance</v>
      </c>
      <c r="K324" s="1" t="e">
        <f>_xlfn.XLOOKUP(Registre_Maintenance__2[[#This Row],[ID_Antenne]],Master!D:D,Master!#REF!,"Pas de correspondance")</f>
        <v>#REF!</v>
      </c>
    </row>
    <row r="325" spans="1:11" x14ac:dyDescent="0.25">
      <c r="A325" s="1" t="s">
        <v>1618</v>
      </c>
      <c r="B325" s="1" t="s">
        <v>933</v>
      </c>
      <c r="C325" s="1" t="s">
        <v>1676</v>
      </c>
      <c r="D325">
        <v>-12.333232000000001</v>
      </c>
      <c r="E325">
        <v>25.229620000000001</v>
      </c>
      <c r="F325" s="1" t="s">
        <v>1501</v>
      </c>
      <c r="G325" s="1" t="s">
        <v>1514</v>
      </c>
      <c r="H325" s="1" t="str">
        <f>_xlfn.XLOOKUP(Registre_Maintenance__2[[#This Row],[ID_Antenne]],Master!D:D,Master!B:B,"Pas de correspondance")</f>
        <v>Pas de correspondance</v>
      </c>
      <c r="I325" s="1" t="str">
        <f>_xlfn.XLOOKUP(Registre_Maintenance__2[[#This Row],[ID_Antenne]],Master!D:D,Master!C:C,"Pas de correspondance")</f>
        <v>Pas de correspondance</v>
      </c>
      <c r="J325" s="1" t="str">
        <f>_xlfn.XLOOKUP(Registre_Maintenance__2[[#This Row],[ID_Antenne]],Master!D:D,Master!F:F,"Pas de correspondance")</f>
        <v>Pas de correspondance</v>
      </c>
      <c r="K325" s="1" t="e">
        <f>_xlfn.XLOOKUP(Registre_Maintenance__2[[#This Row],[ID_Antenne]],Master!D:D,Master!#REF!,"Pas de correspondance")</f>
        <v>#REF!</v>
      </c>
    </row>
    <row r="326" spans="1:11" x14ac:dyDescent="0.25">
      <c r="A326" s="1" t="s">
        <v>1618</v>
      </c>
      <c r="B326" s="1" t="s">
        <v>971</v>
      </c>
      <c r="C326" s="1" t="s">
        <v>64</v>
      </c>
      <c r="D326">
        <v>-11.991020000000001</v>
      </c>
      <c r="E326">
        <v>22.514747</v>
      </c>
      <c r="F326" s="1" t="s">
        <v>1501</v>
      </c>
      <c r="G326" s="1" t="s">
        <v>1507</v>
      </c>
      <c r="H326" s="1" t="str">
        <f>_xlfn.XLOOKUP(Registre_Maintenance__2[[#This Row],[ID_Antenne]],Master!D:D,Master!B:B,"Pas de correspondance")</f>
        <v>Pas de correspondance</v>
      </c>
      <c r="I326" s="1" t="str">
        <f>_xlfn.XLOOKUP(Registre_Maintenance__2[[#This Row],[ID_Antenne]],Master!D:D,Master!C:C,"Pas de correspondance")</f>
        <v>Pas de correspondance</v>
      </c>
      <c r="J326" s="1" t="str">
        <f>_xlfn.XLOOKUP(Registre_Maintenance__2[[#This Row],[ID_Antenne]],Master!D:D,Master!F:F,"Pas de correspondance")</f>
        <v>Pas de correspondance</v>
      </c>
      <c r="K326" s="1" t="e">
        <f>_xlfn.XLOOKUP(Registre_Maintenance__2[[#This Row],[ID_Antenne]],Master!D:D,Master!#REF!,"Pas de correspondance")</f>
        <v>#REF!</v>
      </c>
    </row>
    <row r="327" spans="1:11" x14ac:dyDescent="0.25">
      <c r="A327" s="1" t="s">
        <v>1618</v>
      </c>
      <c r="B327" s="1" t="s">
        <v>1624</v>
      </c>
      <c r="C327" s="1" t="s">
        <v>131</v>
      </c>
      <c r="D327">
        <v>1.1800139999999999</v>
      </c>
      <c r="E327">
        <v>20.334562999999999</v>
      </c>
      <c r="F327" s="1" t="s">
        <v>1506</v>
      </c>
      <c r="G327" s="1" t="s">
        <v>1507</v>
      </c>
      <c r="H327" s="1" t="str">
        <f>_xlfn.XLOOKUP(Registre_Maintenance__2[[#This Row],[ID_Antenne]],Master!D:D,Master!B:B,"Pas de correspondance")</f>
        <v>Pas de correspondance</v>
      </c>
      <c r="I327" s="1" t="str">
        <f>_xlfn.XLOOKUP(Registre_Maintenance__2[[#This Row],[ID_Antenne]],Master!D:D,Master!C:C,"Pas de correspondance")</f>
        <v>Pas de correspondance</v>
      </c>
      <c r="J327" s="1" t="str">
        <f>_xlfn.XLOOKUP(Registre_Maintenance__2[[#This Row],[ID_Antenne]],Master!D:D,Master!F:F,"Pas de correspondance")</f>
        <v>Pas de correspondance</v>
      </c>
      <c r="K327" s="1" t="e">
        <f>_xlfn.XLOOKUP(Registre_Maintenance__2[[#This Row],[ID_Antenne]],Master!D:D,Master!#REF!,"Pas de correspondance")</f>
        <v>#REF!</v>
      </c>
    </row>
    <row r="328" spans="1:11" x14ac:dyDescent="0.25">
      <c r="A328" s="1" t="s">
        <v>1618</v>
      </c>
      <c r="B328" s="1" t="s">
        <v>1117</v>
      </c>
      <c r="C328" s="1" t="s">
        <v>37</v>
      </c>
      <c r="D328">
        <v>-12.229338</v>
      </c>
      <c r="E328">
        <v>29.587834999999998</v>
      </c>
      <c r="F328" s="1" t="s">
        <v>1504</v>
      </c>
      <c r="G328" s="1" t="s">
        <v>1514</v>
      </c>
      <c r="H328" s="1" t="str">
        <f>_xlfn.XLOOKUP(Registre_Maintenance__2[[#This Row],[ID_Antenne]],Master!D:D,Master!B:B,"Pas de correspondance")</f>
        <v>Pas de correspondance</v>
      </c>
      <c r="I328" s="1" t="str">
        <f>_xlfn.XLOOKUP(Registre_Maintenance__2[[#This Row],[ID_Antenne]],Master!D:D,Master!C:C,"Pas de correspondance")</f>
        <v>Pas de correspondance</v>
      </c>
      <c r="J328" s="1" t="str">
        <f>_xlfn.XLOOKUP(Registre_Maintenance__2[[#This Row],[ID_Antenne]],Master!D:D,Master!F:F,"Pas de correspondance")</f>
        <v>Pas de correspondance</v>
      </c>
      <c r="K328" s="1" t="e">
        <f>_xlfn.XLOOKUP(Registre_Maintenance__2[[#This Row],[ID_Antenne]],Master!D:D,Master!#REF!,"Pas de correspondance")</f>
        <v>#REF!</v>
      </c>
    </row>
    <row r="329" spans="1:11" x14ac:dyDescent="0.25">
      <c r="A329" s="1" t="s">
        <v>1618</v>
      </c>
      <c r="B329" s="1" t="s">
        <v>984</v>
      </c>
      <c r="C329" s="1" t="s">
        <v>137</v>
      </c>
      <c r="D329">
        <v>-10.872631999999999</v>
      </c>
      <c r="E329">
        <v>12.773279</v>
      </c>
      <c r="F329" s="1" t="s">
        <v>1506</v>
      </c>
      <c r="G329" s="1" t="s">
        <v>1507</v>
      </c>
      <c r="H329" s="1" t="str">
        <f>_xlfn.XLOOKUP(Registre_Maintenance__2[[#This Row],[ID_Antenne]],Master!D:D,Master!B:B,"Pas de correspondance")</f>
        <v>Pas de correspondance</v>
      </c>
      <c r="I329" s="1" t="str">
        <f>_xlfn.XLOOKUP(Registre_Maintenance__2[[#This Row],[ID_Antenne]],Master!D:D,Master!C:C,"Pas de correspondance")</f>
        <v>Pas de correspondance</v>
      </c>
      <c r="J329" s="1" t="str">
        <f>_xlfn.XLOOKUP(Registre_Maintenance__2[[#This Row],[ID_Antenne]],Master!D:D,Master!F:F,"Pas de correspondance")</f>
        <v>Pas de correspondance</v>
      </c>
      <c r="K329" s="1" t="e">
        <f>_xlfn.XLOOKUP(Registre_Maintenance__2[[#This Row],[ID_Antenne]],Master!D:D,Master!#REF!,"Pas de correspondance")</f>
        <v>#REF!</v>
      </c>
    </row>
    <row r="330" spans="1:11" x14ac:dyDescent="0.25">
      <c r="A330" s="1" t="s">
        <v>1618</v>
      </c>
      <c r="B330" s="1" t="s">
        <v>996</v>
      </c>
      <c r="C330" s="1" t="s">
        <v>26</v>
      </c>
      <c r="D330">
        <v>1.5278670000000001</v>
      </c>
      <c r="E330">
        <v>13.899388999999999</v>
      </c>
      <c r="F330" s="1" t="s">
        <v>1506</v>
      </c>
      <c r="G330" s="1" t="s">
        <v>1505</v>
      </c>
      <c r="H330" s="1" t="str">
        <f>_xlfn.XLOOKUP(Registre_Maintenance__2[[#This Row],[ID_Antenne]],Master!D:D,Master!B:B,"Pas de correspondance")</f>
        <v>Pas de correspondance</v>
      </c>
      <c r="I330" s="1" t="str">
        <f>_xlfn.XLOOKUP(Registre_Maintenance__2[[#This Row],[ID_Antenne]],Master!D:D,Master!C:C,"Pas de correspondance")</f>
        <v>Pas de correspondance</v>
      </c>
      <c r="J330" s="1" t="str">
        <f>_xlfn.XLOOKUP(Registre_Maintenance__2[[#This Row],[ID_Antenne]],Master!D:D,Master!F:F,"Pas de correspondance")</f>
        <v>Pas de correspondance</v>
      </c>
      <c r="K330" s="1" t="e">
        <f>_xlfn.XLOOKUP(Registre_Maintenance__2[[#This Row],[ID_Antenne]],Master!D:D,Master!#REF!,"Pas de correspondance")</f>
        <v>#REF!</v>
      </c>
    </row>
    <row r="331" spans="1:11" x14ac:dyDescent="0.25">
      <c r="A331" s="1" t="s">
        <v>1618</v>
      </c>
      <c r="B331" s="1" t="s">
        <v>1135</v>
      </c>
      <c r="C331" s="1" t="s">
        <v>51</v>
      </c>
      <c r="D331">
        <v>-0.98830399999999996</v>
      </c>
      <c r="E331">
        <v>28.099966999999999</v>
      </c>
      <c r="F331" s="1" t="s">
        <v>1506</v>
      </c>
      <c r="G331" s="1" t="s">
        <v>1505</v>
      </c>
      <c r="H331" s="1" t="str">
        <f>_xlfn.XLOOKUP(Registre_Maintenance__2[[#This Row],[ID_Antenne]],Master!D:D,Master!B:B,"Pas de correspondance")</f>
        <v>Pas de correspondance</v>
      </c>
      <c r="I331" s="1" t="str">
        <f>_xlfn.XLOOKUP(Registre_Maintenance__2[[#This Row],[ID_Antenne]],Master!D:D,Master!C:C,"Pas de correspondance")</f>
        <v>Pas de correspondance</v>
      </c>
      <c r="J331" s="1" t="str">
        <f>_xlfn.XLOOKUP(Registre_Maintenance__2[[#This Row],[ID_Antenne]],Master!D:D,Master!F:F,"Pas de correspondance")</f>
        <v>Pas de correspondance</v>
      </c>
      <c r="K331" s="1" t="e">
        <f>_xlfn.XLOOKUP(Registre_Maintenance__2[[#This Row],[ID_Antenne]],Master!D:D,Master!#REF!,"Pas de correspondance")</f>
        <v>#REF!</v>
      </c>
    </row>
    <row r="332" spans="1:11" x14ac:dyDescent="0.25">
      <c r="A332" s="1" t="s">
        <v>1618</v>
      </c>
      <c r="B332" s="1" t="s">
        <v>1625</v>
      </c>
      <c r="C332" s="1" t="s">
        <v>89</v>
      </c>
      <c r="D332">
        <v>-4.749333</v>
      </c>
      <c r="E332">
        <v>23.636389000000001</v>
      </c>
      <c r="F332" s="1" t="s">
        <v>1506</v>
      </c>
      <c r="G332" s="1" t="s">
        <v>1507</v>
      </c>
      <c r="H332" s="1" t="str">
        <f>_xlfn.XLOOKUP(Registre_Maintenance__2[[#This Row],[ID_Antenne]],Master!D:D,Master!B:B,"Pas de correspondance")</f>
        <v>Pas de correspondance</v>
      </c>
      <c r="I332" s="1" t="str">
        <f>_xlfn.XLOOKUP(Registre_Maintenance__2[[#This Row],[ID_Antenne]],Master!D:D,Master!C:C,"Pas de correspondance")</f>
        <v>Pas de correspondance</v>
      </c>
      <c r="J332" s="1" t="str">
        <f>_xlfn.XLOOKUP(Registre_Maintenance__2[[#This Row],[ID_Antenne]],Master!D:D,Master!F:F,"Pas de correspondance")</f>
        <v>Pas de correspondance</v>
      </c>
      <c r="K332" s="1" t="e">
        <f>_xlfn.XLOOKUP(Registre_Maintenance__2[[#This Row],[ID_Antenne]],Master!D:D,Master!#REF!,"Pas de correspondance")</f>
        <v>#REF!</v>
      </c>
    </row>
    <row r="333" spans="1:11" x14ac:dyDescent="0.25">
      <c r="A333" s="1" t="s">
        <v>1618</v>
      </c>
      <c r="B333" s="1" t="s">
        <v>1196</v>
      </c>
      <c r="C333" s="1" t="s">
        <v>60</v>
      </c>
      <c r="D333">
        <v>-0.79459900000000006</v>
      </c>
      <c r="E333">
        <v>26.775570999999999</v>
      </c>
      <c r="F333" s="1" t="s">
        <v>1501</v>
      </c>
      <c r="G333" s="1" t="s">
        <v>1505</v>
      </c>
      <c r="H333" s="1" t="str">
        <f>_xlfn.XLOOKUP(Registre_Maintenance__2[[#This Row],[ID_Antenne]],Master!D:D,Master!B:B,"Pas de correspondance")</f>
        <v>Pas de correspondance</v>
      </c>
      <c r="I333" s="1" t="str">
        <f>_xlfn.XLOOKUP(Registre_Maintenance__2[[#This Row],[ID_Antenne]],Master!D:D,Master!C:C,"Pas de correspondance")</f>
        <v>Pas de correspondance</v>
      </c>
      <c r="J333" s="1" t="str">
        <f>_xlfn.XLOOKUP(Registre_Maintenance__2[[#This Row],[ID_Antenne]],Master!D:D,Master!F:F,"Pas de correspondance")</f>
        <v>Pas de correspondance</v>
      </c>
      <c r="K333" s="1" t="e">
        <f>_xlfn.XLOOKUP(Registre_Maintenance__2[[#This Row],[ID_Antenne]],Master!D:D,Master!#REF!,"Pas de correspondance")</f>
        <v>#REF!</v>
      </c>
    </row>
    <row r="334" spans="1:11" x14ac:dyDescent="0.25">
      <c r="A334" s="1" t="s">
        <v>1618</v>
      </c>
      <c r="B334" s="1" t="s">
        <v>1626</v>
      </c>
      <c r="C334" s="1" t="s">
        <v>21</v>
      </c>
      <c r="D334">
        <v>2.7365970000000002</v>
      </c>
      <c r="E334">
        <v>12.296976000000001</v>
      </c>
      <c r="F334" s="1" t="s">
        <v>1504</v>
      </c>
      <c r="G334" s="1" t="s">
        <v>1507</v>
      </c>
      <c r="H334" s="1" t="str">
        <f>_xlfn.XLOOKUP(Registre_Maintenance__2[[#This Row],[ID_Antenne]],Master!D:D,Master!B:B,"Pas de correspondance")</f>
        <v>Pas de correspondance</v>
      </c>
      <c r="I334" s="1" t="str">
        <f>_xlfn.XLOOKUP(Registre_Maintenance__2[[#This Row],[ID_Antenne]],Master!D:D,Master!C:C,"Pas de correspondance")</f>
        <v>Pas de correspondance</v>
      </c>
      <c r="J334" s="1" t="str">
        <f>_xlfn.XLOOKUP(Registre_Maintenance__2[[#This Row],[ID_Antenne]],Master!D:D,Master!F:F,"Pas de correspondance")</f>
        <v>Pas de correspondance</v>
      </c>
      <c r="K334" s="1" t="e">
        <f>_xlfn.XLOOKUP(Registre_Maintenance__2[[#This Row],[ID_Antenne]],Master!D:D,Master!#REF!,"Pas de correspondance")</f>
        <v>#REF!</v>
      </c>
    </row>
    <row r="335" spans="1:11" x14ac:dyDescent="0.25">
      <c r="A335" s="1" t="s">
        <v>1618</v>
      </c>
      <c r="B335" s="1" t="s">
        <v>1448</v>
      </c>
      <c r="C335" s="1" t="s">
        <v>78</v>
      </c>
      <c r="D335">
        <v>-10.318835</v>
      </c>
      <c r="E335">
        <v>21.252382000000001</v>
      </c>
      <c r="F335" s="1" t="s">
        <v>1504</v>
      </c>
      <c r="G335" s="1" t="s">
        <v>1502</v>
      </c>
      <c r="H335" s="1" t="str">
        <f>_xlfn.XLOOKUP(Registre_Maintenance__2[[#This Row],[ID_Antenne]],Master!D:D,Master!B:B,"Pas de correspondance")</f>
        <v>Pas de correspondance</v>
      </c>
      <c r="I335" s="1" t="str">
        <f>_xlfn.XLOOKUP(Registre_Maintenance__2[[#This Row],[ID_Antenne]],Master!D:D,Master!C:C,"Pas de correspondance")</f>
        <v>Pas de correspondance</v>
      </c>
      <c r="J335" s="1" t="str">
        <f>_xlfn.XLOOKUP(Registre_Maintenance__2[[#This Row],[ID_Antenne]],Master!D:D,Master!F:F,"Pas de correspondance")</f>
        <v>Pas de correspondance</v>
      </c>
      <c r="K335" s="1" t="e">
        <f>_xlfn.XLOOKUP(Registre_Maintenance__2[[#This Row],[ID_Antenne]],Master!D:D,Master!#REF!,"Pas de correspondance")</f>
        <v>#REF!</v>
      </c>
    </row>
    <row r="336" spans="1:11" x14ac:dyDescent="0.25">
      <c r="A336" s="1" t="s">
        <v>1618</v>
      </c>
      <c r="B336" s="1" t="s">
        <v>1089</v>
      </c>
      <c r="C336" s="1" t="s">
        <v>13</v>
      </c>
      <c r="D336">
        <v>-2.571777</v>
      </c>
      <c r="E336">
        <v>12.120642</v>
      </c>
      <c r="F336" s="1" t="s">
        <v>1506</v>
      </c>
      <c r="G336" s="1" t="s">
        <v>1505</v>
      </c>
      <c r="H336" s="1" t="str">
        <f>_xlfn.XLOOKUP(Registre_Maintenance__2[[#This Row],[ID_Antenne]],Master!D:D,Master!B:B,"Pas de correspondance")</f>
        <v>Pas de correspondance</v>
      </c>
      <c r="I336" s="1" t="str">
        <f>_xlfn.XLOOKUP(Registre_Maintenance__2[[#This Row],[ID_Antenne]],Master!D:D,Master!C:C,"Pas de correspondance")</f>
        <v>Pas de correspondance</v>
      </c>
      <c r="J336" s="1" t="str">
        <f>_xlfn.XLOOKUP(Registre_Maintenance__2[[#This Row],[ID_Antenne]],Master!D:D,Master!F:F,"Pas de correspondance")</f>
        <v>Pas de correspondance</v>
      </c>
      <c r="K336" s="1" t="e">
        <f>_xlfn.XLOOKUP(Registre_Maintenance__2[[#This Row],[ID_Antenne]],Master!D:D,Master!#REF!,"Pas de correspondance")</f>
        <v>#REF!</v>
      </c>
    </row>
    <row r="337" spans="1:11" x14ac:dyDescent="0.25">
      <c r="A337" s="1" t="s">
        <v>1618</v>
      </c>
      <c r="B337" s="1" t="s">
        <v>1627</v>
      </c>
      <c r="C337" s="1" t="s">
        <v>35</v>
      </c>
      <c r="D337">
        <v>3.6466850000000002</v>
      </c>
      <c r="E337">
        <v>15.408844</v>
      </c>
      <c r="F337" s="1" t="s">
        <v>1506</v>
      </c>
      <c r="G337" s="1" t="s">
        <v>1507</v>
      </c>
      <c r="H337" s="1" t="str">
        <f>_xlfn.XLOOKUP(Registre_Maintenance__2[[#This Row],[ID_Antenne]],Master!D:D,Master!B:B,"Pas de correspondance")</f>
        <v>Pas de correspondance</v>
      </c>
      <c r="I337" s="1" t="str">
        <f>_xlfn.XLOOKUP(Registre_Maintenance__2[[#This Row],[ID_Antenne]],Master!D:D,Master!C:C,"Pas de correspondance")</f>
        <v>Pas de correspondance</v>
      </c>
      <c r="J337" s="1" t="str">
        <f>_xlfn.XLOOKUP(Registre_Maintenance__2[[#This Row],[ID_Antenne]],Master!D:D,Master!F:F,"Pas de correspondance")</f>
        <v>Pas de correspondance</v>
      </c>
      <c r="K337" s="1" t="e">
        <f>_xlfn.XLOOKUP(Registre_Maintenance__2[[#This Row],[ID_Antenne]],Master!D:D,Master!#REF!,"Pas de correspondance")</f>
        <v>#REF!</v>
      </c>
    </row>
    <row r="338" spans="1:11" x14ac:dyDescent="0.25">
      <c r="A338" s="1" t="s">
        <v>1618</v>
      </c>
      <c r="B338" s="1" t="s">
        <v>974</v>
      </c>
      <c r="C338" s="1" t="s">
        <v>131</v>
      </c>
      <c r="D338">
        <v>-12.336202</v>
      </c>
      <c r="E338">
        <v>13.693683999999999</v>
      </c>
      <c r="F338" s="1" t="s">
        <v>1501</v>
      </c>
      <c r="G338" s="1" t="s">
        <v>1505</v>
      </c>
      <c r="H338" s="1" t="str">
        <f>_xlfn.XLOOKUP(Registre_Maintenance__2[[#This Row],[ID_Antenne]],Master!D:D,Master!B:B,"Pas de correspondance")</f>
        <v>Pas de correspondance</v>
      </c>
      <c r="I338" s="1" t="str">
        <f>_xlfn.XLOOKUP(Registre_Maintenance__2[[#This Row],[ID_Antenne]],Master!D:D,Master!C:C,"Pas de correspondance")</f>
        <v>Pas de correspondance</v>
      </c>
      <c r="J338" s="1" t="str">
        <f>_xlfn.XLOOKUP(Registre_Maintenance__2[[#This Row],[ID_Antenne]],Master!D:D,Master!F:F,"Pas de correspondance")</f>
        <v>Pas de correspondance</v>
      </c>
      <c r="K338" s="1" t="e">
        <f>_xlfn.XLOOKUP(Registre_Maintenance__2[[#This Row],[ID_Antenne]],Master!D:D,Master!#REF!,"Pas de correspondance")</f>
        <v>#REF!</v>
      </c>
    </row>
    <row r="339" spans="1:11" x14ac:dyDescent="0.25">
      <c r="A339" s="1" t="s">
        <v>1618</v>
      </c>
      <c r="B339" s="1" t="s">
        <v>1628</v>
      </c>
      <c r="C339" s="1" t="s">
        <v>62</v>
      </c>
      <c r="D339">
        <v>-10.451371</v>
      </c>
      <c r="E339">
        <v>24.38336</v>
      </c>
      <c r="F339" s="1" t="s">
        <v>1506</v>
      </c>
      <c r="G339" s="1" t="s">
        <v>1502</v>
      </c>
      <c r="H339" s="1" t="str">
        <f>_xlfn.XLOOKUP(Registre_Maintenance__2[[#This Row],[ID_Antenne]],Master!D:D,Master!B:B,"Pas de correspondance")</f>
        <v>Pas de correspondance</v>
      </c>
      <c r="I339" s="1" t="str">
        <f>_xlfn.XLOOKUP(Registre_Maintenance__2[[#This Row],[ID_Antenne]],Master!D:D,Master!C:C,"Pas de correspondance")</f>
        <v>Pas de correspondance</v>
      </c>
      <c r="J339" s="1" t="str">
        <f>_xlfn.XLOOKUP(Registre_Maintenance__2[[#This Row],[ID_Antenne]],Master!D:D,Master!F:F,"Pas de correspondance")</f>
        <v>Pas de correspondance</v>
      </c>
      <c r="K339" s="1" t="e">
        <f>_xlfn.XLOOKUP(Registre_Maintenance__2[[#This Row],[ID_Antenne]],Master!D:D,Master!#REF!,"Pas de correspondance")</f>
        <v>#REF!</v>
      </c>
    </row>
    <row r="340" spans="1:11" x14ac:dyDescent="0.25">
      <c r="A340" s="1" t="s">
        <v>1618</v>
      </c>
      <c r="B340" s="1" t="s">
        <v>1120</v>
      </c>
      <c r="C340" s="1" t="s">
        <v>16</v>
      </c>
      <c r="D340">
        <v>-1.231033</v>
      </c>
      <c r="E340">
        <v>28.851388</v>
      </c>
      <c r="F340" s="1" t="s">
        <v>1506</v>
      </c>
      <c r="G340" s="1" t="s">
        <v>1502</v>
      </c>
      <c r="H340" s="1" t="str">
        <f>_xlfn.XLOOKUP(Registre_Maintenance__2[[#This Row],[ID_Antenne]],Master!D:D,Master!B:B,"Pas de correspondance")</f>
        <v>Pas de correspondance</v>
      </c>
      <c r="I340" s="1" t="str">
        <f>_xlfn.XLOOKUP(Registre_Maintenance__2[[#This Row],[ID_Antenne]],Master!D:D,Master!C:C,"Pas de correspondance")</f>
        <v>Pas de correspondance</v>
      </c>
      <c r="J340" s="1" t="str">
        <f>_xlfn.XLOOKUP(Registre_Maintenance__2[[#This Row],[ID_Antenne]],Master!D:D,Master!F:F,"Pas de correspondance")</f>
        <v>Pas de correspondance</v>
      </c>
      <c r="K340" s="1" t="e">
        <f>_xlfn.XLOOKUP(Registre_Maintenance__2[[#This Row],[ID_Antenne]],Master!D:D,Master!#REF!,"Pas de correspondance")</f>
        <v>#REF!</v>
      </c>
    </row>
    <row r="341" spans="1:11" x14ac:dyDescent="0.25">
      <c r="A341" s="1" t="s">
        <v>1618</v>
      </c>
      <c r="B341" s="1" t="s">
        <v>1629</v>
      </c>
      <c r="C341" s="1" t="s">
        <v>16</v>
      </c>
      <c r="D341">
        <v>-4.5180470000000001</v>
      </c>
      <c r="E341">
        <v>19.908223</v>
      </c>
      <c r="F341" s="1" t="s">
        <v>1501</v>
      </c>
      <c r="G341" s="1" t="s">
        <v>1505</v>
      </c>
      <c r="H341" s="1" t="str">
        <f>_xlfn.XLOOKUP(Registre_Maintenance__2[[#This Row],[ID_Antenne]],Master!D:D,Master!B:B,"Pas de correspondance")</f>
        <v>Pas de correspondance</v>
      </c>
      <c r="I341" s="1" t="str">
        <f>_xlfn.XLOOKUP(Registre_Maintenance__2[[#This Row],[ID_Antenne]],Master!D:D,Master!C:C,"Pas de correspondance")</f>
        <v>Pas de correspondance</v>
      </c>
      <c r="J341" s="1" t="str">
        <f>_xlfn.XLOOKUP(Registre_Maintenance__2[[#This Row],[ID_Antenne]],Master!D:D,Master!F:F,"Pas de correspondance")</f>
        <v>Pas de correspondance</v>
      </c>
      <c r="K341" s="1" t="e">
        <f>_xlfn.XLOOKUP(Registre_Maintenance__2[[#This Row],[ID_Antenne]],Master!D:D,Master!#REF!,"Pas de correspondance")</f>
        <v>#REF!</v>
      </c>
    </row>
    <row r="342" spans="1:11" x14ac:dyDescent="0.25">
      <c r="A342" s="1" t="s">
        <v>1618</v>
      </c>
      <c r="B342" s="1" t="s">
        <v>1630</v>
      </c>
      <c r="C342" s="1" t="s">
        <v>40</v>
      </c>
      <c r="D342">
        <v>3.524343</v>
      </c>
      <c r="E342">
        <v>27.340824000000001</v>
      </c>
      <c r="F342" s="1" t="s">
        <v>1504</v>
      </c>
      <c r="G342" s="1" t="s">
        <v>1502</v>
      </c>
      <c r="H342" s="1" t="str">
        <f>_xlfn.XLOOKUP(Registre_Maintenance__2[[#This Row],[ID_Antenne]],Master!D:D,Master!B:B,"Pas de correspondance")</f>
        <v>Pas de correspondance</v>
      </c>
      <c r="I342" s="1" t="str">
        <f>_xlfn.XLOOKUP(Registre_Maintenance__2[[#This Row],[ID_Antenne]],Master!D:D,Master!C:C,"Pas de correspondance")</f>
        <v>Pas de correspondance</v>
      </c>
      <c r="J342" s="1" t="str">
        <f>_xlfn.XLOOKUP(Registre_Maintenance__2[[#This Row],[ID_Antenne]],Master!D:D,Master!F:F,"Pas de correspondance")</f>
        <v>Pas de correspondance</v>
      </c>
      <c r="K342" s="1" t="e">
        <f>_xlfn.XLOOKUP(Registre_Maintenance__2[[#This Row],[ID_Antenne]],Master!D:D,Master!#REF!,"Pas de correspondance")</f>
        <v>#REF!</v>
      </c>
    </row>
    <row r="343" spans="1:11" x14ac:dyDescent="0.25">
      <c r="A343" s="1" t="s">
        <v>1618</v>
      </c>
      <c r="B343" s="1" t="s">
        <v>1631</v>
      </c>
      <c r="C343" s="1" t="s">
        <v>21</v>
      </c>
      <c r="D343">
        <v>-12.17557</v>
      </c>
      <c r="E343">
        <v>26.678691000000001</v>
      </c>
      <c r="F343" s="1" t="s">
        <v>1504</v>
      </c>
      <c r="G343" s="1" t="s">
        <v>1505</v>
      </c>
      <c r="H343" s="1" t="str">
        <f>_xlfn.XLOOKUP(Registre_Maintenance__2[[#This Row],[ID_Antenne]],Master!D:D,Master!B:B,"Pas de correspondance")</f>
        <v>Pas de correspondance</v>
      </c>
      <c r="I343" s="1" t="str">
        <f>_xlfn.XLOOKUP(Registre_Maintenance__2[[#This Row],[ID_Antenne]],Master!D:D,Master!C:C,"Pas de correspondance")</f>
        <v>Pas de correspondance</v>
      </c>
      <c r="J343" s="1" t="str">
        <f>_xlfn.XLOOKUP(Registre_Maintenance__2[[#This Row],[ID_Antenne]],Master!D:D,Master!F:F,"Pas de correspondance")</f>
        <v>Pas de correspondance</v>
      </c>
      <c r="K343" s="1" t="e">
        <f>_xlfn.XLOOKUP(Registre_Maintenance__2[[#This Row],[ID_Antenne]],Master!D:D,Master!#REF!,"Pas de correspondance")</f>
        <v>#REF!</v>
      </c>
    </row>
    <row r="344" spans="1:11" x14ac:dyDescent="0.25">
      <c r="A344" s="1" t="s">
        <v>1618</v>
      </c>
      <c r="B344" s="1" t="s">
        <v>1006</v>
      </c>
      <c r="C344" s="1" t="s">
        <v>60</v>
      </c>
      <c r="D344">
        <v>-0.37665700000000002</v>
      </c>
      <c r="E344">
        <v>25.154807999999999</v>
      </c>
      <c r="F344" s="1" t="s">
        <v>1506</v>
      </c>
      <c r="G344" s="1" t="s">
        <v>1514</v>
      </c>
      <c r="H344" s="1" t="str">
        <f>_xlfn.XLOOKUP(Registre_Maintenance__2[[#This Row],[ID_Antenne]],Master!D:D,Master!B:B,"Pas de correspondance")</f>
        <v>Pas de correspondance</v>
      </c>
      <c r="I344" s="1" t="str">
        <f>_xlfn.XLOOKUP(Registre_Maintenance__2[[#This Row],[ID_Antenne]],Master!D:D,Master!C:C,"Pas de correspondance")</f>
        <v>Pas de correspondance</v>
      </c>
      <c r="J344" s="1" t="str">
        <f>_xlfn.XLOOKUP(Registre_Maintenance__2[[#This Row],[ID_Antenne]],Master!D:D,Master!F:F,"Pas de correspondance")</f>
        <v>Pas de correspondance</v>
      </c>
      <c r="K344" s="1" t="e">
        <f>_xlfn.XLOOKUP(Registre_Maintenance__2[[#This Row],[ID_Antenne]],Master!D:D,Master!#REF!,"Pas de correspondance")</f>
        <v>#REF!</v>
      </c>
    </row>
    <row r="345" spans="1:11" x14ac:dyDescent="0.25">
      <c r="A345" s="1" t="s">
        <v>1618</v>
      </c>
      <c r="B345" s="1" t="s">
        <v>1442</v>
      </c>
      <c r="C345" s="1" t="s">
        <v>78</v>
      </c>
      <c r="D345">
        <v>-10.650321</v>
      </c>
      <c r="E345">
        <v>15.917044000000001</v>
      </c>
      <c r="F345" s="1" t="s">
        <v>1504</v>
      </c>
      <c r="G345" s="1" t="s">
        <v>1514</v>
      </c>
      <c r="H345" s="1" t="str">
        <f>_xlfn.XLOOKUP(Registre_Maintenance__2[[#This Row],[ID_Antenne]],Master!D:D,Master!B:B,"Pas de correspondance")</f>
        <v>Pas de correspondance</v>
      </c>
      <c r="I345" s="1" t="str">
        <f>_xlfn.XLOOKUP(Registre_Maintenance__2[[#This Row],[ID_Antenne]],Master!D:D,Master!C:C,"Pas de correspondance")</f>
        <v>Pas de correspondance</v>
      </c>
      <c r="J345" s="1" t="str">
        <f>_xlfn.XLOOKUP(Registre_Maintenance__2[[#This Row],[ID_Antenne]],Master!D:D,Master!F:F,"Pas de correspondance")</f>
        <v>Pas de correspondance</v>
      </c>
      <c r="K345" s="1" t="e">
        <f>_xlfn.XLOOKUP(Registre_Maintenance__2[[#This Row],[ID_Antenne]],Master!D:D,Master!#REF!,"Pas de correspondance")</f>
        <v>#REF!</v>
      </c>
    </row>
    <row r="346" spans="1:11" x14ac:dyDescent="0.25">
      <c r="A346" s="1" t="s">
        <v>1618</v>
      </c>
      <c r="B346" s="1" t="s">
        <v>1632</v>
      </c>
      <c r="C346" s="1" t="s">
        <v>40</v>
      </c>
      <c r="D346">
        <v>-9.8995180000000005</v>
      </c>
      <c r="E346">
        <v>24.156687999999999</v>
      </c>
      <c r="F346" s="1" t="s">
        <v>1504</v>
      </c>
      <c r="G346" s="1" t="s">
        <v>1502</v>
      </c>
      <c r="H346" s="1" t="str">
        <f>_xlfn.XLOOKUP(Registre_Maintenance__2[[#This Row],[ID_Antenne]],Master!D:D,Master!B:B,"Pas de correspondance")</f>
        <v>Pas de correspondance</v>
      </c>
      <c r="I346" s="1" t="str">
        <f>_xlfn.XLOOKUP(Registre_Maintenance__2[[#This Row],[ID_Antenne]],Master!D:D,Master!C:C,"Pas de correspondance")</f>
        <v>Pas de correspondance</v>
      </c>
      <c r="J346" s="1" t="str">
        <f>_xlfn.XLOOKUP(Registre_Maintenance__2[[#This Row],[ID_Antenne]],Master!D:D,Master!F:F,"Pas de correspondance")</f>
        <v>Pas de correspondance</v>
      </c>
      <c r="K346" s="1" t="e">
        <f>_xlfn.XLOOKUP(Registre_Maintenance__2[[#This Row],[ID_Antenne]],Master!D:D,Master!#REF!,"Pas de correspondance")</f>
        <v>#REF!</v>
      </c>
    </row>
    <row r="347" spans="1:11" x14ac:dyDescent="0.25">
      <c r="A347" s="1" t="s">
        <v>1618</v>
      </c>
      <c r="B347" s="1" t="s">
        <v>925</v>
      </c>
      <c r="C347" s="1" t="s">
        <v>127</v>
      </c>
      <c r="D347">
        <v>-12.100756000000001</v>
      </c>
      <c r="E347">
        <v>21.938649999999999</v>
      </c>
      <c r="F347" s="1" t="s">
        <v>1504</v>
      </c>
      <c r="G347" s="1" t="s">
        <v>1505</v>
      </c>
      <c r="H347" s="1" t="str">
        <f>_xlfn.XLOOKUP(Registre_Maintenance__2[[#This Row],[ID_Antenne]],Master!D:D,Master!B:B,"Pas de correspondance")</f>
        <v>Pas de correspondance</v>
      </c>
      <c r="I347" s="1" t="str">
        <f>_xlfn.XLOOKUP(Registre_Maintenance__2[[#This Row],[ID_Antenne]],Master!D:D,Master!C:C,"Pas de correspondance")</f>
        <v>Pas de correspondance</v>
      </c>
      <c r="J347" s="1" t="str">
        <f>_xlfn.XLOOKUP(Registre_Maintenance__2[[#This Row],[ID_Antenne]],Master!D:D,Master!F:F,"Pas de correspondance")</f>
        <v>Pas de correspondance</v>
      </c>
      <c r="K347" s="1" t="e">
        <f>_xlfn.XLOOKUP(Registre_Maintenance__2[[#This Row],[ID_Antenne]],Master!D:D,Master!#REF!,"Pas de correspondance")</f>
        <v>#REF!</v>
      </c>
    </row>
    <row r="348" spans="1:11" x14ac:dyDescent="0.25">
      <c r="A348" s="1" t="s">
        <v>1618</v>
      </c>
      <c r="B348" s="1" t="s">
        <v>1633</v>
      </c>
      <c r="C348" s="1" t="s">
        <v>137</v>
      </c>
      <c r="D348">
        <v>-7.4679279999999997</v>
      </c>
      <c r="E348">
        <v>19.828595</v>
      </c>
      <c r="F348" s="1" t="s">
        <v>1501</v>
      </c>
      <c r="G348" s="1" t="s">
        <v>1514</v>
      </c>
      <c r="H348" s="1" t="str">
        <f>_xlfn.XLOOKUP(Registre_Maintenance__2[[#This Row],[ID_Antenne]],Master!D:D,Master!B:B,"Pas de correspondance")</f>
        <v>Pas de correspondance</v>
      </c>
      <c r="I348" s="1" t="str">
        <f>_xlfn.XLOOKUP(Registre_Maintenance__2[[#This Row],[ID_Antenne]],Master!D:D,Master!C:C,"Pas de correspondance")</f>
        <v>Pas de correspondance</v>
      </c>
      <c r="J348" s="1" t="str">
        <f>_xlfn.XLOOKUP(Registre_Maintenance__2[[#This Row],[ID_Antenne]],Master!D:D,Master!F:F,"Pas de correspondance")</f>
        <v>Pas de correspondance</v>
      </c>
      <c r="K348" s="1" t="e">
        <f>_xlfn.XLOOKUP(Registre_Maintenance__2[[#This Row],[ID_Antenne]],Master!D:D,Master!#REF!,"Pas de correspondance")</f>
        <v>#REF!</v>
      </c>
    </row>
    <row r="349" spans="1:11" x14ac:dyDescent="0.25">
      <c r="A349" s="1" t="s">
        <v>1618</v>
      </c>
      <c r="B349" s="1" t="s">
        <v>1141</v>
      </c>
      <c r="C349" s="1" t="s">
        <v>137</v>
      </c>
      <c r="D349">
        <v>1.286548</v>
      </c>
      <c r="E349">
        <v>29.823702999999998</v>
      </c>
      <c r="F349" s="1" t="s">
        <v>1504</v>
      </c>
      <c r="G349" s="1" t="s">
        <v>1507</v>
      </c>
      <c r="H349" s="1" t="str">
        <f>_xlfn.XLOOKUP(Registre_Maintenance__2[[#This Row],[ID_Antenne]],Master!D:D,Master!B:B,"Pas de correspondance")</f>
        <v>Pas de correspondance</v>
      </c>
      <c r="I349" s="1" t="str">
        <f>_xlfn.XLOOKUP(Registre_Maintenance__2[[#This Row],[ID_Antenne]],Master!D:D,Master!C:C,"Pas de correspondance")</f>
        <v>Pas de correspondance</v>
      </c>
      <c r="J349" s="1" t="str">
        <f>_xlfn.XLOOKUP(Registre_Maintenance__2[[#This Row],[ID_Antenne]],Master!D:D,Master!F:F,"Pas de correspondance")</f>
        <v>Pas de correspondance</v>
      </c>
      <c r="K349" s="1" t="e">
        <f>_xlfn.XLOOKUP(Registre_Maintenance__2[[#This Row],[ID_Antenne]],Master!D:D,Master!#REF!,"Pas de correspondance")</f>
        <v>#REF!</v>
      </c>
    </row>
    <row r="350" spans="1:11" x14ac:dyDescent="0.25">
      <c r="A350" s="1" t="s">
        <v>1618</v>
      </c>
      <c r="B350" s="1" t="s">
        <v>1084</v>
      </c>
      <c r="C350" s="1" t="s">
        <v>35</v>
      </c>
      <c r="D350">
        <v>-4.7886769999999999</v>
      </c>
      <c r="E350">
        <v>23.600221999999999</v>
      </c>
      <c r="F350" s="1" t="s">
        <v>1506</v>
      </c>
      <c r="G350" s="1" t="s">
        <v>1507</v>
      </c>
      <c r="H350" s="1" t="str">
        <f>_xlfn.XLOOKUP(Registre_Maintenance__2[[#This Row],[ID_Antenne]],Master!D:D,Master!B:B,"Pas de correspondance")</f>
        <v>Pas de correspondance</v>
      </c>
      <c r="I350" s="1" t="str">
        <f>_xlfn.XLOOKUP(Registre_Maintenance__2[[#This Row],[ID_Antenne]],Master!D:D,Master!C:C,"Pas de correspondance")</f>
        <v>Pas de correspondance</v>
      </c>
      <c r="J350" s="1" t="str">
        <f>_xlfn.XLOOKUP(Registre_Maintenance__2[[#This Row],[ID_Antenne]],Master!D:D,Master!F:F,"Pas de correspondance")</f>
        <v>Pas de correspondance</v>
      </c>
      <c r="K350" s="1" t="e">
        <f>_xlfn.XLOOKUP(Registre_Maintenance__2[[#This Row],[ID_Antenne]],Master!D:D,Master!#REF!,"Pas de correspondance")</f>
        <v>#REF!</v>
      </c>
    </row>
    <row r="351" spans="1:11" x14ac:dyDescent="0.25">
      <c r="A351" s="1" t="s">
        <v>1634</v>
      </c>
      <c r="B351" s="1" t="s">
        <v>1415</v>
      </c>
      <c r="C351" s="1" t="s">
        <v>1676</v>
      </c>
      <c r="D351">
        <v>1.7832440000000001</v>
      </c>
      <c r="E351">
        <v>25.477405999999998</v>
      </c>
      <c r="F351" s="1" t="s">
        <v>1501</v>
      </c>
      <c r="G351" s="1" t="s">
        <v>1505</v>
      </c>
      <c r="H351" s="1" t="str">
        <f>_xlfn.XLOOKUP(Registre_Maintenance__2[[#This Row],[ID_Antenne]],Master!D:D,Master!B:B,"Pas de correspondance")</f>
        <v>Pas de correspondance</v>
      </c>
      <c r="I351" s="1" t="str">
        <f>_xlfn.XLOOKUP(Registre_Maintenance__2[[#This Row],[ID_Antenne]],Master!D:D,Master!C:C,"Pas de correspondance")</f>
        <v>Pas de correspondance</v>
      </c>
      <c r="J351" s="1" t="str">
        <f>_xlfn.XLOOKUP(Registre_Maintenance__2[[#This Row],[ID_Antenne]],Master!D:D,Master!F:F,"Pas de correspondance")</f>
        <v>Pas de correspondance</v>
      </c>
      <c r="K351" s="1" t="e">
        <f>_xlfn.XLOOKUP(Registre_Maintenance__2[[#This Row],[ID_Antenne]],Master!D:D,Master!#REF!,"Pas de correspondance")</f>
        <v>#REF!</v>
      </c>
    </row>
    <row r="352" spans="1:11" x14ac:dyDescent="0.25">
      <c r="A352" s="1" t="s">
        <v>1634</v>
      </c>
      <c r="B352" s="1" t="s">
        <v>1635</v>
      </c>
      <c r="C352" s="1" t="s">
        <v>35</v>
      </c>
      <c r="D352">
        <v>-4.8560549999999996</v>
      </c>
      <c r="E352">
        <v>15.889538999999999</v>
      </c>
      <c r="F352" s="1" t="s">
        <v>1506</v>
      </c>
      <c r="G352" s="1" t="s">
        <v>1505</v>
      </c>
      <c r="H352" s="1" t="str">
        <f>_xlfn.XLOOKUP(Registre_Maintenance__2[[#This Row],[ID_Antenne]],Master!D:D,Master!B:B,"Pas de correspondance")</f>
        <v>Pas de correspondance</v>
      </c>
      <c r="I352" s="1" t="str">
        <f>_xlfn.XLOOKUP(Registre_Maintenance__2[[#This Row],[ID_Antenne]],Master!D:D,Master!C:C,"Pas de correspondance")</f>
        <v>Pas de correspondance</v>
      </c>
      <c r="J352" s="1" t="str">
        <f>_xlfn.XLOOKUP(Registre_Maintenance__2[[#This Row],[ID_Antenne]],Master!D:D,Master!F:F,"Pas de correspondance")</f>
        <v>Pas de correspondance</v>
      </c>
      <c r="K352" s="1" t="e">
        <f>_xlfn.XLOOKUP(Registre_Maintenance__2[[#This Row],[ID_Antenne]],Master!D:D,Master!#REF!,"Pas de correspondance")</f>
        <v>#REF!</v>
      </c>
    </row>
    <row r="353" spans="1:11" x14ac:dyDescent="0.25">
      <c r="A353" s="1" t="s">
        <v>1634</v>
      </c>
      <c r="B353" s="1" t="s">
        <v>1636</v>
      </c>
      <c r="C353" s="1" t="s">
        <v>31</v>
      </c>
      <c r="D353">
        <v>-8.6707929999999998</v>
      </c>
      <c r="E353">
        <v>30.643781000000001</v>
      </c>
      <c r="F353" s="1" t="s">
        <v>1504</v>
      </c>
      <c r="G353" s="1" t="s">
        <v>1505</v>
      </c>
      <c r="H353" s="1" t="str">
        <f>_xlfn.XLOOKUP(Registre_Maintenance__2[[#This Row],[ID_Antenne]],Master!D:D,Master!B:B,"Pas de correspondance")</f>
        <v>Pas de correspondance</v>
      </c>
      <c r="I353" s="1" t="str">
        <f>_xlfn.XLOOKUP(Registre_Maintenance__2[[#This Row],[ID_Antenne]],Master!D:D,Master!C:C,"Pas de correspondance")</f>
        <v>Pas de correspondance</v>
      </c>
      <c r="J353" s="1" t="str">
        <f>_xlfn.XLOOKUP(Registre_Maintenance__2[[#This Row],[ID_Antenne]],Master!D:D,Master!F:F,"Pas de correspondance")</f>
        <v>Pas de correspondance</v>
      </c>
      <c r="K353" s="1" t="e">
        <f>_xlfn.XLOOKUP(Registre_Maintenance__2[[#This Row],[ID_Antenne]],Master!D:D,Master!#REF!,"Pas de correspondance")</f>
        <v>#REF!</v>
      </c>
    </row>
    <row r="354" spans="1:11" x14ac:dyDescent="0.25">
      <c r="A354" s="1" t="s">
        <v>1634</v>
      </c>
      <c r="B354" s="1" t="s">
        <v>1637</v>
      </c>
      <c r="C354" s="1" t="s">
        <v>1674</v>
      </c>
      <c r="D354">
        <v>-2.947235</v>
      </c>
      <c r="E354">
        <v>16.534020999999999</v>
      </c>
      <c r="F354" s="1" t="s">
        <v>1506</v>
      </c>
      <c r="G354" s="1" t="s">
        <v>1514</v>
      </c>
      <c r="H354" s="1" t="str">
        <f>_xlfn.XLOOKUP(Registre_Maintenance__2[[#This Row],[ID_Antenne]],Master!D:D,Master!B:B,"Pas de correspondance")</f>
        <v>Pas de correspondance</v>
      </c>
      <c r="I354" s="1" t="str">
        <f>_xlfn.XLOOKUP(Registre_Maintenance__2[[#This Row],[ID_Antenne]],Master!D:D,Master!C:C,"Pas de correspondance")</f>
        <v>Pas de correspondance</v>
      </c>
      <c r="J354" s="1" t="str">
        <f>_xlfn.XLOOKUP(Registre_Maintenance__2[[#This Row],[ID_Antenne]],Master!D:D,Master!F:F,"Pas de correspondance")</f>
        <v>Pas de correspondance</v>
      </c>
      <c r="K354" s="1" t="e">
        <f>_xlfn.XLOOKUP(Registre_Maintenance__2[[#This Row],[ID_Antenne]],Master!D:D,Master!#REF!,"Pas de correspondance")</f>
        <v>#REF!</v>
      </c>
    </row>
    <row r="355" spans="1:11" x14ac:dyDescent="0.25">
      <c r="A355" s="1" t="s">
        <v>1634</v>
      </c>
      <c r="B355" s="1" t="s">
        <v>1638</v>
      </c>
      <c r="C355" s="1" t="s">
        <v>24</v>
      </c>
      <c r="D355">
        <v>-12.776386</v>
      </c>
      <c r="E355">
        <v>14.157596</v>
      </c>
      <c r="F355" s="1" t="s">
        <v>1506</v>
      </c>
      <c r="G355" s="1" t="s">
        <v>1514</v>
      </c>
      <c r="H355" s="1" t="str">
        <f>_xlfn.XLOOKUP(Registre_Maintenance__2[[#This Row],[ID_Antenne]],Master!D:D,Master!B:B,"Pas de correspondance")</f>
        <v>Pas de correspondance</v>
      </c>
      <c r="I355" s="1" t="str">
        <f>_xlfn.XLOOKUP(Registre_Maintenance__2[[#This Row],[ID_Antenne]],Master!D:D,Master!C:C,"Pas de correspondance")</f>
        <v>Pas de correspondance</v>
      </c>
      <c r="J355" s="1" t="str">
        <f>_xlfn.XLOOKUP(Registre_Maintenance__2[[#This Row],[ID_Antenne]],Master!D:D,Master!F:F,"Pas de correspondance")</f>
        <v>Pas de correspondance</v>
      </c>
      <c r="K355" s="1" t="e">
        <f>_xlfn.XLOOKUP(Registre_Maintenance__2[[#This Row],[ID_Antenne]],Master!D:D,Master!#REF!,"Pas de correspondance")</f>
        <v>#REF!</v>
      </c>
    </row>
    <row r="356" spans="1:11" x14ac:dyDescent="0.25">
      <c r="A356" s="1" t="s">
        <v>1634</v>
      </c>
      <c r="B356" s="1" t="s">
        <v>827</v>
      </c>
      <c r="C356" s="1" t="s">
        <v>24</v>
      </c>
      <c r="D356">
        <v>0.172153</v>
      </c>
      <c r="E356">
        <v>21.091376</v>
      </c>
      <c r="F356" s="1" t="s">
        <v>1506</v>
      </c>
      <c r="G356" s="1" t="s">
        <v>1502</v>
      </c>
      <c r="H356" s="1" t="str">
        <f>_xlfn.XLOOKUP(Registre_Maintenance__2[[#This Row],[ID_Antenne]],Master!D:D,Master!B:B,"Pas de correspondance")</f>
        <v>Pas de correspondance</v>
      </c>
      <c r="I356" s="1" t="str">
        <f>_xlfn.XLOOKUP(Registre_Maintenance__2[[#This Row],[ID_Antenne]],Master!D:D,Master!C:C,"Pas de correspondance")</f>
        <v>Pas de correspondance</v>
      </c>
      <c r="J356" s="1" t="str">
        <f>_xlfn.XLOOKUP(Registre_Maintenance__2[[#This Row],[ID_Antenne]],Master!D:D,Master!F:F,"Pas de correspondance")</f>
        <v>Pas de correspondance</v>
      </c>
      <c r="K356" s="1" t="e">
        <f>_xlfn.XLOOKUP(Registre_Maintenance__2[[#This Row],[ID_Antenne]],Master!D:D,Master!#REF!,"Pas de correspondance")</f>
        <v>#REF!</v>
      </c>
    </row>
    <row r="357" spans="1:11" x14ac:dyDescent="0.25">
      <c r="A357" s="1" t="s">
        <v>1634</v>
      </c>
      <c r="B357" s="1" t="s">
        <v>1378</v>
      </c>
      <c r="C357" s="1" t="s">
        <v>16</v>
      </c>
      <c r="D357">
        <v>4.0988100000000003</v>
      </c>
      <c r="E357">
        <v>29.843810999999999</v>
      </c>
      <c r="F357" s="1" t="s">
        <v>1506</v>
      </c>
      <c r="G357" s="1" t="s">
        <v>1505</v>
      </c>
      <c r="H357" s="1" t="str">
        <f>_xlfn.XLOOKUP(Registre_Maintenance__2[[#This Row],[ID_Antenne]],Master!D:D,Master!B:B,"Pas de correspondance")</f>
        <v>Pas de correspondance</v>
      </c>
      <c r="I357" s="1" t="str">
        <f>_xlfn.XLOOKUP(Registre_Maintenance__2[[#This Row],[ID_Antenne]],Master!D:D,Master!C:C,"Pas de correspondance")</f>
        <v>Pas de correspondance</v>
      </c>
      <c r="J357" s="1" t="str">
        <f>_xlfn.XLOOKUP(Registre_Maintenance__2[[#This Row],[ID_Antenne]],Master!D:D,Master!F:F,"Pas de correspondance")</f>
        <v>Pas de correspondance</v>
      </c>
      <c r="K357" s="1" t="e">
        <f>_xlfn.XLOOKUP(Registre_Maintenance__2[[#This Row],[ID_Antenne]],Master!D:D,Master!#REF!,"Pas de correspondance")</f>
        <v>#REF!</v>
      </c>
    </row>
    <row r="358" spans="1:11" x14ac:dyDescent="0.25">
      <c r="A358" s="1" t="s">
        <v>1634</v>
      </c>
      <c r="B358" s="1" t="s">
        <v>1167</v>
      </c>
      <c r="C358" s="1" t="s">
        <v>31</v>
      </c>
      <c r="D358">
        <v>-10.611184</v>
      </c>
      <c r="E358">
        <v>23.022268</v>
      </c>
      <c r="F358" s="1" t="s">
        <v>1501</v>
      </c>
      <c r="G358" s="1" t="s">
        <v>1507</v>
      </c>
      <c r="H358" s="1" t="str">
        <f>_xlfn.XLOOKUP(Registre_Maintenance__2[[#This Row],[ID_Antenne]],Master!D:D,Master!B:B,"Pas de correspondance")</f>
        <v>Pas de correspondance</v>
      </c>
      <c r="I358" s="1" t="str">
        <f>_xlfn.XLOOKUP(Registre_Maintenance__2[[#This Row],[ID_Antenne]],Master!D:D,Master!C:C,"Pas de correspondance")</f>
        <v>Pas de correspondance</v>
      </c>
      <c r="J358" s="1" t="str">
        <f>_xlfn.XLOOKUP(Registre_Maintenance__2[[#This Row],[ID_Antenne]],Master!D:D,Master!F:F,"Pas de correspondance")</f>
        <v>Pas de correspondance</v>
      </c>
      <c r="K358" s="1" t="e">
        <f>_xlfn.XLOOKUP(Registre_Maintenance__2[[#This Row],[ID_Antenne]],Master!D:D,Master!#REF!,"Pas de correspondance")</f>
        <v>#REF!</v>
      </c>
    </row>
    <row r="359" spans="1:11" x14ac:dyDescent="0.25">
      <c r="A359" s="1" t="s">
        <v>1634</v>
      </c>
      <c r="B359" s="1" t="s">
        <v>1340</v>
      </c>
      <c r="C359" s="1" t="s">
        <v>1674</v>
      </c>
      <c r="D359">
        <v>-7.6757720000000003</v>
      </c>
      <c r="E359">
        <v>30.222971000000001</v>
      </c>
      <c r="F359" s="1" t="s">
        <v>1501</v>
      </c>
      <c r="G359" s="1" t="s">
        <v>1502</v>
      </c>
      <c r="H359" s="1" t="str">
        <f>_xlfn.XLOOKUP(Registre_Maintenance__2[[#This Row],[ID_Antenne]],Master!D:D,Master!B:B,"Pas de correspondance")</f>
        <v>Pas de correspondance</v>
      </c>
      <c r="I359" s="1" t="str">
        <f>_xlfn.XLOOKUP(Registre_Maintenance__2[[#This Row],[ID_Antenne]],Master!D:D,Master!C:C,"Pas de correspondance")</f>
        <v>Pas de correspondance</v>
      </c>
      <c r="J359" s="1" t="str">
        <f>_xlfn.XLOOKUP(Registre_Maintenance__2[[#This Row],[ID_Antenne]],Master!D:D,Master!F:F,"Pas de correspondance")</f>
        <v>Pas de correspondance</v>
      </c>
      <c r="K359" s="1" t="e">
        <f>_xlfn.XLOOKUP(Registre_Maintenance__2[[#This Row],[ID_Antenne]],Master!D:D,Master!#REF!,"Pas de correspondance")</f>
        <v>#REF!</v>
      </c>
    </row>
    <row r="360" spans="1:11" x14ac:dyDescent="0.25">
      <c r="A360" s="1" t="s">
        <v>1634</v>
      </c>
      <c r="B360" s="1" t="s">
        <v>953</v>
      </c>
      <c r="C360" s="1" t="s">
        <v>89</v>
      </c>
      <c r="D360">
        <v>-1.342476</v>
      </c>
      <c r="E360">
        <v>15.986086</v>
      </c>
      <c r="F360" s="1" t="s">
        <v>1504</v>
      </c>
      <c r="G360" s="1" t="s">
        <v>1502</v>
      </c>
      <c r="H360" s="1" t="str">
        <f>_xlfn.XLOOKUP(Registre_Maintenance__2[[#This Row],[ID_Antenne]],Master!D:D,Master!B:B,"Pas de correspondance")</f>
        <v>Pas de correspondance</v>
      </c>
      <c r="I360" s="1" t="str">
        <f>_xlfn.XLOOKUP(Registre_Maintenance__2[[#This Row],[ID_Antenne]],Master!D:D,Master!C:C,"Pas de correspondance")</f>
        <v>Pas de correspondance</v>
      </c>
      <c r="J360" s="1" t="str">
        <f>_xlfn.XLOOKUP(Registre_Maintenance__2[[#This Row],[ID_Antenne]],Master!D:D,Master!F:F,"Pas de correspondance")</f>
        <v>Pas de correspondance</v>
      </c>
      <c r="K360" s="1" t="e">
        <f>_xlfn.XLOOKUP(Registre_Maintenance__2[[#This Row],[ID_Antenne]],Master!D:D,Master!#REF!,"Pas de correspondance")</f>
        <v>#REF!</v>
      </c>
    </row>
    <row r="361" spans="1:11" x14ac:dyDescent="0.25">
      <c r="A361" s="1" t="s">
        <v>1634</v>
      </c>
      <c r="B361" s="1" t="s">
        <v>1639</v>
      </c>
      <c r="C361" s="1" t="s">
        <v>60</v>
      </c>
      <c r="D361">
        <v>-11.366868999999999</v>
      </c>
      <c r="E361">
        <v>26.155318000000001</v>
      </c>
      <c r="F361" s="1" t="s">
        <v>1504</v>
      </c>
      <c r="G361" s="1" t="s">
        <v>1505</v>
      </c>
      <c r="H361" s="1" t="str">
        <f>_xlfn.XLOOKUP(Registre_Maintenance__2[[#This Row],[ID_Antenne]],Master!D:D,Master!B:B,"Pas de correspondance")</f>
        <v>Pas de correspondance</v>
      </c>
      <c r="I361" s="1" t="str">
        <f>_xlfn.XLOOKUP(Registre_Maintenance__2[[#This Row],[ID_Antenne]],Master!D:D,Master!C:C,"Pas de correspondance")</f>
        <v>Pas de correspondance</v>
      </c>
      <c r="J361" s="1" t="str">
        <f>_xlfn.XLOOKUP(Registre_Maintenance__2[[#This Row],[ID_Antenne]],Master!D:D,Master!F:F,"Pas de correspondance")</f>
        <v>Pas de correspondance</v>
      </c>
      <c r="K361" s="1" t="e">
        <f>_xlfn.XLOOKUP(Registre_Maintenance__2[[#This Row],[ID_Antenne]],Master!D:D,Master!#REF!,"Pas de correspondance")</f>
        <v>#REF!</v>
      </c>
    </row>
    <row r="362" spans="1:11" x14ac:dyDescent="0.25">
      <c r="A362" s="1" t="s">
        <v>1634</v>
      </c>
      <c r="B362" s="1" t="s">
        <v>1247</v>
      </c>
      <c r="C362" s="1" t="s">
        <v>1676</v>
      </c>
      <c r="D362">
        <v>-4.3639070000000002</v>
      </c>
      <c r="E362">
        <v>16.283307000000001</v>
      </c>
      <c r="F362" s="1" t="s">
        <v>1501</v>
      </c>
      <c r="G362" s="1" t="s">
        <v>1505</v>
      </c>
      <c r="H362" s="1" t="str">
        <f>_xlfn.XLOOKUP(Registre_Maintenance__2[[#This Row],[ID_Antenne]],Master!D:D,Master!B:B,"Pas de correspondance")</f>
        <v>Pas de correspondance</v>
      </c>
      <c r="I362" s="1" t="str">
        <f>_xlfn.XLOOKUP(Registre_Maintenance__2[[#This Row],[ID_Antenne]],Master!D:D,Master!C:C,"Pas de correspondance")</f>
        <v>Pas de correspondance</v>
      </c>
      <c r="J362" s="1" t="str">
        <f>_xlfn.XLOOKUP(Registre_Maintenance__2[[#This Row],[ID_Antenne]],Master!D:D,Master!F:F,"Pas de correspondance")</f>
        <v>Pas de correspondance</v>
      </c>
      <c r="K362" s="1" t="e">
        <f>_xlfn.XLOOKUP(Registre_Maintenance__2[[#This Row],[ID_Antenne]],Master!D:D,Master!#REF!,"Pas de correspondance")</f>
        <v>#REF!</v>
      </c>
    </row>
    <row r="363" spans="1:11" x14ac:dyDescent="0.25">
      <c r="A363" s="1" t="s">
        <v>1634</v>
      </c>
      <c r="B363" s="1" t="s">
        <v>1068</v>
      </c>
      <c r="C363" s="1" t="s">
        <v>40</v>
      </c>
      <c r="D363">
        <v>-7.5129409999999996</v>
      </c>
      <c r="E363">
        <v>18.701522000000001</v>
      </c>
      <c r="F363" s="1" t="s">
        <v>1504</v>
      </c>
      <c r="G363" s="1" t="s">
        <v>1514</v>
      </c>
      <c r="H363" s="1" t="str">
        <f>_xlfn.XLOOKUP(Registre_Maintenance__2[[#This Row],[ID_Antenne]],Master!D:D,Master!B:B,"Pas de correspondance")</f>
        <v>Pas de correspondance</v>
      </c>
      <c r="I363" s="1" t="str">
        <f>_xlfn.XLOOKUP(Registre_Maintenance__2[[#This Row],[ID_Antenne]],Master!D:D,Master!C:C,"Pas de correspondance")</f>
        <v>Pas de correspondance</v>
      </c>
      <c r="J363" s="1" t="str">
        <f>_xlfn.XLOOKUP(Registre_Maintenance__2[[#This Row],[ID_Antenne]],Master!D:D,Master!F:F,"Pas de correspondance")</f>
        <v>Pas de correspondance</v>
      </c>
      <c r="K363" s="1" t="e">
        <f>_xlfn.XLOOKUP(Registre_Maintenance__2[[#This Row],[ID_Antenne]],Master!D:D,Master!#REF!,"Pas de correspondance")</f>
        <v>#REF!</v>
      </c>
    </row>
    <row r="364" spans="1:11" x14ac:dyDescent="0.25">
      <c r="A364" s="1" t="s">
        <v>1634</v>
      </c>
      <c r="B364" s="1" t="s">
        <v>1143</v>
      </c>
      <c r="C364" s="1" t="s">
        <v>10</v>
      </c>
      <c r="D364">
        <v>-0.34051900000000002</v>
      </c>
      <c r="E364">
        <v>17.079799000000001</v>
      </c>
      <c r="F364" s="1" t="s">
        <v>1501</v>
      </c>
      <c r="G364" s="1" t="s">
        <v>1502</v>
      </c>
      <c r="H364" s="1" t="str">
        <f>_xlfn.XLOOKUP(Registre_Maintenance__2[[#This Row],[ID_Antenne]],Master!D:D,Master!B:B,"Pas de correspondance")</f>
        <v>Pas de correspondance</v>
      </c>
      <c r="I364" s="1" t="str">
        <f>_xlfn.XLOOKUP(Registre_Maintenance__2[[#This Row],[ID_Antenne]],Master!D:D,Master!C:C,"Pas de correspondance")</f>
        <v>Pas de correspondance</v>
      </c>
      <c r="J364" s="1" t="str">
        <f>_xlfn.XLOOKUP(Registre_Maintenance__2[[#This Row],[ID_Antenne]],Master!D:D,Master!F:F,"Pas de correspondance")</f>
        <v>Pas de correspondance</v>
      </c>
      <c r="K364" s="1" t="e">
        <f>_xlfn.XLOOKUP(Registre_Maintenance__2[[#This Row],[ID_Antenne]],Master!D:D,Master!#REF!,"Pas de correspondance")</f>
        <v>#REF!</v>
      </c>
    </row>
    <row r="365" spans="1:11" x14ac:dyDescent="0.25">
      <c r="A365" s="1" t="s">
        <v>1634</v>
      </c>
      <c r="B365" s="1" t="s">
        <v>1036</v>
      </c>
      <c r="C365" s="1" t="s">
        <v>73</v>
      </c>
      <c r="D365">
        <v>2.4425979999999998</v>
      </c>
      <c r="E365">
        <v>24.924308</v>
      </c>
      <c r="F365" s="1" t="s">
        <v>1501</v>
      </c>
      <c r="G365" s="1" t="s">
        <v>1502</v>
      </c>
      <c r="H365" s="1" t="str">
        <f>_xlfn.XLOOKUP(Registre_Maintenance__2[[#This Row],[ID_Antenne]],Master!D:D,Master!B:B,"Pas de correspondance")</f>
        <v>Pas de correspondance</v>
      </c>
      <c r="I365" s="1" t="str">
        <f>_xlfn.XLOOKUP(Registre_Maintenance__2[[#This Row],[ID_Antenne]],Master!D:D,Master!C:C,"Pas de correspondance")</f>
        <v>Pas de correspondance</v>
      </c>
      <c r="J365" s="1" t="str">
        <f>_xlfn.XLOOKUP(Registre_Maintenance__2[[#This Row],[ID_Antenne]],Master!D:D,Master!F:F,"Pas de correspondance")</f>
        <v>Pas de correspondance</v>
      </c>
      <c r="K365" s="1" t="e">
        <f>_xlfn.XLOOKUP(Registre_Maintenance__2[[#This Row],[ID_Antenne]],Master!D:D,Master!#REF!,"Pas de correspondance")</f>
        <v>#REF!</v>
      </c>
    </row>
    <row r="366" spans="1:11" x14ac:dyDescent="0.25">
      <c r="A366" s="1" t="s">
        <v>1634</v>
      </c>
      <c r="B366" s="1" t="s">
        <v>1329</v>
      </c>
      <c r="C366" s="1" t="s">
        <v>26</v>
      </c>
      <c r="D366">
        <v>0.45116099999999998</v>
      </c>
      <c r="E366">
        <v>17.265761000000001</v>
      </c>
      <c r="F366" s="1" t="s">
        <v>1504</v>
      </c>
      <c r="G366" s="1" t="s">
        <v>1505</v>
      </c>
      <c r="H366" s="1" t="str">
        <f>_xlfn.XLOOKUP(Registre_Maintenance__2[[#This Row],[ID_Antenne]],Master!D:D,Master!B:B,"Pas de correspondance")</f>
        <v>Pas de correspondance</v>
      </c>
      <c r="I366" s="1" t="str">
        <f>_xlfn.XLOOKUP(Registre_Maintenance__2[[#This Row],[ID_Antenne]],Master!D:D,Master!C:C,"Pas de correspondance")</f>
        <v>Pas de correspondance</v>
      </c>
      <c r="J366" s="1" t="str">
        <f>_xlfn.XLOOKUP(Registre_Maintenance__2[[#This Row],[ID_Antenne]],Master!D:D,Master!F:F,"Pas de correspondance")</f>
        <v>Pas de correspondance</v>
      </c>
      <c r="K366" s="1" t="e">
        <f>_xlfn.XLOOKUP(Registre_Maintenance__2[[#This Row],[ID_Antenne]],Master!D:D,Master!#REF!,"Pas de correspondance")</f>
        <v>#REF!</v>
      </c>
    </row>
    <row r="367" spans="1:11" x14ac:dyDescent="0.25">
      <c r="A367" s="1" t="s">
        <v>1634</v>
      </c>
      <c r="B367" s="1" t="s">
        <v>1316</v>
      </c>
      <c r="C367" s="1" t="s">
        <v>1675</v>
      </c>
      <c r="D367">
        <v>-12.560556999999999</v>
      </c>
      <c r="E367">
        <v>13.204014000000001</v>
      </c>
      <c r="F367" s="1" t="s">
        <v>1504</v>
      </c>
      <c r="G367" s="1" t="s">
        <v>1502</v>
      </c>
      <c r="H367" s="1" t="str">
        <f>_xlfn.XLOOKUP(Registre_Maintenance__2[[#This Row],[ID_Antenne]],Master!D:D,Master!B:B,"Pas de correspondance")</f>
        <v>Pas de correspondance</v>
      </c>
      <c r="I367" s="1" t="str">
        <f>_xlfn.XLOOKUP(Registre_Maintenance__2[[#This Row],[ID_Antenne]],Master!D:D,Master!C:C,"Pas de correspondance")</f>
        <v>Pas de correspondance</v>
      </c>
      <c r="J367" s="1" t="str">
        <f>_xlfn.XLOOKUP(Registre_Maintenance__2[[#This Row],[ID_Antenne]],Master!D:D,Master!F:F,"Pas de correspondance")</f>
        <v>Pas de correspondance</v>
      </c>
      <c r="K367" s="1" t="e">
        <f>_xlfn.XLOOKUP(Registre_Maintenance__2[[#This Row],[ID_Antenne]],Master!D:D,Master!#REF!,"Pas de correspondance")</f>
        <v>#REF!</v>
      </c>
    </row>
    <row r="368" spans="1:11" x14ac:dyDescent="0.25">
      <c r="A368" s="1" t="s">
        <v>1634</v>
      </c>
      <c r="B368" s="1" t="s">
        <v>1083</v>
      </c>
      <c r="C368" s="1" t="s">
        <v>89</v>
      </c>
      <c r="D368">
        <v>-4.8128659999999996</v>
      </c>
      <c r="E368">
        <v>18.559304999999998</v>
      </c>
      <c r="F368" s="1" t="s">
        <v>1501</v>
      </c>
      <c r="G368" s="1" t="s">
        <v>1507</v>
      </c>
      <c r="H368" s="1" t="str">
        <f>_xlfn.XLOOKUP(Registre_Maintenance__2[[#This Row],[ID_Antenne]],Master!D:D,Master!B:B,"Pas de correspondance")</f>
        <v>Pas de correspondance</v>
      </c>
      <c r="I368" s="1" t="str">
        <f>_xlfn.XLOOKUP(Registre_Maintenance__2[[#This Row],[ID_Antenne]],Master!D:D,Master!C:C,"Pas de correspondance")</f>
        <v>Pas de correspondance</v>
      </c>
      <c r="J368" s="1" t="str">
        <f>_xlfn.XLOOKUP(Registre_Maintenance__2[[#This Row],[ID_Antenne]],Master!D:D,Master!F:F,"Pas de correspondance")</f>
        <v>Pas de correspondance</v>
      </c>
      <c r="K368" s="1" t="e">
        <f>_xlfn.XLOOKUP(Registre_Maintenance__2[[#This Row],[ID_Antenne]],Master!D:D,Master!#REF!,"Pas de correspondance")</f>
        <v>#REF!</v>
      </c>
    </row>
    <row r="369" spans="1:11" x14ac:dyDescent="0.25">
      <c r="A369" s="1" t="s">
        <v>1634</v>
      </c>
      <c r="B369" s="1" t="s">
        <v>1640</v>
      </c>
      <c r="C369" s="1" t="s">
        <v>26</v>
      </c>
      <c r="D369">
        <v>0.89302999999999999</v>
      </c>
      <c r="E369">
        <v>21.238310999999999</v>
      </c>
      <c r="F369" s="1" t="s">
        <v>1501</v>
      </c>
      <c r="G369" s="1" t="s">
        <v>1505</v>
      </c>
      <c r="H369" s="1" t="str">
        <f>_xlfn.XLOOKUP(Registre_Maintenance__2[[#This Row],[ID_Antenne]],Master!D:D,Master!B:B,"Pas de correspondance")</f>
        <v>Pas de correspondance</v>
      </c>
      <c r="I369" s="1" t="str">
        <f>_xlfn.XLOOKUP(Registre_Maintenance__2[[#This Row],[ID_Antenne]],Master!D:D,Master!C:C,"Pas de correspondance")</f>
        <v>Pas de correspondance</v>
      </c>
      <c r="J369" s="1" t="str">
        <f>_xlfn.XLOOKUP(Registre_Maintenance__2[[#This Row],[ID_Antenne]],Master!D:D,Master!F:F,"Pas de correspondance")</f>
        <v>Pas de correspondance</v>
      </c>
      <c r="K369" s="1" t="e">
        <f>_xlfn.XLOOKUP(Registre_Maintenance__2[[#This Row],[ID_Antenne]],Master!D:D,Master!#REF!,"Pas de correspondance")</f>
        <v>#REF!</v>
      </c>
    </row>
    <row r="370" spans="1:11" x14ac:dyDescent="0.25">
      <c r="A370" s="1" t="s">
        <v>1634</v>
      </c>
      <c r="B370" s="1" t="s">
        <v>1641</v>
      </c>
      <c r="C370" s="1" t="s">
        <v>127</v>
      </c>
      <c r="D370">
        <v>2.7355830000000001</v>
      </c>
      <c r="E370">
        <v>22.006969000000002</v>
      </c>
      <c r="F370" s="1" t="s">
        <v>1501</v>
      </c>
      <c r="G370" s="1" t="s">
        <v>1502</v>
      </c>
      <c r="H370" s="1" t="str">
        <f>_xlfn.XLOOKUP(Registre_Maintenance__2[[#This Row],[ID_Antenne]],Master!D:D,Master!B:B,"Pas de correspondance")</f>
        <v>Pas de correspondance</v>
      </c>
      <c r="I370" s="1" t="str">
        <f>_xlfn.XLOOKUP(Registre_Maintenance__2[[#This Row],[ID_Antenne]],Master!D:D,Master!C:C,"Pas de correspondance")</f>
        <v>Pas de correspondance</v>
      </c>
      <c r="J370" s="1" t="str">
        <f>_xlfn.XLOOKUP(Registre_Maintenance__2[[#This Row],[ID_Antenne]],Master!D:D,Master!F:F,"Pas de correspondance")</f>
        <v>Pas de correspondance</v>
      </c>
      <c r="K370" s="1" t="e">
        <f>_xlfn.XLOOKUP(Registre_Maintenance__2[[#This Row],[ID_Antenne]],Master!D:D,Master!#REF!,"Pas de correspondance")</f>
        <v>#REF!</v>
      </c>
    </row>
    <row r="371" spans="1:11" x14ac:dyDescent="0.25">
      <c r="A371" s="1" t="s">
        <v>1634</v>
      </c>
      <c r="B371" s="1" t="s">
        <v>934</v>
      </c>
      <c r="C371" s="1" t="s">
        <v>67</v>
      </c>
      <c r="D371">
        <v>-5.7035130000000001</v>
      </c>
      <c r="E371">
        <v>14.331479</v>
      </c>
      <c r="F371" s="1" t="s">
        <v>1501</v>
      </c>
      <c r="G371" s="1" t="s">
        <v>1514</v>
      </c>
      <c r="H371" s="1" t="str">
        <f>_xlfn.XLOOKUP(Registre_Maintenance__2[[#This Row],[ID_Antenne]],Master!D:D,Master!B:B,"Pas de correspondance")</f>
        <v>Pas de correspondance</v>
      </c>
      <c r="I371" s="1" t="str">
        <f>_xlfn.XLOOKUP(Registre_Maintenance__2[[#This Row],[ID_Antenne]],Master!D:D,Master!C:C,"Pas de correspondance")</f>
        <v>Pas de correspondance</v>
      </c>
      <c r="J371" s="1" t="str">
        <f>_xlfn.XLOOKUP(Registre_Maintenance__2[[#This Row],[ID_Antenne]],Master!D:D,Master!F:F,"Pas de correspondance")</f>
        <v>Pas de correspondance</v>
      </c>
      <c r="K371" s="1" t="e">
        <f>_xlfn.XLOOKUP(Registre_Maintenance__2[[#This Row],[ID_Antenne]],Master!D:D,Master!#REF!,"Pas de correspondance")</f>
        <v>#REF!</v>
      </c>
    </row>
    <row r="372" spans="1:11" x14ac:dyDescent="0.25">
      <c r="A372" s="1" t="s">
        <v>1634</v>
      </c>
      <c r="B372" s="1" t="s">
        <v>1642</v>
      </c>
      <c r="C372" s="1" t="s">
        <v>64</v>
      </c>
      <c r="D372">
        <v>1.217457</v>
      </c>
      <c r="E372">
        <v>25.48668</v>
      </c>
      <c r="F372" s="1" t="s">
        <v>1501</v>
      </c>
      <c r="G372" s="1" t="s">
        <v>1514</v>
      </c>
      <c r="H372" s="1" t="str">
        <f>_xlfn.XLOOKUP(Registre_Maintenance__2[[#This Row],[ID_Antenne]],Master!D:D,Master!B:B,"Pas de correspondance")</f>
        <v>Pas de correspondance</v>
      </c>
      <c r="I372" s="1" t="str">
        <f>_xlfn.XLOOKUP(Registre_Maintenance__2[[#This Row],[ID_Antenne]],Master!D:D,Master!C:C,"Pas de correspondance")</f>
        <v>Pas de correspondance</v>
      </c>
      <c r="J372" s="1" t="str">
        <f>_xlfn.XLOOKUP(Registre_Maintenance__2[[#This Row],[ID_Antenne]],Master!D:D,Master!F:F,"Pas de correspondance")</f>
        <v>Pas de correspondance</v>
      </c>
      <c r="K372" s="1" t="e">
        <f>_xlfn.XLOOKUP(Registre_Maintenance__2[[#This Row],[ID_Antenne]],Master!D:D,Master!#REF!,"Pas de correspondance")</f>
        <v>#REF!</v>
      </c>
    </row>
    <row r="373" spans="1:11" x14ac:dyDescent="0.25">
      <c r="A373" s="1" t="s">
        <v>1634</v>
      </c>
      <c r="B373" s="1" t="s">
        <v>1026</v>
      </c>
      <c r="C373" s="1" t="s">
        <v>18</v>
      </c>
      <c r="D373">
        <v>-6.3324319999999998</v>
      </c>
      <c r="E373">
        <v>24.887858000000001</v>
      </c>
      <c r="F373" s="1" t="s">
        <v>1504</v>
      </c>
      <c r="G373" s="1" t="s">
        <v>1507</v>
      </c>
      <c r="H373" s="1" t="str">
        <f>_xlfn.XLOOKUP(Registre_Maintenance__2[[#This Row],[ID_Antenne]],Master!D:D,Master!B:B,"Pas de correspondance")</f>
        <v>Pas de correspondance</v>
      </c>
      <c r="I373" s="1" t="str">
        <f>_xlfn.XLOOKUP(Registre_Maintenance__2[[#This Row],[ID_Antenne]],Master!D:D,Master!C:C,"Pas de correspondance")</f>
        <v>Pas de correspondance</v>
      </c>
      <c r="J373" s="1" t="str">
        <f>_xlfn.XLOOKUP(Registre_Maintenance__2[[#This Row],[ID_Antenne]],Master!D:D,Master!F:F,"Pas de correspondance")</f>
        <v>Pas de correspondance</v>
      </c>
      <c r="K373" s="1" t="e">
        <f>_xlfn.XLOOKUP(Registre_Maintenance__2[[#This Row],[ID_Antenne]],Master!D:D,Master!#REF!,"Pas de correspondance")</f>
        <v>#REF!</v>
      </c>
    </row>
    <row r="374" spans="1:11" x14ac:dyDescent="0.25">
      <c r="A374" s="1" t="s">
        <v>1634</v>
      </c>
      <c r="B374" s="1" t="s">
        <v>1474</v>
      </c>
      <c r="C374" s="1" t="s">
        <v>10</v>
      </c>
      <c r="D374">
        <v>-4.6426759999999998</v>
      </c>
      <c r="E374">
        <v>22.124254000000001</v>
      </c>
      <c r="F374" s="1" t="s">
        <v>1504</v>
      </c>
      <c r="G374" s="1" t="s">
        <v>1507</v>
      </c>
      <c r="H374" s="1" t="str">
        <f>_xlfn.XLOOKUP(Registre_Maintenance__2[[#This Row],[ID_Antenne]],Master!D:D,Master!B:B,"Pas de correspondance")</f>
        <v>Pas de correspondance</v>
      </c>
      <c r="I374" s="1" t="str">
        <f>_xlfn.XLOOKUP(Registre_Maintenance__2[[#This Row],[ID_Antenne]],Master!D:D,Master!C:C,"Pas de correspondance")</f>
        <v>Pas de correspondance</v>
      </c>
      <c r="J374" s="1" t="str">
        <f>_xlfn.XLOOKUP(Registre_Maintenance__2[[#This Row],[ID_Antenne]],Master!D:D,Master!F:F,"Pas de correspondance")</f>
        <v>Pas de correspondance</v>
      </c>
      <c r="K374" s="1" t="e">
        <f>_xlfn.XLOOKUP(Registre_Maintenance__2[[#This Row],[ID_Antenne]],Master!D:D,Master!#REF!,"Pas de correspondance")</f>
        <v>#REF!</v>
      </c>
    </row>
    <row r="375" spans="1:11" x14ac:dyDescent="0.25">
      <c r="A375" s="1" t="s">
        <v>1634</v>
      </c>
      <c r="B375" s="1" t="s">
        <v>1643</v>
      </c>
      <c r="C375" s="1" t="s">
        <v>18</v>
      </c>
      <c r="D375">
        <v>-1.598759</v>
      </c>
      <c r="E375">
        <v>17.553023</v>
      </c>
      <c r="F375" s="1" t="s">
        <v>1504</v>
      </c>
      <c r="G375" s="1" t="s">
        <v>1505</v>
      </c>
      <c r="H375" s="1" t="str">
        <f>_xlfn.XLOOKUP(Registre_Maintenance__2[[#This Row],[ID_Antenne]],Master!D:D,Master!B:B,"Pas de correspondance")</f>
        <v>Pas de correspondance</v>
      </c>
      <c r="I375" s="1" t="str">
        <f>_xlfn.XLOOKUP(Registre_Maintenance__2[[#This Row],[ID_Antenne]],Master!D:D,Master!C:C,"Pas de correspondance")</f>
        <v>Pas de correspondance</v>
      </c>
      <c r="J375" s="1" t="str">
        <f>_xlfn.XLOOKUP(Registre_Maintenance__2[[#This Row],[ID_Antenne]],Master!D:D,Master!F:F,"Pas de correspondance")</f>
        <v>Pas de correspondance</v>
      </c>
      <c r="K375" s="1" t="e">
        <f>_xlfn.XLOOKUP(Registre_Maintenance__2[[#This Row],[ID_Antenne]],Master!D:D,Master!#REF!,"Pas de correspondance")</f>
        <v>#REF!</v>
      </c>
    </row>
    <row r="376" spans="1:11" x14ac:dyDescent="0.25">
      <c r="A376" s="1" t="s">
        <v>1634</v>
      </c>
      <c r="B376" s="1" t="s">
        <v>1129</v>
      </c>
      <c r="C376" s="1" t="s">
        <v>1676</v>
      </c>
      <c r="D376">
        <v>2.486888</v>
      </c>
      <c r="E376">
        <v>23.798074</v>
      </c>
      <c r="F376" s="1" t="s">
        <v>1501</v>
      </c>
      <c r="G376" s="1" t="s">
        <v>1507</v>
      </c>
      <c r="H376" s="1" t="str">
        <f>_xlfn.XLOOKUP(Registre_Maintenance__2[[#This Row],[ID_Antenne]],Master!D:D,Master!B:B,"Pas de correspondance")</f>
        <v>Pas de correspondance</v>
      </c>
      <c r="I376" s="1" t="str">
        <f>_xlfn.XLOOKUP(Registre_Maintenance__2[[#This Row],[ID_Antenne]],Master!D:D,Master!C:C,"Pas de correspondance")</f>
        <v>Pas de correspondance</v>
      </c>
      <c r="J376" s="1" t="str">
        <f>_xlfn.XLOOKUP(Registre_Maintenance__2[[#This Row],[ID_Antenne]],Master!D:D,Master!F:F,"Pas de correspondance")</f>
        <v>Pas de correspondance</v>
      </c>
      <c r="K376" s="1" t="e">
        <f>_xlfn.XLOOKUP(Registre_Maintenance__2[[#This Row],[ID_Antenne]],Master!D:D,Master!#REF!,"Pas de correspondance")</f>
        <v>#REF!</v>
      </c>
    </row>
    <row r="377" spans="1:11" x14ac:dyDescent="0.25">
      <c r="A377" s="1" t="s">
        <v>1634</v>
      </c>
      <c r="B377" s="1" t="s">
        <v>1644</v>
      </c>
      <c r="C377" s="1" t="s">
        <v>1676</v>
      </c>
      <c r="D377">
        <v>-11.727425</v>
      </c>
      <c r="E377">
        <v>27.198173000000001</v>
      </c>
      <c r="F377" s="1" t="s">
        <v>1506</v>
      </c>
      <c r="G377" s="1" t="s">
        <v>1502</v>
      </c>
      <c r="H377" s="1" t="str">
        <f>_xlfn.XLOOKUP(Registre_Maintenance__2[[#This Row],[ID_Antenne]],Master!D:D,Master!B:B,"Pas de correspondance")</f>
        <v>Pas de correspondance</v>
      </c>
      <c r="I377" s="1" t="str">
        <f>_xlfn.XLOOKUP(Registre_Maintenance__2[[#This Row],[ID_Antenne]],Master!D:D,Master!C:C,"Pas de correspondance")</f>
        <v>Pas de correspondance</v>
      </c>
      <c r="J377" s="1" t="str">
        <f>_xlfn.XLOOKUP(Registre_Maintenance__2[[#This Row],[ID_Antenne]],Master!D:D,Master!F:F,"Pas de correspondance")</f>
        <v>Pas de correspondance</v>
      </c>
      <c r="K377" s="1" t="e">
        <f>_xlfn.XLOOKUP(Registre_Maintenance__2[[#This Row],[ID_Antenne]],Master!D:D,Master!#REF!,"Pas de correspondance")</f>
        <v>#REF!</v>
      </c>
    </row>
    <row r="378" spans="1:11" x14ac:dyDescent="0.25">
      <c r="A378" s="1" t="s">
        <v>1634</v>
      </c>
      <c r="B378" s="1" t="s">
        <v>1645</v>
      </c>
      <c r="C378" s="1" t="s">
        <v>78</v>
      </c>
      <c r="D378">
        <v>3.08182</v>
      </c>
      <c r="E378">
        <v>29.961940999999999</v>
      </c>
      <c r="F378" s="1" t="s">
        <v>1504</v>
      </c>
      <c r="G378" s="1" t="s">
        <v>1505</v>
      </c>
      <c r="H378" s="1" t="str">
        <f>_xlfn.XLOOKUP(Registre_Maintenance__2[[#This Row],[ID_Antenne]],Master!D:D,Master!B:B,"Pas de correspondance")</f>
        <v>Pas de correspondance</v>
      </c>
      <c r="I378" s="1" t="str">
        <f>_xlfn.XLOOKUP(Registre_Maintenance__2[[#This Row],[ID_Antenne]],Master!D:D,Master!C:C,"Pas de correspondance")</f>
        <v>Pas de correspondance</v>
      </c>
      <c r="J378" s="1" t="str">
        <f>_xlfn.XLOOKUP(Registre_Maintenance__2[[#This Row],[ID_Antenne]],Master!D:D,Master!F:F,"Pas de correspondance")</f>
        <v>Pas de correspondance</v>
      </c>
      <c r="K378" s="1" t="e">
        <f>_xlfn.XLOOKUP(Registre_Maintenance__2[[#This Row],[ID_Antenne]],Master!D:D,Master!#REF!,"Pas de correspondance")</f>
        <v>#REF!</v>
      </c>
    </row>
    <row r="379" spans="1:11" x14ac:dyDescent="0.25">
      <c r="A379" s="1" t="s">
        <v>1634</v>
      </c>
      <c r="B379" s="1" t="s">
        <v>887</v>
      </c>
      <c r="C379" s="1" t="s">
        <v>10</v>
      </c>
      <c r="D379">
        <v>-7.0076900000000002</v>
      </c>
      <c r="E379">
        <v>27.367121999999998</v>
      </c>
      <c r="F379" s="1" t="s">
        <v>1506</v>
      </c>
      <c r="G379" s="1" t="s">
        <v>1514</v>
      </c>
      <c r="H379" s="1" t="str">
        <f>_xlfn.XLOOKUP(Registre_Maintenance__2[[#This Row],[ID_Antenne]],Master!D:D,Master!B:B,"Pas de correspondance")</f>
        <v>Pas de correspondance</v>
      </c>
      <c r="I379" s="1" t="str">
        <f>_xlfn.XLOOKUP(Registre_Maintenance__2[[#This Row],[ID_Antenne]],Master!D:D,Master!C:C,"Pas de correspondance")</f>
        <v>Pas de correspondance</v>
      </c>
      <c r="J379" s="1" t="str">
        <f>_xlfn.XLOOKUP(Registre_Maintenance__2[[#This Row],[ID_Antenne]],Master!D:D,Master!F:F,"Pas de correspondance")</f>
        <v>Pas de correspondance</v>
      </c>
      <c r="K379" s="1" t="e">
        <f>_xlfn.XLOOKUP(Registre_Maintenance__2[[#This Row],[ID_Antenne]],Master!D:D,Master!#REF!,"Pas de correspondance")</f>
        <v>#REF!</v>
      </c>
    </row>
    <row r="380" spans="1:11" x14ac:dyDescent="0.25">
      <c r="A380" s="1" t="s">
        <v>1634</v>
      </c>
      <c r="B380" s="1" t="s">
        <v>1646</v>
      </c>
      <c r="C380" s="1" t="s">
        <v>89</v>
      </c>
      <c r="D380">
        <v>-12.411144999999999</v>
      </c>
      <c r="E380">
        <v>29.876642</v>
      </c>
      <c r="F380" s="1" t="s">
        <v>1504</v>
      </c>
      <c r="G380" s="1" t="s">
        <v>1502</v>
      </c>
      <c r="H380" s="1" t="str">
        <f>_xlfn.XLOOKUP(Registre_Maintenance__2[[#This Row],[ID_Antenne]],Master!D:D,Master!B:B,"Pas de correspondance")</f>
        <v>Pas de correspondance</v>
      </c>
      <c r="I380" s="1" t="str">
        <f>_xlfn.XLOOKUP(Registre_Maintenance__2[[#This Row],[ID_Antenne]],Master!D:D,Master!C:C,"Pas de correspondance")</f>
        <v>Pas de correspondance</v>
      </c>
      <c r="J380" s="1" t="str">
        <f>_xlfn.XLOOKUP(Registre_Maintenance__2[[#This Row],[ID_Antenne]],Master!D:D,Master!F:F,"Pas de correspondance")</f>
        <v>Pas de correspondance</v>
      </c>
      <c r="K380" s="1" t="e">
        <f>_xlfn.XLOOKUP(Registre_Maintenance__2[[#This Row],[ID_Antenne]],Master!D:D,Master!#REF!,"Pas de correspondance")</f>
        <v>#REF!</v>
      </c>
    </row>
    <row r="381" spans="1:11" x14ac:dyDescent="0.25">
      <c r="A381" s="1" t="s">
        <v>1634</v>
      </c>
      <c r="B381" s="1" t="s">
        <v>1647</v>
      </c>
      <c r="C381" s="1" t="s">
        <v>1676</v>
      </c>
      <c r="D381">
        <v>-5.3337589999999997</v>
      </c>
      <c r="E381">
        <v>13.246924</v>
      </c>
      <c r="F381" s="1" t="s">
        <v>1506</v>
      </c>
      <c r="G381" s="1" t="s">
        <v>1502</v>
      </c>
      <c r="H381" s="1" t="str">
        <f>_xlfn.XLOOKUP(Registre_Maintenance__2[[#This Row],[ID_Antenne]],Master!D:D,Master!B:B,"Pas de correspondance")</f>
        <v>Pas de correspondance</v>
      </c>
      <c r="I381" s="1" t="str">
        <f>_xlfn.XLOOKUP(Registre_Maintenance__2[[#This Row],[ID_Antenne]],Master!D:D,Master!C:C,"Pas de correspondance")</f>
        <v>Pas de correspondance</v>
      </c>
      <c r="J381" s="1" t="str">
        <f>_xlfn.XLOOKUP(Registre_Maintenance__2[[#This Row],[ID_Antenne]],Master!D:D,Master!F:F,"Pas de correspondance")</f>
        <v>Pas de correspondance</v>
      </c>
      <c r="K381" s="1" t="e">
        <f>_xlfn.XLOOKUP(Registre_Maintenance__2[[#This Row],[ID_Antenne]],Master!D:D,Master!#REF!,"Pas de correspondance")</f>
        <v>#REF!</v>
      </c>
    </row>
    <row r="382" spans="1:11" x14ac:dyDescent="0.25">
      <c r="A382" s="1" t="s">
        <v>1634</v>
      </c>
      <c r="B382" s="1" t="s">
        <v>837</v>
      </c>
      <c r="C382" s="1" t="s">
        <v>89</v>
      </c>
      <c r="D382">
        <v>-8.1437910000000002</v>
      </c>
      <c r="E382">
        <v>28.946161</v>
      </c>
      <c r="F382" s="1" t="s">
        <v>1504</v>
      </c>
      <c r="G382" s="1" t="s">
        <v>1507</v>
      </c>
      <c r="H382" s="1" t="str">
        <f>_xlfn.XLOOKUP(Registre_Maintenance__2[[#This Row],[ID_Antenne]],Master!D:D,Master!B:B,"Pas de correspondance")</f>
        <v>Pas de correspondance</v>
      </c>
      <c r="I382" s="1" t="str">
        <f>_xlfn.XLOOKUP(Registre_Maintenance__2[[#This Row],[ID_Antenne]],Master!D:D,Master!C:C,"Pas de correspondance")</f>
        <v>Pas de correspondance</v>
      </c>
      <c r="J382" s="1" t="str">
        <f>_xlfn.XLOOKUP(Registre_Maintenance__2[[#This Row],[ID_Antenne]],Master!D:D,Master!F:F,"Pas de correspondance")</f>
        <v>Pas de correspondance</v>
      </c>
      <c r="K382" s="1" t="e">
        <f>_xlfn.XLOOKUP(Registre_Maintenance__2[[#This Row],[ID_Antenne]],Master!D:D,Master!#REF!,"Pas de correspondance")</f>
        <v>#REF!</v>
      </c>
    </row>
    <row r="383" spans="1:11" x14ac:dyDescent="0.25">
      <c r="A383" s="1" t="s">
        <v>1634</v>
      </c>
      <c r="B383" s="1" t="s">
        <v>1648</v>
      </c>
      <c r="C383" s="1" t="s">
        <v>44</v>
      </c>
      <c r="D383">
        <v>4.0297190000000001</v>
      </c>
      <c r="E383">
        <v>20.699608000000001</v>
      </c>
      <c r="F383" s="1" t="s">
        <v>1504</v>
      </c>
      <c r="G383" s="1" t="s">
        <v>1502</v>
      </c>
      <c r="H383" s="1" t="str">
        <f>_xlfn.XLOOKUP(Registre_Maintenance__2[[#This Row],[ID_Antenne]],Master!D:D,Master!B:B,"Pas de correspondance")</f>
        <v>Pas de correspondance</v>
      </c>
      <c r="I383" s="1" t="str">
        <f>_xlfn.XLOOKUP(Registre_Maintenance__2[[#This Row],[ID_Antenne]],Master!D:D,Master!C:C,"Pas de correspondance")</f>
        <v>Pas de correspondance</v>
      </c>
      <c r="J383" s="1" t="str">
        <f>_xlfn.XLOOKUP(Registre_Maintenance__2[[#This Row],[ID_Antenne]],Master!D:D,Master!F:F,"Pas de correspondance")</f>
        <v>Pas de correspondance</v>
      </c>
      <c r="K383" s="1" t="e">
        <f>_xlfn.XLOOKUP(Registre_Maintenance__2[[#This Row],[ID_Antenne]],Master!D:D,Master!#REF!,"Pas de correspondance")</f>
        <v>#REF!</v>
      </c>
    </row>
    <row r="384" spans="1:11" x14ac:dyDescent="0.25">
      <c r="A384" s="1" t="s">
        <v>1634</v>
      </c>
      <c r="B384" s="1" t="s">
        <v>1649</v>
      </c>
      <c r="C384" s="1" t="s">
        <v>89</v>
      </c>
      <c r="D384">
        <v>-3.2361680000000002</v>
      </c>
      <c r="E384">
        <v>13.523237999999999</v>
      </c>
      <c r="F384" s="1" t="s">
        <v>1504</v>
      </c>
      <c r="G384" s="1" t="s">
        <v>1505</v>
      </c>
      <c r="H384" s="1" t="str">
        <f>_xlfn.XLOOKUP(Registre_Maintenance__2[[#This Row],[ID_Antenne]],Master!D:D,Master!B:B,"Pas de correspondance")</f>
        <v>Pas de correspondance</v>
      </c>
      <c r="I384" s="1" t="str">
        <f>_xlfn.XLOOKUP(Registre_Maintenance__2[[#This Row],[ID_Antenne]],Master!D:D,Master!C:C,"Pas de correspondance")</f>
        <v>Pas de correspondance</v>
      </c>
      <c r="J384" s="1" t="str">
        <f>_xlfn.XLOOKUP(Registre_Maintenance__2[[#This Row],[ID_Antenne]],Master!D:D,Master!F:F,"Pas de correspondance")</f>
        <v>Pas de correspondance</v>
      </c>
      <c r="K384" s="1" t="e">
        <f>_xlfn.XLOOKUP(Registre_Maintenance__2[[#This Row],[ID_Antenne]],Master!D:D,Master!#REF!,"Pas de correspondance")</f>
        <v>#REF!</v>
      </c>
    </row>
    <row r="385" spans="1:11" x14ac:dyDescent="0.25">
      <c r="A385" s="1" t="s">
        <v>1634</v>
      </c>
      <c r="B385" s="1" t="s">
        <v>1224</v>
      </c>
      <c r="C385" s="1" t="s">
        <v>64</v>
      </c>
      <c r="D385">
        <v>1.3006180000000001</v>
      </c>
      <c r="E385">
        <v>29.060970999999999</v>
      </c>
      <c r="F385" s="1" t="s">
        <v>1506</v>
      </c>
      <c r="G385" s="1" t="s">
        <v>1507</v>
      </c>
      <c r="H385" s="1" t="str">
        <f>_xlfn.XLOOKUP(Registre_Maintenance__2[[#This Row],[ID_Antenne]],Master!D:D,Master!B:B,"Pas de correspondance")</f>
        <v>Pas de correspondance</v>
      </c>
      <c r="I385" s="1" t="str">
        <f>_xlfn.XLOOKUP(Registre_Maintenance__2[[#This Row],[ID_Antenne]],Master!D:D,Master!C:C,"Pas de correspondance")</f>
        <v>Pas de correspondance</v>
      </c>
      <c r="J385" s="1" t="str">
        <f>_xlfn.XLOOKUP(Registre_Maintenance__2[[#This Row],[ID_Antenne]],Master!D:D,Master!F:F,"Pas de correspondance")</f>
        <v>Pas de correspondance</v>
      </c>
      <c r="K385" s="1" t="e">
        <f>_xlfn.XLOOKUP(Registre_Maintenance__2[[#This Row],[ID_Antenne]],Master!D:D,Master!#REF!,"Pas de correspondance")</f>
        <v>#REF!</v>
      </c>
    </row>
    <row r="386" spans="1:11" x14ac:dyDescent="0.25">
      <c r="A386" s="1" t="s">
        <v>1634</v>
      </c>
      <c r="B386" s="1" t="s">
        <v>1650</v>
      </c>
      <c r="C386" s="1" t="s">
        <v>10</v>
      </c>
      <c r="D386">
        <v>1.178453</v>
      </c>
      <c r="E386">
        <v>17.479081000000001</v>
      </c>
      <c r="F386" s="1" t="s">
        <v>1506</v>
      </c>
      <c r="G386" s="1" t="s">
        <v>1502</v>
      </c>
      <c r="H386" s="1" t="str">
        <f>_xlfn.XLOOKUP(Registre_Maintenance__2[[#This Row],[ID_Antenne]],Master!D:D,Master!B:B,"Pas de correspondance")</f>
        <v>Pas de correspondance</v>
      </c>
      <c r="I386" s="1" t="str">
        <f>_xlfn.XLOOKUP(Registre_Maintenance__2[[#This Row],[ID_Antenne]],Master!D:D,Master!C:C,"Pas de correspondance")</f>
        <v>Pas de correspondance</v>
      </c>
      <c r="J386" s="1" t="str">
        <f>_xlfn.XLOOKUP(Registre_Maintenance__2[[#This Row],[ID_Antenne]],Master!D:D,Master!F:F,"Pas de correspondance")</f>
        <v>Pas de correspondance</v>
      </c>
      <c r="K386" s="1" t="e">
        <f>_xlfn.XLOOKUP(Registre_Maintenance__2[[#This Row],[ID_Antenne]],Master!D:D,Master!#REF!,"Pas de correspondance")</f>
        <v>#REF!</v>
      </c>
    </row>
    <row r="387" spans="1:11" x14ac:dyDescent="0.25">
      <c r="A387" s="1" t="s">
        <v>1634</v>
      </c>
      <c r="B387" s="1" t="s">
        <v>1651</v>
      </c>
      <c r="C387" s="1" t="s">
        <v>62</v>
      </c>
      <c r="D387">
        <v>-11.542737000000001</v>
      </c>
      <c r="E387">
        <v>30.175912</v>
      </c>
      <c r="F387" s="1" t="s">
        <v>1504</v>
      </c>
      <c r="G387" s="1" t="s">
        <v>1514</v>
      </c>
      <c r="H387" s="1" t="str">
        <f>_xlfn.XLOOKUP(Registre_Maintenance__2[[#This Row],[ID_Antenne]],Master!D:D,Master!B:B,"Pas de correspondance")</f>
        <v>Pas de correspondance</v>
      </c>
      <c r="I387" s="1" t="str">
        <f>_xlfn.XLOOKUP(Registre_Maintenance__2[[#This Row],[ID_Antenne]],Master!D:D,Master!C:C,"Pas de correspondance")</f>
        <v>Pas de correspondance</v>
      </c>
      <c r="J387" s="1" t="str">
        <f>_xlfn.XLOOKUP(Registre_Maintenance__2[[#This Row],[ID_Antenne]],Master!D:D,Master!F:F,"Pas de correspondance")</f>
        <v>Pas de correspondance</v>
      </c>
      <c r="K387" s="1" t="e">
        <f>_xlfn.XLOOKUP(Registre_Maintenance__2[[#This Row],[ID_Antenne]],Master!D:D,Master!#REF!,"Pas de correspondance")</f>
        <v>#REF!</v>
      </c>
    </row>
    <row r="388" spans="1:11" x14ac:dyDescent="0.25">
      <c r="A388" s="1" t="s">
        <v>1634</v>
      </c>
      <c r="B388" s="1" t="s">
        <v>1399</v>
      </c>
      <c r="C388" s="1" t="s">
        <v>62</v>
      </c>
      <c r="D388">
        <v>2.8552499999999998</v>
      </c>
      <c r="E388">
        <v>14.077933</v>
      </c>
      <c r="F388" s="1" t="s">
        <v>1504</v>
      </c>
      <c r="G388" s="1" t="s">
        <v>1507</v>
      </c>
      <c r="H388" s="1" t="str">
        <f>_xlfn.XLOOKUP(Registre_Maintenance__2[[#This Row],[ID_Antenne]],Master!D:D,Master!B:B,"Pas de correspondance")</f>
        <v>Pas de correspondance</v>
      </c>
      <c r="I388" s="1" t="str">
        <f>_xlfn.XLOOKUP(Registre_Maintenance__2[[#This Row],[ID_Antenne]],Master!D:D,Master!C:C,"Pas de correspondance")</f>
        <v>Pas de correspondance</v>
      </c>
      <c r="J388" s="1" t="str">
        <f>_xlfn.XLOOKUP(Registre_Maintenance__2[[#This Row],[ID_Antenne]],Master!D:D,Master!F:F,"Pas de correspondance")</f>
        <v>Pas de correspondance</v>
      </c>
      <c r="K388" s="1" t="e">
        <f>_xlfn.XLOOKUP(Registre_Maintenance__2[[#This Row],[ID_Antenne]],Master!D:D,Master!#REF!,"Pas de correspondance")</f>
        <v>#REF!</v>
      </c>
    </row>
    <row r="389" spans="1:11" x14ac:dyDescent="0.25">
      <c r="A389" s="1" t="s">
        <v>1634</v>
      </c>
      <c r="B389" s="1" t="s">
        <v>1652</v>
      </c>
      <c r="C389" s="1" t="s">
        <v>26</v>
      </c>
      <c r="D389">
        <v>0.24369399999999999</v>
      </c>
      <c r="E389">
        <v>17.242912</v>
      </c>
      <c r="F389" s="1" t="s">
        <v>1504</v>
      </c>
      <c r="G389" s="1" t="s">
        <v>1514</v>
      </c>
      <c r="H389" s="1" t="str">
        <f>_xlfn.XLOOKUP(Registre_Maintenance__2[[#This Row],[ID_Antenne]],Master!D:D,Master!B:B,"Pas de correspondance")</f>
        <v>Pas de correspondance</v>
      </c>
      <c r="I389" s="1" t="str">
        <f>_xlfn.XLOOKUP(Registre_Maintenance__2[[#This Row],[ID_Antenne]],Master!D:D,Master!C:C,"Pas de correspondance")</f>
        <v>Pas de correspondance</v>
      </c>
      <c r="J389" s="1" t="str">
        <f>_xlfn.XLOOKUP(Registre_Maintenance__2[[#This Row],[ID_Antenne]],Master!D:D,Master!F:F,"Pas de correspondance")</f>
        <v>Pas de correspondance</v>
      </c>
      <c r="K389" s="1" t="e">
        <f>_xlfn.XLOOKUP(Registre_Maintenance__2[[#This Row],[ID_Antenne]],Master!D:D,Master!#REF!,"Pas de correspondance")</f>
        <v>#REF!</v>
      </c>
    </row>
    <row r="390" spans="1:11" x14ac:dyDescent="0.25">
      <c r="A390" s="1" t="s">
        <v>1634</v>
      </c>
      <c r="B390" s="1" t="s">
        <v>1653</v>
      </c>
      <c r="C390" s="1" t="s">
        <v>18</v>
      </c>
      <c r="D390">
        <v>-12.013389999999999</v>
      </c>
      <c r="E390">
        <v>25.24456</v>
      </c>
      <c r="F390" s="1" t="s">
        <v>1506</v>
      </c>
      <c r="G390" s="1" t="s">
        <v>1505</v>
      </c>
      <c r="H390" s="1" t="str">
        <f>_xlfn.XLOOKUP(Registre_Maintenance__2[[#This Row],[ID_Antenne]],Master!D:D,Master!B:B,"Pas de correspondance")</f>
        <v>Pas de correspondance</v>
      </c>
      <c r="I390" s="1" t="str">
        <f>_xlfn.XLOOKUP(Registre_Maintenance__2[[#This Row],[ID_Antenne]],Master!D:D,Master!C:C,"Pas de correspondance")</f>
        <v>Pas de correspondance</v>
      </c>
      <c r="J390" s="1" t="str">
        <f>_xlfn.XLOOKUP(Registre_Maintenance__2[[#This Row],[ID_Antenne]],Master!D:D,Master!F:F,"Pas de correspondance")</f>
        <v>Pas de correspondance</v>
      </c>
      <c r="K390" s="1" t="e">
        <f>_xlfn.XLOOKUP(Registre_Maintenance__2[[#This Row],[ID_Antenne]],Master!D:D,Master!#REF!,"Pas de correspondance")</f>
        <v>#REF!</v>
      </c>
    </row>
    <row r="391" spans="1:11" x14ac:dyDescent="0.25">
      <c r="A391" s="1" t="s">
        <v>1634</v>
      </c>
      <c r="B391" s="1" t="s">
        <v>1037</v>
      </c>
      <c r="C391" s="1" t="s">
        <v>137</v>
      </c>
      <c r="D391">
        <v>4.0157999999999996</v>
      </c>
      <c r="E391">
        <v>21.430246</v>
      </c>
      <c r="F391" s="1" t="s">
        <v>1501</v>
      </c>
      <c r="G391" s="1" t="s">
        <v>1514</v>
      </c>
      <c r="H391" s="1" t="str">
        <f>_xlfn.XLOOKUP(Registre_Maintenance__2[[#This Row],[ID_Antenne]],Master!D:D,Master!B:B,"Pas de correspondance")</f>
        <v>Pas de correspondance</v>
      </c>
      <c r="I391" s="1" t="str">
        <f>_xlfn.XLOOKUP(Registre_Maintenance__2[[#This Row],[ID_Antenne]],Master!D:D,Master!C:C,"Pas de correspondance")</f>
        <v>Pas de correspondance</v>
      </c>
      <c r="J391" s="1" t="str">
        <f>_xlfn.XLOOKUP(Registre_Maintenance__2[[#This Row],[ID_Antenne]],Master!D:D,Master!F:F,"Pas de correspondance")</f>
        <v>Pas de correspondance</v>
      </c>
      <c r="K391" s="1" t="e">
        <f>_xlfn.XLOOKUP(Registre_Maintenance__2[[#This Row],[ID_Antenne]],Master!D:D,Master!#REF!,"Pas de correspondance")</f>
        <v>#REF!</v>
      </c>
    </row>
    <row r="392" spans="1:11" x14ac:dyDescent="0.25">
      <c r="A392" s="1" t="s">
        <v>1634</v>
      </c>
      <c r="B392" s="1" t="s">
        <v>1169</v>
      </c>
      <c r="C392" s="1" t="s">
        <v>73</v>
      </c>
      <c r="D392">
        <v>-0.85624699999999998</v>
      </c>
      <c r="E392">
        <v>28.624870000000001</v>
      </c>
      <c r="F392" s="1" t="s">
        <v>1506</v>
      </c>
      <c r="G392" s="1" t="s">
        <v>1502</v>
      </c>
      <c r="H392" s="1" t="str">
        <f>_xlfn.XLOOKUP(Registre_Maintenance__2[[#This Row],[ID_Antenne]],Master!D:D,Master!B:B,"Pas de correspondance")</f>
        <v>Pas de correspondance</v>
      </c>
      <c r="I392" s="1" t="str">
        <f>_xlfn.XLOOKUP(Registre_Maintenance__2[[#This Row],[ID_Antenne]],Master!D:D,Master!C:C,"Pas de correspondance")</f>
        <v>Pas de correspondance</v>
      </c>
      <c r="J392" s="1" t="str">
        <f>_xlfn.XLOOKUP(Registre_Maintenance__2[[#This Row],[ID_Antenne]],Master!D:D,Master!F:F,"Pas de correspondance")</f>
        <v>Pas de correspondance</v>
      </c>
      <c r="K392" s="1" t="e">
        <f>_xlfn.XLOOKUP(Registre_Maintenance__2[[#This Row],[ID_Antenne]],Master!D:D,Master!#REF!,"Pas de correspondance")</f>
        <v>#REF!</v>
      </c>
    </row>
    <row r="393" spans="1:11" x14ac:dyDescent="0.25">
      <c r="A393" s="1" t="s">
        <v>1634</v>
      </c>
      <c r="B393" s="1" t="s">
        <v>1654</v>
      </c>
      <c r="C393" s="1" t="s">
        <v>62</v>
      </c>
      <c r="D393">
        <v>2.9836019999999999</v>
      </c>
      <c r="E393">
        <v>21.893065</v>
      </c>
      <c r="F393" s="1" t="s">
        <v>1501</v>
      </c>
      <c r="G393" s="1" t="s">
        <v>1514</v>
      </c>
      <c r="H393" s="1" t="str">
        <f>_xlfn.XLOOKUP(Registre_Maintenance__2[[#This Row],[ID_Antenne]],Master!D:D,Master!B:B,"Pas de correspondance")</f>
        <v>Pas de correspondance</v>
      </c>
      <c r="I393" s="1" t="str">
        <f>_xlfn.XLOOKUP(Registre_Maintenance__2[[#This Row],[ID_Antenne]],Master!D:D,Master!C:C,"Pas de correspondance")</f>
        <v>Pas de correspondance</v>
      </c>
      <c r="J393" s="1" t="str">
        <f>_xlfn.XLOOKUP(Registre_Maintenance__2[[#This Row],[ID_Antenne]],Master!D:D,Master!F:F,"Pas de correspondance")</f>
        <v>Pas de correspondance</v>
      </c>
      <c r="K393" s="1" t="e">
        <f>_xlfn.XLOOKUP(Registre_Maintenance__2[[#This Row],[ID_Antenne]],Master!D:D,Master!#REF!,"Pas de correspondance")</f>
        <v>#REF!</v>
      </c>
    </row>
    <row r="394" spans="1:11" x14ac:dyDescent="0.25">
      <c r="A394" s="1" t="s">
        <v>1634</v>
      </c>
      <c r="B394" s="1" t="s">
        <v>1138</v>
      </c>
      <c r="C394" s="1" t="s">
        <v>10</v>
      </c>
      <c r="D394">
        <v>-11.002602</v>
      </c>
      <c r="E394">
        <v>23.918247999999998</v>
      </c>
      <c r="F394" s="1" t="s">
        <v>1501</v>
      </c>
      <c r="G394" s="1" t="s">
        <v>1507</v>
      </c>
      <c r="H394" s="1" t="str">
        <f>_xlfn.XLOOKUP(Registre_Maintenance__2[[#This Row],[ID_Antenne]],Master!D:D,Master!B:B,"Pas de correspondance")</f>
        <v>Pas de correspondance</v>
      </c>
      <c r="I394" s="1" t="str">
        <f>_xlfn.XLOOKUP(Registre_Maintenance__2[[#This Row],[ID_Antenne]],Master!D:D,Master!C:C,"Pas de correspondance")</f>
        <v>Pas de correspondance</v>
      </c>
      <c r="J394" s="1" t="str">
        <f>_xlfn.XLOOKUP(Registre_Maintenance__2[[#This Row],[ID_Antenne]],Master!D:D,Master!F:F,"Pas de correspondance")</f>
        <v>Pas de correspondance</v>
      </c>
      <c r="K394" s="1" t="e">
        <f>_xlfn.XLOOKUP(Registre_Maintenance__2[[#This Row],[ID_Antenne]],Master!D:D,Master!#REF!,"Pas de correspondance")</f>
        <v>#REF!</v>
      </c>
    </row>
    <row r="395" spans="1:11" x14ac:dyDescent="0.25">
      <c r="A395" s="1" t="s">
        <v>1634</v>
      </c>
      <c r="B395" s="1" t="s">
        <v>1655</v>
      </c>
      <c r="C395" s="1" t="s">
        <v>73</v>
      </c>
      <c r="D395">
        <v>-6.419365</v>
      </c>
      <c r="E395">
        <v>17.570219000000002</v>
      </c>
      <c r="F395" s="1" t="s">
        <v>1504</v>
      </c>
      <c r="G395" s="1" t="s">
        <v>1505</v>
      </c>
      <c r="H395" s="1" t="str">
        <f>_xlfn.XLOOKUP(Registre_Maintenance__2[[#This Row],[ID_Antenne]],Master!D:D,Master!B:B,"Pas de correspondance")</f>
        <v>Pas de correspondance</v>
      </c>
      <c r="I395" s="1" t="str">
        <f>_xlfn.XLOOKUP(Registre_Maintenance__2[[#This Row],[ID_Antenne]],Master!D:D,Master!C:C,"Pas de correspondance")</f>
        <v>Pas de correspondance</v>
      </c>
      <c r="J395" s="1" t="str">
        <f>_xlfn.XLOOKUP(Registre_Maintenance__2[[#This Row],[ID_Antenne]],Master!D:D,Master!F:F,"Pas de correspondance")</f>
        <v>Pas de correspondance</v>
      </c>
      <c r="K395" s="1" t="e">
        <f>_xlfn.XLOOKUP(Registre_Maintenance__2[[#This Row],[ID_Antenne]],Master!D:D,Master!#REF!,"Pas de correspondance")</f>
        <v>#REF!</v>
      </c>
    </row>
    <row r="396" spans="1:11" x14ac:dyDescent="0.25">
      <c r="A396" s="1" t="s">
        <v>1634</v>
      </c>
      <c r="B396" s="1" t="s">
        <v>1001</v>
      </c>
      <c r="C396" s="1" t="s">
        <v>131</v>
      </c>
      <c r="D396">
        <v>-1.8555980000000001</v>
      </c>
      <c r="E396">
        <v>30.421918000000002</v>
      </c>
      <c r="F396" s="1" t="s">
        <v>1506</v>
      </c>
      <c r="G396" s="1" t="s">
        <v>1507</v>
      </c>
      <c r="H396" s="1" t="str">
        <f>_xlfn.XLOOKUP(Registre_Maintenance__2[[#This Row],[ID_Antenne]],Master!D:D,Master!B:B,"Pas de correspondance")</f>
        <v>Pas de correspondance</v>
      </c>
      <c r="I396" s="1" t="str">
        <f>_xlfn.XLOOKUP(Registre_Maintenance__2[[#This Row],[ID_Antenne]],Master!D:D,Master!C:C,"Pas de correspondance")</f>
        <v>Pas de correspondance</v>
      </c>
      <c r="J396" s="1" t="str">
        <f>_xlfn.XLOOKUP(Registre_Maintenance__2[[#This Row],[ID_Antenne]],Master!D:D,Master!F:F,"Pas de correspondance")</f>
        <v>Pas de correspondance</v>
      </c>
      <c r="K396" s="1" t="e">
        <f>_xlfn.XLOOKUP(Registre_Maintenance__2[[#This Row],[ID_Antenne]],Master!D:D,Master!#REF!,"Pas de correspondance")</f>
        <v>#REF!</v>
      </c>
    </row>
    <row r="397" spans="1:11" x14ac:dyDescent="0.25">
      <c r="A397" s="1" t="s">
        <v>1634</v>
      </c>
      <c r="B397" s="1" t="s">
        <v>1131</v>
      </c>
      <c r="C397" s="1" t="s">
        <v>26</v>
      </c>
      <c r="D397">
        <v>-6.4197189999999997</v>
      </c>
      <c r="E397">
        <v>22.287264</v>
      </c>
      <c r="F397" s="1" t="s">
        <v>1506</v>
      </c>
      <c r="G397" s="1" t="s">
        <v>1502</v>
      </c>
      <c r="H397" s="1" t="str">
        <f>_xlfn.XLOOKUP(Registre_Maintenance__2[[#This Row],[ID_Antenne]],Master!D:D,Master!B:B,"Pas de correspondance")</f>
        <v>Pas de correspondance</v>
      </c>
      <c r="I397" s="1" t="str">
        <f>_xlfn.XLOOKUP(Registre_Maintenance__2[[#This Row],[ID_Antenne]],Master!D:D,Master!C:C,"Pas de correspondance")</f>
        <v>Pas de correspondance</v>
      </c>
      <c r="J397" s="1" t="str">
        <f>_xlfn.XLOOKUP(Registre_Maintenance__2[[#This Row],[ID_Antenne]],Master!D:D,Master!F:F,"Pas de correspondance")</f>
        <v>Pas de correspondance</v>
      </c>
      <c r="K397" s="1" t="e">
        <f>_xlfn.XLOOKUP(Registre_Maintenance__2[[#This Row],[ID_Antenne]],Master!D:D,Master!#REF!,"Pas de correspondance")</f>
        <v>#REF!</v>
      </c>
    </row>
    <row r="398" spans="1:11" x14ac:dyDescent="0.25">
      <c r="A398" s="1" t="s">
        <v>1634</v>
      </c>
      <c r="B398" s="1" t="s">
        <v>1656</v>
      </c>
      <c r="C398" s="1" t="s">
        <v>24</v>
      </c>
      <c r="D398">
        <v>-9.8451869999999992</v>
      </c>
      <c r="E398">
        <v>14.508520000000001</v>
      </c>
      <c r="F398" s="1" t="s">
        <v>1501</v>
      </c>
      <c r="G398" s="1" t="s">
        <v>1514</v>
      </c>
      <c r="H398" s="1" t="str">
        <f>_xlfn.XLOOKUP(Registre_Maintenance__2[[#This Row],[ID_Antenne]],Master!D:D,Master!B:B,"Pas de correspondance")</f>
        <v>Pas de correspondance</v>
      </c>
      <c r="I398" s="1" t="str">
        <f>_xlfn.XLOOKUP(Registre_Maintenance__2[[#This Row],[ID_Antenne]],Master!D:D,Master!C:C,"Pas de correspondance")</f>
        <v>Pas de correspondance</v>
      </c>
      <c r="J398" s="1" t="str">
        <f>_xlfn.XLOOKUP(Registre_Maintenance__2[[#This Row],[ID_Antenne]],Master!D:D,Master!F:F,"Pas de correspondance")</f>
        <v>Pas de correspondance</v>
      </c>
      <c r="K398" s="1" t="e">
        <f>_xlfn.XLOOKUP(Registre_Maintenance__2[[#This Row],[ID_Antenne]],Master!D:D,Master!#REF!,"Pas de correspondance")</f>
        <v>#REF!</v>
      </c>
    </row>
    <row r="399" spans="1:11" x14ac:dyDescent="0.25">
      <c r="A399" s="1" t="s">
        <v>1634</v>
      </c>
      <c r="B399" s="1" t="s">
        <v>869</v>
      </c>
      <c r="C399" s="1" t="s">
        <v>24</v>
      </c>
      <c r="D399">
        <v>-2.9417719999999998</v>
      </c>
      <c r="E399">
        <v>18.587305000000001</v>
      </c>
      <c r="F399" s="1" t="s">
        <v>1501</v>
      </c>
      <c r="G399" s="1" t="s">
        <v>1502</v>
      </c>
      <c r="H399" s="1" t="str">
        <f>_xlfn.XLOOKUP(Registre_Maintenance__2[[#This Row],[ID_Antenne]],Master!D:D,Master!B:B,"Pas de correspondance")</f>
        <v>Pas de correspondance</v>
      </c>
      <c r="I399" s="1" t="str">
        <f>_xlfn.XLOOKUP(Registre_Maintenance__2[[#This Row],[ID_Antenne]],Master!D:D,Master!C:C,"Pas de correspondance")</f>
        <v>Pas de correspondance</v>
      </c>
      <c r="J399" s="1" t="str">
        <f>_xlfn.XLOOKUP(Registre_Maintenance__2[[#This Row],[ID_Antenne]],Master!D:D,Master!F:F,"Pas de correspondance")</f>
        <v>Pas de correspondance</v>
      </c>
      <c r="K399" s="1" t="e">
        <f>_xlfn.XLOOKUP(Registre_Maintenance__2[[#This Row],[ID_Antenne]],Master!D:D,Master!#REF!,"Pas de correspondance")</f>
        <v>#REF!</v>
      </c>
    </row>
    <row r="400" spans="1:11" x14ac:dyDescent="0.25">
      <c r="A400" s="1" t="s">
        <v>1634</v>
      </c>
      <c r="B400" s="1" t="s">
        <v>1217</v>
      </c>
      <c r="C400" s="1" t="s">
        <v>37</v>
      </c>
      <c r="D400">
        <v>-11.793894</v>
      </c>
      <c r="E400">
        <v>20.433340999999999</v>
      </c>
      <c r="F400" s="1" t="s">
        <v>1501</v>
      </c>
      <c r="G400" s="1" t="s">
        <v>1514</v>
      </c>
      <c r="H400" s="1" t="str">
        <f>_xlfn.XLOOKUP(Registre_Maintenance__2[[#This Row],[ID_Antenne]],Master!D:D,Master!B:B,"Pas de correspondance")</f>
        <v>Pas de correspondance</v>
      </c>
      <c r="I400" s="1" t="str">
        <f>_xlfn.XLOOKUP(Registre_Maintenance__2[[#This Row],[ID_Antenne]],Master!D:D,Master!C:C,"Pas de correspondance")</f>
        <v>Pas de correspondance</v>
      </c>
      <c r="J400" s="1" t="str">
        <f>_xlfn.XLOOKUP(Registre_Maintenance__2[[#This Row],[ID_Antenne]],Master!D:D,Master!F:F,"Pas de correspondance")</f>
        <v>Pas de correspondance</v>
      </c>
      <c r="K400" s="1" t="e">
        <f>_xlfn.XLOOKUP(Registre_Maintenance__2[[#This Row],[ID_Antenne]],Master!D:D,Master!#REF!,"Pas de correspondance")</f>
        <v>#REF!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624B-50CA-4515-8F03-0CD70A595924}">
  <dimension ref="A3:B30"/>
  <sheetViews>
    <sheetView workbookViewId="0">
      <selection activeCell="E18" sqref="E18"/>
    </sheetView>
  </sheetViews>
  <sheetFormatPr baseColWidth="10" defaultRowHeight="15" x14ac:dyDescent="0.25"/>
  <cols>
    <col min="1" max="1" width="21.42578125" bestFit="1" customWidth="1"/>
    <col min="2" max="2" width="23.28515625" bestFit="1" customWidth="1"/>
  </cols>
  <sheetData>
    <row r="3" spans="1:2" x14ac:dyDescent="0.25">
      <c r="A3" s="5" t="s">
        <v>1670</v>
      </c>
      <c r="B3" t="s">
        <v>1672</v>
      </c>
    </row>
    <row r="4" spans="1:2" x14ac:dyDescent="0.25">
      <c r="A4" s="6" t="s">
        <v>26</v>
      </c>
      <c r="B4" s="7">
        <v>0.93194444444444446</v>
      </c>
    </row>
    <row r="5" spans="1:2" x14ac:dyDescent="0.25">
      <c r="A5" s="6" t="s">
        <v>60</v>
      </c>
      <c r="B5" s="7">
        <v>0.64166666666666661</v>
      </c>
    </row>
    <row r="6" spans="1:2" x14ac:dyDescent="0.25">
      <c r="A6" s="6" t="s">
        <v>24</v>
      </c>
      <c r="B6" s="7">
        <v>1.0791666666666668</v>
      </c>
    </row>
    <row r="7" spans="1:2" x14ac:dyDescent="0.25">
      <c r="A7" s="6" t="s">
        <v>18</v>
      </c>
      <c r="B7" s="7">
        <v>0.69861111111111107</v>
      </c>
    </row>
    <row r="8" spans="1:2" x14ac:dyDescent="0.25">
      <c r="A8" s="6" t="s">
        <v>127</v>
      </c>
      <c r="B8" s="7">
        <v>0.70208333333333339</v>
      </c>
    </row>
    <row r="9" spans="1:2" x14ac:dyDescent="0.25">
      <c r="A9" s="6" t="s">
        <v>10</v>
      </c>
      <c r="B9" s="7">
        <v>0.62986111111111109</v>
      </c>
    </row>
    <row r="10" spans="1:2" x14ac:dyDescent="0.25">
      <c r="A10" s="6" t="s">
        <v>29</v>
      </c>
      <c r="B10" s="7">
        <v>0.59513888888888877</v>
      </c>
    </row>
    <row r="11" spans="1:2" x14ac:dyDescent="0.25">
      <c r="A11" s="6" t="s">
        <v>33</v>
      </c>
      <c r="B11" s="7">
        <v>0.48611111111111105</v>
      </c>
    </row>
    <row r="12" spans="1:2" x14ac:dyDescent="0.25">
      <c r="A12" s="6" t="s">
        <v>57</v>
      </c>
      <c r="B12" s="7">
        <v>0.39513888888888893</v>
      </c>
    </row>
    <row r="13" spans="1:2" x14ac:dyDescent="0.25">
      <c r="A13" s="6" t="s">
        <v>64</v>
      </c>
      <c r="B13" s="7">
        <v>0.69861111111111107</v>
      </c>
    </row>
    <row r="14" spans="1:2" x14ac:dyDescent="0.25">
      <c r="A14" s="6" t="s">
        <v>62</v>
      </c>
      <c r="B14" s="7">
        <v>1.2520833333333332</v>
      </c>
    </row>
    <row r="15" spans="1:2" x14ac:dyDescent="0.25">
      <c r="A15" s="6" t="s">
        <v>40</v>
      </c>
      <c r="B15" s="7">
        <v>0.43124999999999997</v>
      </c>
    </row>
    <row r="16" spans="1:2" x14ac:dyDescent="0.25">
      <c r="A16" s="6" t="s">
        <v>51</v>
      </c>
      <c r="B16" s="7">
        <v>0.60972222222222217</v>
      </c>
    </row>
    <row r="17" spans="1:2" x14ac:dyDescent="0.25">
      <c r="A17" s="6" t="s">
        <v>67</v>
      </c>
      <c r="B17" s="7">
        <v>0.75694444444444453</v>
      </c>
    </row>
    <row r="18" spans="1:2" x14ac:dyDescent="0.25">
      <c r="A18" s="6" t="s">
        <v>137</v>
      </c>
      <c r="B18" s="7">
        <v>0.79444444444444451</v>
      </c>
    </row>
    <row r="19" spans="1:2" x14ac:dyDescent="0.25">
      <c r="A19" s="6" t="s">
        <v>44</v>
      </c>
      <c r="B19" s="7">
        <v>0.25277777777777777</v>
      </c>
    </row>
    <row r="20" spans="1:2" x14ac:dyDescent="0.25">
      <c r="A20" s="6" t="s">
        <v>78</v>
      </c>
      <c r="B20" s="7">
        <v>0.68611111111111112</v>
      </c>
    </row>
    <row r="21" spans="1:2" x14ac:dyDescent="0.25">
      <c r="A21" s="6" t="s">
        <v>16</v>
      </c>
      <c r="B21" s="7">
        <v>0.74583333333333324</v>
      </c>
    </row>
    <row r="22" spans="1:2" x14ac:dyDescent="0.25">
      <c r="A22" s="6" t="s">
        <v>131</v>
      </c>
      <c r="B22" s="7">
        <v>1.3374999999999999</v>
      </c>
    </row>
    <row r="23" spans="1:2" x14ac:dyDescent="0.25">
      <c r="A23" s="6" t="s">
        <v>89</v>
      </c>
      <c r="B23" s="7">
        <v>1.0034722222222221</v>
      </c>
    </row>
    <row r="24" spans="1:2" x14ac:dyDescent="0.25">
      <c r="A24" s="6" t="s">
        <v>35</v>
      </c>
      <c r="B24" s="7">
        <v>0.18194444444444444</v>
      </c>
    </row>
    <row r="25" spans="1:2" x14ac:dyDescent="0.25">
      <c r="A25" s="6" t="s">
        <v>21</v>
      </c>
      <c r="B25" s="7">
        <v>0.91527777777777786</v>
      </c>
    </row>
    <row r="26" spans="1:2" x14ac:dyDescent="0.25">
      <c r="A26" s="6" t="s">
        <v>31</v>
      </c>
      <c r="B26" s="7">
        <v>0.93680555555555545</v>
      </c>
    </row>
    <row r="27" spans="1:2" x14ac:dyDescent="0.25">
      <c r="A27" s="6" t="s">
        <v>37</v>
      </c>
      <c r="B27" s="7">
        <v>1.1152777777777776</v>
      </c>
    </row>
    <row r="28" spans="1:2" x14ac:dyDescent="0.25">
      <c r="A28" s="6" t="s">
        <v>73</v>
      </c>
      <c r="B28" s="7">
        <v>0.86388888888888871</v>
      </c>
    </row>
    <row r="29" spans="1:2" x14ac:dyDescent="0.25">
      <c r="A29" s="6" t="s">
        <v>13</v>
      </c>
      <c r="B29" s="7">
        <v>0.29861111111111116</v>
      </c>
    </row>
    <row r="30" spans="1:2" x14ac:dyDescent="0.25">
      <c r="A30" s="6" t="s">
        <v>1671</v>
      </c>
      <c r="B30" s="7">
        <v>19.040277777777774</v>
      </c>
    </row>
  </sheetData>
  <conditionalFormatting pivot="1" sqref="B4:B29">
    <cfRule type="top10" dxfId="212" priority="1" rank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DECE-18D9-486B-9EC5-65A3AEBF540B}">
  <dimension ref="A3:B106"/>
  <sheetViews>
    <sheetView workbookViewId="0">
      <selection activeCell="B6" sqref="B6"/>
    </sheetView>
  </sheetViews>
  <sheetFormatPr baseColWidth="10" defaultRowHeight="15" x14ac:dyDescent="0.25"/>
  <cols>
    <col min="1" max="1" width="21.42578125" bestFit="1" customWidth="1"/>
    <col min="2" max="2" width="23.28515625" bestFit="1" customWidth="1"/>
  </cols>
  <sheetData>
    <row r="3" spans="1:2" x14ac:dyDescent="0.25">
      <c r="A3" s="5" t="s">
        <v>1670</v>
      </c>
      <c r="B3" t="s">
        <v>1672</v>
      </c>
    </row>
    <row r="4" spans="1:2" x14ac:dyDescent="0.25">
      <c r="A4" s="6" t="s">
        <v>26</v>
      </c>
      <c r="B4" s="7">
        <v>0.93194444444444435</v>
      </c>
    </row>
    <row r="5" spans="1:2" x14ac:dyDescent="0.25">
      <c r="A5" s="8" t="s">
        <v>1506</v>
      </c>
      <c r="B5" s="7">
        <v>0.42361111111111105</v>
      </c>
    </row>
    <row r="6" spans="1:2" x14ac:dyDescent="0.25">
      <c r="A6" s="8" t="s">
        <v>1504</v>
      </c>
      <c r="B6" s="7">
        <v>0.19375000000000001</v>
      </c>
    </row>
    <row r="7" spans="1:2" x14ac:dyDescent="0.25">
      <c r="A7" s="8" t="s">
        <v>1501</v>
      </c>
      <c r="B7" s="7">
        <v>0.31458333333333333</v>
      </c>
    </row>
    <row r="8" spans="1:2" x14ac:dyDescent="0.25">
      <c r="A8" s="6" t="s">
        <v>60</v>
      </c>
      <c r="B8" s="9">
        <v>0.64166666666666661</v>
      </c>
    </row>
    <row r="9" spans="1:2" x14ac:dyDescent="0.25">
      <c r="A9" s="8" t="s">
        <v>1506</v>
      </c>
      <c r="B9" s="9">
        <v>0.18611111111111112</v>
      </c>
    </row>
    <row r="10" spans="1:2" x14ac:dyDescent="0.25">
      <c r="A10" s="8" t="s">
        <v>1504</v>
      </c>
      <c r="B10" s="9">
        <v>8.1944444444444445E-2</v>
      </c>
    </row>
    <row r="11" spans="1:2" x14ac:dyDescent="0.25">
      <c r="A11" s="8" t="s">
        <v>1501</v>
      </c>
      <c r="B11" s="9">
        <v>0.37361111111111112</v>
      </c>
    </row>
    <row r="12" spans="1:2" x14ac:dyDescent="0.25">
      <c r="A12" s="6" t="s">
        <v>24</v>
      </c>
      <c r="B12" s="9">
        <v>1.0791666666666666</v>
      </c>
    </row>
    <row r="13" spans="1:2" x14ac:dyDescent="0.25">
      <c r="A13" s="8" t="s">
        <v>1506</v>
      </c>
      <c r="B13" s="9">
        <v>0.28541666666666665</v>
      </c>
    </row>
    <row r="14" spans="1:2" x14ac:dyDescent="0.25">
      <c r="A14" s="8" t="s">
        <v>1504</v>
      </c>
      <c r="B14" s="9">
        <v>0.32916666666666666</v>
      </c>
    </row>
    <row r="15" spans="1:2" x14ac:dyDescent="0.25">
      <c r="A15" s="8" t="s">
        <v>1501</v>
      </c>
      <c r="B15" s="9">
        <v>0.46458333333333335</v>
      </c>
    </row>
    <row r="16" spans="1:2" x14ac:dyDescent="0.25">
      <c r="A16" s="6" t="s">
        <v>18</v>
      </c>
      <c r="B16" s="9">
        <v>0.69861111111111118</v>
      </c>
    </row>
    <row r="17" spans="1:2" x14ac:dyDescent="0.25">
      <c r="A17" s="8" t="s">
        <v>1506</v>
      </c>
      <c r="B17" s="9">
        <v>0.15972222222222221</v>
      </c>
    </row>
    <row r="18" spans="1:2" x14ac:dyDescent="0.25">
      <c r="A18" s="8" t="s">
        <v>1504</v>
      </c>
      <c r="B18" s="9">
        <v>0.47847222222222224</v>
      </c>
    </row>
    <row r="19" spans="1:2" x14ac:dyDescent="0.25">
      <c r="A19" s="8" t="s">
        <v>1501</v>
      </c>
      <c r="B19" s="9">
        <v>6.0416666666666667E-2</v>
      </c>
    </row>
    <row r="20" spans="1:2" x14ac:dyDescent="0.25">
      <c r="A20" s="6" t="s">
        <v>127</v>
      </c>
      <c r="B20" s="9">
        <v>0.70208333333333328</v>
      </c>
    </row>
    <row r="21" spans="1:2" x14ac:dyDescent="0.25">
      <c r="A21" s="8" t="s">
        <v>1506</v>
      </c>
      <c r="B21" s="9">
        <v>4.6527777777777779E-2</v>
      </c>
    </row>
    <row r="22" spans="1:2" x14ac:dyDescent="0.25">
      <c r="A22" s="8" t="s">
        <v>1504</v>
      </c>
      <c r="B22" s="9">
        <v>0.16249999999999998</v>
      </c>
    </row>
    <row r="23" spans="1:2" x14ac:dyDescent="0.25">
      <c r="A23" s="8" t="s">
        <v>1501</v>
      </c>
      <c r="B23" s="9">
        <v>0.49305555555555552</v>
      </c>
    </row>
    <row r="24" spans="1:2" x14ac:dyDescent="0.25">
      <c r="A24" s="6" t="s">
        <v>10</v>
      </c>
      <c r="B24" s="9">
        <v>0.6298611111111112</v>
      </c>
    </row>
    <row r="25" spans="1:2" x14ac:dyDescent="0.25">
      <c r="A25" s="8" t="s">
        <v>1506</v>
      </c>
      <c r="B25" s="9">
        <v>0.19236111111111112</v>
      </c>
    </row>
    <row r="26" spans="1:2" x14ac:dyDescent="0.25">
      <c r="A26" s="8" t="s">
        <v>1504</v>
      </c>
      <c r="B26" s="9">
        <v>0.14166666666666666</v>
      </c>
    </row>
    <row r="27" spans="1:2" x14ac:dyDescent="0.25">
      <c r="A27" s="8" t="s">
        <v>1501</v>
      </c>
      <c r="B27" s="9">
        <v>0.29583333333333334</v>
      </c>
    </row>
    <row r="28" spans="1:2" x14ac:dyDescent="0.25">
      <c r="A28" s="6" t="s">
        <v>29</v>
      </c>
      <c r="B28" s="9">
        <v>0.59513888888888888</v>
      </c>
    </row>
    <row r="29" spans="1:2" x14ac:dyDescent="0.25">
      <c r="A29" s="8" t="s">
        <v>1506</v>
      </c>
      <c r="B29" s="9">
        <v>8.0555555555555547E-2</v>
      </c>
    </row>
    <row r="30" spans="1:2" x14ac:dyDescent="0.25">
      <c r="A30" s="8" t="s">
        <v>1504</v>
      </c>
      <c r="B30" s="9">
        <v>0.21388888888888888</v>
      </c>
    </row>
    <row r="31" spans="1:2" x14ac:dyDescent="0.25">
      <c r="A31" s="8" t="s">
        <v>1501</v>
      </c>
      <c r="B31" s="9">
        <v>0.30069444444444443</v>
      </c>
    </row>
    <row r="32" spans="1:2" x14ac:dyDescent="0.25">
      <c r="A32" s="6" t="s">
        <v>33</v>
      </c>
      <c r="B32" s="9">
        <v>0.4861111111111111</v>
      </c>
    </row>
    <row r="33" spans="1:2" x14ac:dyDescent="0.25">
      <c r="A33" s="8" t="s">
        <v>1506</v>
      </c>
      <c r="B33" s="9">
        <v>8.6805555555555566E-2</v>
      </c>
    </row>
    <row r="34" spans="1:2" x14ac:dyDescent="0.25">
      <c r="A34" s="8" t="s">
        <v>1504</v>
      </c>
      <c r="B34" s="9">
        <v>0.33888888888888885</v>
      </c>
    </row>
    <row r="35" spans="1:2" x14ac:dyDescent="0.25">
      <c r="A35" s="8" t="s">
        <v>1501</v>
      </c>
      <c r="B35" s="9">
        <v>6.0416666666666667E-2</v>
      </c>
    </row>
    <row r="36" spans="1:2" x14ac:dyDescent="0.25">
      <c r="A36" s="6" t="s">
        <v>57</v>
      </c>
      <c r="B36" s="9">
        <v>0.39513888888888893</v>
      </c>
    </row>
    <row r="37" spans="1:2" x14ac:dyDescent="0.25">
      <c r="A37" s="8" t="s">
        <v>1506</v>
      </c>
      <c r="B37" s="9">
        <v>0.10555555555555556</v>
      </c>
    </row>
    <row r="38" spans="1:2" x14ac:dyDescent="0.25">
      <c r="A38" s="8" t="s">
        <v>1504</v>
      </c>
      <c r="B38" s="9">
        <v>8.2638888888888887E-2</v>
      </c>
    </row>
    <row r="39" spans="1:2" x14ac:dyDescent="0.25">
      <c r="A39" s="8" t="s">
        <v>1501</v>
      </c>
      <c r="B39" s="9">
        <v>0.20694444444444446</v>
      </c>
    </row>
    <row r="40" spans="1:2" x14ac:dyDescent="0.25">
      <c r="A40" s="6" t="s">
        <v>64</v>
      </c>
      <c r="B40" s="9">
        <v>0.69861111111111107</v>
      </c>
    </row>
    <row r="41" spans="1:2" x14ac:dyDescent="0.25">
      <c r="A41" s="8" t="s">
        <v>1506</v>
      </c>
      <c r="B41" s="9">
        <v>0.26180555555555557</v>
      </c>
    </row>
    <row r="42" spans="1:2" x14ac:dyDescent="0.25">
      <c r="A42" s="8" t="s">
        <v>1504</v>
      </c>
      <c r="B42" s="9">
        <v>0.12083333333333332</v>
      </c>
    </row>
    <row r="43" spans="1:2" x14ac:dyDescent="0.25">
      <c r="A43" s="8" t="s">
        <v>1501</v>
      </c>
      <c r="B43" s="9">
        <v>0.31597222222222227</v>
      </c>
    </row>
    <row r="44" spans="1:2" x14ac:dyDescent="0.25">
      <c r="A44" s="6" t="s">
        <v>62</v>
      </c>
      <c r="B44" s="9">
        <v>1.2520833333333332</v>
      </c>
    </row>
    <row r="45" spans="1:2" x14ac:dyDescent="0.25">
      <c r="A45" s="8" t="s">
        <v>1506</v>
      </c>
      <c r="B45" s="9">
        <v>2.5000000000000001E-2</v>
      </c>
    </row>
    <row r="46" spans="1:2" x14ac:dyDescent="0.25">
      <c r="A46" s="8" t="s">
        <v>1504</v>
      </c>
      <c r="B46" s="9">
        <v>0.31736111111111109</v>
      </c>
    </row>
    <row r="47" spans="1:2" x14ac:dyDescent="0.25">
      <c r="A47" s="8" t="s">
        <v>1501</v>
      </c>
      <c r="B47" s="9">
        <v>0.90972222222222221</v>
      </c>
    </row>
    <row r="48" spans="1:2" x14ac:dyDescent="0.25">
      <c r="A48" s="6" t="s">
        <v>40</v>
      </c>
      <c r="B48" s="9">
        <v>0.43125000000000002</v>
      </c>
    </row>
    <row r="49" spans="1:2" x14ac:dyDescent="0.25">
      <c r="A49" s="8" t="s">
        <v>1504</v>
      </c>
      <c r="B49" s="9">
        <v>0.31458333333333338</v>
      </c>
    </row>
    <row r="50" spans="1:2" x14ac:dyDescent="0.25">
      <c r="A50" s="8" t="s">
        <v>1501</v>
      </c>
      <c r="B50" s="9">
        <v>0.11666666666666667</v>
      </c>
    </row>
    <row r="51" spans="1:2" x14ac:dyDescent="0.25">
      <c r="A51" s="6" t="s">
        <v>51</v>
      </c>
      <c r="B51" s="9">
        <v>0.60972222222222217</v>
      </c>
    </row>
    <row r="52" spans="1:2" x14ac:dyDescent="0.25">
      <c r="A52" s="8" t="s">
        <v>1506</v>
      </c>
      <c r="B52" s="9">
        <v>0.34305555555555556</v>
      </c>
    </row>
    <row r="53" spans="1:2" x14ac:dyDescent="0.25">
      <c r="A53" s="8" t="s">
        <v>1504</v>
      </c>
      <c r="B53" s="9">
        <v>0.19027777777777777</v>
      </c>
    </row>
    <row r="54" spans="1:2" x14ac:dyDescent="0.25">
      <c r="A54" s="8" t="s">
        <v>1501</v>
      </c>
      <c r="B54" s="9">
        <v>7.6388888888888881E-2</v>
      </c>
    </row>
    <row r="55" spans="1:2" x14ac:dyDescent="0.25">
      <c r="A55" s="6" t="s">
        <v>67</v>
      </c>
      <c r="B55" s="9">
        <v>0.75694444444444442</v>
      </c>
    </row>
    <row r="56" spans="1:2" x14ac:dyDescent="0.25">
      <c r="A56" s="8" t="s">
        <v>1506</v>
      </c>
      <c r="B56" s="9">
        <v>0.34027777777777773</v>
      </c>
    </row>
    <row r="57" spans="1:2" x14ac:dyDescent="0.25">
      <c r="A57" s="8" t="s">
        <v>1504</v>
      </c>
      <c r="B57" s="9">
        <v>0.23194444444444445</v>
      </c>
    </row>
    <row r="58" spans="1:2" x14ac:dyDescent="0.25">
      <c r="A58" s="8" t="s">
        <v>1501</v>
      </c>
      <c r="B58" s="9">
        <v>0.18472222222222223</v>
      </c>
    </row>
    <row r="59" spans="1:2" x14ac:dyDescent="0.25">
      <c r="A59" s="6" t="s">
        <v>137</v>
      </c>
      <c r="B59" s="9">
        <v>0.79444444444444451</v>
      </c>
    </row>
    <row r="60" spans="1:2" x14ac:dyDescent="0.25">
      <c r="A60" s="8" t="s">
        <v>1506</v>
      </c>
      <c r="B60" s="9">
        <v>0.24583333333333335</v>
      </c>
    </row>
    <row r="61" spans="1:2" x14ac:dyDescent="0.25">
      <c r="A61" s="8" t="s">
        <v>1504</v>
      </c>
      <c r="B61" s="9">
        <v>0.36527777777777776</v>
      </c>
    </row>
    <row r="62" spans="1:2" x14ac:dyDescent="0.25">
      <c r="A62" s="8" t="s">
        <v>1501</v>
      </c>
      <c r="B62" s="9">
        <v>0.18333333333333332</v>
      </c>
    </row>
    <row r="63" spans="1:2" x14ac:dyDescent="0.25">
      <c r="A63" s="6" t="s">
        <v>44</v>
      </c>
      <c r="B63" s="9">
        <v>0.25277777777777777</v>
      </c>
    </row>
    <row r="64" spans="1:2" x14ac:dyDescent="0.25">
      <c r="A64" s="8" t="s">
        <v>1506</v>
      </c>
      <c r="B64" s="9">
        <v>6.805555555555555E-2</v>
      </c>
    </row>
    <row r="65" spans="1:2" x14ac:dyDescent="0.25">
      <c r="A65" s="8" t="s">
        <v>1504</v>
      </c>
      <c r="B65" s="9">
        <v>0.12291666666666667</v>
      </c>
    </row>
    <row r="66" spans="1:2" x14ac:dyDescent="0.25">
      <c r="A66" s="8" t="s">
        <v>1501</v>
      </c>
      <c r="B66" s="9">
        <v>6.1805555555555558E-2</v>
      </c>
    </row>
    <row r="67" spans="1:2" x14ac:dyDescent="0.25">
      <c r="A67" s="6" t="s">
        <v>78</v>
      </c>
      <c r="B67" s="9">
        <v>0.68611111111111112</v>
      </c>
    </row>
    <row r="68" spans="1:2" x14ac:dyDescent="0.25">
      <c r="A68" s="8" t="s">
        <v>1504</v>
      </c>
      <c r="B68" s="9">
        <v>0.43958333333333338</v>
      </c>
    </row>
    <row r="69" spans="1:2" x14ac:dyDescent="0.25">
      <c r="A69" s="8" t="s">
        <v>1501</v>
      </c>
      <c r="B69" s="9">
        <v>0.24652777777777776</v>
      </c>
    </row>
    <row r="70" spans="1:2" x14ac:dyDescent="0.25">
      <c r="A70" s="6" t="s">
        <v>16</v>
      </c>
      <c r="B70" s="9">
        <v>0.74583333333333335</v>
      </c>
    </row>
    <row r="71" spans="1:2" x14ac:dyDescent="0.25">
      <c r="A71" s="8" t="s">
        <v>1506</v>
      </c>
      <c r="B71" s="9">
        <v>0.11805555555555555</v>
      </c>
    </row>
    <row r="72" spans="1:2" x14ac:dyDescent="0.25">
      <c r="A72" s="8" t="s">
        <v>1504</v>
      </c>
      <c r="B72" s="9">
        <v>0.21736111111111112</v>
      </c>
    </row>
    <row r="73" spans="1:2" x14ac:dyDescent="0.25">
      <c r="A73" s="8" t="s">
        <v>1501</v>
      </c>
      <c r="B73" s="9">
        <v>0.41041666666666671</v>
      </c>
    </row>
    <row r="74" spans="1:2" x14ac:dyDescent="0.25">
      <c r="A74" s="6" t="s">
        <v>131</v>
      </c>
      <c r="B74" s="9">
        <v>1.3374999999999999</v>
      </c>
    </row>
    <row r="75" spans="1:2" x14ac:dyDescent="0.25">
      <c r="A75" s="8" t="s">
        <v>1506</v>
      </c>
      <c r="B75" s="9">
        <v>0.47430555555555559</v>
      </c>
    </row>
    <row r="76" spans="1:2" x14ac:dyDescent="0.25">
      <c r="A76" s="8" t="s">
        <v>1504</v>
      </c>
      <c r="B76" s="9">
        <v>0.22708333333333333</v>
      </c>
    </row>
    <row r="77" spans="1:2" x14ac:dyDescent="0.25">
      <c r="A77" s="8" t="s">
        <v>1501</v>
      </c>
      <c r="B77" s="9">
        <v>0.63611111111111096</v>
      </c>
    </row>
    <row r="78" spans="1:2" x14ac:dyDescent="0.25">
      <c r="A78" s="6" t="s">
        <v>89</v>
      </c>
      <c r="B78" s="9">
        <v>1.0034722222222221</v>
      </c>
    </row>
    <row r="79" spans="1:2" x14ac:dyDescent="0.25">
      <c r="A79" s="8" t="s">
        <v>1506</v>
      </c>
      <c r="B79" s="9">
        <v>0.19097222222222224</v>
      </c>
    </row>
    <row r="80" spans="1:2" x14ac:dyDescent="0.25">
      <c r="A80" s="8" t="s">
        <v>1504</v>
      </c>
      <c r="B80" s="9">
        <v>0.53611111111111109</v>
      </c>
    </row>
    <row r="81" spans="1:2" x14ac:dyDescent="0.25">
      <c r="A81" s="8" t="s">
        <v>1501</v>
      </c>
      <c r="B81" s="9">
        <v>0.27638888888888885</v>
      </c>
    </row>
    <row r="82" spans="1:2" x14ac:dyDescent="0.25">
      <c r="A82" s="6" t="s">
        <v>35</v>
      </c>
      <c r="B82" s="9">
        <v>0.18194444444444446</v>
      </c>
    </row>
    <row r="83" spans="1:2" x14ac:dyDescent="0.25">
      <c r="A83" s="8" t="s">
        <v>1506</v>
      </c>
      <c r="B83" s="9">
        <v>2.361111111111111E-2</v>
      </c>
    </row>
    <row r="84" spans="1:2" x14ac:dyDescent="0.25">
      <c r="A84" s="8" t="s">
        <v>1504</v>
      </c>
      <c r="B84" s="9">
        <v>0.05</v>
      </c>
    </row>
    <row r="85" spans="1:2" x14ac:dyDescent="0.25">
      <c r="A85" s="8" t="s">
        <v>1501</v>
      </c>
      <c r="B85" s="9">
        <v>0.10833333333333334</v>
      </c>
    </row>
    <row r="86" spans="1:2" x14ac:dyDescent="0.25">
      <c r="A86" s="6" t="s">
        <v>21</v>
      </c>
      <c r="B86" s="9">
        <v>0.91527777777777786</v>
      </c>
    </row>
    <row r="87" spans="1:2" x14ac:dyDescent="0.25">
      <c r="A87" s="8" t="s">
        <v>1506</v>
      </c>
      <c r="B87" s="9">
        <v>0.53194444444444444</v>
      </c>
    </row>
    <row r="88" spans="1:2" x14ac:dyDescent="0.25">
      <c r="A88" s="8" t="s">
        <v>1504</v>
      </c>
      <c r="B88" s="9">
        <v>8.3333333333333343E-2</v>
      </c>
    </row>
    <row r="89" spans="1:2" x14ac:dyDescent="0.25">
      <c r="A89" s="8" t="s">
        <v>1501</v>
      </c>
      <c r="B89" s="9">
        <v>0.3</v>
      </c>
    </row>
    <row r="90" spans="1:2" x14ac:dyDescent="0.25">
      <c r="A90" s="6" t="s">
        <v>31</v>
      </c>
      <c r="B90" s="9">
        <v>0.93680555555555567</v>
      </c>
    </row>
    <row r="91" spans="1:2" x14ac:dyDescent="0.25">
      <c r="A91" s="8" t="s">
        <v>1506</v>
      </c>
      <c r="B91" s="9">
        <v>0.2638888888888889</v>
      </c>
    </row>
    <row r="92" spans="1:2" x14ac:dyDescent="0.25">
      <c r="A92" s="8" t="s">
        <v>1504</v>
      </c>
      <c r="B92" s="9">
        <v>0.24791666666666667</v>
      </c>
    </row>
    <row r="93" spans="1:2" x14ac:dyDescent="0.25">
      <c r="A93" s="8" t="s">
        <v>1501</v>
      </c>
      <c r="B93" s="9">
        <v>0.42499999999999999</v>
      </c>
    </row>
    <row r="94" spans="1:2" x14ac:dyDescent="0.25">
      <c r="A94" s="6" t="s">
        <v>37</v>
      </c>
      <c r="B94" s="9">
        <v>1.1152777777777778</v>
      </c>
    </row>
    <row r="95" spans="1:2" x14ac:dyDescent="0.25">
      <c r="A95" s="8" t="s">
        <v>1506</v>
      </c>
      <c r="B95" s="9">
        <v>0.23680555555555555</v>
      </c>
    </row>
    <row r="96" spans="1:2" x14ac:dyDescent="0.25">
      <c r="A96" s="8" t="s">
        <v>1504</v>
      </c>
      <c r="B96" s="9">
        <v>0.42222222222222228</v>
      </c>
    </row>
    <row r="97" spans="1:2" x14ac:dyDescent="0.25">
      <c r="A97" s="8" t="s">
        <v>1501</v>
      </c>
      <c r="B97" s="9">
        <v>0.45625000000000004</v>
      </c>
    </row>
    <row r="98" spans="1:2" x14ac:dyDescent="0.25">
      <c r="A98" s="6" t="s">
        <v>73</v>
      </c>
      <c r="B98" s="9">
        <v>0.86388888888888882</v>
      </c>
    </row>
    <row r="99" spans="1:2" x14ac:dyDescent="0.25">
      <c r="A99" s="8" t="s">
        <v>1506</v>
      </c>
      <c r="B99" s="9">
        <v>0.37152777777777773</v>
      </c>
    </row>
    <row r="100" spans="1:2" x14ac:dyDescent="0.25">
      <c r="A100" s="8" t="s">
        <v>1504</v>
      </c>
      <c r="B100" s="9">
        <v>0.11874999999999999</v>
      </c>
    </row>
    <row r="101" spans="1:2" x14ac:dyDescent="0.25">
      <c r="A101" s="8" t="s">
        <v>1501</v>
      </c>
      <c r="B101" s="9">
        <v>0.37361111111111112</v>
      </c>
    </row>
    <row r="102" spans="1:2" x14ac:dyDescent="0.25">
      <c r="A102" s="6" t="s">
        <v>13</v>
      </c>
      <c r="B102" s="9">
        <v>0.2986111111111111</v>
      </c>
    </row>
    <row r="103" spans="1:2" x14ac:dyDescent="0.25">
      <c r="A103" s="8" t="s">
        <v>1506</v>
      </c>
      <c r="B103" s="9">
        <v>0.10208333333333333</v>
      </c>
    </row>
    <row r="104" spans="1:2" x14ac:dyDescent="0.25">
      <c r="A104" s="8" t="s">
        <v>1504</v>
      </c>
      <c r="B104" s="9">
        <v>5.2083333333333329E-2</v>
      </c>
    </row>
    <row r="105" spans="1:2" x14ac:dyDescent="0.25">
      <c r="A105" s="8" t="s">
        <v>1501</v>
      </c>
      <c r="B105" s="9">
        <v>0.14444444444444443</v>
      </c>
    </row>
    <row r="106" spans="1:2" x14ac:dyDescent="0.25">
      <c r="A106" s="6" t="s">
        <v>1671</v>
      </c>
      <c r="B106" s="9">
        <v>19.040277777777778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6F98-807A-421B-B40A-CCF4C15D46DC}">
  <sheetPr>
    <tabColor rgb="FFFF0000"/>
  </sheetPr>
  <dimension ref="A1:W1078"/>
  <sheetViews>
    <sheetView tabSelected="1" zoomScale="80" zoomScaleNormal="80" workbookViewId="0">
      <selection activeCell="D36" sqref="D36"/>
    </sheetView>
  </sheetViews>
  <sheetFormatPr baseColWidth="10" defaultRowHeight="15" x14ac:dyDescent="0.25"/>
  <cols>
    <col min="1" max="1" width="23.85546875" bestFit="1" customWidth="1"/>
    <col min="2" max="2" width="14.85546875" bestFit="1" customWidth="1"/>
    <col min="3" max="4" width="22" bestFit="1" customWidth="1"/>
    <col min="5" max="5" width="15.85546875" bestFit="1" customWidth="1"/>
    <col min="6" max="6" width="10.5703125" bestFit="1" customWidth="1"/>
    <col min="7" max="7" width="15.85546875" bestFit="1" customWidth="1"/>
    <col min="8" max="8" width="20" bestFit="1" customWidth="1"/>
    <col min="9" max="12" width="22" bestFit="1" customWidth="1"/>
    <col min="13" max="13" width="19.85546875" bestFit="1" customWidth="1"/>
    <col min="14" max="14" width="22" bestFit="1" customWidth="1"/>
    <col min="15" max="15" width="22.140625" style="4" bestFit="1" customWidth="1"/>
    <col min="16" max="16" width="22" bestFit="1" customWidth="1"/>
    <col min="17" max="17" width="15.28515625" bestFit="1" customWidth="1"/>
    <col min="18" max="18" width="29.28515625" bestFit="1" customWidth="1"/>
    <col min="19" max="19" width="31.5703125" style="3" bestFit="1" customWidth="1"/>
    <col min="20" max="20" width="22" bestFit="1" customWidth="1"/>
    <col min="21" max="21" width="25.140625" bestFit="1" customWidth="1"/>
    <col min="22" max="22" width="14.28515625" bestFit="1" customWidth="1"/>
    <col min="23" max="23" width="18.42578125" bestFit="1" customWidth="1"/>
  </cols>
  <sheetData>
    <row r="1" spans="1:23" x14ac:dyDescent="0.25">
      <c r="A1" t="s">
        <v>0</v>
      </c>
      <c r="B1" t="s">
        <v>1657</v>
      </c>
      <c r="C1" t="s">
        <v>1</v>
      </c>
      <c r="D1" t="s">
        <v>1495</v>
      </c>
      <c r="E1" t="s">
        <v>1658</v>
      </c>
      <c r="F1" t="s">
        <v>801</v>
      </c>
      <c r="G1" t="s">
        <v>1659</v>
      </c>
      <c r="H1" t="s">
        <v>802</v>
      </c>
      <c r="I1" t="s">
        <v>1660</v>
      </c>
      <c r="J1" t="s">
        <v>1661</v>
      </c>
      <c r="K1" t="s">
        <v>1662</v>
      </c>
      <c r="L1" t="s">
        <v>1663</v>
      </c>
      <c r="M1" t="s">
        <v>803</v>
      </c>
      <c r="N1" t="s">
        <v>3</v>
      </c>
      <c r="O1" s="4" t="s">
        <v>1664</v>
      </c>
      <c r="P1" t="s">
        <v>4</v>
      </c>
      <c r="Q1" t="s">
        <v>1665</v>
      </c>
      <c r="R1" t="s">
        <v>5</v>
      </c>
      <c r="S1" s="3" t="s">
        <v>1673</v>
      </c>
      <c r="T1" t="s">
        <v>6</v>
      </c>
      <c r="U1" t="s">
        <v>7</v>
      </c>
      <c r="V1" t="s">
        <v>1667</v>
      </c>
      <c r="W1" t="s">
        <v>1666</v>
      </c>
    </row>
    <row r="2" spans="1:23" x14ac:dyDescent="0.25">
      <c r="A2" s="1" t="s">
        <v>804</v>
      </c>
      <c r="B2" s="2">
        <v>45203</v>
      </c>
      <c r="C2" s="1" t="str">
        <f>_xlfn.XLOOKUP(Logs[[#This Row],[Province_RDC]],Clients_Log!D:D,Clients_Log!B:B,"Pas de correspondance")</f>
        <v>CLI-01618</v>
      </c>
      <c r="D2" t="str">
        <f>_xlfn.XLOOKUP(Logs[[#This Row],[Cell_ID]],'Registre_Maintenance'!B:B,'Registre_Maintenance'!C:C,"Pas de correspondance")</f>
        <v>Tanganyika</v>
      </c>
      <c r="E2" s="3">
        <v>3.2638888888888891E-2</v>
      </c>
      <c r="F2" s="1" t="s">
        <v>805</v>
      </c>
      <c r="G2" s="3">
        <f>Logs[[#This Row],[Duree_Panne_Min]]/1440</f>
        <v>5.0694444444444445E-2</v>
      </c>
      <c r="H2">
        <v>73</v>
      </c>
      <c r="I2">
        <f>_xlfn.XLOOKUP(Logs[[#This Row],[Cell_ID]],'Registre_Maintenance'!B:B,'Registre_Maintenance'!D:D,"Pas de correspondance")</f>
        <v>-11.144149000000001</v>
      </c>
      <c r="J2">
        <f>_xlfn.XLOOKUP(Logs[[#This Row],[Cell_ID]],'Registre_Maintenance'!B:B,'Registre_Maintenance'!E:E,"Pas de correspondance")</f>
        <v>27.244658999999999</v>
      </c>
      <c r="K2" t="str">
        <f>_xlfn.XLOOKUP(Logs[[#This Row],[Cell_ID]],'Registre_Maintenance'!B:B,'Registre_Maintenance'!F:F,"Pas de correspondance")</f>
        <v>4G</v>
      </c>
      <c r="L2" t="str">
        <f>_xlfn.XLOOKUP(Logs[[#This Row],[Cell_ID]],'Registre_Maintenance'!B:B,'Registre_Maintenance'!G:G,"Pas de correspondance")</f>
        <v>Nokia</v>
      </c>
      <c r="M2" s="1" t="s">
        <v>806</v>
      </c>
      <c r="N2" s="1">
        <f>_xlfn.XLOOKUP(Logs[[#This Row],[ID_Client]],Clients_Log!B:B,Clients_Log!E:E,"Pas de correspondance")</f>
        <v>115</v>
      </c>
      <c r="O2" s="4">
        <f>IFERROR(Logs[[#This Row],[Anciennete_Mois]]/12,"")</f>
        <v>9.5833333333333339</v>
      </c>
      <c r="P2" s="1" t="str">
        <f>_xlfn.XLOOKUP(Logs[[#This Row],[ID_Client]],Clients_Log!B:B,Clients_Log!F:F,"Pas de correspondance")</f>
        <v>Bloqué 5Go</v>
      </c>
      <c r="Q2" s="1" t="str">
        <f>IF(Logs[[#This Row],[Type_Forfait]]="Pro Monde","B2B","B2C")</f>
        <v>B2C</v>
      </c>
      <c r="R2" s="1">
        <f>_xlfn.XLOOKUP(Logs[[#This Row],[ID_Client]],Clients_Log!B:B,Clients_Log!G:G,"Pas de correspondance")</f>
        <v>176</v>
      </c>
      <c r="S2" s="3">
        <f>Logs[[#This Row],[Duree_Cumulee_Panne_Min]]/1440</f>
        <v>0.12222222222222222</v>
      </c>
      <c r="T2" s="1">
        <f>_xlfn.XLOOKUP(Logs[[#This Row],[ID_Client]],Clients_Log!B:B,Clients_Log!H:H,"Pas de correspondance")</f>
        <v>33.28</v>
      </c>
      <c r="U2" s="1">
        <f>_xlfn.XLOOKUP(Logs[[#This Row],[ID_Client]],Clients_Log!B:B,Clients_Log!I:I,"Pas de correspondance")</f>
        <v>4</v>
      </c>
      <c r="V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2" s="1">
        <f>Logs[[#This Row],[Facture_Mensuelle]]*Logs[[#This Row],[Remise (%)]]</f>
        <v>0</v>
      </c>
    </row>
    <row r="3" spans="1:23" hidden="1" x14ac:dyDescent="0.25">
      <c r="A3" s="1" t="s">
        <v>804</v>
      </c>
      <c r="B3" s="2">
        <v>45208</v>
      </c>
      <c r="C3" s="1" t="str">
        <f>_xlfn.XLOOKUP(Logs[[#This Row],[Province_RDC]],Clients_Log!D:D,Clients_Log!B:B,"Pas de correspondance")</f>
        <v>Pas de correspondance</v>
      </c>
      <c r="D3" t="str">
        <f>_xlfn.XLOOKUP(Logs[[#This Row],[Cell_ID]],'Registre_Maintenance'!B:B,'Registre_Maintenance'!C:C,"Pas de correspondance")</f>
        <v>Pas de correspondance</v>
      </c>
      <c r="E3" s="3">
        <v>0.30138888888888887</v>
      </c>
      <c r="F3" s="1" t="s">
        <v>807</v>
      </c>
      <c r="G3" s="3">
        <f>Logs[[#This Row],[Duree_Panne_Min]]/1440</f>
        <v>2.6388888888888889E-2</v>
      </c>
      <c r="H3">
        <v>38</v>
      </c>
      <c r="I3" t="str">
        <f>_xlfn.XLOOKUP(Logs[[#This Row],[Cell_ID]],'Registre_Maintenance'!B:B,'Registre_Maintenance'!D:D,"Pas de correspondance")</f>
        <v>Pas de correspondance</v>
      </c>
      <c r="J3" t="str">
        <f>_xlfn.XLOOKUP(Logs[[#This Row],[Cell_ID]],'Registre_Maintenance'!B:B,'Registre_Maintenance'!E:E,"Pas de correspondance")</f>
        <v>Pas de correspondance</v>
      </c>
      <c r="K3" t="str">
        <f>_xlfn.XLOOKUP(Logs[[#This Row],[Cell_ID]],'Registre_Maintenance'!B:B,'Registre_Maintenance'!F:F,"Pas de correspondance")</f>
        <v>Pas de correspondance</v>
      </c>
      <c r="L3" t="str">
        <f>_xlfn.XLOOKUP(Logs[[#This Row],[Cell_ID]],'Registre_Maintenance'!B:B,'Registre_Maintenance'!G:G,"Pas de correspondance")</f>
        <v>Pas de correspondance</v>
      </c>
      <c r="M3" s="1" t="s">
        <v>806</v>
      </c>
      <c r="N3" s="1" t="str">
        <f>_xlfn.XLOOKUP(Logs[[#This Row],[ID_Client]],Clients_Log!B:B,Clients_Log!E:E,"Pas de correspondance")</f>
        <v>Pas de correspondance</v>
      </c>
      <c r="O3" s="4" t="str">
        <f>IFERROR(Logs[[#This Row],[Anciennete_Mois]]/12,"")</f>
        <v/>
      </c>
      <c r="P3" s="1" t="str">
        <f>_xlfn.XLOOKUP(Logs[[#This Row],[ID_Client]],Clients_Log!B:B,Clients_Log!F:F,"Pas de correspondance")</f>
        <v>Pas de correspondance</v>
      </c>
      <c r="Q3" s="1" t="str">
        <f>IF(Logs[[#This Row],[Type_Forfait]]="Pro Monde","B2B","B2C")</f>
        <v>B2C</v>
      </c>
      <c r="R3" s="1" t="str">
        <f>_xlfn.XLOOKUP(Logs[[#This Row],[ID_Client]],Clients_Log!B:B,Clients_Log!G:G,"Pas de correspondance")</f>
        <v>Pas de correspondance</v>
      </c>
      <c r="S3" s="1" t="e">
        <f>Logs[[#This Row],[Duree_Cumulee_Panne_Min]]/1440</f>
        <v>#VALUE!</v>
      </c>
      <c r="T3" s="1" t="str">
        <f>_xlfn.XLOOKUP(Logs[[#This Row],[ID_Client]],Clients_Log!B:B,Clients_Log!H:H,"Pas de correspondance")</f>
        <v>Pas de correspondance</v>
      </c>
      <c r="U3" s="1" t="str">
        <f>_xlfn.XLOOKUP(Logs[[#This Row],[ID_Client]],Clients_Log!B:B,Clients_Log!I:I,"Pas de correspondance")</f>
        <v>Pas de correspondance</v>
      </c>
      <c r="V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" s="1" t="e">
        <f>Logs[[#This Row],[Facture_Mensuelle]]*Logs[[#This Row],[Remise (%)]]</f>
        <v>#VALUE!</v>
      </c>
    </row>
    <row r="4" spans="1:23" hidden="1" x14ac:dyDescent="0.25">
      <c r="A4" s="1" t="s">
        <v>804</v>
      </c>
      <c r="B4" s="2">
        <v>45204</v>
      </c>
      <c r="C4" s="1" t="str">
        <f>_xlfn.XLOOKUP(Logs[[#This Row],[Province_RDC]],Clients_Log!D:D,Clients_Log!B:B,"Pas de correspondance")</f>
        <v>Pas de correspondance</v>
      </c>
      <c r="D4" t="str">
        <f>_xlfn.XLOOKUP(Logs[[#This Row],[Cell_ID]],'Registre_Maintenance'!B:B,'Registre_Maintenance'!C:C,"Pas de correspondance")</f>
        <v>Pas de correspondance</v>
      </c>
      <c r="E4" s="3">
        <v>0.96250000000000002</v>
      </c>
      <c r="F4" s="1" t="s">
        <v>808</v>
      </c>
      <c r="G4" s="3">
        <f>Logs[[#This Row],[Duree_Panne_Min]]/1440</f>
        <v>6.9444444444444448E-2</v>
      </c>
      <c r="H4">
        <v>100</v>
      </c>
      <c r="I4" t="str">
        <f>_xlfn.XLOOKUP(Logs[[#This Row],[Cell_ID]],'Registre_Maintenance'!B:B,'Registre_Maintenance'!D:D,"Pas de correspondance")</f>
        <v>Pas de correspondance</v>
      </c>
      <c r="J4" t="str">
        <f>_xlfn.XLOOKUP(Logs[[#This Row],[Cell_ID]],'Registre_Maintenance'!B:B,'Registre_Maintenance'!E:E,"Pas de correspondance")</f>
        <v>Pas de correspondance</v>
      </c>
      <c r="K4" t="str">
        <f>_xlfn.XLOOKUP(Logs[[#This Row],[Cell_ID]],'Registre_Maintenance'!B:B,'Registre_Maintenance'!F:F,"Pas de correspondance")</f>
        <v>Pas de correspondance</v>
      </c>
      <c r="L4" t="str">
        <f>_xlfn.XLOOKUP(Logs[[#This Row],[Cell_ID]],'Registre_Maintenance'!B:B,'Registre_Maintenance'!G:G,"Pas de correspondance")</f>
        <v>Pas de correspondance</v>
      </c>
      <c r="M4" s="1" t="s">
        <v>809</v>
      </c>
      <c r="N4" s="1" t="str">
        <f>_xlfn.XLOOKUP(Logs[[#This Row],[ID_Client]],Clients_Log!B:B,Clients_Log!E:E,"Pas de correspondance")</f>
        <v>Pas de correspondance</v>
      </c>
      <c r="O4" s="4" t="str">
        <f>IFERROR(Logs[[#This Row],[Anciennete_Mois]]/12,"")</f>
        <v/>
      </c>
      <c r="P4" s="1" t="str">
        <f>_xlfn.XLOOKUP(Logs[[#This Row],[ID_Client]],Clients_Log!B:B,Clients_Log!F:F,"Pas de correspondance")</f>
        <v>Pas de correspondance</v>
      </c>
      <c r="Q4" s="1" t="str">
        <f>IF(Logs[[#This Row],[Type_Forfait]]="Pro Monde","B2B","B2C")</f>
        <v>B2C</v>
      </c>
      <c r="R4" s="1" t="str">
        <f>_xlfn.XLOOKUP(Logs[[#This Row],[ID_Client]],Clients_Log!B:B,Clients_Log!G:G,"Pas de correspondance")</f>
        <v>Pas de correspondance</v>
      </c>
      <c r="S4" s="1" t="e">
        <f>Logs[[#This Row],[Duree_Cumulee_Panne_Min]]/1440</f>
        <v>#VALUE!</v>
      </c>
      <c r="T4" s="1" t="str">
        <f>_xlfn.XLOOKUP(Logs[[#This Row],[ID_Client]],Clients_Log!B:B,Clients_Log!H:H,"Pas de correspondance")</f>
        <v>Pas de correspondance</v>
      </c>
      <c r="U4" s="1" t="str">
        <f>_xlfn.XLOOKUP(Logs[[#This Row],[ID_Client]],Clients_Log!B:B,Clients_Log!I:I,"Pas de correspondance")</f>
        <v>Pas de correspondance</v>
      </c>
      <c r="V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" s="1" t="e">
        <f>Logs[[#This Row],[Facture_Mensuelle]]*Logs[[#This Row],[Remise (%)]]</f>
        <v>#VALUE!</v>
      </c>
    </row>
    <row r="5" spans="1:23" hidden="1" x14ac:dyDescent="0.25">
      <c r="A5" s="1" t="s">
        <v>804</v>
      </c>
      <c r="B5" s="2">
        <v>45221</v>
      </c>
      <c r="C5" s="1" t="str">
        <f>_xlfn.XLOOKUP(Logs[[#This Row],[Province_RDC]],Clients_Log!D:D,Clients_Log!B:B,"Pas de correspondance")</f>
        <v>Pas de correspondance</v>
      </c>
      <c r="D5" t="str">
        <f>_xlfn.XLOOKUP(Logs[[#This Row],[Cell_ID]],'Registre_Maintenance'!B:B,'Registre_Maintenance'!C:C,"Pas de correspondance")</f>
        <v>Pas de correspondance</v>
      </c>
      <c r="E5" s="3">
        <v>0.99791666666666667</v>
      </c>
      <c r="F5" s="1" t="s">
        <v>810</v>
      </c>
      <c r="G5" s="3">
        <f>Logs[[#This Row],[Duree_Panne_Min]]/1440</f>
        <v>5.486111111111111E-2</v>
      </c>
      <c r="H5">
        <v>79</v>
      </c>
      <c r="I5" t="str">
        <f>_xlfn.XLOOKUP(Logs[[#This Row],[Cell_ID]],'Registre_Maintenance'!B:B,'Registre_Maintenance'!D:D,"Pas de correspondance")</f>
        <v>Pas de correspondance</v>
      </c>
      <c r="J5" t="str">
        <f>_xlfn.XLOOKUP(Logs[[#This Row],[Cell_ID]],'Registre_Maintenance'!B:B,'Registre_Maintenance'!E:E,"Pas de correspondance")</f>
        <v>Pas de correspondance</v>
      </c>
      <c r="K5" t="str">
        <f>_xlfn.XLOOKUP(Logs[[#This Row],[Cell_ID]],'Registre_Maintenance'!B:B,'Registre_Maintenance'!F:F,"Pas de correspondance")</f>
        <v>Pas de correspondance</v>
      </c>
      <c r="L5" t="str">
        <f>_xlfn.XLOOKUP(Logs[[#This Row],[Cell_ID]],'Registre_Maintenance'!B:B,'Registre_Maintenance'!G:G,"Pas de correspondance")</f>
        <v>Pas de correspondance</v>
      </c>
      <c r="M5" s="1" t="s">
        <v>811</v>
      </c>
      <c r="N5" s="1" t="str">
        <f>_xlfn.XLOOKUP(Logs[[#This Row],[ID_Client]],Clients_Log!B:B,Clients_Log!E:E,"Pas de correspondance")</f>
        <v>Pas de correspondance</v>
      </c>
      <c r="O5" s="4" t="str">
        <f>IFERROR(Logs[[#This Row],[Anciennete_Mois]]/12,"")</f>
        <v/>
      </c>
      <c r="P5" s="1" t="str">
        <f>_xlfn.XLOOKUP(Logs[[#This Row],[ID_Client]],Clients_Log!B:B,Clients_Log!F:F,"Pas de correspondance")</f>
        <v>Pas de correspondance</v>
      </c>
      <c r="Q5" s="1" t="str">
        <f>IF(Logs[[#This Row],[Type_Forfait]]="Pro Monde","B2B","B2C")</f>
        <v>B2C</v>
      </c>
      <c r="R5" s="1" t="str">
        <f>_xlfn.XLOOKUP(Logs[[#This Row],[ID_Client]],Clients_Log!B:B,Clients_Log!G:G,"Pas de correspondance")</f>
        <v>Pas de correspondance</v>
      </c>
      <c r="S5" s="1" t="e">
        <f>Logs[[#This Row],[Duree_Cumulee_Panne_Min]]/1440</f>
        <v>#VALUE!</v>
      </c>
      <c r="T5" s="1" t="str">
        <f>_xlfn.XLOOKUP(Logs[[#This Row],[ID_Client]],Clients_Log!B:B,Clients_Log!H:H,"Pas de correspondance")</f>
        <v>Pas de correspondance</v>
      </c>
      <c r="U5" s="1" t="str">
        <f>_xlfn.XLOOKUP(Logs[[#This Row],[ID_Client]],Clients_Log!B:B,Clients_Log!I:I,"Pas de correspondance")</f>
        <v>Pas de correspondance</v>
      </c>
      <c r="V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" s="1" t="e">
        <f>Logs[[#This Row],[Facture_Mensuelle]]*Logs[[#This Row],[Remise (%)]]</f>
        <v>#VALUE!</v>
      </c>
    </row>
    <row r="6" spans="1:23" hidden="1" x14ac:dyDescent="0.25">
      <c r="A6" s="1" t="s">
        <v>804</v>
      </c>
      <c r="B6" s="2">
        <v>45217</v>
      </c>
      <c r="C6" s="1" t="str">
        <f>_xlfn.XLOOKUP(Logs[[#This Row],[Province_RDC]],Clients_Log!D:D,Clients_Log!B:B,"Pas de correspondance")</f>
        <v>Pas de correspondance</v>
      </c>
      <c r="D6" t="str">
        <f>_xlfn.XLOOKUP(Logs[[#This Row],[Cell_ID]],'Registre_Maintenance'!B:B,'Registre_Maintenance'!C:C,"Pas de correspondance")</f>
        <v>Pas de correspondance</v>
      </c>
      <c r="E6" s="3">
        <v>0.10902777777777778</v>
      </c>
      <c r="F6" s="1" t="s">
        <v>812</v>
      </c>
      <c r="G6" s="3">
        <f>Logs[[#This Row],[Duree_Panne_Min]]/1440</f>
        <v>4.0972222222222222E-2</v>
      </c>
      <c r="H6">
        <v>59</v>
      </c>
      <c r="I6" t="str">
        <f>_xlfn.XLOOKUP(Logs[[#This Row],[Cell_ID]],'Registre_Maintenance'!B:B,'Registre_Maintenance'!D:D,"Pas de correspondance")</f>
        <v>Pas de correspondance</v>
      </c>
      <c r="J6" t="str">
        <f>_xlfn.XLOOKUP(Logs[[#This Row],[Cell_ID]],'Registre_Maintenance'!B:B,'Registre_Maintenance'!E:E,"Pas de correspondance")</f>
        <v>Pas de correspondance</v>
      </c>
      <c r="K6" t="str">
        <f>_xlfn.XLOOKUP(Logs[[#This Row],[Cell_ID]],'Registre_Maintenance'!B:B,'Registre_Maintenance'!F:F,"Pas de correspondance")</f>
        <v>Pas de correspondance</v>
      </c>
      <c r="L6" t="str">
        <f>_xlfn.XLOOKUP(Logs[[#This Row],[Cell_ID]],'Registre_Maintenance'!B:B,'Registre_Maintenance'!G:G,"Pas de correspondance")</f>
        <v>Pas de correspondance</v>
      </c>
      <c r="M6" s="1" t="s">
        <v>806</v>
      </c>
      <c r="N6" s="1" t="str">
        <f>_xlfn.XLOOKUP(Logs[[#This Row],[ID_Client]],Clients_Log!B:B,Clients_Log!E:E,"Pas de correspondance")</f>
        <v>Pas de correspondance</v>
      </c>
      <c r="O6" s="4" t="str">
        <f>IFERROR(Logs[[#This Row],[Anciennete_Mois]]/12,"")</f>
        <v/>
      </c>
      <c r="P6" s="1" t="str">
        <f>_xlfn.XLOOKUP(Logs[[#This Row],[ID_Client]],Clients_Log!B:B,Clients_Log!F:F,"Pas de correspondance")</f>
        <v>Pas de correspondance</v>
      </c>
      <c r="Q6" s="1" t="str">
        <f>IF(Logs[[#This Row],[Type_Forfait]]="Pro Monde","B2B","B2C")</f>
        <v>B2C</v>
      </c>
      <c r="R6" s="1" t="str">
        <f>_xlfn.XLOOKUP(Logs[[#This Row],[ID_Client]],Clients_Log!B:B,Clients_Log!G:G,"Pas de correspondance")</f>
        <v>Pas de correspondance</v>
      </c>
      <c r="S6" s="1" t="e">
        <f>Logs[[#This Row],[Duree_Cumulee_Panne_Min]]/1440</f>
        <v>#VALUE!</v>
      </c>
      <c r="T6" s="1" t="str">
        <f>_xlfn.XLOOKUP(Logs[[#This Row],[ID_Client]],Clients_Log!B:B,Clients_Log!H:H,"Pas de correspondance")</f>
        <v>Pas de correspondance</v>
      </c>
      <c r="U6" s="1" t="str">
        <f>_xlfn.XLOOKUP(Logs[[#This Row],[ID_Client]],Clients_Log!B:B,Clients_Log!I:I,"Pas de correspondance")</f>
        <v>Pas de correspondance</v>
      </c>
      <c r="V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" s="1" t="e">
        <f>Logs[[#This Row],[Facture_Mensuelle]]*Logs[[#This Row],[Remise (%)]]</f>
        <v>#VALUE!</v>
      </c>
    </row>
    <row r="7" spans="1:23" x14ac:dyDescent="0.25">
      <c r="A7" s="1" t="s">
        <v>804</v>
      </c>
      <c r="B7" s="2">
        <v>45213</v>
      </c>
      <c r="C7" s="1" t="str">
        <f>_xlfn.XLOOKUP(Logs[[#This Row],[Province_RDC]],Clients_Log!D:D,Clients_Log!B:B,"Pas de correspondance")</f>
        <v>CLI-01233</v>
      </c>
      <c r="D7" t="str">
        <f>_xlfn.XLOOKUP(Logs[[#This Row],[Cell_ID]],'Registre_Maintenance'!B:B,'Registre_Maintenance'!C:C,"Pas de correspondance")</f>
        <v>Kongo-Central</v>
      </c>
      <c r="E7" s="3">
        <v>4.2361111111111113E-2</v>
      </c>
      <c r="F7" s="1" t="s">
        <v>813</v>
      </c>
      <c r="G7" s="3">
        <f>Logs[[#This Row],[Duree_Panne_Min]]/1440</f>
        <v>8.2638888888888887E-2</v>
      </c>
      <c r="H7">
        <v>119</v>
      </c>
      <c r="I7">
        <f>_xlfn.XLOOKUP(Logs[[#This Row],[Cell_ID]],'Registre_Maintenance'!B:B,'Registre_Maintenance'!D:D,"Pas de correspondance")</f>
        <v>-2.8211520000000001</v>
      </c>
      <c r="J7">
        <f>_xlfn.XLOOKUP(Logs[[#This Row],[Cell_ID]],'Registre_Maintenance'!B:B,'Registre_Maintenance'!E:E,"Pas de correspondance")</f>
        <v>20.651419000000001</v>
      </c>
      <c r="K7" t="str">
        <f>_xlfn.XLOOKUP(Logs[[#This Row],[Cell_ID]],'Registre_Maintenance'!B:B,'Registre_Maintenance'!F:F,"Pas de correspondance")</f>
        <v>5G</v>
      </c>
      <c r="L7" t="str">
        <f>_xlfn.XLOOKUP(Logs[[#This Row],[Cell_ID]],'Registre_Maintenance'!B:B,'Registre_Maintenance'!G:G,"Pas de correspondance")</f>
        <v>Ericsson</v>
      </c>
      <c r="M7" s="1" t="s">
        <v>809</v>
      </c>
      <c r="N7" s="1">
        <f>_xlfn.XLOOKUP(Logs[[#This Row],[ID_Client]],Clients_Log!B:B,Clients_Log!E:E,"Pas de correspondance")</f>
        <v>101</v>
      </c>
      <c r="O7" s="4">
        <f>IFERROR(Logs[[#This Row],[Anciennete_Mois]]/12,"")</f>
        <v>8.4166666666666661</v>
      </c>
      <c r="P7" s="1" t="str">
        <f>_xlfn.XLOOKUP(Logs[[#This Row],[ID_Client]],Clients_Log!B:B,Clients_Log!F:F,"Pas de correspondance")</f>
        <v>Pro Monde</v>
      </c>
      <c r="Q7" s="1" t="str">
        <f>IF(Logs[[#This Row],[Type_Forfait]]="Pro Monde","B2B","B2C")</f>
        <v>B2B</v>
      </c>
      <c r="R7" s="1">
        <f>_xlfn.XLOOKUP(Logs[[#This Row],[ID_Client]],Clients_Log!B:B,Clients_Log!G:G,"Pas de correspondance")</f>
        <v>333</v>
      </c>
      <c r="S7" s="3">
        <f>Logs[[#This Row],[Duree_Cumulee_Panne_Min]]/1440</f>
        <v>0.23125000000000001</v>
      </c>
      <c r="T7" s="1">
        <f>_xlfn.XLOOKUP(Logs[[#This Row],[ID_Client]],Clients_Log!B:B,Clients_Log!H:H,"Pas de correspondance")</f>
        <v>74.319999999999993</v>
      </c>
      <c r="U7" s="1">
        <f>_xlfn.XLOOKUP(Logs[[#This Row],[ID_Client]],Clients_Log!B:B,Clients_Log!I:I,"Pas de correspondance")</f>
        <v>1</v>
      </c>
      <c r="V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" s="1">
        <f>Logs[[#This Row],[Facture_Mensuelle]]*Logs[[#This Row],[Remise (%)]]</f>
        <v>33.443999999999996</v>
      </c>
    </row>
    <row r="8" spans="1:23" x14ac:dyDescent="0.25">
      <c r="A8" s="1" t="s">
        <v>804</v>
      </c>
      <c r="B8" s="2">
        <v>45202</v>
      </c>
      <c r="C8" s="1" t="str">
        <f>_xlfn.XLOOKUP(Logs[[#This Row],[Province_RDC]],Clients_Log!D:D,Clients_Log!B:B,"Pas de correspondance")</f>
        <v>CLI-00060</v>
      </c>
      <c r="D8" t="str">
        <f>_xlfn.XLOOKUP(Logs[[#This Row],[Cell_ID]],'Registre_Maintenance'!B:B,'Registre_Maintenance'!C:C,"Pas de correspondance")</f>
        <v>Kasaï-Central</v>
      </c>
      <c r="E8" s="3">
        <v>0.25972222222222224</v>
      </c>
      <c r="F8" s="1" t="s">
        <v>814</v>
      </c>
      <c r="G8" s="3">
        <f>Logs[[#This Row],[Duree_Panne_Min]]/1440</f>
        <v>5.486111111111111E-2</v>
      </c>
      <c r="H8">
        <v>79</v>
      </c>
      <c r="I8">
        <f>_xlfn.XLOOKUP(Logs[[#This Row],[Cell_ID]],'Registre_Maintenance'!B:B,'Registre_Maintenance'!D:D,"Pas de correspondance")</f>
        <v>-1.648264</v>
      </c>
      <c r="J8">
        <f>_xlfn.XLOOKUP(Logs[[#This Row],[Cell_ID]],'Registre_Maintenance'!B:B,'Registre_Maintenance'!E:E,"Pas de correspondance")</f>
        <v>28.866143999999998</v>
      </c>
      <c r="K8" t="str">
        <f>_xlfn.XLOOKUP(Logs[[#This Row],[Cell_ID]],'Registre_Maintenance'!B:B,'Registre_Maintenance'!F:F,"Pas de correspondance")</f>
        <v>5G</v>
      </c>
      <c r="L8" t="str">
        <f>_xlfn.XLOOKUP(Logs[[#This Row],[Cell_ID]],'Registre_Maintenance'!B:B,'Registre_Maintenance'!G:G,"Pas de correspondance")</f>
        <v>Ericsson</v>
      </c>
      <c r="M8" s="1" t="s">
        <v>806</v>
      </c>
      <c r="N8" s="1">
        <f>_xlfn.XLOOKUP(Logs[[#This Row],[ID_Client]],Clients_Log!B:B,Clients_Log!E:E,"Pas de correspondance")</f>
        <v>72</v>
      </c>
      <c r="O8" s="4">
        <f>IFERROR(Logs[[#This Row],[Anciennete_Mois]]/12,"")</f>
        <v>6</v>
      </c>
      <c r="P8" s="1" t="str">
        <f>_xlfn.XLOOKUP(Logs[[#This Row],[ID_Client]],Clients_Log!B:B,Clients_Log!F:F,"Pas de correspondance")</f>
        <v>Pro Monde</v>
      </c>
      <c r="Q8" s="1" t="str">
        <f>IF(Logs[[#This Row],[Type_Forfait]]="Pro Monde","B2B","B2C")</f>
        <v>B2B</v>
      </c>
      <c r="R8" s="1">
        <f>_xlfn.XLOOKUP(Logs[[#This Row],[ID_Client]],Clients_Log!B:B,Clients_Log!G:G,"Pas de correspondance")</f>
        <v>160</v>
      </c>
      <c r="S8" s="3">
        <f>Logs[[#This Row],[Duree_Cumulee_Panne_Min]]/1440</f>
        <v>0.1111111111111111</v>
      </c>
      <c r="T8" s="1">
        <f>_xlfn.XLOOKUP(Logs[[#This Row],[ID_Client]],Clients_Log!B:B,Clients_Log!H:H,"Pas de correspondance")</f>
        <v>90.13</v>
      </c>
      <c r="U8" s="1">
        <f>_xlfn.XLOOKUP(Logs[[#This Row],[ID_Client]],Clients_Log!B:B,Clients_Log!I:I,"Pas de correspondance")</f>
        <v>2</v>
      </c>
      <c r="V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8" s="1">
        <f>Logs[[#This Row],[Facture_Mensuelle]]*Logs[[#This Row],[Remise (%)]]</f>
        <v>9.0129999999999999</v>
      </c>
    </row>
    <row r="9" spans="1:23" hidden="1" x14ac:dyDescent="0.25">
      <c r="A9" s="1" t="s">
        <v>804</v>
      </c>
      <c r="B9" s="2">
        <v>45216</v>
      </c>
      <c r="C9" s="1" t="str">
        <f>_xlfn.XLOOKUP(Logs[[#This Row],[Province_RDC]],Clients_Log!D:D,Clients_Log!B:B,"Pas de correspondance")</f>
        <v>Pas de correspondance</v>
      </c>
      <c r="D9" t="str">
        <f>_xlfn.XLOOKUP(Logs[[#This Row],[Cell_ID]],'Registre_Maintenance'!B:B,'Registre_Maintenance'!C:C,"Pas de correspondance")</f>
        <v>Pas de correspondance</v>
      </c>
      <c r="E9" s="3">
        <v>0.79236111111111107</v>
      </c>
      <c r="F9" s="1" t="s">
        <v>815</v>
      </c>
      <c r="G9" s="3">
        <f>Logs[[#This Row],[Duree_Panne_Min]]/1440</f>
        <v>3.888888888888889E-2</v>
      </c>
      <c r="H9">
        <v>56</v>
      </c>
      <c r="I9" t="str">
        <f>_xlfn.XLOOKUP(Logs[[#This Row],[Cell_ID]],'Registre_Maintenance'!B:B,'Registre_Maintenance'!D:D,"Pas de correspondance")</f>
        <v>Pas de correspondance</v>
      </c>
      <c r="J9" t="str">
        <f>_xlfn.XLOOKUP(Logs[[#This Row],[Cell_ID]],'Registre_Maintenance'!B:B,'Registre_Maintenance'!E:E,"Pas de correspondance")</f>
        <v>Pas de correspondance</v>
      </c>
      <c r="K9" t="str">
        <f>_xlfn.XLOOKUP(Logs[[#This Row],[Cell_ID]],'Registre_Maintenance'!B:B,'Registre_Maintenance'!F:F,"Pas de correspondance")</f>
        <v>Pas de correspondance</v>
      </c>
      <c r="L9" t="str">
        <f>_xlfn.XLOOKUP(Logs[[#This Row],[Cell_ID]],'Registre_Maintenance'!B:B,'Registre_Maintenance'!G:G,"Pas de correspondance")</f>
        <v>Pas de correspondance</v>
      </c>
      <c r="M9" s="1" t="s">
        <v>806</v>
      </c>
      <c r="N9" s="1" t="str">
        <f>_xlfn.XLOOKUP(Logs[[#This Row],[ID_Client]],Clients_Log!B:B,Clients_Log!E:E,"Pas de correspondance")</f>
        <v>Pas de correspondance</v>
      </c>
      <c r="O9" s="4" t="str">
        <f>IFERROR(Logs[[#This Row],[Anciennete_Mois]]/12,"")</f>
        <v/>
      </c>
      <c r="P9" s="1" t="str">
        <f>_xlfn.XLOOKUP(Logs[[#This Row],[ID_Client]],Clients_Log!B:B,Clients_Log!F:F,"Pas de correspondance")</f>
        <v>Pas de correspondance</v>
      </c>
      <c r="Q9" s="1" t="str">
        <f>IF(Logs[[#This Row],[Type_Forfait]]="Pro Monde","B2B","B2C")</f>
        <v>B2C</v>
      </c>
      <c r="R9" s="1" t="str">
        <f>_xlfn.XLOOKUP(Logs[[#This Row],[ID_Client]],Clients_Log!B:B,Clients_Log!G:G,"Pas de correspondance")</f>
        <v>Pas de correspondance</v>
      </c>
      <c r="S9" s="1" t="e">
        <f>Logs[[#This Row],[Duree_Cumulee_Panne_Min]]/1440</f>
        <v>#VALUE!</v>
      </c>
      <c r="T9" s="1" t="str">
        <f>_xlfn.XLOOKUP(Logs[[#This Row],[ID_Client]],Clients_Log!B:B,Clients_Log!H:H,"Pas de correspondance")</f>
        <v>Pas de correspondance</v>
      </c>
      <c r="U9" s="1" t="str">
        <f>_xlfn.XLOOKUP(Logs[[#This Row],[ID_Client]],Clients_Log!B:B,Clients_Log!I:I,"Pas de correspondance")</f>
        <v>Pas de correspondance</v>
      </c>
      <c r="V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" s="1" t="e">
        <f>Logs[[#This Row],[Facture_Mensuelle]]*Logs[[#This Row],[Remise (%)]]</f>
        <v>#VALUE!</v>
      </c>
    </row>
    <row r="10" spans="1:23" hidden="1" x14ac:dyDescent="0.25">
      <c r="A10" s="1" t="s">
        <v>804</v>
      </c>
      <c r="B10" s="2">
        <v>45217</v>
      </c>
      <c r="C10" s="1" t="str">
        <f>_xlfn.XLOOKUP(Logs[[#This Row],[Province_RDC]],Clients_Log!D:D,Clients_Log!B:B,"Pas de correspondance")</f>
        <v>Pas de correspondance</v>
      </c>
      <c r="D10" t="str">
        <f>_xlfn.XLOOKUP(Logs[[#This Row],[Cell_ID]],'Registre_Maintenance'!B:B,'Registre_Maintenance'!C:C,"Pas de correspondance")</f>
        <v>Pas de correspondance</v>
      </c>
      <c r="E10" s="3">
        <v>0.28125</v>
      </c>
      <c r="F10" s="1" t="s">
        <v>816</v>
      </c>
      <c r="G10" s="3">
        <f>Logs[[#This Row],[Duree_Panne_Min]]/1440</f>
        <v>3.5416666666666666E-2</v>
      </c>
      <c r="H10">
        <v>51</v>
      </c>
      <c r="I10" t="str">
        <f>_xlfn.XLOOKUP(Logs[[#This Row],[Cell_ID]],'Registre_Maintenance'!B:B,'Registre_Maintenance'!D:D,"Pas de correspondance")</f>
        <v>Pas de correspondance</v>
      </c>
      <c r="J10" t="str">
        <f>_xlfn.XLOOKUP(Logs[[#This Row],[Cell_ID]],'Registre_Maintenance'!B:B,'Registre_Maintenance'!E:E,"Pas de correspondance")</f>
        <v>Pas de correspondance</v>
      </c>
      <c r="K10" t="str">
        <f>_xlfn.XLOOKUP(Logs[[#This Row],[Cell_ID]],'Registre_Maintenance'!B:B,'Registre_Maintenance'!F:F,"Pas de correspondance")</f>
        <v>Pas de correspondance</v>
      </c>
      <c r="L10" t="str">
        <f>_xlfn.XLOOKUP(Logs[[#This Row],[Cell_ID]],'Registre_Maintenance'!B:B,'Registre_Maintenance'!G:G,"Pas de correspondance")</f>
        <v>Pas de correspondance</v>
      </c>
      <c r="M10" s="1" t="s">
        <v>809</v>
      </c>
      <c r="N10" s="1" t="str">
        <f>_xlfn.XLOOKUP(Logs[[#This Row],[ID_Client]],Clients_Log!B:B,Clients_Log!E:E,"Pas de correspondance")</f>
        <v>Pas de correspondance</v>
      </c>
      <c r="O10" s="4" t="str">
        <f>IFERROR(Logs[[#This Row],[Anciennete_Mois]]/12,"")</f>
        <v/>
      </c>
      <c r="P10" s="1" t="str">
        <f>_xlfn.XLOOKUP(Logs[[#This Row],[ID_Client]],Clients_Log!B:B,Clients_Log!F:F,"Pas de correspondance")</f>
        <v>Pas de correspondance</v>
      </c>
      <c r="Q10" s="1" t="str">
        <f>IF(Logs[[#This Row],[Type_Forfait]]="Pro Monde","B2B","B2C")</f>
        <v>B2C</v>
      </c>
      <c r="R10" s="1" t="str">
        <f>_xlfn.XLOOKUP(Logs[[#This Row],[ID_Client]],Clients_Log!B:B,Clients_Log!G:G,"Pas de correspondance")</f>
        <v>Pas de correspondance</v>
      </c>
      <c r="S10" s="1" t="e">
        <f>Logs[[#This Row],[Duree_Cumulee_Panne_Min]]/1440</f>
        <v>#VALUE!</v>
      </c>
      <c r="T10" s="1" t="str">
        <f>_xlfn.XLOOKUP(Logs[[#This Row],[ID_Client]],Clients_Log!B:B,Clients_Log!H:H,"Pas de correspondance")</f>
        <v>Pas de correspondance</v>
      </c>
      <c r="U10" s="1" t="str">
        <f>_xlfn.XLOOKUP(Logs[[#This Row],[ID_Client]],Clients_Log!B:B,Clients_Log!I:I,"Pas de correspondance")</f>
        <v>Pas de correspondance</v>
      </c>
      <c r="V1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" s="1" t="e">
        <f>Logs[[#This Row],[Facture_Mensuelle]]*Logs[[#This Row],[Remise (%)]]</f>
        <v>#VALUE!</v>
      </c>
    </row>
    <row r="11" spans="1:23" hidden="1" x14ac:dyDescent="0.25">
      <c r="A11" s="1" t="s">
        <v>804</v>
      </c>
      <c r="B11" s="2">
        <v>45220</v>
      </c>
      <c r="C11" s="1" t="str">
        <f>_xlfn.XLOOKUP(Logs[[#This Row],[Province_RDC]],Clients_Log!D:D,Clients_Log!B:B,"Pas de correspondance")</f>
        <v>Pas de correspondance</v>
      </c>
      <c r="D11" t="str">
        <f>_xlfn.XLOOKUP(Logs[[#This Row],[Cell_ID]],'Registre_Maintenance'!B:B,'Registre_Maintenance'!C:C,"Pas de correspondance")</f>
        <v>Pas de correspondance</v>
      </c>
      <c r="E11" s="3">
        <v>0.94027777777777777</v>
      </c>
      <c r="F11" s="1" t="s">
        <v>817</v>
      </c>
      <c r="G11" s="3">
        <f>Logs[[#This Row],[Duree_Panne_Min]]/1440</f>
        <v>2.2916666666666665E-2</v>
      </c>
      <c r="H11">
        <v>33</v>
      </c>
      <c r="I11" t="str">
        <f>_xlfn.XLOOKUP(Logs[[#This Row],[Cell_ID]],'Registre_Maintenance'!B:B,'Registre_Maintenance'!D:D,"Pas de correspondance")</f>
        <v>Pas de correspondance</v>
      </c>
      <c r="J11" t="str">
        <f>_xlfn.XLOOKUP(Logs[[#This Row],[Cell_ID]],'Registre_Maintenance'!B:B,'Registre_Maintenance'!E:E,"Pas de correspondance")</f>
        <v>Pas de correspondance</v>
      </c>
      <c r="K11" t="str">
        <f>_xlfn.XLOOKUP(Logs[[#This Row],[Cell_ID]],'Registre_Maintenance'!B:B,'Registre_Maintenance'!F:F,"Pas de correspondance")</f>
        <v>Pas de correspondance</v>
      </c>
      <c r="L11" t="str">
        <f>_xlfn.XLOOKUP(Logs[[#This Row],[Cell_ID]],'Registre_Maintenance'!B:B,'Registre_Maintenance'!G:G,"Pas de correspondance")</f>
        <v>Pas de correspondance</v>
      </c>
      <c r="M11" s="1" t="s">
        <v>811</v>
      </c>
      <c r="N11" s="1" t="str">
        <f>_xlfn.XLOOKUP(Logs[[#This Row],[ID_Client]],Clients_Log!B:B,Clients_Log!E:E,"Pas de correspondance")</f>
        <v>Pas de correspondance</v>
      </c>
      <c r="O11" s="4" t="str">
        <f>IFERROR(Logs[[#This Row],[Anciennete_Mois]]/12,"")</f>
        <v/>
      </c>
      <c r="P11" s="1" t="str">
        <f>_xlfn.XLOOKUP(Logs[[#This Row],[ID_Client]],Clients_Log!B:B,Clients_Log!F:F,"Pas de correspondance")</f>
        <v>Pas de correspondance</v>
      </c>
      <c r="Q11" s="1" t="str">
        <f>IF(Logs[[#This Row],[Type_Forfait]]="Pro Monde","B2B","B2C")</f>
        <v>B2C</v>
      </c>
      <c r="R11" s="1" t="str">
        <f>_xlfn.XLOOKUP(Logs[[#This Row],[ID_Client]],Clients_Log!B:B,Clients_Log!G:G,"Pas de correspondance")</f>
        <v>Pas de correspondance</v>
      </c>
      <c r="S11" s="1" t="e">
        <f>Logs[[#This Row],[Duree_Cumulee_Panne_Min]]/1440</f>
        <v>#VALUE!</v>
      </c>
      <c r="T11" s="1" t="str">
        <f>_xlfn.XLOOKUP(Logs[[#This Row],[ID_Client]],Clients_Log!B:B,Clients_Log!H:H,"Pas de correspondance")</f>
        <v>Pas de correspondance</v>
      </c>
      <c r="U11" s="1" t="str">
        <f>_xlfn.XLOOKUP(Logs[[#This Row],[ID_Client]],Clients_Log!B:B,Clients_Log!I:I,"Pas de correspondance")</f>
        <v>Pas de correspondance</v>
      </c>
      <c r="V1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1" s="1" t="e">
        <f>Logs[[#This Row],[Facture_Mensuelle]]*Logs[[#This Row],[Remise (%)]]</f>
        <v>#VALUE!</v>
      </c>
    </row>
    <row r="12" spans="1:23" hidden="1" x14ac:dyDescent="0.25">
      <c r="A12" s="1" t="s">
        <v>804</v>
      </c>
      <c r="B12" s="2">
        <v>45213</v>
      </c>
      <c r="C12" s="1" t="str">
        <f>_xlfn.XLOOKUP(Logs[[#This Row],[Province_RDC]],Clients_Log!D:D,Clients_Log!B:B,"Pas de correspondance")</f>
        <v>Pas de correspondance</v>
      </c>
      <c r="D12" t="str">
        <f>_xlfn.XLOOKUP(Logs[[#This Row],[Cell_ID]],'Registre_Maintenance'!B:B,'Registre_Maintenance'!C:C,"Pas de correspondance")</f>
        <v>Pas de correspondance</v>
      </c>
      <c r="E12" s="3">
        <v>0.31111111111111112</v>
      </c>
      <c r="F12" s="1" t="s">
        <v>818</v>
      </c>
      <c r="G12" s="3">
        <f>Logs[[#This Row],[Duree_Panne_Min]]/1440</f>
        <v>1.5277777777777777E-2</v>
      </c>
      <c r="H12">
        <v>22</v>
      </c>
      <c r="I12" t="str">
        <f>_xlfn.XLOOKUP(Logs[[#This Row],[Cell_ID]],'Registre_Maintenance'!B:B,'Registre_Maintenance'!D:D,"Pas de correspondance")</f>
        <v>Pas de correspondance</v>
      </c>
      <c r="J12" t="str">
        <f>_xlfn.XLOOKUP(Logs[[#This Row],[Cell_ID]],'Registre_Maintenance'!B:B,'Registre_Maintenance'!E:E,"Pas de correspondance")</f>
        <v>Pas de correspondance</v>
      </c>
      <c r="K12" t="str">
        <f>_xlfn.XLOOKUP(Logs[[#This Row],[Cell_ID]],'Registre_Maintenance'!B:B,'Registre_Maintenance'!F:F,"Pas de correspondance")</f>
        <v>Pas de correspondance</v>
      </c>
      <c r="L12" t="str">
        <f>_xlfn.XLOOKUP(Logs[[#This Row],[Cell_ID]],'Registre_Maintenance'!B:B,'Registre_Maintenance'!G:G,"Pas de correspondance")</f>
        <v>Pas de correspondance</v>
      </c>
      <c r="M12" s="1" t="s">
        <v>809</v>
      </c>
      <c r="N12" s="1" t="str">
        <f>_xlfn.XLOOKUP(Logs[[#This Row],[ID_Client]],Clients_Log!B:B,Clients_Log!E:E,"Pas de correspondance")</f>
        <v>Pas de correspondance</v>
      </c>
      <c r="O12" s="4" t="str">
        <f>IFERROR(Logs[[#This Row],[Anciennete_Mois]]/12,"")</f>
        <v/>
      </c>
      <c r="P12" s="1" t="str">
        <f>_xlfn.XLOOKUP(Logs[[#This Row],[ID_Client]],Clients_Log!B:B,Clients_Log!F:F,"Pas de correspondance")</f>
        <v>Pas de correspondance</v>
      </c>
      <c r="Q12" s="1" t="str">
        <f>IF(Logs[[#This Row],[Type_Forfait]]="Pro Monde","B2B","B2C")</f>
        <v>B2C</v>
      </c>
      <c r="R12" s="1" t="str">
        <f>_xlfn.XLOOKUP(Logs[[#This Row],[ID_Client]],Clients_Log!B:B,Clients_Log!G:G,"Pas de correspondance")</f>
        <v>Pas de correspondance</v>
      </c>
      <c r="S12" s="1" t="e">
        <f>Logs[[#This Row],[Duree_Cumulee_Panne_Min]]/1440</f>
        <v>#VALUE!</v>
      </c>
      <c r="T12" s="1" t="str">
        <f>_xlfn.XLOOKUP(Logs[[#This Row],[ID_Client]],Clients_Log!B:B,Clients_Log!H:H,"Pas de correspondance")</f>
        <v>Pas de correspondance</v>
      </c>
      <c r="U12" s="1" t="str">
        <f>_xlfn.XLOOKUP(Logs[[#This Row],[ID_Client]],Clients_Log!B:B,Clients_Log!I:I,"Pas de correspondance")</f>
        <v>Pas de correspondance</v>
      </c>
      <c r="V1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2" s="1" t="e">
        <f>Logs[[#This Row],[Facture_Mensuelle]]*Logs[[#This Row],[Remise (%)]]</f>
        <v>#VALUE!</v>
      </c>
    </row>
    <row r="13" spans="1:23" x14ac:dyDescent="0.25">
      <c r="A13" s="1" t="s">
        <v>804</v>
      </c>
      <c r="B13" s="2">
        <v>45218</v>
      </c>
      <c r="C13" s="1" t="str">
        <f>_xlfn.XLOOKUP(Logs[[#This Row],[Province_RDC]],Clients_Log!D:D,Clients_Log!B:B,"Pas de correspondance")</f>
        <v>CLI-00131</v>
      </c>
      <c r="D13" t="str">
        <f>_xlfn.XLOOKUP(Logs[[#This Row],[Cell_ID]],'Registre_Maintenance'!B:B,'Registre_Maintenance'!C:C,"Pas de correspondance")</f>
        <v>Lomami</v>
      </c>
      <c r="E13" s="3">
        <v>0.36875000000000002</v>
      </c>
      <c r="F13" s="1" t="s">
        <v>819</v>
      </c>
      <c r="G13" s="3">
        <f>Logs[[#This Row],[Duree_Panne_Min]]/1440</f>
        <v>4.8611111111111112E-2</v>
      </c>
      <c r="H13">
        <v>70</v>
      </c>
      <c r="I13">
        <f>_xlfn.XLOOKUP(Logs[[#This Row],[Cell_ID]],'Registre_Maintenance'!B:B,'Registre_Maintenance'!D:D,"Pas de correspondance")</f>
        <v>-8.4227860000000003</v>
      </c>
      <c r="J13">
        <f>_xlfn.XLOOKUP(Logs[[#This Row],[Cell_ID]],'Registre_Maintenance'!B:B,'Registre_Maintenance'!E:E,"Pas de correspondance")</f>
        <v>16.781293000000002</v>
      </c>
      <c r="K13" t="str">
        <f>_xlfn.XLOOKUP(Logs[[#This Row],[Cell_ID]],'Registre_Maintenance'!B:B,'Registre_Maintenance'!F:F,"Pas de correspondance")</f>
        <v>4G</v>
      </c>
      <c r="L13" t="str">
        <f>_xlfn.XLOOKUP(Logs[[#This Row],[Cell_ID]],'Registre_Maintenance'!B:B,'Registre_Maintenance'!G:G,"Pas de correspondance")</f>
        <v>Huawei</v>
      </c>
      <c r="M13" s="1" t="s">
        <v>806</v>
      </c>
      <c r="N13" s="1">
        <f>_xlfn.XLOOKUP(Logs[[#This Row],[ID_Client]],Clients_Log!B:B,Clients_Log!E:E,"Pas de correspondance")</f>
        <v>101</v>
      </c>
      <c r="O13" s="4">
        <f>IFERROR(Logs[[#This Row],[Anciennete_Mois]]/12,"")</f>
        <v>8.4166666666666661</v>
      </c>
      <c r="P13" s="1" t="str">
        <f>_xlfn.XLOOKUP(Logs[[#This Row],[ID_Client]],Clients_Log!B:B,Clients_Log!F:F,"Pas de correspondance")</f>
        <v>Pro Monde</v>
      </c>
      <c r="Q13" s="1" t="str">
        <f>IF(Logs[[#This Row],[Type_Forfait]]="Pro Monde","B2B","B2C")</f>
        <v>B2B</v>
      </c>
      <c r="R13" s="1">
        <f>_xlfn.XLOOKUP(Logs[[#This Row],[ID_Client]],Clients_Log!B:B,Clients_Log!G:G,"Pas de correspondance")</f>
        <v>176</v>
      </c>
      <c r="S13" s="3">
        <f>Logs[[#This Row],[Duree_Cumulee_Panne_Min]]/1440</f>
        <v>0.12222222222222222</v>
      </c>
      <c r="T13" s="1">
        <f>_xlfn.XLOOKUP(Logs[[#This Row],[ID_Client]],Clients_Log!B:B,Clients_Log!H:H,"Pas de correspondance")</f>
        <v>86</v>
      </c>
      <c r="U13" s="1">
        <f>_xlfn.XLOOKUP(Logs[[#This Row],[ID_Client]],Clients_Log!B:B,Clients_Log!I:I,"Pas de correspondance")</f>
        <v>3</v>
      </c>
      <c r="V1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13" s="1">
        <f>Logs[[#This Row],[Facture_Mensuelle]]*Logs[[#This Row],[Remise (%)]]</f>
        <v>8.6</v>
      </c>
    </row>
    <row r="14" spans="1:23" x14ac:dyDescent="0.25">
      <c r="A14" s="1" t="s">
        <v>804</v>
      </c>
      <c r="B14" s="2">
        <v>45227</v>
      </c>
      <c r="C14" s="1" t="str">
        <f>_xlfn.XLOOKUP(Logs[[#This Row],[Province_RDC]],Clients_Log!D:D,Clients_Log!B:B,"Pas de correspondance")</f>
        <v>CLI-01170</v>
      </c>
      <c r="D14" t="str">
        <f>_xlfn.XLOOKUP(Logs[[#This Row],[Cell_ID]],'Registre_Maintenance'!B:B,'Registre_Maintenance'!C:C,"Pas de correspondance")</f>
        <v>Nord-Ubangi</v>
      </c>
      <c r="E14" s="3">
        <v>3.3333333333333333E-2</v>
      </c>
      <c r="F14" s="1" t="s">
        <v>820</v>
      </c>
      <c r="G14" s="3">
        <f>Logs[[#This Row],[Duree_Panne_Min]]/1440</f>
        <v>4.7222222222222221E-2</v>
      </c>
      <c r="H14">
        <v>68</v>
      </c>
      <c r="I14">
        <f>_xlfn.XLOOKUP(Logs[[#This Row],[Cell_ID]],'Registre_Maintenance'!B:B,'Registre_Maintenance'!D:D,"Pas de correspondance")</f>
        <v>-10.375266999999999</v>
      </c>
      <c r="J14">
        <f>_xlfn.XLOOKUP(Logs[[#This Row],[Cell_ID]],'Registre_Maintenance'!B:B,'Registre_Maintenance'!E:E,"Pas de correspondance")</f>
        <v>17.993663000000002</v>
      </c>
      <c r="K14" t="str">
        <f>_xlfn.XLOOKUP(Logs[[#This Row],[Cell_ID]],'Registre_Maintenance'!B:B,'Registre_Maintenance'!F:F,"Pas de correspondance")</f>
        <v>5G</v>
      </c>
      <c r="L14" t="str">
        <f>_xlfn.XLOOKUP(Logs[[#This Row],[Cell_ID]],'Registre_Maintenance'!B:B,'Registre_Maintenance'!G:G,"Pas de correspondance")</f>
        <v>ZTE</v>
      </c>
      <c r="M14" s="1" t="s">
        <v>811</v>
      </c>
      <c r="N14" s="1">
        <f>_xlfn.XLOOKUP(Logs[[#This Row],[ID_Client]],Clients_Log!B:B,Clients_Log!E:E,"Pas de correspondance")</f>
        <v>98</v>
      </c>
      <c r="O14" s="4">
        <f>IFERROR(Logs[[#This Row],[Anciennete_Mois]]/12,"")</f>
        <v>8.1666666666666661</v>
      </c>
      <c r="P14" s="1" t="str">
        <f>_xlfn.XLOOKUP(Logs[[#This Row],[ID_Client]],Clients_Log!B:B,Clients_Log!F:F,"Pas de correspondance")</f>
        <v>Pro Monde</v>
      </c>
      <c r="Q14" s="1" t="str">
        <f>IF(Logs[[#This Row],[Type_Forfait]]="Pro Monde","B2B","B2C")</f>
        <v>B2B</v>
      </c>
      <c r="R14" s="1">
        <f>_xlfn.XLOOKUP(Logs[[#This Row],[ID_Client]],Clients_Log!B:B,Clients_Log!G:G,"Pas de correspondance")</f>
        <v>482</v>
      </c>
      <c r="S14" s="3">
        <f>Logs[[#This Row],[Duree_Cumulee_Panne_Min]]/1440</f>
        <v>0.3347222222222222</v>
      </c>
      <c r="T14" s="1">
        <f>_xlfn.XLOOKUP(Logs[[#This Row],[ID_Client]],Clients_Log!B:B,Clients_Log!H:H,"Pas de correspondance")</f>
        <v>55.04</v>
      </c>
      <c r="U14" s="1">
        <f>_xlfn.XLOOKUP(Logs[[#This Row],[ID_Client]],Clients_Log!B:B,Clients_Log!I:I,"Pas de correspondance")</f>
        <v>5</v>
      </c>
      <c r="V1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4" s="1">
        <f>Logs[[#This Row],[Facture_Mensuelle]]*Logs[[#This Row],[Remise (%)]]</f>
        <v>24.768000000000001</v>
      </c>
    </row>
    <row r="15" spans="1:23" hidden="1" x14ac:dyDescent="0.25">
      <c r="A15" s="1" t="s">
        <v>804</v>
      </c>
      <c r="B15" s="2">
        <v>45225</v>
      </c>
      <c r="C15" s="1" t="str">
        <f>_xlfn.XLOOKUP(Logs[[#This Row],[Province_RDC]],Clients_Log!D:D,Clients_Log!B:B,"Pas de correspondance")</f>
        <v>Pas de correspondance</v>
      </c>
      <c r="D15" t="str">
        <f>_xlfn.XLOOKUP(Logs[[#This Row],[Cell_ID]],'Registre_Maintenance'!B:B,'Registre_Maintenance'!C:C,"Pas de correspondance")</f>
        <v>Pas de correspondance</v>
      </c>
      <c r="E15" s="3">
        <v>0.2388888888888889</v>
      </c>
      <c r="F15" s="1" t="s">
        <v>821</v>
      </c>
      <c r="G15" s="3">
        <f>Logs[[#This Row],[Duree_Panne_Min]]/1440</f>
        <v>1.1111111111111112E-2</v>
      </c>
      <c r="H15">
        <v>16</v>
      </c>
      <c r="I15" t="str">
        <f>_xlfn.XLOOKUP(Logs[[#This Row],[Cell_ID]],'Registre_Maintenance'!B:B,'Registre_Maintenance'!D:D,"Pas de correspondance")</f>
        <v>Pas de correspondance</v>
      </c>
      <c r="J15" t="str">
        <f>_xlfn.XLOOKUP(Logs[[#This Row],[Cell_ID]],'Registre_Maintenance'!B:B,'Registre_Maintenance'!E:E,"Pas de correspondance")</f>
        <v>Pas de correspondance</v>
      </c>
      <c r="K15" t="str">
        <f>_xlfn.XLOOKUP(Logs[[#This Row],[Cell_ID]],'Registre_Maintenance'!B:B,'Registre_Maintenance'!F:F,"Pas de correspondance")</f>
        <v>Pas de correspondance</v>
      </c>
      <c r="L15" t="str">
        <f>_xlfn.XLOOKUP(Logs[[#This Row],[Cell_ID]],'Registre_Maintenance'!B:B,'Registre_Maintenance'!G:G,"Pas de correspondance")</f>
        <v>Pas de correspondance</v>
      </c>
      <c r="M15" s="1" t="s">
        <v>809</v>
      </c>
      <c r="N15" s="1" t="str">
        <f>_xlfn.XLOOKUP(Logs[[#This Row],[ID_Client]],Clients_Log!B:B,Clients_Log!E:E,"Pas de correspondance")</f>
        <v>Pas de correspondance</v>
      </c>
      <c r="O15" s="4" t="str">
        <f>IFERROR(Logs[[#This Row],[Anciennete_Mois]]/12,"")</f>
        <v/>
      </c>
      <c r="P15" s="1" t="str">
        <f>_xlfn.XLOOKUP(Logs[[#This Row],[ID_Client]],Clients_Log!B:B,Clients_Log!F:F,"Pas de correspondance")</f>
        <v>Pas de correspondance</v>
      </c>
      <c r="Q15" s="1" t="str">
        <f>IF(Logs[[#This Row],[Type_Forfait]]="Pro Monde","B2B","B2C")</f>
        <v>B2C</v>
      </c>
      <c r="R15" s="1" t="str">
        <f>_xlfn.XLOOKUP(Logs[[#This Row],[ID_Client]],Clients_Log!B:B,Clients_Log!G:G,"Pas de correspondance")</f>
        <v>Pas de correspondance</v>
      </c>
      <c r="S15" s="1" t="e">
        <f>Logs[[#This Row],[Duree_Cumulee_Panne_Min]]/1440</f>
        <v>#VALUE!</v>
      </c>
      <c r="T15" s="1" t="str">
        <f>_xlfn.XLOOKUP(Logs[[#This Row],[ID_Client]],Clients_Log!B:B,Clients_Log!H:H,"Pas de correspondance")</f>
        <v>Pas de correspondance</v>
      </c>
      <c r="U15" s="1" t="str">
        <f>_xlfn.XLOOKUP(Logs[[#This Row],[ID_Client]],Clients_Log!B:B,Clients_Log!I:I,"Pas de correspondance")</f>
        <v>Pas de correspondance</v>
      </c>
      <c r="V1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5" s="1" t="e">
        <f>Logs[[#This Row],[Facture_Mensuelle]]*Logs[[#This Row],[Remise (%)]]</f>
        <v>#VALUE!</v>
      </c>
    </row>
    <row r="16" spans="1:23" hidden="1" x14ac:dyDescent="0.25">
      <c r="A16" s="1" t="s">
        <v>804</v>
      </c>
      <c r="B16" s="2">
        <v>45213</v>
      </c>
      <c r="C16" s="1" t="str">
        <f>_xlfn.XLOOKUP(Logs[[#This Row],[Province_RDC]],Clients_Log!D:D,Clients_Log!B:B,"Pas de correspondance")</f>
        <v>Pas de correspondance</v>
      </c>
      <c r="D16" t="str">
        <f>_xlfn.XLOOKUP(Logs[[#This Row],[Cell_ID]],'Registre_Maintenance'!B:B,'Registre_Maintenance'!C:C,"Pas de correspondance")</f>
        <v>Pas de correspondance</v>
      </c>
      <c r="E16" s="3">
        <v>0.4284722222222222</v>
      </c>
      <c r="F16" s="1" t="s">
        <v>822</v>
      </c>
      <c r="G16" s="3">
        <f>Logs[[#This Row],[Duree_Panne_Min]]/1440</f>
        <v>7.013888888888889E-2</v>
      </c>
      <c r="H16">
        <v>101</v>
      </c>
      <c r="I16" t="str">
        <f>_xlfn.XLOOKUP(Logs[[#This Row],[Cell_ID]],'Registre_Maintenance'!B:B,'Registre_Maintenance'!D:D,"Pas de correspondance")</f>
        <v>Pas de correspondance</v>
      </c>
      <c r="J16" t="str">
        <f>_xlfn.XLOOKUP(Logs[[#This Row],[Cell_ID]],'Registre_Maintenance'!B:B,'Registre_Maintenance'!E:E,"Pas de correspondance")</f>
        <v>Pas de correspondance</v>
      </c>
      <c r="K16" t="str">
        <f>_xlfn.XLOOKUP(Logs[[#This Row],[Cell_ID]],'Registre_Maintenance'!B:B,'Registre_Maintenance'!F:F,"Pas de correspondance")</f>
        <v>Pas de correspondance</v>
      </c>
      <c r="L16" t="str">
        <f>_xlfn.XLOOKUP(Logs[[#This Row],[Cell_ID]],'Registre_Maintenance'!B:B,'Registre_Maintenance'!G:G,"Pas de correspondance")</f>
        <v>Pas de correspondance</v>
      </c>
      <c r="M16" s="1" t="s">
        <v>809</v>
      </c>
      <c r="N16" s="1" t="str">
        <f>_xlfn.XLOOKUP(Logs[[#This Row],[ID_Client]],Clients_Log!B:B,Clients_Log!E:E,"Pas de correspondance")</f>
        <v>Pas de correspondance</v>
      </c>
      <c r="O16" s="4" t="str">
        <f>IFERROR(Logs[[#This Row],[Anciennete_Mois]]/12,"")</f>
        <v/>
      </c>
      <c r="P16" s="1" t="str">
        <f>_xlfn.XLOOKUP(Logs[[#This Row],[ID_Client]],Clients_Log!B:B,Clients_Log!F:F,"Pas de correspondance")</f>
        <v>Pas de correspondance</v>
      </c>
      <c r="Q16" s="1" t="str">
        <f>IF(Logs[[#This Row],[Type_Forfait]]="Pro Monde","B2B","B2C")</f>
        <v>B2C</v>
      </c>
      <c r="R16" s="1" t="str">
        <f>_xlfn.XLOOKUP(Logs[[#This Row],[ID_Client]],Clients_Log!B:B,Clients_Log!G:G,"Pas de correspondance")</f>
        <v>Pas de correspondance</v>
      </c>
      <c r="S16" s="1" t="e">
        <f>Logs[[#This Row],[Duree_Cumulee_Panne_Min]]/1440</f>
        <v>#VALUE!</v>
      </c>
      <c r="T16" s="1" t="str">
        <f>_xlfn.XLOOKUP(Logs[[#This Row],[ID_Client]],Clients_Log!B:B,Clients_Log!H:H,"Pas de correspondance")</f>
        <v>Pas de correspondance</v>
      </c>
      <c r="U16" s="1" t="str">
        <f>_xlfn.XLOOKUP(Logs[[#This Row],[ID_Client]],Clients_Log!B:B,Clients_Log!I:I,"Pas de correspondance")</f>
        <v>Pas de correspondance</v>
      </c>
      <c r="V1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6" s="1" t="e">
        <f>Logs[[#This Row],[Facture_Mensuelle]]*Logs[[#This Row],[Remise (%)]]</f>
        <v>#VALUE!</v>
      </c>
    </row>
    <row r="17" spans="1:23" hidden="1" x14ac:dyDescent="0.25">
      <c r="A17" s="1" t="s">
        <v>804</v>
      </c>
      <c r="B17" s="2">
        <v>45204</v>
      </c>
      <c r="C17" s="1" t="str">
        <f>_xlfn.XLOOKUP(Logs[[#This Row],[Province_RDC]],Clients_Log!D:D,Clients_Log!B:B,"Pas de correspondance")</f>
        <v>Pas de correspondance</v>
      </c>
      <c r="D17" t="str">
        <f>_xlfn.XLOOKUP(Logs[[#This Row],[Cell_ID]],'Registre_Maintenance'!B:B,'Registre_Maintenance'!C:C,"Pas de correspondance")</f>
        <v>Pas de correspondance</v>
      </c>
      <c r="E17" s="3">
        <v>0.28333333333333333</v>
      </c>
      <c r="F17" s="1" t="s">
        <v>823</v>
      </c>
      <c r="G17" s="3">
        <f>Logs[[#This Row],[Duree_Panne_Min]]/1440</f>
        <v>7.6388888888888886E-3</v>
      </c>
      <c r="H17">
        <v>11</v>
      </c>
      <c r="I17" t="str">
        <f>_xlfn.XLOOKUP(Logs[[#This Row],[Cell_ID]],'Registre_Maintenance'!B:B,'Registre_Maintenance'!D:D,"Pas de correspondance")</f>
        <v>Pas de correspondance</v>
      </c>
      <c r="J17" t="str">
        <f>_xlfn.XLOOKUP(Logs[[#This Row],[Cell_ID]],'Registre_Maintenance'!B:B,'Registre_Maintenance'!E:E,"Pas de correspondance")</f>
        <v>Pas de correspondance</v>
      </c>
      <c r="K17" t="str">
        <f>_xlfn.XLOOKUP(Logs[[#This Row],[Cell_ID]],'Registre_Maintenance'!B:B,'Registre_Maintenance'!F:F,"Pas de correspondance")</f>
        <v>Pas de correspondance</v>
      </c>
      <c r="L17" t="str">
        <f>_xlfn.XLOOKUP(Logs[[#This Row],[Cell_ID]],'Registre_Maintenance'!B:B,'Registre_Maintenance'!G:G,"Pas de correspondance")</f>
        <v>Pas de correspondance</v>
      </c>
      <c r="M17" s="1" t="s">
        <v>811</v>
      </c>
      <c r="N17" s="1" t="str">
        <f>_xlfn.XLOOKUP(Logs[[#This Row],[ID_Client]],Clients_Log!B:B,Clients_Log!E:E,"Pas de correspondance")</f>
        <v>Pas de correspondance</v>
      </c>
      <c r="O17" s="4" t="str">
        <f>IFERROR(Logs[[#This Row],[Anciennete_Mois]]/12,"")</f>
        <v/>
      </c>
      <c r="P17" s="1" t="str">
        <f>_xlfn.XLOOKUP(Logs[[#This Row],[ID_Client]],Clients_Log!B:B,Clients_Log!F:F,"Pas de correspondance")</f>
        <v>Pas de correspondance</v>
      </c>
      <c r="Q17" s="1" t="str">
        <f>IF(Logs[[#This Row],[Type_Forfait]]="Pro Monde","B2B","B2C")</f>
        <v>B2C</v>
      </c>
      <c r="R17" s="1" t="str">
        <f>_xlfn.XLOOKUP(Logs[[#This Row],[ID_Client]],Clients_Log!B:B,Clients_Log!G:G,"Pas de correspondance")</f>
        <v>Pas de correspondance</v>
      </c>
      <c r="S17" s="1" t="e">
        <f>Logs[[#This Row],[Duree_Cumulee_Panne_Min]]/1440</f>
        <v>#VALUE!</v>
      </c>
      <c r="T17" s="1" t="str">
        <f>_xlfn.XLOOKUP(Logs[[#This Row],[ID_Client]],Clients_Log!B:B,Clients_Log!H:H,"Pas de correspondance")</f>
        <v>Pas de correspondance</v>
      </c>
      <c r="U17" s="1" t="str">
        <f>_xlfn.XLOOKUP(Logs[[#This Row],[ID_Client]],Clients_Log!B:B,Clients_Log!I:I,"Pas de correspondance")</f>
        <v>Pas de correspondance</v>
      </c>
      <c r="V1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7" s="1" t="e">
        <f>Logs[[#This Row],[Facture_Mensuelle]]*Logs[[#This Row],[Remise (%)]]</f>
        <v>#VALUE!</v>
      </c>
    </row>
    <row r="18" spans="1:23" hidden="1" x14ac:dyDescent="0.25">
      <c r="A18" s="1" t="s">
        <v>804</v>
      </c>
      <c r="B18" s="2">
        <v>45210</v>
      </c>
      <c r="C18" s="1" t="str">
        <f>_xlfn.XLOOKUP(Logs[[#This Row],[Province_RDC]],Clients_Log!D:D,Clients_Log!B:B,"Pas de correspondance")</f>
        <v>Pas de correspondance</v>
      </c>
      <c r="D18" t="str">
        <f>_xlfn.XLOOKUP(Logs[[#This Row],[Cell_ID]],'Registre_Maintenance'!B:B,'Registre_Maintenance'!C:C,"Pas de correspondance")</f>
        <v>Pas de correspondance</v>
      </c>
      <c r="E18" s="3">
        <v>0.12847222222222221</v>
      </c>
      <c r="F18" s="1" t="s">
        <v>824</v>
      </c>
      <c r="G18" s="3">
        <f>Logs[[#This Row],[Duree_Panne_Min]]/1440</f>
        <v>7.9861111111111105E-2</v>
      </c>
      <c r="H18">
        <v>115</v>
      </c>
      <c r="I18" t="str">
        <f>_xlfn.XLOOKUP(Logs[[#This Row],[Cell_ID]],'Registre_Maintenance'!B:B,'Registre_Maintenance'!D:D,"Pas de correspondance")</f>
        <v>Pas de correspondance</v>
      </c>
      <c r="J18" t="str">
        <f>_xlfn.XLOOKUP(Logs[[#This Row],[Cell_ID]],'Registre_Maintenance'!B:B,'Registre_Maintenance'!E:E,"Pas de correspondance")</f>
        <v>Pas de correspondance</v>
      </c>
      <c r="K18" t="str">
        <f>_xlfn.XLOOKUP(Logs[[#This Row],[Cell_ID]],'Registre_Maintenance'!B:B,'Registre_Maintenance'!F:F,"Pas de correspondance")</f>
        <v>Pas de correspondance</v>
      </c>
      <c r="L18" t="str">
        <f>_xlfn.XLOOKUP(Logs[[#This Row],[Cell_ID]],'Registre_Maintenance'!B:B,'Registre_Maintenance'!G:G,"Pas de correspondance")</f>
        <v>Pas de correspondance</v>
      </c>
      <c r="M18" s="1" t="s">
        <v>806</v>
      </c>
      <c r="N18" s="1" t="str">
        <f>_xlfn.XLOOKUP(Logs[[#This Row],[ID_Client]],Clients_Log!B:B,Clients_Log!E:E,"Pas de correspondance")</f>
        <v>Pas de correspondance</v>
      </c>
      <c r="O18" s="4" t="str">
        <f>IFERROR(Logs[[#This Row],[Anciennete_Mois]]/12,"")</f>
        <v/>
      </c>
      <c r="P18" s="1" t="str">
        <f>_xlfn.XLOOKUP(Logs[[#This Row],[ID_Client]],Clients_Log!B:B,Clients_Log!F:F,"Pas de correspondance")</f>
        <v>Pas de correspondance</v>
      </c>
      <c r="Q18" s="1" t="str">
        <f>IF(Logs[[#This Row],[Type_Forfait]]="Pro Monde","B2B","B2C")</f>
        <v>B2C</v>
      </c>
      <c r="R18" s="1" t="str">
        <f>_xlfn.XLOOKUP(Logs[[#This Row],[ID_Client]],Clients_Log!B:B,Clients_Log!G:G,"Pas de correspondance")</f>
        <v>Pas de correspondance</v>
      </c>
      <c r="S18" s="1" t="e">
        <f>Logs[[#This Row],[Duree_Cumulee_Panne_Min]]/1440</f>
        <v>#VALUE!</v>
      </c>
      <c r="T18" s="1" t="str">
        <f>_xlfn.XLOOKUP(Logs[[#This Row],[ID_Client]],Clients_Log!B:B,Clients_Log!H:H,"Pas de correspondance")</f>
        <v>Pas de correspondance</v>
      </c>
      <c r="U18" s="1" t="str">
        <f>_xlfn.XLOOKUP(Logs[[#This Row],[ID_Client]],Clients_Log!B:B,Clients_Log!I:I,"Pas de correspondance")</f>
        <v>Pas de correspondance</v>
      </c>
      <c r="V1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8" s="1" t="e">
        <f>Logs[[#This Row],[Facture_Mensuelle]]*Logs[[#This Row],[Remise (%)]]</f>
        <v>#VALUE!</v>
      </c>
    </row>
    <row r="19" spans="1:23" x14ac:dyDescent="0.25">
      <c r="A19" s="1" t="s">
        <v>804</v>
      </c>
      <c r="B19" s="2">
        <v>45212</v>
      </c>
      <c r="C19" s="1" t="str">
        <f>_xlfn.XLOOKUP(Logs[[#This Row],[Province_RDC]],Clients_Log!D:D,Clients_Log!B:B,"Pas de correspondance")</f>
        <v>CLI-01618</v>
      </c>
      <c r="D19" t="str">
        <f>_xlfn.XLOOKUP(Logs[[#This Row],[Cell_ID]],'Registre_Maintenance'!B:B,'Registre_Maintenance'!C:C,"Pas de correspondance")</f>
        <v>Tanganyika</v>
      </c>
      <c r="E19" s="3">
        <v>0.14027777777777778</v>
      </c>
      <c r="F19" s="1" t="s">
        <v>825</v>
      </c>
      <c r="G19" s="3">
        <f>Logs[[#This Row],[Duree_Panne_Min]]/1440</f>
        <v>1.3194444444444444E-2</v>
      </c>
      <c r="H19">
        <v>19</v>
      </c>
      <c r="I19">
        <f>_xlfn.XLOOKUP(Logs[[#This Row],[Cell_ID]],'Registre_Maintenance'!B:B,'Registre_Maintenance'!D:D,"Pas de correspondance")</f>
        <v>-9.4708620000000003</v>
      </c>
      <c r="J19">
        <f>_xlfn.XLOOKUP(Logs[[#This Row],[Cell_ID]],'Registre_Maintenance'!B:B,'Registre_Maintenance'!E:E,"Pas de correspondance")</f>
        <v>29.234387999999999</v>
      </c>
      <c r="K19" t="str">
        <f>_xlfn.XLOOKUP(Logs[[#This Row],[Cell_ID]],'Registre_Maintenance'!B:B,'Registre_Maintenance'!F:F,"Pas de correspondance")</f>
        <v>3G</v>
      </c>
      <c r="L19" t="str">
        <f>_xlfn.XLOOKUP(Logs[[#This Row],[Cell_ID]],'Registre_Maintenance'!B:B,'Registre_Maintenance'!G:G,"Pas de correspondance")</f>
        <v>ZTE</v>
      </c>
      <c r="M19" s="1" t="s">
        <v>809</v>
      </c>
      <c r="N19" s="1">
        <f>_xlfn.XLOOKUP(Logs[[#This Row],[ID_Client]],Clients_Log!B:B,Clients_Log!E:E,"Pas de correspondance")</f>
        <v>115</v>
      </c>
      <c r="O19" s="4">
        <f>IFERROR(Logs[[#This Row],[Anciennete_Mois]]/12,"")</f>
        <v>9.5833333333333339</v>
      </c>
      <c r="P19" s="1" t="str">
        <f>_xlfn.XLOOKUP(Logs[[#This Row],[ID_Client]],Clients_Log!B:B,Clients_Log!F:F,"Pas de correspondance")</f>
        <v>Bloqué 5Go</v>
      </c>
      <c r="Q19" s="1" t="str">
        <f>IF(Logs[[#This Row],[Type_Forfait]]="Pro Monde","B2B","B2C")</f>
        <v>B2C</v>
      </c>
      <c r="R19" s="1">
        <f>_xlfn.XLOOKUP(Logs[[#This Row],[ID_Client]],Clients_Log!B:B,Clients_Log!G:G,"Pas de correspondance")</f>
        <v>176</v>
      </c>
      <c r="S19" s="3">
        <f>Logs[[#This Row],[Duree_Cumulee_Panne_Min]]/1440</f>
        <v>0.12222222222222222</v>
      </c>
      <c r="T19" s="1">
        <f>_xlfn.XLOOKUP(Logs[[#This Row],[ID_Client]],Clients_Log!B:B,Clients_Log!H:H,"Pas de correspondance")</f>
        <v>33.28</v>
      </c>
      <c r="U19" s="1">
        <f>_xlfn.XLOOKUP(Logs[[#This Row],[ID_Client]],Clients_Log!B:B,Clients_Log!I:I,"Pas de correspondance")</f>
        <v>4</v>
      </c>
      <c r="V1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9" s="1">
        <f>Logs[[#This Row],[Facture_Mensuelle]]*Logs[[#This Row],[Remise (%)]]</f>
        <v>0</v>
      </c>
    </row>
    <row r="20" spans="1:23" hidden="1" x14ac:dyDescent="0.25">
      <c r="A20" s="1" t="s">
        <v>804</v>
      </c>
      <c r="B20" s="2">
        <v>45227</v>
      </c>
      <c r="C20" s="1" t="str">
        <f>_xlfn.XLOOKUP(Logs[[#This Row],[Province_RDC]],Clients_Log!D:D,Clients_Log!B:B,"Pas de correspondance")</f>
        <v>Pas de correspondance</v>
      </c>
      <c r="D20" t="str">
        <f>_xlfn.XLOOKUP(Logs[[#This Row],[Cell_ID]],'Registre_Maintenance'!B:B,'Registre_Maintenance'!C:C,"Pas de correspondance")</f>
        <v>Pas de correspondance</v>
      </c>
      <c r="E20" s="3">
        <v>0.48472222222222222</v>
      </c>
      <c r="F20" s="1" t="s">
        <v>826</v>
      </c>
      <c r="G20" s="3">
        <f>Logs[[#This Row],[Duree_Panne_Min]]/1440</f>
        <v>1.6666666666666666E-2</v>
      </c>
      <c r="H20">
        <v>24</v>
      </c>
      <c r="I20" t="str">
        <f>_xlfn.XLOOKUP(Logs[[#This Row],[Cell_ID]],'Registre_Maintenance'!B:B,'Registre_Maintenance'!D:D,"Pas de correspondance")</f>
        <v>Pas de correspondance</v>
      </c>
      <c r="J20" t="str">
        <f>_xlfn.XLOOKUP(Logs[[#This Row],[Cell_ID]],'Registre_Maintenance'!B:B,'Registre_Maintenance'!E:E,"Pas de correspondance")</f>
        <v>Pas de correspondance</v>
      </c>
      <c r="K20" t="str">
        <f>_xlfn.XLOOKUP(Logs[[#This Row],[Cell_ID]],'Registre_Maintenance'!B:B,'Registre_Maintenance'!F:F,"Pas de correspondance")</f>
        <v>Pas de correspondance</v>
      </c>
      <c r="L20" t="str">
        <f>_xlfn.XLOOKUP(Logs[[#This Row],[Cell_ID]],'Registre_Maintenance'!B:B,'Registre_Maintenance'!G:G,"Pas de correspondance")</f>
        <v>Pas de correspondance</v>
      </c>
      <c r="M20" s="1" t="s">
        <v>809</v>
      </c>
      <c r="N20" s="1" t="str">
        <f>_xlfn.XLOOKUP(Logs[[#This Row],[ID_Client]],Clients_Log!B:B,Clients_Log!E:E,"Pas de correspondance")</f>
        <v>Pas de correspondance</v>
      </c>
      <c r="O20" s="4" t="str">
        <f>IFERROR(Logs[[#This Row],[Anciennete_Mois]]/12,"")</f>
        <v/>
      </c>
      <c r="P20" s="1" t="str">
        <f>_xlfn.XLOOKUP(Logs[[#This Row],[ID_Client]],Clients_Log!B:B,Clients_Log!F:F,"Pas de correspondance")</f>
        <v>Pas de correspondance</v>
      </c>
      <c r="Q20" s="1" t="str">
        <f>IF(Logs[[#This Row],[Type_Forfait]]="Pro Monde","B2B","B2C")</f>
        <v>B2C</v>
      </c>
      <c r="R20" s="1" t="str">
        <f>_xlfn.XLOOKUP(Logs[[#This Row],[ID_Client]],Clients_Log!B:B,Clients_Log!G:G,"Pas de correspondance")</f>
        <v>Pas de correspondance</v>
      </c>
      <c r="S20" s="1" t="e">
        <f>Logs[[#This Row],[Duree_Cumulee_Panne_Min]]/1440</f>
        <v>#VALUE!</v>
      </c>
      <c r="T20" s="1" t="str">
        <f>_xlfn.XLOOKUP(Logs[[#This Row],[ID_Client]],Clients_Log!B:B,Clients_Log!H:H,"Pas de correspondance")</f>
        <v>Pas de correspondance</v>
      </c>
      <c r="U20" s="1" t="str">
        <f>_xlfn.XLOOKUP(Logs[[#This Row],[ID_Client]],Clients_Log!B:B,Clients_Log!I:I,"Pas de correspondance")</f>
        <v>Pas de correspondance</v>
      </c>
      <c r="V2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0" s="1" t="e">
        <f>Logs[[#This Row],[Facture_Mensuelle]]*Logs[[#This Row],[Remise (%)]]</f>
        <v>#VALUE!</v>
      </c>
    </row>
    <row r="21" spans="1:23" x14ac:dyDescent="0.25">
      <c r="A21" s="1" t="s">
        <v>804</v>
      </c>
      <c r="B21" s="2">
        <v>45208</v>
      </c>
      <c r="C21" s="1" t="str">
        <f>_xlfn.XLOOKUP(Logs[[#This Row],[Province_RDC]],Clients_Log!D:D,Clients_Log!B:B,"Pas de correspondance")</f>
        <v>CLI-00131</v>
      </c>
      <c r="D21" t="str">
        <f>_xlfn.XLOOKUP(Logs[[#This Row],[Cell_ID]],'Registre_Maintenance'!B:B,'Registre_Maintenance'!C:C,"Pas de correspondance")</f>
        <v>Lomami</v>
      </c>
      <c r="E21" s="3">
        <v>7.3611111111111113E-2</v>
      </c>
      <c r="F21" s="1" t="s">
        <v>819</v>
      </c>
      <c r="G21" s="3">
        <f>Logs[[#This Row],[Duree_Panne_Min]]/1440</f>
        <v>5.9027777777777776E-2</v>
      </c>
      <c r="H21">
        <v>85</v>
      </c>
      <c r="I21">
        <f>_xlfn.XLOOKUP(Logs[[#This Row],[Cell_ID]],'Registre_Maintenance'!B:B,'Registre_Maintenance'!D:D,"Pas de correspondance")</f>
        <v>-8.4227860000000003</v>
      </c>
      <c r="J21">
        <f>_xlfn.XLOOKUP(Logs[[#This Row],[Cell_ID]],'Registre_Maintenance'!B:B,'Registre_Maintenance'!E:E,"Pas de correspondance")</f>
        <v>16.781293000000002</v>
      </c>
      <c r="K21" t="str">
        <f>_xlfn.XLOOKUP(Logs[[#This Row],[Cell_ID]],'Registre_Maintenance'!B:B,'Registre_Maintenance'!F:F,"Pas de correspondance")</f>
        <v>4G</v>
      </c>
      <c r="L21" t="str">
        <f>_xlfn.XLOOKUP(Logs[[#This Row],[Cell_ID]],'Registre_Maintenance'!B:B,'Registre_Maintenance'!G:G,"Pas de correspondance")</f>
        <v>Huawei</v>
      </c>
      <c r="M21" s="1" t="s">
        <v>809</v>
      </c>
      <c r="N21" s="1">
        <f>_xlfn.XLOOKUP(Logs[[#This Row],[ID_Client]],Clients_Log!B:B,Clients_Log!E:E,"Pas de correspondance")</f>
        <v>101</v>
      </c>
      <c r="O21" s="4">
        <f>IFERROR(Logs[[#This Row],[Anciennete_Mois]]/12,"")</f>
        <v>8.4166666666666661</v>
      </c>
      <c r="P21" s="1" t="str">
        <f>_xlfn.XLOOKUP(Logs[[#This Row],[ID_Client]],Clients_Log!B:B,Clients_Log!F:F,"Pas de correspondance")</f>
        <v>Pro Monde</v>
      </c>
      <c r="Q21" s="1" t="str">
        <f>IF(Logs[[#This Row],[Type_Forfait]]="Pro Monde","B2B","B2C")</f>
        <v>B2B</v>
      </c>
      <c r="R21" s="1">
        <f>_xlfn.XLOOKUP(Logs[[#This Row],[ID_Client]],Clients_Log!B:B,Clients_Log!G:G,"Pas de correspondance")</f>
        <v>176</v>
      </c>
      <c r="S21" s="3">
        <f>Logs[[#This Row],[Duree_Cumulee_Panne_Min]]/1440</f>
        <v>0.12222222222222222</v>
      </c>
      <c r="T21" s="1">
        <f>_xlfn.XLOOKUP(Logs[[#This Row],[ID_Client]],Clients_Log!B:B,Clients_Log!H:H,"Pas de correspondance")</f>
        <v>86</v>
      </c>
      <c r="U21" s="1">
        <f>_xlfn.XLOOKUP(Logs[[#This Row],[ID_Client]],Clients_Log!B:B,Clients_Log!I:I,"Pas de correspondance")</f>
        <v>3</v>
      </c>
      <c r="V2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21" s="1">
        <f>Logs[[#This Row],[Facture_Mensuelle]]*Logs[[#This Row],[Remise (%)]]</f>
        <v>8.6</v>
      </c>
    </row>
    <row r="22" spans="1:23" x14ac:dyDescent="0.25">
      <c r="A22" s="1" t="s">
        <v>804</v>
      </c>
      <c r="B22" s="2">
        <v>45214</v>
      </c>
      <c r="C22" s="1" t="str">
        <f>_xlfn.XLOOKUP(Logs[[#This Row],[Province_RDC]],Clients_Log!D:D,Clients_Log!B:B,"Pas de correspondance")</f>
        <v>CLI-00076</v>
      </c>
      <c r="D22" t="str">
        <f>_xlfn.XLOOKUP(Logs[[#This Row],[Cell_ID]],'Registre_Maintenance'!B:B,'Registre_Maintenance'!C:C,"Pas de correspondance")</f>
        <v>Haut-Katanga</v>
      </c>
      <c r="E22" s="3">
        <v>0.71319444444444446</v>
      </c>
      <c r="F22" s="1" t="s">
        <v>827</v>
      </c>
      <c r="G22" s="3">
        <f>Logs[[#This Row],[Duree_Panne_Min]]/1440</f>
        <v>1.7361111111111112E-2</v>
      </c>
      <c r="H22">
        <v>25</v>
      </c>
      <c r="I22">
        <f>_xlfn.XLOOKUP(Logs[[#This Row],[Cell_ID]],'Registre_Maintenance'!B:B,'Registre_Maintenance'!D:D,"Pas de correspondance")</f>
        <v>0.172153</v>
      </c>
      <c r="J22">
        <f>_xlfn.XLOOKUP(Logs[[#This Row],[Cell_ID]],'Registre_Maintenance'!B:B,'Registre_Maintenance'!E:E,"Pas de correspondance")</f>
        <v>21.091376</v>
      </c>
      <c r="K22" t="str">
        <f>_xlfn.XLOOKUP(Logs[[#This Row],[Cell_ID]],'Registre_Maintenance'!B:B,'Registre_Maintenance'!F:F,"Pas de correspondance")</f>
        <v>3G</v>
      </c>
      <c r="L22" t="str">
        <f>_xlfn.XLOOKUP(Logs[[#This Row],[Cell_ID]],'Registre_Maintenance'!B:B,'Registre_Maintenance'!G:G,"Pas de correspondance")</f>
        <v>Ericsson</v>
      </c>
      <c r="M22" s="1" t="s">
        <v>806</v>
      </c>
      <c r="N22" s="1">
        <f>_xlfn.XLOOKUP(Logs[[#This Row],[ID_Client]],Clients_Log!B:B,Clients_Log!E:E,"Pas de correspondance")</f>
        <v>46</v>
      </c>
      <c r="O22" s="4">
        <f>IFERROR(Logs[[#This Row],[Anciennete_Mois]]/12,"")</f>
        <v>3.8333333333333335</v>
      </c>
      <c r="P22" s="1" t="str">
        <f>_xlfn.XLOOKUP(Logs[[#This Row],[ID_Client]],Clients_Log!B:B,Clients_Log!F:F,"Pas de correspondance")</f>
        <v>Premium 5G 150Go</v>
      </c>
      <c r="Q22" s="1" t="str">
        <f>IF(Logs[[#This Row],[Type_Forfait]]="Pro Monde","B2B","B2C")</f>
        <v>B2C</v>
      </c>
      <c r="R22" s="1">
        <f>_xlfn.XLOOKUP(Logs[[#This Row],[ID_Client]],Clients_Log!B:B,Clients_Log!G:G,"Pas de correspondance")</f>
        <v>283</v>
      </c>
      <c r="S22" s="3">
        <f>Logs[[#This Row],[Duree_Cumulee_Panne_Min]]/1440</f>
        <v>0.19652777777777777</v>
      </c>
      <c r="T22" s="1">
        <f>_xlfn.XLOOKUP(Logs[[#This Row],[ID_Client]],Clients_Log!B:B,Clients_Log!H:H,"Pas de correspondance")</f>
        <v>56.05</v>
      </c>
      <c r="U22" s="1">
        <f>_xlfn.XLOOKUP(Logs[[#This Row],[ID_Client]],Clients_Log!B:B,Clients_Log!I:I,"Pas de correspondance")</f>
        <v>1</v>
      </c>
      <c r="V2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2" s="1">
        <f>Logs[[#This Row],[Facture_Mensuelle]]*Logs[[#This Row],[Remise (%)]]</f>
        <v>25.2225</v>
      </c>
    </row>
    <row r="23" spans="1:23" hidden="1" x14ac:dyDescent="0.25">
      <c r="A23" s="1" t="s">
        <v>804</v>
      </c>
      <c r="B23" s="2">
        <v>45229</v>
      </c>
      <c r="C23" s="1" t="str">
        <f>_xlfn.XLOOKUP(Logs[[#This Row],[Province_RDC]],Clients_Log!D:D,Clients_Log!B:B,"Pas de correspondance")</f>
        <v>Pas de correspondance</v>
      </c>
      <c r="D23" t="str">
        <f>_xlfn.XLOOKUP(Logs[[#This Row],[Cell_ID]],'Registre_Maintenance'!B:B,'Registre_Maintenance'!C:C,"Pas de correspondance")</f>
        <v>Pas de correspondance</v>
      </c>
      <c r="E23" s="3">
        <v>0.50347222222222221</v>
      </c>
      <c r="F23" s="1" t="s">
        <v>828</v>
      </c>
      <c r="G23" s="3">
        <f>Logs[[#This Row],[Duree_Panne_Min]]/1440</f>
        <v>7.3611111111111113E-2</v>
      </c>
      <c r="H23">
        <v>106</v>
      </c>
      <c r="I23" t="str">
        <f>_xlfn.XLOOKUP(Logs[[#This Row],[Cell_ID]],'Registre_Maintenance'!B:B,'Registre_Maintenance'!D:D,"Pas de correspondance")</f>
        <v>Pas de correspondance</v>
      </c>
      <c r="J23" t="str">
        <f>_xlfn.XLOOKUP(Logs[[#This Row],[Cell_ID]],'Registre_Maintenance'!B:B,'Registre_Maintenance'!E:E,"Pas de correspondance")</f>
        <v>Pas de correspondance</v>
      </c>
      <c r="K23" t="str">
        <f>_xlfn.XLOOKUP(Logs[[#This Row],[Cell_ID]],'Registre_Maintenance'!B:B,'Registre_Maintenance'!F:F,"Pas de correspondance")</f>
        <v>Pas de correspondance</v>
      </c>
      <c r="L23" t="str">
        <f>_xlfn.XLOOKUP(Logs[[#This Row],[Cell_ID]],'Registre_Maintenance'!B:B,'Registre_Maintenance'!G:G,"Pas de correspondance")</f>
        <v>Pas de correspondance</v>
      </c>
      <c r="M23" s="1" t="s">
        <v>809</v>
      </c>
      <c r="N23" s="1" t="str">
        <f>_xlfn.XLOOKUP(Logs[[#This Row],[ID_Client]],Clients_Log!B:B,Clients_Log!E:E,"Pas de correspondance")</f>
        <v>Pas de correspondance</v>
      </c>
      <c r="O23" s="4" t="str">
        <f>IFERROR(Logs[[#This Row],[Anciennete_Mois]]/12,"")</f>
        <v/>
      </c>
      <c r="P23" s="1" t="str">
        <f>_xlfn.XLOOKUP(Logs[[#This Row],[ID_Client]],Clients_Log!B:B,Clients_Log!F:F,"Pas de correspondance")</f>
        <v>Pas de correspondance</v>
      </c>
      <c r="Q23" s="1" t="str">
        <f>IF(Logs[[#This Row],[Type_Forfait]]="Pro Monde","B2B","B2C")</f>
        <v>B2C</v>
      </c>
      <c r="R23" s="1" t="str">
        <f>_xlfn.XLOOKUP(Logs[[#This Row],[ID_Client]],Clients_Log!B:B,Clients_Log!G:G,"Pas de correspondance")</f>
        <v>Pas de correspondance</v>
      </c>
      <c r="S23" s="1" t="e">
        <f>Logs[[#This Row],[Duree_Cumulee_Panne_Min]]/1440</f>
        <v>#VALUE!</v>
      </c>
      <c r="T23" s="1" t="str">
        <f>_xlfn.XLOOKUP(Logs[[#This Row],[ID_Client]],Clients_Log!B:B,Clients_Log!H:H,"Pas de correspondance")</f>
        <v>Pas de correspondance</v>
      </c>
      <c r="U23" s="1" t="str">
        <f>_xlfn.XLOOKUP(Logs[[#This Row],[ID_Client]],Clients_Log!B:B,Clients_Log!I:I,"Pas de correspondance")</f>
        <v>Pas de correspondance</v>
      </c>
      <c r="V2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3" s="1" t="e">
        <f>Logs[[#This Row],[Facture_Mensuelle]]*Logs[[#This Row],[Remise (%)]]</f>
        <v>#VALUE!</v>
      </c>
    </row>
    <row r="24" spans="1:23" hidden="1" x14ac:dyDescent="0.25">
      <c r="A24" s="1" t="s">
        <v>804</v>
      </c>
      <c r="B24" s="2">
        <v>45217</v>
      </c>
      <c r="C24" s="1" t="str">
        <f>_xlfn.XLOOKUP(Logs[[#This Row],[Province_RDC]],Clients_Log!D:D,Clients_Log!B:B,"Pas de correspondance")</f>
        <v>Pas de correspondance</v>
      </c>
      <c r="D24" t="str">
        <f>_xlfn.XLOOKUP(Logs[[#This Row],[Cell_ID]],'Registre_Maintenance'!B:B,'Registre_Maintenance'!C:C,"Pas de correspondance")</f>
        <v>Pas de correspondance</v>
      </c>
      <c r="E24" s="3">
        <v>0.41180555555555554</v>
      </c>
      <c r="F24" s="1" t="s">
        <v>829</v>
      </c>
      <c r="G24" s="3">
        <f>Logs[[#This Row],[Duree_Panne_Min]]/1440</f>
        <v>6.3888888888888884E-2</v>
      </c>
      <c r="H24">
        <v>92</v>
      </c>
      <c r="I24" t="str">
        <f>_xlfn.XLOOKUP(Logs[[#This Row],[Cell_ID]],'Registre_Maintenance'!B:B,'Registre_Maintenance'!D:D,"Pas de correspondance")</f>
        <v>Pas de correspondance</v>
      </c>
      <c r="J24" t="str">
        <f>_xlfn.XLOOKUP(Logs[[#This Row],[Cell_ID]],'Registre_Maintenance'!B:B,'Registre_Maintenance'!E:E,"Pas de correspondance")</f>
        <v>Pas de correspondance</v>
      </c>
      <c r="K24" t="str">
        <f>_xlfn.XLOOKUP(Logs[[#This Row],[Cell_ID]],'Registre_Maintenance'!B:B,'Registre_Maintenance'!F:F,"Pas de correspondance")</f>
        <v>Pas de correspondance</v>
      </c>
      <c r="L24" t="str">
        <f>_xlfn.XLOOKUP(Logs[[#This Row],[Cell_ID]],'Registre_Maintenance'!B:B,'Registre_Maintenance'!G:G,"Pas de correspondance")</f>
        <v>Pas de correspondance</v>
      </c>
      <c r="M24" s="1" t="s">
        <v>811</v>
      </c>
      <c r="N24" s="1" t="str">
        <f>_xlfn.XLOOKUP(Logs[[#This Row],[ID_Client]],Clients_Log!B:B,Clients_Log!E:E,"Pas de correspondance")</f>
        <v>Pas de correspondance</v>
      </c>
      <c r="O24" s="4" t="str">
        <f>IFERROR(Logs[[#This Row],[Anciennete_Mois]]/12,"")</f>
        <v/>
      </c>
      <c r="P24" s="1" t="str">
        <f>_xlfn.XLOOKUP(Logs[[#This Row],[ID_Client]],Clients_Log!B:B,Clients_Log!F:F,"Pas de correspondance")</f>
        <v>Pas de correspondance</v>
      </c>
      <c r="Q24" s="1" t="str">
        <f>IF(Logs[[#This Row],[Type_Forfait]]="Pro Monde","B2B","B2C")</f>
        <v>B2C</v>
      </c>
      <c r="R24" s="1" t="str">
        <f>_xlfn.XLOOKUP(Logs[[#This Row],[ID_Client]],Clients_Log!B:B,Clients_Log!G:G,"Pas de correspondance")</f>
        <v>Pas de correspondance</v>
      </c>
      <c r="S24" s="1" t="e">
        <f>Logs[[#This Row],[Duree_Cumulee_Panne_Min]]/1440</f>
        <v>#VALUE!</v>
      </c>
      <c r="T24" s="1" t="str">
        <f>_xlfn.XLOOKUP(Logs[[#This Row],[ID_Client]],Clients_Log!B:B,Clients_Log!H:H,"Pas de correspondance")</f>
        <v>Pas de correspondance</v>
      </c>
      <c r="U24" s="1" t="str">
        <f>_xlfn.XLOOKUP(Logs[[#This Row],[ID_Client]],Clients_Log!B:B,Clients_Log!I:I,"Pas de correspondance")</f>
        <v>Pas de correspondance</v>
      </c>
      <c r="V2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4" s="1" t="e">
        <f>Logs[[#This Row],[Facture_Mensuelle]]*Logs[[#This Row],[Remise (%)]]</f>
        <v>#VALUE!</v>
      </c>
    </row>
    <row r="25" spans="1:23" hidden="1" x14ac:dyDescent="0.25">
      <c r="A25" s="1" t="s">
        <v>804</v>
      </c>
      <c r="B25" s="2">
        <v>45220</v>
      </c>
      <c r="C25" s="1" t="str">
        <f>_xlfn.XLOOKUP(Logs[[#This Row],[Province_RDC]],Clients_Log!D:D,Clients_Log!B:B,"Pas de correspondance")</f>
        <v>Pas de correspondance</v>
      </c>
      <c r="D25" t="str">
        <f>_xlfn.XLOOKUP(Logs[[#This Row],[Cell_ID]],'Registre_Maintenance'!B:B,'Registre_Maintenance'!C:C,"Pas de correspondance")</f>
        <v>Pas de correspondance</v>
      </c>
      <c r="E25" s="3">
        <v>0.8305555555555556</v>
      </c>
      <c r="F25" s="1" t="s">
        <v>830</v>
      </c>
      <c r="G25" s="3">
        <f>Logs[[#This Row],[Duree_Panne_Min]]/1440</f>
        <v>4.0972222222222222E-2</v>
      </c>
      <c r="H25">
        <v>59</v>
      </c>
      <c r="I25" t="str">
        <f>_xlfn.XLOOKUP(Logs[[#This Row],[Cell_ID]],'Registre_Maintenance'!B:B,'Registre_Maintenance'!D:D,"Pas de correspondance")</f>
        <v>Pas de correspondance</v>
      </c>
      <c r="J25" t="str">
        <f>_xlfn.XLOOKUP(Logs[[#This Row],[Cell_ID]],'Registre_Maintenance'!B:B,'Registre_Maintenance'!E:E,"Pas de correspondance")</f>
        <v>Pas de correspondance</v>
      </c>
      <c r="K25" t="str">
        <f>_xlfn.XLOOKUP(Logs[[#This Row],[Cell_ID]],'Registre_Maintenance'!B:B,'Registre_Maintenance'!F:F,"Pas de correspondance")</f>
        <v>Pas de correspondance</v>
      </c>
      <c r="L25" t="str">
        <f>_xlfn.XLOOKUP(Logs[[#This Row],[Cell_ID]],'Registre_Maintenance'!B:B,'Registre_Maintenance'!G:G,"Pas de correspondance")</f>
        <v>Pas de correspondance</v>
      </c>
      <c r="M25" s="1" t="s">
        <v>811</v>
      </c>
      <c r="N25" s="1" t="str">
        <f>_xlfn.XLOOKUP(Logs[[#This Row],[ID_Client]],Clients_Log!B:B,Clients_Log!E:E,"Pas de correspondance")</f>
        <v>Pas de correspondance</v>
      </c>
      <c r="O25" s="4" t="str">
        <f>IFERROR(Logs[[#This Row],[Anciennete_Mois]]/12,"")</f>
        <v/>
      </c>
      <c r="P25" s="1" t="str">
        <f>_xlfn.XLOOKUP(Logs[[#This Row],[ID_Client]],Clients_Log!B:B,Clients_Log!F:F,"Pas de correspondance")</f>
        <v>Pas de correspondance</v>
      </c>
      <c r="Q25" s="1" t="str">
        <f>IF(Logs[[#This Row],[Type_Forfait]]="Pro Monde","B2B","B2C")</f>
        <v>B2C</v>
      </c>
      <c r="R25" s="1" t="str">
        <f>_xlfn.XLOOKUP(Logs[[#This Row],[ID_Client]],Clients_Log!B:B,Clients_Log!G:G,"Pas de correspondance")</f>
        <v>Pas de correspondance</v>
      </c>
      <c r="S25" s="1" t="e">
        <f>Logs[[#This Row],[Duree_Cumulee_Panne_Min]]/1440</f>
        <v>#VALUE!</v>
      </c>
      <c r="T25" s="1" t="str">
        <f>_xlfn.XLOOKUP(Logs[[#This Row],[ID_Client]],Clients_Log!B:B,Clients_Log!H:H,"Pas de correspondance")</f>
        <v>Pas de correspondance</v>
      </c>
      <c r="U25" s="1" t="str">
        <f>_xlfn.XLOOKUP(Logs[[#This Row],[ID_Client]],Clients_Log!B:B,Clients_Log!I:I,"Pas de correspondance")</f>
        <v>Pas de correspondance</v>
      </c>
      <c r="V2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5" s="1" t="e">
        <f>Logs[[#This Row],[Facture_Mensuelle]]*Logs[[#This Row],[Remise (%)]]</f>
        <v>#VALUE!</v>
      </c>
    </row>
    <row r="26" spans="1:23" hidden="1" x14ac:dyDescent="0.25">
      <c r="A26" s="1" t="s">
        <v>804</v>
      </c>
      <c r="B26" s="2">
        <v>45227</v>
      </c>
      <c r="C26" s="1" t="str">
        <f>_xlfn.XLOOKUP(Logs[[#This Row],[Province_RDC]],Clients_Log!D:D,Clients_Log!B:B,"Pas de correspondance")</f>
        <v>Pas de correspondance</v>
      </c>
      <c r="D26" t="str">
        <f>_xlfn.XLOOKUP(Logs[[#This Row],[Cell_ID]],'Registre_Maintenance'!B:B,'Registre_Maintenance'!C:C,"Pas de correspondance")</f>
        <v>Pas de correspondance</v>
      </c>
      <c r="E26" s="3">
        <v>0.48333333333333334</v>
      </c>
      <c r="F26" s="1" t="s">
        <v>817</v>
      </c>
      <c r="G26" s="3">
        <f>Logs[[#This Row],[Duree_Panne_Min]]/1440</f>
        <v>5.6250000000000001E-2</v>
      </c>
      <c r="H26">
        <v>81</v>
      </c>
      <c r="I26" t="str">
        <f>_xlfn.XLOOKUP(Logs[[#This Row],[Cell_ID]],'Registre_Maintenance'!B:B,'Registre_Maintenance'!D:D,"Pas de correspondance")</f>
        <v>Pas de correspondance</v>
      </c>
      <c r="J26" t="str">
        <f>_xlfn.XLOOKUP(Logs[[#This Row],[Cell_ID]],'Registre_Maintenance'!B:B,'Registre_Maintenance'!E:E,"Pas de correspondance")</f>
        <v>Pas de correspondance</v>
      </c>
      <c r="K26" t="str">
        <f>_xlfn.XLOOKUP(Logs[[#This Row],[Cell_ID]],'Registre_Maintenance'!B:B,'Registre_Maintenance'!F:F,"Pas de correspondance")</f>
        <v>Pas de correspondance</v>
      </c>
      <c r="L26" t="str">
        <f>_xlfn.XLOOKUP(Logs[[#This Row],[Cell_ID]],'Registre_Maintenance'!B:B,'Registre_Maintenance'!G:G,"Pas de correspondance")</f>
        <v>Pas de correspondance</v>
      </c>
      <c r="M26" s="1" t="s">
        <v>809</v>
      </c>
      <c r="N26" s="1" t="str">
        <f>_xlfn.XLOOKUP(Logs[[#This Row],[ID_Client]],Clients_Log!B:B,Clients_Log!E:E,"Pas de correspondance")</f>
        <v>Pas de correspondance</v>
      </c>
      <c r="O26" s="4" t="str">
        <f>IFERROR(Logs[[#This Row],[Anciennete_Mois]]/12,"")</f>
        <v/>
      </c>
      <c r="P26" s="1" t="str">
        <f>_xlfn.XLOOKUP(Logs[[#This Row],[ID_Client]],Clients_Log!B:B,Clients_Log!F:F,"Pas de correspondance")</f>
        <v>Pas de correspondance</v>
      </c>
      <c r="Q26" s="1" t="str">
        <f>IF(Logs[[#This Row],[Type_Forfait]]="Pro Monde","B2B","B2C")</f>
        <v>B2C</v>
      </c>
      <c r="R26" s="1" t="str">
        <f>_xlfn.XLOOKUP(Logs[[#This Row],[ID_Client]],Clients_Log!B:B,Clients_Log!G:G,"Pas de correspondance")</f>
        <v>Pas de correspondance</v>
      </c>
      <c r="S26" s="1" t="e">
        <f>Logs[[#This Row],[Duree_Cumulee_Panne_Min]]/1440</f>
        <v>#VALUE!</v>
      </c>
      <c r="T26" s="1" t="str">
        <f>_xlfn.XLOOKUP(Logs[[#This Row],[ID_Client]],Clients_Log!B:B,Clients_Log!H:H,"Pas de correspondance")</f>
        <v>Pas de correspondance</v>
      </c>
      <c r="U26" s="1" t="str">
        <f>_xlfn.XLOOKUP(Logs[[#This Row],[ID_Client]],Clients_Log!B:B,Clients_Log!I:I,"Pas de correspondance")</f>
        <v>Pas de correspondance</v>
      </c>
      <c r="V2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6" s="1" t="e">
        <f>Logs[[#This Row],[Facture_Mensuelle]]*Logs[[#This Row],[Remise (%)]]</f>
        <v>#VALUE!</v>
      </c>
    </row>
    <row r="27" spans="1:23" x14ac:dyDescent="0.25">
      <c r="A27" s="1" t="s">
        <v>804</v>
      </c>
      <c r="B27" s="2">
        <v>45206</v>
      </c>
      <c r="C27" s="1" t="str">
        <f>_xlfn.XLOOKUP(Logs[[#This Row],[Province_RDC]],Clients_Log!D:D,Clients_Log!B:B,"Pas de correspondance")</f>
        <v>CLI-00280</v>
      </c>
      <c r="D27" t="str">
        <f>_xlfn.XLOOKUP(Logs[[#This Row],[Cell_ID]],'Registre_Maintenance'!B:B,'Registre_Maintenance'!C:C,"Pas de correspondance")</f>
        <v>Sud-Ubangi</v>
      </c>
      <c r="E27" s="3">
        <v>0.9194444444444444</v>
      </c>
      <c r="F27" s="1" t="s">
        <v>831</v>
      </c>
      <c r="G27" s="3">
        <f>Logs[[#This Row],[Duree_Panne_Min]]/1440</f>
        <v>9.0277777777777769E-3</v>
      </c>
      <c r="H27">
        <v>13</v>
      </c>
      <c r="I27">
        <f>_xlfn.XLOOKUP(Logs[[#This Row],[Cell_ID]],'Registre_Maintenance'!B:B,'Registre_Maintenance'!D:D,"Pas de correspondance")</f>
        <v>-10.56448</v>
      </c>
      <c r="J27">
        <f>_xlfn.XLOOKUP(Logs[[#This Row],[Cell_ID]],'Registre_Maintenance'!B:B,'Registre_Maintenance'!E:E,"Pas de correspondance")</f>
        <v>19.792876</v>
      </c>
      <c r="K27" t="str">
        <f>_xlfn.XLOOKUP(Logs[[#This Row],[Cell_ID]],'Registre_Maintenance'!B:B,'Registre_Maintenance'!F:F,"Pas de correspondance")</f>
        <v>5G</v>
      </c>
      <c r="L27" t="str">
        <f>_xlfn.XLOOKUP(Logs[[#This Row],[Cell_ID]],'Registre_Maintenance'!B:B,'Registre_Maintenance'!G:G,"Pas de correspondance")</f>
        <v>Ericsson</v>
      </c>
      <c r="M27" s="1" t="s">
        <v>809</v>
      </c>
      <c r="N27" s="1">
        <f>_xlfn.XLOOKUP(Logs[[#This Row],[ID_Client]],Clients_Log!B:B,Clients_Log!E:E,"Pas de correspondance")</f>
        <v>113</v>
      </c>
      <c r="O27" s="4">
        <f>IFERROR(Logs[[#This Row],[Anciennete_Mois]]/12,"")</f>
        <v>9.4166666666666661</v>
      </c>
      <c r="P27" s="1" t="str">
        <f>_xlfn.XLOOKUP(Logs[[#This Row],[ID_Client]],Clients_Log!B:B,Clients_Log!F:F,"Pas de correspondance")</f>
        <v>Illimité 50Go</v>
      </c>
      <c r="Q27" s="1" t="str">
        <f>IF(Logs[[#This Row],[Type_Forfait]]="Pro Monde","B2B","B2C")</f>
        <v>B2C</v>
      </c>
      <c r="R27" s="1">
        <f>_xlfn.XLOOKUP(Logs[[#This Row],[ID_Client]],Clients_Log!B:B,Clients_Log!G:G,"Pas de correspondance")</f>
        <v>380</v>
      </c>
      <c r="S27" s="3">
        <f>Logs[[#This Row],[Duree_Cumulee_Panne_Min]]/1440</f>
        <v>0.2638888888888889</v>
      </c>
      <c r="T27" s="1">
        <f>_xlfn.XLOOKUP(Logs[[#This Row],[ID_Client]],Clients_Log!B:B,Clients_Log!H:H,"Pas de correspondance")</f>
        <v>12.11</v>
      </c>
      <c r="U27" s="1">
        <f>_xlfn.XLOOKUP(Logs[[#This Row],[ID_Client]],Clients_Log!B:B,Clients_Log!I:I,"Pas de correspondance")</f>
        <v>0</v>
      </c>
      <c r="V2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7" s="1">
        <f>Logs[[#This Row],[Facture_Mensuelle]]*Logs[[#This Row],[Remise (%)]]</f>
        <v>5.4494999999999996</v>
      </c>
    </row>
    <row r="28" spans="1:23" x14ac:dyDescent="0.25">
      <c r="A28" s="1" t="s">
        <v>804</v>
      </c>
      <c r="B28" s="2">
        <v>45201</v>
      </c>
      <c r="C28" s="1" t="str">
        <f>_xlfn.XLOOKUP(Logs[[#This Row],[Province_RDC]],Clients_Log!D:D,Clients_Log!B:B,"Pas de correspondance")</f>
        <v>CLI-00837</v>
      </c>
      <c r="D28" t="str">
        <f>_xlfn.XLOOKUP(Logs[[#This Row],[Cell_ID]],'Registre_Maintenance'!B:B,'Registre_Maintenance'!C:C,"Pas de correspondance")</f>
        <v>Nord-Kivu</v>
      </c>
      <c r="E28" s="3">
        <v>0.88472222222222219</v>
      </c>
      <c r="F28" s="1" t="s">
        <v>832</v>
      </c>
      <c r="G28" s="3">
        <f>Logs[[#This Row],[Duree_Panne_Min]]/1440</f>
        <v>3.7499999999999999E-2</v>
      </c>
      <c r="H28">
        <v>54</v>
      </c>
      <c r="I28">
        <f>_xlfn.XLOOKUP(Logs[[#This Row],[Cell_ID]],'Registre_Maintenance'!B:B,'Registre_Maintenance'!D:D,"Pas de correspondance")</f>
        <v>4.6287159999999998</v>
      </c>
      <c r="J28">
        <f>_xlfn.XLOOKUP(Logs[[#This Row],[Cell_ID]],'Registre_Maintenance'!B:B,'Registre_Maintenance'!E:E,"Pas de correspondance")</f>
        <v>19.407077999999998</v>
      </c>
      <c r="K28" t="str">
        <f>_xlfn.XLOOKUP(Logs[[#This Row],[Cell_ID]],'Registre_Maintenance'!B:B,'Registre_Maintenance'!F:F,"Pas de correspondance")</f>
        <v>4G</v>
      </c>
      <c r="L28" t="str">
        <f>_xlfn.XLOOKUP(Logs[[#This Row],[Cell_ID]],'Registre_Maintenance'!B:B,'Registre_Maintenance'!G:G,"Pas de correspondance")</f>
        <v>Ericsson</v>
      </c>
      <c r="M28" s="1" t="s">
        <v>811</v>
      </c>
      <c r="N28" s="1">
        <f>_xlfn.XLOOKUP(Logs[[#This Row],[ID_Client]],Clients_Log!B:B,Clients_Log!E:E,"Pas de correspondance")</f>
        <v>16</v>
      </c>
      <c r="O28" s="4">
        <f>IFERROR(Logs[[#This Row],[Anciennete_Mois]]/12,"")</f>
        <v>1.3333333333333333</v>
      </c>
      <c r="P28" s="1" t="str">
        <f>_xlfn.XLOOKUP(Logs[[#This Row],[ID_Client]],Clients_Log!B:B,Clients_Log!F:F,"Pas de correspondance")</f>
        <v>Bloqué 5Go</v>
      </c>
      <c r="Q28" s="1" t="str">
        <f>IF(Logs[[#This Row],[Type_Forfait]]="Pro Monde","B2B","B2C")</f>
        <v>B2C</v>
      </c>
      <c r="R28" s="1">
        <f>_xlfn.XLOOKUP(Logs[[#This Row],[ID_Client]],Clients_Log!B:B,Clients_Log!G:G,"Pas de correspondance")</f>
        <v>390</v>
      </c>
      <c r="S28" s="3">
        <f>Logs[[#This Row],[Duree_Cumulee_Panne_Min]]/1440</f>
        <v>0.27083333333333331</v>
      </c>
      <c r="T28" s="1">
        <f>_xlfn.XLOOKUP(Logs[[#This Row],[ID_Client]],Clients_Log!B:B,Clients_Log!H:H,"Pas de correspondance")</f>
        <v>98.17</v>
      </c>
      <c r="U28" s="1">
        <f>_xlfn.XLOOKUP(Logs[[#This Row],[ID_Client]],Clients_Log!B:B,Clients_Log!I:I,"Pas de correspondance")</f>
        <v>5</v>
      </c>
      <c r="V2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8" s="1">
        <f>Logs[[#This Row],[Facture_Mensuelle]]*Logs[[#This Row],[Remise (%)]]</f>
        <v>44.176500000000004</v>
      </c>
    </row>
    <row r="29" spans="1:23" hidden="1" x14ac:dyDescent="0.25">
      <c r="A29" s="1" t="s">
        <v>804</v>
      </c>
      <c r="B29" s="2">
        <v>45224</v>
      </c>
      <c r="C29" s="1" t="str">
        <f>_xlfn.XLOOKUP(Logs[[#This Row],[Province_RDC]],Clients_Log!D:D,Clients_Log!B:B,"Pas de correspondance")</f>
        <v>Pas de correspondance</v>
      </c>
      <c r="D29" t="str">
        <f>_xlfn.XLOOKUP(Logs[[#This Row],[Cell_ID]],'Registre_Maintenance'!B:B,'Registre_Maintenance'!C:C,"Pas de correspondance")</f>
        <v>Pas de correspondance</v>
      </c>
      <c r="E29" s="3">
        <v>0.37847222222222221</v>
      </c>
      <c r="F29" s="1" t="s">
        <v>808</v>
      </c>
      <c r="G29" s="3">
        <f>Logs[[#This Row],[Duree_Panne_Min]]/1440</f>
        <v>3.6805555555555557E-2</v>
      </c>
      <c r="H29">
        <v>53</v>
      </c>
      <c r="I29" t="str">
        <f>_xlfn.XLOOKUP(Logs[[#This Row],[Cell_ID]],'Registre_Maintenance'!B:B,'Registre_Maintenance'!D:D,"Pas de correspondance")</f>
        <v>Pas de correspondance</v>
      </c>
      <c r="J29" t="str">
        <f>_xlfn.XLOOKUP(Logs[[#This Row],[Cell_ID]],'Registre_Maintenance'!B:B,'Registre_Maintenance'!E:E,"Pas de correspondance")</f>
        <v>Pas de correspondance</v>
      </c>
      <c r="K29" t="str">
        <f>_xlfn.XLOOKUP(Logs[[#This Row],[Cell_ID]],'Registre_Maintenance'!B:B,'Registre_Maintenance'!F:F,"Pas de correspondance")</f>
        <v>Pas de correspondance</v>
      </c>
      <c r="L29" t="str">
        <f>_xlfn.XLOOKUP(Logs[[#This Row],[Cell_ID]],'Registre_Maintenance'!B:B,'Registre_Maintenance'!G:G,"Pas de correspondance")</f>
        <v>Pas de correspondance</v>
      </c>
      <c r="M29" s="1" t="s">
        <v>811</v>
      </c>
      <c r="N29" s="1" t="str">
        <f>_xlfn.XLOOKUP(Logs[[#This Row],[ID_Client]],Clients_Log!B:B,Clients_Log!E:E,"Pas de correspondance")</f>
        <v>Pas de correspondance</v>
      </c>
      <c r="O29" s="4" t="str">
        <f>IFERROR(Logs[[#This Row],[Anciennete_Mois]]/12,"")</f>
        <v/>
      </c>
      <c r="P29" s="1" t="str">
        <f>_xlfn.XLOOKUP(Logs[[#This Row],[ID_Client]],Clients_Log!B:B,Clients_Log!F:F,"Pas de correspondance")</f>
        <v>Pas de correspondance</v>
      </c>
      <c r="Q29" s="1" t="str">
        <f>IF(Logs[[#This Row],[Type_Forfait]]="Pro Monde","B2B","B2C")</f>
        <v>B2C</v>
      </c>
      <c r="R29" s="1" t="str">
        <f>_xlfn.XLOOKUP(Logs[[#This Row],[ID_Client]],Clients_Log!B:B,Clients_Log!G:G,"Pas de correspondance")</f>
        <v>Pas de correspondance</v>
      </c>
      <c r="S29" s="1" t="e">
        <f>Logs[[#This Row],[Duree_Cumulee_Panne_Min]]/1440</f>
        <v>#VALUE!</v>
      </c>
      <c r="T29" s="1" t="str">
        <f>_xlfn.XLOOKUP(Logs[[#This Row],[ID_Client]],Clients_Log!B:B,Clients_Log!H:H,"Pas de correspondance")</f>
        <v>Pas de correspondance</v>
      </c>
      <c r="U29" s="1" t="str">
        <f>_xlfn.XLOOKUP(Logs[[#This Row],[ID_Client]],Clients_Log!B:B,Clients_Log!I:I,"Pas de correspondance")</f>
        <v>Pas de correspondance</v>
      </c>
      <c r="V2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9" s="1" t="e">
        <f>Logs[[#This Row],[Facture_Mensuelle]]*Logs[[#This Row],[Remise (%)]]</f>
        <v>#VALUE!</v>
      </c>
    </row>
    <row r="30" spans="1:23" hidden="1" x14ac:dyDescent="0.25">
      <c r="A30" s="1" t="s">
        <v>804</v>
      </c>
      <c r="B30" s="2">
        <v>45227</v>
      </c>
      <c r="C30" s="1" t="str">
        <f>_xlfn.XLOOKUP(Logs[[#This Row],[Province_RDC]],Clients_Log!D:D,Clients_Log!B:B,"Pas de correspondance")</f>
        <v>Pas de correspondance</v>
      </c>
      <c r="D30" t="str">
        <f>_xlfn.XLOOKUP(Logs[[#This Row],[Cell_ID]],'Registre_Maintenance'!B:B,'Registre_Maintenance'!C:C,"Pas de correspondance")</f>
        <v>Pas de correspondance</v>
      </c>
      <c r="E30" s="3">
        <v>0.3298611111111111</v>
      </c>
      <c r="F30" s="1" t="s">
        <v>833</v>
      </c>
      <c r="G30" s="3">
        <f>Logs[[#This Row],[Duree_Panne_Min]]/1440</f>
        <v>5.6250000000000001E-2</v>
      </c>
      <c r="H30">
        <v>81</v>
      </c>
      <c r="I30" t="str">
        <f>_xlfn.XLOOKUP(Logs[[#This Row],[Cell_ID]],'Registre_Maintenance'!B:B,'Registre_Maintenance'!D:D,"Pas de correspondance")</f>
        <v>Pas de correspondance</v>
      </c>
      <c r="J30" t="str">
        <f>_xlfn.XLOOKUP(Logs[[#This Row],[Cell_ID]],'Registre_Maintenance'!B:B,'Registre_Maintenance'!E:E,"Pas de correspondance")</f>
        <v>Pas de correspondance</v>
      </c>
      <c r="K30" t="str">
        <f>_xlfn.XLOOKUP(Logs[[#This Row],[Cell_ID]],'Registre_Maintenance'!B:B,'Registre_Maintenance'!F:F,"Pas de correspondance")</f>
        <v>Pas de correspondance</v>
      </c>
      <c r="L30" t="str">
        <f>_xlfn.XLOOKUP(Logs[[#This Row],[Cell_ID]],'Registre_Maintenance'!B:B,'Registre_Maintenance'!G:G,"Pas de correspondance")</f>
        <v>Pas de correspondance</v>
      </c>
      <c r="M30" s="1" t="s">
        <v>809</v>
      </c>
      <c r="N30" s="1" t="str">
        <f>_xlfn.XLOOKUP(Logs[[#This Row],[ID_Client]],Clients_Log!B:B,Clients_Log!E:E,"Pas de correspondance")</f>
        <v>Pas de correspondance</v>
      </c>
      <c r="O30" s="4" t="str">
        <f>IFERROR(Logs[[#This Row],[Anciennete_Mois]]/12,"")</f>
        <v/>
      </c>
      <c r="P30" s="1" t="str">
        <f>_xlfn.XLOOKUP(Logs[[#This Row],[ID_Client]],Clients_Log!B:B,Clients_Log!F:F,"Pas de correspondance")</f>
        <v>Pas de correspondance</v>
      </c>
      <c r="Q30" s="1" t="str">
        <f>IF(Logs[[#This Row],[Type_Forfait]]="Pro Monde","B2B","B2C")</f>
        <v>B2C</v>
      </c>
      <c r="R30" s="1" t="str">
        <f>_xlfn.XLOOKUP(Logs[[#This Row],[ID_Client]],Clients_Log!B:B,Clients_Log!G:G,"Pas de correspondance")</f>
        <v>Pas de correspondance</v>
      </c>
      <c r="S30" s="1" t="e">
        <f>Logs[[#This Row],[Duree_Cumulee_Panne_Min]]/1440</f>
        <v>#VALUE!</v>
      </c>
      <c r="T30" s="1" t="str">
        <f>_xlfn.XLOOKUP(Logs[[#This Row],[ID_Client]],Clients_Log!B:B,Clients_Log!H:H,"Pas de correspondance")</f>
        <v>Pas de correspondance</v>
      </c>
      <c r="U30" s="1" t="str">
        <f>_xlfn.XLOOKUP(Logs[[#This Row],[ID_Client]],Clients_Log!B:B,Clients_Log!I:I,"Pas de correspondance")</f>
        <v>Pas de correspondance</v>
      </c>
      <c r="V3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0" s="1" t="e">
        <f>Logs[[#This Row],[Facture_Mensuelle]]*Logs[[#This Row],[Remise (%)]]</f>
        <v>#VALUE!</v>
      </c>
    </row>
    <row r="31" spans="1:23" x14ac:dyDescent="0.25">
      <c r="A31" s="1" t="s">
        <v>804</v>
      </c>
      <c r="B31" s="2">
        <v>45203</v>
      </c>
      <c r="C31" s="1" t="str">
        <f>_xlfn.XLOOKUP(Logs[[#This Row],[Province_RDC]],Clients_Log!D:D,Clients_Log!B:B,"Pas de correspondance")</f>
        <v>CLI-00745</v>
      </c>
      <c r="D31" t="str">
        <f>_xlfn.XLOOKUP(Logs[[#This Row],[Cell_ID]],'Registre_Maintenance'!B:B,'Registre_Maintenance'!C:C,"Pas de correspondance")</f>
        <v>Tshopo</v>
      </c>
      <c r="E31" s="3">
        <v>0.51180555555555551</v>
      </c>
      <c r="F31" s="1" t="s">
        <v>834</v>
      </c>
      <c r="G31" s="3">
        <f>Logs[[#This Row],[Duree_Panne_Min]]/1440</f>
        <v>4.4444444444444446E-2</v>
      </c>
      <c r="H31">
        <v>64</v>
      </c>
      <c r="I31">
        <f>_xlfn.XLOOKUP(Logs[[#This Row],[Cell_ID]],'Registre_Maintenance'!B:B,'Registre_Maintenance'!D:D,"Pas de correspondance")</f>
        <v>0.23583499999999999</v>
      </c>
      <c r="J31">
        <f>_xlfn.XLOOKUP(Logs[[#This Row],[Cell_ID]],'Registre_Maintenance'!B:B,'Registre_Maintenance'!E:E,"Pas de correspondance")</f>
        <v>24.889558999999998</v>
      </c>
      <c r="K31" t="str">
        <f>_xlfn.XLOOKUP(Logs[[#This Row],[Cell_ID]],'Registre_Maintenance'!B:B,'Registre_Maintenance'!F:F,"Pas de correspondance")</f>
        <v>3G</v>
      </c>
      <c r="L31" t="str">
        <f>_xlfn.XLOOKUP(Logs[[#This Row],[Cell_ID]],'Registre_Maintenance'!B:B,'Registre_Maintenance'!G:G,"Pas de correspondance")</f>
        <v>ZTE</v>
      </c>
      <c r="M31" s="1" t="s">
        <v>811</v>
      </c>
      <c r="N31" s="1">
        <f>_xlfn.XLOOKUP(Logs[[#This Row],[ID_Client]],Clients_Log!B:B,Clients_Log!E:E,"Pas de correspondance")</f>
        <v>6</v>
      </c>
      <c r="O31" s="4">
        <f>IFERROR(Logs[[#This Row],[Anciennete_Mois]]/12,"")</f>
        <v>0.5</v>
      </c>
      <c r="P31" s="1" t="str">
        <f>_xlfn.XLOOKUP(Logs[[#This Row],[ID_Client]],Clients_Log!B:B,Clients_Log!F:F,"Pas de correspondance")</f>
        <v>Premium 5G 150Go</v>
      </c>
      <c r="Q31" s="1" t="str">
        <f>IF(Logs[[#This Row],[Type_Forfait]]="Pro Monde","B2B","B2C")</f>
        <v>B2C</v>
      </c>
      <c r="R31" s="1">
        <f>_xlfn.XLOOKUP(Logs[[#This Row],[ID_Client]],Clients_Log!B:B,Clients_Log!G:G,"Pas de correspondance")</f>
        <v>207</v>
      </c>
      <c r="S31" s="3">
        <f>Logs[[#This Row],[Duree_Cumulee_Panne_Min]]/1440</f>
        <v>0.14374999999999999</v>
      </c>
      <c r="T31" s="1">
        <f>_xlfn.XLOOKUP(Logs[[#This Row],[ID_Client]],Clients_Log!B:B,Clients_Log!H:H,"Pas de correspondance")</f>
        <v>61.55</v>
      </c>
      <c r="U31" s="1">
        <f>_xlfn.XLOOKUP(Logs[[#This Row],[ID_Client]],Clients_Log!B:B,Clients_Log!I:I,"Pas de correspondance")</f>
        <v>0</v>
      </c>
      <c r="V3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1" s="1">
        <f>Logs[[#This Row],[Facture_Mensuelle]]*Logs[[#This Row],[Remise (%)]]</f>
        <v>27.697499999999998</v>
      </c>
    </row>
    <row r="32" spans="1:23" hidden="1" x14ac:dyDescent="0.25">
      <c r="A32" s="1" t="s">
        <v>804</v>
      </c>
      <c r="B32" s="2">
        <v>45214</v>
      </c>
      <c r="C32" s="1" t="str">
        <f>_xlfn.XLOOKUP(Logs[[#This Row],[Province_RDC]],Clients_Log!D:D,Clients_Log!B:B,"Pas de correspondance")</f>
        <v>Pas de correspondance</v>
      </c>
      <c r="D32" t="str">
        <f>_xlfn.XLOOKUP(Logs[[#This Row],[Cell_ID]],'Registre_Maintenance'!B:B,'Registre_Maintenance'!C:C,"Pas de correspondance")</f>
        <v>Pas de correspondance</v>
      </c>
      <c r="E32" s="3">
        <v>0.87013888888888891</v>
      </c>
      <c r="F32" s="1" t="s">
        <v>835</v>
      </c>
      <c r="G32" s="3">
        <f>Logs[[#This Row],[Duree_Panne_Min]]/1440</f>
        <v>0.05</v>
      </c>
      <c r="H32">
        <v>72</v>
      </c>
      <c r="I32" t="str">
        <f>_xlfn.XLOOKUP(Logs[[#This Row],[Cell_ID]],'Registre_Maintenance'!B:B,'Registre_Maintenance'!D:D,"Pas de correspondance")</f>
        <v>Pas de correspondance</v>
      </c>
      <c r="J32" t="str">
        <f>_xlfn.XLOOKUP(Logs[[#This Row],[Cell_ID]],'Registre_Maintenance'!B:B,'Registre_Maintenance'!E:E,"Pas de correspondance")</f>
        <v>Pas de correspondance</v>
      </c>
      <c r="K32" t="str">
        <f>_xlfn.XLOOKUP(Logs[[#This Row],[Cell_ID]],'Registre_Maintenance'!B:B,'Registre_Maintenance'!F:F,"Pas de correspondance")</f>
        <v>Pas de correspondance</v>
      </c>
      <c r="L32" t="str">
        <f>_xlfn.XLOOKUP(Logs[[#This Row],[Cell_ID]],'Registre_Maintenance'!B:B,'Registre_Maintenance'!G:G,"Pas de correspondance")</f>
        <v>Pas de correspondance</v>
      </c>
      <c r="M32" s="1" t="s">
        <v>806</v>
      </c>
      <c r="N32" s="1" t="str">
        <f>_xlfn.XLOOKUP(Logs[[#This Row],[ID_Client]],Clients_Log!B:B,Clients_Log!E:E,"Pas de correspondance")</f>
        <v>Pas de correspondance</v>
      </c>
      <c r="O32" s="4" t="str">
        <f>IFERROR(Logs[[#This Row],[Anciennete_Mois]]/12,"")</f>
        <v/>
      </c>
      <c r="P32" s="1" t="str">
        <f>_xlfn.XLOOKUP(Logs[[#This Row],[ID_Client]],Clients_Log!B:B,Clients_Log!F:F,"Pas de correspondance")</f>
        <v>Pas de correspondance</v>
      </c>
      <c r="Q32" s="1" t="str">
        <f>IF(Logs[[#This Row],[Type_Forfait]]="Pro Monde","B2B","B2C")</f>
        <v>B2C</v>
      </c>
      <c r="R32" s="1" t="str">
        <f>_xlfn.XLOOKUP(Logs[[#This Row],[ID_Client]],Clients_Log!B:B,Clients_Log!G:G,"Pas de correspondance")</f>
        <v>Pas de correspondance</v>
      </c>
      <c r="S32" s="1" t="e">
        <f>Logs[[#This Row],[Duree_Cumulee_Panne_Min]]/1440</f>
        <v>#VALUE!</v>
      </c>
      <c r="T32" s="1" t="str">
        <f>_xlfn.XLOOKUP(Logs[[#This Row],[ID_Client]],Clients_Log!B:B,Clients_Log!H:H,"Pas de correspondance")</f>
        <v>Pas de correspondance</v>
      </c>
      <c r="U32" s="1" t="str">
        <f>_xlfn.XLOOKUP(Logs[[#This Row],[ID_Client]],Clients_Log!B:B,Clients_Log!I:I,"Pas de correspondance")</f>
        <v>Pas de correspondance</v>
      </c>
      <c r="V3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2" s="1" t="e">
        <f>Logs[[#This Row],[Facture_Mensuelle]]*Logs[[#This Row],[Remise (%)]]</f>
        <v>#VALUE!</v>
      </c>
    </row>
    <row r="33" spans="1:23" hidden="1" x14ac:dyDescent="0.25">
      <c r="A33" s="1" t="s">
        <v>804</v>
      </c>
      <c r="B33" s="2">
        <v>45211</v>
      </c>
      <c r="C33" s="1" t="str">
        <f>_xlfn.XLOOKUP(Logs[[#This Row],[Province_RDC]],Clients_Log!D:D,Clients_Log!B:B,"Pas de correspondance")</f>
        <v>Pas de correspondance</v>
      </c>
      <c r="D33" t="str">
        <f>_xlfn.XLOOKUP(Logs[[#This Row],[Cell_ID]],'Registre_Maintenance'!B:B,'Registre_Maintenance'!C:C,"Pas de correspondance")</f>
        <v>Pas de correspondance</v>
      </c>
      <c r="E33" s="3">
        <v>0.22430555555555556</v>
      </c>
      <c r="F33" s="1" t="s">
        <v>836</v>
      </c>
      <c r="G33" s="3">
        <f>Logs[[#This Row],[Duree_Panne_Min]]/1440</f>
        <v>2.5694444444444443E-2</v>
      </c>
      <c r="H33">
        <v>37</v>
      </c>
      <c r="I33" t="str">
        <f>_xlfn.XLOOKUP(Logs[[#This Row],[Cell_ID]],'Registre_Maintenance'!B:B,'Registre_Maintenance'!D:D,"Pas de correspondance")</f>
        <v>Pas de correspondance</v>
      </c>
      <c r="J33" t="str">
        <f>_xlfn.XLOOKUP(Logs[[#This Row],[Cell_ID]],'Registre_Maintenance'!B:B,'Registre_Maintenance'!E:E,"Pas de correspondance")</f>
        <v>Pas de correspondance</v>
      </c>
      <c r="K33" t="str">
        <f>_xlfn.XLOOKUP(Logs[[#This Row],[Cell_ID]],'Registre_Maintenance'!B:B,'Registre_Maintenance'!F:F,"Pas de correspondance")</f>
        <v>Pas de correspondance</v>
      </c>
      <c r="L33" t="str">
        <f>_xlfn.XLOOKUP(Logs[[#This Row],[Cell_ID]],'Registre_Maintenance'!B:B,'Registre_Maintenance'!G:G,"Pas de correspondance")</f>
        <v>Pas de correspondance</v>
      </c>
      <c r="M33" s="1" t="s">
        <v>806</v>
      </c>
      <c r="N33" s="1" t="str">
        <f>_xlfn.XLOOKUP(Logs[[#This Row],[ID_Client]],Clients_Log!B:B,Clients_Log!E:E,"Pas de correspondance")</f>
        <v>Pas de correspondance</v>
      </c>
      <c r="O33" s="4" t="str">
        <f>IFERROR(Logs[[#This Row],[Anciennete_Mois]]/12,"")</f>
        <v/>
      </c>
      <c r="P33" s="1" t="str">
        <f>_xlfn.XLOOKUP(Logs[[#This Row],[ID_Client]],Clients_Log!B:B,Clients_Log!F:F,"Pas de correspondance")</f>
        <v>Pas de correspondance</v>
      </c>
      <c r="Q33" s="1" t="str">
        <f>IF(Logs[[#This Row],[Type_Forfait]]="Pro Monde","B2B","B2C")</f>
        <v>B2C</v>
      </c>
      <c r="R33" s="1" t="str">
        <f>_xlfn.XLOOKUP(Logs[[#This Row],[ID_Client]],Clients_Log!B:B,Clients_Log!G:G,"Pas de correspondance")</f>
        <v>Pas de correspondance</v>
      </c>
      <c r="S33" s="1" t="e">
        <f>Logs[[#This Row],[Duree_Cumulee_Panne_Min]]/1440</f>
        <v>#VALUE!</v>
      </c>
      <c r="T33" s="1" t="str">
        <f>_xlfn.XLOOKUP(Logs[[#This Row],[ID_Client]],Clients_Log!B:B,Clients_Log!H:H,"Pas de correspondance")</f>
        <v>Pas de correspondance</v>
      </c>
      <c r="U33" s="1" t="str">
        <f>_xlfn.XLOOKUP(Logs[[#This Row],[ID_Client]],Clients_Log!B:B,Clients_Log!I:I,"Pas de correspondance")</f>
        <v>Pas de correspondance</v>
      </c>
      <c r="V3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3" s="1" t="e">
        <f>Logs[[#This Row],[Facture_Mensuelle]]*Logs[[#This Row],[Remise (%)]]</f>
        <v>#VALUE!</v>
      </c>
    </row>
    <row r="34" spans="1:23" x14ac:dyDescent="0.25">
      <c r="A34" s="1" t="s">
        <v>804</v>
      </c>
      <c r="B34" s="2">
        <v>45211</v>
      </c>
      <c r="C34" s="1" t="str">
        <f>_xlfn.XLOOKUP(Logs[[#This Row],[Province_RDC]],Clients_Log!D:D,Clients_Log!B:B,"Pas de correspondance")</f>
        <v>CLI-01170</v>
      </c>
      <c r="D34" t="str">
        <f>_xlfn.XLOOKUP(Logs[[#This Row],[Cell_ID]],'Registre_Maintenance'!B:B,'Registre_Maintenance'!C:C,"Pas de correspondance")</f>
        <v>Nord-Ubangi</v>
      </c>
      <c r="E34" s="3">
        <v>0.27916666666666667</v>
      </c>
      <c r="F34" s="1" t="s">
        <v>837</v>
      </c>
      <c r="G34" s="3">
        <f>Logs[[#This Row],[Duree_Panne_Min]]/1440</f>
        <v>5.2083333333333336E-2</v>
      </c>
      <c r="H34">
        <v>75</v>
      </c>
      <c r="I34">
        <f>_xlfn.XLOOKUP(Logs[[#This Row],[Cell_ID]],'Registre_Maintenance'!B:B,'Registre_Maintenance'!D:D,"Pas de correspondance")</f>
        <v>-8.1437910000000002</v>
      </c>
      <c r="J34">
        <f>_xlfn.XLOOKUP(Logs[[#This Row],[Cell_ID]],'Registre_Maintenance'!B:B,'Registre_Maintenance'!E:E,"Pas de correspondance")</f>
        <v>28.946161</v>
      </c>
      <c r="K34" t="str">
        <f>_xlfn.XLOOKUP(Logs[[#This Row],[Cell_ID]],'Registre_Maintenance'!B:B,'Registre_Maintenance'!F:F,"Pas de correspondance")</f>
        <v>4G</v>
      </c>
      <c r="L34" t="str">
        <f>_xlfn.XLOOKUP(Logs[[#This Row],[Cell_ID]],'Registre_Maintenance'!B:B,'Registre_Maintenance'!G:G,"Pas de correspondance")</f>
        <v>ZTE</v>
      </c>
      <c r="M34" s="1" t="s">
        <v>806</v>
      </c>
      <c r="N34" s="1">
        <f>_xlfn.XLOOKUP(Logs[[#This Row],[ID_Client]],Clients_Log!B:B,Clients_Log!E:E,"Pas de correspondance")</f>
        <v>98</v>
      </c>
      <c r="O34" s="4">
        <f>IFERROR(Logs[[#This Row],[Anciennete_Mois]]/12,"")</f>
        <v>8.1666666666666661</v>
      </c>
      <c r="P34" s="1" t="str">
        <f>_xlfn.XLOOKUP(Logs[[#This Row],[ID_Client]],Clients_Log!B:B,Clients_Log!F:F,"Pas de correspondance")</f>
        <v>Pro Monde</v>
      </c>
      <c r="Q34" s="1" t="str">
        <f>IF(Logs[[#This Row],[Type_Forfait]]="Pro Monde","B2B","B2C")</f>
        <v>B2B</v>
      </c>
      <c r="R34" s="1">
        <f>_xlfn.XLOOKUP(Logs[[#This Row],[ID_Client]],Clients_Log!B:B,Clients_Log!G:G,"Pas de correspondance")</f>
        <v>482</v>
      </c>
      <c r="S34" s="3">
        <f>Logs[[#This Row],[Duree_Cumulee_Panne_Min]]/1440</f>
        <v>0.3347222222222222</v>
      </c>
      <c r="T34" s="1">
        <f>_xlfn.XLOOKUP(Logs[[#This Row],[ID_Client]],Clients_Log!B:B,Clients_Log!H:H,"Pas de correspondance")</f>
        <v>55.04</v>
      </c>
      <c r="U34" s="1">
        <f>_xlfn.XLOOKUP(Logs[[#This Row],[ID_Client]],Clients_Log!B:B,Clients_Log!I:I,"Pas de correspondance")</f>
        <v>5</v>
      </c>
      <c r="V3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4" s="1">
        <f>Logs[[#This Row],[Facture_Mensuelle]]*Logs[[#This Row],[Remise (%)]]</f>
        <v>24.768000000000001</v>
      </c>
    </row>
    <row r="35" spans="1:23" x14ac:dyDescent="0.25">
      <c r="A35" s="1" t="s">
        <v>804</v>
      </c>
      <c r="B35" s="2">
        <v>45208</v>
      </c>
      <c r="C35" s="1" t="str">
        <f>_xlfn.XLOOKUP(Logs[[#This Row],[Province_RDC]],Clients_Log!D:D,Clients_Log!B:B,"Pas de correspondance")</f>
        <v>CLI-00745</v>
      </c>
      <c r="D35" t="str">
        <f>_xlfn.XLOOKUP(Logs[[#This Row],[Cell_ID]],'Registre_Maintenance'!B:B,'Registre_Maintenance'!C:C,"Pas de correspondance")</f>
        <v>Tshopo</v>
      </c>
      <c r="E35" s="3">
        <v>0.95763888888888893</v>
      </c>
      <c r="F35" s="1" t="s">
        <v>838</v>
      </c>
      <c r="G35" s="3">
        <f>Logs[[#This Row],[Duree_Panne_Min]]/1440</f>
        <v>7.9861111111111105E-2</v>
      </c>
      <c r="H35">
        <v>115</v>
      </c>
      <c r="I35">
        <f>_xlfn.XLOOKUP(Logs[[#This Row],[Cell_ID]],'Registre_Maintenance'!B:B,'Registre_Maintenance'!D:D,"Pas de correspondance")</f>
        <v>-6.1837850000000003</v>
      </c>
      <c r="J35">
        <f>_xlfn.XLOOKUP(Logs[[#This Row],[Cell_ID]],'Registre_Maintenance'!B:B,'Registre_Maintenance'!E:E,"Pas de correspondance")</f>
        <v>25.138759</v>
      </c>
      <c r="K35" t="str">
        <f>_xlfn.XLOOKUP(Logs[[#This Row],[Cell_ID]],'Registre_Maintenance'!B:B,'Registre_Maintenance'!F:F,"Pas de correspondance")</f>
        <v>3G</v>
      </c>
      <c r="L35" t="str">
        <f>_xlfn.XLOOKUP(Logs[[#This Row],[Cell_ID]],'Registre_Maintenance'!B:B,'Registre_Maintenance'!G:G,"Pas de correspondance")</f>
        <v>Ericsson</v>
      </c>
      <c r="M35" s="1" t="s">
        <v>806</v>
      </c>
      <c r="N35" s="1">
        <f>_xlfn.XLOOKUP(Logs[[#This Row],[ID_Client]],Clients_Log!B:B,Clients_Log!E:E,"Pas de correspondance")</f>
        <v>6</v>
      </c>
      <c r="O35" s="4">
        <f>IFERROR(Logs[[#This Row],[Anciennete_Mois]]/12,"")</f>
        <v>0.5</v>
      </c>
      <c r="P35" s="1" t="str">
        <f>_xlfn.XLOOKUP(Logs[[#This Row],[ID_Client]],Clients_Log!B:B,Clients_Log!F:F,"Pas de correspondance")</f>
        <v>Premium 5G 150Go</v>
      </c>
      <c r="Q35" s="1" t="str">
        <f>IF(Logs[[#This Row],[Type_Forfait]]="Pro Monde","B2B","B2C")</f>
        <v>B2C</v>
      </c>
      <c r="R35" s="1">
        <f>_xlfn.XLOOKUP(Logs[[#This Row],[ID_Client]],Clients_Log!B:B,Clients_Log!G:G,"Pas de correspondance")</f>
        <v>207</v>
      </c>
      <c r="S35" s="3">
        <f>Logs[[#This Row],[Duree_Cumulee_Panne_Min]]/1440</f>
        <v>0.14374999999999999</v>
      </c>
      <c r="T35" s="1">
        <f>_xlfn.XLOOKUP(Logs[[#This Row],[ID_Client]],Clients_Log!B:B,Clients_Log!H:H,"Pas de correspondance")</f>
        <v>61.55</v>
      </c>
      <c r="U35" s="1">
        <f>_xlfn.XLOOKUP(Logs[[#This Row],[ID_Client]],Clients_Log!B:B,Clients_Log!I:I,"Pas de correspondance")</f>
        <v>0</v>
      </c>
      <c r="V3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5" s="1">
        <f>Logs[[#This Row],[Facture_Mensuelle]]*Logs[[#This Row],[Remise (%)]]</f>
        <v>27.697499999999998</v>
      </c>
    </row>
    <row r="36" spans="1:23" x14ac:dyDescent="0.25">
      <c r="A36" s="1" t="s">
        <v>804</v>
      </c>
      <c r="B36" s="2">
        <v>45221</v>
      </c>
      <c r="C36" s="1" t="str">
        <f>_xlfn.XLOOKUP(Logs[[#This Row],[Province_RDC]],Clients_Log!D:D,Clients_Log!B:B,"Pas de correspondance")</f>
        <v>CLI-00559</v>
      </c>
      <c r="D36" t="str">
        <f>_xlfn.XLOOKUP(Logs[[#This Row],[Cell_ID]],'Registre_Maintenance'!B:B,'Registre_Maintenance'!C:C,"Pas de correspondance")</f>
        <v>Kasaï</v>
      </c>
      <c r="E36" s="3">
        <v>0.83611111111111114</v>
      </c>
      <c r="F36" s="1" t="s">
        <v>839</v>
      </c>
      <c r="G36" s="3">
        <f>Logs[[#This Row],[Duree_Panne_Min]]/1440</f>
        <v>4.1666666666666666E-3</v>
      </c>
      <c r="H36">
        <v>6</v>
      </c>
      <c r="I36">
        <f>_xlfn.XLOOKUP(Logs[[#This Row],[Cell_ID]],'Registre_Maintenance'!B:B,'Registre_Maintenance'!D:D,"Pas de correspondance")</f>
        <v>-4.9789079999999997</v>
      </c>
      <c r="J36">
        <f>_xlfn.XLOOKUP(Logs[[#This Row],[Cell_ID]],'Registre_Maintenance'!B:B,'Registre_Maintenance'!E:E,"Pas de correspondance")</f>
        <v>28.506295000000001</v>
      </c>
      <c r="K36" t="str">
        <f>_xlfn.XLOOKUP(Logs[[#This Row],[Cell_ID]],'Registre_Maintenance'!B:B,'Registre_Maintenance'!F:F,"Pas de correspondance")</f>
        <v>4G</v>
      </c>
      <c r="L36" t="str">
        <f>_xlfn.XLOOKUP(Logs[[#This Row],[Cell_ID]],'Registre_Maintenance'!B:B,'Registre_Maintenance'!G:G,"Pas de correspondance")</f>
        <v>Huawei</v>
      </c>
      <c r="M36" s="1" t="s">
        <v>811</v>
      </c>
      <c r="N36" s="1">
        <f>_xlfn.XLOOKUP(Logs[[#This Row],[ID_Client]],Clients_Log!B:B,Clients_Log!E:E,"Pas de correspondance")</f>
        <v>99</v>
      </c>
      <c r="O36" s="4">
        <f>IFERROR(Logs[[#This Row],[Anciennete_Mois]]/12,"")</f>
        <v>8.25</v>
      </c>
      <c r="P36" s="1" t="str">
        <f>_xlfn.XLOOKUP(Logs[[#This Row],[ID_Client]],Clients_Log!B:B,Clients_Log!F:F,"Pas de correspondance")</f>
        <v>Bloqué 5Go</v>
      </c>
      <c r="Q36" s="1" t="str">
        <f>IF(Logs[[#This Row],[Type_Forfait]]="Pro Monde","B2B","B2C")</f>
        <v>B2C</v>
      </c>
      <c r="R36" s="1">
        <f>_xlfn.XLOOKUP(Logs[[#This Row],[ID_Client]],Clients_Log!B:B,Clients_Log!G:G,"Pas de correspondance")</f>
        <v>369</v>
      </c>
      <c r="S36" s="3">
        <f>Logs[[#This Row],[Duree_Cumulee_Panne_Min]]/1440</f>
        <v>0.25624999999999998</v>
      </c>
      <c r="T36" s="1">
        <f>_xlfn.XLOOKUP(Logs[[#This Row],[ID_Client]],Clients_Log!B:B,Clients_Log!H:H,"Pas de correspondance")</f>
        <v>67.209999999999994</v>
      </c>
      <c r="U36" s="1">
        <f>_xlfn.XLOOKUP(Logs[[#This Row],[ID_Client]],Clients_Log!B:B,Clients_Log!I:I,"Pas de correspondance")</f>
        <v>3</v>
      </c>
      <c r="V3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6" s="1">
        <f>Logs[[#This Row],[Facture_Mensuelle]]*Logs[[#This Row],[Remise (%)]]</f>
        <v>30.244499999999999</v>
      </c>
    </row>
    <row r="37" spans="1:23" hidden="1" x14ac:dyDescent="0.25">
      <c r="A37" s="1" t="s">
        <v>804</v>
      </c>
      <c r="B37" s="2">
        <v>45219</v>
      </c>
      <c r="C37" s="1" t="str">
        <f>_xlfn.XLOOKUP(Logs[[#This Row],[Province_RDC]],Clients_Log!D:D,Clients_Log!B:B,"Pas de correspondance")</f>
        <v>Pas de correspondance</v>
      </c>
      <c r="D37" t="str">
        <f>_xlfn.XLOOKUP(Logs[[#This Row],[Cell_ID]],'Registre_Maintenance'!B:B,'Registre_Maintenance'!C:C,"Pas de correspondance")</f>
        <v>Pas de correspondance</v>
      </c>
      <c r="E37" s="3">
        <v>0.84027777777777779</v>
      </c>
      <c r="F37" s="1" t="s">
        <v>840</v>
      </c>
      <c r="G37" s="3">
        <f>Logs[[#This Row],[Duree_Panne_Min]]/1440</f>
        <v>6.3888888888888884E-2</v>
      </c>
      <c r="H37">
        <v>92</v>
      </c>
      <c r="I37" t="str">
        <f>_xlfn.XLOOKUP(Logs[[#This Row],[Cell_ID]],'Registre_Maintenance'!B:B,'Registre_Maintenance'!D:D,"Pas de correspondance")</f>
        <v>Pas de correspondance</v>
      </c>
      <c r="J37" t="str">
        <f>_xlfn.XLOOKUP(Logs[[#This Row],[Cell_ID]],'Registre_Maintenance'!B:B,'Registre_Maintenance'!E:E,"Pas de correspondance")</f>
        <v>Pas de correspondance</v>
      </c>
      <c r="K37" t="str">
        <f>_xlfn.XLOOKUP(Logs[[#This Row],[Cell_ID]],'Registre_Maintenance'!B:B,'Registre_Maintenance'!F:F,"Pas de correspondance")</f>
        <v>Pas de correspondance</v>
      </c>
      <c r="L37" t="str">
        <f>_xlfn.XLOOKUP(Logs[[#This Row],[Cell_ID]],'Registre_Maintenance'!B:B,'Registre_Maintenance'!G:G,"Pas de correspondance")</f>
        <v>Pas de correspondance</v>
      </c>
      <c r="M37" s="1" t="s">
        <v>806</v>
      </c>
      <c r="N37" s="1" t="str">
        <f>_xlfn.XLOOKUP(Logs[[#This Row],[ID_Client]],Clients_Log!B:B,Clients_Log!E:E,"Pas de correspondance")</f>
        <v>Pas de correspondance</v>
      </c>
      <c r="O37" s="4" t="str">
        <f>IFERROR(Logs[[#This Row],[Anciennete_Mois]]/12,"")</f>
        <v/>
      </c>
      <c r="P37" s="1" t="str">
        <f>_xlfn.XLOOKUP(Logs[[#This Row],[ID_Client]],Clients_Log!B:B,Clients_Log!F:F,"Pas de correspondance")</f>
        <v>Pas de correspondance</v>
      </c>
      <c r="Q37" s="1" t="str">
        <f>IF(Logs[[#This Row],[Type_Forfait]]="Pro Monde","B2B","B2C")</f>
        <v>B2C</v>
      </c>
      <c r="R37" s="1" t="str">
        <f>_xlfn.XLOOKUP(Logs[[#This Row],[ID_Client]],Clients_Log!B:B,Clients_Log!G:G,"Pas de correspondance")</f>
        <v>Pas de correspondance</v>
      </c>
      <c r="S37" s="1" t="e">
        <f>Logs[[#This Row],[Duree_Cumulee_Panne_Min]]/1440</f>
        <v>#VALUE!</v>
      </c>
      <c r="T37" s="1" t="str">
        <f>_xlfn.XLOOKUP(Logs[[#This Row],[ID_Client]],Clients_Log!B:B,Clients_Log!H:H,"Pas de correspondance")</f>
        <v>Pas de correspondance</v>
      </c>
      <c r="U37" s="1" t="str">
        <f>_xlfn.XLOOKUP(Logs[[#This Row],[ID_Client]],Clients_Log!B:B,Clients_Log!I:I,"Pas de correspondance")</f>
        <v>Pas de correspondance</v>
      </c>
      <c r="V3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7" s="1" t="e">
        <f>Logs[[#This Row],[Facture_Mensuelle]]*Logs[[#This Row],[Remise (%)]]</f>
        <v>#VALUE!</v>
      </c>
    </row>
    <row r="38" spans="1:23" x14ac:dyDescent="0.25">
      <c r="A38" s="1" t="s">
        <v>804</v>
      </c>
      <c r="B38" s="2">
        <v>45217</v>
      </c>
      <c r="C38" s="1" t="str">
        <f>_xlfn.XLOOKUP(Logs[[#This Row],[Province_RDC]],Clients_Log!D:D,Clients_Log!B:B,"Pas de correspondance")</f>
        <v>CLI-00559</v>
      </c>
      <c r="D38" t="str">
        <f>_xlfn.XLOOKUP(Logs[[#This Row],[Cell_ID]],'Registre_Maintenance'!B:B,'Registre_Maintenance'!C:C,"Pas de correspondance")</f>
        <v>Kasaï</v>
      </c>
      <c r="E38" s="3">
        <v>0.96875</v>
      </c>
      <c r="F38" s="1" t="s">
        <v>841</v>
      </c>
      <c r="G38" s="3">
        <f>Logs[[#This Row],[Duree_Panne_Min]]/1440</f>
        <v>6.7361111111111108E-2</v>
      </c>
      <c r="H38">
        <v>97</v>
      </c>
      <c r="I38">
        <f>_xlfn.XLOOKUP(Logs[[#This Row],[Cell_ID]],'Registre_Maintenance'!B:B,'Registre_Maintenance'!D:D,"Pas de correspondance")</f>
        <v>-10.059846</v>
      </c>
      <c r="J38">
        <f>_xlfn.XLOOKUP(Logs[[#This Row],[Cell_ID]],'Registre_Maintenance'!B:B,'Registre_Maintenance'!E:E,"Pas de correspondance")</f>
        <v>14.375757999999999</v>
      </c>
      <c r="K38" t="str">
        <f>_xlfn.XLOOKUP(Logs[[#This Row],[Cell_ID]],'Registre_Maintenance'!B:B,'Registre_Maintenance'!F:F,"Pas de correspondance")</f>
        <v>4G</v>
      </c>
      <c r="L38" t="str">
        <f>_xlfn.XLOOKUP(Logs[[#This Row],[Cell_ID]],'Registre_Maintenance'!B:B,'Registre_Maintenance'!G:G,"Pas de correspondance")</f>
        <v>Huawei</v>
      </c>
      <c r="M38" s="1" t="s">
        <v>809</v>
      </c>
      <c r="N38" s="1">
        <f>_xlfn.XLOOKUP(Logs[[#This Row],[ID_Client]],Clients_Log!B:B,Clients_Log!E:E,"Pas de correspondance")</f>
        <v>99</v>
      </c>
      <c r="O38" s="4">
        <f>IFERROR(Logs[[#This Row],[Anciennete_Mois]]/12,"")</f>
        <v>8.25</v>
      </c>
      <c r="P38" s="1" t="str">
        <f>_xlfn.XLOOKUP(Logs[[#This Row],[ID_Client]],Clients_Log!B:B,Clients_Log!F:F,"Pas de correspondance")</f>
        <v>Bloqué 5Go</v>
      </c>
      <c r="Q38" s="1" t="str">
        <f>IF(Logs[[#This Row],[Type_Forfait]]="Pro Monde","B2B","B2C")</f>
        <v>B2C</v>
      </c>
      <c r="R38" s="1">
        <f>_xlfn.XLOOKUP(Logs[[#This Row],[ID_Client]],Clients_Log!B:B,Clients_Log!G:G,"Pas de correspondance")</f>
        <v>369</v>
      </c>
      <c r="S38" s="3">
        <f>Logs[[#This Row],[Duree_Cumulee_Panne_Min]]/1440</f>
        <v>0.25624999999999998</v>
      </c>
      <c r="T38" s="1">
        <f>_xlfn.XLOOKUP(Logs[[#This Row],[ID_Client]],Clients_Log!B:B,Clients_Log!H:H,"Pas de correspondance")</f>
        <v>67.209999999999994</v>
      </c>
      <c r="U38" s="1">
        <f>_xlfn.XLOOKUP(Logs[[#This Row],[ID_Client]],Clients_Log!B:B,Clients_Log!I:I,"Pas de correspondance")</f>
        <v>3</v>
      </c>
      <c r="V3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8" s="1">
        <f>Logs[[#This Row],[Facture_Mensuelle]]*Logs[[#This Row],[Remise (%)]]</f>
        <v>30.244499999999999</v>
      </c>
    </row>
    <row r="39" spans="1:23" hidden="1" x14ac:dyDescent="0.25">
      <c r="A39" s="1" t="s">
        <v>804</v>
      </c>
      <c r="B39" s="2">
        <v>45205</v>
      </c>
      <c r="C39" s="1" t="str">
        <f>_xlfn.XLOOKUP(Logs[[#This Row],[Province_RDC]],Clients_Log!D:D,Clients_Log!B:B,"Pas de correspondance")</f>
        <v>Pas de correspondance</v>
      </c>
      <c r="D39" t="str">
        <f>_xlfn.XLOOKUP(Logs[[#This Row],[Cell_ID]],'Registre_Maintenance'!B:B,'Registre_Maintenance'!C:C,"Pas de correspondance")</f>
        <v>Pas de correspondance</v>
      </c>
      <c r="E39" s="3">
        <v>0.6</v>
      </c>
      <c r="F39" s="1" t="s">
        <v>842</v>
      </c>
      <c r="G39" s="3">
        <f>Logs[[#This Row],[Duree_Panne_Min]]/1440</f>
        <v>1.3194444444444444E-2</v>
      </c>
      <c r="H39">
        <v>19</v>
      </c>
      <c r="I39" t="str">
        <f>_xlfn.XLOOKUP(Logs[[#This Row],[Cell_ID]],'Registre_Maintenance'!B:B,'Registre_Maintenance'!D:D,"Pas de correspondance")</f>
        <v>Pas de correspondance</v>
      </c>
      <c r="J39" t="str">
        <f>_xlfn.XLOOKUP(Logs[[#This Row],[Cell_ID]],'Registre_Maintenance'!B:B,'Registre_Maintenance'!E:E,"Pas de correspondance")</f>
        <v>Pas de correspondance</v>
      </c>
      <c r="K39" t="str">
        <f>_xlfn.XLOOKUP(Logs[[#This Row],[Cell_ID]],'Registre_Maintenance'!B:B,'Registre_Maintenance'!F:F,"Pas de correspondance")</f>
        <v>Pas de correspondance</v>
      </c>
      <c r="L39" t="str">
        <f>_xlfn.XLOOKUP(Logs[[#This Row],[Cell_ID]],'Registre_Maintenance'!B:B,'Registre_Maintenance'!G:G,"Pas de correspondance")</f>
        <v>Pas de correspondance</v>
      </c>
      <c r="M39" s="1" t="s">
        <v>809</v>
      </c>
      <c r="N39" s="1" t="str">
        <f>_xlfn.XLOOKUP(Logs[[#This Row],[ID_Client]],Clients_Log!B:B,Clients_Log!E:E,"Pas de correspondance")</f>
        <v>Pas de correspondance</v>
      </c>
      <c r="O39" s="4" t="str">
        <f>IFERROR(Logs[[#This Row],[Anciennete_Mois]]/12,"")</f>
        <v/>
      </c>
      <c r="P39" s="1" t="str">
        <f>_xlfn.XLOOKUP(Logs[[#This Row],[ID_Client]],Clients_Log!B:B,Clients_Log!F:F,"Pas de correspondance")</f>
        <v>Pas de correspondance</v>
      </c>
      <c r="Q39" s="1" t="str">
        <f>IF(Logs[[#This Row],[Type_Forfait]]="Pro Monde","B2B","B2C")</f>
        <v>B2C</v>
      </c>
      <c r="R39" s="1" t="str">
        <f>_xlfn.XLOOKUP(Logs[[#This Row],[ID_Client]],Clients_Log!B:B,Clients_Log!G:G,"Pas de correspondance")</f>
        <v>Pas de correspondance</v>
      </c>
      <c r="S39" s="1" t="e">
        <f>Logs[[#This Row],[Duree_Cumulee_Panne_Min]]/1440</f>
        <v>#VALUE!</v>
      </c>
      <c r="T39" s="1" t="str">
        <f>_xlfn.XLOOKUP(Logs[[#This Row],[ID_Client]],Clients_Log!B:B,Clients_Log!H:H,"Pas de correspondance")</f>
        <v>Pas de correspondance</v>
      </c>
      <c r="U39" s="1" t="str">
        <f>_xlfn.XLOOKUP(Logs[[#This Row],[ID_Client]],Clients_Log!B:B,Clients_Log!I:I,"Pas de correspondance")</f>
        <v>Pas de correspondance</v>
      </c>
      <c r="V3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9" s="1" t="e">
        <f>Logs[[#This Row],[Facture_Mensuelle]]*Logs[[#This Row],[Remise (%)]]</f>
        <v>#VALUE!</v>
      </c>
    </row>
    <row r="40" spans="1:23" hidden="1" x14ac:dyDescent="0.25">
      <c r="A40" s="1" t="s">
        <v>804</v>
      </c>
      <c r="B40" s="2">
        <v>45208</v>
      </c>
      <c r="C40" s="1" t="str">
        <f>_xlfn.XLOOKUP(Logs[[#This Row],[Province_RDC]],Clients_Log!D:D,Clients_Log!B:B,"Pas de correspondance")</f>
        <v>Pas de correspondance</v>
      </c>
      <c r="D40" t="str">
        <f>_xlfn.XLOOKUP(Logs[[#This Row],[Cell_ID]],'Registre_Maintenance'!B:B,'Registre_Maintenance'!C:C,"Pas de correspondance")</f>
        <v>Pas de correspondance</v>
      </c>
      <c r="E40" s="3">
        <v>0.86388888888888893</v>
      </c>
      <c r="F40" s="1" t="s">
        <v>843</v>
      </c>
      <c r="G40" s="3">
        <f>Logs[[#This Row],[Duree_Panne_Min]]/1440</f>
        <v>6.3888888888888884E-2</v>
      </c>
      <c r="H40">
        <v>92</v>
      </c>
      <c r="I40" t="str">
        <f>_xlfn.XLOOKUP(Logs[[#This Row],[Cell_ID]],'Registre_Maintenance'!B:B,'Registre_Maintenance'!D:D,"Pas de correspondance")</f>
        <v>Pas de correspondance</v>
      </c>
      <c r="J40" t="str">
        <f>_xlfn.XLOOKUP(Logs[[#This Row],[Cell_ID]],'Registre_Maintenance'!B:B,'Registre_Maintenance'!E:E,"Pas de correspondance")</f>
        <v>Pas de correspondance</v>
      </c>
      <c r="K40" t="str">
        <f>_xlfn.XLOOKUP(Logs[[#This Row],[Cell_ID]],'Registre_Maintenance'!B:B,'Registre_Maintenance'!F:F,"Pas de correspondance")</f>
        <v>Pas de correspondance</v>
      </c>
      <c r="L40" t="str">
        <f>_xlfn.XLOOKUP(Logs[[#This Row],[Cell_ID]],'Registre_Maintenance'!B:B,'Registre_Maintenance'!G:G,"Pas de correspondance")</f>
        <v>Pas de correspondance</v>
      </c>
      <c r="M40" s="1" t="s">
        <v>806</v>
      </c>
      <c r="N40" s="1" t="str">
        <f>_xlfn.XLOOKUP(Logs[[#This Row],[ID_Client]],Clients_Log!B:B,Clients_Log!E:E,"Pas de correspondance")</f>
        <v>Pas de correspondance</v>
      </c>
      <c r="O40" s="4" t="str">
        <f>IFERROR(Logs[[#This Row],[Anciennete_Mois]]/12,"")</f>
        <v/>
      </c>
      <c r="P40" s="1" t="str">
        <f>_xlfn.XLOOKUP(Logs[[#This Row],[ID_Client]],Clients_Log!B:B,Clients_Log!F:F,"Pas de correspondance")</f>
        <v>Pas de correspondance</v>
      </c>
      <c r="Q40" s="1" t="str">
        <f>IF(Logs[[#This Row],[Type_Forfait]]="Pro Monde","B2B","B2C")</f>
        <v>B2C</v>
      </c>
      <c r="R40" s="1" t="str">
        <f>_xlfn.XLOOKUP(Logs[[#This Row],[ID_Client]],Clients_Log!B:B,Clients_Log!G:G,"Pas de correspondance")</f>
        <v>Pas de correspondance</v>
      </c>
      <c r="S40" s="1" t="e">
        <f>Logs[[#This Row],[Duree_Cumulee_Panne_Min]]/1440</f>
        <v>#VALUE!</v>
      </c>
      <c r="T40" s="1" t="str">
        <f>_xlfn.XLOOKUP(Logs[[#This Row],[ID_Client]],Clients_Log!B:B,Clients_Log!H:H,"Pas de correspondance")</f>
        <v>Pas de correspondance</v>
      </c>
      <c r="U40" s="1" t="str">
        <f>_xlfn.XLOOKUP(Logs[[#This Row],[ID_Client]],Clients_Log!B:B,Clients_Log!I:I,"Pas de correspondance")</f>
        <v>Pas de correspondance</v>
      </c>
      <c r="V4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0" s="1" t="e">
        <f>Logs[[#This Row],[Facture_Mensuelle]]*Logs[[#This Row],[Remise (%)]]</f>
        <v>#VALUE!</v>
      </c>
    </row>
    <row r="41" spans="1:23" hidden="1" x14ac:dyDescent="0.25">
      <c r="A41" s="1" t="s">
        <v>804</v>
      </c>
      <c r="B41" s="2">
        <v>45217</v>
      </c>
      <c r="C41" s="1" t="str">
        <f>_xlfn.XLOOKUP(Logs[[#This Row],[Province_RDC]],Clients_Log!D:D,Clients_Log!B:B,"Pas de correspondance")</f>
        <v>Pas de correspondance</v>
      </c>
      <c r="D41" t="str">
        <f>_xlfn.XLOOKUP(Logs[[#This Row],[Cell_ID]],'Registre_Maintenance'!B:B,'Registre_Maintenance'!C:C,"Pas de correspondance")</f>
        <v>Pas de correspondance</v>
      </c>
      <c r="E41" s="3">
        <v>0.3215277777777778</v>
      </c>
      <c r="F41" s="1" t="s">
        <v>844</v>
      </c>
      <c r="G41" s="3">
        <f>Logs[[#This Row],[Duree_Panne_Min]]/1440</f>
        <v>8.1944444444444445E-2</v>
      </c>
      <c r="H41">
        <v>118</v>
      </c>
      <c r="I41" t="str">
        <f>_xlfn.XLOOKUP(Logs[[#This Row],[Cell_ID]],'Registre_Maintenance'!B:B,'Registre_Maintenance'!D:D,"Pas de correspondance")</f>
        <v>Pas de correspondance</v>
      </c>
      <c r="J41" t="str">
        <f>_xlfn.XLOOKUP(Logs[[#This Row],[Cell_ID]],'Registre_Maintenance'!B:B,'Registre_Maintenance'!E:E,"Pas de correspondance")</f>
        <v>Pas de correspondance</v>
      </c>
      <c r="K41" t="str">
        <f>_xlfn.XLOOKUP(Logs[[#This Row],[Cell_ID]],'Registre_Maintenance'!B:B,'Registre_Maintenance'!F:F,"Pas de correspondance")</f>
        <v>Pas de correspondance</v>
      </c>
      <c r="L41" t="str">
        <f>_xlfn.XLOOKUP(Logs[[#This Row],[Cell_ID]],'Registre_Maintenance'!B:B,'Registre_Maintenance'!G:G,"Pas de correspondance")</f>
        <v>Pas de correspondance</v>
      </c>
      <c r="M41" s="1" t="s">
        <v>809</v>
      </c>
      <c r="N41" s="1" t="str">
        <f>_xlfn.XLOOKUP(Logs[[#This Row],[ID_Client]],Clients_Log!B:B,Clients_Log!E:E,"Pas de correspondance")</f>
        <v>Pas de correspondance</v>
      </c>
      <c r="O41" s="4" t="str">
        <f>IFERROR(Logs[[#This Row],[Anciennete_Mois]]/12,"")</f>
        <v/>
      </c>
      <c r="P41" s="1" t="str">
        <f>_xlfn.XLOOKUP(Logs[[#This Row],[ID_Client]],Clients_Log!B:B,Clients_Log!F:F,"Pas de correspondance")</f>
        <v>Pas de correspondance</v>
      </c>
      <c r="Q41" s="1" t="str">
        <f>IF(Logs[[#This Row],[Type_Forfait]]="Pro Monde","B2B","B2C")</f>
        <v>B2C</v>
      </c>
      <c r="R41" s="1" t="str">
        <f>_xlfn.XLOOKUP(Logs[[#This Row],[ID_Client]],Clients_Log!B:B,Clients_Log!G:G,"Pas de correspondance")</f>
        <v>Pas de correspondance</v>
      </c>
      <c r="S41" s="1" t="e">
        <f>Logs[[#This Row],[Duree_Cumulee_Panne_Min]]/1440</f>
        <v>#VALUE!</v>
      </c>
      <c r="T41" s="1" t="str">
        <f>_xlfn.XLOOKUP(Logs[[#This Row],[ID_Client]],Clients_Log!B:B,Clients_Log!H:H,"Pas de correspondance")</f>
        <v>Pas de correspondance</v>
      </c>
      <c r="U41" s="1" t="str">
        <f>_xlfn.XLOOKUP(Logs[[#This Row],[ID_Client]],Clients_Log!B:B,Clients_Log!I:I,"Pas de correspondance")</f>
        <v>Pas de correspondance</v>
      </c>
      <c r="V4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1" s="1" t="e">
        <f>Logs[[#This Row],[Facture_Mensuelle]]*Logs[[#This Row],[Remise (%)]]</f>
        <v>#VALUE!</v>
      </c>
    </row>
    <row r="42" spans="1:23" x14ac:dyDescent="0.25">
      <c r="A42" s="1" t="s">
        <v>804</v>
      </c>
      <c r="B42" s="2">
        <v>45210</v>
      </c>
      <c r="C42" s="1" t="str">
        <f>_xlfn.XLOOKUP(Logs[[#This Row],[Province_RDC]],Clients_Log!D:D,Clients_Log!B:B,"Pas de correspondance")</f>
        <v>CLI-01618</v>
      </c>
      <c r="D42" t="str">
        <f>_xlfn.XLOOKUP(Logs[[#This Row],[Cell_ID]],'Registre_Maintenance'!B:B,'Registre_Maintenance'!C:C,"Pas de correspondance")</f>
        <v>Tanganyika</v>
      </c>
      <c r="E42" s="3">
        <v>5.1388888888888887E-2</v>
      </c>
      <c r="F42" s="1" t="s">
        <v>845</v>
      </c>
      <c r="G42" s="3">
        <f>Logs[[#This Row],[Duree_Panne_Min]]/1440</f>
        <v>5.0694444444444445E-2</v>
      </c>
      <c r="H42">
        <v>73</v>
      </c>
      <c r="I42">
        <f>_xlfn.XLOOKUP(Logs[[#This Row],[Cell_ID]],'Registre_Maintenance'!B:B,'Registre_Maintenance'!D:D,"Pas de correspondance")</f>
        <v>-10.776204</v>
      </c>
      <c r="J42">
        <f>_xlfn.XLOOKUP(Logs[[#This Row],[Cell_ID]],'Registre_Maintenance'!B:B,'Registre_Maintenance'!E:E,"Pas de correspondance")</f>
        <v>24.672934000000001</v>
      </c>
      <c r="K42" t="str">
        <f>_xlfn.XLOOKUP(Logs[[#This Row],[Cell_ID]],'Registre_Maintenance'!B:B,'Registre_Maintenance'!F:F,"Pas de correspondance")</f>
        <v>4G</v>
      </c>
      <c r="L42" t="str">
        <f>_xlfn.XLOOKUP(Logs[[#This Row],[Cell_ID]],'Registre_Maintenance'!B:B,'Registre_Maintenance'!G:G,"Pas de correspondance")</f>
        <v>Ericsson</v>
      </c>
      <c r="M42" s="1" t="s">
        <v>806</v>
      </c>
      <c r="N42" s="1">
        <f>_xlfn.XLOOKUP(Logs[[#This Row],[ID_Client]],Clients_Log!B:B,Clients_Log!E:E,"Pas de correspondance")</f>
        <v>115</v>
      </c>
      <c r="O42" s="4">
        <f>IFERROR(Logs[[#This Row],[Anciennete_Mois]]/12,"")</f>
        <v>9.5833333333333339</v>
      </c>
      <c r="P42" s="1" t="str">
        <f>_xlfn.XLOOKUP(Logs[[#This Row],[ID_Client]],Clients_Log!B:B,Clients_Log!F:F,"Pas de correspondance")</f>
        <v>Bloqué 5Go</v>
      </c>
      <c r="Q42" s="1" t="str">
        <f>IF(Logs[[#This Row],[Type_Forfait]]="Pro Monde","B2B","B2C")</f>
        <v>B2C</v>
      </c>
      <c r="R42" s="1">
        <f>_xlfn.XLOOKUP(Logs[[#This Row],[ID_Client]],Clients_Log!B:B,Clients_Log!G:G,"Pas de correspondance")</f>
        <v>176</v>
      </c>
      <c r="S42" s="3">
        <f>Logs[[#This Row],[Duree_Cumulee_Panne_Min]]/1440</f>
        <v>0.12222222222222222</v>
      </c>
      <c r="T42" s="1">
        <f>_xlfn.XLOOKUP(Logs[[#This Row],[ID_Client]],Clients_Log!B:B,Clients_Log!H:H,"Pas de correspondance")</f>
        <v>33.28</v>
      </c>
      <c r="U42" s="1">
        <f>_xlfn.XLOOKUP(Logs[[#This Row],[ID_Client]],Clients_Log!B:B,Clients_Log!I:I,"Pas de correspondance")</f>
        <v>4</v>
      </c>
      <c r="V4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42" s="1">
        <f>Logs[[#This Row],[Facture_Mensuelle]]*Logs[[#This Row],[Remise (%)]]</f>
        <v>0</v>
      </c>
    </row>
    <row r="43" spans="1:23" x14ac:dyDescent="0.25">
      <c r="A43" s="1" t="s">
        <v>804</v>
      </c>
      <c r="B43" s="2">
        <v>45226</v>
      </c>
      <c r="C43" s="1" t="str">
        <f>_xlfn.XLOOKUP(Logs[[#This Row],[Province_RDC]],Clients_Log!D:D,Clients_Log!B:B,"Pas de correspondance")</f>
        <v>CLI-01855</v>
      </c>
      <c r="D43" t="str">
        <f>_xlfn.XLOOKUP(Logs[[#This Row],[Cell_ID]],'Registre_Maintenance'!B:B,'Registre_Maintenance'!C:C,"Pas de correspondance")</f>
        <v>Sud-Kivu</v>
      </c>
      <c r="E43" s="3">
        <v>7.7083333333333337E-2</v>
      </c>
      <c r="F43" s="1" t="s">
        <v>846</v>
      </c>
      <c r="G43" s="3">
        <f>Logs[[#This Row],[Duree_Panne_Min]]/1440</f>
        <v>7.013888888888889E-2</v>
      </c>
      <c r="H43">
        <v>101</v>
      </c>
      <c r="I43">
        <f>_xlfn.XLOOKUP(Logs[[#This Row],[Cell_ID]],'Registre_Maintenance'!B:B,'Registre_Maintenance'!D:D,"Pas de correspondance")</f>
        <v>4.2493650000000001</v>
      </c>
      <c r="J43">
        <f>_xlfn.XLOOKUP(Logs[[#This Row],[Cell_ID]],'Registre_Maintenance'!B:B,'Registre_Maintenance'!E:E,"Pas de correspondance")</f>
        <v>28.355039999999999</v>
      </c>
      <c r="K43" t="str">
        <f>_xlfn.XLOOKUP(Logs[[#This Row],[Cell_ID]],'Registre_Maintenance'!B:B,'Registre_Maintenance'!F:F,"Pas de correspondance")</f>
        <v>3G</v>
      </c>
      <c r="L43" t="str">
        <f>_xlfn.XLOOKUP(Logs[[#This Row],[Cell_ID]],'Registre_Maintenance'!B:B,'Registre_Maintenance'!G:G,"Pas de correspondance")</f>
        <v>ZTE</v>
      </c>
      <c r="M43" s="1" t="s">
        <v>806</v>
      </c>
      <c r="N43" s="1">
        <f>_xlfn.XLOOKUP(Logs[[#This Row],[ID_Client]],Clients_Log!B:B,Clients_Log!E:E,"Pas de correspondance")</f>
        <v>101</v>
      </c>
      <c r="O43" s="4">
        <f>IFERROR(Logs[[#This Row],[Anciennete_Mois]]/12,"")</f>
        <v>8.4166666666666661</v>
      </c>
      <c r="P43" s="1" t="str">
        <f>_xlfn.XLOOKUP(Logs[[#This Row],[ID_Client]],Clients_Log!B:B,Clients_Log!F:F,"Pas de correspondance")</f>
        <v>Illimité 50Go</v>
      </c>
      <c r="Q43" s="1" t="str">
        <f>IF(Logs[[#This Row],[Type_Forfait]]="Pro Monde","B2B","B2C")</f>
        <v>B2C</v>
      </c>
      <c r="R43" s="1">
        <f>_xlfn.XLOOKUP(Logs[[#This Row],[ID_Client]],Clients_Log!B:B,Clients_Log!G:G,"Pas de correspondance")</f>
        <v>358</v>
      </c>
      <c r="S43" s="3">
        <f>Logs[[#This Row],[Duree_Cumulee_Panne_Min]]/1440</f>
        <v>0.24861111111111112</v>
      </c>
      <c r="T43" s="1">
        <f>_xlfn.XLOOKUP(Logs[[#This Row],[ID_Client]],Clients_Log!B:B,Clients_Log!H:H,"Pas de correspondance")</f>
        <v>29.24</v>
      </c>
      <c r="U43" s="1">
        <f>_xlfn.XLOOKUP(Logs[[#This Row],[ID_Client]],Clients_Log!B:B,Clients_Log!I:I,"Pas de correspondance")</f>
        <v>3</v>
      </c>
      <c r="V4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3" s="1">
        <f>Logs[[#This Row],[Facture_Mensuelle]]*Logs[[#This Row],[Remise (%)]]</f>
        <v>13.157999999999999</v>
      </c>
    </row>
    <row r="44" spans="1:23" x14ac:dyDescent="0.25">
      <c r="A44" s="1" t="s">
        <v>804</v>
      </c>
      <c r="B44" s="2">
        <v>45202</v>
      </c>
      <c r="C44" s="1" t="str">
        <f>_xlfn.XLOOKUP(Logs[[#This Row],[Province_RDC]],Clients_Log!D:D,Clients_Log!B:B,"Pas de correspondance")</f>
        <v>CLI-00643</v>
      </c>
      <c r="D44" t="str">
        <f>_xlfn.XLOOKUP(Logs[[#This Row],[Cell_ID]],'Registre_Maintenance'!B:B,'Registre_Maintenance'!C:C,"Pas de correspondance")</f>
        <v>Equateur</v>
      </c>
      <c r="E44" s="3">
        <v>0.2902777777777778</v>
      </c>
      <c r="F44" s="1" t="s">
        <v>847</v>
      </c>
      <c r="G44" s="3">
        <f>Logs[[#This Row],[Duree_Panne_Min]]/1440</f>
        <v>7.1527777777777773E-2</v>
      </c>
      <c r="H44">
        <v>103</v>
      </c>
      <c r="I44">
        <f>_xlfn.XLOOKUP(Logs[[#This Row],[Cell_ID]],'Registre_Maintenance'!B:B,'Registre_Maintenance'!D:D,"Pas de correspondance")</f>
        <v>4.9250049999999996</v>
      </c>
      <c r="J44">
        <f>_xlfn.XLOOKUP(Logs[[#This Row],[Cell_ID]],'Registre_Maintenance'!B:B,'Registre_Maintenance'!E:E,"Pas de correspondance")</f>
        <v>19.887931999999999</v>
      </c>
      <c r="K44" t="str">
        <f>_xlfn.XLOOKUP(Logs[[#This Row],[Cell_ID]],'Registre_Maintenance'!B:B,'Registre_Maintenance'!F:F,"Pas de correspondance")</f>
        <v>4G</v>
      </c>
      <c r="L44" t="str">
        <f>_xlfn.XLOOKUP(Logs[[#This Row],[Cell_ID]],'Registre_Maintenance'!B:B,'Registre_Maintenance'!G:G,"Pas de correspondance")</f>
        <v>Huawei</v>
      </c>
      <c r="M44" s="1" t="s">
        <v>809</v>
      </c>
      <c r="N44" s="1">
        <f>_xlfn.XLOOKUP(Logs[[#This Row],[ID_Client]],Clients_Log!B:B,Clients_Log!E:E,"Pas de correspondance")</f>
        <v>14</v>
      </c>
      <c r="O44" s="4">
        <f>IFERROR(Logs[[#This Row],[Anciennete_Mois]]/12,"")</f>
        <v>1.1666666666666667</v>
      </c>
      <c r="P44" s="1" t="str">
        <f>_xlfn.XLOOKUP(Logs[[#This Row],[ID_Client]],Clients_Log!B:B,Clients_Log!F:F,"Pas de correspondance")</f>
        <v>Pro Monde</v>
      </c>
      <c r="Q44" s="1" t="str">
        <f>IF(Logs[[#This Row],[Type_Forfait]]="Pro Monde","B2B","B2C")</f>
        <v>B2B</v>
      </c>
      <c r="R44" s="1">
        <f>_xlfn.XLOOKUP(Logs[[#This Row],[ID_Client]],Clients_Log!B:B,Clients_Log!G:G,"Pas de correspondance")</f>
        <v>316</v>
      </c>
      <c r="S44" s="3">
        <f>Logs[[#This Row],[Duree_Cumulee_Panne_Min]]/1440</f>
        <v>0.21944444444444444</v>
      </c>
      <c r="T44" s="1">
        <f>_xlfn.XLOOKUP(Logs[[#This Row],[ID_Client]],Clients_Log!B:B,Clients_Log!H:H,"Pas de correspondance")</f>
        <v>62.34</v>
      </c>
      <c r="U44" s="1">
        <f>_xlfn.XLOOKUP(Logs[[#This Row],[ID_Client]],Clients_Log!B:B,Clients_Log!I:I,"Pas de correspondance")</f>
        <v>4</v>
      </c>
      <c r="V4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4" s="1">
        <f>Logs[[#This Row],[Facture_Mensuelle]]*Logs[[#This Row],[Remise (%)]]</f>
        <v>28.053000000000001</v>
      </c>
    </row>
    <row r="45" spans="1:23" hidden="1" x14ac:dyDescent="0.25">
      <c r="A45" s="1" t="s">
        <v>804</v>
      </c>
      <c r="B45" s="2">
        <v>45230</v>
      </c>
      <c r="C45" s="1" t="str">
        <f>_xlfn.XLOOKUP(Logs[[#This Row],[Province_RDC]],Clients_Log!D:D,Clients_Log!B:B,"Pas de correspondance")</f>
        <v>Pas de correspondance</v>
      </c>
      <c r="D45" t="str">
        <f>_xlfn.XLOOKUP(Logs[[#This Row],[Cell_ID]],'Registre_Maintenance'!B:B,'Registre_Maintenance'!C:C,"Pas de correspondance")</f>
        <v>Pas de correspondance</v>
      </c>
      <c r="E45" s="3">
        <v>0.78888888888888886</v>
      </c>
      <c r="F45" s="1" t="s">
        <v>848</v>
      </c>
      <c r="G45" s="3">
        <f>Logs[[#This Row],[Duree_Panne_Min]]/1440</f>
        <v>6.0416666666666667E-2</v>
      </c>
      <c r="H45">
        <v>87</v>
      </c>
      <c r="I45" t="str">
        <f>_xlfn.XLOOKUP(Logs[[#This Row],[Cell_ID]],'Registre_Maintenance'!B:B,'Registre_Maintenance'!D:D,"Pas de correspondance")</f>
        <v>Pas de correspondance</v>
      </c>
      <c r="J45" t="str">
        <f>_xlfn.XLOOKUP(Logs[[#This Row],[Cell_ID]],'Registre_Maintenance'!B:B,'Registre_Maintenance'!E:E,"Pas de correspondance")</f>
        <v>Pas de correspondance</v>
      </c>
      <c r="K45" t="str">
        <f>_xlfn.XLOOKUP(Logs[[#This Row],[Cell_ID]],'Registre_Maintenance'!B:B,'Registre_Maintenance'!F:F,"Pas de correspondance")</f>
        <v>Pas de correspondance</v>
      </c>
      <c r="L45" t="str">
        <f>_xlfn.XLOOKUP(Logs[[#This Row],[Cell_ID]],'Registre_Maintenance'!B:B,'Registre_Maintenance'!G:G,"Pas de correspondance")</f>
        <v>Pas de correspondance</v>
      </c>
      <c r="M45" s="1" t="s">
        <v>809</v>
      </c>
      <c r="N45" s="1" t="str">
        <f>_xlfn.XLOOKUP(Logs[[#This Row],[ID_Client]],Clients_Log!B:B,Clients_Log!E:E,"Pas de correspondance")</f>
        <v>Pas de correspondance</v>
      </c>
      <c r="O45" s="4" t="str">
        <f>IFERROR(Logs[[#This Row],[Anciennete_Mois]]/12,"")</f>
        <v/>
      </c>
      <c r="P45" s="1" t="str">
        <f>_xlfn.XLOOKUP(Logs[[#This Row],[ID_Client]],Clients_Log!B:B,Clients_Log!F:F,"Pas de correspondance")</f>
        <v>Pas de correspondance</v>
      </c>
      <c r="Q45" s="1" t="str">
        <f>IF(Logs[[#This Row],[Type_Forfait]]="Pro Monde","B2B","B2C")</f>
        <v>B2C</v>
      </c>
      <c r="R45" s="1" t="str">
        <f>_xlfn.XLOOKUP(Logs[[#This Row],[ID_Client]],Clients_Log!B:B,Clients_Log!G:G,"Pas de correspondance")</f>
        <v>Pas de correspondance</v>
      </c>
      <c r="S45" s="1" t="e">
        <f>Logs[[#This Row],[Duree_Cumulee_Panne_Min]]/1440</f>
        <v>#VALUE!</v>
      </c>
      <c r="T45" s="1" t="str">
        <f>_xlfn.XLOOKUP(Logs[[#This Row],[ID_Client]],Clients_Log!B:B,Clients_Log!H:H,"Pas de correspondance")</f>
        <v>Pas de correspondance</v>
      </c>
      <c r="U45" s="1" t="str">
        <f>_xlfn.XLOOKUP(Logs[[#This Row],[ID_Client]],Clients_Log!B:B,Clients_Log!I:I,"Pas de correspondance")</f>
        <v>Pas de correspondance</v>
      </c>
      <c r="V4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5" s="1" t="e">
        <f>Logs[[#This Row],[Facture_Mensuelle]]*Logs[[#This Row],[Remise (%)]]</f>
        <v>#VALUE!</v>
      </c>
    </row>
    <row r="46" spans="1:23" hidden="1" x14ac:dyDescent="0.25">
      <c r="A46" s="1" t="s">
        <v>804</v>
      </c>
      <c r="B46" s="2">
        <v>45222</v>
      </c>
      <c r="C46" s="1" t="str">
        <f>_xlfn.XLOOKUP(Logs[[#This Row],[Province_RDC]],Clients_Log!D:D,Clients_Log!B:B,"Pas de correspondance")</f>
        <v>Pas de correspondance</v>
      </c>
      <c r="D46" t="str">
        <f>_xlfn.XLOOKUP(Logs[[#This Row],[Cell_ID]],'Registre_Maintenance'!B:B,'Registre_Maintenance'!C:C,"Pas de correspondance")</f>
        <v>Pas de correspondance</v>
      </c>
      <c r="E46" s="3">
        <v>0.42569444444444443</v>
      </c>
      <c r="F46" s="1" t="s">
        <v>849</v>
      </c>
      <c r="G46" s="3">
        <f>Logs[[#This Row],[Duree_Panne_Min]]/1440</f>
        <v>3.3333333333333333E-2</v>
      </c>
      <c r="H46">
        <v>48</v>
      </c>
      <c r="I46" t="str">
        <f>_xlfn.XLOOKUP(Logs[[#This Row],[Cell_ID]],'Registre_Maintenance'!B:B,'Registre_Maintenance'!D:D,"Pas de correspondance")</f>
        <v>Pas de correspondance</v>
      </c>
      <c r="J46" t="str">
        <f>_xlfn.XLOOKUP(Logs[[#This Row],[Cell_ID]],'Registre_Maintenance'!B:B,'Registre_Maintenance'!E:E,"Pas de correspondance")</f>
        <v>Pas de correspondance</v>
      </c>
      <c r="K46" t="str">
        <f>_xlfn.XLOOKUP(Logs[[#This Row],[Cell_ID]],'Registre_Maintenance'!B:B,'Registre_Maintenance'!F:F,"Pas de correspondance")</f>
        <v>Pas de correspondance</v>
      </c>
      <c r="L46" t="str">
        <f>_xlfn.XLOOKUP(Logs[[#This Row],[Cell_ID]],'Registre_Maintenance'!B:B,'Registre_Maintenance'!G:G,"Pas de correspondance")</f>
        <v>Pas de correspondance</v>
      </c>
      <c r="M46" s="1" t="s">
        <v>806</v>
      </c>
      <c r="N46" s="1" t="str">
        <f>_xlfn.XLOOKUP(Logs[[#This Row],[ID_Client]],Clients_Log!B:B,Clients_Log!E:E,"Pas de correspondance")</f>
        <v>Pas de correspondance</v>
      </c>
      <c r="O46" s="4" t="str">
        <f>IFERROR(Logs[[#This Row],[Anciennete_Mois]]/12,"")</f>
        <v/>
      </c>
      <c r="P46" s="1" t="str">
        <f>_xlfn.XLOOKUP(Logs[[#This Row],[ID_Client]],Clients_Log!B:B,Clients_Log!F:F,"Pas de correspondance")</f>
        <v>Pas de correspondance</v>
      </c>
      <c r="Q46" s="1" t="str">
        <f>IF(Logs[[#This Row],[Type_Forfait]]="Pro Monde","B2B","B2C")</f>
        <v>B2C</v>
      </c>
      <c r="R46" s="1" t="str">
        <f>_xlfn.XLOOKUP(Logs[[#This Row],[ID_Client]],Clients_Log!B:B,Clients_Log!G:G,"Pas de correspondance")</f>
        <v>Pas de correspondance</v>
      </c>
      <c r="S46" s="1" t="e">
        <f>Logs[[#This Row],[Duree_Cumulee_Panne_Min]]/1440</f>
        <v>#VALUE!</v>
      </c>
      <c r="T46" s="1" t="str">
        <f>_xlfn.XLOOKUP(Logs[[#This Row],[ID_Client]],Clients_Log!B:B,Clients_Log!H:H,"Pas de correspondance")</f>
        <v>Pas de correspondance</v>
      </c>
      <c r="U46" s="1" t="str">
        <f>_xlfn.XLOOKUP(Logs[[#This Row],[ID_Client]],Clients_Log!B:B,Clients_Log!I:I,"Pas de correspondance")</f>
        <v>Pas de correspondance</v>
      </c>
      <c r="V4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6" s="1" t="e">
        <f>Logs[[#This Row],[Facture_Mensuelle]]*Logs[[#This Row],[Remise (%)]]</f>
        <v>#VALUE!</v>
      </c>
    </row>
    <row r="47" spans="1:23" hidden="1" x14ac:dyDescent="0.25">
      <c r="A47" s="1" t="s">
        <v>804</v>
      </c>
      <c r="B47" s="2">
        <v>45220</v>
      </c>
      <c r="C47" s="1" t="str">
        <f>_xlfn.XLOOKUP(Logs[[#This Row],[Province_RDC]],Clients_Log!D:D,Clients_Log!B:B,"Pas de correspondance")</f>
        <v>Pas de correspondance</v>
      </c>
      <c r="D47" t="str">
        <f>_xlfn.XLOOKUP(Logs[[#This Row],[Cell_ID]],'Registre_Maintenance'!B:B,'Registre_Maintenance'!C:C,"Pas de correspondance")</f>
        <v>Pas de correspondance</v>
      </c>
      <c r="E47" s="3">
        <v>0.64236111111111116</v>
      </c>
      <c r="F47" s="1" t="s">
        <v>850</v>
      </c>
      <c r="G47" s="3">
        <f>Logs[[#This Row],[Duree_Panne_Min]]/1440</f>
        <v>1.3194444444444444E-2</v>
      </c>
      <c r="H47">
        <v>19</v>
      </c>
      <c r="I47" t="str">
        <f>_xlfn.XLOOKUP(Logs[[#This Row],[Cell_ID]],'Registre_Maintenance'!B:B,'Registre_Maintenance'!D:D,"Pas de correspondance")</f>
        <v>Pas de correspondance</v>
      </c>
      <c r="J47" t="str">
        <f>_xlfn.XLOOKUP(Logs[[#This Row],[Cell_ID]],'Registre_Maintenance'!B:B,'Registre_Maintenance'!E:E,"Pas de correspondance")</f>
        <v>Pas de correspondance</v>
      </c>
      <c r="K47" t="str">
        <f>_xlfn.XLOOKUP(Logs[[#This Row],[Cell_ID]],'Registre_Maintenance'!B:B,'Registre_Maintenance'!F:F,"Pas de correspondance")</f>
        <v>Pas de correspondance</v>
      </c>
      <c r="L47" t="str">
        <f>_xlfn.XLOOKUP(Logs[[#This Row],[Cell_ID]],'Registre_Maintenance'!B:B,'Registre_Maintenance'!G:G,"Pas de correspondance")</f>
        <v>Pas de correspondance</v>
      </c>
      <c r="M47" s="1" t="s">
        <v>806</v>
      </c>
      <c r="N47" s="1" t="str">
        <f>_xlfn.XLOOKUP(Logs[[#This Row],[ID_Client]],Clients_Log!B:B,Clients_Log!E:E,"Pas de correspondance")</f>
        <v>Pas de correspondance</v>
      </c>
      <c r="O47" s="4" t="str">
        <f>IFERROR(Logs[[#This Row],[Anciennete_Mois]]/12,"")</f>
        <v/>
      </c>
      <c r="P47" s="1" t="str">
        <f>_xlfn.XLOOKUP(Logs[[#This Row],[ID_Client]],Clients_Log!B:B,Clients_Log!F:F,"Pas de correspondance")</f>
        <v>Pas de correspondance</v>
      </c>
      <c r="Q47" s="1" t="str">
        <f>IF(Logs[[#This Row],[Type_Forfait]]="Pro Monde","B2B","B2C")</f>
        <v>B2C</v>
      </c>
      <c r="R47" s="1" t="str">
        <f>_xlfn.XLOOKUP(Logs[[#This Row],[ID_Client]],Clients_Log!B:B,Clients_Log!G:G,"Pas de correspondance")</f>
        <v>Pas de correspondance</v>
      </c>
      <c r="S47" s="1" t="e">
        <f>Logs[[#This Row],[Duree_Cumulee_Panne_Min]]/1440</f>
        <v>#VALUE!</v>
      </c>
      <c r="T47" s="1" t="str">
        <f>_xlfn.XLOOKUP(Logs[[#This Row],[ID_Client]],Clients_Log!B:B,Clients_Log!H:H,"Pas de correspondance")</f>
        <v>Pas de correspondance</v>
      </c>
      <c r="U47" s="1" t="str">
        <f>_xlfn.XLOOKUP(Logs[[#This Row],[ID_Client]],Clients_Log!B:B,Clients_Log!I:I,"Pas de correspondance")</f>
        <v>Pas de correspondance</v>
      </c>
      <c r="V4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7" s="1" t="e">
        <f>Logs[[#This Row],[Facture_Mensuelle]]*Logs[[#This Row],[Remise (%)]]</f>
        <v>#VALUE!</v>
      </c>
    </row>
    <row r="48" spans="1:23" x14ac:dyDescent="0.25">
      <c r="A48" s="1" t="s">
        <v>804</v>
      </c>
      <c r="B48" s="2">
        <v>45228</v>
      </c>
      <c r="C48" s="1" t="str">
        <f>_xlfn.XLOOKUP(Logs[[#This Row],[Province_RDC]],Clients_Log!D:D,Clients_Log!B:B,"Pas de correspondance")</f>
        <v>CLI-01618</v>
      </c>
      <c r="D48" t="str">
        <f>_xlfn.XLOOKUP(Logs[[#This Row],[Cell_ID]],'Registre_Maintenance'!B:B,'Registre_Maintenance'!C:C,"Pas de correspondance")</f>
        <v>Tanganyika</v>
      </c>
      <c r="E48" s="3">
        <v>0.85347222222222219</v>
      </c>
      <c r="F48" s="1" t="s">
        <v>845</v>
      </c>
      <c r="G48" s="3">
        <f>Logs[[#This Row],[Duree_Panne_Min]]/1440</f>
        <v>2.9166666666666667E-2</v>
      </c>
      <c r="H48">
        <v>42</v>
      </c>
      <c r="I48">
        <f>_xlfn.XLOOKUP(Logs[[#This Row],[Cell_ID]],'Registre_Maintenance'!B:B,'Registre_Maintenance'!D:D,"Pas de correspondance")</f>
        <v>-10.776204</v>
      </c>
      <c r="J48">
        <f>_xlfn.XLOOKUP(Logs[[#This Row],[Cell_ID]],'Registre_Maintenance'!B:B,'Registre_Maintenance'!E:E,"Pas de correspondance")</f>
        <v>24.672934000000001</v>
      </c>
      <c r="K48" t="str">
        <f>_xlfn.XLOOKUP(Logs[[#This Row],[Cell_ID]],'Registre_Maintenance'!B:B,'Registre_Maintenance'!F:F,"Pas de correspondance")</f>
        <v>4G</v>
      </c>
      <c r="L48" t="str">
        <f>_xlfn.XLOOKUP(Logs[[#This Row],[Cell_ID]],'Registre_Maintenance'!B:B,'Registre_Maintenance'!G:G,"Pas de correspondance")</f>
        <v>Ericsson</v>
      </c>
      <c r="M48" s="1" t="s">
        <v>806</v>
      </c>
      <c r="N48" s="1">
        <f>_xlfn.XLOOKUP(Logs[[#This Row],[ID_Client]],Clients_Log!B:B,Clients_Log!E:E,"Pas de correspondance")</f>
        <v>115</v>
      </c>
      <c r="O48" s="4">
        <f>IFERROR(Logs[[#This Row],[Anciennete_Mois]]/12,"")</f>
        <v>9.5833333333333339</v>
      </c>
      <c r="P48" s="1" t="str">
        <f>_xlfn.XLOOKUP(Logs[[#This Row],[ID_Client]],Clients_Log!B:B,Clients_Log!F:F,"Pas de correspondance")</f>
        <v>Bloqué 5Go</v>
      </c>
      <c r="Q48" s="1" t="str">
        <f>IF(Logs[[#This Row],[Type_Forfait]]="Pro Monde","B2B","B2C")</f>
        <v>B2C</v>
      </c>
      <c r="R48" s="1">
        <f>_xlfn.XLOOKUP(Logs[[#This Row],[ID_Client]],Clients_Log!B:B,Clients_Log!G:G,"Pas de correspondance")</f>
        <v>176</v>
      </c>
      <c r="S48" s="3">
        <f>Logs[[#This Row],[Duree_Cumulee_Panne_Min]]/1440</f>
        <v>0.12222222222222222</v>
      </c>
      <c r="T48" s="1">
        <f>_xlfn.XLOOKUP(Logs[[#This Row],[ID_Client]],Clients_Log!B:B,Clients_Log!H:H,"Pas de correspondance")</f>
        <v>33.28</v>
      </c>
      <c r="U48" s="1">
        <f>_xlfn.XLOOKUP(Logs[[#This Row],[ID_Client]],Clients_Log!B:B,Clients_Log!I:I,"Pas de correspondance")</f>
        <v>4</v>
      </c>
      <c r="V4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48" s="1">
        <f>Logs[[#This Row],[Facture_Mensuelle]]*Logs[[#This Row],[Remise (%)]]</f>
        <v>0</v>
      </c>
    </row>
    <row r="49" spans="1:23" hidden="1" x14ac:dyDescent="0.25">
      <c r="A49" s="1" t="s">
        <v>804</v>
      </c>
      <c r="B49" s="2">
        <v>45204</v>
      </c>
      <c r="C49" s="1" t="str">
        <f>_xlfn.XLOOKUP(Logs[[#This Row],[Province_RDC]],Clients_Log!D:D,Clients_Log!B:B,"Pas de correspondance")</f>
        <v>Pas de correspondance</v>
      </c>
      <c r="D49" t="str">
        <f>_xlfn.XLOOKUP(Logs[[#This Row],[Cell_ID]],'Registre_Maintenance'!B:B,'Registre_Maintenance'!C:C,"Pas de correspondance")</f>
        <v>Pas de correspondance</v>
      </c>
      <c r="E49" s="3">
        <v>0.33888888888888891</v>
      </c>
      <c r="F49" s="1" t="s">
        <v>851</v>
      </c>
      <c r="G49" s="3">
        <f>Logs[[#This Row],[Duree_Panne_Min]]/1440</f>
        <v>4.1666666666666664E-2</v>
      </c>
      <c r="H49">
        <v>60</v>
      </c>
      <c r="I49" t="str">
        <f>_xlfn.XLOOKUP(Logs[[#This Row],[Cell_ID]],'Registre_Maintenance'!B:B,'Registre_Maintenance'!D:D,"Pas de correspondance")</f>
        <v>Pas de correspondance</v>
      </c>
      <c r="J49" t="str">
        <f>_xlfn.XLOOKUP(Logs[[#This Row],[Cell_ID]],'Registre_Maintenance'!B:B,'Registre_Maintenance'!E:E,"Pas de correspondance")</f>
        <v>Pas de correspondance</v>
      </c>
      <c r="K49" t="str">
        <f>_xlfn.XLOOKUP(Logs[[#This Row],[Cell_ID]],'Registre_Maintenance'!B:B,'Registre_Maintenance'!F:F,"Pas de correspondance")</f>
        <v>Pas de correspondance</v>
      </c>
      <c r="L49" t="str">
        <f>_xlfn.XLOOKUP(Logs[[#This Row],[Cell_ID]],'Registre_Maintenance'!B:B,'Registre_Maintenance'!G:G,"Pas de correspondance")</f>
        <v>Pas de correspondance</v>
      </c>
      <c r="M49" s="1" t="s">
        <v>806</v>
      </c>
      <c r="N49" s="1" t="str">
        <f>_xlfn.XLOOKUP(Logs[[#This Row],[ID_Client]],Clients_Log!B:B,Clients_Log!E:E,"Pas de correspondance")</f>
        <v>Pas de correspondance</v>
      </c>
      <c r="O49" s="4" t="str">
        <f>IFERROR(Logs[[#This Row],[Anciennete_Mois]]/12,"")</f>
        <v/>
      </c>
      <c r="P49" s="1" t="str">
        <f>_xlfn.XLOOKUP(Logs[[#This Row],[ID_Client]],Clients_Log!B:B,Clients_Log!F:F,"Pas de correspondance")</f>
        <v>Pas de correspondance</v>
      </c>
      <c r="Q49" s="1" t="str">
        <f>IF(Logs[[#This Row],[Type_Forfait]]="Pro Monde","B2B","B2C")</f>
        <v>B2C</v>
      </c>
      <c r="R49" s="1" t="str">
        <f>_xlfn.XLOOKUP(Logs[[#This Row],[ID_Client]],Clients_Log!B:B,Clients_Log!G:G,"Pas de correspondance")</f>
        <v>Pas de correspondance</v>
      </c>
      <c r="S49" s="1" t="e">
        <f>Logs[[#This Row],[Duree_Cumulee_Panne_Min]]/1440</f>
        <v>#VALUE!</v>
      </c>
      <c r="T49" s="1" t="str">
        <f>_xlfn.XLOOKUP(Logs[[#This Row],[ID_Client]],Clients_Log!B:B,Clients_Log!H:H,"Pas de correspondance")</f>
        <v>Pas de correspondance</v>
      </c>
      <c r="U49" s="1" t="str">
        <f>_xlfn.XLOOKUP(Logs[[#This Row],[ID_Client]],Clients_Log!B:B,Clients_Log!I:I,"Pas de correspondance")</f>
        <v>Pas de correspondance</v>
      </c>
      <c r="V4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9" s="1" t="e">
        <f>Logs[[#This Row],[Facture_Mensuelle]]*Logs[[#This Row],[Remise (%)]]</f>
        <v>#VALUE!</v>
      </c>
    </row>
    <row r="50" spans="1:23" x14ac:dyDescent="0.25">
      <c r="A50" s="1" t="s">
        <v>804</v>
      </c>
      <c r="B50" s="2">
        <v>45207</v>
      </c>
      <c r="C50" s="1" t="str">
        <f>_xlfn.XLOOKUP(Logs[[#This Row],[Province_RDC]],Clients_Log!D:D,Clients_Log!B:B,"Pas de correspondance")</f>
        <v>CLI-00837</v>
      </c>
      <c r="D50" t="str">
        <f>_xlfn.XLOOKUP(Logs[[#This Row],[Cell_ID]],'Registre_Maintenance'!B:B,'Registre_Maintenance'!C:C,"Pas de correspondance")</f>
        <v>Nord-Kivu</v>
      </c>
      <c r="E50" s="3">
        <v>0.98263888888888884</v>
      </c>
      <c r="F50" s="1" t="s">
        <v>852</v>
      </c>
      <c r="G50" s="3">
        <f>Logs[[#This Row],[Duree_Panne_Min]]/1440</f>
        <v>1.7361111111111112E-2</v>
      </c>
      <c r="H50">
        <v>25</v>
      </c>
      <c r="I50">
        <f>_xlfn.XLOOKUP(Logs[[#This Row],[Cell_ID]],'Registre_Maintenance'!B:B,'Registre_Maintenance'!D:D,"Pas de correspondance")</f>
        <v>-11.866133</v>
      </c>
      <c r="J50">
        <f>_xlfn.XLOOKUP(Logs[[#This Row],[Cell_ID]],'Registre_Maintenance'!B:B,'Registre_Maintenance'!E:E,"Pas de correspondance")</f>
        <v>27.068932</v>
      </c>
      <c r="K50" t="str">
        <f>_xlfn.XLOOKUP(Logs[[#This Row],[Cell_ID]],'Registre_Maintenance'!B:B,'Registre_Maintenance'!F:F,"Pas de correspondance")</f>
        <v>3G</v>
      </c>
      <c r="L50" t="str">
        <f>_xlfn.XLOOKUP(Logs[[#This Row],[Cell_ID]],'Registre_Maintenance'!B:B,'Registre_Maintenance'!G:G,"Pas de correspondance")</f>
        <v>Huawei</v>
      </c>
      <c r="M50" s="1" t="s">
        <v>811</v>
      </c>
      <c r="N50" s="1">
        <f>_xlfn.XLOOKUP(Logs[[#This Row],[ID_Client]],Clients_Log!B:B,Clients_Log!E:E,"Pas de correspondance")</f>
        <v>16</v>
      </c>
      <c r="O50" s="4">
        <f>IFERROR(Logs[[#This Row],[Anciennete_Mois]]/12,"")</f>
        <v>1.3333333333333333</v>
      </c>
      <c r="P50" s="1" t="str">
        <f>_xlfn.XLOOKUP(Logs[[#This Row],[ID_Client]],Clients_Log!B:B,Clients_Log!F:F,"Pas de correspondance")</f>
        <v>Bloqué 5Go</v>
      </c>
      <c r="Q50" s="1" t="str">
        <f>IF(Logs[[#This Row],[Type_Forfait]]="Pro Monde","B2B","B2C")</f>
        <v>B2C</v>
      </c>
      <c r="R50" s="1">
        <f>_xlfn.XLOOKUP(Logs[[#This Row],[ID_Client]],Clients_Log!B:B,Clients_Log!G:G,"Pas de correspondance")</f>
        <v>390</v>
      </c>
      <c r="S50" s="3">
        <f>Logs[[#This Row],[Duree_Cumulee_Panne_Min]]/1440</f>
        <v>0.27083333333333331</v>
      </c>
      <c r="T50" s="1">
        <f>_xlfn.XLOOKUP(Logs[[#This Row],[ID_Client]],Clients_Log!B:B,Clients_Log!H:H,"Pas de correspondance")</f>
        <v>98.17</v>
      </c>
      <c r="U50" s="1">
        <f>_xlfn.XLOOKUP(Logs[[#This Row],[ID_Client]],Clients_Log!B:B,Clients_Log!I:I,"Pas de correspondance")</f>
        <v>5</v>
      </c>
      <c r="V5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0" s="1">
        <f>Logs[[#This Row],[Facture_Mensuelle]]*Logs[[#This Row],[Remise (%)]]</f>
        <v>44.176500000000004</v>
      </c>
    </row>
    <row r="51" spans="1:23" hidden="1" x14ac:dyDescent="0.25">
      <c r="A51" s="1" t="s">
        <v>804</v>
      </c>
      <c r="B51" s="2">
        <v>45225</v>
      </c>
      <c r="C51" s="1" t="str">
        <f>_xlfn.XLOOKUP(Logs[[#This Row],[Province_RDC]],Clients_Log!D:D,Clients_Log!B:B,"Pas de correspondance")</f>
        <v>Pas de correspondance</v>
      </c>
      <c r="D51" t="str">
        <f>_xlfn.XLOOKUP(Logs[[#This Row],[Cell_ID]],'Registre_Maintenance'!B:B,'Registre_Maintenance'!C:C,"Pas de correspondance")</f>
        <v>Pas de correspondance</v>
      </c>
      <c r="E51" s="3">
        <v>0.2388888888888889</v>
      </c>
      <c r="F51" s="1" t="s">
        <v>821</v>
      </c>
      <c r="G51" s="3">
        <f>Logs[[#This Row],[Duree_Panne_Min]]/1440</f>
        <v>1.1111111111111112E-2</v>
      </c>
      <c r="H51">
        <v>16</v>
      </c>
      <c r="I51" t="str">
        <f>_xlfn.XLOOKUP(Logs[[#This Row],[Cell_ID]],'Registre_Maintenance'!B:B,'Registre_Maintenance'!D:D,"Pas de correspondance")</f>
        <v>Pas de correspondance</v>
      </c>
      <c r="J51" t="str">
        <f>_xlfn.XLOOKUP(Logs[[#This Row],[Cell_ID]],'Registre_Maintenance'!B:B,'Registre_Maintenance'!E:E,"Pas de correspondance")</f>
        <v>Pas de correspondance</v>
      </c>
      <c r="K51" t="str">
        <f>_xlfn.XLOOKUP(Logs[[#This Row],[Cell_ID]],'Registre_Maintenance'!B:B,'Registre_Maintenance'!F:F,"Pas de correspondance")</f>
        <v>Pas de correspondance</v>
      </c>
      <c r="L51" t="str">
        <f>_xlfn.XLOOKUP(Logs[[#This Row],[Cell_ID]],'Registre_Maintenance'!B:B,'Registre_Maintenance'!G:G,"Pas de correspondance")</f>
        <v>Pas de correspondance</v>
      </c>
      <c r="M51" s="1" t="s">
        <v>809</v>
      </c>
      <c r="N51" s="1" t="str">
        <f>_xlfn.XLOOKUP(Logs[[#This Row],[ID_Client]],Clients_Log!B:B,Clients_Log!E:E,"Pas de correspondance")</f>
        <v>Pas de correspondance</v>
      </c>
      <c r="O51" s="4" t="str">
        <f>IFERROR(Logs[[#This Row],[Anciennete_Mois]]/12,"")</f>
        <v/>
      </c>
      <c r="P51" s="1" t="str">
        <f>_xlfn.XLOOKUP(Logs[[#This Row],[ID_Client]],Clients_Log!B:B,Clients_Log!F:F,"Pas de correspondance")</f>
        <v>Pas de correspondance</v>
      </c>
      <c r="Q51" s="1" t="str">
        <f>IF(Logs[[#This Row],[Type_Forfait]]="Pro Monde","B2B","B2C")</f>
        <v>B2C</v>
      </c>
      <c r="R51" s="1" t="str">
        <f>_xlfn.XLOOKUP(Logs[[#This Row],[ID_Client]],Clients_Log!B:B,Clients_Log!G:G,"Pas de correspondance")</f>
        <v>Pas de correspondance</v>
      </c>
      <c r="S51" s="1" t="e">
        <f>Logs[[#This Row],[Duree_Cumulee_Panne_Min]]/1440</f>
        <v>#VALUE!</v>
      </c>
      <c r="T51" s="1" t="str">
        <f>_xlfn.XLOOKUP(Logs[[#This Row],[ID_Client]],Clients_Log!B:B,Clients_Log!H:H,"Pas de correspondance")</f>
        <v>Pas de correspondance</v>
      </c>
      <c r="U51" s="1" t="str">
        <f>_xlfn.XLOOKUP(Logs[[#This Row],[ID_Client]],Clients_Log!B:B,Clients_Log!I:I,"Pas de correspondance")</f>
        <v>Pas de correspondance</v>
      </c>
      <c r="V5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1" s="1" t="e">
        <f>Logs[[#This Row],[Facture_Mensuelle]]*Logs[[#This Row],[Remise (%)]]</f>
        <v>#VALUE!</v>
      </c>
    </row>
    <row r="52" spans="1:23" hidden="1" x14ac:dyDescent="0.25">
      <c r="A52" s="1" t="s">
        <v>853</v>
      </c>
      <c r="B52" s="2">
        <v>45218</v>
      </c>
      <c r="C52" s="1" t="str">
        <f>_xlfn.XLOOKUP(Logs[[#This Row],[Province_RDC]],Clients_Log!D:D,Clients_Log!B:B,"Pas de correspondance")</f>
        <v>Pas de correspondance</v>
      </c>
      <c r="D52" t="str">
        <f>_xlfn.XLOOKUP(Logs[[#This Row],[Cell_ID]],'Registre_Maintenance'!B:B,'Registre_Maintenance'!C:C,"Pas de correspondance")</f>
        <v>Pas de correspondance</v>
      </c>
      <c r="E52" s="3">
        <v>0.63541666666666663</v>
      </c>
      <c r="F52" s="1" t="s">
        <v>854</v>
      </c>
      <c r="G52" s="3">
        <f>Logs[[#This Row],[Duree_Panne_Min]]/1440</f>
        <v>1.1805555555555555E-2</v>
      </c>
      <c r="H52">
        <v>17</v>
      </c>
      <c r="I52" t="str">
        <f>_xlfn.XLOOKUP(Logs[[#This Row],[Cell_ID]],'Registre_Maintenance'!B:B,'Registre_Maintenance'!D:D,"Pas de correspondance")</f>
        <v>Pas de correspondance</v>
      </c>
      <c r="J52" t="str">
        <f>_xlfn.XLOOKUP(Logs[[#This Row],[Cell_ID]],'Registre_Maintenance'!B:B,'Registre_Maintenance'!E:E,"Pas de correspondance")</f>
        <v>Pas de correspondance</v>
      </c>
      <c r="K52" t="str">
        <f>_xlfn.XLOOKUP(Logs[[#This Row],[Cell_ID]],'Registre_Maintenance'!B:B,'Registre_Maintenance'!F:F,"Pas de correspondance")</f>
        <v>Pas de correspondance</v>
      </c>
      <c r="L52" t="str">
        <f>_xlfn.XLOOKUP(Logs[[#This Row],[Cell_ID]],'Registre_Maintenance'!B:B,'Registre_Maintenance'!G:G,"Pas de correspondance")</f>
        <v>Pas de correspondance</v>
      </c>
      <c r="M52" s="1" t="s">
        <v>811</v>
      </c>
      <c r="N52" s="1" t="str">
        <f>_xlfn.XLOOKUP(Logs[[#This Row],[ID_Client]],Clients_Log!B:B,Clients_Log!E:E,"Pas de correspondance")</f>
        <v>Pas de correspondance</v>
      </c>
      <c r="O52" s="4" t="str">
        <f>IFERROR(Logs[[#This Row],[Anciennete_Mois]]/12,"")</f>
        <v/>
      </c>
      <c r="P52" s="1" t="str">
        <f>_xlfn.XLOOKUP(Logs[[#This Row],[ID_Client]],Clients_Log!B:B,Clients_Log!F:F,"Pas de correspondance")</f>
        <v>Pas de correspondance</v>
      </c>
      <c r="Q52" s="1" t="str">
        <f>IF(Logs[[#This Row],[Type_Forfait]]="Pro Monde","B2B","B2C")</f>
        <v>B2C</v>
      </c>
      <c r="R52" s="1" t="str">
        <f>_xlfn.XLOOKUP(Logs[[#This Row],[ID_Client]],Clients_Log!B:B,Clients_Log!G:G,"Pas de correspondance")</f>
        <v>Pas de correspondance</v>
      </c>
      <c r="S52" s="1" t="e">
        <f>Logs[[#This Row],[Duree_Cumulee_Panne_Min]]/1440</f>
        <v>#VALUE!</v>
      </c>
      <c r="T52" s="1" t="str">
        <f>_xlfn.XLOOKUP(Logs[[#This Row],[ID_Client]],Clients_Log!B:B,Clients_Log!H:H,"Pas de correspondance")</f>
        <v>Pas de correspondance</v>
      </c>
      <c r="U52" s="1" t="str">
        <f>_xlfn.XLOOKUP(Logs[[#This Row],[ID_Client]],Clients_Log!B:B,Clients_Log!I:I,"Pas de correspondance")</f>
        <v>Pas de correspondance</v>
      </c>
      <c r="V5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2" s="1" t="e">
        <f>Logs[[#This Row],[Facture_Mensuelle]]*Logs[[#This Row],[Remise (%)]]</f>
        <v>#VALUE!</v>
      </c>
    </row>
    <row r="53" spans="1:23" hidden="1" x14ac:dyDescent="0.25">
      <c r="A53" s="1" t="s">
        <v>853</v>
      </c>
      <c r="B53" s="2">
        <v>45225</v>
      </c>
      <c r="C53" s="1" t="str">
        <f>_xlfn.XLOOKUP(Logs[[#This Row],[Province_RDC]],Clients_Log!D:D,Clients_Log!B:B,"Pas de correspondance")</f>
        <v>Pas de correspondance</v>
      </c>
      <c r="D53" t="str">
        <f>_xlfn.XLOOKUP(Logs[[#This Row],[Cell_ID]],'Registre_Maintenance'!B:B,'Registre_Maintenance'!C:C,"Pas de correspondance")</f>
        <v>Pas de correspondance</v>
      </c>
      <c r="E53" s="3">
        <v>0.66041666666666665</v>
      </c>
      <c r="F53" s="1" t="s">
        <v>855</v>
      </c>
      <c r="G53" s="3">
        <f>Logs[[#This Row],[Duree_Panne_Min]]/1440</f>
        <v>9.7222222222222224E-3</v>
      </c>
      <c r="H53">
        <v>14</v>
      </c>
      <c r="I53" t="str">
        <f>_xlfn.XLOOKUP(Logs[[#This Row],[Cell_ID]],'Registre_Maintenance'!B:B,'Registre_Maintenance'!D:D,"Pas de correspondance")</f>
        <v>Pas de correspondance</v>
      </c>
      <c r="J53" t="str">
        <f>_xlfn.XLOOKUP(Logs[[#This Row],[Cell_ID]],'Registre_Maintenance'!B:B,'Registre_Maintenance'!E:E,"Pas de correspondance")</f>
        <v>Pas de correspondance</v>
      </c>
      <c r="K53" t="str">
        <f>_xlfn.XLOOKUP(Logs[[#This Row],[Cell_ID]],'Registre_Maintenance'!B:B,'Registre_Maintenance'!F:F,"Pas de correspondance")</f>
        <v>Pas de correspondance</v>
      </c>
      <c r="L53" t="str">
        <f>_xlfn.XLOOKUP(Logs[[#This Row],[Cell_ID]],'Registre_Maintenance'!B:B,'Registre_Maintenance'!G:G,"Pas de correspondance")</f>
        <v>Pas de correspondance</v>
      </c>
      <c r="M53" s="1" t="s">
        <v>806</v>
      </c>
      <c r="N53" s="1" t="str">
        <f>_xlfn.XLOOKUP(Logs[[#This Row],[ID_Client]],Clients_Log!B:B,Clients_Log!E:E,"Pas de correspondance")</f>
        <v>Pas de correspondance</v>
      </c>
      <c r="O53" s="4" t="str">
        <f>IFERROR(Logs[[#This Row],[Anciennete_Mois]]/12,"")</f>
        <v/>
      </c>
      <c r="P53" s="1" t="str">
        <f>_xlfn.XLOOKUP(Logs[[#This Row],[ID_Client]],Clients_Log!B:B,Clients_Log!F:F,"Pas de correspondance")</f>
        <v>Pas de correspondance</v>
      </c>
      <c r="Q53" s="1" t="str">
        <f>IF(Logs[[#This Row],[Type_Forfait]]="Pro Monde","B2B","B2C")</f>
        <v>B2C</v>
      </c>
      <c r="R53" s="1" t="str">
        <f>_xlfn.XLOOKUP(Logs[[#This Row],[ID_Client]],Clients_Log!B:B,Clients_Log!G:G,"Pas de correspondance")</f>
        <v>Pas de correspondance</v>
      </c>
      <c r="S53" s="1" t="e">
        <f>Logs[[#This Row],[Duree_Cumulee_Panne_Min]]/1440</f>
        <v>#VALUE!</v>
      </c>
      <c r="T53" s="1" t="str">
        <f>_xlfn.XLOOKUP(Logs[[#This Row],[ID_Client]],Clients_Log!B:B,Clients_Log!H:H,"Pas de correspondance")</f>
        <v>Pas de correspondance</v>
      </c>
      <c r="U53" s="1" t="str">
        <f>_xlfn.XLOOKUP(Logs[[#This Row],[ID_Client]],Clients_Log!B:B,Clients_Log!I:I,"Pas de correspondance")</f>
        <v>Pas de correspondance</v>
      </c>
      <c r="V5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3" s="1" t="e">
        <f>Logs[[#This Row],[Facture_Mensuelle]]*Logs[[#This Row],[Remise (%)]]</f>
        <v>#VALUE!</v>
      </c>
    </row>
    <row r="54" spans="1:23" x14ac:dyDescent="0.25">
      <c r="A54" s="1" t="s">
        <v>853</v>
      </c>
      <c r="B54" s="2">
        <v>45213</v>
      </c>
      <c r="C54" s="1" t="str">
        <f>_xlfn.XLOOKUP(Logs[[#This Row],[Province_RDC]],Clients_Log!D:D,Clients_Log!B:B,"Pas de correspondance")</f>
        <v>CLI-00894</v>
      </c>
      <c r="D54" t="str">
        <f>_xlfn.XLOOKUP(Logs[[#This Row],[Cell_ID]],'Registre_Maintenance'!B:B,'Registre_Maintenance'!C:C,"Pas de correspondance")</f>
        <v>Tshuapa</v>
      </c>
      <c r="E54" s="3">
        <v>0.25416666666666665</v>
      </c>
      <c r="F54" s="1" t="s">
        <v>856</v>
      </c>
      <c r="G54" s="3">
        <f>Logs[[#This Row],[Duree_Panne_Min]]/1440</f>
        <v>5.0694444444444445E-2</v>
      </c>
      <c r="H54">
        <v>73</v>
      </c>
      <c r="I54">
        <f>_xlfn.XLOOKUP(Logs[[#This Row],[Cell_ID]],'Registre_Maintenance'!B:B,'Registre_Maintenance'!D:D,"Pas de correspondance")</f>
        <v>-5.1030600000000002</v>
      </c>
      <c r="J54">
        <f>_xlfn.XLOOKUP(Logs[[#This Row],[Cell_ID]],'Registre_Maintenance'!B:B,'Registre_Maintenance'!E:E,"Pas de correspondance")</f>
        <v>22.849231</v>
      </c>
      <c r="K54" t="str">
        <f>_xlfn.XLOOKUP(Logs[[#This Row],[Cell_ID]],'Registre_Maintenance'!B:B,'Registre_Maintenance'!F:F,"Pas de correspondance")</f>
        <v>5G</v>
      </c>
      <c r="L54" t="str">
        <f>_xlfn.XLOOKUP(Logs[[#This Row],[Cell_ID]],'Registre_Maintenance'!B:B,'Registre_Maintenance'!G:G,"Pas de correspondance")</f>
        <v>ZTE</v>
      </c>
      <c r="M54" s="1" t="s">
        <v>811</v>
      </c>
      <c r="N54" s="1">
        <f>_xlfn.XLOOKUP(Logs[[#This Row],[ID_Client]],Clients_Log!B:B,Clients_Log!E:E,"Pas de correspondance")</f>
        <v>63</v>
      </c>
      <c r="O54" s="4">
        <f>IFERROR(Logs[[#This Row],[Anciennete_Mois]]/12,"")</f>
        <v>5.25</v>
      </c>
      <c r="P54" s="1" t="str">
        <f>_xlfn.XLOOKUP(Logs[[#This Row],[ID_Client]],Clients_Log!B:B,Clients_Log!F:F,"Pas de correspondance")</f>
        <v>Pro Monde</v>
      </c>
      <c r="Q54" s="1" t="str">
        <f>IF(Logs[[#This Row],[Type_Forfait]]="Pro Monde","B2B","B2C")</f>
        <v>B2B</v>
      </c>
      <c r="R54" s="1">
        <f>_xlfn.XLOOKUP(Logs[[#This Row],[ID_Client]],Clients_Log!B:B,Clients_Log!G:G,"Pas de correspondance")</f>
        <v>205</v>
      </c>
      <c r="S54" s="3">
        <f>Logs[[#This Row],[Duree_Cumulee_Panne_Min]]/1440</f>
        <v>0.1423611111111111</v>
      </c>
      <c r="T54" s="1">
        <f>_xlfn.XLOOKUP(Logs[[#This Row],[ID_Client]],Clients_Log!B:B,Clients_Log!H:H,"Pas de correspondance")</f>
        <v>89.19</v>
      </c>
      <c r="U54" s="1">
        <f>_xlfn.XLOOKUP(Logs[[#This Row],[ID_Client]],Clients_Log!B:B,Clients_Log!I:I,"Pas de correspondance")</f>
        <v>0</v>
      </c>
      <c r="V5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54" s="1">
        <f>Logs[[#This Row],[Facture_Mensuelle]]*Logs[[#This Row],[Remise (%)]]</f>
        <v>8.9190000000000005</v>
      </c>
    </row>
    <row r="55" spans="1:23" hidden="1" x14ac:dyDescent="0.25">
      <c r="A55" s="1" t="s">
        <v>853</v>
      </c>
      <c r="B55" s="2">
        <v>45203</v>
      </c>
      <c r="C55" s="1" t="str">
        <f>_xlfn.XLOOKUP(Logs[[#This Row],[Province_RDC]],Clients_Log!D:D,Clients_Log!B:B,"Pas de correspondance")</f>
        <v>Pas de correspondance</v>
      </c>
      <c r="D55" t="str">
        <f>_xlfn.XLOOKUP(Logs[[#This Row],[Cell_ID]],'Registre_Maintenance'!B:B,'Registre_Maintenance'!C:C,"Pas de correspondance")</f>
        <v>Pas de correspondance</v>
      </c>
      <c r="E55" s="3">
        <v>0.89375000000000004</v>
      </c>
      <c r="F55" s="1" t="s">
        <v>857</v>
      </c>
      <c r="G55" s="3">
        <f>Logs[[#This Row],[Duree_Panne_Min]]/1440</f>
        <v>2.2222222222222223E-2</v>
      </c>
      <c r="H55">
        <v>32</v>
      </c>
      <c r="I55" t="str">
        <f>_xlfn.XLOOKUP(Logs[[#This Row],[Cell_ID]],'Registre_Maintenance'!B:B,'Registre_Maintenance'!D:D,"Pas de correspondance")</f>
        <v>Pas de correspondance</v>
      </c>
      <c r="J55" t="str">
        <f>_xlfn.XLOOKUP(Logs[[#This Row],[Cell_ID]],'Registre_Maintenance'!B:B,'Registre_Maintenance'!E:E,"Pas de correspondance")</f>
        <v>Pas de correspondance</v>
      </c>
      <c r="K55" t="str">
        <f>_xlfn.XLOOKUP(Logs[[#This Row],[Cell_ID]],'Registre_Maintenance'!B:B,'Registre_Maintenance'!F:F,"Pas de correspondance")</f>
        <v>Pas de correspondance</v>
      </c>
      <c r="L55" t="str">
        <f>_xlfn.XLOOKUP(Logs[[#This Row],[Cell_ID]],'Registre_Maintenance'!B:B,'Registre_Maintenance'!G:G,"Pas de correspondance")</f>
        <v>Pas de correspondance</v>
      </c>
      <c r="M55" s="1" t="s">
        <v>806</v>
      </c>
      <c r="N55" s="1" t="str">
        <f>_xlfn.XLOOKUP(Logs[[#This Row],[ID_Client]],Clients_Log!B:B,Clients_Log!E:E,"Pas de correspondance")</f>
        <v>Pas de correspondance</v>
      </c>
      <c r="O55" s="4" t="str">
        <f>IFERROR(Logs[[#This Row],[Anciennete_Mois]]/12,"")</f>
        <v/>
      </c>
      <c r="P55" s="1" t="str">
        <f>_xlfn.XLOOKUP(Logs[[#This Row],[ID_Client]],Clients_Log!B:B,Clients_Log!F:F,"Pas de correspondance")</f>
        <v>Pas de correspondance</v>
      </c>
      <c r="Q55" s="1" t="str">
        <f>IF(Logs[[#This Row],[Type_Forfait]]="Pro Monde","B2B","B2C")</f>
        <v>B2C</v>
      </c>
      <c r="R55" s="1" t="str">
        <f>_xlfn.XLOOKUP(Logs[[#This Row],[ID_Client]],Clients_Log!B:B,Clients_Log!G:G,"Pas de correspondance")</f>
        <v>Pas de correspondance</v>
      </c>
      <c r="S55" s="1" t="e">
        <f>Logs[[#This Row],[Duree_Cumulee_Panne_Min]]/1440</f>
        <v>#VALUE!</v>
      </c>
      <c r="T55" s="1" t="str">
        <f>_xlfn.XLOOKUP(Logs[[#This Row],[ID_Client]],Clients_Log!B:B,Clients_Log!H:H,"Pas de correspondance")</f>
        <v>Pas de correspondance</v>
      </c>
      <c r="U55" s="1" t="str">
        <f>_xlfn.XLOOKUP(Logs[[#This Row],[ID_Client]],Clients_Log!B:B,Clients_Log!I:I,"Pas de correspondance")</f>
        <v>Pas de correspondance</v>
      </c>
      <c r="V5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5" s="1" t="e">
        <f>Logs[[#This Row],[Facture_Mensuelle]]*Logs[[#This Row],[Remise (%)]]</f>
        <v>#VALUE!</v>
      </c>
    </row>
    <row r="56" spans="1:23" hidden="1" x14ac:dyDescent="0.25">
      <c r="A56" s="1" t="s">
        <v>853</v>
      </c>
      <c r="B56" s="2">
        <v>45211</v>
      </c>
      <c r="C56" s="1" t="str">
        <f>_xlfn.XLOOKUP(Logs[[#This Row],[Province_RDC]],Clients_Log!D:D,Clients_Log!B:B,"Pas de correspondance")</f>
        <v>Pas de correspondance</v>
      </c>
      <c r="D56" t="str">
        <f>_xlfn.XLOOKUP(Logs[[#This Row],[Cell_ID]],'Registre_Maintenance'!B:B,'Registre_Maintenance'!C:C,"Pas de correspondance")</f>
        <v>Pas de correspondance</v>
      </c>
      <c r="E56" s="3">
        <v>0.55972222222222223</v>
      </c>
      <c r="F56" s="1" t="s">
        <v>840</v>
      </c>
      <c r="G56" s="3">
        <f>Logs[[#This Row],[Duree_Panne_Min]]/1440</f>
        <v>4.791666666666667E-2</v>
      </c>
      <c r="H56">
        <v>69</v>
      </c>
      <c r="I56" t="str">
        <f>_xlfn.XLOOKUP(Logs[[#This Row],[Cell_ID]],'Registre_Maintenance'!B:B,'Registre_Maintenance'!D:D,"Pas de correspondance")</f>
        <v>Pas de correspondance</v>
      </c>
      <c r="J56" t="str">
        <f>_xlfn.XLOOKUP(Logs[[#This Row],[Cell_ID]],'Registre_Maintenance'!B:B,'Registre_Maintenance'!E:E,"Pas de correspondance")</f>
        <v>Pas de correspondance</v>
      </c>
      <c r="K56" t="str">
        <f>_xlfn.XLOOKUP(Logs[[#This Row],[Cell_ID]],'Registre_Maintenance'!B:B,'Registre_Maintenance'!F:F,"Pas de correspondance")</f>
        <v>Pas de correspondance</v>
      </c>
      <c r="L56" t="str">
        <f>_xlfn.XLOOKUP(Logs[[#This Row],[Cell_ID]],'Registre_Maintenance'!B:B,'Registre_Maintenance'!G:G,"Pas de correspondance")</f>
        <v>Pas de correspondance</v>
      </c>
      <c r="M56" s="1" t="s">
        <v>809</v>
      </c>
      <c r="N56" s="1" t="str">
        <f>_xlfn.XLOOKUP(Logs[[#This Row],[ID_Client]],Clients_Log!B:B,Clients_Log!E:E,"Pas de correspondance")</f>
        <v>Pas de correspondance</v>
      </c>
      <c r="O56" s="4" t="str">
        <f>IFERROR(Logs[[#This Row],[Anciennete_Mois]]/12,"")</f>
        <v/>
      </c>
      <c r="P56" s="1" t="str">
        <f>_xlfn.XLOOKUP(Logs[[#This Row],[ID_Client]],Clients_Log!B:B,Clients_Log!F:F,"Pas de correspondance")</f>
        <v>Pas de correspondance</v>
      </c>
      <c r="Q56" s="1" t="str">
        <f>IF(Logs[[#This Row],[Type_Forfait]]="Pro Monde","B2B","B2C")</f>
        <v>B2C</v>
      </c>
      <c r="R56" s="1" t="str">
        <f>_xlfn.XLOOKUP(Logs[[#This Row],[ID_Client]],Clients_Log!B:B,Clients_Log!G:G,"Pas de correspondance")</f>
        <v>Pas de correspondance</v>
      </c>
      <c r="S56" s="1" t="e">
        <f>Logs[[#This Row],[Duree_Cumulee_Panne_Min]]/1440</f>
        <v>#VALUE!</v>
      </c>
      <c r="T56" s="1" t="str">
        <f>_xlfn.XLOOKUP(Logs[[#This Row],[ID_Client]],Clients_Log!B:B,Clients_Log!H:H,"Pas de correspondance")</f>
        <v>Pas de correspondance</v>
      </c>
      <c r="U56" s="1" t="str">
        <f>_xlfn.XLOOKUP(Logs[[#This Row],[ID_Client]],Clients_Log!B:B,Clients_Log!I:I,"Pas de correspondance")</f>
        <v>Pas de correspondance</v>
      </c>
      <c r="V5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6" s="1" t="e">
        <f>Logs[[#This Row],[Facture_Mensuelle]]*Logs[[#This Row],[Remise (%)]]</f>
        <v>#VALUE!</v>
      </c>
    </row>
    <row r="57" spans="1:23" x14ac:dyDescent="0.25">
      <c r="A57" s="1" t="s">
        <v>853</v>
      </c>
      <c r="B57" s="2">
        <v>45214</v>
      </c>
      <c r="C57" s="1" t="str">
        <f>_xlfn.XLOOKUP(Logs[[#This Row],[Province_RDC]],Clients_Log!D:D,Clients_Log!B:B,"Pas de correspondance")</f>
        <v>CLI-01005</v>
      </c>
      <c r="D57" t="str">
        <f>_xlfn.XLOOKUP(Logs[[#This Row],[Cell_ID]],'Registre_Maintenance'!B:B,'Registre_Maintenance'!C:C,"Pas de correspondance")</f>
        <v>Lualaba</v>
      </c>
      <c r="E57" s="3">
        <v>0.9604166666666667</v>
      </c>
      <c r="F57" s="1" t="s">
        <v>858</v>
      </c>
      <c r="G57" s="3">
        <f>Logs[[#This Row],[Duree_Panne_Min]]/1440</f>
        <v>2.6388888888888889E-2</v>
      </c>
      <c r="H57">
        <v>38</v>
      </c>
      <c r="I57">
        <f>_xlfn.XLOOKUP(Logs[[#This Row],[Cell_ID]],'Registre_Maintenance'!B:B,'Registre_Maintenance'!D:D,"Pas de correspondance")</f>
        <v>-11.710407999999999</v>
      </c>
      <c r="J57">
        <f>_xlfn.XLOOKUP(Logs[[#This Row],[Cell_ID]],'Registre_Maintenance'!B:B,'Registre_Maintenance'!E:E,"Pas de correspondance")</f>
        <v>23.741330999999999</v>
      </c>
      <c r="K57" t="str">
        <f>_xlfn.XLOOKUP(Logs[[#This Row],[Cell_ID]],'Registre_Maintenance'!B:B,'Registre_Maintenance'!F:F,"Pas de correspondance")</f>
        <v>3G</v>
      </c>
      <c r="L57" t="str">
        <f>_xlfn.XLOOKUP(Logs[[#This Row],[Cell_ID]],'Registre_Maintenance'!B:B,'Registre_Maintenance'!G:G,"Pas de correspondance")</f>
        <v>Huawei</v>
      </c>
      <c r="M57" s="1" t="s">
        <v>806</v>
      </c>
      <c r="N57" s="1">
        <f>_xlfn.XLOOKUP(Logs[[#This Row],[ID_Client]],Clients_Log!B:B,Clients_Log!E:E,"Pas de correspondance")</f>
        <v>80</v>
      </c>
      <c r="O57" s="4">
        <f>IFERROR(Logs[[#This Row],[Anciennete_Mois]]/12,"")</f>
        <v>6.666666666666667</v>
      </c>
      <c r="P57" s="1" t="str">
        <f>_xlfn.XLOOKUP(Logs[[#This Row],[ID_Client]],Clients_Log!B:B,Clients_Log!F:F,"Pas de correspondance")</f>
        <v>Illimité 50Go</v>
      </c>
      <c r="Q57" s="1" t="str">
        <f>IF(Logs[[#This Row],[Type_Forfait]]="Pro Monde","B2B","B2C")</f>
        <v>B2C</v>
      </c>
      <c r="R57" s="1">
        <f>_xlfn.XLOOKUP(Logs[[#This Row],[ID_Client]],Clients_Log!B:B,Clients_Log!G:G,"Pas de correspondance")</f>
        <v>155</v>
      </c>
      <c r="S57" s="3">
        <f>Logs[[#This Row],[Duree_Cumulee_Panne_Min]]/1440</f>
        <v>0.1076388888888889</v>
      </c>
      <c r="T57" s="1">
        <f>_xlfn.XLOOKUP(Logs[[#This Row],[ID_Client]],Clients_Log!B:B,Clients_Log!H:H,"Pas de correspondance")</f>
        <v>28.96</v>
      </c>
      <c r="U57" s="1">
        <f>_xlfn.XLOOKUP(Logs[[#This Row],[ID_Client]],Clients_Log!B:B,Clients_Log!I:I,"Pas de correspondance")</f>
        <v>2</v>
      </c>
      <c r="V5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7" s="1">
        <f>Logs[[#This Row],[Facture_Mensuelle]]*Logs[[#This Row],[Remise (%)]]</f>
        <v>0</v>
      </c>
    </row>
    <row r="58" spans="1:23" x14ac:dyDescent="0.25">
      <c r="A58" s="1" t="s">
        <v>853</v>
      </c>
      <c r="B58" s="2">
        <v>45221</v>
      </c>
      <c r="C58" s="1" t="str">
        <f>_xlfn.XLOOKUP(Logs[[#This Row],[Province_RDC]],Clients_Log!D:D,Clients_Log!B:B,"Pas de correspondance")</f>
        <v>CLI-01618</v>
      </c>
      <c r="D58" t="str">
        <f>_xlfn.XLOOKUP(Logs[[#This Row],[Cell_ID]],'Registre_Maintenance'!B:B,'Registre_Maintenance'!C:C,"Pas de correspondance")</f>
        <v>Tanganyika</v>
      </c>
      <c r="E58" s="3">
        <v>0.8618055555555556</v>
      </c>
      <c r="F58" s="1" t="s">
        <v>859</v>
      </c>
      <c r="G58" s="3">
        <f>Logs[[#This Row],[Duree_Panne_Min]]/1440</f>
        <v>1.4583333333333334E-2</v>
      </c>
      <c r="H58">
        <v>21</v>
      </c>
      <c r="I58">
        <f>_xlfn.XLOOKUP(Logs[[#This Row],[Cell_ID]],'Registre_Maintenance'!B:B,'Registre_Maintenance'!D:D,"Pas de correspondance")</f>
        <v>-1.864393</v>
      </c>
      <c r="J58">
        <f>_xlfn.XLOOKUP(Logs[[#This Row],[Cell_ID]],'Registre_Maintenance'!B:B,'Registre_Maintenance'!E:E,"Pas de correspondance")</f>
        <v>21.453434000000001</v>
      </c>
      <c r="K58" t="str">
        <f>_xlfn.XLOOKUP(Logs[[#This Row],[Cell_ID]],'Registre_Maintenance'!B:B,'Registre_Maintenance'!F:F,"Pas de correspondance")</f>
        <v>5G</v>
      </c>
      <c r="L58" t="str">
        <f>_xlfn.XLOOKUP(Logs[[#This Row],[Cell_ID]],'Registre_Maintenance'!B:B,'Registre_Maintenance'!G:G,"Pas de correspondance")</f>
        <v>Ericsson</v>
      </c>
      <c r="M58" s="1" t="s">
        <v>809</v>
      </c>
      <c r="N58" s="1">
        <f>_xlfn.XLOOKUP(Logs[[#This Row],[ID_Client]],Clients_Log!B:B,Clients_Log!E:E,"Pas de correspondance")</f>
        <v>115</v>
      </c>
      <c r="O58" s="4">
        <f>IFERROR(Logs[[#This Row],[Anciennete_Mois]]/12,"")</f>
        <v>9.5833333333333339</v>
      </c>
      <c r="P58" s="1" t="str">
        <f>_xlfn.XLOOKUP(Logs[[#This Row],[ID_Client]],Clients_Log!B:B,Clients_Log!F:F,"Pas de correspondance")</f>
        <v>Bloqué 5Go</v>
      </c>
      <c r="Q58" s="1" t="str">
        <f>IF(Logs[[#This Row],[Type_Forfait]]="Pro Monde","B2B","B2C")</f>
        <v>B2C</v>
      </c>
      <c r="R58" s="1">
        <f>_xlfn.XLOOKUP(Logs[[#This Row],[ID_Client]],Clients_Log!B:B,Clients_Log!G:G,"Pas de correspondance")</f>
        <v>176</v>
      </c>
      <c r="S58" s="3">
        <f>Logs[[#This Row],[Duree_Cumulee_Panne_Min]]/1440</f>
        <v>0.12222222222222222</v>
      </c>
      <c r="T58" s="1">
        <f>_xlfn.XLOOKUP(Logs[[#This Row],[ID_Client]],Clients_Log!B:B,Clients_Log!H:H,"Pas de correspondance")</f>
        <v>33.28</v>
      </c>
      <c r="U58" s="1">
        <f>_xlfn.XLOOKUP(Logs[[#This Row],[ID_Client]],Clients_Log!B:B,Clients_Log!I:I,"Pas de correspondance")</f>
        <v>4</v>
      </c>
      <c r="V5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8" s="1">
        <f>Logs[[#This Row],[Facture_Mensuelle]]*Logs[[#This Row],[Remise (%)]]</f>
        <v>0</v>
      </c>
    </row>
    <row r="59" spans="1:23" hidden="1" x14ac:dyDescent="0.25">
      <c r="A59" s="1" t="s">
        <v>853</v>
      </c>
      <c r="B59" s="2">
        <v>45203</v>
      </c>
      <c r="C59" s="1" t="str">
        <f>_xlfn.XLOOKUP(Logs[[#This Row],[Province_RDC]],Clients_Log!D:D,Clients_Log!B:B,"Pas de correspondance")</f>
        <v>Pas de correspondance</v>
      </c>
      <c r="D59" t="str">
        <f>_xlfn.XLOOKUP(Logs[[#This Row],[Cell_ID]],'Registre_Maintenance'!B:B,'Registre_Maintenance'!C:C,"Pas de correspondance")</f>
        <v>Pas de correspondance</v>
      </c>
      <c r="E59" s="3">
        <v>5.9027777777777776E-2</v>
      </c>
      <c r="F59" s="1" t="s">
        <v>860</v>
      </c>
      <c r="G59" s="3">
        <f>Logs[[#This Row],[Duree_Panne_Min]]/1440</f>
        <v>3.4027777777777775E-2</v>
      </c>
      <c r="H59">
        <v>49</v>
      </c>
      <c r="I59" t="str">
        <f>_xlfn.XLOOKUP(Logs[[#This Row],[Cell_ID]],'Registre_Maintenance'!B:B,'Registre_Maintenance'!D:D,"Pas de correspondance")</f>
        <v>Pas de correspondance</v>
      </c>
      <c r="J59" t="str">
        <f>_xlfn.XLOOKUP(Logs[[#This Row],[Cell_ID]],'Registre_Maintenance'!B:B,'Registre_Maintenance'!E:E,"Pas de correspondance")</f>
        <v>Pas de correspondance</v>
      </c>
      <c r="K59" t="str">
        <f>_xlfn.XLOOKUP(Logs[[#This Row],[Cell_ID]],'Registre_Maintenance'!B:B,'Registre_Maintenance'!F:F,"Pas de correspondance")</f>
        <v>Pas de correspondance</v>
      </c>
      <c r="L59" t="str">
        <f>_xlfn.XLOOKUP(Logs[[#This Row],[Cell_ID]],'Registre_Maintenance'!B:B,'Registre_Maintenance'!G:G,"Pas de correspondance")</f>
        <v>Pas de correspondance</v>
      </c>
      <c r="M59" s="1" t="s">
        <v>806</v>
      </c>
      <c r="N59" s="1" t="str">
        <f>_xlfn.XLOOKUP(Logs[[#This Row],[ID_Client]],Clients_Log!B:B,Clients_Log!E:E,"Pas de correspondance")</f>
        <v>Pas de correspondance</v>
      </c>
      <c r="O59" s="4" t="str">
        <f>IFERROR(Logs[[#This Row],[Anciennete_Mois]]/12,"")</f>
        <v/>
      </c>
      <c r="P59" s="1" t="str">
        <f>_xlfn.XLOOKUP(Logs[[#This Row],[ID_Client]],Clients_Log!B:B,Clients_Log!F:F,"Pas de correspondance")</f>
        <v>Pas de correspondance</v>
      </c>
      <c r="Q59" s="1" t="str">
        <f>IF(Logs[[#This Row],[Type_Forfait]]="Pro Monde","B2B","B2C")</f>
        <v>B2C</v>
      </c>
      <c r="R59" s="1" t="str">
        <f>_xlfn.XLOOKUP(Logs[[#This Row],[ID_Client]],Clients_Log!B:B,Clients_Log!G:G,"Pas de correspondance")</f>
        <v>Pas de correspondance</v>
      </c>
      <c r="S59" s="1" t="e">
        <f>Logs[[#This Row],[Duree_Cumulee_Panne_Min]]/1440</f>
        <v>#VALUE!</v>
      </c>
      <c r="T59" s="1" t="str">
        <f>_xlfn.XLOOKUP(Logs[[#This Row],[ID_Client]],Clients_Log!B:B,Clients_Log!H:H,"Pas de correspondance")</f>
        <v>Pas de correspondance</v>
      </c>
      <c r="U59" s="1" t="str">
        <f>_xlfn.XLOOKUP(Logs[[#This Row],[ID_Client]],Clients_Log!B:B,Clients_Log!I:I,"Pas de correspondance")</f>
        <v>Pas de correspondance</v>
      </c>
      <c r="V5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9" s="1" t="e">
        <f>Logs[[#This Row],[Facture_Mensuelle]]*Logs[[#This Row],[Remise (%)]]</f>
        <v>#VALUE!</v>
      </c>
    </row>
    <row r="60" spans="1:23" hidden="1" x14ac:dyDescent="0.25">
      <c r="A60" s="1" t="s">
        <v>853</v>
      </c>
      <c r="B60" s="2">
        <v>45223</v>
      </c>
      <c r="C60" s="1" t="str">
        <f>_xlfn.XLOOKUP(Logs[[#This Row],[Province_RDC]],Clients_Log!D:D,Clients_Log!B:B,"Pas de correspondance")</f>
        <v>Pas de correspondance</v>
      </c>
      <c r="D60" t="str">
        <f>_xlfn.XLOOKUP(Logs[[#This Row],[Cell_ID]],'Registre_Maintenance'!B:B,'Registre_Maintenance'!C:C,"Pas de correspondance")</f>
        <v>Pas de correspondance</v>
      </c>
      <c r="E60" s="3">
        <v>0.45208333333333334</v>
      </c>
      <c r="F60" s="1" t="s">
        <v>861</v>
      </c>
      <c r="G60" s="3">
        <f>Logs[[#This Row],[Duree_Panne_Min]]/1440</f>
        <v>8.1250000000000003E-2</v>
      </c>
      <c r="H60">
        <v>117</v>
      </c>
      <c r="I60" t="str">
        <f>_xlfn.XLOOKUP(Logs[[#This Row],[Cell_ID]],'Registre_Maintenance'!B:B,'Registre_Maintenance'!D:D,"Pas de correspondance")</f>
        <v>Pas de correspondance</v>
      </c>
      <c r="J60" t="str">
        <f>_xlfn.XLOOKUP(Logs[[#This Row],[Cell_ID]],'Registre_Maintenance'!B:B,'Registre_Maintenance'!E:E,"Pas de correspondance")</f>
        <v>Pas de correspondance</v>
      </c>
      <c r="K60" t="str">
        <f>_xlfn.XLOOKUP(Logs[[#This Row],[Cell_ID]],'Registre_Maintenance'!B:B,'Registre_Maintenance'!F:F,"Pas de correspondance")</f>
        <v>Pas de correspondance</v>
      </c>
      <c r="L60" t="str">
        <f>_xlfn.XLOOKUP(Logs[[#This Row],[Cell_ID]],'Registre_Maintenance'!B:B,'Registre_Maintenance'!G:G,"Pas de correspondance")</f>
        <v>Pas de correspondance</v>
      </c>
      <c r="M60" s="1" t="s">
        <v>811</v>
      </c>
      <c r="N60" s="1" t="str">
        <f>_xlfn.XLOOKUP(Logs[[#This Row],[ID_Client]],Clients_Log!B:B,Clients_Log!E:E,"Pas de correspondance")</f>
        <v>Pas de correspondance</v>
      </c>
      <c r="O60" s="4" t="str">
        <f>IFERROR(Logs[[#This Row],[Anciennete_Mois]]/12,"")</f>
        <v/>
      </c>
      <c r="P60" s="1" t="str">
        <f>_xlfn.XLOOKUP(Logs[[#This Row],[ID_Client]],Clients_Log!B:B,Clients_Log!F:F,"Pas de correspondance")</f>
        <v>Pas de correspondance</v>
      </c>
      <c r="Q60" s="1" t="str">
        <f>IF(Logs[[#This Row],[Type_Forfait]]="Pro Monde","B2B","B2C")</f>
        <v>B2C</v>
      </c>
      <c r="R60" s="1" t="str">
        <f>_xlfn.XLOOKUP(Logs[[#This Row],[ID_Client]],Clients_Log!B:B,Clients_Log!G:G,"Pas de correspondance")</f>
        <v>Pas de correspondance</v>
      </c>
      <c r="S60" s="1" t="e">
        <f>Logs[[#This Row],[Duree_Cumulee_Panne_Min]]/1440</f>
        <v>#VALUE!</v>
      </c>
      <c r="T60" s="1" t="str">
        <f>_xlfn.XLOOKUP(Logs[[#This Row],[ID_Client]],Clients_Log!B:B,Clients_Log!H:H,"Pas de correspondance")</f>
        <v>Pas de correspondance</v>
      </c>
      <c r="U60" s="1" t="str">
        <f>_xlfn.XLOOKUP(Logs[[#This Row],[ID_Client]],Clients_Log!B:B,Clients_Log!I:I,"Pas de correspondance")</f>
        <v>Pas de correspondance</v>
      </c>
      <c r="V6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0" s="1" t="e">
        <f>Logs[[#This Row],[Facture_Mensuelle]]*Logs[[#This Row],[Remise (%)]]</f>
        <v>#VALUE!</v>
      </c>
    </row>
    <row r="61" spans="1:23" hidden="1" x14ac:dyDescent="0.25">
      <c r="A61" s="1" t="s">
        <v>853</v>
      </c>
      <c r="B61" s="2">
        <v>45227</v>
      </c>
      <c r="C61" s="1" t="str">
        <f>_xlfn.XLOOKUP(Logs[[#This Row],[Province_RDC]],Clients_Log!D:D,Clients_Log!B:B,"Pas de correspondance")</f>
        <v>Pas de correspondance</v>
      </c>
      <c r="D61" t="str">
        <f>_xlfn.XLOOKUP(Logs[[#This Row],[Cell_ID]],'Registre_Maintenance'!B:B,'Registre_Maintenance'!C:C,"Pas de correspondance")</f>
        <v>Pas de correspondance</v>
      </c>
      <c r="E61" s="3">
        <v>0.13541666666666666</v>
      </c>
      <c r="F61" s="1" t="s">
        <v>862</v>
      </c>
      <c r="G61" s="3">
        <f>Logs[[#This Row],[Duree_Panne_Min]]/1440</f>
        <v>9.0277777777777769E-3</v>
      </c>
      <c r="H61">
        <v>13</v>
      </c>
      <c r="I61" t="str">
        <f>_xlfn.XLOOKUP(Logs[[#This Row],[Cell_ID]],'Registre_Maintenance'!B:B,'Registre_Maintenance'!D:D,"Pas de correspondance")</f>
        <v>Pas de correspondance</v>
      </c>
      <c r="J61" t="str">
        <f>_xlfn.XLOOKUP(Logs[[#This Row],[Cell_ID]],'Registre_Maintenance'!B:B,'Registre_Maintenance'!E:E,"Pas de correspondance")</f>
        <v>Pas de correspondance</v>
      </c>
      <c r="K61" t="str">
        <f>_xlfn.XLOOKUP(Logs[[#This Row],[Cell_ID]],'Registre_Maintenance'!B:B,'Registre_Maintenance'!F:F,"Pas de correspondance")</f>
        <v>Pas de correspondance</v>
      </c>
      <c r="L61" t="str">
        <f>_xlfn.XLOOKUP(Logs[[#This Row],[Cell_ID]],'Registre_Maintenance'!B:B,'Registre_Maintenance'!G:G,"Pas de correspondance")</f>
        <v>Pas de correspondance</v>
      </c>
      <c r="M61" s="1" t="s">
        <v>809</v>
      </c>
      <c r="N61" s="1" t="str">
        <f>_xlfn.XLOOKUP(Logs[[#This Row],[ID_Client]],Clients_Log!B:B,Clients_Log!E:E,"Pas de correspondance")</f>
        <v>Pas de correspondance</v>
      </c>
      <c r="O61" s="4" t="str">
        <f>IFERROR(Logs[[#This Row],[Anciennete_Mois]]/12,"")</f>
        <v/>
      </c>
      <c r="P61" s="1" t="str">
        <f>_xlfn.XLOOKUP(Logs[[#This Row],[ID_Client]],Clients_Log!B:B,Clients_Log!F:F,"Pas de correspondance")</f>
        <v>Pas de correspondance</v>
      </c>
      <c r="Q61" s="1" t="str">
        <f>IF(Logs[[#This Row],[Type_Forfait]]="Pro Monde","B2B","B2C")</f>
        <v>B2C</v>
      </c>
      <c r="R61" s="1" t="str">
        <f>_xlfn.XLOOKUP(Logs[[#This Row],[ID_Client]],Clients_Log!B:B,Clients_Log!G:G,"Pas de correspondance")</f>
        <v>Pas de correspondance</v>
      </c>
      <c r="S61" s="1" t="e">
        <f>Logs[[#This Row],[Duree_Cumulee_Panne_Min]]/1440</f>
        <v>#VALUE!</v>
      </c>
      <c r="T61" s="1" t="str">
        <f>_xlfn.XLOOKUP(Logs[[#This Row],[ID_Client]],Clients_Log!B:B,Clients_Log!H:H,"Pas de correspondance")</f>
        <v>Pas de correspondance</v>
      </c>
      <c r="U61" s="1" t="str">
        <f>_xlfn.XLOOKUP(Logs[[#This Row],[ID_Client]],Clients_Log!B:B,Clients_Log!I:I,"Pas de correspondance")</f>
        <v>Pas de correspondance</v>
      </c>
      <c r="V6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1" s="1" t="e">
        <f>Logs[[#This Row],[Facture_Mensuelle]]*Logs[[#This Row],[Remise (%)]]</f>
        <v>#VALUE!</v>
      </c>
    </row>
    <row r="62" spans="1:23" hidden="1" x14ac:dyDescent="0.25">
      <c r="A62" s="1" t="s">
        <v>853</v>
      </c>
      <c r="B62" s="2">
        <v>45206</v>
      </c>
      <c r="C62" s="1" t="str">
        <f>_xlfn.XLOOKUP(Logs[[#This Row],[Province_RDC]],Clients_Log!D:D,Clients_Log!B:B,"Pas de correspondance")</f>
        <v>Pas de correspondance</v>
      </c>
      <c r="D62" t="str">
        <f>_xlfn.XLOOKUP(Logs[[#This Row],[Cell_ID]],'Registre_Maintenance'!B:B,'Registre_Maintenance'!C:C,"Pas de correspondance")</f>
        <v>Pas de correspondance</v>
      </c>
      <c r="E62" s="3">
        <v>0.27361111111111114</v>
      </c>
      <c r="F62" s="1" t="s">
        <v>863</v>
      </c>
      <c r="G62" s="3">
        <f>Logs[[#This Row],[Duree_Panne_Min]]/1440</f>
        <v>8.1250000000000003E-2</v>
      </c>
      <c r="H62">
        <v>117</v>
      </c>
      <c r="I62" t="str">
        <f>_xlfn.XLOOKUP(Logs[[#This Row],[Cell_ID]],'Registre_Maintenance'!B:B,'Registre_Maintenance'!D:D,"Pas de correspondance")</f>
        <v>Pas de correspondance</v>
      </c>
      <c r="J62" t="str">
        <f>_xlfn.XLOOKUP(Logs[[#This Row],[Cell_ID]],'Registre_Maintenance'!B:B,'Registre_Maintenance'!E:E,"Pas de correspondance")</f>
        <v>Pas de correspondance</v>
      </c>
      <c r="K62" t="str">
        <f>_xlfn.XLOOKUP(Logs[[#This Row],[Cell_ID]],'Registre_Maintenance'!B:B,'Registre_Maintenance'!F:F,"Pas de correspondance")</f>
        <v>Pas de correspondance</v>
      </c>
      <c r="L62" t="str">
        <f>_xlfn.XLOOKUP(Logs[[#This Row],[Cell_ID]],'Registre_Maintenance'!B:B,'Registre_Maintenance'!G:G,"Pas de correspondance")</f>
        <v>Pas de correspondance</v>
      </c>
      <c r="M62" s="1" t="s">
        <v>811</v>
      </c>
      <c r="N62" s="1" t="str">
        <f>_xlfn.XLOOKUP(Logs[[#This Row],[ID_Client]],Clients_Log!B:B,Clients_Log!E:E,"Pas de correspondance")</f>
        <v>Pas de correspondance</v>
      </c>
      <c r="O62" s="4" t="str">
        <f>IFERROR(Logs[[#This Row],[Anciennete_Mois]]/12,"")</f>
        <v/>
      </c>
      <c r="P62" s="1" t="str">
        <f>_xlfn.XLOOKUP(Logs[[#This Row],[ID_Client]],Clients_Log!B:B,Clients_Log!F:F,"Pas de correspondance")</f>
        <v>Pas de correspondance</v>
      </c>
      <c r="Q62" s="1" t="str">
        <f>IF(Logs[[#This Row],[Type_Forfait]]="Pro Monde","B2B","B2C")</f>
        <v>B2C</v>
      </c>
      <c r="R62" s="1" t="str">
        <f>_xlfn.XLOOKUP(Logs[[#This Row],[ID_Client]],Clients_Log!B:B,Clients_Log!G:G,"Pas de correspondance")</f>
        <v>Pas de correspondance</v>
      </c>
      <c r="S62" s="1" t="e">
        <f>Logs[[#This Row],[Duree_Cumulee_Panne_Min]]/1440</f>
        <v>#VALUE!</v>
      </c>
      <c r="T62" s="1" t="str">
        <f>_xlfn.XLOOKUP(Logs[[#This Row],[ID_Client]],Clients_Log!B:B,Clients_Log!H:H,"Pas de correspondance")</f>
        <v>Pas de correspondance</v>
      </c>
      <c r="U62" s="1" t="str">
        <f>_xlfn.XLOOKUP(Logs[[#This Row],[ID_Client]],Clients_Log!B:B,Clients_Log!I:I,"Pas de correspondance")</f>
        <v>Pas de correspondance</v>
      </c>
      <c r="V6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2" s="1" t="e">
        <f>Logs[[#This Row],[Facture_Mensuelle]]*Logs[[#This Row],[Remise (%)]]</f>
        <v>#VALUE!</v>
      </c>
    </row>
    <row r="63" spans="1:23" hidden="1" x14ac:dyDescent="0.25">
      <c r="A63" s="1" t="s">
        <v>853</v>
      </c>
      <c r="B63" s="2">
        <v>45214</v>
      </c>
      <c r="C63" s="1" t="str">
        <f>_xlfn.XLOOKUP(Logs[[#This Row],[Province_RDC]],Clients_Log!D:D,Clients_Log!B:B,"Pas de correspondance")</f>
        <v>Pas de correspondance</v>
      </c>
      <c r="D63" t="str">
        <f>_xlfn.XLOOKUP(Logs[[#This Row],[Cell_ID]],'Registre_Maintenance'!B:B,'Registre_Maintenance'!C:C,"Pas de correspondance")</f>
        <v>Pas de correspondance</v>
      </c>
      <c r="E63" s="3">
        <v>0.18541666666666667</v>
      </c>
      <c r="F63" s="1" t="s">
        <v>854</v>
      </c>
      <c r="G63" s="3">
        <f>Logs[[#This Row],[Duree_Panne_Min]]/1440</f>
        <v>2.5000000000000001E-2</v>
      </c>
      <c r="H63">
        <v>36</v>
      </c>
      <c r="I63" t="str">
        <f>_xlfn.XLOOKUP(Logs[[#This Row],[Cell_ID]],'Registre_Maintenance'!B:B,'Registre_Maintenance'!D:D,"Pas de correspondance")</f>
        <v>Pas de correspondance</v>
      </c>
      <c r="J63" t="str">
        <f>_xlfn.XLOOKUP(Logs[[#This Row],[Cell_ID]],'Registre_Maintenance'!B:B,'Registre_Maintenance'!E:E,"Pas de correspondance")</f>
        <v>Pas de correspondance</v>
      </c>
      <c r="K63" t="str">
        <f>_xlfn.XLOOKUP(Logs[[#This Row],[Cell_ID]],'Registre_Maintenance'!B:B,'Registre_Maintenance'!F:F,"Pas de correspondance")</f>
        <v>Pas de correspondance</v>
      </c>
      <c r="L63" t="str">
        <f>_xlfn.XLOOKUP(Logs[[#This Row],[Cell_ID]],'Registre_Maintenance'!B:B,'Registre_Maintenance'!G:G,"Pas de correspondance")</f>
        <v>Pas de correspondance</v>
      </c>
      <c r="M63" s="1" t="s">
        <v>809</v>
      </c>
      <c r="N63" s="1" t="str">
        <f>_xlfn.XLOOKUP(Logs[[#This Row],[ID_Client]],Clients_Log!B:B,Clients_Log!E:E,"Pas de correspondance")</f>
        <v>Pas de correspondance</v>
      </c>
      <c r="O63" s="4" t="str">
        <f>IFERROR(Logs[[#This Row],[Anciennete_Mois]]/12,"")</f>
        <v/>
      </c>
      <c r="P63" s="1" t="str">
        <f>_xlfn.XLOOKUP(Logs[[#This Row],[ID_Client]],Clients_Log!B:B,Clients_Log!F:F,"Pas de correspondance")</f>
        <v>Pas de correspondance</v>
      </c>
      <c r="Q63" s="1" t="str">
        <f>IF(Logs[[#This Row],[Type_Forfait]]="Pro Monde","B2B","B2C")</f>
        <v>B2C</v>
      </c>
      <c r="R63" s="1" t="str">
        <f>_xlfn.XLOOKUP(Logs[[#This Row],[ID_Client]],Clients_Log!B:B,Clients_Log!G:G,"Pas de correspondance")</f>
        <v>Pas de correspondance</v>
      </c>
      <c r="S63" s="1" t="e">
        <f>Logs[[#This Row],[Duree_Cumulee_Panne_Min]]/1440</f>
        <v>#VALUE!</v>
      </c>
      <c r="T63" s="1" t="str">
        <f>_xlfn.XLOOKUP(Logs[[#This Row],[ID_Client]],Clients_Log!B:B,Clients_Log!H:H,"Pas de correspondance")</f>
        <v>Pas de correspondance</v>
      </c>
      <c r="U63" s="1" t="str">
        <f>_xlfn.XLOOKUP(Logs[[#This Row],[ID_Client]],Clients_Log!B:B,Clients_Log!I:I,"Pas de correspondance")</f>
        <v>Pas de correspondance</v>
      </c>
      <c r="V6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3" s="1" t="e">
        <f>Logs[[#This Row],[Facture_Mensuelle]]*Logs[[#This Row],[Remise (%)]]</f>
        <v>#VALUE!</v>
      </c>
    </row>
    <row r="64" spans="1:23" x14ac:dyDescent="0.25">
      <c r="A64" s="1" t="s">
        <v>853</v>
      </c>
      <c r="B64" s="2">
        <v>45205</v>
      </c>
      <c r="C64" s="1" t="str">
        <f>_xlfn.XLOOKUP(Logs[[#This Row],[Province_RDC]],Clients_Log!D:D,Clients_Log!B:B,"Pas de correspondance")</f>
        <v>CLI-01618</v>
      </c>
      <c r="D64" t="str">
        <f>_xlfn.XLOOKUP(Logs[[#This Row],[Cell_ID]],'Registre_Maintenance'!B:B,'Registre_Maintenance'!C:C,"Pas de correspondance")</f>
        <v>Tanganyika</v>
      </c>
      <c r="E64" s="3">
        <v>0.35347222222222224</v>
      </c>
      <c r="F64" s="1" t="s">
        <v>864</v>
      </c>
      <c r="G64" s="3">
        <f>Logs[[#This Row],[Duree_Panne_Min]]/1440</f>
        <v>3.6111111111111108E-2</v>
      </c>
      <c r="H64">
        <v>52</v>
      </c>
      <c r="I64">
        <f>_xlfn.XLOOKUP(Logs[[#This Row],[Cell_ID]],'Registre_Maintenance'!B:B,'Registre_Maintenance'!D:D,"Pas de correspondance")</f>
        <v>3.1362930000000002</v>
      </c>
      <c r="J64">
        <f>_xlfn.XLOOKUP(Logs[[#This Row],[Cell_ID]],'Registre_Maintenance'!B:B,'Registre_Maintenance'!E:E,"Pas de correspondance")</f>
        <v>16.190878000000001</v>
      </c>
      <c r="K64" t="str">
        <f>_xlfn.XLOOKUP(Logs[[#This Row],[Cell_ID]],'Registre_Maintenance'!B:B,'Registre_Maintenance'!F:F,"Pas de correspondance")</f>
        <v>3G</v>
      </c>
      <c r="L64" t="str">
        <f>_xlfn.XLOOKUP(Logs[[#This Row],[Cell_ID]],'Registre_Maintenance'!B:B,'Registre_Maintenance'!G:G,"Pas de correspondance")</f>
        <v>Nokia</v>
      </c>
      <c r="M64" s="1" t="s">
        <v>809</v>
      </c>
      <c r="N64" s="1">
        <f>_xlfn.XLOOKUP(Logs[[#This Row],[ID_Client]],Clients_Log!B:B,Clients_Log!E:E,"Pas de correspondance")</f>
        <v>115</v>
      </c>
      <c r="O64" s="4">
        <f>IFERROR(Logs[[#This Row],[Anciennete_Mois]]/12,"")</f>
        <v>9.5833333333333339</v>
      </c>
      <c r="P64" s="1" t="str">
        <f>_xlfn.XLOOKUP(Logs[[#This Row],[ID_Client]],Clients_Log!B:B,Clients_Log!F:F,"Pas de correspondance")</f>
        <v>Bloqué 5Go</v>
      </c>
      <c r="Q64" s="1" t="str">
        <f>IF(Logs[[#This Row],[Type_Forfait]]="Pro Monde","B2B","B2C")</f>
        <v>B2C</v>
      </c>
      <c r="R64" s="1">
        <f>_xlfn.XLOOKUP(Logs[[#This Row],[ID_Client]],Clients_Log!B:B,Clients_Log!G:G,"Pas de correspondance")</f>
        <v>176</v>
      </c>
      <c r="S64" s="3">
        <f>Logs[[#This Row],[Duree_Cumulee_Panne_Min]]/1440</f>
        <v>0.12222222222222222</v>
      </c>
      <c r="T64" s="1">
        <f>_xlfn.XLOOKUP(Logs[[#This Row],[ID_Client]],Clients_Log!B:B,Clients_Log!H:H,"Pas de correspondance")</f>
        <v>33.28</v>
      </c>
      <c r="U64" s="1">
        <f>_xlfn.XLOOKUP(Logs[[#This Row],[ID_Client]],Clients_Log!B:B,Clients_Log!I:I,"Pas de correspondance")</f>
        <v>4</v>
      </c>
      <c r="V6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64" s="1">
        <f>Logs[[#This Row],[Facture_Mensuelle]]*Logs[[#This Row],[Remise (%)]]</f>
        <v>0</v>
      </c>
    </row>
    <row r="65" spans="1:23" x14ac:dyDescent="0.25">
      <c r="A65" s="1" t="s">
        <v>853</v>
      </c>
      <c r="B65" s="2">
        <v>45207</v>
      </c>
      <c r="C65" s="1" t="str">
        <f>_xlfn.XLOOKUP(Logs[[#This Row],[Province_RDC]],Clients_Log!D:D,Clients_Log!B:B,"Pas de correspondance")</f>
        <v>CLI-00996</v>
      </c>
      <c r="D65" t="str">
        <f>_xlfn.XLOOKUP(Logs[[#This Row],[Cell_ID]],'Registre_Maintenance'!B:B,'Registre_Maintenance'!C:C,"Pas de correspondance")</f>
        <v>Kwilu</v>
      </c>
      <c r="E65" s="3">
        <v>0.10277777777777777</v>
      </c>
      <c r="F65" s="1" t="s">
        <v>865</v>
      </c>
      <c r="G65" s="3">
        <f>Logs[[#This Row],[Duree_Panne_Min]]/1440</f>
        <v>2.8472222222222222E-2</v>
      </c>
      <c r="H65">
        <v>41</v>
      </c>
      <c r="I65">
        <f>_xlfn.XLOOKUP(Logs[[#This Row],[Cell_ID]],'Registre_Maintenance'!B:B,'Registre_Maintenance'!D:D,"Pas de correspondance")</f>
        <v>-5.9021970000000001</v>
      </c>
      <c r="J65">
        <f>_xlfn.XLOOKUP(Logs[[#This Row],[Cell_ID]],'Registre_Maintenance'!B:B,'Registre_Maintenance'!E:E,"Pas de correspondance")</f>
        <v>20.551169999999999</v>
      </c>
      <c r="K65" t="str">
        <f>_xlfn.XLOOKUP(Logs[[#This Row],[Cell_ID]],'Registre_Maintenance'!B:B,'Registre_Maintenance'!F:F,"Pas de correspondance")</f>
        <v>3G</v>
      </c>
      <c r="L65" t="str">
        <f>_xlfn.XLOOKUP(Logs[[#This Row],[Cell_ID]],'Registre_Maintenance'!B:B,'Registre_Maintenance'!G:G,"Pas de correspondance")</f>
        <v>Huawei</v>
      </c>
      <c r="M65" s="1" t="s">
        <v>806</v>
      </c>
      <c r="N65" s="1">
        <f>_xlfn.XLOOKUP(Logs[[#This Row],[ID_Client]],Clients_Log!B:B,Clients_Log!E:E,"Pas de correspondance")</f>
        <v>119</v>
      </c>
      <c r="O65" s="4">
        <f>IFERROR(Logs[[#This Row],[Anciennete_Mois]]/12,"")</f>
        <v>9.9166666666666661</v>
      </c>
      <c r="P65" s="1" t="str">
        <f>_xlfn.XLOOKUP(Logs[[#This Row],[ID_Client]],Clients_Log!B:B,Clients_Log!F:F,"Pas de correspondance")</f>
        <v>Illimité 50Go</v>
      </c>
      <c r="Q65" s="1" t="str">
        <f>IF(Logs[[#This Row],[Type_Forfait]]="Pro Monde","B2B","B2C")</f>
        <v>B2C</v>
      </c>
      <c r="R65" s="1">
        <f>_xlfn.XLOOKUP(Logs[[#This Row],[ID_Client]],Clients_Log!B:B,Clients_Log!G:G,"Pas de correspondance")</f>
        <v>228</v>
      </c>
      <c r="S65" s="3">
        <f>Logs[[#This Row],[Duree_Cumulee_Panne_Min]]/1440</f>
        <v>0.15833333333333333</v>
      </c>
      <c r="T65" s="1">
        <f>_xlfn.XLOOKUP(Logs[[#This Row],[ID_Client]],Clients_Log!B:B,Clients_Log!H:H,"Pas de correspondance")</f>
        <v>94.72</v>
      </c>
      <c r="U65" s="1">
        <f>_xlfn.XLOOKUP(Logs[[#This Row],[ID_Client]],Clients_Log!B:B,Clients_Log!I:I,"Pas de correspondance")</f>
        <v>3</v>
      </c>
      <c r="V6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65" s="1">
        <f>Logs[[#This Row],[Facture_Mensuelle]]*Logs[[#This Row],[Remise (%)]]</f>
        <v>0</v>
      </c>
    </row>
    <row r="66" spans="1:23" hidden="1" x14ac:dyDescent="0.25">
      <c r="A66" s="1" t="s">
        <v>853</v>
      </c>
      <c r="B66" s="2">
        <v>45225</v>
      </c>
      <c r="C66" s="1" t="str">
        <f>_xlfn.XLOOKUP(Logs[[#This Row],[Province_RDC]],Clients_Log!D:D,Clients_Log!B:B,"Pas de correspondance")</f>
        <v>Pas de correspondance</v>
      </c>
      <c r="D66" t="str">
        <f>_xlfn.XLOOKUP(Logs[[#This Row],[Cell_ID]],'Registre_Maintenance'!B:B,'Registre_Maintenance'!C:C,"Pas de correspondance")</f>
        <v>Pas de correspondance</v>
      </c>
      <c r="E66" s="3">
        <v>0.71250000000000002</v>
      </c>
      <c r="F66" s="1" t="s">
        <v>866</v>
      </c>
      <c r="G66" s="3">
        <f>Logs[[#This Row],[Duree_Panne_Min]]/1440</f>
        <v>1.7361111111111112E-2</v>
      </c>
      <c r="H66">
        <v>25</v>
      </c>
      <c r="I66" t="str">
        <f>_xlfn.XLOOKUP(Logs[[#This Row],[Cell_ID]],'Registre_Maintenance'!B:B,'Registre_Maintenance'!D:D,"Pas de correspondance")</f>
        <v>Pas de correspondance</v>
      </c>
      <c r="J66" t="str">
        <f>_xlfn.XLOOKUP(Logs[[#This Row],[Cell_ID]],'Registre_Maintenance'!B:B,'Registre_Maintenance'!E:E,"Pas de correspondance")</f>
        <v>Pas de correspondance</v>
      </c>
      <c r="K66" t="str">
        <f>_xlfn.XLOOKUP(Logs[[#This Row],[Cell_ID]],'Registre_Maintenance'!B:B,'Registre_Maintenance'!F:F,"Pas de correspondance")</f>
        <v>Pas de correspondance</v>
      </c>
      <c r="L66" t="str">
        <f>_xlfn.XLOOKUP(Logs[[#This Row],[Cell_ID]],'Registre_Maintenance'!B:B,'Registre_Maintenance'!G:G,"Pas de correspondance")</f>
        <v>Pas de correspondance</v>
      </c>
      <c r="M66" s="1" t="s">
        <v>806</v>
      </c>
      <c r="N66" s="1" t="str">
        <f>_xlfn.XLOOKUP(Logs[[#This Row],[ID_Client]],Clients_Log!B:B,Clients_Log!E:E,"Pas de correspondance")</f>
        <v>Pas de correspondance</v>
      </c>
      <c r="O66" s="4" t="str">
        <f>IFERROR(Logs[[#This Row],[Anciennete_Mois]]/12,"")</f>
        <v/>
      </c>
      <c r="P66" s="1" t="str">
        <f>_xlfn.XLOOKUP(Logs[[#This Row],[ID_Client]],Clients_Log!B:B,Clients_Log!F:F,"Pas de correspondance")</f>
        <v>Pas de correspondance</v>
      </c>
      <c r="Q66" s="1" t="str">
        <f>IF(Logs[[#This Row],[Type_Forfait]]="Pro Monde","B2B","B2C")</f>
        <v>B2C</v>
      </c>
      <c r="R66" s="1" t="str">
        <f>_xlfn.XLOOKUP(Logs[[#This Row],[ID_Client]],Clients_Log!B:B,Clients_Log!G:G,"Pas de correspondance")</f>
        <v>Pas de correspondance</v>
      </c>
      <c r="S66" s="1" t="e">
        <f>Logs[[#This Row],[Duree_Cumulee_Panne_Min]]/1440</f>
        <v>#VALUE!</v>
      </c>
      <c r="T66" s="1" t="str">
        <f>_xlfn.XLOOKUP(Logs[[#This Row],[ID_Client]],Clients_Log!B:B,Clients_Log!H:H,"Pas de correspondance")</f>
        <v>Pas de correspondance</v>
      </c>
      <c r="U66" s="1" t="str">
        <f>_xlfn.XLOOKUP(Logs[[#This Row],[ID_Client]],Clients_Log!B:B,Clients_Log!I:I,"Pas de correspondance")</f>
        <v>Pas de correspondance</v>
      </c>
      <c r="V6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6" s="1" t="e">
        <f>Logs[[#This Row],[Facture_Mensuelle]]*Logs[[#This Row],[Remise (%)]]</f>
        <v>#VALUE!</v>
      </c>
    </row>
    <row r="67" spans="1:23" hidden="1" x14ac:dyDescent="0.25">
      <c r="A67" s="1" t="s">
        <v>853</v>
      </c>
      <c r="B67" s="2">
        <v>45201</v>
      </c>
      <c r="C67" s="1" t="str">
        <f>_xlfn.XLOOKUP(Logs[[#This Row],[Province_RDC]],Clients_Log!D:D,Clients_Log!B:B,"Pas de correspondance")</f>
        <v>Pas de correspondance</v>
      </c>
      <c r="D67" t="str">
        <f>_xlfn.XLOOKUP(Logs[[#This Row],[Cell_ID]],'Registre_Maintenance'!B:B,'Registre_Maintenance'!C:C,"Pas de correspondance")</f>
        <v>Pas de correspondance</v>
      </c>
      <c r="E67" s="3">
        <v>0.8569444444444444</v>
      </c>
      <c r="F67" s="1" t="s">
        <v>867</v>
      </c>
      <c r="G67" s="3">
        <f>Logs[[#This Row],[Duree_Panne_Min]]/1440</f>
        <v>4.2361111111111113E-2</v>
      </c>
      <c r="H67">
        <v>61</v>
      </c>
      <c r="I67" t="str">
        <f>_xlfn.XLOOKUP(Logs[[#This Row],[Cell_ID]],'Registre_Maintenance'!B:B,'Registre_Maintenance'!D:D,"Pas de correspondance")</f>
        <v>Pas de correspondance</v>
      </c>
      <c r="J67" t="str">
        <f>_xlfn.XLOOKUP(Logs[[#This Row],[Cell_ID]],'Registre_Maintenance'!B:B,'Registre_Maintenance'!E:E,"Pas de correspondance")</f>
        <v>Pas de correspondance</v>
      </c>
      <c r="K67" t="str">
        <f>_xlfn.XLOOKUP(Logs[[#This Row],[Cell_ID]],'Registre_Maintenance'!B:B,'Registre_Maintenance'!F:F,"Pas de correspondance")</f>
        <v>Pas de correspondance</v>
      </c>
      <c r="L67" t="str">
        <f>_xlfn.XLOOKUP(Logs[[#This Row],[Cell_ID]],'Registre_Maintenance'!B:B,'Registre_Maintenance'!G:G,"Pas de correspondance")</f>
        <v>Pas de correspondance</v>
      </c>
      <c r="M67" s="1" t="s">
        <v>806</v>
      </c>
      <c r="N67" s="1" t="str">
        <f>_xlfn.XLOOKUP(Logs[[#This Row],[ID_Client]],Clients_Log!B:B,Clients_Log!E:E,"Pas de correspondance")</f>
        <v>Pas de correspondance</v>
      </c>
      <c r="O67" s="4" t="str">
        <f>IFERROR(Logs[[#This Row],[Anciennete_Mois]]/12,"")</f>
        <v/>
      </c>
      <c r="P67" s="1" t="str">
        <f>_xlfn.XLOOKUP(Logs[[#This Row],[ID_Client]],Clients_Log!B:B,Clients_Log!F:F,"Pas de correspondance")</f>
        <v>Pas de correspondance</v>
      </c>
      <c r="Q67" s="1" t="str">
        <f>IF(Logs[[#This Row],[Type_Forfait]]="Pro Monde","B2B","B2C")</f>
        <v>B2C</v>
      </c>
      <c r="R67" s="1" t="str">
        <f>_xlfn.XLOOKUP(Logs[[#This Row],[ID_Client]],Clients_Log!B:B,Clients_Log!G:G,"Pas de correspondance")</f>
        <v>Pas de correspondance</v>
      </c>
      <c r="S67" s="1" t="e">
        <f>Logs[[#This Row],[Duree_Cumulee_Panne_Min]]/1440</f>
        <v>#VALUE!</v>
      </c>
      <c r="T67" s="1" t="str">
        <f>_xlfn.XLOOKUP(Logs[[#This Row],[ID_Client]],Clients_Log!B:B,Clients_Log!H:H,"Pas de correspondance")</f>
        <v>Pas de correspondance</v>
      </c>
      <c r="U67" s="1" t="str">
        <f>_xlfn.XLOOKUP(Logs[[#This Row],[ID_Client]],Clients_Log!B:B,Clients_Log!I:I,"Pas de correspondance")</f>
        <v>Pas de correspondance</v>
      </c>
      <c r="V6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7" s="1" t="e">
        <f>Logs[[#This Row],[Facture_Mensuelle]]*Logs[[#This Row],[Remise (%)]]</f>
        <v>#VALUE!</v>
      </c>
    </row>
    <row r="68" spans="1:23" hidden="1" x14ac:dyDescent="0.25">
      <c r="A68" s="1" t="s">
        <v>853</v>
      </c>
      <c r="B68" s="2">
        <v>45226</v>
      </c>
      <c r="C68" s="1" t="str">
        <f>_xlfn.XLOOKUP(Logs[[#This Row],[Province_RDC]],Clients_Log!D:D,Clients_Log!B:B,"Pas de correspondance")</f>
        <v>Pas de correspondance</v>
      </c>
      <c r="D68" t="str">
        <f>_xlfn.XLOOKUP(Logs[[#This Row],[Cell_ID]],'Registre_Maintenance'!B:B,'Registre_Maintenance'!C:C,"Pas de correspondance")</f>
        <v>Pas de correspondance</v>
      </c>
      <c r="E68" s="3">
        <v>3.472222222222222E-3</v>
      </c>
      <c r="F68" s="1" t="s">
        <v>807</v>
      </c>
      <c r="G68" s="3">
        <f>Logs[[#This Row],[Duree_Panne_Min]]/1440</f>
        <v>7.7083333333333337E-2</v>
      </c>
      <c r="H68">
        <v>111</v>
      </c>
      <c r="I68" t="str">
        <f>_xlfn.XLOOKUP(Logs[[#This Row],[Cell_ID]],'Registre_Maintenance'!B:B,'Registre_Maintenance'!D:D,"Pas de correspondance")</f>
        <v>Pas de correspondance</v>
      </c>
      <c r="J68" t="str">
        <f>_xlfn.XLOOKUP(Logs[[#This Row],[Cell_ID]],'Registre_Maintenance'!B:B,'Registre_Maintenance'!E:E,"Pas de correspondance")</f>
        <v>Pas de correspondance</v>
      </c>
      <c r="K68" t="str">
        <f>_xlfn.XLOOKUP(Logs[[#This Row],[Cell_ID]],'Registre_Maintenance'!B:B,'Registre_Maintenance'!F:F,"Pas de correspondance")</f>
        <v>Pas de correspondance</v>
      </c>
      <c r="L68" t="str">
        <f>_xlfn.XLOOKUP(Logs[[#This Row],[Cell_ID]],'Registre_Maintenance'!B:B,'Registre_Maintenance'!G:G,"Pas de correspondance")</f>
        <v>Pas de correspondance</v>
      </c>
      <c r="M68" s="1" t="s">
        <v>806</v>
      </c>
      <c r="N68" s="1" t="str">
        <f>_xlfn.XLOOKUP(Logs[[#This Row],[ID_Client]],Clients_Log!B:B,Clients_Log!E:E,"Pas de correspondance")</f>
        <v>Pas de correspondance</v>
      </c>
      <c r="O68" s="4" t="str">
        <f>IFERROR(Logs[[#This Row],[Anciennete_Mois]]/12,"")</f>
        <v/>
      </c>
      <c r="P68" s="1" t="str">
        <f>_xlfn.XLOOKUP(Logs[[#This Row],[ID_Client]],Clients_Log!B:B,Clients_Log!F:F,"Pas de correspondance")</f>
        <v>Pas de correspondance</v>
      </c>
      <c r="Q68" s="1" t="str">
        <f>IF(Logs[[#This Row],[Type_Forfait]]="Pro Monde","B2B","B2C")</f>
        <v>B2C</v>
      </c>
      <c r="R68" s="1" t="str">
        <f>_xlfn.XLOOKUP(Logs[[#This Row],[ID_Client]],Clients_Log!B:B,Clients_Log!G:G,"Pas de correspondance")</f>
        <v>Pas de correspondance</v>
      </c>
      <c r="S68" s="1" t="e">
        <f>Logs[[#This Row],[Duree_Cumulee_Panne_Min]]/1440</f>
        <v>#VALUE!</v>
      </c>
      <c r="T68" s="1" t="str">
        <f>_xlfn.XLOOKUP(Logs[[#This Row],[ID_Client]],Clients_Log!B:B,Clients_Log!H:H,"Pas de correspondance")</f>
        <v>Pas de correspondance</v>
      </c>
      <c r="U68" s="1" t="str">
        <f>_xlfn.XLOOKUP(Logs[[#This Row],[ID_Client]],Clients_Log!B:B,Clients_Log!I:I,"Pas de correspondance")</f>
        <v>Pas de correspondance</v>
      </c>
      <c r="V6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8" s="1" t="e">
        <f>Logs[[#This Row],[Facture_Mensuelle]]*Logs[[#This Row],[Remise (%)]]</f>
        <v>#VALUE!</v>
      </c>
    </row>
    <row r="69" spans="1:23" hidden="1" x14ac:dyDescent="0.25">
      <c r="A69" s="1" t="s">
        <v>853</v>
      </c>
      <c r="B69" s="2">
        <v>45229</v>
      </c>
      <c r="C69" s="1" t="str">
        <f>_xlfn.XLOOKUP(Logs[[#This Row],[Province_RDC]],Clients_Log!D:D,Clients_Log!B:B,"Pas de correspondance")</f>
        <v>Pas de correspondance</v>
      </c>
      <c r="D69" t="str">
        <f>_xlfn.XLOOKUP(Logs[[#This Row],[Cell_ID]],'Registre_Maintenance'!B:B,'Registre_Maintenance'!C:C,"Pas de correspondance")</f>
        <v>Pas de correspondance</v>
      </c>
      <c r="E69" s="3">
        <v>0.2986111111111111</v>
      </c>
      <c r="F69" s="1" t="s">
        <v>868</v>
      </c>
      <c r="G69" s="3">
        <f>Logs[[#This Row],[Duree_Panne_Min]]/1440</f>
        <v>5.1388888888888887E-2</v>
      </c>
      <c r="H69">
        <v>74</v>
      </c>
      <c r="I69" t="str">
        <f>_xlfn.XLOOKUP(Logs[[#This Row],[Cell_ID]],'Registre_Maintenance'!B:B,'Registre_Maintenance'!D:D,"Pas de correspondance")</f>
        <v>Pas de correspondance</v>
      </c>
      <c r="J69" t="str">
        <f>_xlfn.XLOOKUP(Logs[[#This Row],[Cell_ID]],'Registre_Maintenance'!B:B,'Registre_Maintenance'!E:E,"Pas de correspondance")</f>
        <v>Pas de correspondance</v>
      </c>
      <c r="K69" t="str">
        <f>_xlfn.XLOOKUP(Logs[[#This Row],[Cell_ID]],'Registre_Maintenance'!B:B,'Registre_Maintenance'!F:F,"Pas de correspondance")</f>
        <v>Pas de correspondance</v>
      </c>
      <c r="L69" t="str">
        <f>_xlfn.XLOOKUP(Logs[[#This Row],[Cell_ID]],'Registre_Maintenance'!B:B,'Registre_Maintenance'!G:G,"Pas de correspondance")</f>
        <v>Pas de correspondance</v>
      </c>
      <c r="M69" s="1" t="s">
        <v>811</v>
      </c>
      <c r="N69" s="1" t="str">
        <f>_xlfn.XLOOKUP(Logs[[#This Row],[ID_Client]],Clients_Log!B:B,Clients_Log!E:E,"Pas de correspondance")</f>
        <v>Pas de correspondance</v>
      </c>
      <c r="O69" s="4" t="str">
        <f>IFERROR(Logs[[#This Row],[Anciennete_Mois]]/12,"")</f>
        <v/>
      </c>
      <c r="P69" s="1" t="str">
        <f>_xlfn.XLOOKUP(Logs[[#This Row],[ID_Client]],Clients_Log!B:B,Clients_Log!F:F,"Pas de correspondance")</f>
        <v>Pas de correspondance</v>
      </c>
      <c r="Q69" s="1" t="str">
        <f>IF(Logs[[#This Row],[Type_Forfait]]="Pro Monde","B2B","B2C")</f>
        <v>B2C</v>
      </c>
      <c r="R69" s="1" t="str">
        <f>_xlfn.XLOOKUP(Logs[[#This Row],[ID_Client]],Clients_Log!B:B,Clients_Log!G:G,"Pas de correspondance")</f>
        <v>Pas de correspondance</v>
      </c>
      <c r="S69" s="1" t="e">
        <f>Logs[[#This Row],[Duree_Cumulee_Panne_Min]]/1440</f>
        <v>#VALUE!</v>
      </c>
      <c r="T69" s="1" t="str">
        <f>_xlfn.XLOOKUP(Logs[[#This Row],[ID_Client]],Clients_Log!B:B,Clients_Log!H:H,"Pas de correspondance")</f>
        <v>Pas de correspondance</v>
      </c>
      <c r="U69" s="1" t="str">
        <f>_xlfn.XLOOKUP(Logs[[#This Row],[ID_Client]],Clients_Log!B:B,Clients_Log!I:I,"Pas de correspondance")</f>
        <v>Pas de correspondance</v>
      </c>
      <c r="V6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9" s="1" t="e">
        <f>Logs[[#This Row],[Facture_Mensuelle]]*Logs[[#This Row],[Remise (%)]]</f>
        <v>#VALUE!</v>
      </c>
    </row>
    <row r="70" spans="1:23" x14ac:dyDescent="0.25">
      <c r="A70" s="1" t="s">
        <v>853</v>
      </c>
      <c r="B70" s="2">
        <v>45213</v>
      </c>
      <c r="C70" s="1" t="str">
        <f>_xlfn.XLOOKUP(Logs[[#This Row],[Province_RDC]],Clients_Log!D:D,Clients_Log!B:B,"Pas de correspondance")</f>
        <v>CLI-00076</v>
      </c>
      <c r="D70" t="str">
        <f>_xlfn.XLOOKUP(Logs[[#This Row],[Cell_ID]],'Registre_Maintenance'!B:B,'Registre_Maintenance'!C:C,"Pas de correspondance")</f>
        <v>Haut-Katanga</v>
      </c>
      <c r="E70" s="3">
        <v>0.64583333333333337</v>
      </c>
      <c r="F70" s="1" t="s">
        <v>869</v>
      </c>
      <c r="G70" s="3">
        <f>Logs[[#This Row],[Duree_Panne_Min]]/1440</f>
        <v>6.5972222222222224E-2</v>
      </c>
      <c r="H70">
        <v>95</v>
      </c>
      <c r="I70">
        <f>_xlfn.XLOOKUP(Logs[[#This Row],[Cell_ID]],'Registre_Maintenance'!B:B,'Registre_Maintenance'!D:D,"Pas de correspondance")</f>
        <v>-2.9417719999999998</v>
      </c>
      <c r="J70">
        <f>_xlfn.XLOOKUP(Logs[[#This Row],[Cell_ID]],'Registre_Maintenance'!B:B,'Registre_Maintenance'!E:E,"Pas de correspondance")</f>
        <v>18.587305000000001</v>
      </c>
      <c r="K70" t="str">
        <f>_xlfn.XLOOKUP(Logs[[#This Row],[Cell_ID]],'Registre_Maintenance'!B:B,'Registre_Maintenance'!F:F,"Pas de correspondance")</f>
        <v>5G</v>
      </c>
      <c r="L70" t="str">
        <f>_xlfn.XLOOKUP(Logs[[#This Row],[Cell_ID]],'Registre_Maintenance'!B:B,'Registre_Maintenance'!G:G,"Pas de correspondance")</f>
        <v>Ericsson</v>
      </c>
      <c r="M70" s="1" t="s">
        <v>806</v>
      </c>
      <c r="N70" s="1">
        <f>_xlfn.XLOOKUP(Logs[[#This Row],[ID_Client]],Clients_Log!B:B,Clients_Log!E:E,"Pas de correspondance")</f>
        <v>46</v>
      </c>
      <c r="O70" s="4">
        <f>IFERROR(Logs[[#This Row],[Anciennete_Mois]]/12,"")</f>
        <v>3.8333333333333335</v>
      </c>
      <c r="P70" s="1" t="str">
        <f>_xlfn.XLOOKUP(Logs[[#This Row],[ID_Client]],Clients_Log!B:B,Clients_Log!F:F,"Pas de correspondance")</f>
        <v>Premium 5G 150Go</v>
      </c>
      <c r="Q70" s="1" t="str">
        <f>IF(Logs[[#This Row],[Type_Forfait]]="Pro Monde","B2B","B2C")</f>
        <v>B2C</v>
      </c>
      <c r="R70" s="1">
        <f>_xlfn.XLOOKUP(Logs[[#This Row],[ID_Client]],Clients_Log!B:B,Clients_Log!G:G,"Pas de correspondance")</f>
        <v>283</v>
      </c>
      <c r="S70" s="3">
        <f>Logs[[#This Row],[Duree_Cumulee_Panne_Min]]/1440</f>
        <v>0.19652777777777777</v>
      </c>
      <c r="T70" s="1">
        <f>_xlfn.XLOOKUP(Logs[[#This Row],[ID_Client]],Clients_Log!B:B,Clients_Log!H:H,"Pas de correspondance")</f>
        <v>56.05</v>
      </c>
      <c r="U70" s="1">
        <f>_xlfn.XLOOKUP(Logs[[#This Row],[ID_Client]],Clients_Log!B:B,Clients_Log!I:I,"Pas de correspondance")</f>
        <v>1</v>
      </c>
      <c r="V7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0" s="1">
        <f>Logs[[#This Row],[Facture_Mensuelle]]*Logs[[#This Row],[Remise (%)]]</f>
        <v>25.2225</v>
      </c>
    </row>
    <row r="71" spans="1:23" x14ac:dyDescent="0.25">
      <c r="A71" s="1" t="s">
        <v>853</v>
      </c>
      <c r="B71" s="2">
        <v>45206</v>
      </c>
      <c r="C71" s="1" t="str">
        <f>_xlfn.XLOOKUP(Logs[[#This Row],[Province_RDC]],Clients_Log!D:D,Clients_Log!B:B,"Pas de correspondance")</f>
        <v>CLI-00569</v>
      </c>
      <c r="D71" t="str">
        <f>_xlfn.XLOOKUP(Logs[[#This Row],[Cell_ID]],'Registre_Maintenance'!B:B,'Registre_Maintenance'!C:C,"Pas de correspondance")</f>
        <v>Kwango</v>
      </c>
      <c r="E71" s="3">
        <v>0.5395833333333333</v>
      </c>
      <c r="F71" s="1" t="s">
        <v>870</v>
      </c>
      <c r="G71" s="3">
        <f>Logs[[#This Row],[Duree_Panne_Min]]/1440</f>
        <v>2.9861111111111113E-2</v>
      </c>
      <c r="H71">
        <v>43</v>
      </c>
      <c r="I71">
        <f>_xlfn.XLOOKUP(Logs[[#This Row],[Cell_ID]],'Registre_Maintenance'!B:B,'Registre_Maintenance'!D:D,"Pas de correspondance")</f>
        <v>-10.963041</v>
      </c>
      <c r="J71">
        <f>_xlfn.XLOOKUP(Logs[[#This Row],[Cell_ID]],'Registre_Maintenance'!B:B,'Registre_Maintenance'!E:E,"Pas de correspondance")</f>
        <v>12.269857</v>
      </c>
      <c r="K71" t="str">
        <f>_xlfn.XLOOKUP(Logs[[#This Row],[Cell_ID]],'Registre_Maintenance'!B:B,'Registre_Maintenance'!F:F,"Pas de correspondance")</f>
        <v>4G</v>
      </c>
      <c r="L71" t="str">
        <f>_xlfn.XLOOKUP(Logs[[#This Row],[Cell_ID]],'Registre_Maintenance'!B:B,'Registre_Maintenance'!G:G,"Pas de correspondance")</f>
        <v>Huawei</v>
      </c>
      <c r="M71" s="1" t="s">
        <v>806</v>
      </c>
      <c r="N71" s="1">
        <f>_xlfn.XLOOKUP(Logs[[#This Row],[ID_Client]],Clients_Log!B:B,Clients_Log!E:E,"Pas de correspondance")</f>
        <v>110</v>
      </c>
      <c r="O71" s="4">
        <f>IFERROR(Logs[[#This Row],[Anciennete_Mois]]/12,"")</f>
        <v>9.1666666666666661</v>
      </c>
      <c r="P71" s="1" t="str">
        <f>_xlfn.XLOOKUP(Logs[[#This Row],[ID_Client]],Clients_Log!B:B,Clients_Log!F:F,"Pas de correspondance")</f>
        <v>Pro Monde</v>
      </c>
      <c r="Q71" s="1" t="str">
        <f>IF(Logs[[#This Row],[Type_Forfait]]="Pro Monde","B2B","B2C")</f>
        <v>B2B</v>
      </c>
      <c r="R71" s="1">
        <f>_xlfn.XLOOKUP(Logs[[#This Row],[ID_Client]],Clients_Log!B:B,Clients_Log!G:G,"Pas de correspondance")</f>
        <v>423</v>
      </c>
      <c r="S71" s="3">
        <f>Logs[[#This Row],[Duree_Cumulee_Panne_Min]]/1440</f>
        <v>0.29375000000000001</v>
      </c>
      <c r="T71" s="1">
        <f>_xlfn.XLOOKUP(Logs[[#This Row],[ID_Client]],Clients_Log!B:B,Clients_Log!H:H,"Pas de correspondance")</f>
        <v>37.35</v>
      </c>
      <c r="U71" s="1">
        <f>_xlfn.XLOOKUP(Logs[[#This Row],[ID_Client]],Clients_Log!B:B,Clients_Log!I:I,"Pas de correspondance")</f>
        <v>4</v>
      </c>
      <c r="V7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1" s="1">
        <f>Logs[[#This Row],[Facture_Mensuelle]]*Logs[[#This Row],[Remise (%)]]</f>
        <v>16.807500000000001</v>
      </c>
    </row>
    <row r="72" spans="1:23" x14ac:dyDescent="0.25">
      <c r="A72" s="1" t="s">
        <v>853</v>
      </c>
      <c r="B72" s="2">
        <v>45201</v>
      </c>
      <c r="C72" s="1" t="str">
        <f>_xlfn.XLOOKUP(Logs[[#This Row],[Province_RDC]],Clients_Log!D:D,Clients_Log!B:B,"Pas de correspondance")</f>
        <v>CLI-00837</v>
      </c>
      <c r="D72" t="str">
        <f>_xlfn.XLOOKUP(Logs[[#This Row],[Cell_ID]],'Registre_Maintenance'!B:B,'Registre_Maintenance'!C:C,"Pas de correspondance")</f>
        <v>Nord-Kivu</v>
      </c>
      <c r="E72" s="3">
        <v>0.22500000000000001</v>
      </c>
      <c r="F72" s="1" t="s">
        <v>871</v>
      </c>
      <c r="G72" s="3">
        <f>Logs[[#This Row],[Duree_Panne_Min]]/1440</f>
        <v>5.7638888888888892E-2</v>
      </c>
      <c r="H72">
        <v>83</v>
      </c>
      <c r="I72">
        <f>_xlfn.XLOOKUP(Logs[[#This Row],[Cell_ID]],'Registre_Maintenance'!B:B,'Registre_Maintenance'!D:D,"Pas de correspondance")</f>
        <v>0.82868600000000003</v>
      </c>
      <c r="J72">
        <f>_xlfn.XLOOKUP(Logs[[#This Row],[Cell_ID]],'Registre_Maintenance'!B:B,'Registre_Maintenance'!E:E,"Pas de correspondance")</f>
        <v>26.958843999999999</v>
      </c>
      <c r="K72" t="str">
        <f>_xlfn.XLOOKUP(Logs[[#This Row],[Cell_ID]],'Registre_Maintenance'!B:B,'Registre_Maintenance'!F:F,"Pas de correspondance")</f>
        <v>5G</v>
      </c>
      <c r="L72" t="str">
        <f>_xlfn.XLOOKUP(Logs[[#This Row],[Cell_ID]],'Registre_Maintenance'!B:B,'Registre_Maintenance'!G:G,"Pas de correspondance")</f>
        <v>ZTE</v>
      </c>
      <c r="M72" s="1" t="s">
        <v>809</v>
      </c>
      <c r="N72" s="1">
        <f>_xlfn.XLOOKUP(Logs[[#This Row],[ID_Client]],Clients_Log!B:B,Clients_Log!E:E,"Pas de correspondance")</f>
        <v>16</v>
      </c>
      <c r="O72" s="4">
        <f>IFERROR(Logs[[#This Row],[Anciennete_Mois]]/12,"")</f>
        <v>1.3333333333333333</v>
      </c>
      <c r="P72" s="1" t="str">
        <f>_xlfn.XLOOKUP(Logs[[#This Row],[ID_Client]],Clients_Log!B:B,Clients_Log!F:F,"Pas de correspondance")</f>
        <v>Bloqué 5Go</v>
      </c>
      <c r="Q72" s="1" t="str">
        <f>IF(Logs[[#This Row],[Type_Forfait]]="Pro Monde","B2B","B2C")</f>
        <v>B2C</v>
      </c>
      <c r="R72" s="1">
        <f>_xlfn.XLOOKUP(Logs[[#This Row],[ID_Client]],Clients_Log!B:B,Clients_Log!G:G,"Pas de correspondance")</f>
        <v>390</v>
      </c>
      <c r="S72" s="3">
        <f>Logs[[#This Row],[Duree_Cumulee_Panne_Min]]/1440</f>
        <v>0.27083333333333331</v>
      </c>
      <c r="T72" s="1">
        <f>_xlfn.XLOOKUP(Logs[[#This Row],[ID_Client]],Clients_Log!B:B,Clients_Log!H:H,"Pas de correspondance")</f>
        <v>98.17</v>
      </c>
      <c r="U72" s="1">
        <f>_xlfn.XLOOKUP(Logs[[#This Row],[ID_Client]],Clients_Log!B:B,Clients_Log!I:I,"Pas de correspondance")</f>
        <v>5</v>
      </c>
      <c r="V7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2" s="1">
        <f>Logs[[#This Row],[Facture_Mensuelle]]*Logs[[#This Row],[Remise (%)]]</f>
        <v>44.176500000000004</v>
      </c>
    </row>
    <row r="73" spans="1:23" hidden="1" x14ac:dyDescent="0.25">
      <c r="A73" s="1" t="s">
        <v>853</v>
      </c>
      <c r="B73" s="2">
        <v>45200</v>
      </c>
      <c r="C73" s="1" t="str">
        <f>_xlfn.XLOOKUP(Logs[[#This Row],[Province_RDC]],Clients_Log!D:D,Clients_Log!B:B,"Pas de correspondance")</f>
        <v>Pas de correspondance</v>
      </c>
      <c r="D73" t="str">
        <f>_xlfn.XLOOKUP(Logs[[#This Row],[Cell_ID]],'Registre_Maintenance'!B:B,'Registre_Maintenance'!C:C,"Pas de correspondance")</f>
        <v>Pas de correspondance</v>
      </c>
      <c r="E73" s="3">
        <v>0.51111111111111107</v>
      </c>
      <c r="F73" s="1" t="s">
        <v>872</v>
      </c>
      <c r="G73" s="3">
        <f>Logs[[#This Row],[Duree_Panne_Min]]/1440</f>
        <v>7.4999999999999997E-2</v>
      </c>
      <c r="H73">
        <v>108</v>
      </c>
      <c r="I73" t="str">
        <f>_xlfn.XLOOKUP(Logs[[#This Row],[Cell_ID]],'Registre_Maintenance'!B:B,'Registre_Maintenance'!D:D,"Pas de correspondance")</f>
        <v>Pas de correspondance</v>
      </c>
      <c r="J73" t="str">
        <f>_xlfn.XLOOKUP(Logs[[#This Row],[Cell_ID]],'Registre_Maintenance'!B:B,'Registre_Maintenance'!E:E,"Pas de correspondance")</f>
        <v>Pas de correspondance</v>
      </c>
      <c r="K73" t="str">
        <f>_xlfn.XLOOKUP(Logs[[#This Row],[Cell_ID]],'Registre_Maintenance'!B:B,'Registre_Maintenance'!F:F,"Pas de correspondance")</f>
        <v>Pas de correspondance</v>
      </c>
      <c r="L73" t="str">
        <f>_xlfn.XLOOKUP(Logs[[#This Row],[Cell_ID]],'Registre_Maintenance'!B:B,'Registre_Maintenance'!G:G,"Pas de correspondance")</f>
        <v>Pas de correspondance</v>
      </c>
      <c r="M73" s="1" t="s">
        <v>811</v>
      </c>
      <c r="N73" s="1" t="str">
        <f>_xlfn.XLOOKUP(Logs[[#This Row],[ID_Client]],Clients_Log!B:B,Clients_Log!E:E,"Pas de correspondance")</f>
        <v>Pas de correspondance</v>
      </c>
      <c r="O73" s="4" t="str">
        <f>IFERROR(Logs[[#This Row],[Anciennete_Mois]]/12,"")</f>
        <v/>
      </c>
      <c r="P73" s="1" t="str">
        <f>_xlfn.XLOOKUP(Logs[[#This Row],[ID_Client]],Clients_Log!B:B,Clients_Log!F:F,"Pas de correspondance")</f>
        <v>Pas de correspondance</v>
      </c>
      <c r="Q73" s="1" t="str">
        <f>IF(Logs[[#This Row],[Type_Forfait]]="Pro Monde","B2B","B2C")</f>
        <v>B2C</v>
      </c>
      <c r="R73" s="1" t="str">
        <f>_xlfn.XLOOKUP(Logs[[#This Row],[ID_Client]],Clients_Log!B:B,Clients_Log!G:G,"Pas de correspondance")</f>
        <v>Pas de correspondance</v>
      </c>
      <c r="S73" s="1" t="e">
        <f>Logs[[#This Row],[Duree_Cumulee_Panne_Min]]/1440</f>
        <v>#VALUE!</v>
      </c>
      <c r="T73" s="1" t="str">
        <f>_xlfn.XLOOKUP(Logs[[#This Row],[ID_Client]],Clients_Log!B:B,Clients_Log!H:H,"Pas de correspondance")</f>
        <v>Pas de correspondance</v>
      </c>
      <c r="U73" s="1" t="str">
        <f>_xlfn.XLOOKUP(Logs[[#This Row],[ID_Client]],Clients_Log!B:B,Clients_Log!I:I,"Pas de correspondance")</f>
        <v>Pas de correspondance</v>
      </c>
      <c r="V7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3" s="1" t="e">
        <f>Logs[[#This Row],[Facture_Mensuelle]]*Logs[[#This Row],[Remise (%)]]</f>
        <v>#VALUE!</v>
      </c>
    </row>
    <row r="74" spans="1:23" x14ac:dyDescent="0.25">
      <c r="A74" s="1" t="s">
        <v>853</v>
      </c>
      <c r="B74" s="2">
        <v>45229</v>
      </c>
      <c r="C74" s="1" t="str">
        <f>_xlfn.XLOOKUP(Logs[[#This Row],[Province_RDC]],Clients_Log!D:D,Clients_Log!B:B,"Pas de correspondance")</f>
        <v>CLI-00280</v>
      </c>
      <c r="D74" t="str">
        <f>_xlfn.XLOOKUP(Logs[[#This Row],[Cell_ID]],'Registre_Maintenance'!B:B,'Registre_Maintenance'!C:C,"Pas de correspondance")</f>
        <v>Sud-Ubangi</v>
      </c>
      <c r="E74" s="3">
        <v>0.59583333333333333</v>
      </c>
      <c r="F74" s="1" t="s">
        <v>831</v>
      </c>
      <c r="G74" s="3">
        <f>Logs[[#This Row],[Duree_Panne_Min]]/1440</f>
        <v>6.1111111111111109E-2</v>
      </c>
      <c r="H74">
        <v>88</v>
      </c>
      <c r="I74">
        <f>_xlfn.XLOOKUP(Logs[[#This Row],[Cell_ID]],'Registre_Maintenance'!B:B,'Registre_Maintenance'!D:D,"Pas de correspondance")</f>
        <v>-10.56448</v>
      </c>
      <c r="J74">
        <f>_xlfn.XLOOKUP(Logs[[#This Row],[Cell_ID]],'Registre_Maintenance'!B:B,'Registre_Maintenance'!E:E,"Pas de correspondance")</f>
        <v>19.792876</v>
      </c>
      <c r="K74" t="str">
        <f>_xlfn.XLOOKUP(Logs[[#This Row],[Cell_ID]],'Registre_Maintenance'!B:B,'Registre_Maintenance'!F:F,"Pas de correspondance")</f>
        <v>5G</v>
      </c>
      <c r="L74" t="str">
        <f>_xlfn.XLOOKUP(Logs[[#This Row],[Cell_ID]],'Registre_Maintenance'!B:B,'Registre_Maintenance'!G:G,"Pas de correspondance")</f>
        <v>Ericsson</v>
      </c>
      <c r="M74" s="1" t="s">
        <v>811</v>
      </c>
      <c r="N74" s="1">
        <f>_xlfn.XLOOKUP(Logs[[#This Row],[ID_Client]],Clients_Log!B:B,Clients_Log!E:E,"Pas de correspondance")</f>
        <v>113</v>
      </c>
      <c r="O74" s="4">
        <f>IFERROR(Logs[[#This Row],[Anciennete_Mois]]/12,"")</f>
        <v>9.4166666666666661</v>
      </c>
      <c r="P74" s="1" t="str">
        <f>_xlfn.XLOOKUP(Logs[[#This Row],[ID_Client]],Clients_Log!B:B,Clients_Log!F:F,"Pas de correspondance")</f>
        <v>Illimité 50Go</v>
      </c>
      <c r="Q74" s="1" t="str">
        <f>IF(Logs[[#This Row],[Type_Forfait]]="Pro Monde","B2B","B2C")</f>
        <v>B2C</v>
      </c>
      <c r="R74" s="1">
        <f>_xlfn.XLOOKUP(Logs[[#This Row],[ID_Client]],Clients_Log!B:B,Clients_Log!G:G,"Pas de correspondance")</f>
        <v>380</v>
      </c>
      <c r="S74" s="3">
        <f>Logs[[#This Row],[Duree_Cumulee_Panne_Min]]/1440</f>
        <v>0.2638888888888889</v>
      </c>
      <c r="T74" s="1">
        <f>_xlfn.XLOOKUP(Logs[[#This Row],[ID_Client]],Clients_Log!B:B,Clients_Log!H:H,"Pas de correspondance")</f>
        <v>12.11</v>
      </c>
      <c r="U74" s="1">
        <f>_xlfn.XLOOKUP(Logs[[#This Row],[ID_Client]],Clients_Log!B:B,Clients_Log!I:I,"Pas de correspondance")</f>
        <v>0</v>
      </c>
      <c r="V7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4" s="1">
        <f>Logs[[#This Row],[Facture_Mensuelle]]*Logs[[#This Row],[Remise (%)]]</f>
        <v>5.4494999999999996</v>
      </c>
    </row>
    <row r="75" spans="1:23" x14ac:dyDescent="0.25">
      <c r="A75" s="1" t="s">
        <v>853</v>
      </c>
      <c r="B75" s="2">
        <v>45213</v>
      </c>
      <c r="C75" s="1" t="str">
        <f>_xlfn.XLOOKUP(Logs[[#This Row],[Province_RDC]],Clients_Log!D:D,Clients_Log!B:B,"Pas de correspondance")</f>
        <v>CLI-00530</v>
      </c>
      <c r="D75" t="str">
        <f>_xlfn.XLOOKUP(Logs[[#This Row],[Cell_ID]],'Registre_Maintenance'!B:B,'Registre_Maintenance'!C:C,"Pas de correspondance")</f>
        <v>Sankuru</v>
      </c>
      <c r="E75" s="3">
        <v>0.94861111111111107</v>
      </c>
      <c r="F75" s="1" t="s">
        <v>873</v>
      </c>
      <c r="G75" s="3">
        <f>Logs[[#This Row],[Duree_Panne_Min]]/1440</f>
        <v>0.05</v>
      </c>
      <c r="H75">
        <v>72</v>
      </c>
      <c r="I75">
        <f>_xlfn.XLOOKUP(Logs[[#This Row],[Cell_ID]],'Registre_Maintenance'!B:B,'Registre_Maintenance'!D:D,"Pas de correspondance")</f>
        <v>-2.7140689999999998</v>
      </c>
      <c r="J75">
        <f>_xlfn.XLOOKUP(Logs[[#This Row],[Cell_ID]],'Registre_Maintenance'!B:B,'Registre_Maintenance'!E:E,"Pas de correspondance")</f>
        <v>22.222104000000002</v>
      </c>
      <c r="K75" t="str">
        <f>_xlfn.XLOOKUP(Logs[[#This Row],[Cell_ID]],'Registre_Maintenance'!B:B,'Registre_Maintenance'!F:F,"Pas de correspondance")</f>
        <v>4G</v>
      </c>
      <c r="L75" t="str">
        <f>_xlfn.XLOOKUP(Logs[[#This Row],[Cell_ID]],'Registre_Maintenance'!B:B,'Registre_Maintenance'!G:G,"Pas de correspondance")</f>
        <v>Nokia</v>
      </c>
      <c r="M75" s="1" t="s">
        <v>809</v>
      </c>
      <c r="N75" s="1">
        <f>_xlfn.XLOOKUP(Logs[[#This Row],[ID_Client]],Clients_Log!B:B,Clients_Log!E:E,"Pas de correspondance")</f>
        <v>35</v>
      </c>
      <c r="O75" s="4">
        <f>IFERROR(Logs[[#This Row],[Anciennete_Mois]]/12,"")</f>
        <v>2.9166666666666665</v>
      </c>
      <c r="P75" s="1" t="str">
        <f>_xlfn.XLOOKUP(Logs[[#This Row],[ID_Client]],Clients_Log!B:B,Clients_Log!F:F,"Pas de correspondance")</f>
        <v>Pro Monde</v>
      </c>
      <c r="Q75" s="1" t="str">
        <f>IF(Logs[[#This Row],[Type_Forfait]]="Pro Monde","B2B","B2C")</f>
        <v>B2B</v>
      </c>
      <c r="R75" s="1">
        <f>_xlfn.XLOOKUP(Logs[[#This Row],[ID_Client]],Clients_Log!B:B,Clients_Log!G:G,"Pas de correspondance")</f>
        <v>465</v>
      </c>
      <c r="S75" s="3">
        <f>Logs[[#This Row],[Duree_Cumulee_Panne_Min]]/1440</f>
        <v>0.32291666666666669</v>
      </c>
      <c r="T75" s="1">
        <f>_xlfn.XLOOKUP(Logs[[#This Row],[ID_Client]],Clients_Log!B:B,Clients_Log!H:H,"Pas de correspondance")</f>
        <v>58.59</v>
      </c>
      <c r="U75" s="1">
        <f>_xlfn.XLOOKUP(Logs[[#This Row],[ID_Client]],Clients_Log!B:B,Clients_Log!I:I,"Pas de correspondance")</f>
        <v>5</v>
      </c>
      <c r="V7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5" s="1">
        <f>Logs[[#This Row],[Facture_Mensuelle]]*Logs[[#This Row],[Remise (%)]]</f>
        <v>26.365500000000001</v>
      </c>
    </row>
    <row r="76" spans="1:23" hidden="1" x14ac:dyDescent="0.25">
      <c r="A76" s="1" t="s">
        <v>853</v>
      </c>
      <c r="B76" s="2">
        <v>45225</v>
      </c>
      <c r="C76" s="1" t="str">
        <f>_xlfn.XLOOKUP(Logs[[#This Row],[Province_RDC]],Clients_Log!D:D,Clients_Log!B:B,"Pas de correspondance")</f>
        <v>Pas de correspondance</v>
      </c>
      <c r="D76" t="str">
        <f>_xlfn.XLOOKUP(Logs[[#This Row],[Cell_ID]],'Registre_Maintenance'!B:B,'Registre_Maintenance'!C:C,"Pas de correspondance")</f>
        <v>Pas de correspondance</v>
      </c>
      <c r="E76" s="3">
        <v>0.73750000000000004</v>
      </c>
      <c r="F76" s="1" t="s">
        <v>874</v>
      </c>
      <c r="G76" s="3">
        <f>Logs[[#This Row],[Duree_Panne_Min]]/1440</f>
        <v>4.1666666666666666E-3</v>
      </c>
      <c r="H76">
        <v>6</v>
      </c>
      <c r="I76" t="str">
        <f>_xlfn.XLOOKUP(Logs[[#This Row],[Cell_ID]],'Registre_Maintenance'!B:B,'Registre_Maintenance'!D:D,"Pas de correspondance")</f>
        <v>Pas de correspondance</v>
      </c>
      <c r="J76" t="str">
        <f>_xlfn.XLOOKUP(Logs[[#This Row],[Cell_ID]],'Registre_Maintenance'!B:B,'Registre_Maintenance'!E:E,"Pas de correspondance")</f>
        <v>Pas de correspondance</v>
      </c>
      <c r="K76" t="str">
        <f>_xlfn.XLOOKUP(Logs[[#This Row],[Cell_ID]],'Registre_Maintenance'!B:B,'Registre_Maintenance'!F:F,"Pas de correspondance")</f>
        <v>Pas de correspondance</v>
      </c>
      <c r="L76" t="str">
        <f>_xlfn.XLOOKUP(Logs[[#This Row],[Cell_ID]],'Registre_Maintenance'!B:B,'Registre_Maintenance'!G:G,"Pas de correspondance")</f>
        <v>Pas de correspondance</v>
      </c>
      <c r="M76" s="1" t="s">
        <v>809</v>
      </c>
      <c r="N76" s="1" t="str">
        <f>_xlfn.XLOOKUP(Logs[[#This Row],[ID_Client]],Clients_Log!B:B,Clients_Log!E:E,"Pas de correspondance")</f>
        <v>Pas de correspondance</v>
      </c>
      <c r="O76" s="4" t="str">
        <f>IFERROR(Logs[[#This Row],[Anciennete_Mois]]/12,"")</f>
        <v/>
      </c>
      <c r="P76" s="1" t="str">
        <f>_xlfn.XLOOKUP(Logs[[#This Row],[ID_Client]],Clients_Log!B:B,Clients_Log!F:F,"Pas de correspondance")</f>
        <v>Pas de correspondance</v>
      </c>
      <c r="Q76" s="1" t="str">
        <f>IF(Logs[[#This Row],[Type_Forfait]]="Pro Monde","B2B","B2C")</f>
        <v>B2C</v>
      </c>
      <c r="R76" s="1" t="str">
        <f>_xlfn.XLOOKUP(Logs[[#This Row],[ID_Client]],Clients_Log!B:B,Clients_Log!G:G,"Pas de correspondance")</f>
        <v>Pas de correspondance</v>
      </c>
      <c r="S76" s="1" t="e">
        <f>Logs[[#This Row],[Duree_Cumulee_Panne_Min]]/1440</f>
        <v>#VALUE!</v>
      </c>
      <c r="T76" s="1" t="str">
        <f>_xlfn.XLOOKUP(Logs[[#This Row],[ID_Client]],Clients_Log!B:B,Clients_Log!H:H,"Pas de correspondance")</f>
        <v>Pas de correspondance</v>
      </c>
      <c r="U76" s="1" t="str">
        <f>_xlfn.XLOOKUP(Logs[[#This Row],[ID_Client]],Clients_Log!B:B,Clients_Log!I:I,"Pas de correspondance")</f>
        <v>Pas de correspondance</v>
      </c>
      <c r="V7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6" s="1" t="e">
        <f>Logs[[#This Row],[Facture_Mensuelle]]*Logs[[#This Row],[Remise (%)]]</f>
        <v>#VALUE!</v>
      </c>
    </row>
    <row r="77" spans="1:23" x14ac:dyDescent="0.25">
      <c r="A77" s="1" t="s">
        <v>853</v>
      </c>
      <c r="B77" s="2">
        <v>45222</v>
      </c>
      <c r="C77" s="1" t="str">
        <f>_xlfn.XLOOKUP(Logs[[#This Row],[Province_RDC]],Clients_Log!D:D,Clients_Log!B:B,"Pas de correspondance")</f>
        <v>CLI-01618</v>
      </c>
      <c r="D77" t="str">
        <f>_xlfn.XLOOKUP(Logs[[#This Row],[Cell_ID]],'Registre_Maintenance'!B:B,'Registre_Maintenance'!C:C,"Pas de correspondance")</f>
        <v>Tanganyika</v>
      </c>
      <c r="E77" s="3">
        <v>0.63124999999999998</v>
      </c>
      <c r="F77" s="1" t="s">
        <v>875</v>
      </c>
      <c r="G77" s="3">
        <f>Logs[[#This Row],[Duree_Panne_Min]]/1440</f>
        <v>6.25E-2</v>
      </c>
      <c r="H77">
        <v>90</v>
      </c>
      <c r="I77">
        <f>_xlfn.XLOOKUP(Logs[[#This Row],[Cell_ID]],'Registre_Maintenance'!B:B,'Registre_Maintenance'!D:D,"Pas de correspondance")</f>
        <v>-2.099631</v>
      </c>
      <c r="J77">
        <f>_xlfn.XLOOKUP(Logs[[#This Row],[Cell_ID]],'Registre_Maintenance'!B:B,'Registre_Maintenance'!E:E,"Pas de correspondance")</f>
        <v>13.974640000000001</v>
      </c>
      <c r="K77" t="str">
        <f>_xlfn.XLOOKUP(Logs[[#This Row],[Cell_ID]],'Registre_Maintenance'!B:B,'Registre_Maintenance'!F:F,"Pas de correspondance")</f>
        <v>3G</v>
      </c>
      <c r="L77" t="str">
        <f>_xlfn.XLOOKUP(Logs[[#This Row],[Cell_ID]],'Registre_Maintenance'!B:B,'Registre_Maintenance'!G:G,"Pas de correspondance")</f>
        <v>Nokia</v>
      </c>
      <c r="M77" s="1" t="s">
        <v>806</v>
      </c>
      <c r="N77" s="1">
        <f>_xlfn.XLOOKUP(Logs[[#This Row],[ID_Client]],Clients_Log!B:B,Clients_Log!E:E,"Pas de correspondance")</f>
        <v>115</v>
      </c>
      <c r="O77" s="4">
        <f>IFERROR(Logs[[#This Row],[Anciennete_Mois]]/12,"")</f>
        <v>9.5833333333333339</v>
      </c>
      <c r="P77" s="1" t="str">
        <f>_xlfn.XLOOKUP(Logs[[#This Row],[ID_Client]],Clients_Log!B:B,Clients_Log!F:F,"Pas de correspondance")</f>
        <v>Bloqué 5Go</v>
      </c>
      <c r="Q77" s="1" t="str">
        <f>IF(Logs[[#This Row],[Type_Forfait]]="Pro Monde","B2B","B2C")</f>
        <v>B2C</v>
      </c>
      <c r="R77" s="1">
        <f>_xlfn.XLOOKUP(Logs[[#This Row],[ID_Client]],Clients_Log!B:B,Clients_Log!G:G,"Pas de correspondance")</f>
        <v>176</v>
      </c>
      <c r="S77" s="3">
        <f>Logs[[#This Row],[Duree_Cumulee_Panne_Min]]/1440</f>
        <v>0.12222222222222222</v>
      </c>
      <c r="T77" s="1">
        <f>_xlfn.XLOOKUP(Logs[[#This Row],[ID_Client]],Clients_Log!B:B,Clients_Log!H:H,"Pas de correspondance")</f>
        <v>33.28</v>
      </c>
      <c r="U77" s="1">
        <f>_xlfn.XLOOKUP(Logs[[#This Row],[ID_Client]],Clients_Log!B:B,Clients_Log!I:I,"Pas de correspondance")</f>
        <v>4</v>
      </c>
      <c r="V7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77" s="1">
        <f>Logs[[#This Row],[Facture_Mensuelle]]*Logs[[#This Row],[Remise (%)]]</f>
        <v>0</v>
      </c>
    </row>
    <row r="78" spans="1:23" hidden="1" x14ac:dyDescent="0.25">
      <c r="A78" s="1" t="s">
        <v>853</v>
      </c>
      <c r="B78" s="2">
        <v>45206</v>
      </c>
      <c r="C78" s="1" t="str">
        <f>_xlfn.XLOOKUP(Logs[[#This Row],[Province_RDC]],Clients_Log!D:D,Clients_Log!B:B,"Pas de correspondance")</f>
        <v>Pas de correspondance</v>
      </c>
      <c r="D78" t="str">
        <f>_xlfn.XLOOKUP(Logs[[#This Row],[Cell_ID]],'Registre_Maintenance'!B:B,'Registre_Maintenance'!C:C,"Pas de correspondance")</f>
        <v>Pas de correspondance</v>
      </c>
      <c r="E78" s="3">
        <v>0.3840277777777778</v>
      </c>
      <c r="F78" s="1" t="s">
        <v>876</v>
      </c>
      <c r="G78" s="3">
        <f>Logs[[#This Row],[Duree_Panne_Min]]/1440</f>
        <v>7.5694444444444439E-2</v>
      </c>
      <c r="H78">
        <v>109</v>
      </c>
      <c r="I78" t="str">
        <f>_xlfn.XLOOKUP(Logs[[#This Row],[Cell_ID]],'Registre_Maintenance'!B:B,'Registre_Maintenance'!D:D,"Pas de correspondance")</f>
        <v>Pas de correspondance</v>
      </c>
      <c r="J78" t="str">
        <f>_xlfn.XLOOKUP(Logs[[#This Row],[Cell_ID]],'Registre_Maintenance'!B:B,'Registre_Maintenance'!E:E,"Pas de correspondance")</f>
        <v>Pas de correspondance</v>
      </c>
      <c r="K78" t="str">
        <f>_xlfn.XLOOKUP(Logs[[#This Row],[Cell_ID]],'Registre_Maintenance'!B:B,'Registre_Maintenance'!F:F,"Pas de correspondance")</f>
        <v>Pas de correspondance</v>
      </c>
      <c r="L78" t="str">
        <f>_xlfn.XLOOKUP(Logs[[#This Row],[Cell_ID]],'Registre_Maintenance'!B:B,'Registre_Maintenance'!G:G,"Pas de correspondance")</f>
        <v>Pas de correspondance</v>
      </c>
      <c r="M78" s="1" t="s">
        <v>811</v>
      </c>
      <c r="N78" s="1" t="str">
        <f>_xlfn.XLOOKUP(Logs[[#This Row],[ID_Client]],Clients_Log!B:B,Clients_Log!E:E,"Pas de correspondance")</f>
        <v>Pas de correspondance</v>
      </c>
      <c r="O78" s="4" t="str">
        <f>IFERROR(Logs[[#This Row],[Anciennete_Mois]]/12,"")</f>
        <v/>
      </c>
      <c r="P78" s="1" t="str">
        <f>_xlfn.XLOOKUP(Logs[[#This Row],[ID_Client]],Clients_Log!B:B,Clients_Log!F:F,"Pas de correspondance")</f>
        <v>Pas de correspondance</v>
      </c>
      <c r="Q78" s="1" t="str">
        <f>IF(Logs[[#This Row],[Type_Forfait]]="Pro Monde","B2B","B2C")</f>
        <v>B2C</v>
      </c>
      <c r="R78" s="1" t="str">
        <f>_xlfn.XLOOKUP(Logs[[#This Row],[ID_Client]],Clients_Log!B:B,Clients_Log!G:G,"Pas de correspondance")</f>
        <v>Pas de correspondance</v>
      </c>
      <c r="S78" s="1" t="e">
        <f>Logs[[#This Row],[Duree_Cumulee_Panne_Min]]/1440</f>
        <v>#VALUE!</v>
      </c>
      <c r="T78" s="1" t="str">
        <f>_xlfn.XLOOKUP(Logs[[#This Row],[ID_Client]],Clients_Log!B:B,Clients_Log!H:H,"Pas de correspondance")</f>
        <v>Pas de correspondance</v>
      </c>
      <c r="U78" s="1" t="str">
        <f>_xlfn.XLOOKUP(Logs[[#This Row],[ID_Client]],Clients_Log!B:B,Clients_Log!I:I,"Pas de correspondance")</f>
        <v>Pas de correspondance</v>
      </c>
      <c r="V7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8" s="1" t="e">
        <f>Logs[[#This Row],[Facture_Mensuelle]]*Logs[[#This Row],[Remise (%)]]</f>
        <v>#VALUE!</v>
      </c>
    </row>
    <row r="79" spans="1:23" hidden="1" x14ac:dyDescent="0.25">
      <c r="A79" s="1" t="s">
        <v>853</v>
      </c>
      <c r="B79" s="2">
        <v>45230</v>
      </c>
      <c r="C79" s="1" t="str">
        <f>_xlfn.XLOOKUP(Logs[[#This Row],[Province_RDC]],Clients_Log!D:D,Clients_Log!B:B,"Pas de correspondance")</f>
        <v>Pas de correspondance</v>
      </c>
      <c r="D79" t="str">
        <f>_xlfn.XLOOKUP(Logs[[#This Row],[Cell_ID]],'Registre_Maintenance'!B:B,'Registre_Maintenance'!C:C,"Pas de correspondance")</f>
        <v>Pas de correspondance</v>
      </c>
      <c r="E79" s="3">
        <v>6.7361111111111108E-2</v>
      </c>
      <c r="F79" s="1" t="s">
        <v>877</v>
      </c>
      <c r="G79" s="3">
        <f>Logs[[#This Row],[Duree_Panne_Min]]/1440</f>
        <v>5.2083333333333336E-2</v>
      </c>
      <c r="H79">
        <v>75</v>
      </c>
      <c r="I79" t="str">
        <f>_xlfn.XLOOKUP(Logs[[#This Row],[Cell_ID]],'Registre_Maintenance'!B:B,'Registre_Maintenance'!D:D,"Pas de correspondance")</f>
        <v>Pas de correspondance</v>
      </c>
      <c r="J79" t="str">
        <f>_xlfn.XLOOKUP(Logs[[#This Row],[Cell_ID]],'Registre_Maintenance'!B:B,'Registre_Maintenance'!E:E,"Pas de correspondance")</f>
        <v>Pas de correspondance</v>
      </c>
      <c r="K79" t="str">
        <f>_xlfn.XLOOKUP(Logs[[#This Row],[Cell_ID]],'Registre_Maintenance'!B:B,'Registre_Maintenance'!F:F,"Pas de correspondance")</f>
        <v>Pas de correspondance</v>
      </c>
      <c r="L79" t="str">
        <f>_xlfn.XLOOKUP(Logs[[#This Row],[Cell_ID]],'Registre_Maintenance'!B:B,'Registre_Maintenance'!G:G,"Pas de correspondance")</f>
        <v>Pas de correspondance</v>
      </c>
      <c r="M79" s="1" t="s">
        <v>806</v>
      </c>
      <c r="N79" s="1" t="str">
        <f>_xlfn.XLOOKUP(Logs[[#This Row],[ID_Client]],Clients_Log!B:B,Clients_Log!E:E,"Pas de correspondance")</f>
        <v>Pas de correspondance</v>
      </c>
      <c r="O79" s="4" t="str">
        <f>IFERROR(Logs[[#This Row],[Anciennete_Mois]]/12,"")</f>
        <v/>
      </c>
      <c r="P79" s="1" t="str">
        <f>_xlfn.XLOOKUP(Logs[[#This Row],[ID_Client]],Clients_Log!B:B,Clients_Log!F:F,"Pas de correspondance")</f>
        <v>Pas de correspondance</v>
      </c>
      <c r="Q79" s="1" t="str">
        <f>IF(Logs[[#This Row],[Type_Forfait]]="Pro Monde","B2B","B2C")</f>
        <v>B2C</v>
      </c>
      <c r="R79" s="1" t="str">
        <f>_xlfn.XLOOKUP(Logs[[#This Row],[ID_Client]],Clients_Log!B:B,Clients_Log!G:G,"Pas de correspondance")</f>
        <v>Pas de correspondance</v>
      </c>
      <c r="S79" s="1" t="e">
        <f>Logs[[#This Row],[Duree_Cumulee_Panne_Min]]/1440</f>
        <v>#VALUE!</v>
      </c>
      <c r="T79" s="1" t="str">
        <f>_xlfn.XLOOKUP(Logs[[#This Row],[ID_Client]],Clients_Log!B:B,Clients_Log!H:H,"Pas de correspondance")</f>
        <v>Pas de correspondance</v>
      </c>
      <c r="U79" s="1" t="str">
        <f>_xlfn.XLOOKUP(Logs[[#This Row],[ID_Client]],Clients_Log!B:B,Clients_Log!I:I,"Pas de correspondance")</f>
        <v>Pas de correspondance</v>
      </c>
      <c r="V7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9" s="1" t="e">
        <f>Logs[[#This Row],[Facture_Mensuelle]]*Logs[[#This Row],[Remise (%)]]</f>
        <v>#VALUE!</v>
      </c>
    </row>
    <row r="80" spans="1:23" hidden="1" x14ac:dyDescent="0.25">
      <c r="A80" s="1" t="s">
        <v>853</v>
      </c>
      <c r="B80" s="2">
        <v>45223</v>
      </c>
      <c r="C80" s="1" t="str">
        <f>_xlfn.XLOOKUP(Logs[[#This Row],[Province_RDC]],Clients_Log!D:D,Clients_Log!B:B,"Pas de correspondance")</f>
        <v>Pas de correspondance</v>
      </c>
      <c r="D80" t="str">
        <f>_xlfn.XLOOKUP(Logs[[#This Row],[Cell_ID]],'Registre_Maintenance'!B:B,'Registre_Maintenance'!C:C,"Pas de correspondance")</f>
        <v>Pas de correspondance</v>
      </c>
      <c r="E80" s="3">
        <v>0.7104166666666667</v>
      </c>
      <c r="F80" s="1" t="s">
        <v>878</v>
      </c>
      <c r="G80" s="3">
        <f>Logs[[#This Row],[Duree_Panne_Min]]/1440</f>
        <v>2.9861111111111113E-2</v>
      </c>
      <c r="H80">
        <v>43</v>
      </c>
      <c r="I80" t="str">
        <f>_xlfn.XLOOKUP(Logs[[#This Row],[Cell_ID]],'Registre_Maintenance'!B:B,'Registre_Maintenance'!D:D,"Pas de correspondance")</f>
        <v>Pas de correspondance</v>
      </c>
      <c r="J80" t="str">
        <f>_xlfn.XLOOKUP(Logs[[#This Row],[Cell_ID]],'Registre_Maintenance'!B:B,'Registre_Maintenance'!E:E,"Pas de correspondance")</f>
        <v>Pas de correspondance</v>
      </c>
      <c r="K80" t="str">
        <f>_xlfn.XLOOKUP(Logs[[#This Row],[Cell_ID]],'Registre_Maintenance'!B:B,'Registre_Maintenance'!F:F,"Pas de correspondance")</f>
        <v>Pas de correspondance</v>
      </c>
      <c r="L80" t="str">
        <f>_xlfn.XLOOKUP(Logs[[#This Row],[Cell_ID]],'Registre_Maintenance'!B:B,'Registre_Maintenance'!G:G,"Pas de correspondance")</f>
        <v>Pas de correspondance</v>
      </c>
      <c r="M80" s="1" t="s">
        <v>809</v>
      </c>
      <c r="N80" s="1" t="str">
        <f>_xlfn.XLOOKUP(Logs[[#This Row],[ID_Client]],Clients_Log!B:B,Clients_Log!E:E,"Pas de correspondance")</f>
        <v>Pas de correspondance</v>
      </c>
      <c r="O80" s="4" t="str">
        <f>IFERROR(Logs[[#This Row],[Anciennete_Mois]]/12,"")</f>
        <v/>
      </c>
      <c r="P80" s="1" t="str">
        <f>_xlfn.XLOOKUP(Logs[[#This Row],[ID_Client]],Clients_Log!B:B,Clients_Log!F:F,"Pas de correspondance")</f>
        <v>Pas de correspondance</v>
      </c>
      <c r="Q80" s="1" t="str">
        <f>IF(Logs[[#This Row],[Type_Forfait]]="Pro Monde","B2B","B2C")</f>
        <v>B2C</v>
      </c>
      <c r="R80" s="1" t="str">
        <f>_xlfn.XLOOKUP(Logs[[#This Row],[ID_Client]],Clients_Log!B:B,Clients_Log!G:G,"Pas de correspondance")</f>
        <v>Pas de correspondance</v>
      </c>
      <c r="S80" s="1" t="e">
        <f>Logs[[#This Row],[Duree_Cumulee_Panne_Min]]/1440</f>
        <v>#VALUE!</v>
      </c>
      <c r="T80" s="1" t="str">
        <f>_xlfn.XLOOKUP(Logs[[#This Row],[ID_Client]],Clients_Log!B:B,Clients_Log!H:H,"Pas de correspondance")</f>
        <v>Pas de correspondance</v>
      </c>
      <c r="U80" s="1" t="str">
        <f>_xlfn.XLOOKUP(Logs[[#This Row],[ID_Client]],Clients_Log!B:B,Clients_Log!I:I,"Pas de correspondance")</f>
        <v>Pas de correspondance</v>
      </c>
      <c r="V8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0" s="1" t="e">
        <f>Logs[[#This Row],[Facture_Mensuelle]]*Logs[[#This Row],[Remise (%)]]</f>
        <v>#VALUE!</v>
      </c>
    </row>
    <row r="81" spans="1:23" hidden="1" x14ac:dyDescent="0.25">
      <c r="A81" s="1" t="s">
        <v>853</v>
      </c>
      <c r="B81" s="2">
        <v>45223</v>
      </c>
      <c r="C81" s="1" t="str">
        <f>_xlfn.XLOOKUP(Logs[[#This Row],[Province_RDC]],Clients_Log!D:D,Clients_Log!B:B,"Pas de correspondance")</f>
        <v>Pas de correspondance</v>
      </c>
      <c r="D81" t="str">
        <f>_xlfn.XLOOKUP(Logs[[#This Row],[Cell_ID]],'Registre_Maintenance'!B:B,'Registre_Maintenance'!C:C,"Pas de correspondance")</f>
        <v>Pas de correspondance</v>
      </c>
      <c r="E81" s="3">
        <v>0.41875000000000001</v>
      </c>
      <c r="F81" s="1" t="s">
        <v>879</v>
      </c>
      <c r="G81" s="3">
        <f>Logs[[#This Row],[Duree_Panne_Min]]/1440</f>
        <v>6.1805555555555558E-2</v>
      </c>
      <c r="H81">
        <v>89</v>
      </c>
      <c r="I81" t="str">
        <f>_xlfn.XLOOKUP(Logs[[#This Row],[Cell_ID]],'Registre_Maintenance'!B:B,'Registre_Maintenance'!D:D,"Pas de correspondance")</f>
        <v>Pas de correspondance</v>
      </c>
      <c r="J81" t="str">
        <f>_xlfn.XLOOKUP(Logs[[#This Row],[Cell_ID]],'Registre_Maintenance'!B:B,'Registre_Maintenance'!E:E,"Pas de correspondance")</f>
        <v>Pas de correspondance</v>
      </c>
      <c r="K81" t="str">
        <f>_xlfn.XLOOKUP(Logs[[#This Row],[Cell_ID]],'Registre_Maintenance'!B:B,'Registre_Maintenance'!F:F,"Pas de correspondance")</f>
        <v>Pas de correspondance</v>
      </c>
      <c r="L81" t="str">
        <f>_xlfn.XLOOKUP(Logs[[#This Row],[Cell_ID]],'Registre_Maintenance'!B:B,'Registre_Maintenance'!G:G,"Pas de correspondance")</f>
        <v>Pas de correspondance</v>
      </c>
      <c r="M81" s="1" t="s">
        <v>806</v>
      </c>
      <c r="N81" s="1" t="str">
        <f>_xlfn.XLOOKUP(Logs[[#This Row],[ID_Client]],Clients_Log!B:B,Clients_Log!E:E,"Pas de correspondance")</f>
        <v>Pas de correspondance</v>
      </c>
      <c r="O81" s="4" t="str">
        <f>IFERROR(Logs[[#This Row],[Anciennete_Mois]]/12,"")</f>
        <v/>
      </c>
      <c r="P81" s="1" t="str">
        <f>_xlfn.XLOOKUP(Logs[[#This Row],[ID_Client]],Clients_Log!B:B,Clients_Log!F:F,"Pas de correspondance")</f>
        <v>Pas de correspondance</v>
      </c>
      <c r="Q81" s="1" t="str">
        <f>IF(Logs[[#This Row],[Type_Forfait]]="Pro Monde","B2B","B2C")</f>
        <v>B2C</v>
      </c>
      <c r="R81" s="1" t="str">
        <f>_xlfn.XLOOKUP(Logs[[#This Row],[ID_Client]],Clients_Log!B:B,Clients_Log!G:G,"Pas de correspondance")</f>
        <v>Pas de correspondance</v>
      </c>
      <c r="S81" s="1" t="e">
        <f>Logs[[#This Row],[Duree_Cumulee_Panne_Min]]/1440</f>
        <v>#VALUE!</v>
      </c>
      <c r="T81" s="1" t="str">
        <f>_xlfn.XLOOKUP(Logs[[#This Row],[ID_Client]],Clients_Log!B:B,Clients_Log!H:H,"Pas de correspondance")</f>
        <v>Pas de correspondance</v>
      </c>
      <c r="U81" s="1" t="str">
        <f>_xlfn.XLOOKUP(Logs[[#This Row],[ID_Client]],Clients_Log!B:B,Clients_Log!I:I,"Pas de correspondance")</f>
        <v>Pas de correspondance</v>
      </c>
      <c r="V8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1" s="1" t="e">
        <f>Logs[[#This Row],[Facture_Mensuelle]]*Logs[[#This Row],[Remise (%)]]</f>
        <v>#VALUE!</v>
      </c>
    </row>
    <row r="82" spans="1:23" hidden="1" x14ac:dyDescent="0.25">
      <c r="A82" s="1" t="s">
        <v>853</v>
      </c>
      <c r="B82" s="2">
        <v>45201</v>
      </c>
      <c r="C82" s="1" t="str">
        <f>_xlfn.XLOOKUP(Logs[[#This Row],[Province_RDC]],Clients_Log!D:D,Clients_Log!B:B,"Pas de correspondance")</f>
        <v>Pas de correspondance</v>
      </c>
      <c r="D82" t="str">
        <f>_xlfn.XLOOKUP(Logs[[#This Row],[Cell_ID]],'Registre_Maintenance'!B:B,'Registre_Maintenance'!C:C,"Pas de correspondance")</f>
        <v>Pas de correspondance</v>
      </c>
      <c r="E82" s="3">
        <v>0.77083333333333337</v>
      </c>
      <c r="F82" s="1" t="s">
        <v>842</v>
      </c>
      <c r="G82" s="3">
        <f>Logs[[#This Row],[Duree_Panne_Min]]/1440</f>
        <v>1.2500000000000001E-2</v>
      </c>
      <c r="H82">
        <v>18</v>
      </c>
      <c r="I82" t="str">
        <f>_xlfn.XLOOKUP(Logs[[#This Row],[Cell_ID]],'Registre_Maintenance'!B:B,'Registre_Maintenance'!D:D,"Pas de correspondance")</f>
        <v>Pas de correspondance</v>
      </c>
      <c r="J82" t="str">
        <f>_xlfn.XLOOKUP(Logs[[#This Row],[Cell_ID]],'Registre_Maintenance'!B:B,'Registre_Maintenance'!E:E,"Pas de correspondance")</f>
        <v>Pas de correspondance</v>
      </c>
      <c r="K82" t="str">
        <f>_xlfn.XLOOKUP(Logs[[#This Row],[Cell_ID]],'Registre_Maintenance'!B:B,'Registre_Maintenance'!F:F,"Pas de correspondance")</f>
        <v>Pas de correspondance</v>
      </c>
      <c r="L82" t="str">
        <f>_xlfn.XLOOKUP(Logs[[#This Row],[Cell_ID]],'Registre_Maintenance'!B:B,'Registre_Maintenance'!G:G,"Pas de correspondance")</f>
        <v>Pas de correspondance</v>
      </c>
      <c r="M82" s="1" t="s">
        <v>811</v>
      </c>
      <c r="N82" s="1" t="str">
        <f>_xlfn.XLOOKUP(Logs[[#This Row],[ID_Client]],Clients_Log!B:B,Clients_Log!E:E,"Pas de correspondance")</f>
        <v>Pas de correspondance</v>
      </c>
      <c r="O82" s="4" t="str">
        <f>IFERROR(Logs[[#This Row],[Anciennete_Mois]]/12,"")</f>
        <v/>
      </c>
      <c r="P82" s="1" t="str">
        <f>_xlfn.XLOOKUP(Logs[[#This Row],[ID_Client]],Clients_Log!B:B,Clients_Log!F:F,"Pas de correspondance")</f>
        <v>Pas de correspondance</v>
      </c>
      <c r="Q82" s="1" t="str">
        <f>IF(Logs[[#This Row],[Type_Forfait]]="Pro Monde","B2B","B2C")</f>
        <v>B2C</v>
      </c>
      <c r="R82" s="1" t="str">
        <f>_xlfn.XLOOKUP(Logs[[#This Row],[ID_Client]],Clients_Log!B:B,Clients_Log!G:G,"Pas de correspondance")</f>
        <v>Pas de correspondance</v>
      </c>
      <c r="S82" s="1" t="e">
        <f>Logs[[#This Row],[Duree_Cumulee_Panne_Min]]/1440</f>
        <v>#VALUE!</v>
      </c>
      <c r="T82" s="1" t="str">
        <f>_xlfn.XLOOKUP(Logs[[#This Row],[ID_Client]],Clients_Log!B:B,Clients_Log!H:H,"Pas de correspondance")</f>
        <v>Pas de correspondance</v>
      </c>
      <c r="U82" s="1" t="str">
        <f>_xlfn.XLOOKUP(Logs[[#This Row],[ID_Client]],Clients_Log!B:B,Clients_Log!I:I,"Pas de correspondance")</f>
        <v>Pas de correspondance</v>
      </c>
      <c r="V8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2" s="1" t="e">
        <f>Logs[[#This Row],[Facture_Mensuelle]]*Logs[[#This Row],[Remise (%)]]</f>
        <v>#VALUE!</v>
      </c>
    </row>
    <row r="83" spans="1:23" x14ac:dyDescent="0.25">
      <c r="A83" s="1" t="s">
        <v>853</v>
      </c>
      <c r="B83" s="2">
        <v>45216</v>
      </c>
      <c r="C83" s="1" t="str">
        <f>_xlfn.XLOOKUP(Logs[[#This Row],[Province_RDC]],Clients_Log!D:D,Clients_Log!B:B,"Pas de correspondance")</f>
        <v>CLI-00280</v>
      </c>
      <c r="D83" t="str">
        <f>_xlfn.XLOOKUP(Logs[[#This Row],[Cell_ID]],'Registre_Maintenance'!B:B,'Registre_Maintenance'!C:C,"Pas de correspondance")</f>
        <v>Sud-Ubangi</v>
      </c>
      <c r="E83" s="3">
        <v>0.67361111111111116</v>
      </c>
      <c r="F83" s="1" t="s">
        <v>880</v>
      </c>
      <c r="G83" s="3">
        <f>Logs[[#This Row],[Duree_Panne_Min]]/1440</f>
        <v>8.1250000000000003E-2</v>
      </c>
      <c r="H83">
        <v>117</v>
      </c>
      <c r="I83">
        <f>_xlfn.XLOOKUP(Logs[[#This Row],[Cell_ID]],'Registre_Maintenance'!B:B,'Registre_Maintenance'!D:D,"Pas de correspondance")</f>
        <v>-12.141233</v>
      </c>
      <c r="J83">
        <f>_xlfn.XLOOKUP(Logs[[#This Row],[Cell_ID]],'Registre_Maintenance'!B:B,'Registre_Maintenance'!E:E,"Pas de correspondance")</f>
        <v>15.179043999999999</v>
      </c>
      <c r="K83" t="str">
        <f>_xlfn.XLOOKUP(Logs[[#This Row],[Cell_ID]],'Registre_Maintenance'!B:B,'Registre_Maintenance'!F:F,"Pas de correspondance")</f>
        <v>5G</v>
      </c>
      <c r="L83" t="str">
        <f>_xlfn.XLOOKUP(Logs[[#This Row],[Cell_ID]],'Registre_Maintenance'!B:B,'Registre_Maintenance'!G:G,"Pas de correspondance")</f>
        <v>Ericsson</v>
      </c>
      <c r="M83" s="1" t="s">
        <v>806</v>
      </c>
      <c r="N83" s="1">
        <f>_xlfn.XLOOKUP(Logs[[#This Row],[ID_Client]],Clients_Log!B:B,Clients_Log!E:E,"Pas de correspondance")</f>
        <v>113</v>
      </c>
      <c r="O83" s="4">
        <f>IFERROR(Logs[[#This Row],[Anciennete_Mois]]/12,"")</f>
        <v>9.4166666666666661</v>
      </c>
      <c r="P83" s="1" t="str">
        <f>_xlfn.XLOOKUP(Logs[[#This Row],[ID_Client]],Clients_Log!B:B,Clients_Log!F:F,"Pas de correspondance")</f>
        <v>Illimité 50Go</v>
      </c>
      <c r="Q83" s="1" t="str">
        <f>IF(Logs[[#This Row],[Type_Forfait]]="Pro Monde","B2B","B2C")</f>
        <v>B2C</v>
      </c>
      <c r="R83" s="1">
        <f>_xlfn.XLOOKUP(Logs[[#This Row],[ID_Client]],Clients_Log!B:B,Clients_Log!G:G,"Pas de correspondance")</f>
        <v>380</v>
      </c>
      <c r="S83" s="3">
        <f>Logs[[#This Row],[Duree_Cumulee_Panne_Min]]/1440</f>
        <v>0.2638888888888889</v>
      </c>
      <c r="T83" s="1">
        <f>_xlfn.XLOOKUP(Logs[[#This Row],[ID_Client]],Clients_Log!B:B,Clients_Log!H:H,"Pas de correspondance")</f>
        <v>12.11</v>
      </c>
      <c r="U83" s="1">
        <f>_xlfn.XLOOKUP(Logs[[#This Row],[ID_Client]],Clients_Log!B:B,Clients_Log!I:I,"Pas de correspondance")</f>
        <v>0</v>
      </c>
      <c r="V8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3" s="1">
        <f>Logs[[#This Row],[Facture_Mensuelle]]*Logs[[#This Row],[Remise (%)]]</f>
        <v>5.4494999999999996</v>
      </c>
    </row>
    <row r="84" spans="1:23" hidden="1" x14ac:dyDescent="0.25">
      <c r="A84" s="1" t="s">
        <v>853</v>
      </c>
      <c r="B84" s="2">
        <v>45201</v>
      </c>
      <c r="C84" s="1" t="str">
        <f>_xlfn.XLOOKUP(Logs[[#This Row],[Province_RDC]],Clients_Log!D:D,Clients_Log!B:B,"Pas de correspondance")</f>
        <v>Pas de correspondance</v>
      </c>
      <c r="D84" t="str">
        <f>_xlfn.XLOOKUP(Logs[[#This Row],[Cell_ID]],'Registre_Maintenance'!B:B,'Registre_Maintenance'!C:C,"Pas de correspondance")</f>
        <v>Pas de correspondance</v>
      </c>
      <c r="E84" s="3">
        <v>0.67013888888888884</v>
      </c>
      <c r="F84" s="1" t="s">
        <v>881</v>
      </c>
      <c r="G84" s="3">
        <f>Logs[[#This Row],[Duree_Panne_Min]]/1440</f>
        <v>1.5277777777777777E-2</v>
      </c>
      <c r="H84">
        <v>22</v>
      </c>
      <c r="I84" t="str">
        <f>_xlfn.XLOOKUP(Logs[[#This Row],[Cell_ID]],'Registre_Maintenance'!B:B,'Registre_Maintenance'!D:D,"Pas de correspondance")</f>
        <v>Pas de correspondance</v>
      </c>
      <c r="J84" t="str">
        <f>_xlfn.XLOOKUP(Logs[[#This Row],[Cell_ID]],'Registre_Maintenance'!B:B,'Registre_Maintenance'!E:E,"Pas de correspondance")</f>
        <v>Pas de correspondance</v>
      </c>
      <c r="K84" t="str">
        <f>_xlfn.XLOOKUP(Logs[[#This Row],[Cell_ID]],'Registre_Maintenance'!B:B,'Registre_Maintenance'!F:F,"Pas de correspondance")</f>
        <v>Pas de correspondance</v>
      </c>
      <c r="L84" t="str">
        <f>_xlfn.XLOOKUP(Logs[[#This Row],[Cell_ID]],'Registre_Maintenance'!B:B,'Registre_Maintenance'!G:G,"Pas de correspondance")</f>
        <v>Pas de correspondance</v>
      </c>
      <c r="M84" s="1" t="s">
        <v>811</v>
      </c>
      <c r="N84" s="1" t="str">
        <f>_xlfn.XLOOKUP(Logs[[#This Row],[ID_Client]],Clients_Log!B:B,Clients_Log!E:E,"Pas de correspondance")</f>
        <v>Pas de correspondance</v>
      </c>
      <c r="O84" s="4" t="str">
        <f>IFERROR(Logs[[#This Row],[Anciennete_Mois]]/12,"")</f>
        <v/>
      </c>
      <c r="P84" s="1" t="str">
        <f>_xlfn.XLOOKUP(Logs[[#This Row],[ID_Client]],Clients_Log!B:B,Clients_Log!F:F,"Pas de correspondance")</f>
        <v>Pas de correspondance</v>
      </c>
      <c r="Q84" s="1" t="str">
        <f>IF(Logs[[#This Row],[Type_Forfait]]="Pro Monde","B2B","B2C")</f>
        <v>B2C</v>
      </c>
      <c r="R84" s="1" t="str">
        <f>_xlfn.XLOOKUP(Logs[[#This Row],[ID_Client]],Clients_Log!B:B,Clients_Log!G:G,"Pas de correspondance")</f>
        <v>Pas de correspondance</v>
      </c>
      <c r="S84" s="1" t="e">
        <f>Logs[[#This Row],[Duree_Cumulee_Panne_Min]]/1440</f>
        <v>#VALUE!</v>
      </c>
      <c r="T84" s="1" t="str">
        <f>_xlfn.XLOOKUP(Logs[[#This Row],[ID_Client]],Clients_Log!B:B,Clients_Log!H:H,"Pas de correspondance")</f>
        <v>Pas de correspondance</v>
      </c>
      <c r="U84" s="1" t="str">
        <f>_xlfn.XLOOKUP(Logs[[#This Row],[ID_Client]],Clients_Log!B:B,Clients_Log!I:I,"Pas de correspondance")</f>
        <v>Pas de correspondance</v>
      </c>
      <c r="V8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4" s="1" t="e">
        <f>Logs[[#This Row],[Facture_Mensuelle]]*Logs[[#This Row],[Remise (%)]]</f>
        <v>#VALUE!</v>
      </c>
    </row>
    <row r="85" spans="1:23" hidden="1" x14ac:dyDescent="0.25">
      <c r="A85" s="1" t="s">
        <v>853</v>
      </c>
      <c r="B85" s="2">
        <v>45227</v>
      </c>
      <c r="C85" s="1" t="str">
        <f>_xlfn.XLOOKUP(Logs[[#This Row],[Province_RDC]],Clients_Log!D:D,Clients_Log!B:B,"Pas de correspondance")</f>
        <v>Pas de correspondance</v>
      </c>
      <c r="D85" t="str">
        <f>_xlfn.XLOOKUP(Logs[[#This Row],[Cell_ID]],'Registre_Maintenance'!B:B,'Registre_Maintenance'!C:C,"Pas de correspondance")</f>
        <v>Pas de correspondance</v>
      </c>
      <c r="E85" s="3">
        <v>0.21111111111111111</v>
      </c>
      <c r="F85" s="1" t="s">
        <v>882</v>
      </c>
      <c r="G85" s="3">
        <f>Logs[[#This Row],[Duree_Panne_Min]]/1440</f>
        <v>2.6388888888888889E-2</v>
      </c>
      <c r="H85">
        <v>38</v>
      </c>
      <c r="I85" t="str">
        <f>_xlfn.XLOOKUP(Logs[[#This Row],[Cell_ID]],'Registre_Maintenance'!B:B,'Registre_Maintenance'!D:D,"Pas de correspondance")</f>
        <v>Pas de correspondance</v>
      </c>
      <c r="J85" t="str">
        <f>_xlfn.XLOOKUP(Logs[[#This Row],[Cell_ID]],'Registre_Maintenance'!B:B,'Registre_Maintenance'!E:E,"Pas de correspondance")</f>
        <v>Pas de correspondance</v>
      </c>
      <c r="K85" t="str">
        <f>_xlfn.XLOOKUP(Logs[[#This Row],[Cell_ID]],'Registre_Maintenance'!B:B,'Registre_Maintenance'!F:F,"Pas de correspondance")</f>
        <v>Pas de correspondance</v>
      </c>
      <c r="L85" t="str">
        <f>_xlfn.XLOOKUP(Logs[[#This Row],[Cell_ID]],'Registre_Maintenance'!B:B,'Registre_Maintenance'!G:G,"Pas de correspondance")</f>
        <v>Pas de correspondance</v>
      </c>
      <c r="M85" s="1" t="s">
        <v>806</v>
      </c>
      <c r="N85" s="1" t="str">
        <f>_xlfn.XLOOKUP(Logs[[#This Row],[ID_Client]],Clients_Log!B:B,Clients_Log!E:E,"Pas de correspondance")</f>
        <v>Pas de correspondance</v>
      </c>
      <c r="O85" s="4" t="str">
        <f>IFERROR(Logs[[#This Row],[Anciennete_Mois]]/12,"")</f>
        <v/>
      </c>
      <c r="P85" s="1" t="str">
        <f>_xlfn.XLOOKUP(Logs[[#This Row],[ID_Client]],Clients_Log!B:B,Clients_Log!F:F,"Pas de correspondance")</f>
        <v>Pas de correspondance</v>
      </c>
      <c r="Q85" s="1" t="str">
        <f>IF(Logs[[#This Row],[Type_Forfait]]="Pro Monde","B2B","B2C")</f>
        <v>B2C</v>
      </c>
      <c r="R85" s="1" t="str">
        <f>_xlfn.XLOOKUP(Logs[[#This Row],[ID_Client]],Clients_Log!B:B,Clients_Log!G:G,"Pas de correspondance")</f>
        <v>Pas de correspondance</v>
      </c>
      <c r="S85" s="1" t="e">
        <f>Logs[[#This Row],[Duree_Cumulee_Panne_Min]]/1440</f>
        <v>#VALUE!</v>
      </c>
      <c r="T85" s="1" t="str">
        <f>_xlfn.XLOOKUP(Logs[[#This Row],[ID_Client]],Clients_Log!B:B,Clients_Log!H:H,"Pas de correspondance")</f>
        <v>Pas de correspondance</v>
      </c>
      <c r="U85" s="1" t="str">
        <f>_xlfn.XLOOKUP(Logs[[#This Row],[ID_Client]],Clients_Log!B:B,Clients_Log!I:I,"Pas de correspondance")</f>
        <v>Pas de correspondance</v>
      </c>
      <c r="V8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5" s="1" t="e">
        <f>Logs[[#This Row],[Facture_Mensuelle]]*Logs[[#This Row],[Remise (%)]]</f>
        <v>#VALUE!</v>
      </c>
    </row>
    <row r="86" spans="1:23" hidden="1" x14ac:dyDescent="0.25">
      <c r="A86" s="1" t="s">
        <v>853</v>
      </c>
      <c r="B86" s="2">
        <v>45219</v>
      </c>
      <c r="C86" s="1" t="str">
        <f>_xlfn.XLOOKUP(Logs[[#This Row],[Province_RDC]],Clients_Log!D:D,Clients_Log!B:B,"Pas de correspondance")</f>
        <v>Pas de correspondance</v>
      </c>
      <c r="D86" t="str">
        <f>_xlfn.XLOOKUP(Logs[[#This Row],[Cell_ID]],'Registre_Maintenance'!B:B,'Registre_Maintenance'!C:C,"Pas de correspondance")</f>
        <v>Pas de correspondance</v>
      </c>
      <c r="E86" s="3">
        <v>0.11319444444444444</v>
      </c>
      <c r="F86" s="1" t="s">
        <v>883</v>
      </c>
      <c r="G86" s="3">
        <f>Logs[[#This Row],[Duree_Panne_Min]]/1440</f>
        <v>1.3194444444444444E-2</v>
      </c>
      <c r="H86">
        <v>19</v>
      </c>
      <c r="I86" t="str">
        <f>_xlfn.XLOOKUP(Logs[[#This Row],[Cell_ID]],'Registre_Maintenance'!B:B,'Registre_Maintenance'!D:D,"Pas de correspondance")</f>
        <v>Pas de correspondance</v>
      </c>
      <c r="J86" t="str">
        <f>_xlfn.XLOOKUP(Logs[[#This Row],[Cell_ID]],'Registre_Maintenance'!B:B,'Registre_Maintenance'!E:E,"Pas de correspondance")</f>
        <v>Pas de correspondance</v>
      </c>
      <c r="K86" t="str">
        <f>_xlfn.XLOOKUP(Logs[[#This Row],[Cell_ID]],'Registre_Maintenance'!B:B,'Registre_Maintenance'!F:F,"Pas de correspondance")</f>
        <v>Pas de correspondance</v>
      </c>
      <c r="L86" t="str">
        <f>_xlfn.XLOOKUP(Logs[[#This Row],[Cell_ID]],'Registre_Maintenance'!B:B,'Registre_Maintenance'!G:G,"Pas de correspondance")</f>
        <v>Pas de correspondance</v>
      </c>
      <c r="M86" s="1" t="s">
        <v>806</v>
      </c>
      <c r="N86" s="1" t="str">
        <f>_xlfn.XLOOKUP(Logs[[#This Row],[ID_Client]],Clients_Log!B:B,Clients_Log!E:E,"Pas de correspondance")</f>
        <v>Pas de correspondance</v>
      </c>
      <c r="O86" s="4" t="str">
        <f>IFERROR(Logs[[#This Row],[Anciennete_Mois]]/12,"")</f>
        <v/>
      </c>
      <c r="P86" s="1" t="str">
        <f>_xlfn.XLOOKUP(Logs[[#This Row],[ID_Client]],Clients_Log!B:B,Clients_Log!F:F,"Pas de correspondance")</f>
        <v>Pas de correspondance</v>
      </c>
      <c r="Q86" s="1" t="str">
        <f>IF(Logs[[#This Row],[Type_Forfait]]="Pro Monde","B2B","B2C")</f>
        <v>B2C</v>
      </c>
      <c r="R86" s="1" t="str">
        <f>_xlfn.XLOOKUP(Logs[[#This Row],[ID_Client]],Clients_Log!B:B,Clients_Log!G:G,"Pas de correspondance")</f>
        <v>Pas de correspondance</v>
      </c>
      <c r="S86" s="1" t="e">
        <f>Logs[[#This Row],[Duree_Cumulee_Panne_Min]]/1440</f>
        <v>#VALUE!</v>
      </c>
      <c r="T86" s="1" t="str">
        <f>_xlfn.XLOOKUP(Logs[[#This Row],[ID_Client]],Clients_Log!B:B,Clients_Log!H:H,"Pas de correspondance")</f>
        <v>Pas de correspondance</v>
      </c>
      <c r="U86" s="1" t="str">
        <f>_xlfn.XLOOKUP(Logs[[#This Row],[ID_Client]],Clients_Log!B:B,Clients_Log!I:I,"Pas de correspondance")</f>
        <v>Pas de correspondance</v>
      </c>
      <c r="V8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6" s="1" t="e">
        <f>Logs[[#This Row],[Facture_Mensuelle]]*Logs[[#This Row],[Remise (%)]]</f>
        <v>#VALUE!</v>
      </c>
    </row>
    <row r="87" spans="1:23" x14ac:dyDescent="0.25">
      <c r="A87" s="1" t="s">
        <v>853</v>
      </c>
      <c r="B87" s="2">
        <v>45227</v>
      </c>
      <c r="C87" s="1" t="str">
        <f>_xlfn.XLOOKUP(Logs[[#This Row],[Province_RDC]],Clients_Log!D:D,Clients_Log!B:B,"Pas de correspondance")</f>
        <v>CLI-00280</v>
      </c>
      <c r="D87" t="str">
        <f>_xlfn.XLOOKUP(Logs[[#This Row],[Cell_ID]],'Registre_Maintenance'!B:B,'Registre_Maintenance'!C:C,"Pas de correspondance")</f>
        <v>Sud-Ubangi</v>
      </c>
      <c r="E87" s="3">
        <v>0.30902777777777779</v>
      </c>
      <c r="F87" s="1" t="s">
        <v>884</v>
      </c>
      <c r="G87" s="3">
        <f>Logs[[#This Row],[Duree_Panne_Min]]/1440</f>
        <v>8.1944444444444445E-2</v>
      </c>
      <c r="H87">
        <v>118</v>
      </c>
      <c r="I87">
        <f>_xlfn.XLOOKUP(Logs[[#This Row],[Cell_ID]],'Registre_Maintenance'!B:B,'Registre_Maintenance'!D:D,"Pas de correspondance")</f>
        <v>-10.914952</v>
      </c>
      <c r="J87">
        <f>_xlfn.XLOOKUP(Logs[[#This Row],[Cell_ID]],'Registre_Maintenance'!B:B,'Registre_Maintenance'!E:E,"Pas de correspondance")</f>
        <v>26.409648000000001</v>
      </c>
      <c r="K87" t="str">
        <f>_xlfn.XLOOKUP(Logs[[#This Row],[Cell_ID]],'Registre_Maintenance'!B:B,'Registre_Maintenance'!F:F,"Pas de correspondance")</f>
        <v>4G</v>
      </c>
      <c r="L87" t="str">
        <f>_xlfn.XLOOKUP(Logs[[#This Row],[Cell_ID]],'Registre_Maintenance'!B:B,'Registre_Maintenance'!G:G,"Pas de correspondance")</f>
        <v>Huawei</v>
      </c>
      <c r="M87" s="1" t="s">
        <v>811</v>
      </c>
      <c r="N87" s="1">
        <f>_xlfn.XLOOKUP(Logs[[#This Row],[ID_Client]],Clients_Log!B:B,Clients_Log!E:E,"Pas de correspondance")</f>
        <v>113</v>
      </c>
      <c r="O87" s="4">
        <f>IFERROR(Logs[[#This Row],[Anciennete_Mois]]/12,"")</f>
        <v>9.4166666666666661</v>
      </c>
      <c r="P87" s="1" t="str">
        <f>_xlfn.XLOOKUP(Logs[[#This Row],[ID_Client]],Clients_Log!B:B,Clients_Log!F:F,"Pas de correspondance")</f>
        <v>Illimité 50Go</v>
      </c>
      <c r="Q87" s="1" t="str">
        <f>IF(Logs[[#This Row],[Type_Forfait]]="Pro Monde","B2B","B2C")</f>
        <v>B2C</v>
      </c>
      <c r="R87" s="1">
        <f>_xlfn.XLOOKUP(Logs[[#This Row],[ID_Client]],Clients_Log!B:B,Clients_Log!G:G,"Pas de correspondance")</f>
        <v>380</v>
      </c>
      <c r="S87" s="3">
        <f>Logs[[#This Row],[Duree_Cumulee_Panne_Min]]/1440</f>
        <v>0.2638888888888889</v>
      </c>
      <c r="T87" s="1">
        <f>_xlfn.XLOOKUP(Logs[[#This Row],[ID_Client]],Clients_Log!B:B,Clients_Log!H:H,"Pas de correspondance")</f>
        <v>12.11</v>
      </c>
      <c r="U87" s="1">
        <f>_xlfn.XLOOKUP(Logs[[#This Row],[ID_Client]],Clients_Log!B:B,Clients_Log!I:I,"Pas de correspondance")</f>
        <v>0</v>
      </c>
      <c r="V8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7" s="1">
        <f>Logs[[#This Row],[Facture_Mensuelle]]*Logs[[#This Row],[Remise (%)]]</f>
        <v>5.4494999999999996</v>
      </c>
    </row>
    <row r="88" spans="1:23" x14ac:dyDescent="0.25">
      <c r="A88" s="1" t="s">
        <v>853</v>
      </c>
      <c r="B88" s="2">
        <v>45203</v>
      </c>
      <c r="C88" s="1" t="str">
        <f>_xlfn.XLOOKUP(Logs[[#This Row],[Province_RDC]],Clients_Log!D:D,Clients_Log!B:B,"Pas de correspondance")</f>
        <v>CLI-01170</v>
      </c>
      <c r="D88" t="str">
        <f>_xlfn.XLOOKUP(Logs[[#This Row],[Cell_ID]],'Registre_Maintenance'!B:B,'Registre_Maintenance'!C:C,"Pas de correspondance")</f>
        <v>Nord-Ubangi</v>
      </c>
      <c r="E88" s="3">
        <v>0.76041666666666663</v>
      </c>
      <c r="F88" s="1" t="s">
        <v>885</v>
      </c>
      <c r="G88" s="3">
        <f>Logs[[#This Row],[Duree_Panne_Min]]/1440</f>
        <v>1.2500000000000001E-2</v>
      </c>
      <c r="H88">
        <v>18</v>
      </c>
      <c r="I88">
        <f>_xlfn.XLOOKUP(Logs[[#This Row],[Cell_ID]],'Registre_Maintenance'!B:B,'Registre_Maintenance'!D:D,"Pas de correspondance")</f>
        <v>0.94539899999999999</v>
      </c>
      <c r="J88">
        <f>_xlfn.XLOOKUP(Logs[[#This Row],[Cell_ID]],'Registre_Maintenance'!B:B,'Registre_Maintenance'!E:E,"Pas de correspondance")</f>
        <v>14.401821999999999</v>
      </c>
      <c r="K88" t="str">
        <f>_xlfn.XLOOKUP(Logs[[#This Row],[Cell_ID]],'Registre_Maintenance'!B:B,'Registre_Maintenance'!F:F,"Pas de correspondance")</f>
        <v>5G</v>
      </c>
      <c r="L88" t="str">
        <f>_xlfn.XLOOKUP(Logs[[#This Row],[Cell_ID]],'Registre_Maintenance'!B:B,'Registre_Maintenance'!G:G,"Pas de correspondance")</f>
        <v>Nokia</v>
      </c>
      <c r="M88" s="1" t="s">
        <v>811</v>
      </c>
      <c r="N88" s="1">
        <f>_xlfn.XLOOKUP(Logs[[#This Row],[ID_Client]],Clients_Log!B:B,Clients_Log!E:E,"Pas de correspondance")</f>
        <v>98</v>
      </c>
      <c r="O88" s="4">
        <f>IFERROR(Logs[[#This Row],[Anciennete_Mois]]/12,"")</f>
        <v>8.1666666666666661</v>
      </c>
      <c r="P88" s="1" t="str">
        <f>_xlfn.XLOOKUP(Logs[[#This Row],[ID_Client]],Clients_Log!B:B,Clients_Log!F:F,"Pas de correspondance")</f>
        <v>Pro Monde</v>
      </c>
      <c r="Q88" s="1" t="str">
        <f>IF(Logs[[#This Row],[Type_Forfait]]="Pro Monde","B2B","B2C")</f>
        <v>B2B</v>
      </c>
      <c r="R88" s="1">
        <f>_xlfn.XLOOKUP(Logs[[#This Row],[ID_Client]],Clients_Log!B:B,Clients_Log!G:G,"Pas de correspondance")</f>
        <v>482</v>
      </c>
      <c r="S88" s="3">
        <f>Logs[[#This Row],[Duree_Cumulee_Panne_Min]]/1440</f>
        <v>0.3347222222222222</v>
      </c>
      <c r="T88" s="1">
        <f>_xlfn.XLOOKUP(Logs[[#This Row],[ID_Client]],Clients_Log!B:B,Clients_Log!H:H,"Pas de correspondance")</f>
        <v>55.04</v>
      </c>
      <c r="U88" s="1">
        <f>_xlfn.XLOOKUP(Logs[[#This Row],[ID_Client]],Clients_Log!B:B,Clients_Log!I:I,"Pas de correspondance")</f>
        <v>5</v>
      </c>
      <c r="V8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8" s="1">
        <f>Logs[[#This Row],[Facture_Mensuelle]]*Logs[[#This Row],[Remise (%)]]</f>
        <v>24.768000000000001</v>
      </c>
    </row>
    <row r="89" spans="1:23" hidden="1" x14ac:dyDescent="0.25">
      <c r="A89" s="1" t="s">
        <v>853</v>
      </c>
      <c r="B89" s="2">
        <v>45218</v>
      </c>
      <c r="C89" s="1" t="str">
        <f>_xlfn.XLOOKUP(Logs[[#This Row],[Province_RDC]],Clients_Log!D:D,Clients_Log!B:B,"Pas de correspondance")</f>
        <v>Pas de correspondance</v>
      </c>
      <c r="D89" t="str">
        <f>_xlfn.XLOOKUP(Logs[[#This Row],[Cell_ID]],'Registre_Maintenance'!B:B,'Registre_Maintenance'!C:C,"Pas de correspondance")</f>
        <v>Pas de correspondance</v>
      </c>
      <c r="E89" s="3">
        <v>0.79305555555555551</v>
      </c>
      <c r="F89" s="1" t="s">
        <v>886</v>
      </c>
      <c r="G89" s="3">
        <f>Logs[[#This Row],[Duree_Panne_Min]]/1440</f>
        <v>6.9444444444444448E-2</v>
      </c>
      <c r="H89">
        <v>100</v>
      </c>
      <c r="I89" t="str">
        <f>_xlfn.XLOOKUP(Logs[[#This Row],[Cell_ID]],'Registre_Maintenance'!B:B,'Registre_Maintenance'!D:D,"Pas de correspondance")</f>
        <v>Pas de correspondance</v>
      </c>
      <c r="J89" t="str">
        <f>_xlfn.XLOOKUP(Logs[[#This Row],[Cell_ID]],'Registre_Maintenance'!B:B,'Registre_Maintenance'!E:E,"Pas de correspondance")</f>
        <v>Pas de correspondance</v>
      </c>
      <c r="K89" t="str">
        <f>_xlfn.XLOOKUP(Logs[[#This Row],[Cell_ID]],'Registre_Maintenance'!B:B,'Registre_Maintenance'!F:F,"Pas de correspondance")</f>
        <v>Pas de correspondance</v>
      </c>
      <c r="L89" t="str">
        <f>_xlfn.XLOOKUP(Logs[[#This Row],[Cell_ID]],'Registre_Maintenance'!B:B,'Registre_Maintenance'!G:G,"Pas de correspondance")</f>
        <v>Pas de correspondance</v>
      </c>
      <c r="M89" s="1" t="s">
        <v>811</v>
      </c>
      <c r="N89" s="1" t="str">
        <f>_xlfn.XLOOKUP(Logs[[#This Row],[ID_Client]],Clients_Log!B:B,Clients_Log!E:E,"Pas de correspondance")</f>
        <v>Pas de correspondance</v>
      </c>
      <c r="O89" s="4" t="str">
        <f>IFERROR(Logs[[#This Row],[Anciennete_Mois]]/12,"")</f>
        <v/>
      </c>
      <c r="P89" s="1" t="str">
        <f>_xlfn.XLOOKUP(Logs[[#This Row],[ID_Client]],Clients_Log!B:B,Clients_Log!F:F,"Pas de correspondance")</f>
        <v>Pas de correspondance</v>
      </c>
      <c r="Q89" s="1" t="str">
        <f>IF(Logs[[#This Row],[Type_Forfait]]="Pro Monde","B2B","B2C")</f>
        <v>B2C</v>
      </c>
      <c r="R89" s="1" t="str">
        <f>_xlfn.XLOOKUP(Logs[[#This Row],[ID_Client]],Clients_Log!B:B,Clients_Log!G:G,"Pas de correspondance")</f>
        <v>Pas de correspondance</v>
      </c>
      <c r="S89" s="1" t="e">
        <f>Logs[[#This Row],[Duree_Cumulee_Panne_Min]]/1440</f>
        <v>#VALUE!</v>
      </c>
      <c r="T89" s="1" t="str">
        <f>_xlfn.XLOOKUP(Logs[[#This Row],[ID_Client]],Clients_Log!B:B,Clients_Log!H:H,"Pas de correspondance")</f>
        <v>Pas de correspondance</v>
      </c>
      <c r="U89" s="1" t="str">
        <f>_xlfn.XLOOKUP(Logs[[#This Row],[ID_Client]],Clients_Log!B:B,Clients_Log!I:I,"Pas de correspondance")</f>
        <v>Pas de correspondance</v>
      </c>
      <c r="V8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9" s="1" t="e">
        <f>Logs[[#This Row],[Facture_Mensuelle]]*Logs[[#This Row],[Remise (%)]]</f>
        <v>#VALUE!</v>
      </c>
    </row>
    <row r="90" spans="1:23" x14ac:dyDescent="0.25">
      <c r="A90" s="1" t="s">
        <v>853</v>
      </c>
      <c r="B90" s="2">
        <v>45219</v>
      </c>
      <c r="C90" s="1" t="str">
        <f>_xlfn.XLOOKUP(Logs[[#This Row],[Province_RDC]],Clients_Log!D:D,Clients_Log!B:B,"Pas de correspondance")</f>
        <v>CLI-01147</v>
      </c>
      <c r="D90" t="str">
        <f>_xlfn.XLOOKUP(Logs[[#This Row],[Cell_ID]],'Registre_Maintenance'!B:B,'Registre_Maintenance'!C:C,"Pas de correspondance")</f>
        <v>Ituri</v>
      </c>
      <c r="E90" s="3">
        <v>0.10138888888888889</v>
      </c>
      <c r="F90" s="1" t="s">
        <v>887</v>
      </c>
      <c r="G90" s="3">
        <f>Logs[[#This Row],[Duree_Panne_Min]]/1440</f>
        <v>5.2083333333333336E-2</v>
      </c>
      <c r="H90">
        <v>75</v>
      </c>
      <c r="I90">
        <f>_xlfn.XLOOKUP(Logs[[#This Row],[Cell_ID]],'Registre_Maintenance'!B:B,'Registre_Maintenance'!D:D,"Pas de correspondance")</f>
        <v>-7.0076900000000002</v>
      </c>
      <c r="J90">
        <f>_xlfn.XLOOKUP(Logs[[#This Row],[Cell_ID]],'Registre_Maintenance'!B:B,'Registre_Maintenance'!E:E,"Pas de correspondance")</f>
        <v>27.367121999999998</v>
      </c>
      <c r="K90" t="str">
        <f>_xlfn.XLOOKUP(Logs[[#This Row],[Cell_ID]],'Registre_Maintenance'!B:B,'Registre_Maintenance'!F:F,"Pas de correspondance")</f>
        <v>3G</v>
      </c>
      <c r="L90" t="str">
        <f>_xlfn.XLOOKUP(Logs[[#This Row],[Cell_ID]],'Registre_Maintenance'!B:B,'Registre_Maintenance'!G:G,"Pas de correspondance")</f>
        <v>Nokia</v>
      </c>
      <c r="M90" s="1" t="s">
        <v>806</v>
      </c>
      <c r="N90" s="1">
        <f>_xlfn.XLOOKUP(Logs[[#This Row],[ID_Client]],Clients_Log!B:B,Clients_Log!E:E,"Pas de correspondance")</f>
        <v>29</v>
      </c>
      <c r="O90" s="4">
        <f>IFERROR(Logs[[#This Row],[Anciennete_Mois]]/12,"")</f>
        <v>2.4166666666666665</v>
      </c>
      <c r="P90" s="1" t="str">
        <f>_xlfn.XLOOKUP(Logs[[#This Row],[ID_Client]],Clients_Log!B:B,Clients_Log!F:F,"Pas de correspondance")</f>
        <v>Premium 5G 150Go</v>
      </c>
      <c r="Q90" s="1" t="str">
        <f>IF(Logs[[#This Row],[Type_Forfait]]="Pro Monde","B2B","B2C")</f>
        <v>B2C</v>
      </c>
      <c r="R90" s="1">
        <f>_xlfn.XLOOKUP(Logs[[#This Row],[ID_Client]],Clients_Log!B:B,Clients_Log!G:G,"Pas de correspondance")</f>
        <v>214</v>
      </c>
      <c r="S90" s="3">
        <f>Logs[[#This Row],[Duree_Cumulee_Panne_Min]]/1440</f>
        <v>0.14861111111111111</v>
      </c>
      <c r="T90" s="1">
        <f>_xlfn.XLOOKUP(Logs[[#This Row],[ID_Client]],Clients_Log!B:B,Clients_Log!H:H,"Pas de correspondance")</f>
        <v>74.7</v>
      </c>
      <c r="U90" s="1">
        <f>_xlfn.XLOOKUP(Logs[[#This Row],[ID_Client]],Clients_Log!B:B,Clients_Log!I:I,"Pas de correspondance")</f>
        <v>3</v>
      </c>
      <c r="V9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0" s="1">
        <f>Logs[[#This Row],[Facture_Mensuelle]]*Logs[[#This Row],[Remise (%)]]</f>
        <v>33.615000000000002</v>
      </c>
    </row>
    <row r="91" spans="1:23" x14ac:dyDescent="0.25">
      <c r="A91" s="1" t="s">
        <v>853</v>
      </c>
      <c r="B91" s="2">
        <v>45221</v>
      </c>
      <c r="C91" s="1" t="str">
        <f>_xlfn.XLOOKUP(Logs[[#This Row],[Province_RDC]],Clients_Log!D:D,Clients_Log!B:B,"Pas de correspondance")</f>
        <v>CLI-00865</v>
      </c>
      <c r="D91" t="str">
        <f>_xlfn.XLOOKUP(Logs[[#This Row],[Cell_ID]],'Registre_Maintenance'!B:B,'Registre_Maintenance'!C:C,"Pas de correspondance")</f>
        <v>Mongala</v>
      </c>
      <c r="E91" s="3">
        <v>0.77500000000000002</v>
      </c>
      <c r="F91" s="1" t="s">
        <v>888</v>
      </c>
      <c r="G91" s="3">
        <f>Logs[[#This Row],[Duree_Panne_Min]]/1440</f>
        <v>1.6666666666666666E-2</v>
      </c>
      <c r="H91">
        <v>24</v>
      </c>
      <c r="I91">
        <f>_xlfn.XLOOKUP(Logs[[#This Row],[Cell_ID]],'Registre_Maintenance'!B:B,'Registre_Maintenance'!D:D,"Pas de correspondance")</f>
        <v>-11.514188000000001</v>
      </c>
      <c r="J91">
        <f>_xlfn.XLOOKUP(Logs[[#This Row],[Cell_ID]],'Registre_Maintenance'!B:B,'Registre_Maintenance'!E:E,"Pas de correspondance")</f>
        <v>15.971181</v>
      </c>
      <c r="K91" t="str">
        <f>_xlfn.XLOOKUP(Logs[[#This Row],[Cell_ID]],'Registre_Maintenance'!B:B,'Registre_Maintenance'!F:F,"Pas de correspondance")</f>
        <v>5G</v>
      </c>
      <c r="L91" t="str">
        <f>_xlfn.XLOOKUP(Logs[[#This Row],[Cell_ID]],'Registre_Maintenance'!B:B,'Registre_Maintenance'!G:G,"Pas de correspondance")</f>
        <v>Ericsson</v>
      </c>
      <c r="M91" s="1" t="s">
        <v>806</v>
      </c>
      <c r="N91" s="1">
        <f>_xlfn.XLOOKUP(Logs[[#This Row],[ID_Client]],Clients_Log!B:B,Clients_Log!E:E,"Pas de correspondance")</f>
        <v>34</v>
      </c>
      <c r="O91" s="4">
        <f>IFERROR(Logs[[#This Row],[Anciennete_Mois]]/12,"")</f>
        <v>2.8333333333333335</v>
      </c>
      <c r="P91" s="1" t="str">
        <f>_xlfn.XLOOKUP(Logs[[#This Row],[ID_Client]],Clients_Log!B:B,Clients_Log!F:F,"Pas de correspondance")</f>
        <v>Pro Monde</v>
      </c>
      <c r="Q91" s="1" t="str">
        <f>IF(Logs[[#This Row],[Type_Forfait]]="Pro Monde","B2B","B2C")</f>
        <v>B2B</v>
      </c>
      <c r="R91" s="1">
        <f>_xlfn.XLOOKUP(Logs[[#This Row],[ID_Client]],Clients_Log!B:B,Clients_Log!G:G,"Pas de correspondance")</f>
        <v>453</v>
      </c>
      <c r="S91" s="3">
        <f>Logs[[#This Row],[Duree_Cumulee_Panne_Min]]/1440</f>
        <v>0.31458333333333333</v>
      </c>
      <c r="T91" s="1">
        <f>_xlfn.XLOOKUP(Logs[[#This Row],[ID_Client]],Clients_Log!B:B,Clients_Log!H:H,"Pas de correspondance")</f>
        <v>56.84</v>
      </c>
      <c r="U91" s="1">
        <f>_xlfn.XLOOKUP(Logs[[#This Row],[ID_Client]],Clients_Log!B:B,Clients_Log!I:I,"Pas de correspondance")</f>
        <v>0</v>
      </c>
      <c r="V9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1" s="1">
        <f>Logs[[#This Row],[Facture_Mensuelle]]*Logs[[#This Row],[Remise (%)]]</f>
        <v>25.578000000000003</v>
      </c>
    </row>
    <row r="92" spans="1:23" x14ac:dyDescent="0.25">
      <c r="A92" s="1" t="s">
        <v>853</v>
      </c>
      <c r="B92" s="2">
        <v>45216</v>
      </c>
      <c r="C92" s="1" t="str">
        <f>_xlfn.XLOOKUP(Logs[[#This Row],[Province_RDC]],Clients_Log!D:D,Clients_Log!B:B,"Pas de correspondance")</f>
        <v>CLI-00060</v>
      </c>
      <c r="D92" t="str">
        <f>_xlfn.XLOOKUP(Logs[[#This Row],[Cell_ID]],'Registre_Maintenance'!B:B,'Registre_Maintenance'!C:C,"Pas de correspondance")</f>
        <v>Kasaï-Central</v>
      </c>
      <c r="E92" s="3">
        <v>0.45763888888888887</v>
      </c>
      <c r="F92" s="1" t="s">
        <v>889</v>
      </c>
      <c r="G92" s="3">
        <f>Logs[[#This Row],[Duree_Panne_Min]]/1440</f>
        <v>2.7083333333333334E-2</v>
      </c>
      <c r="H92">
        <v>39</v>
      </c>
      <c r="I92">
        <f>_xlfn.XLOOKUP(Logs[[#This Row],[Cell_ID]],'Registre_Maintenance'!B:B,'Registre_Maintenance'!D:D,"Pas de correspondance")</f>
        <v>-9.5266249999999992</v>
      </c>
      <c r="J92">
        <f>_xlfn.XLOOKUP(Logs[[#This Row],[Cell_ID]],'Registre_Maintenance'!B:B,'Registre_Maintenance'!E:E,"Pas de correspondance")</f>
        <v>27.889690999999999</v>
      </c>
      <c r="K92" t="str">
        <f>_xlfn.XLOOKUP(Logs[[#This Row],[Cell_ID]],'Registre_Maintenance'!B:B,'Registre_Maintenance'!F:F,"Pas de correspondance")</f>
        <v>4G</v>
      </c>
      <c r="L92" t="str">
        <f>_xlfn.XLOOKUP(Logs[[#This Row],[Cell_ID]],'Registre_Maintenance'!B:B,'Registre_Maintenance'!G:G,"Pas de correspondance")</f>
        <v>Ericsson</v>
      </c>
      <c r="M92" s="1" t="s">
        <v>806</v>
      </c>
      <c r="N92" s="1">
        <f>_xlfn.XLOOKUP(Logs[[#This Row],[ID_Client]],Clients_Log!B:B,Clients_Log!E:E,"Pas de correspondance")</f>
        <v>72</v>
      </c>
      <c r="O92" s="4">
        <f>IFERROR(Logs[[#This Row],[Anciennete_Mois]]/12,"")</f>
        <v>6</v>
      </c>
      <c r="P92" s="1" t="str">
        <f>_xlfn.XLOOKUP(Logs[[#This Row],[ID_Client]],Clients_Log!B:B,Clients_Log!F:F,"Pas de correspondance")</f>
        <v>Pro Monde</v>
      </c>
      <c r="Q92" s="1" t="str">
        <f>IF(Logs[[#This Row],[Type_Forfait]]="Pro Monde","B2B","B2C")</f>
        <v>B2B</v>
      </c>
      <c r="R92" s="1">
        <f>_xlfn.XLOOKUP(Logs[[#This Row],[ID_Client]],Clients_Log!B:B,Clients_Log!G:G,"Pas de correspondance")</f>
        <v>160</v>
      </c>
      <c r="S92" s="3">
        <f>Logs[[#This Row],[Duree_Cumulee_Panne_Min]]/1440</f>
        <v>0.1111111111111111</v>
      </c>
      <c r="T92" s="1">
        <f>_xlfn.XLOOKUP(Logs[[#This Row],[ID_Client]],Clients_Log!B:B,Clients_Log!H:H,"Pas de correspondance")</f>
        <v>90.13</v>
      </c>
      <c r="U92" s="1">
        <f>_xlfn.XLOOKUP(Logs[[#This Row],[ID_Client]],Clients_Log!B:B,Clients_Log!I:I,"Pas de correspondance")</f>
        <v>2</v>
      </c>
      <c r="V9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92" s="1">
        <f>Logs[[#This Row],[Facture_Mensuelle]]*Logs[[#This Row],[Remise (%)]]</f>
        <v>9.0129999999999999</v>
      </c>
    </row>
    <row r="93" spans="1:23" x14ac:dyDescent="0.25">
      <c r="A93" s="1" t="s">
        <v>853</v>
      </c>
      <c r="B93" s="2">
        <v>45208</v>
      </c>
      <c r="C93" s="1" t="str">
        <f>_xlfn.XLOOKUP(Logs[[#This Row],[Province_RDC]],Clients_Log!D:D,Clients_Log!B:B,"Pas de correspondance")</f>
        <v>CLI-01170</v>
      </c>
      <c r="D93" t="str">
        <f>_xlfn.XLOOKUP(Logs[[#This Row],[Cell_ID]],'Registre_Maintenance'!B:B,'Registre_Maintenance'!C:C,"Pas de correspondance")</f>
        <v>Nord-Ubangi</v>
      </c>
      <c r="E93" s="3">
        <v>0.27916666666666667</v>
      </c>
      <c r="F93" s="1" t="s">
        <v>890</v>
      </c>
      <c r="G93" s="3">
        <f>Logs[[#This Row],[Duree_Panne_Min]]/1440</f>
        <v>2.8472222222222222E-2</v>
      </c>
      <c r="H93">
        <v>41</v>
      </c>
      <c r="I93">
        <f>_xlfn.XLOOKUP(Logs[[#This Row],[Cell_ID]],'Registre_Maintenance'!B:B,'Registre_Maintenance'!D:D,"Pas de correspondance")</f>
        <v>-9.3066320000000005</v>
      </c>
      <c r="J93">
        <f>_xlfn.XLOOKUP(Logs[[#This Row],[Cell_ID]],'Registre_Maintenance'!B:B,'Registre_Maintenance'!E:E,"Pas de correspondance")</f>
        <v>20.470889</v>
      </c>
      <c r="K93" t="str">
        <f>_xlfn.XLOOKUP(Logs[[#This Row],[Cell_ID]],'Registre_Maintenance'!B:B,'Registre_Maintenance'!F:F,"Pas de correspondance")</f>
        <v>5G</v>
      </c>
      <c r="L93" t="str">
        <f>_xlfn.XLOOKUP(Logs[[#This Row],[Cell_ID]],'Registre_Maintenance'!B:B,'Registre_Maintenance'!G:G,"Pas de correspondance")</f>
        <v>ZTE</v>
      </c>
      <c r="M93" s="1" t="s">
        <v>809</v>
      </c>
      <c r="N93" s="1">
        <f>_xlfn.XLOOKUP(Logs[[#This Row],[ID_Client]],Clients_Log!B:B,Clients_Log!E:E,"Pas de correspondance")</f>
        <v>98</v>
      </c>
      <c r="O93" s="4">
        <f>IFERROR(Logs[[#This Row],[Anciennete_Mois]]/12,"")</f>
        <v>8.1666666666666661</v>
      </c>
      <c r="P93" s="1" t="str">
        <f>_xlfn.XLOOKUP(Logs[[#This Row],[ID_Client]],Clients_Log!B:B,Clients_Log!F:F,"Pas de correspondance")</f>
        <v>Pro Monde</v>
      </c>
      <c r="Q93" s="1" t="str">
        <f>IF(Logs[[#This Row],[Type_Forfait]]="Pro Monde","B2B","B2C")</f>
        <v>B2B</v>
      </c>
      <c r="R93" s="1">
        <f>_xlfn.XLOOKUP(Logs[[#This Row],[ID_Client]],Clients_Log!B:B,Clients_Log!G:G,"Pas de correspondance")</f>
        <v>482</v>
      </c>
      <c r="S93" s="3">
        <f>Logs[[#This Row],[Duree_Cumulee_Panne_Min]]/1440</f>
        <v>0.3347222222222222</v>
      </c>
      <c r="T93" s="1">
        <f>_xlfn.XLOOKUP(Logs[[#This Row],[ID_Client]],Clients_Log!B:B,Clients_Log!H:H,"Pas de correspondance")</f>
        <v>55.04</v>
      </c>
      <c r="U93" s="1">
        <f>_xlfn.XLOOKUP(Logs[[#This Row],[ID_Client]],Clients_Log!B:B,Clients_Log!I:I,"Pas de correspondance")</f>
        <v>5</v>
      </c>
      <c r="V9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3" s="1">
        <f>Logs[[#This Row],[Facture_Mensuelle]]*Logs[[#This Row],[Remise (%)]]</f>
        <v>24.768000000000001</v>
      </c>
    </row>
    <row r="94" spans="1:23" x14ac:dyDescent="0.25">
      <c r="A94" s="1" t="s">
        <v>853</v>
      </c>
      <c r="B94" s="2">
        <v>45222</v>
      </c>
      <c r="C94" s="1" t="str">
        <f>_xlfn.XLOOKUP(Logs[[#This Row],[Province_RDC]],Clients_Log!D:D,Clients_Log!B:B,"Pas de correspondance")</f>
        <v>CLI-00414</v>
      </c>
      <c r="D94" t="str">
        <f>_xlfn.XLOOKUP(Logs[[#This Row],[Cell_ID]],'Registre_Maintenance'!B:B,'Registre_Maintenance'!C:C,"Pas de correspondance")</f>
        <v>Bas-Uele</v>
      </c>
      <c r="E94" s="3">
        <v>0.42708333333333331</v>
      </c>
      <c r="F94" s="1" t="s">
        <v>891</v>
      </c>
      <c r="G94" s="3">
        <f>Logs[[#This Row],[Duree_Panne_Min]]/1440</f>
        <v>5.6944444444444443E-2</v>
      </c>
      <c r="H94">
        <v>82</v>
      </c>
      <c r="I94">
        <f>_xlfn.XLOOKUP(Logs[[#This Row],[Cell_ID]],'Registre_Maintenance'!B:B,'Registre_Maintenance'!D:D,"Pas de correspondance")</f>
        <v>-4.4697000000000001E-2</v>
      </c>
      <c r="J94">
        <f>_xlfn.XLOOKUP(Logs[[#This Row],[Cell_ID]],'Registre_Maintenance'!B:B,'Registre_Maintenance'!E:E,"Pas de correspondance")</f>
        <v>22.943373000000001</v>
      </c>
      <c r="K94" t="str">
        <f>_xlfn.XLOOKUP(Logs[[#This Row],[Cell_ID]],'Registre_Maintenance'!B:B,'Registre_Maintenance'!F:F,"Pas de correspondance")</f>
        <v>3G</v>
      </c>
      <c r="L94" t="str">
        <f>_xlfn.XLOOKUP(Logs[[#This Row],[Cell_ID]],'Registre_Maintenance'!B:B,'Registre_Maintenance'!G:G,"Pas de correspondance")</f>
        <v>Huawei</v>
      </c>
      <c r="M94" s="1" t="s">
        <v>806</v>
      </c>
      <c r="N94" s="1">
        <f>_xlfn.XLOOKUP(Logs[[#This Row],[ID_Client]],Clients_Log!B:B,Clients_Log!E:E,"Pas de correspondance")</f>
        <v>99</v>
      </c>
      <c r="O94" s="4">
        <f>IFERROR(Logs[[#This Row],[Anciennete_Mois]]/12,"")</f>
        <v>8.25</v>
      </c>
      <c r="P94" s="1" t="str">
        <f>_xlfn.XLOOKUP(Logs[[#This Row],[ID_Client]],Clients_Log!B:B,Clients_Log!F:F,"Pas de correspondance")</f>
        <v>Premium 5G 150Go</v>
      </c>
      <c r="Q94" s="1" t="str">
        <f>IF(Logs[[#This Row],[Type_Forfait]]="Pro Monde","B2B","B2C")</f>
        <v>B2C</v>
      </c>
      <c r="R94" s="1">
        <f>_xlfn.XLOOKUP(Logs[[#This Row],[ID_Client]],Clients_Log!B:B,Clients_Log!G:G,"Pas de correspondance")</f>
        <v>447</v>
      </c>
      <c r="S94" s="3">
        <f>Logs[[#This Row],[Duree_Cumulee_Panne_Min]]/1440</f>
        <v>0.31041666666666667</v>
      </c>
      <c r="T94" s="1">
        <f>_xlfn.XLOOKUP(Logs[[#This Row],[ID_Client]],Clients_Log!B:B,Clients_Log!H:H,"Pas de correspondance")</f>
        <v>38.1</v>
      </c>
      <c r="U94" s="1">
        <f>_xlfn.XLOOKUP(Logs[[#This Row],[ID_Client]],Clients_Log!B:B,Clients_Log!I:I,"Pas de correspondance")</f>
        <v>3</v>
      </c>
      <c r="V9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4" s="1">
        <f>Logs[[#This Row],[Facture_Mensuelle]]*Logs[[#This Row],[Remise (%)]]</f>
        <v>17.145</v>
      </c>
    </row>
    <row r="95" spans="1:23" hidden="1" x14ac:dyDescent="0.25">
      <c r="A95" s="1" t="s">
        <v>853</v>
      </c>
      <c r="B95" s="2">
        <v>45208</v>
      </c>
      <c r="C95" s="1" t="str">
        <f>_xlfn.XLOOKUP(Logs[[#This Row],[Province_RDC]],Clients_Log!D:D,Clients_Log!B:B,"Pas de correspondance")</f>
        <v>Pas de correspondance</v>
      </c>
      <c r="D95" t="str">
        <f>_xlfn.XLOOKUP(Logs[[#This Row],[Cell_ID]],'Registre_Maintenance'!B:B,'Registre_Maintenance'!C:C,"Pas de correspondance")</f>
        <v>Pas de correspondance</v>
      </c>
      <c r="E95" s="3">
        <v>0.50555555555555554</v>
      </c>
      <c r="F95" s="1" t="s">
        <v>892</v>
      </c>
      <c r="G95" s="3">
        <f>Logs[[#This Row],[Duree_Panne_Min]]/1440</f>
        <v>2.1527777777777778E-2</v>
      </c>
      <c r="H95">
        <v>31</v>
      </c>
      <c r="I95" t="str">
        <f>_xlfn.XLOOKUP(Logs[[#This Row],[Cell_ID]],'Registre_Maintenance'!B:B,'Registre_Maintenance'!D:D,"Pas de correspondance")</f>
        <v>Pas de correspondance</v>
      </c>
      <c r="J95" t="str">
        <f>_xlfn.XLOOKUP(Logs[[#This Row],[Cell_ID]],'Registre_Maintenance'!B:B,'Registre_Maintenance'!E:E,"Pas de correspondance")</f>
        <v>Pas de correspondance</v>
      </c>
      <c r="K95" t="str">
        <f>_xlfn.XLOOKUP(Logs[[#This Row],[Cell_ID]],'Registre_Maintenance'!B:B,'Registre_Maintenance'!F:F,"Pas de correspondance")</f>
        <v>Pas de correspondance</v>
      </c>
      <c r="L95" t="str">
        <f>_xlfn.XLOOKUP(Logs[[#This Row],[Cell_ID]],'Registre_Maintenance'!B:B,'Registre_Maintenance'!G:G,"Pas de correspondance")</f>
        <v>Pas de correspondance</v>
      </c>
      <c r="M95" s="1" t="s">
        <v>811</v>
      </c>
      <c r="N95" s="1" t="str">
        <f>_xlfn.XLOOKUP(Logs[[#This Row],[ID_Client]],Clients_Log!B:B,Clients_Log!E:E,"Pas de correspondance")</f>
        <v>Pas de correspondance</v>
      </c>
      <c r="O95" s="4" t="str">
        <f>IFERROR(Logs[[#This Row],[Anciennete_Mois]]/12,"")</f>
        <v/>
      </c>
      <c r="P95" s="1" t="str">
        <f>_xlfn.XLOOKUP(Logs[[#This Row],[ID_Client]],Clients_Log!B:B,Clients_Log!F:F,"Pas de correspondance")</f>
        <v>Pas de correspondance</v>
      </c>
      <c r="Q95" s="1" t="str">
        <f>IF(Logs[[#This Row],[Type_Forfait]]="Pro Monde","B2B","B2C")</f>
        <v>B2C</v>
      </c>
      <c r="R95" s="1" t="str">
        <f>_xlfn.XLOOKUP(Logs[[#This Row],[ID_Client]],Clients_Log!B:B,Clients_Log!G:G,"Pas de correspondance")</f>
        <v>Pas de correspondance</v>
      </c>
      <c r="S95" s="1" t="e">
        <f>Logs[[#This Row],[Duree_Cumulee_Panne_Min]]/1440</f>
        <v>#VALUE!</v>
      </c>
      <c r="T95" s="1" t="str">
        <f>_xlfn.XLOOKUP(Logs[[#This Row],[ID_Client]],Clients_Log!B:B,Clients_Log!H:H,"Pas de correspondance")</f>
        <v>Pas de correspondance</v>
      </c>
      <c r="U95" s="1" t="str">
        <f>_xlfn.XLOOKUP(Logs[[#This Row],[ID_Client]],Clients_Log!B:B,Clients_Log!I:I,"Pas de correspondance")</f>
        <v>Pas de correspondance</v>
      </c>
      <c r="V9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5" s="1" t="e">
        <f>Logs[[#This Row],[Facture_Mensuelle]]*Logs[[#This Row],[Remise (%)]]</f>
        <v>#VALUE!</v>
      </c>
    </row>
    <row r="96" spans="1:23" hidden="1" x14ac:dyDescent="0.25">
      <c r="A96" s="1" t="s">
        <v>853</v>
      </c>
      <c r="B96" s="2">
        <v>45221</v>
      </c>
      <c r="C96" s="1" t="str">
        <f>_xlfn.XLOOKUP(Logs[[#This Row],[Province_RDC]],Clients_Log!D:D,Clients_Log!B:B,"Pas de correspondance")</f>
        <v>Pas de correspondance</v>
      </c>
      <c r="D96" t="str">
        <f>_xlfn.XLOOKUP(Logs[[#This Row],[Cell_ID]],'Registre_Maintenance'!B:B,'Registre_Maintenance'!C:C,"Pas de correspondance")</f>
        <v>Pas de correspondance</v>
      </c>
      <c r="E96" s="3">
        <v>0.84652777777777777</v>
      </c>
      <c r="F96" s="1" t="s">
        <v>893</v>
      </c>
      <c r="G96" s="3">
        <f>Logs[[#This Row],[Duree_Panne_Min]]/1440</f>
        <v>6.6666666666666666E-2</v>
      </c>
      <c r="H96">
        <v>96</v>
      </c>
      <c r="I96" t="str">
        <f>_xlfn.XLOOKUP(Logs[[#This Row],[Cell_ID]],'Registre_Maintenance'!B:B,'Registre_Maintenance'!D:D,"Pas de correspondance")</f>
        <v>Pas de correspondance</v>
      </c>
      <c r="J96" t="str">
        <f>_xlfn.XLOOKUP(Logs[[#This Row],[Cell_ID]],'Registre_Maintenance'!B:B,'Registre_Maintenance'!E:E,"Pas de correspondance")</f>
        <v>Pas de correspondance</v>
      </c>
      <c r="K96" t="str">
        <f>_xlfn.XLOOKUP(Logs[[#This Row],[Cell_ID]],'Registre_Maintenance'!B:B,'Registre_Maintenance'!F:F,"Pas de correspondance")</f>
        <v>Pas de correspondance</v>
      </c>
      <c r="L96" t="str">
        <f>_xlfn.XLOOKUP(Logs[[#This Row],[Cell_ID]],'Registre_Maintenance'!B:B,'Registre_Maintenance'!G:G,"Pas de correspondance")</f>
        <v>Pas de correspondance</v>
      </c>
      <c r="M96" s="1" t="s">
        <v>811</v>
      </c>
      <c r="N96" s="1" t="str">
        <f>_xlfn.XLOOKUP(Logs[[#This Row],[ID_Client]],Clients_Log!B:B,Clients_Log!E:E,"Pas de correspondance")</f>
        <v>Pas de correspondance</v>
      </c>
      <c r="O96" s="4" t="str">
        <f>IFERROR(Logs[[#This Row],[Anciennete_Mois]]/12,"")</f>
        <v/>
      </c>
      <c r="P96" s="1" t="str">
        <f>_xlfn.XLOOKUP(Logs[[#This Row],[ID_Client]],Clients_Log!B:B,Clients_Log!F:F,"Pas de correspondance")</f>
        <v>Pas de correspondance</v>
      </c>
      <c r="Q96" s="1" t="str">
        <f>IF(Logs[[#This Row],[Type_Forfait]]="Pro Monde","B2B","B2C")</f>
        <v>B2C</v>
      </c>
      <c r="R96" s="1" t="str">
        <f>_xlfn.XLOOKUP(Logs[[#This Row],[ID_Client]],Clients_Log!B:B,Clients_Log!G:G,"Pas de correspondance")</f>
        <v>Pas de correspondance</v>
      </c>
      <c r="S96" s="1" t="e">
        <f>Logs[[#This Row],[Duree_Cumulee_Panne_Min]]/1440</f>
        <v>#VALUE!</v>
      </c>
      <c r="T96" s="1" t="str">
        <f>_xlfn.XLOOKUP(Logs[[#This Row],[ID_Client]],Clients_Log!B:B,Clients_Log!H:H,"Pas de correspondance")</f>
        <v>Pas de correspondance</v>
      </c>
      <c r="U96" s="1" t="str">
        <f>_xlfn.XLOOKUP(Logs[[#This Row],[ID_Client]],Clients_Log!B:B,Clients_Log!I:I,"Pas de correspondance")</f>
        <v>Pas de correspondance</v>
      </c>
      <c r="V9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6" s="1" t="e">
        <f>Logs[[#This Row],[Facture_Mensuelle]]*Logs[[#This Row],[Remise (%)]]</f>
        <v>#VALUE!</v>
      </c>
    </row>
    <row r="97" spans="1:23" x14ac:dyDescent="0.25">
      <c r="A97" s="1" t="s">
        <v>853</v>
      </c>
      <c r="B97" s="2">
        <v>45214</v>
      </c>
      <c r="C97" s="1" t="str">
        <f>_xlfn.XLOOKUP(Logs[[#This Row],[Province_RDC]],Clients_Log!D:D,Clients_Log!B:B,"Pas de correspondance")</f>
        <v>CLI-00280</v>
      </c>
      <c r="D97" t="str">
        <f>_xlfn.XLOOKUP(Logs[[#This Row],[Cell_ID]],'Registre_Maintenance'!B:B,'Registre_Maintenance'!C:C,"Pas de correspondance")</f>
        <v>Sud-Ubangi</v>
      </c>
      <c r="E97" s="3">
        <v>0.45763888888888887</v>
      </c>
      <c r="F97" s="1" t="s">
        <v>894</v>
      </c>
      <c r="G97" s="3">
        <f>Logs[[#This Row],[Duree_Panne_Min]]/1440</f>
        <v>3.3333333333333333E-2</v>
      </c>
      <c r="H97">
        <v>48</v>
      </c>
      <c r="I97">
        <f>_xlfn.XLOOKUP(Logs[[#This Row],[Cell_ID]],'Registre_Maintenance'!B:B,'Registre_Maintenance'!D:D,"Pas de correspondance")</f>
        <v>-9.3652239999999995</v>
      </c>
      <c r="J97">
        <f>_xlfn.XLOOKUP(Logs[[#This Row],[Cell_ID]],'Registre_Maintenance'!B:B,'Registre_Maintenance'!E:E,"Pas de correspondance")</f>
        <v>22.593423999999999</v>
      </c>
      <c r="K97" t="str">
        <f>_xlfn.XLOOKUP(Logs[[#This Row],[Cell_ID]],'Registre_Maintenance'!B:B,'Registre_Maintenance'!F:F,"Pas de correspondance")</f>
        <v>5G</v>
      </c>
      <c r="L97" t="str">
        <f>_xlfn.XLOOKUP(Logs[[#This Row],[Cell_ID]],'Registre_Maintenance'!B:B,'Registre_Maintenance'!G:G,"Pas de correspondance")</f>
        <v>Nokia</v>
      </c>
      <c r="M97" s="1" t="s">
        <v>811</v>
      </c>
      <c r="N97" s="1">
        <f>_xlfn.XLOOKUP(Logs[[#This Row],[ID_Client]],Clients_Log!B:B,Clients_Log!E:E,"Pas de correspondance")</f>
        <v>113</v>
      </c>
      <c r="O97" s="4">
        <f>IFERROR(Logs[[#This Row],[Anciennete_Mois]]/12,"")</f>
        <v>9.4166666666666661</v>
      </c>
      <c r="P97" s="1" t="str">
        <f>_xlfn.XLOOKUP(Logs[[#This Row],[ID_Client]],Clients_Log!B:B,Clients_Log!F:F,"Pas de correspondance")</f>
        <v>Illimité 50Go</v>
      </c>
      <c r="Q97" s="1" t="str">
        <f>IF(Logs[[#This Row],[Type_Forfait]]="Pro Monde","B2B","B2C")</f>
        <v>B2C</v>
      </c>
      <c r="R97" s="1">
        <f>_xlfn.XLOOKUP(Logs[[#This Row],[ID_Client]],Clients_Log!B:B,Clients_Log!G:G,"Pas de correspondance")</f>
        <v>380</v>
      </c>
      <c r="S97" s="3">
        <f>Logs[[#This Row],[Duree_Cumulee_Panne_Min]]/1440</f>
        <v>0.2638888888888889</v>
      </c>
      <c r="T97" s="1">
        <f>_xlfn.XLOOKUP(Logs[[#This Row],[ID_Client]],Clients_Log!B:B,Clients_Log!H:H,"Pas de correspondance")</f>
        <v>12.11</v>
      </c>
      <c r="U97" s="1">
        <f>_xlfn.XLOOKUP(Logs[[#This Row],[ID_Client]],Clients_Log!B:B,Clients_Log!I:I,"Pas de correspondance")</f>
        <v>0</v>
      </c>
      <c r="V9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7" s="1">
        <f>Logs[[#This Row],[Facture_Mensuelle]]*Logs[[#This Row],[Remise (%)]]</f>
        <v>5.4494999999999996</v>
      </c>
    </row>
    <row r="98" spans="1:23" hidden="1" x14ac:dyDescent="0.25">
      <c r="A98" s="1" t="s">
        <v>853</v>
      </c>
      <c r="B98" s="2">
        <v>45224</v>
      </c>
      <c r="C98" s="1" t="str">
        <f>_xlfn.XLOOKUP(Logs[[#This Row],[Province_RDC]],Clients_Log!D:D,Clients_Log!B:B,"Pas de correspondance")</f>
        <v>Pas de correspondance</v>
      </c>
      <c r="D98" t="str">
        <f>_xlfn.XLOOKUP(Logs[[#This Row],[Cell_ID]],'Registre_Maintenance'!B:B,'Registre_Maintenance'!C:C,"Pas de correspondance")</f>
        <v>Pas de correspondance</v>
      </c>
      <c r="E98" s="3">
        <v>8.3333333333333329E-2</v>
      </c>
      <c r="F98" s="1" t="s">
        <v>895</v>
      </c>
      <c r="G98" s="3">
        <f>Logs[[#This Row],[Duree_Panne_Min]]/1440</f>
        <v>2.1527777777777778E-2</v>
      </c>
      <c r="H98">
        <v>31</v>
      </c>
      <c r="I98" t="str">
        <f>_xlfn.XLOOKUP(Logs[[#This Row],[Cell_ID]],'Registre_Maintenance'!B:B,'Registre_Maintenance'!D:D,"Pas de correspondance")</f>
        <v>Pas de correspondance</v>
      </c>
      <c r="J98" t="str">
        <f>_xlfn.XLOOKUP(Logs[[#This Row],[Cell_ID]],'Registre_Maintenance'!B:B,'Registre_Maintenance'!E:E,"Pas de correspondance")</f>
        <v>Pas de correspondance</v>
      </c>
      <c r="K98" t="str">
        <f>_xlfn.XLOOKUP(Logs[[#This Row],[Cell_ID]],'Registre_Maintenance'!B:B,'Registre_Maintenance'!F:F,"Pas de correspondance")</f>
        <v>Pas de correspondance</v>
      </c>
      <c r="L98" t="str">
        <f>_xlfn.XLOOKUP(Logs[[#This Row],[Cell_ID]],'Registre_Maintenance'!B:B,'Registre_Maintenance'!G:G,"Pas de correspondance")</f>
        <v>Pas de correspondance</v>
      </c>
      <c r="M98" s="1" t="s">
        <v>806</v>
      </c>
      <c r="N98" s="1" t="str">
        <f>_xlfn.XLOOKUP(Logs[[#This Row],[ID_Client]],Clients_Log!B:B,Clients_Log!E:E,"Pas de correspondance")</f>
        <v>Pas de correspondance</v>
      </c>
      <c r="O98" s="4" t="str">
        <f>IFERROR(Logs[[#This Row],[Anciennete_Mois]]/12,"")</f>
        <v/>
      </c>
      <c r="P98" s="1" t="str">
        <f>_xlfn.XLOOKUP(Logs[[#This Row],[ID_Client]],Clients_Log!B:B,Clients_Log!F:F,"Pas de correspondance")</f>
        <v>Pas de correspondance</v>
      </c>
      <c r="Q98" s="1" t="str">
        <f>IF(Logs[[#This Row],[Type_Forfait]]="Pro Monde","B2B","B2C")</f>
        <v>B2C</v>
      </c>
      <c r="R98" s="1" t="str">
        <f>_xlfn.XLOOKUP(Logs[[#This Row],[ID_Client]],Clients_Log!B:B,Clients_Log!G:G,"Pas de correspondance")</f>
        <v>Pas de correspondance</v>
      </c>
      <c r="S98" s="1" t="e">
        <f>Logs[[#This Row],[Duree_Cumulee_Panne_Min]]/1440</f>
        <v>#VALUE!</v>
      </c>
      <c r="T98" s="1" t="str">
        <f>_xlfn.XLOOKUP(Logs[[#This Row],[ID_Client]],Clients_Log!B:B,Clients_Log!H:H,"Pas de correspondance")</f>
        <v>Pas de correspondance</v>
      </c>
      <c r="U98" s="1" t="str">
        <f>_xlfn.XLOOKUP(Logs[[#This Row],[ID_Client]],Clients_Log!B:B,Clients_Log!I:I,"Pas de correspondance")</f>
        <v>Pas de correspondance</v>
      </c>
      <c r="V9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8" s="1" t="e">
        <f>Logs[[#This Row],[Facture_Mensuelle]]*Logs[[#This Row],[Remise (%)]]</f>
        <v>#VALUE!</v>
      </c>
    </row>
    <row r="99" spans="1:23" hidden="1" x14ac:dyDescent="0.25">
      <c r="A99" s="1" t="s">
        <v>853</v>
      </c>
      <c r="B99" s="2">
        <v>45214</v>
      </c>
      <c r="C99" s="1" t="str">
        <f>_xlfn.XLOOKUP(Logs[[#This Row],[Province_RDC]],Clients_Log!D:D,Clients_Log!B:B,"Pas de correspondance")</f>
        <v>Pas de correspondance</v>
      </c>
      <c r="D99" t="str">
        <f>_xlfn.XLOOKUP(Logs[[#This Row],[Cell_ID]],'Registre_Maintenance'!B:B,'Registre_Maintenance'!C:C,"Pas de correspondance")</f>
        <v>Pas de correspondance</v>
      </c>
      <c r="E99" s="3">
        <v>0.81666666666666665</v>
      </c>
      <c r="F99" s="1" t="s">
        <v>896</v>
      </c>
      <c r="G99" s="3">
        <f>Logs[[#This Row],[Duree_Panne_Min]]/1440</f>
        <v>6.3888888888888884E-2</v>
      </c>
      <c r="H99">
        <v>92</v>
      </c>
      <c r="I99" t="str">
        <f>_xlfn.XLOOKUP(Logs[[#This Row],[Cell_ID]],'Registre_Maintenance'!B:B,'Registre_Maintenance'!D:D,"Pas de correspondance")</f>
        <v>Pas de correspondance</v>
      </c>
      <c r="J99" t="str">
        <f>_xlfn.XLOOKUP(Logs[[#This Row],[Cell_ID]],'Registre_Maintenance'!B:B,'Registre_Maintenance'!E:E,"Pas de correspondance")</f>
        <v>Pas de correspondance</v>
      </c>
      <c r="K99" t="str">
        <f>_xlfn.XLOOKUP(Logs[[#This Row],[Cell_ID]],'Registre_Maintenance'!B:B,'Registre_Maintenance'!F:F,"Pas de correspondance")</f>
        <v>Pas de correspondance</v>
      </c>
      <c r="L99" t="str">
        <f>_xlfn.XLOOKUP(Logs[[#This Row],[Cell_ID]],'Registre_Maintenance'!B:B,'Registre_Maintenance'!G:G,"Pas de correspondance")</f>
        <v>Pas de correspondance</v>
      </c>
      <c r="M99" s="1" t="s">
        <v>811</v>
      </c>
      <c r="N99" s="1" t="str">
        <f>_xlfn.XLOOKUP(Logs[[#This Row],[ID_Client]],Clients_Log!B:B,Clients_Log!E:E,"Pas de correspondance")</f>
        <v>Pas de correspondance</v>
      </c>
      <c r="O99" s="4" t="str">
        <f>IFERROR(Logs[[#This Row],[Anciennete_Mois]]/12,"")</f>
        <v/>
      </c>
      <c r="P99" s="1" t="str">
        <f>_xlfn.XLOOKUP(Logs[[#This Row],[ID_Client]],Clients_Log!B:B,Clients_Log!F:F,"Pas de correspondance")</f>
        <v>Pas de correspondance</v>
      </c>
      <c r="Q99" s="1" t="str">
        <f>IF(Logs[[#This Row],[Type_Forfait]]="Pro Monde","B2B","B2C")</f>
        <v>B2C</v>
      </c>
      <c r="R99" s="1" t="str">
        <f>_xlfn.XLOOKUP(Logs[[#This Row],[ID_Client]],Clients_Log!B:B,Clients_Log!G:G,"Pas de correspondance")</f>
        <v>Pas de correspondance</v>
      </c>
      <c r="S99" s="1" t="e">
        <f>Logs[[#This Row],[Duree_Cumulee_Panne_Min]]/1440</f>
        <v>#VALUE!</v>
      </c>
      <c r="T99" s="1" t="str">
        <f>_xlfn.XLOOKUP(Logs[[#This Row],[ID_Client]],Clients_Log!B:B,Clients_Log!H:H,"Pas de correspondance")</f>
        <v>Pas de correspondance</v>
      </c>
      <c r="U99" s="1" t="str">
        <f>_xlfn.XLOOKUP(Logs[[#This Row],[ID_Client]],Clients_Log!B:B,Clients_Log!I:I,"Pas de correspondance")</f>
        <v>Pas de correspondance</v>
      </c>
      <c r="V9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9" s="1" t="e">
        <f>Logs[[#This Row],[Facture_Mensuelle]]*Logs[[#This Row],[Remise (%)]]</f>
        <v>#VALUE!</v>
      </c>
    </row>
    <row r="100" spans="1:23" x14ac:dyDescent="0.25">
      <c r="A100" s="1" t="s">
        <v>897</v>
      </c>
      <c r="B100" s="2">
        <v>45230</v>
      </c>
      <c r="C100" s="1" t="str">
        <f>_xlfn.XLOOKUP(Logs[[#This Row],[Province_RDC]],Clients_Log!D:D,Clients_Log!B:B,"Pas de correspondance")</f>
        <v>CLI-01005</v>
      </c>
      <c r="D100" t="str">
        <f>_xlfn.XLOOKUP(Logs[[#This Row],[Cell_ID]],'Registre_Maintenance'!B:B,'Registre_Maintenance'!C:C,"Pas de correspondance")</f>
        <v>Lualaba</v>
      </c>
      <c r="E100" s="3">
        <v>4.8611111111111112E-3</v>
      </c>
      <c r="F100" s="1" t="s">
        <v>898</v>
      </c>
      <c r="G100" s="3">
        <f>Logs[[#This Row],[Duree_Panne_Min]]/1440</f>
        <v>4.027777777777778E-2</v>
      </c>
      <c r="H100">
        <v>58</v>
      </c>
      <c r="I100">
        <f>_xlfn.XLOOKUP(Logs[[#This Row],[Cell_ID]],'Registre_Maintenance'!B:B,'Registre_Maintenance'!D:D,"Pas de correspondance")</f>
        <v>-7.4608439999999998</v>
      </c>
      <c r="J100">
        <f>_xlfn.XLOOKUP(Logs[[#This Row],[Cell_ID]],'Registre_Maintenance'!B:B,'Registre_Maintenance'!E:E,"Pas de correspondance")</f>
        <v>23.268619999999999</v>
      </c>
      <c r="K100" t="str">
        <f>_xlfn.XLOOKUP(Logs[[#This Row],[Cell_ID]],'Registre_Maintenance'!B:B,'Registre_Maintenance'!F:F,"Pas de correspondance")</f>
        <v>4G</v>
      </c>
      <c r="L100" t="str">
        <f>_xlfn.XLOOKUP(Logs[[#This Row],[Cell_ID]],'Registre_Maintenance'!B:B,'Registre_Maintenance'!G:G,"Pas de correspondance")</f>
        <v>Huawei</v>
      </c>
      <c r="M100" s="1" t="s">
        <v>806</v>
      </c>
      <c r="N100" s="1">
        <f>_xlfn.XLOOKUP(Logs[[#This Row],[ID_Client]],Clients_Log!B:B,Clients_Log!E:E,"Pas de correspondance")</f>
        <v>80</v>
      </c>
      <c r="O100" s="4">
        <f>IFERROR(Logs[[#This Row],[Anciennete_Mois]]/12,"")</f>
        <v>6.666666666666667</v>
      </c>
      <c r="P100" s="1" t="str">
        <f>_xlfn.XLOOKUP(Logs[[#This Row],[ID_Client]],Clients_Log!B:B,Clients_Log!F:F,"Pas de correspondance")</f>
        <v>Illimité 50Go</v>
      </c>
      <c r="Q100" s="1" t="str">
        <f>IF(Logs[[#This Row],[Type_Forfait]]="Pro Monde","B2B","B2C")</f>
        <v>B2C</v>
      </c>
      <c r="R100" s="1">
        <f>_xlfn.XLOOKUP(Logs[[#This Row],[ID_Client]],Clients_Log!B:B,Clients_Log!G:G,"Pas de correspondance")</f>
        <v>155</v>
      </c>
      <c r="S100" s="3">
        <f>Logs[[#This Row],[Duree_Cumulee_Panne_Min]]/1440</f>
        <v>0.1076388888888889</v>
      </c>
      <c r="T100" s="1">
        <f>_xlfn.XLOOKUP(Logs[[#This Row],[ID_Client]],Clients_Log!B:B,Clients_Log!H:H,"Pas de correspondance")</f>
        <v>28.96</v>
      </c>
      <c r="U100" s="1">
        <f>_xlfn.XLOOKUP(Logs[[#This Row],[ID_Client]],Clients_Log!B:B,Clients_Log!I:I,"Pas de correspondance")</f>
        <v>2</v>
      </c>
      <c r="V10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00" s="1">
        <f>Logs[[#This Row],[Facture_Mensuelle]]*Logs[[#This Row],[Remise (%)]]</f>
        <v>0</v>
      </c>
    </row>
    <row r="101" spans="1:23" hidden="1" x14ac:dyDescent="0.25">
      <c r="A101" s="1" t="s">
        <v>897</v>
      </c>
      <c r="B101" s="2">
        <v>45228</v>
      </c>
      <c r="C101" s="1" t="str">
        <f>_xlfn.XLOOKUP(Logs[[#This Row],[Province_RDC]],Clients_Log!D:D,Clients_Log!B:B,"Pas de correspondance")</f>
        <v>Pas de correspondance</v>
      </c>
      <c r="D101" t="str">
        <f>_xlfn.XLOOKUP(Logs[[#This Row],[Cell_ID]],'Registre_Maintenance'!B:B,'Registre_Maintenance'!C:C,"Pas de correspondance")</f>
        <v>Pas de correspondance</v>
      </c>
      <c r="E101" s="3">
        <v>0.34097222222222223</v>
      </c>
      <c r="F101" s="1" t="s">
        <v>899</v>
      </c>
      <c r="G101" s="3">
        <f>Logs[[#This Row],[Duree_Panne_Min]]/1440</f>
        <v>8.1944444444444445E-2</v>
      </c>
      <c r="H101">
        <v>118</v>
      </c>
      <c r="I101" t="str">
        <f>_xlfn.XLOOKUP(Logs[[#This Row],[Cell_ID]],'Registre_Maintenance'!B:B,'Registre_Maintenance'!D:D,"Pas de correspondance")</f>
        <v>Pas de correspondance</v>
      </c>
      <c r="J101" t="str">
        <f>_xlfn.XLOOKUP(Logs[[#This Row],[Cell_ID]],'Registre_Maintenance'!B:B,'Registre_Maintenance'!E:E,"Pas de correspondance")</f>
        <v>Pas de correspondance</v>
      </c>
      <c r="K101" t="str">
        <f>_xlfn.XLOOKUP(Logs[[#This Row],[Cell_ID]],'Registre_Maintenance'!B:B,'Registre_Maintenance'!F:F,"Pas de correspondance")</f>
        <v>Pas de correspondance</v>
      </c>
      <c r="L101" t="str">
        <f>_xlfn.XLOOKUP(Logs[[#This Row],[Cell_ID]],'Registre_Maintenance'!B:B,'Registre_Maintenance'!G:G,"Pas de correspondance")</f>
        <v>Pas de correspondance</v>
      </c>
      <c r="M101" s="1" t="s">
        <v>811</v>
      </c>
      <c r="N101" s="1" t="str">
        <f>_xlfn.XLOOKUP(Logs[[#This Row],[ID_Client]],Clients_Log!B:B,Clients_Log!E:E,"Pas de correspondance")</f>
        <v>Pas de correspondance</v>
      </c>
      <c r="O101" s="4" t="str">
        <f>IFERROR(Logs[[#This Row],[Anciennete_Mois]]/12,"")</f>
        <v/>
      </c>
      <c r="P101" s="1" t="str">
        <f>_xlfn.XLOOKUP(Logs[[#This Row],[ID_Client]],Clients_Log!B:B,Clients_Log!F:F,"Pas de correspondance")</f>
        <v>Pas de correspondance</v>
      </c>
      <c r="Q101" s="1" t="str">
        <f>IF(Logs[[#This Row],[Type_Forfait]]="Pro Monde","B2B","B2C")</f>
        <v>B2C</v>
      </c>
      <c r="R101" s="1" t="str">
        <f>_xlfn.XLOOKUP(Logs[[#This Row],[ID_Client]],Clients_Log!B:B,Clients_Log!G:G,"Pas de correspondance")</f>
        <v>Pas de correspondance</v>
      </c>
      <c r="S101" s="1" t="e">
        <f>Logs[[#This Row],[Duree_Cumulee_Panne_Min]]/1440</f>
        <v>#VALUE!</v>
      </c>
      <c r="T101" s="1" t="str">
        <f>_xlfn.XLOOKUP(Logs[[#This Row],[ID_Client]],Clients_Log!B:B,Clients_Log!H:H,"Pas de correspondance")</f>
        <v>Pas de correspondance</v>
      </c>
      <c r="U101" s="1" t="str">
        <f>_xlfn.XLOOKUP(Logs[[#This Row],[ID_Client]],Clients_Log!B:B,Clients_Log!I:I,"Pas de correspondance")</f>
        <v>Pas de correspondance</v>
      </c>
      <c r="V10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1" s="1" t="e">
        <f>Logs[[#This Row],[Facture_Mensuelle]]*Logs[[#This Row],[Remise (%)]]</f>
        <v>#VALUE!</v>
      </c>
    </row>
    <row r="102" spans="1:23" hidden="1" x14ac:dyDescent="0.25">
      <c r="A102" s="1" t="s">
        <v>897</v>
      </c>
      <c r="B102" s="2">
        <v>45218</v>
      </c>
      <c r="C102" s="1" t="str">
        <f>_xlfn.XLOOKUP(Logs[[#This Row],[Province_RDC]],Clients_Log!D:D,Clients_Log!B:B,"Pas de correspondance")</f>
        <v>Pas de correspondance</v>
      </c>
      <c r="D102" t="str">
        <f>_xlfn.XLOOKUP(Logs[[#This Row],[Cell_ID]],'Registre_Maintenance'!B:B,'Registre_Maintenance'!C:C,"Pas de correspondance")</f>
        <v>Pas de correspondance</v>
      </c>
      <c r="E102" s="3">
        <v>0.3347222222222222</v>
      </c>
      <c r="F102" s="1" t="s">
        <v>900</v>
      </c>
      <c r="G102" s="3">
        <f>Logs[[#This Row],[Duree_Panne_Min]]/1440</f>
        <v>5.9027777777777776E-2</v>
      </c>
      <c r="H102">
        <v>85</v>
      </c>
      <c r="I102" t="str">
        <f>_xlfn.XLOOKUP(Logs[[#This Row],[Cell_ID]],'Registre_Maintenance'!B:B,'Registre_Maintenance'!D:D,"Pas de correspondance")</f>
        <v>Pas de correspondance</v>
      </c>
      <c r="J102" t="str">
        <f>_xlfn.XLOOKUP(Logs[[#This Row],[Cell_ID]],'Registre_Maintenance'!B:B,'Registre_Maintenance'!E:E,"Pas de correspondance")</f>
        <v>Pas de correspondance</v>
      </c>
      <c r="K102" t="str">
        <f>_xlfn.XLOOKUP(Logs[[#This Row],[Cell_ID]],'Registre_Maintenance'!B:B,'Registre_Maintenance'!F:F,"Pas de correspondance")</f>
        <v>Pas de correspondance</v>
      </c>
      <c r="L102" t="str">
        <f>_xlfn.XLOOKUP(Logs[[#This Row],[Cell_ID]],'Registre_Maintenance'!B:B,'Registre_Maintenance'!G:G,"Pas de correspondance")</f>
        <v>Pas de correspondance</v>
      </c>
      <c r="M102" s="1" t="s">
        <v>811</v>
      </c>
      <c r="N102" s="1" t="str">
        <f>_xlfn.XLOOKUP(Logs[[#This Row],[ID_Client]],Clients_Log!B:B,Clients_Log!E:E,"Pas de correspondance")</f>
        <v>Pas de correspondance</v>
      </c>
      <c r="O102" s="4" t="str">
        <f>IFERROR(Logs[[#This Row],[Anciennete_Mois]]/12,"")</f>
        <v/>
      </c>
      <c r="P102" s="1" t="str">
        <f>_xlfn.XLOOKUP(Logs[[#This Row],[ID_Client]],Clients_Log!B:B,Clients_Log!F:F,"Pas de correspondance")</f>
        <v>Pas de correspondance</v>
      </c>
      <c r="Q102" s="1" t="str">
        <f>IF(Logs[[#This Row],[Type_Forfait]]="Pro Monde","B2B","B2C")</f>
        <v>B2C</v>
      </c>
      <c r="R102" s="1" t="str">
        <f>_xlfn.XLOOKUP(Logs[[#This Row],[ID_Client]],Clients_Log!B:B,Clients_Log!G:G,"Pas de correspondance")</f>
        <v>Pas de correspondance</v>
      </c>
      <c r="S102" s="1" t="e">
        <f>Logs[[#This Row],[Duree_Cumulee_Panne_Min]]/1440</f>
        <v>#VALUE!</v>
      </c>
      <c r="T102" s="1" t="str">
        <f>_xlfn.XLOOKUP(Logs[[#This Row],[ID_Client]],Clients_Log!B:B,Clients_Log!H:H,"Pas de correspondance")</f>
        <v>Pas de correspondance</v>
      </c>
      <c r="U102" s="1" t="str">
        <f>_xlfn.XLOOKUP(Logs[[#This Row],[ID_Client]],Clients_Log!B:B,Clients_Log!I:I,"Pas de correspondance")</f>
        <v>Pas de correspondance</v>
      </c>
      <c r="V10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2" s="1" t="e">
        <f>Logs[[#This Row],[Facture_Mensuelle]]*Logs[[#This Row],[Remise (%)]]</f>
        <v>#VALUE!</v>
      </c>
    </row>
    <row r="103" spans="1:23" hidden="1" x14ac:dyDescent="0.25">
      <c r="A103" s="1" t="s">
        <v>897</v>
      </c>
      <c r="B103" s="2">
        <v>45203</v>
      </c>
      <c r="C103" s="1" t="str">
        <f>_xlfn.XLOOKUP(Logs[[#This Row],[Province_RDC]],Clients_Log!D:D,Clients_Log!B:B,"Pas de correspondance")</f>
        <v>Pas de correspondance</v>
      </c>
      <c r="D103" t="str">
        <f>_xlfn.XLOOKUP(Logs[[#This Row],[Cell_ID]],'Registre_Maintenance'!B:B,'Registre_Maintenance'!C:C,"Pas de correspondance")</f>
        <v>Pas de correspondance</v>
      </c>
      <c r="E103" s="3">
        <v>0.81041666666666667</v>
      </c>
      <c r="F103" s="1" t="s">
        <v>901</v>
      </c>
      <c r="G103" s="3">
        <f>Logs[[#This Row],[Duree_Panne_Min]]/1440</f>
        <v>5.4166666666666669E-2</v>
      </c>
      <c r="H103">
        <v>78</v>
      </c>
      <c r="I103" t="str">
        <f>_xlfn.XLOOKUP(Logs[[#This Row],[Cell_ID]],'Registre_Maintenance'!B:B,'Registre_Maintenance'!D:D,"Pas de correspondance")</f>
        <v>Pas de correspondance</v>
      </c>
      <c r="J103" t="str">
        <f>_xlfn.XLOOKUP(Logs[[#This Row],[Cell_ID]],'Registre_Maintenance'!B:B,'Registre_Maintenance'!E:E,"Pas de correspondance")</f>
        <v>Pas de correspondance</v>
      </c>
      <c r="K103" t="str">
        <f>_xlfn.XLOOKUP(Logs[[#This Row],[Cell_ID]],'Registre_Maintenance'!B:B,'Registre_Maintenance'!F:F,"Pas de correspondance")</f>
        <v>Pas de correspondance</v>
      </c>
      <c r="L103" t="str">
        <f>_xlfn.XLOOKUP(Logs[[#This Row],[Cell_ID]],'Registre_Maintenance'!B:B,'Registre_Maintenance'!G:G,"Pas de correspondance")</f>
        <v>Pas de correspondance</v>
      </c>
      <c r="M103" s="1" t="s">
        <v>811</v>
      </c>
      <c r="N103" s="1" t="str">
        <f>_xlfn.XLOOKUP(Logs[[#This Row],[ID_Client]],Clients_Log!B:B,Clients_Log!E:E,"Pas de correspondance")</f>
        <v>Pas de correspondance</v>
      </c>
      <c r="O103" s="4" t="str">
        <f>IFERROR(Logs[[#This Row],[Anciennete_Mois]]/12,"")</f>
        <v/>
      </c>
      <c r="P103" s="1" t="str">
        <f>_xlfn.XLOOKUP(Logs[[#This Row],[ID_Client]],Clients_Log!B:B,Clients_Log!F:F,"Pas de correspondance")</f>
        <v>Pas de correspondance</v>
      </c>
      <c r="Q103" s="1" t="str">
        <f>IF(Logs[[#This Row],[Type_Forfait]]="Pro Monde","B2B","B2C")</f>
        <v>B2C</v>
      </c>
      <c r="R103" s="1" t="str">
        <f>_xlfn.XLOOKUP(Logs[[#This Row],[ID_Client]],Clients_Log!B:B,Clients_Log!G:G,"Pas de correspondance")</f>
        <v>Pas de correspondance</v>
      </c>
      <c r="S103" s="1" t="e">
        <f>Logs[[#This Row],[Duree_Cumulee_Panne_Min]]/1440</f>
        <v>#VALUE!</v>
      </c>
      <c r="T103" s="1" t="str">
        <f>_xlfn.XLOOKUP(Logs[[#This Row],[ID_Client]],Clients_Log!B:B,Clients_Log!H:H,"Pas de correspondance")</f>
        <v>Pas de correspondance</v>
      </c>
      <c r="U103" s="1" t="str">
        <f>_xlfn.XLOOKUP(Logs[[#This Row],[ID_Client]],Clients_Log!B:B,Clients_Log!I:I,"Pas de correspondance")</f>
        <v>Pas de correspondance</v>
      </c>
      <c r="V10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3" s="1" t="e">
        <f>Logs[[#This Row],[Facture_Mensuelle]]*Logs[[#This Row],[Remise (%)]]</f>
        <v>#VALUE!</v>
      </c>
    </row>
    <row r="104" spans="1:23" hidden="1" x14ac:dyDescent="0.25">
      <c r="A104" s="1" t="s">
        <v>897</v>
      </c>
      <c r="B104" s="2">
        <v>45211</v>
      </c>
      <c r="C104" s="1" t="str">
        <f>_xlfn.XLOOKUP(Logs[[#This Row],[Province_RDC]],Clients_Log!D:D,Clients_Log!B:B,"Pas de correspondance")</f>
        <v>Pas de correspondance</v>
      </c>
      <c r="D104" t="str">
        <f>_xlfn.XLOOKUP(Logs[[#This Row],[Cell_ID]],'Registre_Maintenance'!B:B,'Registre_Maintenance'!C:C,"Pas de correspondance")</f>
        <v>Pas de correspondance</v>
      </c>
      <c r="E104" s="3">
        <v>0.99305555555555558</v>
      </c>
      <c r="F104" s="1" t="s">
        <v>902</v>
      </c>
      <c r="G104" s="3">
        <f>Logs[[#This Row],[Duree_Panne_Min]]/1440</f>
        <v>2.013888888888889E-2</v>
      </c>
      <c r="H104">
        <v>29</v>
      </c>
      <c r="I104" t="str">
        <f>_xlfn.XLOOKUP(Logs[[#This Row],[Cell_ID]],'Registre_Maintenance'!B:B,'Registre_Maintenance'!D:D,"Pas de correspondance")</f>
        <v>Pas de correspondance</v>
      </c>
      <c r="J104" t="str">
        <f>_xlfn.XLOOKUP(Logs[[#This Row],[Cell_ID]],'Registre_Maintenance'!B:B,'Registre_Maintenance'!E:E,"Pas de correspondance")</f>
        <v>Pas de correspondance</v>
      </c>
      <c r="K104" t="str">
        <f>_xlfn.XLOOKUP(Logs[[#This Row],[Cell_ID]],'Registre_Maintenance'!B:B,'Registre_Maintenance'!F:F,"Pas de correspondance")</f>
        <v>Pas de correspondance</v>
      </c>
      <c r="L104" t="str">
        <f>_xlfn.XLOOKUP(Logs[[#This Row],[Cell_ID]],'Registre_Maintenance'!B:B,'Registre_Maintenance'!G:G,"Pas de correspondance")</f>
        <v>Pas de correspondance</v>
      </c>
      <c r="M104" s="1" t="s">
        <v>809</v>
      </c>
      <c r="N104" s="1" t="str">
        <f>_xlfn.XLOOKUP(Logs[[#This Row],[ID_Client]],Clients_Log!B:B,Clients_Log!E:E,"Pas de correspondance")</f>
        <v>Pas de correspondance</v>
      </c>
      <c r="O104" s="4" t="str">
        <f>IFERROR(Logs[[#This Row],[Anciennete_Mois]]/12,"")</f>
        <v/>
      </c>
      <c r="P104" s="1" t="str">
        <f>_xlfn.XLOOKUP(Logs[[#This Row],[ID_Client]],Clients_Log!B:B,Clients_Log!F:F,"Pas de correspondance")</f>
        <v>Pas de correspondance</v>
      </c>
      <c r="Q104" s="1" t="str">
        <f>IF(Logs[[#This Row],[Type_Forfait]]="Pro Monde","B2B","B2C")</f>
        <v>B2C</v>
      </c>
      <c r="R104" s="1" t="str">
        <f>_xlfn.XLOOKUP(Logs[[#This Row],[ID_Client]],Clients_Log!B:B,Clients_Log!G:G,"Pas de correspondance")</f>
        <v>Pas de correspondance</v>
      </c>
      <c r="S104" s="1" t="e">
        <f>Logs[[#This Row],[Duree_Cumulee_Panne_Min]]/1440</f>
        <v>#VALUE!</v>
      </c>
      <c r="T104" s="1" t="str">
        <f>_xlfn.XLOOKUP(Logs[[#This Row],[ID_Client]],Clients_Log!B:B,Clients_Log!H:H,"Pas de correspondance")</f>
        <v>Pas de correspondance</v>
      </c>
      <c r="U104" s="1" t="str">
        <f>_xlfn.XLOOKUP(Logs[[#This Row],[ID_Client]],Clients_Log!B:B,Clients_Log!I:I,"Pas de correspondance")</f>
        <v>Pas de correspondance</v>
      </c>
      <c r="V10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4" s="1" t="e">
        <f>Logs[[#This Row],[Facture_Mensuelle]]*Logs[[#This Row],[Remise (%)]]</f>
        <v>#VALUE!</v>
      </c>
    </row>
    <row r="105" spans="1:23" x14ac:dyDescent="0.25">
      <c r="A105" s="1" t="s">
        <v>897</v>
      </c>
      <c r="B105" s="2">
        <v>45210</v>
      </c>
      <c r="C105" s="1" t="str">
        <f>_xlfn.XLOOKUP(Logs[[#This Row],[Province_RDC]],Clients_Log!D:D,Clients_Log!B:B,"Pas de correspondance")</f>
        <v>CLI-00611</v>
      </c>
      <c r="D105" t="str">
        <f>_xlfn.XLOOKUP(Logs[[#This Row],[Cell_ID]],'Registre_Maintenance'!B:B,'Registre_Maintenance'!C:C,"Pas de correspondance")</f>
        <v>Kinshasa</v>
      </c>
      <c r="E105" s="3">
        <v>0.56805555555555554</v>
      </c>
      <c r="F105" s="1" t="s">
        <v>903</v>
      </c>
      <c r="G105" s="3">
        <f>Logs[[#This Row],[Duree_Panne_Min]]/1440</f>
        <v>6.6666666666666666E-2</v>
      </c>
      <c r="H105">
        <v>96</v>
      </c>
      <c r="I105">
        <f>_xlfn.XLOOKUP(Logs[[#This Row],[Cell_ID]],'Registre_Maintenance'!B:B,'Registre_Maintenance'!D:D,"Pas de correspondance")</f>
        <v>-5.4126279999999998</v>
      </c>
      <c r="J105">
        <f>_xlfn.XLOOKUP(Logs[[#This Row],[Cell_ID]],'Registre_Maintenance'!B:B,'Registre_Maintenance'!E:E,"Pas de correspondance")</f>
        <v>25.498235999999999</v>
      </c>
      <c r="K105" t="str">
        <f>_xlfn.XLOOKUP(Logs[[#This Row],[Cell_ID]],'Registre_Maintenance'!B:B,'Registre_Maintenance'!F:F,"Pas de correspondance")</f>
        <v>5G</v>
      </c>
      <c r="L105" t="str">
        <f>_xlfn.XLOOKUP(Logs[[#This Row],[Cell_ID]],'Registre_Maintenance'!B:B,'Registre_Maintenance'!G:G,"Pas de correspondance")</f>
        <v>ZTE</v>
      </c>
      <c r="M105" s="1" t="s">
        <v>806</v>
      </c>
      <c r="N105" s="1">
        <f>_xlfn.XLOOKUP(Logs[[#This Row],[ID_Client]],Clients_Log!B:B,Clients_Log!E:E,"Pas de correspondance")</f>
        <v>79</v>
      </c>
      <c r="O105" s="4">
        <f>IFERROR(Logs[[#This Row],[Anciennete_Mois]]/12,"")</f>
        <v>6.583333333333333</v>
      </c>
      <c r="P105" s="1" t="str">
        <f>_xlfn.XLOOKUP(Logs[[#This Row],[ID_Client]],Clients_Log!B:B,Clients_Log!F:F,"Pas de correspondance")</f>
        <v>Premium 5G 150Go</v>
      </c>
      <c r="Q105" s="1" t="str">
        <f>IF(Logs[[#This Row],[Type_Forfait]]="Pro Monde","B2B","B2C")</f>
        <v>B2C</v>
      </c>
      <c r="R105" s="1">
        <f>_xlfn.XLOOKUP(Logs[[#This Row],[ID_Client]],Clients_Log!B:B,Clients_Log!G:G,"Pas de correspondance")</f>
        <v>226</v>
      </c>
      <c r="S105" s="3">
        <f>Logs[[#This Row],[Duree_Cumulee_Panne_Min]]/1440</f>
        <v>0.15694444444444444</v>
      </c>
      <c r="T105" s="1">
        <f>_xlfn.XLOOKUP(Logs[[#This Row],[ID_Client]],Clients_Log!B:B,Clients_Log!H:H,"Pas de correspondance")</f>
        <v>94.38</v>
      </c>
      <c r="U105" s="1">
        <f>_xlfn.XLOOKUP(Logs[[#This Row],[ID_Client]],Clients_Log!B:B,Clients_Log!I:I,"Pas de correspondance")</f>
        <v>3</v>
      </c>
      <c r="V10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05" s="1">
        <f>Logs[[#This Row],[Facture_Mensuelle]]*Logs[[#This Row],[Remise (%)]]</f>
        <v>0</v>
      </c>
    </row>
    <row r="106" spans="1:23" hidden="1" x14ac:dyDescent="0.25">
      <c r="A106" s="1" t="s">
        <v>897</v>
      </c>
      <c r="B106" s="2">
        <v>45216</v>
      </c>
      <c r="C106" s="1" t="str">
        <f>_xlfn.XLOOKUP(Logs[[#This Row],[Province_RDC]],Clients_Log!D:D,Clients_Log!B:B,"Pas de correspondance")</f>
        <v>Pas de correspondance</v>
      </c>
      <c r="D106" t="str">
        <f>_xlfn.XLOOKUP(Logs[[#This Row],[Cell_ID]],'Registre_Maintenance'!B:B,'Registre_Maintenance'!C:C,"Pas de correspondance")</f>
        <v>Pas de correspondance</v>
      </c>
      <c r="E106" s="3">
        <v>0.14166666666666666</v>
      </c>
      <c r="F106" s="1" t="s">
        <v>904</v>
      </c>
      <c r="G106" s="3">
        <f>Logs[[#This Row],[Duree_Panne_Min]]/1440</f>
        <v>6.5277777777777782E-2</v>
      </c>
      <c r="H106">
        <v>94</v>
      </c>
      <c r="I106" t="str">
        <f>_xlfn.XLOOKUP(Logs[[#This Row],[Cell_ID]],'Registre_Maintenance'!B:B,'Registre_Maintenance'!D:D,"Pas de correspondance")</f>
        <v>Pas de correspondance</v>
      </c>
      <c r="J106" t="str">
        <f>_xlfn.XLOOKUP(Logs[[#This Row],[Cell_ID]],'Registre_Maintenance'!B:B,'Registre_Maintenance'!E:E,"Pas de correspondance")</f>
        <v>Pas de correspondance</v>
      </c>
      <c r="K106" t="str">
        <f>_xlfn.XLOOKUP(Logs[[#This Row],[Cell_ID]],'Registre_Maintenance'!B:B,'Registre_Maintenance'!F:F,"Pas de correspondance")</f>
        <v>Pas de correspondance</v>
      </c>
      <c r="L106" t="str">
        <f>_xlfn.XLOOKUP(Logs[[#This Row],[Cell_ID]],'Registre_Maintenance'!B:B,'Registre_Maintenance'!G:G,"Pas de correspondance")</f>
        <v>Pas de correspondance</v>
      </c>
      <c r="M106" s="1" t="s">
        <v>806</v>
      </c>
      <c r="N106" s="1" t="str">
        <f>_xlfn.XLOOKUP(Logs[[#This Row],[ID_Client]],Clients_Log!B:B,Clients_Log!E:E,"Pas de correspondance")</f>
        <v>Pas de correspondance</v>
      </c>
      <c r="O106" s="4" t="str">
        <f>IFERROR(Logs[[#This Row],[Anciennete_Mois]]/12,"")</f>
        <v/>
      </c>
      <c r="P106" s="1" t="str">
        <f>_xlfn.XLOOKUP(Logs[[#This Row],[ID_Client]],Clients_Log!B:B,Clients_Log!F:F,"Pas de correspondance")</f>
        <v>Pas de correspondance</v>
      </c>
      <c r="Q106" s="1" t="str">
        <f>IF(Logs[[#This Row],[Type_Forfait]]="Pro Monde","B2B","B2C")</f>
        <v>B2C</v>
      </c>
      <c r="R106" s="1" t="str">
        <f>_xlfn.XLOOKUP(Logs[[#This Row],[ID_Client]],Clients_Log!B:B,Clients_Log!G:G,"Pas de correspondance")</f>
        <v>Pas de correspondance</v>
      </c>
      <c r="S106" s="1" t="e">
        <f>Logs[[#This Row],[Duree_Cumulee_Panne_Min]]/1440</f>
        <v>#VALUE!</v>
      </c>
      <c r="T106" s="1" t="str">
        <f>_xlfn.XLOOKUP(Logs[[#This Row],[ID_Client]],Clients_Log!B:B,Clients_Log!H:H,"Pas de correspondance")</f>
        <v>Pas de correspondance</v>
      </c>
      <c r="U106" s="1" t="str">
        <f>_xlfn.XLOOKUP(Logs[[#This Row],[ID_Client]],Clients_Log!B:B,Clients_Log!I:I,"Pas de correspondance")</f>
        <v>Pas de correspondance</v>
      </c>
      <c r="V10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6" s="1" t="e">
        <f>Logs[[#This Row],[Facture_Mensuelle]]*Logs[[#This Row],[Remise (%)]]</f>
        <v>#VALUE!</v>
      </c>
    </row>
    <row r="107" spans="1:23" hidden="1" x14ac:dyDescent="0.25">
      <c r="A107" s="1" t="s">
        <v>897</v>
      </c>
      <c r="B107" s="2">
        <v>45228</v>
      </c>
      <c r="C107" s="1" t="str">
        <f>_xlfn.XLOOKUP(Logs[[#This Row],[Province_RDC]],Clients_Log!D:D,Clients_Log!B:B,"Pas de correspondance")</f>
        <v>Pas de correspondance</v>
      </c>
      <c r="D107" t="str">
        <f>_xlfn.XLOOKUP(Logs[[#This Row],[Cell_ID]],'Registre_Maintenance'!B:B,'Registre_Maintenance'!C:C,"Pas de correspondance")</f>
        <v>Pas de correspondance</v>
      </c>
      <c r="E107" s="3">
        <v>0.7583333333333333</v>
      </c>
      <c r="F107" s="1" t="s">
        <v>905</v>
      </c>
      <c r="G107" s="3">
        <f>Logs[[#This Row],[Duree_Panne_Min]]/1440</f>
        <v>3.7499999999999999E-2</v>
      </c>
      <c r="H107">
        <v>54</v>
      </c>
      <c r="I107" t="str">
        <f>_xlfn.XLOOKUP(Logs[[#This Row],[Cell_ID]],'Registre_Maintenance'!B:B,'Registre_Maintenance'!D:D,"Pas de correspondance")</f>
        <v>Pas de correspondance</v>
      </c>
      <c r="J107" t="str">
        <f>_xlfn.XLOOKUP(Logs[[#This Row],[Cell_ID]],'Registre_Maintenance'!B:B,'Registre_Maintenance'!E:E,"Pas de correspondance")</f>
        <v>Pas de correspondance</v>
      </c>
      <c r="K107" t="str">
        <f>_xlfn.XLOOKUP(Logs[[#This Row],[Cell_ID]],'Registre_Maintenance'!B:B,'Registre_Maintenance'!F:F,"Pas de correspondance")</f>
        <v>Pas de correspondance</v>
      </c>
      <c r="L107" t="str">
        <f>_xlfn.XLOOKUP(Logs[[#This Row],[Cell_ID]],'Registre_Maintenance'!B:B,'Registre_Maintenance'!G:G,"Pas de correspondance")</f>
        <v>Pas de correspondance</v>
      </c>
      <c r="M107" s="1" t="s">
        <v>806</v>
      </c>
      <c r="N107" s="1" t="str">
        <f>_xlfn.XLOOKUP(Logs[[#This Row],[ID_Client]],Clients_Log!B:B,Clients_Log!E:E,"Pas de correspondance")</f>
        <v>Pas de correspondance</v>
      </c>
      <c r="O107" s="4" t="str">
        <f>IFERROR(Logs[[#This Row],[Anciennete_Mois]]/12,"")</f>
        <v/>
      </c>
      <c r="P107" s="1" t="str">
        <f>_xlfn.XLOOKUP(Logs[[#This Row],[ID_Client]],Clients_Log!B:B,Clients_Log!F:F,"Pas de correspondance")</f>
        <v>Pas de correspondance</v>
      </c>
      <c r="Q107" s="1" t="str">
        <f>IF(Logs[[#This Row],[Type_Forfait]]="Pro Monde","B2B","B2C")</f>
        <v>B2C</v>
      </c>
      <c r="R107" s="1" t="str">
        <f>_xlfn.XLOOKUP(Logs[[#This Row],[ID_Client]],Clients_Log!B:B,Clients_Log!G:G,"Pas de correspondance")</f>
        <v>Pas de correspondance</v>
      </c>
      <c r="S107" s="1" t="e">
        <f>Logs[[#This Row],[Duree_Cumulee_Panne_Min]]/1440</f>
        <v>#VALUE!</v>
      </c>
      <c r="T107" s="1" t="str">
        <f>_xlfn.XLOOKUP(Logs[[#This Row],[ID_Client]],Clients_Log!B:B,Clients_Log!H:H,"Pas de correspondance")</f>
        <v>Pas de correspondance</v>
      </c>
      <c r="U107" s="1" t="str">
        <f>_xlfn.XLOOKUP(Logs[[#This Row],[ID_Client]],Clients_Log!B:B,Clients_Log!I:I,"Pas de correspondance")</f>
        <v>Pas de correspondance</v>
      </c>
      <c r="V10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7" s="1" t="e">
        <f>Logs[[#This Row],[Facture_Mensuelle]]*Logs[[#This Row],[Remise (%)]]</f>
        <v>#VALUE!</v>
      </c>
    </row>
    <row r="108" spans="1:23" x14ac:dyDescent="0.25">
      <c r="A108" s="1" t="s">
        <v>897</v>
      </c>
      <c r="B108" s="2">
        <v>45208</v>
      </c>
      <c r="C108" s="1" t="str">
        <f>_xlfn.XLOOKUP(Logs[[#This Row],[Province_RDC]],Clients_Log!D:D,Clients_Log!B:B,"Pas de correspondance")</f>
        <v>CLI-00837</v>
      </c>
      <c r="D108" t="str">
        <f>_xlfn.XLOOKUP(Logs[[#This Row],[Cell_ID]],'Registre_Maintenance'!B:B,'Registre_Maintenance'!C:C,"Pas de correspondance")</f>
        <v>Nord-Kivu</v>
      </c>
      <c r="E108" s="3">
        <v>7.2916666666666671E-2</v>
      </c>
      <c r="F108" s="1" t="s">
        <v>906</v>
      </c>
      <c r="G108" s="3">
        <f>Logs[[#This Row],[Duree_Panne_Min]]/1440</f>
        <v>4.7222222222222221E-2</v>
      </c>
      <c r="H108">
        <v>68</v>
      </c>
      <c r="I108">
        <f>_xlfn.XLOOKUP(Logs[[#This Row],[Cell_ID]],'Registre_Maintenance'!B:B,'Registre_Maintenance'!D:D,"Pas de correspondance")</f>
        <v>1.017161</v>
      </c>
      <c r="J108">
        <f>_xlfn.XLOOKUP(Logs[[#This Row],[Cell_ID]],'Registre_Maintenance'!B:B,'Registre_Maintenance'!E:E,"Pas de correspondance")</f>
        <v>16.519689</v>
      </c>
      <c r="K108" t="str">
        <f>_xlfn.XLOOKUP(Logs[[#This Row],[Cell_ID]],'Registre_Maintenance'!B:B,'Registre_Maintenance'!F:F,"Pas de correspondance")</f>
        <v>3G</v>
      </c>
      <c r="L108" t="str">
        <f>_xlfn.XLOOKUP(Logs[[#This Row],[Cell_ID]],'Registre_Maintenance'!B:B,'Registre_Maintenance'!G:G,"Pas de correspondance")</f>
        <v>Nokia</v>
      </c>
      <c r="M108" s="1" t="s">
        <v>806</v>
      </c>
      <c r="N108" s="1">
        <f>_xlfn.XLOOKUP(Logs[[#This Row],[ID_Client]],Clients_Log!B:B,Clients_Log!E:E,"Pas de correspondance")</f>
        <v>16</v>
      </c>
      <c r="O108" s="4">
        <f>IFERROR(Logs[[#This Row],[Anciennete_Mois]]/12,"")</f>
        <v>1.3333333333333333</v>
      </c>
      <c r="P108" s="1" t="str">
        <f>_xlfn.XLOOKUP(Logs[[#This Row],[ID_Client]],Clients_Log!B:B,Clients_Log!F:F,"Pas de correspondance")</f>
        <v>Bloqué 5Go</v>
      </c>
      <c r="Q108" s="1" t="str">
        <f>IF(Logs[[#This Row],[Type_Forfait]]="Pro Monde","B2B","B2C")</f>
        <v>B2C</v>
      </c>
      <c r="R108" s="1">
        <f>_xlfn.XLOOKUP(Logs[[#This Row],[ID_Client]],Clients_Log!B:B,Clients_Log!G:G,"Pas de correspondance")</f>
        <v>390</v>
      </c>
      <c r="S108" s="3">
        <f>Logs[[#This Row],[Duree_Cumulee_Panne_Min]]/1440</f>
        <v>0.27083333333333331</v>
      </c>
      <c r="T108" s="1">
        <f>_xlfn.XLOOKUP(Logs[[#This Row],[ID_Client]],Clients_Log!B:B,Clients_Log!H:H,"Pas de correspondance")</f>
        <v>98.17</v>
      </c>
      <c r="U108" s="1">
        <f>_xlfn.XLOOKUP(Logs[[#This Row],[ID_Client]],Clients_Log!B:B,Clients_Log!I:I,"Pas de correspondance")</f>
        <v>5</v>
      </c>
      <c r="V10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8" s="1">
        <f>Logs[[#This Row],[Facture_Mensuelle]]*Logs[[#This Row],[Remise (%)]]</f>
        <v>44.176500000000004</v>
      </c>
    </row>
    <row r="109" spans="1:23" x14ac:dyDescent="0.25">
      <c r="A109" s="1" t="s">
        <v>897</v>
      </c>
      <c r="B109" s="2">
        <v>45213</v>
      </c>
      <c r="C109" s="1" t="str">
        <f>_xlfn.XLOOKUP(Logs[[#This Row],[Province_RDC]],Clients_Log!D:D,Clients_Log!B:B,"Pas de correspondance")</f>
        <v>CLI-01233</v>
      </c>
      <c r="D109" t="str">
        <f>_xlfn.XLOOKUP(Logs[[#This Row],[Cell_ID]],'Registre_Maintenance'!B:B,'Registre_Maintenance'!C:C,"Pas de correspondance")</f>
        <v>Kongo-Central</v>
      </c>
      <c r="E109" s="3">
        <v>2.2916666666666665E-2</v>
      </c>
      <c r="F109" s="1" t="s">
        <v>813</v>
      </c>
      <c r="G109" s="3">
        <f>Logs[[#This Row],[Duree_Panne_Min]]/1440</f>
        <v>3.888888888888889E-2</v>
      </c>
      <c r="H109">
        <v>56</v>
      </c>
      <c r="I109">
        <f>_xlfn.XLOOKUP(Logs[[#This Row],[Cell_ID]],'Registre_Maintenance'!B:B,'Registre_Maintenance'!D:D,"Pas de correspondance")</f>
        <v>-2.8211520000000001</v>
      </c>
      <c r="J109">
        <f>_xlfn.XLOOKUP(Logs[[#This Row],[Cell_ID]],'Registre_Maintenance'!B:B,'Registre_Maintenance'!E:E,"Pas de correspondance")</f>
        <v>20.651419000000001</v>
      </c>
      <c r="K109" t="str">
        <f>_xlfn.XLOOKUP(Logs[[#This Row],[Cell_ID]],'Registre_Maintenance'!B:B,'Registre_Maintenance'!F:F,"Pas de correspondance")</f>
        <v>5G</v>
      </c>
      <c r="L109" t="str">
        <f>_xlfn.XLOOKUP(Logs[[#This Row],[Cell_ID]],'Registre_Maintenance'!B:B,'Registre_Maintenance'!G:G,"Pas de correspondance")</f>
        <v>Ericsson</v>
      </c>
      <c r="M109" s="1" t="s">
        <v>811</v>
      </c>
      <c r="N109" s="1">
        <f>_xlfn.XLOOKUP(Logs[[#This Row],[ID_Client]],Clients_Log!B:B,Clients_Log!E:E,"Pas de correspondance")</f>
        <v>101</v>
      </c>
      <c r="O109" s="4">
        <f>IFERROR(Logs[[#This Row],[Anciennete_Mois]]/12,"")</f>
        <v>8.4166666666666661</v>
      </c>
      <c r="P109" s="1" t="str">
        <f>_xlfn.XLOOKUP(Logs[[#This Row],[ID_Client]],Clients_Log!B:B,Clients_Log!F:F,"Pas de correspondance")</f>
        <v>Pro Monde</v>
      </c>
      <c r="Q109" s="1" t="str">
        <f>IF(Logs[[#This Row],[Type_Forfait]]="Pro Monde","B2B","B2C")</f>
        <v>B2B</v>
      </c>
      <c r="R109" s="1">
        <f>_xlfn.XLOOKUP(Logs[[#This Row],[ID_Client]],Clients_Log!B:B,Clients_Log!G:G,"Pas de correspondance")</f>
        <v>333</v>
      </c>
      <c r="S109" s="3">
        <f>Logs[[#This Row],[Duree_Cumulee_Panne_Min]]/1440</f>
        <v>0.23125000000000001</v>
      </c>
      <c r="T109" s="1">
        <f>_xlfn.XLOOKUP(Logs[[#This Row],[ID_Client]],Clients_Log!B:B,Clients_Log!H:H,"Pas de correspondance")</f>
        <v>74.319999999999993</v>
      </c>
      <c r="U109" s="1">
        <f>_xlfn.XLOOKUP(Logs[[#This Row],[ID_Client]],Clients_Log!B:B,Clients_Log!I:I,"Pas de correspondance")</f>
        <v>1</v>
      </c>
      <c r="V10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9" s="1">
        <f>Logs[[#This Row],[Facture_Mensuelle]]*Logs[[#This Row],[Remise (%)]]</f>
        <v>33.443999999999996</v>
      </c>
    </row>
    <row r="110" spans="1:23" x14ac:dyDescent="0.25">
      <c r="A110" s="1" t="s">
        <v>897</v>
      </c>
      <c r="B110" s="2">
        <v>45229</v>
      </c>
      <c r="C110" s="1" t="str">
        <f>_xlfn.XLOOKUP(Logs[[#This Row],[Province_RDC]],Clients_Log!D:D,Clients_Log!B:B,"Pas de correspondance")</f>
        <v>CLI-00131</v>
      </c>
      <c r="D110" t="str">
        <f>_xlfn.XLOOKUP(Logs[[#This Row],[Cell_ID]],'Registre_Maintenance'!B:B,'Registre_Maintenance'!C:C,"Pas de correspondance")</f>
        <v>Lomami</v>
      </c>
      <c r="E110" s="3">
        <v>0.73819444444444449</v>
      </c>
      <c r="F110" s="1" t="s">
        <v>907</v>
      </c>
      <c r="G110" s="3">
        <f>Logs[[#This Row],[Duree_Panne_Min]]/1440</f>
        <v>2.5000000000000001E-2</v>
      </c>
      <c r="H110">
        <v>36</v>
      </c>
      <c r="I110">
        <f>_xlfn.XLOOKUP(Logs[[#This Row],[Cell_ID]],'Registre_Maintenance'!B:B,'Registre_Maintenance'!D:D,"Pas de correspondance")</f>
        <v>-11.218453999999999</v>
      </c>
      <c r="J110">
        <f>_xlfn.XLOOKUP(Logs[[#This Row],[Cell_ID]],'Registre_Maintenance'!B:B,'Registre_Maintenance'!E:E,"Pas de correspondance")</f>
        <v>28.230025000000001</v>
      </c>
      <c r="K110" t="str">
        <f>_xlfn.XLOOKUP(Logs[[#This Row],[Cell_ID]],'Registre_Maintenance'!B:B,'Registre_Maintenance'!F:F,"Pas de correspondance")</f>
        <v>5G</v>
      </c>
      <c r="L110" t="str">
        <f>_xlfn.XLOOKUP(Logs[[#This Row],[Cell_ID]],'Registre_Maintenance'!B:B,'Registre_Maintenance'!G:G,"Pas de correspondance")</f>
        <v>ZTE</v>
      </c>
      <c r="M110" s="1" t="s">
        <v>809</v>
      </c>
      <c r="N110" s="1">
        <f>_xlfn.XLOOKUP(Logs[[#This Row],[ID_Client]],Clients_Log!B:B,Clients_Log!E:E,"Pas de correspondance")</f>
        <v>101</v>
      </c>
      <c r="O110" s="4">
        <f>IFERROR(Logs[[#This Row],[Anciennete_Mois]]/12,"")</f>
        <v>8.4166666666666661</v>
      </c>
      <c r="P110" s="1" t="str">
        <f>_xlfn.XLOOKUP(Logs[[#This Row],[ID_Client]],Clients_Log!B:B,Clients_Log!F:F,"Pas de correspondance")</f>
        <v>Pro Monde</v>
      </c>
      <c r="Q110" s="1" t="str">
        <f>IF(Logs[[#This Row],[Type_Forfait]]="Pro Monde","B2B","B2C")</f>
        <v>B2B</v>
      </c>
      <c r="R110" s="1">
        <f>_xlfn.XLOOKUP(Logs[[#This Row],[ID_Client]],Clients_Log!B:B,Clients_Log!G:G,"Pas de correspondance")</f>
        <v>176</v>
      </c>
      <c r="S110" s="3">
        <f>Logs[[#This Row],[Duree_Cumulee_Panne_Min]]/1440</f>
        <v>0.12222222222222222</v>
      </c>
      <c r="T110" s="1">
        <f>_xlfn.XLOOKUP(Logs[[#This Row],[ID_Client]],Clients_Log!B:B,Clients_Log!H:H,"Pas de correspondance")</f>
        <v>86</v>
      </c>
      <c r="U110" s="1">
        <f>_xlfn.XLOOKUP(Logs[[#This Row],[ID_Client]],Clients_Log!B:B,Clients_Log!I:I,"Pas de correspondance")</f>
        <v>3</v>
      </c>
      <c r="V11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110" s="1">
        <f>Logs[[#This Row],[Facture_Mensuelle]]*Logs[[#This Row],[Remise (%)]]</f>
        <v>8.6</v>
      </c>
    </row>
    <row r="111" spans="1:23" x14ac:dyDescent="0.25">
      <c r="A111" s="1" t="s">
        <v>897</v>
      </c>
      <c r="B111" s="2">
        <v>45223</v>
      </c>
      <c r="C111" s="1" t="str">
        <f>_xlfn.XLOOKUP(Logs[[#This Row],[Province_RDC]],Clients_Log!D:D,Clients_Log!B:B,"Pas de correspondance")</f>
        <v>CLI-00530</v>
      </c>
      <c r="D111" t="str">
        <f>_xlfn.XLOOKUP(Logs[[#This Row],[Cell_ID]],'Registre_Maintenance'!B:B,'Registre_Maintenance'!C:C,"Pas de correspondance")</f>
        <v>Sankuru</v>
      </c>
      <c r="E111" s="3">
        <v>0.99097222222222225</v>
      </c>
      <c r="F111" s="1" t="s">
        <v>908</v>
      </c>
      <c r="G111" s="3">
        <f>Logs[[#This Row],[Duree_Panne_Min]]/1440</f>
        <v>1.5972222222222221E-2</v>
      </c>
      <c r="H111">
        <v>23</v>
      </c>
      <c r="I111">
        <f>_xlfn.XLOOKUP(Logs[[#This Row],[Cell_ID]],'Registre_Maintenance'!B:B,'Registre_Maintenance'!D:D,"Pas de correspondance")</f>
        <v>-8.0922239999999999</v>
      </c>
      <c r="J111">
        <f>_xlfn.XLOOKUP(Logs[[#This Row],[Cell_ID]],'Registre_Maintenance'!B:B,'Registre_Maintenance'!E:E,"Pas de correspondance")</f>
        <v>15.483708</v>
      </c>
      <c r="K111" t="str">
        <f>_xlfn.XLOOKUP(Logs[[#This Row],[Cell_ID]],'Registre_Maintenance'!B:B,'Registre_Maintenance'!F:F,"Pas de correspondance")</f>
        <v>5G</v>
      </c>
      <c r="L111" t="str">
        <f>_xlfn.XLOOKUP(Logs[[#This Row],[Cell_ID]],'Registre_Maintenance'!B:B,'Registre_Maintenance'!G:G,"Pas de correspondance")</f>
        <v>Nokia</v>
      </c>
      <c r="M111" s="1" t="s">
        <v>806</v>
      </c>
      <c r="N111" s="1">
        <f>_xlfn.XLOOKUP(Logs[[#This Row],[ID_Client]],Clients_Log!B:B,Clients_Log!E:E,"Pas de correspondance")</f>
        <v>35</v>
      </c>
      <c r="O111" s="4">
        <f>IFERROR(Logs[[#This Row],[Anciennete_Mois]]/12,"")</f>
        <v>2.9166666666666665</v>
      </c>
      <c r="P111" s="1" t="str">
        <f>_xlfn.XLOOKUP(Logs[[#This Row],[ID_Client]],Clients_Log!B:B,Clients_Log!F:F,"Pas de correspondance")</f>
        <v>Pro Monde</v>
      </c>
      <c r="Q111" s="1" t="str">
        <f>IF(Logs[[#This Row],[Type_Forfait]]="Pro Monde","B2B","B2C")</f>
        <v>B2B</v>
      </c>
      <c r="R111" s="1">
        <f>_xlfn.XLOOKUP(Logs[[#This Row],[ID_Client]],Clients_Log!B:B,Clients_Log!G:G,"Pas de correspondance")</f>
        <v>465</v>
      </c>
      <c r="S111" s="3">
        <f>Logs[[#This Row],[Duree_Cumulee_Panne_Min]]/1440</f>
        <v>0.32291666666666669</v>
      </c>
      <c r="T111" s="1">
        <f>_xlfn.XLOOKUP(Logs[[#This Row],[ID_Client]],Clients_Log!B:B,Clients_Log!H:H,"Pas de correspondance")</f>
        <v>58.59</v>
      </c>
      <c r="U111" s="1">
        <f>_xlfn.XLOOKUP(Logs[[#This Row],[ID_Client]],Clients_Log!B:B,Clients_Log!I:I,"Pas de correspondance")</f>
        <v>5</v>
      </c>
      <c r="V11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11" s="1">
        <f>Logs[[#This Row],[Facture_Mensuelle]]*Logs[[#This Row],[Remise (%)]]</f>
        <v>26.365500000000001</v>
      </c>
    </row>
    <row r="112" spans="1:23" x14ac:dyDescent="0.25">
      <c r="A112" s="1" t="s">
        <v>897</v>
      </c>
      <c r="B112" s="2">
        <v>45221</v>
      </c>
      <c r="C112" s="1" t="str">
        <f>_xlfn.XLOOKUP(Logs[[#This Row],[Province_RDC]],Clients_Log!D:D,Clients_Log!B:B,"Pas de correspondance")</f>
        <v>CLI-00611</v>
      </c>
      <c r="D112" t="str">
        <f>_xlfn.XLOOKUP(Logs[[#This Row],[Cell_ID]],'Registre_Maintenance'!B:B,'Registre_Maintenance'!C:C,"Pas de correspondance")</f>
        <v>Kinshasa</v>
      </c>
      <c r="E112" s="3">
        <v>0.26597222222222222</v>
      </c>
      <c r="F112" s="1" t="s">
        <v>909</v>
      </c>
      <c r="G112" s="3">
        <f>Logs[[#This Row],[Duree_Panne_Min]]/1440</f>
        <v>6.1111111111111109E-2</v>
      </c>
      <c r="H112">
        <v>88</v>
      </c>
      <c r="I112">
        <f>_xlfn.XLOOKUP(Logs[[#This Row],[Cell_ID]],'Registre_Maintenance'!B:B,'Registre_Maintenance'!D:D,"Pas de correspondance")</f>
        <v>-1.339734</v>
      </c>
      <c r="J112">
        <f>_xlfn.XLOOKUP(Logs[[#This Row],[Cell_ID]],'Registre_Maintenance'!B:B,'Registre_Maintenance'!E:E,"Pas de correspondance")</f>
        <v>15.243098</v>
      </c>
      <c r="K112" t="str">
        <f>_xlfn.XLOOKUP(Logs[[#This Row],[Cell_ID]],'Registre_Maintenance'!B:B,'Registre_Maintenance'!F:F,"Pas de correspondance")</f>
        <v>3G</v>
      </c>
      <c r="L112" t="str">
        <f>_xlfn.XLOOKUP(Logs[[#This Row],[Cell_ID]],'Registre_Maintenance'!B:B,'Registre_Maintenance'!G:G,"Pas de correspondance")</f>
        <v>Nokia</v>
      </c>
      <c r="M112" s="1" t="s">
        <v>809</v>
      </c>
      <c r="N112" s="1">
        <f>_xlfn.XLOOKUP(Logs[[#This Row],[ID_Client]],Clients_Log!B:B,Clients_Log!E:E,"Pas de correspondance")</f>
        <v>79</v>
      </c>
      <c r="O112" s="4">
        <f>IFERROR(Logs[[#This Row],[Anciennete_Mois]]/12,"")</f>
        <v>6.583333333333333</v>
      </c>
      <c r="P112" s="1" t="str">
        <f>_xlfn.XLOOKUP(Logs[[#This Row],[ID_Client]],Clients_Log!B:B,Clients_Log!F:F,"Pas de correspondance")</f>
        <v>Premium 5G 150Go</v>
      </c>
      <c r="Q112" s="1" t="str">
        <f>IF(Logs[[#This Row],[Type_Forfait]]="Pro Monde","B2B","B2C")</f>
        <v>B2C</v>
      </c>
      <c r="R112" s="1">
        <f>_xlfn.XLOOKUP(Logs[[#This Row],[ID_Client]],Clients_Log!B:B,Clients_Log!G:G,"Pas de correspondance")</f>
        <v>226</v>
      </c>
      <c r="S112" s="3">
        <f>Logs[[#This Row],[Duree_Cumulee_Panne_Min]]/1440</f>
        <v>0.15694444444444444</v>
      </c>
      <c r="T112" s="1">
        <f>_xlfn.XLOOKUP(Logs[[#This Row],[ID_Client]],Clients_Log!B:B,Clients_Log!H:H,"Pas de correspondance")</f>
        <v>94.38</v>
      </c>
      <c r="U112" s="1">
        <f>_xlfn.XLOOKUP(Logs[[#This Row],[ID_Client]],Clients_Log!B:B,Clients_Log!I:I,"Pas de correspondance")</f>
        <v>3</v>
      </c>
      <c r="V11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12" s="1">
        <f>Logs[[#This Row],[Facture_Mensuelle]]*Logs[[#This Row],[Remise (%)]]</f>
        <v>0</v>
      </c>
    </row>
    <row r="113" spans="1:23" hidden="1" x14ac:dyDescent="0.25">
      <c r="A113" s="1" t="s">
        <v>897</v>
      </c>
      <c r="B113" s="2">
        <v>45213</v>
      </c>
      <c r="C113" s="1" t="str">
        <f>_xlfn.XLOOKUP(Logs[[#This Row],[Province_RDC]],Clients_Log!D:D,Clients_Log!B:B,"Pas de correspondance")</f>
        <v>Pas de correspondance</v>
      </c>
      <c r="D113" t="str">
        <f>_xlfn.XLOOKUP(Logs[[#This Row],[Cell_ID]],'Registre_Maintenance'!B:B,'Registre_Maintenance'!C:C,"Pas de correspondance")</f>
        <v>Pas de correspondance</v>
      </c>
      <c r="E113" s="3">
        <v>0.1125</v>
      </c>
      <c r="F113" s="1" t="s">
        <v>910</v>
      </c>
      <c r="G113" s="3">
        <f>Logs[[#This Row],[Duree_Panne_Min]]/1440</f>
        <v>6.458333333333334E-2</v>
      </c>
      <c r="H113">
        <v>93</v>
      </c>
      <c r="I113" t="str">
        <f>_xlfn.XLOOKUP(Logs[[#This Row],[Cell_ID]],'Registre_Maintenance'!B:B,'Registre_Maintenance'!D:D,"Pas de correspondance")</f>
        <v>Pas de correspondance</v>
      </c>
      <c r="J113" t="str">
        <f>_xlfn.XLOOKUP(Logs[[#This Row],[Cell_ID]],'Registre_Maintenance'!B:B,'Registre_Maintenance'!E:E,"Pas de correspondance")</f>
        <v>Pas de correspondance</v>
      </c>
      <c r="K113" t="str">
        <f>_xlfn.XLOOKUP(Logs[[#This Row],[Cell_ID]],'Registre_Maintenance'!B:B,'Registre_Maintenance'!F:F,"Pas de correspondance")</f>
        <v>Pas de correspondance</v>
      </c>
      <c r="L113" t="str">
        <f>_xlfn.XLOOKUP(Logs[[#This Row],[Cell_ID]],'Registre_Maintenance'!B:B,'Registre_Maintenance'!G:G,"Pas de correspondance")</f>
        <v>Pas de correspondance</v>
      </c>
      <c r="M113" s="1" t="s">
        <v>806</v>
      </c>
      <c r="N113" s="1" t="str">
        <f>_xlfn.XLOOKUP(Logs[[#This Row],[ID_Client]],Clients_Log!B:B,Clients_Log!E:E,"Pas de correspondance")</f>
        <v>Pas de correspondance</v>
      </c>
      <c r="O113" s="4" t="str">
        <f>IFERROR(Logs[[#This Row],[Anciennete_Mois]]/12,"")</f>
        <v/>
      </c>
      <c r="P113" s="1" t="str">
        <f>_xlfn.XLOOKUP(Logs[[#This Row],[ID_Client]],Clients_Log!B:B,Clients_Log!F:F,"Pas de correspondance")</f>
        <v>Pas de correspondance</v>
      </c>
      <c r="Q113" s="1" t="str">
        <f>IF(Logs[[#This Row],[Type_Forfait]]="Pro Monde","B2B","B2C")</f>
        <v>B2C</v>
      </c>
      <c r="R113" s="1" t="str">
        <f>_xlfn.XLOOKUP(Logs[[#This Row],[ID_Client]],Clients_Log!B:B,Clients_Log!G:G,"Pas de correspondance")</f>
        <v>Pas de correspondance</v>
      </c>
      <c r="S113" s="1" t="e">
        <f>Logs[[#This Row],[Duree_Cumulee_Panne_Min]]/1440</f>
        <v>#VALUE!</v>
      </c>
      <c r="T113" s="1" t="str">
        <f>_xlfn.XLOOKUP(Logs[[#This Row],[ID_Client]],Clients_Log!B:B,Clients_Log!H:H,"Pas de correspondance")</f>
        <v>Pas de correspondance</v>
      </c>
      <c r="U113" s="1" t="str">
        <f>_xlfn.XLOOKUP(Logs[[#This Row],[ID_Client]],Clients_Log!B:B,Clients_Log!I:I,"Pas de correspondance")</f>
        <v>Pas de correspondance</v>
      </c>
      <c r="V11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13" s="1" t="e">
        <f>Logs[[#This Row],[Facture_Mensuelle]]*Logs[[#This Row],[Remise (%)]]</f>
        <v>#VALUE!</v>
      </c>
    </row>
    <row r="114" spans="1:23" x14ac:dyDescent="0.25">
      <c r="A114" s="1" t="s">
        <v>897</v>
      </c>
      <c r="B114" s="2">
        <v>45229</v>
      </c>
      <c r="C114" s="1" t="str">
        <f>_xlfn.XLOOKUP(Logs[[#This Row],[Province_RDC]],Clients_Log!D:D,Clients_Log!B:B,"Pas de correspondance")</f>
        <v>CLI-00060</v>
      </c>
      <c r="D114" t="str">
        <f>_xlfn.XLOOKUP(Logs[[#This Row],[Cell_ID]],'Registre_Maintenance'!B:B,'Registre_Maintenance'!C:C,"Pas de correspondance")</f>
        <v>Kasaï-Central</v>
      </c>
      <c r="E114" s="3">
        <v>0.44374999999999998</v>
      </c>
      <c r="F114" s="1" t="s">
        <v>911</v>
      </c>
      <c r="G114" s="3">
        <f>Logs[[#This Row],[Duree_Panne_Min]]/1440</f>
        <v>3.472222222222222E-3</v>
      </c>
      <c r="H114">
        <v>5</v>
      </c>
      <c r="I114">
        <f>_xlfn.XLOOKUP(Logs[[#This Row],[Cell_ID]],'Registre_Maintenance'!B:B,'Registre_Maintenance'!D:D,"Pas de correspondance")</f>
        <v>-6.6803710000000001</v>
      </c>
      <c r="J114">
        <f>_xlfn.XLOOKUP(Logs[[#This Row],[Cell_ID]],'Registre_Maintenance'!B:B,'Registre_Maintenance'!E:E,"Pas de correspondance")</f>
        <v>21.955673000000001</v>
      </c>
      <c r="K114" t="str">
        <f>_xlfn.XLOOKUP(Logs[[#This Row],[Cell_ID]],'Registre_Maintenance'!B:B,'Registre_Maintenance'!F:F,"Pas de correspondance")</f>
        <v>4G</v>
      </c>
      <c r="L114" t="str">
        <f>_xlfn.XLOOKUP(Logs[[#This Row],[Cell_ID]],'Registre_Maintenance'!B:B,'Registre_Maintenance'!G:G,"Pas de correspondance")</f>
        <v>Nokia</v>
      </c>
      <c r="M114" s="1" t="s">
        <v>806</v>
      </c>
      <c r="N114" s="1">
        <f>_xlfn.XLOOKUP(Logs[[#This Row],[ID_Client]],Clients_Log!B:B,Clients_Log!E:E,"Pas de correspondance")</f>
        <v>72</v>
      </c>
      <c r="O114" s="4">
        <f>IFERROR(Logs[[#This Row],[Anciennete_Mois]]/12,"")</f>
        <v>6</v>
      </c>
      <c r="P114" s="1" t="str">
        <f>_xlfn.XLOOKUP(Logs[[#This Row],[ID_Client]],Clients_Log!B:B,Clients_Log!F:F,"Pas de correspondance")</f>
        <v>Pro Monde</v>
      </c>
      <c r="Q114" s="1" t="str">
        <f>IF(Logs[[#This Row],[Type_Forfait]]="Pro Monde","B2B","B2C")</f>
        <v>B2B</v>
      </c>
      <c r="R114" s="1">
        <f>_xlfn.XLOOKUP(Logs[[#This Row],[ID_Client]],Clients_Log!B:B,Clients_Log!G:G,"Pas de correspondance")</f>
        <v>160</v>
      </c>
      <c r="S114" s="3">
        <f>Logs[[#This Row],[Duree_Cumulee_Panne_Min]]/1440</f>
        <v>0.1111111111111111</v>
      </c>
      <c r="T114" s="1">
        <f>_xlfn.XLOOKUP(Logs[[#This Row],[ID_Client]],Clients_Log!B:B,Clients_Log!H:H,"Pas de correspondance")</f>
        <v>90.13</v>
      </c>
      <c r="U114" s="1">
        <f>_xlfn.XLOOKUP(Logs[[#This Row],[ID_Client]],Clients_Log!B:B,Clients_Log!I:I,"Pas de correspondance")</f>
        <v>2</v>
      </c>
      <c r="V11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114" s="1">
        <f>Logs[[#This Row],[Facture_Mensuelle]]*Logs[[#This Row],[Remise (%)]]</f>
        <v>9.0129999999999999</v>
      </c>
    </row>
    <row r="115" spans="1:23" hidden="1" x14ac:dyDescent="0.25">
      <c r="A115" s="1" t="s">
        <v>897</v>
      </c>
      <c r="B115" s="2">
        <v>45210</v>
      </c>
      <c r="C115" s="1" t="str">
        <f>_xlfn.XLOOKUP(Logs[[#This Row],[Province_RDC]],Clients_Log!D:D,Clients_Log!B:B,"Pas de correspondance")</f>
        <v>Pas de correspondance</v>
      </c>
      <c r="D115" t="str">
        <f>_xlfn.XLOOKUP(Logs[[#This Row],[Cell_ID]],'Registre_Maintenance'!B:B,'Registre_Maintenance'!C:C,"Pas de correspondance")</f>
        <v>Pas de correspondance</v>
      </c>
      <c r="E115" s="3">
        <v>0.91249999999999998</v>
      </c>
      <c r="F115" s="1" t="s">
        <v>912</v>
      </c>
      <c r="G115" s="3">
        <f>Logs[[#This Row],[Duree_Panne_Min]]/1440</f>
        <v>8.2638888888888887E-2</v>
      </c>
      <c r="H115">
        <v>119</v>
      </c>
      <c r="I115" t="str">
        <f>_xlfn.XLOOKUP(Logs[[#This Row],[Cell_ID]],'Registre_Maintenance'!B:B,'Registre_Maintenance'!D:D,"Pas de correspondance")</f>
        <v>Pas de correspondance</v>
      </c>
      <c r="J115" t="str">
        <f>_xlfn.XLOOKUP(Logs[[#This Row],[Cell_ID]],'Registre_Maintenance'!B:B,'Registre_Maintenance'!E:E,"Pas de correspondance")</f>
        <v>Pas de correspondance</v>
      </c>
      <c r="K115" t="str">
        <f>_xlfn.XLOOKUP(Logs[[#This Row],[Cell_ID]],'Registre_Maintenance'!B:B,'Registre_Maintenance'!F:F,"Pas de correspondance")</f>
        <v>Pas de correspondance</v>
      </c>
      <c r="L115" t="str">
        <f>_xlfn.XLOOKUP(Logs[[#This Row],[Cell_ID]],'Registre_Maintenance'!B:B,'Registre_Maintenance'!G:G,"Pas de correspondance")</f>
        <v>Pas de correspondance</v>
      </c>
      <c r="M115" s="1" t="s">
        <v>811</v>
      </c>
      <c r="N115" s="1" t="str">
        <f>_xlfn.XLOOKUP(Logs[[#This Row],[ID_Client]],Clients_Log!B:B,Clients_Log!E:E,"Pas de correspondance")</f>
        <v>Pas de correspondance</v>
      </c>
      <c r="O115" s="4" t="str">
        <f>IFERROR(Logs[[#This Row],[Anciennete_Mois]]/12,"")</f>
        <v/>
      </c>
      <c r="P115" s="1" t="str">
        <f>_xlfn.XLOOKUP(Logs[[#This Row],[ID_Client]],Clients_Log!B:B,Clients_Log!F:F,"Pas de correspondance")</f>
        <v>Pas de correspondance</v>
      </c>
      <c r="Q115" s="1" t="str">
        <f>IF(Logs[[#This Row],[Type_Forfait]]="Pro Monde","B2B","B2C")</f>
        <v>B2C</v>
      </c>
      <c r="R115" s="1" t="str">
        <f>_xlfn.XLOOKUP(Logs[[#This Row],[ID_Client]],Clients_Log!B:B,Clients_Log!G:G,"Pas de correspondance")</f>
        <v>Pas de correspondance</v>
      </c>
      <c r="S115" s="1" t="e">
        <f>Logs[[#This Row],[Duree_Cumulee_Panne_Min]]/1440</f>
        <v>#VALUE!</v>
      </c>
      <c r="T115" s="1" t="str">
        <f>_xlfn.XLOOKUP(Logs[[#This Row],[ID_Client]],Clients_Log!B:B,Clients_Log!H:H,"Pas de correspondance")</f>
        <v>Pas de correspondance</v>
      </c>
      <c r="U115" s="1" t="str">
        <f>_xlfn.XLOOKUP(Logs[[#This Row],[ID_Client]],Clients_Log!B:B,Clients_Log!I:I,"Pas de correspondance")</f>
        <v>Pas de correspondance</v>
      </c>
      <c r="V11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15" s="1" t="e">
        <f>Logs[[#This Row],[Facture_Mensuelle]]*Logs[[#This Row],[Remise (%)]]</f>
        <v>#VALUE!</v>
      </c>
    </row>
    <row r="116" spans="1:23" x14ac:dyDescent="0.25">
      <c r="A116" s="1" t="s">
        <v>897</v>
      </c>
      <c r="B116" s="2">
        <v>45203</v>
      </c>
      <c r="C116" s="1" t="str">
        <f>_xlfn.XLOOKUP(Logs[[#This Row],[Province_RDC]],Clients_Log!D:D,Clients_Log!B:B,"Pas de correspondance")</f>
        <v>CLI-00837</v>
      </c>
      <c r="D116" t="str">
        <f>_xlfn.XLOOKUP(Logs[[#This Row],[Cell_ID]],'Registre_Maintenance'!B:B,'Registre_Maintenance'!C:C,"Pas de correspondance")</f>
        <v>Nord-Kivu</v>
      </c>
      <c r="E116" s="3">
        <v>0.99791666666666667</v>
      </c>
      <c r="F116" s="1" t="s">
        <v>913</v>
      </c>
      <c r="G116" s="3">
        <f>Logs[[#This Row],[Duree_Panne_Min]]/1440</f>
        <v>7.013888888888889E-2</v>
      </c>
      <c r="H116">
        <v>101</v>
      </c>
      <c r="I116">
        <f>_xlfn.XLOOKUP(Logs[[#This Row],[Cell_ID]],'Registre_Maintenance'!B:B,'Registre_Maintenance'!D:D,"Pas de correspondance")</f>
        <v>-6.3148239999999998</v>
      </c>
      <c r="J116">
        <f>_xlfn.XLOOKUP(Logs[[#This Row],[Cell_ID]],'Registre_Maintenance'!B:B,'Registre_Maintenance'!E:E,"Pas de correspondance")</f>
        <v>24.507498999999999</v>
      </c>
      <c r="K116" t="str">
        <f>_xlfn.XLOOKUP(Logs[[#This Row],[Cell_ID]],'Registre_Maintenance'!B:B,'Registre_Maintenance'!F:F,"Pas de correspondance")</f>
        <v>3G</v>
      </c>
      <c r="L116" t="str">
        <f>_xlfn.XLOOKUP(Logs[[#This Row],[Cell_ID]],'Registre_Maintenance'!B:B,'Registre_Maintenance'!G:G,"Pas de correspondance")</f>
        <v>ZTE</v>
      </c>
      <c r="M116" s="1" t="s">
        <v>811</v>
      </c>
      <c r="N116" s="1">
        <f>_xlfn.XLOOKUP(Logs[[#This Row],[ID_Client]],Clients_Log!B:B,Clients_Log!E:E,"Pas de correspondance")</f>
        <v>16</v>
      </c>
      <c r="O116" s="4">
        <f>IFERROR(Logs[[#This Row],[Anciennete_Mois]]/12,"")</f>
        <v>1.3333333333333333</v>
      </c>
      <c r="P116" s="1" t="str">
        <f>_xlfn.XLOOKUP(Logs[[#This Row],[ID_Client]],Clients_Log!B:B,Clients_Log!F:F,"Pas de correspondance")</f>
        <v>Bloqué 5Go</v>
      </c>
      <c r="Q116" s="1" t="str">
        <f>IF(Logs[[#This Row],[Type_Forfait]]="Pro Monde","B2B","B2C")</f>
        <v>B2C</v>
      </c>
      <c r="R116" s="1">
        <f>_xlfn.XLOOKUP(Logs[[#This Row],[ID_Client]],Clients_Log!B:B,Clients_Log!G:G,"Pas de correspondance")</f>
        <v>390</v>
      </c>
      <c r="S116" s="3">
        <f>Logs[[#This Row],[Duree_Cumulee_Panne_Min]]/1440</f>
        <v>0.27083333333333331</v>
      </c>
      <c r="T116" s="1">
        <f>_xlfn.XLOOKUP(Logs[[#This Row],[ID_Client]],Clients_Log!B:B,Clients_Log!H:H,"Pas de correspondance")</f>
        <v>98.17</v>
      </c>
      <c r="U116" s="1">
        <f>_xlfn.XLOOKUP(Logs[[#This Row],[ID_Client]],Clients_Log!B:B,Clients_Log!I:I,"Pas de correspondance")</f>
        <v>5</v>
      </c>
      <c r="V11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16" s="1">
        <f>Logs[[#This Row],[Facture_Mensuelle]]*Logs[[#This Row],[Remise (%)]]</f>
        <v>44.176500000000004</v>
      </c>
    </row>
    <row r="117" spans="1:23" hidden="1" x14ac:dyDescent="0.25">
      <c r="A117" s="1" t="s">
        <v>897</v>
      </c>
      <c r="B117" s="2">
        <v>45209</v>
      </c>
      <c r="C117" s="1" t="str">
        <f>_xlfn.XLOOKUP(Logs[[#This Row],[Province_RDC]],Clients_Log!D:D,Clients_Log!B:B,"Pas de correspondance")</f>
        <v>Pas de correspondance</v>
      </c>
      <c r="D117" t="str">
        <f>_xlfn.XLOOKUP(Logs[[#This Row],[Cell_ID]],'Registre_Maintenance'!B:B,'Registre_Maintenance'!C:C,"Pas de correspondance")</f>
        <v>Pas de correspondance</v>
      </c>
      <c r="E117" s="3">
        <v>0.67986111111111114</v>
      </c>
      <c r="F117" s="1" t="s">
        <v>914</v>
      </c>
      <c r="G117" s="3">
        <f>Logs[[#This Row],[Duree_Panne_Min]]/1440</f>
        <v>7.9861111111111105E-2</v>
      </c>
      <c r="H117">
        <v>115</v>
      </c>
      <c r="I117" t="str">
        <f>_xlfn.XLOOKUP(Logs[[#This Row],[Cell_ID]],'Registre_Maintenance'!B:B,'Registre_Maintenance'!D:D,"Pas de correspondance")</f>
        <v>Pas de correspondance</v>
      </c>
      <c r="J117" t="str">
        <f>_xlfn.XLOOKUP(Logs[[#This Row],[Cell_ID]],'Registre_Maintenance'!B:B,'Registre_Maintenance'!E:E,"Pas de correspondance")</f>
        <v>Pas de correspondance</v>
      </c>
      <c r="K117" t="str">
        <f>_xlfn.XLOOKUP(Logs[[#This Row],[Cell_ID]],'Registre_Maintenance'!B:B,'Registre_Maintenance'!F:F,"Pas de correspondance")</f>
        <v>Pas de correspondance</v>
      </c>
      <c r="L117" t="str">
        <f>_xlfn.XLOOKUP(Logs[[#This Row],[Cell_ID]],'Registre_Maintenance'!B:B,'Registre_Maintenance'!G:G,"Pas de correspondance")</f>
        <v>Pas de correspondance</v>
      </c>
      <c r="M117" s="1" t="s">
        <v>811</v>
      </c>
      <c r="N117" s="1" t="str">
        <f>_xlfn.XLOOKUP(Logs[[#This Row],[ID_Client]],Clients_Log!B:B,Clients_Log!E:E,"Pas de correspondance")</f>
        <v>Pas de correspondance</v>
      </c>
      <c r="O117" s="4" t="str">
        <f>IFERROR(Logs[[#This Row],[Anciennete_Mois]]/12,"")</f>
        <v/>
      </c>
      <c r="P117" s="1" t="str">
        <f>_xlfn.XLOOKUP(Logs[[#This Row],[ID_Client]],Clients_Log!B:B,Clients_Log!F:F,"Pas de correspondance")</f>
        <v>Pas de correspondance</v>
      </c>
      <c r="Q117" s="1" t="str">
        <f>IF(Logs[[#This Row],[Type_Forfait]]="Pro Monde","B2B","B2C")</f>
        <v>B2C</v>
      </c>
      <c r="R117" s="1" t="str">
        <f>_xlfn.XLOOKUP(Logs[[#This Row],[ID_Client]],Clients_Log!B:B,Clients_Log!G:G,"Pas de correspondance")</f>
        <v>Pas de correspondance</v>
      </c>
      <c r="S117" s="1" t="e">
        <f>Logs[[#This Row],[Duree_Cumulee_Panne_Min]]/1440</f>
        <v>#VALUE!</v>
      </c>
      <c r="T117" s="1" t="str">
        <f>_xlfn.XLOOKUP(Logs[[#This Row],[ID_Client]],Clients_Log!B:B,Clients_Log!H:H,"Pas de correspondance")</f>
        <v>Pas de correspondance</v>
      </c>
      <c r="U117" s="1" t="str">
        <f>_xlfn.XLOOKUP(Logs[[#This Row],[ID_Client]],Clients_Log!B:B,Clients_Log!I:I,"Pas de correspondance")</f>
        <v>Pas de correspondance</v>
      </c>
      <c r="V11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17" s="1" t="e">
        <f>Logs[[#This Row],[Facture_Mensuelle]]*Logs[[#This Row],[Remise (%)]]</f>
        <v>#VALUE!</v>
      </c>
    </row>
    <row r="118" spans="1:23" hidden="1" x14ac:dyDescent="0.25">
      <c r="A118" s="1" t="s">
        <v>897</v>
      </c>
      <c r="B118" s="2">
        <v>45221</v>
      </c>
      <c r="C118" s="1" t="str">
        <f>_xlfn.XLOOKUP(Logs[[#This Row],[Province_RDC]],Clients_Log!D:D,Clients_Log!B:B,"Pas de correspondance")</f>
        <v>Pas de correspondance</v>
      </c>
      <c r="D118" t="str">
        <f>_xlfn.XLOOKUP(Logs[[#This Row],[Cell_ID]],'Registre_Maintenance'!B:B,'Registre_Maintenance'!C:C,"Pas de correspondance")</f>
        <v>Pas de correspondance</v>
      </c>
      <c r="E118" s="3">
        <v>0.55555555555555558</v>
      </c>
      <c r="F118" s="1" t="s">
        <v>915</v>
      </c>
      <c r="G118" s="3">
        <f>Logs[[#This Row],[Duree_Panne_Min]]/1440</f>
        <v>7.1527777777777773E-2</v>
      </c>
      <c r="H118">
        <v>103</v>
      </c>
      <c r="I118" t="str">
        <f>_xlfn.XLOOKUP(Logs[[#This Row],[Cell_ID]],'Registre_Maintenance'!B:B,'Registre_Maintenance'!D:D,"Pas de correspondance")</f>
        <v>Pas de correspondance</v>
      </c>
      <c r="J118" t="str">
        <f>_xlfn.XLOOKUP(Logs[[#This Row],[Cell_ID]],'Registre_Maintenance'!B:B,'Registre_Maintenance'!E:E,"Pas de correspondance")</f>
        <v>Pas de correspondance</v>
      </c>
      <c r="K118" t="str">
        <f>_xlfn.XLOOKUP(Logs[[#This Row],[Cell_ID]],'Registre_Maintenance'!B:B,'Registre_Maintenance'!F:F,"Pas de correspondance")</f>
        <v>Pas de correspondance</v>
      </c>
      <c r="L118" t="str">
        <f>_xlfn.XLOOKUP(Logs[[#This Row],[Cell_ID]],'Registre_Maintenance'!B:B,'Registre_Maintenance'!G:G,"Pas de correspondance")</f>
        <v>Pas de correspondance</v>
      </c>
      <c r="M118" s="1" t="s">
        <v>809</v>
      </c>
      <c r="N118" s="1" t="str">
        <f>_xlfn.XLOOKUP(Logs[[#This Row],[ID_Client]],Clients_Log!B:B,Clients_Log!E:E,"Pas de correspondance")</f>
        <v>Pas de correspondance</v>
      </c>
      <c r="O118" s="4" t="str">
        <f>IFERROR(Logs[[#This Row],[Anciennete_Mois]]/12,"")</f>
        <v/>
      </c>
      <c r="P118" s="1" t="str">
        <f>_xlfn.XLOOKUP(Logs[[#This Row],[ID_Client]],Clients_Log!B:B,Clients_Log!F:F,"Pas de correspondance")</f>
        <v>Pas de correspondance</v>
      </c>
      <c r="Q118" s="1" t="str">
        <f>IF(Logs[[#This Row],[Type_Forfait]]="Pro Monde","B2B","B2C")</f>
        <v>B2C</v>
      </c>
      <c r="R118" s="1" t="str">
        <f>_xlfn.XLOOKUP(Logs[[#This Row],[ID_Client]],Clients_Log!B:B,Clients_Log!G:G,"Pas de correspondance")</f>
        <v>Pas de correspondance</v>
      </c>
      <c r="S118" s="1" t="e">
        <f>Logs[[#This Row],[Duree_Cumulee_Panne_Min]]/1440</f>
        <v>#VALUE!</v>
      </c>
      <c r="T118" s="1" t="str">
        <f>_xlfn.XLOOKUP(Logs[[#This Row],[ID_Client]],Clients_Log!B:B,Clients_Log!H:H,"Pas de correspondance")</f>
        <v>Pas de correspondance</v>
      </c>
      <c r="U118" s="1" t="str">
        <f>_xlfn.XLOOKUP(Logs[[#This Row],[ID_Client]],Clients_Log!B:B,Clients_Log!I:I,"Pas de correspondance")</f>
        <v>Pas de correspondance</v>
      </c>
      <c r="V11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18" s="1" t="e">
        <f>Logs[[#This Row],[Facture_Mensuelle]]*Logs[[#This Row],[Remise (%)]]</f>
        <v>#VALUE!</v>
      </c>
    </row>
    <row r="119" spans="1:23" hidden="1" x14ac:dyDescent="0.25">
      <c r="A119" s="1" t="s">
        <v>897</v>
      </c>
      <c r="B119" s="2">
        <v>45212</v>
      </c>
      <c r="C119" s="1" t="str">
        <f>_xlfn.XLOOKUP(Logs[[#This Row],[Province_RDC]],Clients_Log!D:D,Clients_Log!B:B,"Pas de correspondance")</f>
        <v>Pas de correspondance</v>
      </c>
      <c r="D119" t="str">
        <f>_xlfn.XLOOKUP(Logs[[#This Row],[Cell_ID]],'Registre_Maintenance'!B:B,'Registre_Maintenance'!C:C,"Pas de correspondance")</f>
        <v>Pas de correspondance</v>
      </c>
      <c r="E119" s="3">
        <v>0.9291666666666667</v>
      </c>
      <c r="F119" s="1" t="s">
        <v>916</v>
      </c>
      <c r="G119" s="3">
        <f>Logs[[#This Row],[Duree_Panne_Min]]/1440</f>
        <v>8.1944444444444445E-2</v>
      </c>
      <c r="H119">
        <v>118</v>
      </c>
      <c r="I119" t="str">
        <f>_xlfn.XLOOKUP(Logs[[#This Row],[Cell_ID]],'Registre_Maintenance'!B:B,'Registre_Maintenance'!D:D,"Pas de correspondance")</f>
        <v>Pas de correspondance</v>
      </c>
      <c r="J119" t="str">
        <f>_xlfn.XLOOKUP(Logs[[#This Row],[Cell_ID]],'Registre_Maintenance'!B:B,'Registre_Maintenance'!E:E,"Pas de correspondance")</f>
        <v>Pas de correspondance</v>
      </c>
      <c r="K119" t="str">
        <f>_xlfn.XLOOKUP(Logs[[#This Row],[Cell_ID]],'Registre_Maintenance'!B:B,'Registre_Maintenance'!F:F,"Pas de correspondance")</f>
        <v>Pas de correspondance</v>
      </c>
      <c r="L119" t="str">
        <f>_xlfn.XLOOKUP(Logs[[#This Row],[Cell_ID]],'Registre_Maintenance'!B:B,'Registre_Maintenance'!G:G,"Pas de correspondance")</f>
        <v>Pas de correspondance</v>
      </c>
      <c r="M119" s="1" t="s">
        <v>811</v>
      </c>
      <c r="N119" s="1" t="str">
        <f>_xlfn.XLOOKUP(Logs[[#This Row],[ID_Client]],Clients_Log!B:B,Clients_Log!E:E,"Pas de correspondance")</f>
        <v>Pas de correspondance</v>
      </c>
      <c r="O119" s="4" t="str">
        <f>IFERROR(Logs[[#This Row],[Anciennete_Mois]]/12,"")</f>
        <v/>
      </c>
      <c r="P119" s="1" t="str">
        <f>_xlfn.XLOOKUP(Logs[[#This Row],[ID_Client]],Clients_Log!B:B,Clients_Log!F:F,"Pas de correspondance")</f>
        <v>Pas de correspondance</v>
      </c>
      <c r="Q119" s="1" t="str">
        <f>IF(Logs[[#This Row],[Type_Forfait]]="Pro Monde","B2B","B2C")</f>
        <v>B2C</v>
      </c>
      <c r="R119" s="1" t="str">
        <f>_xlfn.XLOOKUP(Logs[[#This Row],[ID_Client]],Clients_Log!B:B,Clients_Log!G:G,"Pas de correspondance")</f>
        <v>Pas de correspondance</v>
      </c>
      <c r="S119" s="1" t="e">
        <f>Logs[[#This Row],[Duree_Cumulee_Panne_Min]]/1440</f>
        <v>#VALUE!</v>
      </c>
      <c r="T119" s="1" t="str">
        <f>_xlfn.XLOOKUP(Logs[[#This Row],[ID_Client]],Clients_Log!B:B,Clients_Log!H:H,"Pas de correspondance")</f>
        <v>Pas de correspondance</v>
      </c>
      <c r="U119" s="1" t="str">
        <f>_xlfn.XLOOKUP(Logs[[#This Row],[ID_Client]],Clients_Log!B:B,Clients_Log!I:I,"Pas de correspondance")</f>
        <v>Pas de correspondance</v>
      </c>
      <c r="V11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19" s="1" t="e">
        <f>Logs[[#This Row],[Facture_Mensuelle]]*Logs[[#This Row],[Remise (%)]]</f>
        <v>#VALUE!</v>
      </c>
    </row>
    <row r="120" spans="1:23" x14ac:dyDescent="0.25">
      <c r="A120" s="1" t="s">
        <v>897</v>
      </c>
      <c r="B120" s="2">
        <v>45217</v>
      </c>
      <c r="C120" s="1" t="str">
        <f>_xlfn.XLOOKUP(Logs[[#This Row],[Province_RDC]],Clients_Log!D:D,Clients_Log!B:B,"Pas de correspondance")</f>
        <v>CLI-01855</v>
      </c>
      <c r="D120" t="str">
        <f>_xlfn.XLOOKUP(Logs[[#This Row],[Cell_ID]],'Registre_Maintenance'!B:B,'Registre_Maintenance'!C:C,"Pas de correspondance")</f>
        <v>Sud-Kivu</v>
      </c>
      <c r="E120" s="3">
        <v>0.17499999999999999</v>
      </c>
      <c r="F120" s="1" t="s">
        <v>917</v>
      </c>
      <c r="G120" s="3">
        <f>Logs[[#This Row],[Duree_Panne_Min]]/1440</f>
        <v>1.2500000000000001E-2</v>
      </c>
      <c r="H120">
        <v>18</v>
      </c>
      <c r="I120">
        <f>_xlfn.XLOOKUP(Logs[[#This Row],[Cell_ID]],'Registre_Maintenance'!B:B,'Registre_Maintenance'!D:D,"Pas de correspondance")</f>
        <v>-9.4702129999999993</v>
      </c>
      <c r="J120">
        <f>_xlfn.XLOOKUP(Logs[[#This Row],[Cell_ID]],'Registre_Maintenance'!B:B,'Registre_Maintenance'!E:E,"Pas de correspondance")</f>
        <v>12.826158</v>
      </c>
      <c r="K120" t="str">
        <f>_xlfn.XLOOKUP(Logs[[#This Row],[Cell_ID]],'Registre_Maintenance'!B:B,'Registre_Maintenance'!F:F,"Pas de correspondance")</f>
        <v>3G</v>
      </c>
      <c r="L120" t="str">
        <f>_xlfn.XLOOKUP(Logs[[#This Row],[Cell_ID]],'Registre_Maintenance'!B:B,'Registre_Maintenance'!G:G,"Pas de correspondance")</f>
        <v>Ericsson</v>
      </c>
      <c r="M120" s="1" t="s">
        <v>811</v>
      </c>
      <c r="N120" s="1">
        <f>_xlfn.XLOOKUP(Logs[[#This Row],[ID_Client]],Clients_Log!B:B,Clients_Log!E:E,"Pas de correspondance")</f>
        <v>101</v>
      </c>
      <c r="O120" s="4">
        <f>IFERROR(Logs[[#This Row],[Anciennete_Mois]]/12,"")</f>
        <v>8.4166666666666661</v>
      </c>
      <c r="P120" s="1" t="str">
        <f>_xlfn.XLOOKUP(Logs[[#This Row],[ID_Client]],Clients_Log!B:B,Clients_Log!F:F,"Pas de correspondance")</f>
        <v>Illimité 50Go</v>
      </c>
      <c r="Q120" s="1" t="str">
        <f>IF(Logs[[#This Row],[Type_Forfait]]="Pro Monde","B2B","B2C")</f>
        <v>B2C</v>
      </c>
      <c r="R120" s="1">
        <f>_xlfn.XLOOKUP(Logs[[#This Row],[ID_Client]],Clients_Log!B:B,Clients_Log!G:G,"Pas de correspondance")</f>
        <v>358</v>
      </c>
      <c r="S120" s="3">
        <f>Logs[[#This Row],[Duree_Cumulee_Panne_Min]]/1440</f>
        <v>0.24861111111111112</v>
      </c>
      <c r="T120" s="1">
        <f>_xlfn.XLOOKUP(Logs[[#This Row],[ID_Client]],Clients_Log!B:B,Clients_Log!H:H,"Pas de correspondance")</f>
        <v>29.24</v>
      </c>
      <c r="U120" s="1">
        <f>_xlfn.XLOOKUP(Logs[[#This Row],[ID_Client]],Clients_Log!B:B,Clients_Log!I:I,"Pas de correspondance")</f>
        <v>3</v>
      </c>
      <c r="V12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20" s="1">
        <f>Logs[[#This Row],[Facture_Mensuelle]]*Logs[[#This Row],[Remise (%)]]</f>
        <v>13.157999999999999</v>
      </c>
    </row>
    <row r="121" spans="1:23" hidden="1" x14ac:dyDescent="0.25">
      <c r="A121" s="1" t="s">
        <v>897</v>
      </c>
      <c r="B121" s="2">
        <v>45213</v>
      </c>
      <c r="C121" s="1" t="str">
        <f>_xlfn.XLOOKUP(Logs[[#This Row],[Province_RDC]],Clients_Log!D:D,Clients_Log!B:B,"Pas de correspondance")</f>
        <v>Pas de correspondance</v>
      </c>
      <c r="D121" t="str">
        <f>_xlfn.XLOOKUP(Logs[[#This Row],[Cell_ID]],'Registre_Maintenance'!B:B,'Registre_Maintenance'!C:C,"Pas de correspondance")</f>
        <v>Pas de correspondance</v>
      </c>
      <c r="E121" s="3">
        <v>0.89166666666666672</v>
      </c>
      <c r="F121" s="1" t="s">
        <v>918</v>
      </c>
      <c r="G121" s="3">
        <f>Logs[[#This Row],[Duree_Panne_Min]]/1440</f>
        <v>7.2222222222222215E-2</v>
      </c>
      <c r="H121">
        <v>104</v>
      </c>
      <c r="I121" t="str">
        <f>_xlfn.XLOOKUP(Logs[[#This Row],[Cell_ID]],'Registre_Maintenance'!B:B,'Registre_Maintenance'!D:D,"Pas de correspondance")</f>
        <v>Pas de correspondance</v>
      </c>
      <c r="J121" t="str">
        <f>_xlfn.XLOOKUP(Logs[[#This Row],[Cell_ID]],'Registre_Maintenance'!B:B,'Registre_Maintenance'!E:E,"Pas de correspondance")</f>
        <v>Pas de correspondance</v>
      </c>
      <c r="K121" t="str">
        <f>_xlfn.XLOOKUP(Logs[[#This Row],[Cell_ID]],'Registre_Maintenance'!B:B,'Registre_Maintenance'!F:F,"Pas de correspondance")</f>
        <v>Pas de correspondance</v>
      </c>
      <c r="L121" t="str">
        <f>_xlfn.XLOOKUP(Logs[[#This Row],[Cell_ID]],'Registre_Maintenance'!B:B,'Registre_Maintenance'!G:G,"Pas de correspondance")</f>
        <v>Pas de correspondance</v>
      </c>
      <c r="M121" s="1" t="s">
        <v>806</v>
      </c>
      <c r="N121" s="1" t="str">
        <f>_xlfn.XLOOKUP(Logs[[#This Row],[ID_Client]],Clients_Log!B:B,Clients_Log!E:E,"Pas de correspondance")</f>
        <v>Pas de correspondance</v>
      </c>
      <c r="O121" s="4" t="str">
        <f>IFERROR(Logs[[#This Row],[Anciennete_Mois]]/12,"")</f>
        <v/>
      </c>
      <c r="P121" s="1" t="str">
        <f>_xlfn.XLOOKUP(Logs[[#This Row],[ID_Client]],Clients_Log!B:B,Clients_Log!F:F,"Pas de correspondance")</f>
        <v>Pas de correspondance</v>
      </c>
      <c r="Q121" s="1" t="str">
        <f>IF(Logs[[#This Row],[Type_Forfait]]="Pro Monde","B2B","B2C")</f>
        <v>B2C</v>
      </c>
      <c r="R121" s="1" t="str">
        <f>_xlfn.XLOOKUP(Logs[[#This Row],[ID_Client]],Clients_Log!B:B,Clients_Log!G:G,"Pas de correspondance")</f>
        <v>Pas de correspondance</v>
      </c>
      <c r="S121" s="1" t="e">
        <f>Logs[[#This Row],[Duree_Cumulee_Panne_Min]]/1440</f>
        <v>#VALUE!</v>
      </c>
      <c r="T121" s="1" t="str">
        <f>_xlfn.XLOOKUP(Logs[[#This Row],[ID_Client]],Clients_Log!B:B,Clients_Log!H:H,"Pas de correspondance")</f>
        <v>Pas de correspondance</v>
      </c>
      <c r="U121" s="1" t="str">
        <f>_xlfn.XLOOKUP(Logs[[#This Row],[ID_Client]],Clients_Log!B:B,Clients_Log!I:I,"Pas de correspondance")</f>
        <v>Pas de correspondance</v>
      </c>
      <c r="V12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21" s="1" t="e">
        <f>Logs[[#This Row],[Facture_Mensuelle]]*Logs[[#This Row],[Remise (%)]]</f>
        <v>#VALUE!</v>
      </c>
    </row>
    <row r="122" spans="1:23" hidden="1" x14ac:dyDescent="0.25">
      <c r="A122" s="1" t="s">
        <v>897</v>
      </c>
      <c r="B122" s="2">
        <v>45221</v>
      </c>
      <c r="C122" s="1" t="str">
        <f>_xlfn.XLOOKUP(Logs[[#This Row],[Province_RDC]],Clients_Log!D:D,Clients_Log!B:B,"Pas de correspondance")</f>
        <v>Pas de correspondance</v>
      </c>
      <c r="D122" t="str">
        <f>_xlfn.XLOOKUP(Logs[[#This Row],[Cell_ID]],'Registre_Maintenance'!B:B,'Registre_Maintenance'!C:C,"Pas de correspondance")</f>
        <v>Pas de correspondance</v>
      </c>
      <c r="E122" s="3">
        <v>0.99791666666666667</v>
      </c>
      <c r="F122" s="1" t="s">
        <v>919</v>
      </c>
      <c r="G122" s="3">
        <f>Logs[[#This Row],[Duree_Panne_Min]]/1440</f>
        <v>4.0972222222222222E-2</v>
      </c>
      <c r="H122">
        <v>59</v>
      </c>
      <c r="I122" t="str">
        <f>_xlfn.XLOOKUP(Logs[[#This Row],[Cell_ID]],'Registre_Maintenance'!B:B,'Registre_Maintenance'!D:D,"Pas de correspondance")</f>
        <v>Pas de correspondance</v>
      </c>
      <c r="J122" t="str">
        <f>_xlfn.XLOOKUP(Logs[[#This Row],[Cell_ID]],'Registre_Maintenance'!B:B,'Registre_Maintenance'!E:E,"Pas de correspondance")</f>
        <v>Pas de correspondance</v>
      </c>
      <c r="K122" t="str">
        <f>_xlfn.XLOOKUP(Logs[[#This Row],[Cell_ID]],'Registre_Maintenance'!B:B,'Registre_Maintenance'!F:F,"Pas de correspondance")</f>
        <v>Pas de correspondance</v>
      </c>
      <c r="L122" t="str">
        <f>_xlfn.XLOOKUP(Logs[[#This Row],[Cell_ID]],'Registre_Maintenance'!B:B,'Registre_Maintenance'!G:G,"Pas de correspondance")</f>
        <v>Pas de correspondance</v>
      </c>
      <c r="M122" s="1" t="s">
        <v>806</v>
      </c>
      <c r="N122" s="1" t="str">
        <f>_xlfn.XLOOKUP(Logs[[#This Row],[ID_Client]],Clients_Log!B:B,Clients_Log!E:E,"Pas de correspondance")</f>
        <v>Pas de correspondance</v>
      </c>
      <c r="O122" s="4" t="str">
        <f>IFERROR(Logs[[#This Row],[Anciennete_Mois]]/12,"")</f>
        <v/>
      </c>
      <c r="P122" s="1" t="str">
        <f>_xlfn.XLOOKUP(Logs[[#This Row],[ID_Client]],Clients_Log!B:B,Clients_Log!F:F,"Pas de correspondance")</f>
        <v>Pas de correspondance</v>
      </c>
      <c r="Q122" s="1" t="str">
        <f>IF(Logs[[#This Row],[Type_Forfait]]="Pro Monde","B2B","B2C")</f>
        <v>B2C</v>
      </c>
      <c r="R122" s="1" t="str">
        <f>_xlfn.XLOOKUP(Logs[[#This Row],[ID_Client]],Clients_Log!B:B,Clients_Log!G:G,"Pas de correspondance")</f>
        <v>Pas de correspondance</v>
      </c>
      <c r="S122" s="1" t="e">
        <f>Logs[[#This Row],[Duree_Cumulee_Panne_Min]]/1440</f>
        <v>#VALUE!</v>
      </c>
      <c r="T122" s="1" t="str">
        <f>_xlfn.XLOOKUP(Logs[[#This Row],[ID_Client]],Clients_Log!B:B,Clients_Log!H:H,"Pas de correspondance")</f>
        <v>Pas de correspondance</v>
      </c>
      <c r="U122" s="1" t="str">
        <f>_xlfn.XLOOKUP(Logs[[#This Row],[ID_Client]],Clients_Log!B:B,Clients_Log!I:I,"Pas de correspondance")</f>
        <v>Pas de correspondance</v>
      </c>
      <c r="V12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22" s="1" t="e">
        <f>Logs[[#This Row],[Facture_Mensuelle]]*Logs[[#This Row],[Remise (%)]]</f>
        <v>#VALUE!</v>
      </c>
    </row>
    <row r="123" spans="1:23" hidden="1" x14ac:dyDescent="0.25">
      <c r="A123" s="1" t="s">
        <v>897</v>
      </c>
      <c r="B123" s="2">
        <v>45205</v>
      </c>
      <c r="C123" s="1" t="str">
        <f>_xlfn.XLOOKUP(Logs[[#This Row],[Province_RDC]],Clients_Log!D:D,Clients_Log!B:B,"Pas de correspondance")</f>
        <v>Pas de correspondance</v>
      </c>
      <c r="D123" t="str">
        <f>_xlfn.XLOOKUP(Logs[[#This Row],[Cell_ID]],'Registre_Maintenance'!B:B,'Registre_Maintenance'!C:C,"Pas de correspondance")</f>
        <v>Pas de correspondance</v>
      </c>
      <c r="E123" s="3">
        <v>0.81666666666666665</v>
      </c>
      <c r="F123" s="1" t="s">
        <v>920</v>
      </c>
      <c r="G123" s="3">
        <f>Logs[[#This Row],[Duree_Panne_Min]]/1440</f>
        <v>2.2916666666666665E-2</v>
      </c>
      <c r="H123">
        <v>33</v>
      </c>
      <c r="I123" t="str">
        <f>_xlfn.XLOOKUP(Logs[[#This Row],[Cell_ID]],'Registre_Maintenance'!B:B,'Registre_Maintenance'!D:D,"Pas de correspondance")</f>
        <v>Pas de correspondance</v>
      </c>
      <c r="J123" t="str">
        <f>_xlfn.XLOOKUP(Logs[[#This Row],[Cell_ID]],'Registre_Maintenance'!B:B,'Registre_Maintenance'!E:E,"Pas de correspondance")</f>
        <v>Pas de correspondance</v>
      </c>
      <c r="K123" t="str">
        <f>_xlfn.XLOOKUP(Logs[[#This Row],[Cell_ID]],'Registre_Maintenance'!B:B,'Registre_Maintenance'!F:F,"Pas de correspondance")</f>
        <v>Pas de correspondance</v>
      </c>
      <c r="L123" t="str">
        <f>_xlfn.XLOOKUP(Logs[[#This Row],[Cell_ID]],'Registre_Maintenance'!B:B,'Registre_Maintenance'!G:G,"Pas de correspondance")</f>
        <v>Pas de correspondance</v>
      </c>
      <c r="M123" s="1" t="s">
        <v>811</v>
      </c>
      <c r="N123" s="1" t="str">
        <f>_xlfn.XLOOKUP(Logs[[#This Row],[ID_Client]],Clients_Log!B:B,Clients_Log!E:E,"Pas de correspondance")</f>
        <v>Pas de correspondance</v>
      </c>
      <c r="O123" s="4" t="str">
        <f>IFERROR(Logs[[#This Row],[Anciennete_Mois]]/12,"")</f>
        <v/>
      </c>
      <c r="P123" s="1" t="str">
        <f>_xlfn.XLOOKUP(Logs[[#This Row],[ID_Client]],Clients_Log!B:B,Clients_Log!F:F,"Pas de correspondance")</f>
        <v>Pas de correspondance</v>
      </c>
      <c r="Q123" s="1" t="str">
        <f>IF(Logs[[#This Row],[Type_Forfait]]="Pro Monde","B2B","B2C")</f>
        <v>B2C</v>
      </c>
      <c r="R123" s="1" t="str">
        <f>_xlfn.XLOOKUP(Logs[[#This Row],[ID_Client]],Clients_Log!B:B,Clients_Log!G:G,"Pas de correspondance")</f>
        <v>Pas de correspondance</v>
      </c>
      <c r="S123" s="1" t="e">
        <f>Logs[[#This Row],[Duree_Cumulee_Panne_Min]]/1440</f>
        <v>#VALUE!</v>
      </c>
      <c r="T123" s="1" t="str">
        <f>_xlfn.XLOOKUP(Logs[[#This Row],[ID_Client]],Clients_Log!B:B,Clients_Log!H:H,"Pas de correspondance")</f>
        <v>Pas de correspondance</v>
      </c>
      <c r="U123" s="1" t="str">
        <f>_xlfn.XLOOKUP(Logs[[#This Row],[ID_Client]],Clients_Log!B:B,Clients_Log!I:I,"Pas de correspondance")</f>
        <v>Pas de correspondance</v>
      </c>
      <c r="V12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23" s="1" t="e">
        <f>Logs[[#This Row],[Facture_Mensuelle]]*Logs[[#This Row],[Remise (%)]]</f>
        <v>#VALUE!</v>
      </c>
    </row>
    <row r="124" spans="1:23" hidden="1" x14ac:dyDescent="0.25">
      <c r="A124" s="1" t="s">
        <v>897</v>
      </c>
      <c r="B124" s="2">
        <v>45209</v>
      </c>
      <c r="C124" s="1" t="str">
        <f>_xlfn.XLOOKUP(Logs[[#This Row],[Province_RDC]],Clients_Log!D:D,Clients_Log!B:B,"Pas de correspondance")</f>
        <v>Pas de correspondance</v>
      </c>
      <c r="D124" t="str">
        <f>_xlfn.XLOOKUP(Logs[[#This Row],[Cell_ID]],'Registre_Maintenance'!B:B,'Registre_Maintenance'!C:C,"Pas de correspondance")</f>
        <v>Pas de correspondance</v>
      </c>
      <c r="E124" s="3">
        <v>0.52430555555555558</v>
      </c>
      <c r="F124" s="1" t="s">
        <v>921</v>
      </c>
      <c r="G124" s="3">
        <f>Logs[[#This Row],[Duree_Panne_Min]]/1440</f>
        <v>1.8749999999999999E-2</v>
      </c>
      <c r="H124">
        <v>27</v>
      </c>
      <c r="I124" t="str">
        <f>_xlfn.XLOOKUP(Logs[[#This Row],[Cell_ID]],'Registre_Maintenance'!B:B,'Registre_Maintenance'!D:D,"Pas de correspondance")</f>
        <v>Pas de correspondance</v>
      </c>
      <c r="J124" t="str">
        <f>_xlfn.XLOOKUP(Logs[[#This Row],[Cell_ID]],'Registre_Maintenance'!B:B,'Registre_Maintenance'!E:E,"Pas de correspondance")</f>
        <v>Pas de correspondance</v>
      </c>
      <c r="K124" t="str">
        <f>_xlfn.XLOOKUP(Logs[[#This Row],[Cell_ID]],'Registre_Maintenance'!B:B,'Registre_Maintenance'!F:F,"Pas de correspondance")</f>
        <v>Pas de correspondance</v>
      </c>
      <c r="L124" t="str">
        <f>_xlfn.XLOOKUP(Logs[[#This Row],[Cell_ID]],'Registre_Maintenance'!B:B,'Registre_Maintenance'!G:G,"Pas de correspondance")</f>
        <v>Pas de correspondance</v>
      </c>
      <c r="M124" s="1" t="s">
        <v>811</v>
      </c>
      <c r="N124" s="1" t="str">
        <f>_xlfn.XLOOKUP(Logs[[#This Row],[ID_Client]],Clients_Log!B:B,Clients_Log!E:E,"Pas de correspondance")</f>
        <v>Pas de correspondance</v>
      </c>
      <c r="O124" s="4" t="str">
        <f>IFERROR(Logs[[#This Row],[Anciennete_Mois]]/12,"")</f>
        <v/>
      </c>
      <c r="P124" s="1" t="str">
        <f>_xlfn.XLOOKUP(Logs[[#This Row],[ID_Client]],Clients_Log!B:B,Clients_Log!F:F,"Pas de correspondance")</f>
        <v>Pas de correspondance</v>
      </c>
      <c r="Q124" s="1" t="str">
        <f>IF(Logs[[#This Row],[Type_Forfait]]="Pro Monde","B2B","B2C")</f>
        <v>B2C</v>
      </c>
      <c r="R124" s="1" t="str">
        <f>_xlfn.XLOOKUP(Logs[[#This Row],[ID_Client]],Clients_Log!B:B,Clients_Log!G:G,"Pas de correspondance")</f>
        <v>Pas de correspondance</v>
      </c>
      <c r="S124" s="1" t="e">
        <f>Logs[[#This Row],[Duree_Cumulee_Panne_Min]]/1440</f>
        <v>#VALUE!</v>
      </c>
      <c r="T124" s="1" t="str">
        <f>_xlfn.XLOOKUP(Logs[[#This Row],[ID_Client]],Clients_Log!B:B,Clients_Log!H:H,"Pas de correspondance")</f>
        <v>Pas de correspondance</v>
      </c>
      <c r="U124" s="1" t="str">
        <f>_xlfn.XLOOKUP(Logs[[#This Row],[ID_Client]],Clients_Log!B:B,Clients_Log!I:I,"Pas de correspondance")</f>
        <v>Pas de correspondance</v>
      </c>
      <c r="V12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24" s="1" t="e">
        <f>Logs[[#This Row],[Facture_Mensuelle]]*Logs[[#This Row],[Remise (%)]]</f>
        <v>#VALUE!</v>
      </c>
    </row>
    <row r="125" spans="1:23" hidden="1" x14ac:dyDescent="0.25">
      <c r="A125" s="1" t="s">
        <v>897</v>
      </c>
      <c r="B125" s="2">
        <v>45226</v>
      </c>
      <c r="C125" s="1" t="str">
        <f>_xlfn.XLOOKUP(Logs[[#This Row],[Province_RDC]],Clients_Log!D:D,Clients_Log!B:B,"Pas de correspondance")</f>
        <v>Pas de correspondance</v>
      </c>
      <c r="D125" t="str">
        <f>_xlfn.XLOOKUP(Logs[[#This Row],[Cell_ID]],'Registre_Maintenance'!B:B,'Registre_Maintenance'!C:C,"Pas de correspondance")</f>
        <v>Pas de correspondance</v>
      </c>
      <c r="E125" s="3">
        <v>1.3194444444444444E-2</v>
      </c>
      <c r="F125" s="1" t="s">
        <v>922</v>
      </c>
      <c r="G125" s="3">
        <f>Logs[[#This Row],[Duree_Panne_Min]]/1440</f>
        <v>7.4305555555555555E-2</v>
      </c>
      <c r="H125">
        <v>107</v>
      </c>
      <c r="I125" t="str">
        <f>_xlfn.XLOOKUP(Logs[[#This Row],[Cell_ID]],'Registre_Maintenance'!B:B,'Registre_Maintenance'!D:D,"Pas de correspondance")</f>
        <v>Pas de correspondance</v>
      </c>
      <c r="J125" t="str">
        <f>_xlfn.XLOOKUP(Logs[[#This Row],[Cell_ID]],'Registre_Maintenance'!B:B,'Registre_Maintenance'!E:E,"Pas de correspondance")</f>
        <v>Pas de correspondance</v>
      </c>
      <c r="K125" t="str">
        <f>_xlfn.XLOOKUP(Logs[[#This Row],[Cell_ID]],'Registre_Maintenance'!B:B,'Registre_Maintenance'!F:F,"Pas de correspondance")</f>
        <v>Pas de correspondance</v>
      </c>
      <c r="L125" t="str">
        <f>_xlfn.XLOOKUP(Logs[[#This Row],[Cell_ID]],'Registre_Maintenance'!B:B,'Registre_Maintenance'!G:G,"Pas de correspondance")</f>
        <v>Pas de correspondance</v>
      </c>
      <c r="M125" s="1" t="s">
        <v>809</v>
      </c>
      <c r="N125" s="1" t="str">
        <f>_xlfn.XLOOKUP(Logs[[#This Row],[ID_Client]],Clients_Log!B:B,Clients_Log!E:E,"Pas de correspondance")</f>
        <v>Pas de correspondance</v>
      </c>
      <c r="O125" s="4" t="str">
        <f>IFERROR(Logs[[#This Row],[Anciennete_Mois]]/12,"")</f>
        <v/>
      </c>
      <c r="P125" s="1" t="str">
        <f>_xlfn.XLOOKUP(Logs[[#This Row],[ID_Client]],Clients_Log!B:B,Clients_Log!F:F,"Pas de correspondance")</f>
        <v>Pas de correspondance</v>
      </c>
      <c r="Q125" s="1" t="str">
        <f>IF(Logs[[#This Row],[Type_Forfait]]="Pro Monde","B2B","B2C")</f>
        <v>B2C</v>
      </c>
      <c r="R125" s="1" t="str">
        <f>_xlfn.XLOOKUP(Logs[[#This Row],[ID_Client]],Clients_Log!B:B,Clients_Log!G:G,"Pas de correspondance")</f>
        <v>Pas de correspondance</v>
      </c>
      <c r="S125" s="1" t="e">
        <f>Logs[[#This Row],[Duree_Cumulee_Panne_Min]]/1440</f>
        <v>#VALUE!</v>
      </c>
      <c r="T125" s="1" t="str">
        <f>_xlfn.XLOOKUP(Logs[[#This Row],[ID_Client]],Clients_Log!B:B,Clients_Log!H:H,"Pas de correspondance")</f>
        <v>Pas de correspondance</v>
      </c>
      <c r="U125" s="1" t="str">
        <f>_xlfn.XLOOKUP(Logs[[#This Row],[ID_Client]],Clients_Log!B:B,Clients_Log!I:I,"Pas de correspondance")</f>
        <v>Pas de correspondance</v>
      </c>
      <c r="V12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25" s="1" t="e">
        <f>Logs[[#This Row],[Facture_Mensuelle]]*Logs[[#This Row],[Remise (%)]]</f>
        <v>#VALUE!</v>
      </c>
    </row>
    <row r="126" spans="1:23" hidden="1" x14ac:dyDescent="0.25">
      <c r="A126" s="1" t="s">
        <v>897</v>
      </c>
      <c r="B126" s="2">
        <v>45209</v>
      </c>
      <c r="C126" s="1" t="str">
        <f>_xlfn.XLOOKUP(Logs[[#This Row],[Province_RDC]],Clients_Log!D:D,Clients_Log!B:B,"Pas de correspondance")</f>
        <v>Pas de correspondance</v>
      </c>
      <c r="D126" t="str">
        <f>_xlfn.XLOOKUP(Logs[[#This Row],[Cell_ID]],'Registre_Maintenance'!B:B,'Registre_Maintenance'!C:C,"Pas de correspondance")</f>
        <v>Pas de correspondance</v>
      </c>
      <c r="E126" s="3">
        <v>0.26874999999999999</v>
      </c>
      <c r="F126" s="1" t="s">
        <v>923</v>
      </c>
      <c r="G126" s="3">
        <f>Logs[[#This Row],[Duree_Panne_Min]]/1440</f>
        <v>6.5277777777777782E-2</v>
      </c>
      <c r="H126">
        <v>94</v>
      </c>
      <c r="I126" t="str">
        <f>_xlfn.XLOOKUP(Logs[[#This Row],[Cell_ID]],'Registre_Maintenance'!B:B,'Registre_Maintenance'!D:D,"Pas de correspondance")</f>
        <v>Pas de correspondance</v>
      </c>
      <c r="J126" t="str">
        <f>_xlfn.XLOOKUP(Logs[[#This Row],[Cell_ID]],'Registre_Maintenance'!B:B,'Registre_Maintenance'!E:E,"Pas de correspondance")</f>
        <v>Pas de correspondance</v>
      </c>
      <c r="K126" t="str">
        <f>_xlfn.XLOOKUP(Logs[[#This Row],[Cell_ID]],'Registre_Maintenance'!B:B,'Registre_Maintenance'!F:F,"Pas de correspondance")</f>
        <v>Pas de correspondance</v>
      </c>
      <c r="L126" t="str">
        <f>_xlfn.XLOOKUP(Logs[[#This Row],[Cell_ID]],'Registre_Maintenance'!B:B,'Registre_Maintenance'!G:G,"Pas de correspondance")</f>
        <v>Pas de correspondance</v>
      </c>
      <c r="M126" s="1" t="s">
        <v>809</v>
      </c>
      <c r="N126" s="1" t="str">
        <f>_xlfn.XLOOKUP(Logs[[#This Row],[ID_Client]],Clients_Log!B:B,Clients_Log!E:E,"Pas de correspondance")</f>
        <v>Pas de correspondance</v>
      </c>
      <c r="O126" s="4" t="str">
        <f>IFERROR(Logs[[#This Row],[Anciennete_Mois]]/12,"")</f>
        <v/>
      </c>
      <c r="P126" s="1" t="str">
        <f>_xlfn.XLOOKUP(Logs[[#This Row],[ID_Client]],Clients_Log!B:B,Clients_Log!F:F,"Pas de correspondance")</f>
        <v>Pas de correspondance</v>
      </c>
      <c r="Q126" s="1" t="str">
        <f>IF(Logs[[#This Row],[Type_Forfait]]="Pro Monde","B2B","B2C")</f>
        <v>B2C</v>
      </c>
      <c r="R126" s="1" t="str">
        <f>_xlfn.XLOOKUP(Logs[[#This Row],[ID_Client]],Clients_Log!B:B,Clients_Log!G:G,"Pas de correspondance")</f>
        <v>Pas de correspondance</v>
      </c>
      <c r="S126" s="1" t="e">
        <f>Logs[[#This Row],[Duree_Cumulee_Panne_Min]]/1440</f>
        <v>#VALUE!</v>
      </c>
      <c r="T126" s="1" t="str">
        <f>_xlfn.XLOOKUP(Logs[[#This Row],[ID_Client]],Clients_Log!B:B,Clients_Log!H:H,"Pas de correspondance")</f>
        <v>Pas de correspondance</v>
      </c>
      <c r="U126" s="1" t="str">
        <f>_xlfn.XLOOKUP(Logs[[#This Row],[ID_Client]],Clients_Log!B:B,Clients_Log!I:I,"Pas de correspondance")</f>
        <v>Pas de correspondance</v>
      </c>
      <c r="V12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26" s="1" t="e">
        <f>Logs[[#This Row],[Facture_Mensuelle]]*Logs[[#This Row],[Remise (%)]]</f>
        <v>#VALUE!</v>
      </c>
    </row>
    <row r="127" spans="1:23" x14ac:dyDescent="0.25">
      <c r="A127" s="1" t="s">
        <v>897</v>
      </c>
      <c r="B127" s="2">
        <v>45225</v>
      </c>
      <c r="C127" s="1" t="str">
        <f>_xlfn.XLOOKUP(Logs[[#This Row],[Province_RDC]],Clients_Log!D:D,Clients_Log!B:B,"Pas de correspondance")</f>
        <v>CLI-00837</v>
      </c>
      <c r="D127" t="str">
        <f>_xlfn.XLOOKUP(Logs[[#This Row],[Cell_ID]],'Registre_Maintenance'!B:B,'Registre_Maintenance'!C:C,"Pas de correspondance")</f>
        <v>Nord-Kivu</v>
      </c>
      <c r="E127" s="3">
        <v>0.77638888888888891</v>
      </c>
      <c r="F127" s="1" t="s">
        <v>871</v>
      </c>
      <c r="G127" s="3">
        <f>Logs[[#This Row],[Duree_Panne_Min]]/1440</f>
        <v>4.9305555555555554E-2</v>
      </c>
      <c r="H127">
        <v>71</v>
      </c>
      <c r="I127">
        <f>_xlfn.XLOOKUP(Logs[[#This Row],[Cell_ID]],'Registre_Maintenance'!B:B,'Registre_Maintenance'!D:D,"Pas de correspondance")</f>
        <v>0.82868600000000003</v>
      </c>
      <c r="J127">
        <f>_xlfn.XLOOKUP(Logs[[#This Row],[Cell_ID]],'Registre_Maintenance'!B:B,'Registre_Maintenance'!E:E,"Pas de correspondance")</f>
        <v>26.958843999999999</v>
      </c>
      <c r="K127" t="str">
        <f>_xlfn.XLOOKUP(Logs[[#This Row],[Cell_ID]],'Registre_Maintenance'!B:B,'Registre_Maintenance'!F:F,"Pas de correspondance")</f>
        <v>5G</v>
      </c>
      <c r="L127" t="str">
        <f>_xlfn.XLOOKUP(Logs[[#This Row],[Cell_ID]],'Registre_Maintenance'!B:B,'Registre_Maintenance'!G:G,"Pas de correspondance")</f>
        <v>ZTE</v>
      </c>
      <c r="M127" s="1" t="s">
        <v>806</v>
      </c>
      <c r="N127" s="1">
        <f>_xlfn.XLOOKUP(Logs[[#This Row],[ID_Client]],Clients_Log!B:B,Clients_Log!E:E,"Pas de correspondance")</f>
        <v>16</v>
      </c>
      <c r="O127" s="4">
        <f>IFERROR(Logs[[#This Row],[Anciennete_Mois]]/12,"")</f>
        <v>1.3333333333333333</v>
      </c>
      <c r="P127" s="1" t="str">
        <f>_xlfn.XLOOKUP(Logs[[#This Row],[ID_Client]],Clients_Log!B:B,Clients_Log!F:F,"Pas de correspondance")</f>
        <v>Bloqué 5Go</v>
      </c>
      <c r="Q127" s="1" t="str">
        <f>IF(Logs[[#This Row],[Type_Forfait]]="Pro Monde","B2B","B2C")</f>
        <v>B2C</v>
      </c>
      <c r="R127" s="1">
        <f>_xlfn.XLOOKUP(Logs[[#This Row],[ID_Client]],Clients_Log!B:B,Clients_Log!G:G,"Pas de correspondance")</f>
        <v>390</v>
      </c>
      <c r="S127" s="3">
        <f>Logs[[#This Row],[Duree_Cumulee_Panne_Min]]/1440</f>
        <v>0.27083333333333331</v>
      </c>
      <c r="T127" s="1">
        <f>_xlfn.XLOOKUP(Logs[[#This Row],[ID_Client]],Clients_Log!B:B,Clients_Log!H:H,"Pas de correspondance")</f>
        <v>98.17</v>
      </c>
      <c r="U127" s="1">
        <f>_xlfn.XLOOKUP(Logs[[#This Row],[ID_Client]],Clients_Log!B:B,Clients_Log!I:I,"Pas de correspondance")</f>
        <v>5</v>
      </c>
      <c r="V12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27" s="1">
        <f>Logs[[#This Row],[Facture_Mensuelle]]*Logs[[#This Row],[Remise (%)]]</f>
        <v>44.176500000000004</v>
      </c>
    </row>
    <row r="128" spans="1:23" hidden="1" x14ac:dyDescent="0.25">
      <c r="A128" s="1" t="s">
        <v>897</v>
      </c>
      <c r="B128" s="2">
        <v>45220</v>
      </c>
      <c r="C128" s="1" t="str">
        <f>_xlfn.XLOOKUP(Logs[[#This Row],[Province_RDC]],Clients_Log!D:D,Clients_Log!B:B,"Pas de correspondance")</f>
        <v>Pas de correspondance</v>
      </c>
      <c r="D128" t="str">
        <f>_xlfn.XLOOKUP(Logs[[#This Row],[Cell_ID]],'Registre_Maintenance'!B:B,'Registre_Maintenance'!C:C,"Pas de correspondance")</f>
        <v>Pas de correspondance</v>
      </c>
      <c r="E128" s="3">
        <v>0.43680555555555556</v>
      </c>
      <c r="F128" s="1" t="s">
        <v>866</v>
      </c>
      <c r="G128" s="3">
        <f>Logs[[#This Row],[Duree_Panne_Min]]/1440</f>
        <v>4.4444444444444446E-2</v>
      </c>
      <c r="H128">
        <v>64</v>
      </c>
      <c r="I128" t="str">
        <f>_xlfn.XLOOKUP(Logs[[#This Row],[Cell_ID]],'Registre_Maintenance'!B:B,'Registre_Maintenance'!D:D,"Pas de correspondance")</f>
        <v>Pas de correspondance</v>
      </c>
      <c r="J128" t="str">
        <f>_xlfn.XLOOKUP(Logs[[#This Row],[Cell_ID]],'Registre_Maintenance'!B:B,'Registre_Maintenance'!E:E,"Pas de correspondance")</f>
        <v>Pas de correspondance</v>
      </c>
      <c r="K128" t="str">
        <f>_xlfn.XLOOKUP(Logs[[#This Row],[Cell_ID]],'Registre_Maintenance'!B:B,'Registre_Maintenance'!F:F,"Pas de correspondance")</f>
        <v>Pas de correspondance</v>
      </c>
      <c r="L128" t="str">
        <f>_xlfn.XLOOKUP(Logs[[#This Row],[Cell_ID]],'Registre_Maintenance'!B:B,'Registre_Maintenance'!G:G,"Pas de correspondance")</f>
        <v>Pas de correspondance</v>
      </c>
      <c r="M128" s="1" t="s">
        <v>809</v>
      </c>
      <c r="N128" s="1" t="str">
        <f>_xlfn.XLOOKUP(Logs[[#This Row],[ID_Client]],Clients_Log!B:B,Clients_Log!E:E,"Pas de correspondance")</f>
        <v>Pas de correspondance</v>
      </c>
      <c r="O128" s="4" t="str">
        <f>IFERROR(Logs[[#This Row],[Anciennete_Mois]]/12,"")</f>
        <v/>
      </c>
      <c r="P128" s="1" t="str">
        <f>_xlfn.XLOOKUP(Logs[[#This Row],[ID_Client]],Clients_Log!B:B,Clients_Log!F:F,"Pas de correspondance")</f>
        <v>Pas de correspondance</v>
      </c>
      <c r="Q128" s="1" t="str">
        <f>IF(Logs[[#This Row],[Type_Forfait]]="Pro Monde","B2B","B2C")</f>
        <v>B2C</v>
      </c>
      <c r="R128" s="1" t="str">
        <f>_xlfn.XLOOKUP(Logs[[#This Row],[ID_Client]],Clients_Log!B:B,Clients_Log!G:G,"Pas de correspondance")</f>
        <v>Pas de correspondance</v>
      </c>
      <c r="S128" s="1" t="e">
        <f>Logs[[#This Row],[Duree_Cumulee_Panne_Min]]/1440</f>
        <v>#VALUE!</v>
      </c>
      <c r="T128" s="1" t="str">
        <f>_xlfn.XLOOKUP(Logs[[#This Row],[ID_Client]],Clients_Log!B:B,Clients_Log!H:H,"Pas de correspondance")</f>
        <v>Pas de correspondance</v>
      </c>
      <c r="U128" s="1" t="str">
        <f>_xlfn.XLOOKUP(Logs[[#This Row],[ID_Client]],Clients_Log!B:B,Clients_Log!I:I,"Pas de correspondance")</f>
        <v>Pas de correspondance</v>
      </c>
      <c r="V12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28" s="1" t="e">
        <f>Logs[[#This Row],[Facture_Mensuelle]]*Logs[[#This Row],[Remise (%)]]</f>
        <v>#VALUE!</v>
      </c>
    </row>
    <row r="129" spans="1:23" hidden="1" x14ac:dyDescent="0.25">
      <c r="A129" s="1" t="s">
        <v>897</v>
      </c>
      <c r="B129" s="2">
        <v>45214</v>
      </c>
      <c r="C129" s="1" t="str">
        <f>_xlfn.XLOOKUP(Logs[[#This Row],[Province_RDC]],Clients_Log!D:D,Clients_Log!B:B,"Pas de correspondance")</f>
        <v>Pas de correspondance</v>
      </c>
      <c r="D129" t="str">
        <f>_xlfn.XLOOKUP(Logs[[#This Row],[Cell_ID]],'Registre_Maintenance'!B:B,'Registre_Maintenance'!C:C,"Pas de correspondance")</f>
        <v>Pas de correspondance</v>
      </c>
      <c r="E129" s="3">
        <v>0.61319444444444449</v>
      </c>
      <c r="F129" s="1" t="s">
        <v>924</v>
      </c>
      <c r="G129" s="3">
        <f>Logs[[#This Row],[Duree_Panne_Min]]/1440</f>
        <v>7.6388888888888886E-3</v>
      </c>
      <c r="H129">
        <v>11</v>
      </c>
      <c r="I129" t="str">
        <f>_xlfn.XLOOKUP(Logs[[#This Row],[Cell_ID]],'Registre_Maintenance'!B:B,'Registre_Maintenance'!D:D,"Pas de correspondance")</f>
        <v>Pas de correspondance</v>
      </c>
      <c r="J129" t="str">
        <f>_xlfn.XLOOKUP(Logs[[#This Row],[Cell_ID]],'Registre_Maintenance'!B:B,'Registre_Maintenance'!E:E,"Pas de correspondance")</f>
        <v>Pas de correspondance</v>
      </c>
      <c r="K129" t="str">
        <f>_xlfn.XLOOKUP(Logs[[#This Row],[Cell_ID]],'Registre_Maintenance'!B:B,'Registre_Maintenance'!F:F,"Pas de correspondance")</f>
        <v>Pas de correspondance</v>
      </c>
      <c r="L129" t="str">
        <f>_xlfn.XLOOKUP(Logs[[#This Row],[Cell_ID]],'Registre_Maintenance'!B:B,'Registre_Maintenance'!G:G,"Pas de correspondance")</f>
        <v>Pas de correspondance</v>
      </c>
      <c r="M129" s="1" t="s">
        <v>811</v>
      </c>
      <c r="N129" s="1" t="str">
        <f>_xlfn.XLOOKUP(Logs[[#This Row],[ID_Client]],Clients_Log!B:B,Clients_Log!E:E,"Pas de correspondance")</f>
        <v>Pas de correspondance</v>
      </c>
      <c r="O129" s="4" t="str">
        <f>IFERROR(Logs[[#This Row],[Anciennete_Mois]]/12,"")</f>
        <v/>
      </c>
      <c r="P129" s="1" t="str">
        <f>_xlfn.XLOOKUP(Logs[[#This Row],[ID_Client]],Clients_Log!B:B,Clients_Log!F:F,"Pas de correspondance")</f>
        <v>Pas de correspondance</v>
      </c>
      <c r="Q129" s="1" t="str">
        <f>IF(Logs[[#This Row],[Type_Forfait]]="Pro Monde","B2B","B2C")</f>
        <v>B2C</v>
      </c>
      <c r="R129" s="1" t="str">
        <f>_xlfn.XLOOKUP(Logs[[#This Row],[ID_Client]],Clients_Log!B:B,Clients_Log!G:G,"Pas de correspondance")</f>
        <v>Pas de correspondance</v>
      </c>
      <c r="S129" s="1" t="e">
        <f>Logs[[#This Row],[Duree_Cumulee_Panne_Min]]/1440</f>
        <v>#VALUE!</v>
      </c>
      <c r="T129" s="1" t="str">
        <f>_xlfn.XLOOKUP(Logs[[#This Row],[ID_Client]],Clients_Log!B:B,Clients_Log!H:H,"Pas de correspondance")</f>
        <v>Pas de correspondance</v>
      </c>
      <c r="U129" s="1" t="str">
        <f>_xlfn.XLOOKUP(Logs[[#This Row],[ID_Client]],Clients_Log!B:B,Clients_Log!I:I,"Pas de correspondance")</f>
        <v>Pas de correspondance</v>
      </c>
      <c r="V12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29" s="1" t="e">
        <f>Logs[[#This Row],[Facture_Mensuelle]]*Logs[[#This Row],[Remise (%)]]</f>
        <v>#VALUE!</v>
      </c>
    </row>
    <row r="130" spans="1:23" x14ac:dyDescent="0.25">
      <c r="A130" s="1" t="s">
        <v>897</v>
      </c>
      <c r="B130" s="2">
        <v>45206</v>
      </c>
      <c r="C130" s="1" t="str">
        <f>_xlfn.XLOOKUP(Logs[[#This Row],[Province_RDC]],Clients_Log!D:D,Clients_Log!B:B,"Pas de correspondance")</f>
        <v>CLI-00439</v>
      </c>
      <c r="D130" t="str">
        <f>_xlfn.XLOOKUP(Logs[[#This Row],[Cell_ID]],'Registre_Maintenance'!B:B,'Registre_Maintenance'!C:C,"Pas de correspondance")</f>
        <v>Haut-Uele</v>
      </c>
      <c r="E130" s="3">
        <v>0.6875</v>
      </c>
      <c r="F130" s="1" t="s">
        <v>925</v>
      </c>
      <c r="G130" s="3">
        <f>Logs[[#This Row],[Duree_Panne_Min]]/1440</f>
        <v>5.2777777777777778E-2</v>
      </c>
      <c r="H130">
        <v>76</v>
      </c>
      <c r="I130">
        <f>_xlfn.XLOOKUP(Logs[[#This Row],[Cell_ID]],'Registre_Maintenance'!B:B,'Registre_Maintenance'!D:D,"Pas de correspondance")</f>
        <v>-12.100756000000001</v>
      </c>
      <c r="J130">
        <f>_xlfn.XLOOKUP(Logs[[#This Row],[Cell_ID]],'Registre_Maintenance'!B:B,'Registre_Maintenance'!E:E,"Pas de correspondance")</f>
        <v>21.938649999999999</v>
      </c>
      <c r="K130" t="str">
        <f>_xlfn.XLOOKUP(Logs[[#This Row],[Cell_ID]],'Registre_Maintenance'!B:B,'Registre_Maintenance'!F:F,"Pas de correspondance")</f>
        <v>4G</v>
      </c>
      <c r="L130" t="str">
        <f>_xlfn.XLOOKUP(Logs[[#This Row],[Cell_ID]],'Registre_Maintenance'!B:B,'Registre_Maintenance'!G:G,"Pas de correspondance")</f>
        <v>Huawei</v>
      </c>
      <c r="M130" s="1" t="s">
        <v>811</v>
      </c>
      <c r="N130" s="1">
        <f>_xlfn.XLOOKUP(Logs[[#This Row],[ID_Client]],Clients_Log!B:B,Clients_Log!E:E,"Pas de correspondance")</f>
        <v>40</v>
      </c>
      <c r="O130" s="4">
        <f>IFERROR(Logs[[#This Row],[Anciennete_Mois]]/12,"")</f>
        <v>3.3333333333333335</v>
      </c>
      <c r="P130" s="1" t="str">
        <f>_xlfn.XLOOKUP(Logs[[#This Row],[ID_Client]],Clients_Log!B:B,Clients_Log!F:F,"Pas de correspondance")</f>
        <v>Premium 5G 150Go</v>
      </c>
      <c r="Q130" s="1" t="str">
        <f>IF(Logs[[#This Row],[Type_Forfait]]="Pro Monde","B2B","B2C")</f>
        <v>B2C</v>
      </c>
      <c r="R130" s="1">
        <f>_xlfn.XLOOKUP(Logs[[#This Row],[ID_Client]],Clients_Log!B:B,Clients_Log!G:G,"Pas de correspondance")</f>
        <v>345</v>
      </c>
      <c r="S130" s="3">
        <f>Logs[[#This Row],[Duree_Cumulee_Panne_Min]]/1440</f>
        <v>0.23958333333333334</v>
      </c>
      <c r="T130" s="1">
        <f>_xlfn.XLOOKUP(Logs[[#This Row],[ID_Client]],Clients_Log!B:B,Clients_Log!H:H,"Pas de correspondance")</f>
        <v>89.55</v>
      </c>
      <c r="U130" s="1">
        <f>_xlfn.XLOOKUP(Logs[[#This Row],[ID_Client]],Clients_Log!B:B,Clients_Log!I:I,"Pas de correspondance")</f>
        <v>3</v>
      </c>
      <c r="V13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30" s="1">
        <f>Logs[[#This Row],[Facture_Mensuelle]]*Logs[[#This Row],[Remise (%)]]</f>
        <v>40.297499999999999</v>
      </c>
    </row>
    <row r="131" spans="1:23" x14ac:dyDescent="0.25">
      <c r="A131" s="1" t="s">
        <v>897</v>
      </c>
      <c r="B131" s="2">
        <v>45225</v>
      </c>
      <c r="C131" s="1" t="str">
        <f>_xlfn.XLOOKUP(Logs[[#This Row],[Province_RDC]],Clients_Log!D:D,Clients_Log!B:B,"Pas de correspondance")</f>
        <v>CLI-01618</v>
      </c>
      <c r="D131" t="str">
        <f>_xlfn.XLOOKUP(Logs[[#This Row],[Cell_ID]],'Registre_Maintenance'!B:B,'Registre_Maintenance'!C:C,"Pas de correspondance")</f>
        <v>Tanganyika</v>
      </c>
      <c r="E131" s="3">
        <v>0.96527777777777779</v>
      </c>
      <c r="F131" s="1" t="s">
        <v>926</v>
      </c>
      <c r="G131" s="3">
        <f>Logs[[#This Row],[Duree_Panne_Min]]/1440</f>
        <v>2.5000000000000001E-2</v>
      </c>
      <c r="H131">
        <v>36</v>
      </c>
      <c r="I131">
        <f>_xlfn.XLOOKUP(Logs[[#This Row],[Cell_ID]],'Registre_Maintenance'!B:B,'Registre_Maintenance'!D:D,"Pas de correspondance")</f>
        <v>-9.002459</v>
      </c>
      <c r="J131">
        <f>_xlfn.XLOOKUP(Logs[[#This Row],[Cell_ID]],'Registre_Maintenance'!B:B,'Registre_Maintenance'!E:E,"Pas de correspondance")</f>
        <v>25.182109000000001</v>
      </c>
      <c r="K131" t="str">
        <f>_xlfn.XLOOKUP(Logs[[#This Row],[Cell_ID]],'Registre_Maintenance'!B:B,'Registre_Maintenance'!F:F,"Pas de correspondance")</f>
        <v>5G</v>
      </c>
      <c r="L131" t="str">
        <f>_xlfn.XLOOKUP(Logs[[#This Row],[Cell_ID]],'Registre_Maintenance'!B:B,'Registre_Maintenance'!G:G,"Pas de correspondance")</f>
        <v>Huawei</v>
      </c>
      <c r="M131" s="1" t="s">
        <v>806</v>
      </c>
      <c r="N131" s="1">
        <f>_xlfn.XLOOKUP(Logs[[#This Row],[ID_Client]],Clients_Log!B:B,Clients_Log!E:E,"Pas de correspondance")</f>
        <v>115</v>
      </c>
      <c r="O131" s="4">
        <f>IFERROR(Logs[[#This Row],[Anciennete_Mois]]/12,"")</f>
        <v>9.5833333333333339</v>
      </c>
      <c r="P131" s="1" t="str">
        <f>_xlfn.XLOOKUP(Logs[[#This Row],[ID_Client]],Clients_Log!B:B,Clients_Log!F:F,"Pas de correspondance")</f>
        <v>Bloqué 5Go</v>
      </c>
      <c r="Q131" s="1" t="str">
        <f>IF(Logs[[#This Row],[Type_Forfait]]="Pro Monde","B2B","B2C")</f>
        <v>B2C</v>
      </c>
      <c r="R131" s="1">
        <f>_xlfn.XLOOKUP(Logs[[#This Row],[ID_Client]],Clients_Log!B:B,Clients_Log!G:G,"Pas de correspondance")</f>
        <v>176</v>
      </c>
      <c r="S131" s="3">
        <f>Logs[[#This Row],[Duree_Cumulee_Panne_Min]]/1440</f>
        <v>0.12222222222222222</v>
      </c>
      <c r="T131" s="1">
        <f>_xlfn.XLOOKUP(Logs[[#This Row],[ID_Client]],Clients_Log!B:B,Clients_Log!H:H,"Pas de correspondance")</f>
        <v>33.28</v>
      </c>
      <c r="U131" s="1">
        <f>_xlfn.XLOOKUP(Logs[[#This Row],[ID_Client]],Clients_Log!B:B,Clients_Log!I:I,"Pas de correspondance")</f>
        <v>4</v>
      </c>
      <c r="V13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31" s="1">
        <f>Logs[[#This Row],[Facture_Mensuelle]]*Logs[[#This Row],[Remise (%)]]</f>
        <v>0</v>
      </c>
    </row>
    <row r="132" spans="1:23" hidden="1" x14ac:dyDescent="0.25">
      <c r="A132" s="1" t="s">
        <v>897</v>
      </c>
      <c r="B132" s="2">
        <v>45221</v>
      </c>
      <c r="C132" s="1" t="str">
        <f>_xlfn.XLOOKUP(Logs[[#This Row],[Province_RDC]],Clients_Log!D:D,Clients_Log!B:B,"Pas de correspondance")</f>
        <v>Pas de correspondance</v>
      </c>
      <c r="D132" t="str">
        <f>_xlfn.XLOOKUP(Logs[[#This Row],[Cell_ID]],'Registre_Maintenance'!B:B,'Registre_Maintenance'!C:C,"Pas de correspondance")</f>
        <v>Pas de correspondance</v>
      </c>
      <c r="E132" s="3">
        <v>9.583333333333334E-2</v>
      </c>
      <c r="F132" s="1" t="s">
        <v>927</v>
      </c>
      <c r="G132" s="3">
        <f>Logs[[#This Row],[Duree_Panne_Min]]/1440</f>
        <v>7.8472222222222221E-2</v>
      </c>
      <c r="H132">
        <v>113</v>
      </c>
      <c r="I132" t="str">
        <f>_xlfn.XLOOKUP(Logs[[#This Row],[Cell_ID]],'Registre_Maintenance'!B:B,'Registre_Maintenance'!D:D,"Pas de correspondance")</f>
        <v>Pas de correspondance</v>
      </c>
      <c r="J132" t="str">
        <f>_xlfn.XLOOKUP(Logs[[#This Row],[Cell_ID]],'Registre_Maintenance'!B:B,'Registre_Maintenance'!E:E,"Pas de correspondance")</f>
        <v>Pas de correspondance</v>
      </c>
      <c r="K132" t="str">
        <f>_xlfn.XLOOKUP(Logs[[#This Row],[Cell_ID]],'Registre_Maintenance'!B:B,'Registre_Maintenance'!F:F,"Pas de correspondance")</f>
        <v>Pas de correspondance</v>
      </c>
      <c r="L132" t="str">
        <f>_xlfn.XLOOKUP(Logs[[#This Row],[Cell_ID]],'Registre_Maintenance'!B:B,'Registre_Maintenance'!G:G,"Pas de correspondance")</f>
        <v>Pas de correspondance</v>
      </c>
      <c r="M132" s="1" t="s">
        <v>811</v>
      </c>
      <c r="N132" s="1" t="str">
        <f>_xlfn.XLOOKUP(Logs[[#This Row],[ID_Client]],Clients_Log!B:B,Clients_Log!E:E,"Pas de correspondance")</f>
        <v>Pas de correspondance</v>
      </c>
      <c r="O132" s="4" t="str">
        <f>IFERROR(Logs[[#This Row],[Anciennete_Mois]]/12,"")</f>
        <v/>
      </c>
      <c r="P132" s="1" t="str">
        <f>_xlfn.XLOOKUP(Logs[[#This Row],[ID_Client]],Clients_Log!B:B,Clients_Log!F:F,"Pas de correspondance")</f>
        <v>Pas de correspondance</v>
      </c>
      <c r="Q132" s="1" t="str">
        <f>IF(Logs[[#This Row],[Type_Forfait]]="Pro Monde","B2B","B2C")</f>
        <v>B2C</v>
      </c>
      <c r="R132" s="1" t="str">
        <f>_xlfn.XLOOKUP(Logs[[#This Row],[ID_Client]],Clients_Log!B:B,Clients_Log!G:G,"Pas de correspondance")</f>
        <v>Pas de correspondance</v>
      </c>
      <c r="S132" s="1" t="e">
        <f>Logs[[#This Row],[Duree_Cumulee_Panne_Min]]/1440</f>
        <v>#VALUE!</v>
      </c>
      <c r="T132" s="1" t="str">
        <f>_xlfn.XLOOKUP(Logs[[#This Row],[ID_Client]],Clients_Log!B:B,Clients_Log!H:H,"Pas de correspondance")</f>
        <v>Pas de correspondance</v>
      </c>
      <c r="U132" s="1" t="str">
        <f>_xlfn.XLOOKUP(Logs[[#This Row],[ID_Client]],Clients_Log!B:B,Clients_Log!I:I,"Pas de correspondance")</f>
        <v>Pas de correspondance</v>
      </c>
      <c r="V13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32" s="1" t="e">
        <f>Logs[[#This Row],[Facture_Mensuelle]]*Logs[[#This Row],[Remise (%)]]</f>
        <v>#VALUE!</v>
      </c>
    </row>
    <row r="133" spans="1:23" x14ac:dyDescent="0.25">
      <c r="A133" s="1" t="s">
        <v>897</v>
      </c>
      <c r="B133" s="2">
        <v>45216</v>
      </c>
      <c r="C133" s="1" t="str">
        <f>_xlfn.XLOOKUP(Logs[[#This Row],[Province_RDC]],Clients_Log!D:D,Clients_Log!B:B,"Pas de correspondance")</f>
        <v>CLI-00996</v>
      </c>
      <c r="D133" t="str">
        <f>_xlfn.XLOOKUP(Logs[[#This Row],[Cell_ID]],'Registre_Maintenance'!B:B,'Registre_Maintenance'!C:C,"Pas de correspondance")</f>
        <v>Kwilu</v>
      </c>
      <c r="E133" s="3">
        <v>0.90277777777777779</v>
      </c>
      <c r="F133" s="1" t="s">
        <v>928</v>
      </c>
      <c r="G133" s="3">
        <f>Logs[[#This Row],[Duree_Panne_Min]]/1440</f>
        <v>1.3888888888888888E-2</v>
      </c>
      <c r="H133">
        <v>20</v>
      </c>
      <c r="I133">
        <f>_xlfn.XLOOKUP(Logs[[#This Row],[Cell_ID]],'Registre_Maintenance'!B:B,'Registre_Maintenance'!D:D,"Pas de correspondance")</f>
        <v>-4.2408359999999998</v>
      </c>
      <c r="J133">
        <f>_xlfn.XLOOKUP(Logs[[#This Row],[Cell_ID]],'Registre_Maintenance'!B:B,'Registre_Maintenance'!E:E,"Pas de correspondance")</f>
        <v>26.210014000000001</v>
      </c>
      <c r="K133" t="str">
        <f>_xlfn.XLOOKUP(Logs[[#This Row],[Cell_ID]],'Registre_Maintenance'!B:B,'Registre_Maintenance'!F:F,"Pas de correspondance")</f>
        <v>4G</v>
      </c>
      <c r="L133" t="str">
        <f>_xlfn.XLOOKUP(Logs[[#This Row],[Cell_ID]],'Registre_Maintenance'!B:B,'Registre_Maintenance'!G:G,"Pas de correspondance")</f>
        <v>Huawei</v>
      </c>
      <c r="M133" s="1" t="s">
        <v>811</v>
      </c>
      <c r="N133" s="1">
        <f>_xlfn.XLOOKUP(Logs[[#This Row],[ID_Client]],Clients_Log!B:B,Clients_Log!E:E,"Pas de correspondance")</f>
        <v>119</v>
      </c>
      <c r="O133" s="4">
        <f>IFERROR(Logs[[#This Row],[Anciennete_Mois]]/12,"")</f>
        <v>9.9166666666666661</v>
      </c>
      <c r="P133" s="1" t="str">
        <f>_xlfn.XLOOKUP(Logs[[#This Row],[ID_Client]],Clients_Log!B:B,Clients_Log!F:F,"Pas de correspondance")</f>
        <v>Illimité 50Go</v>
      </c>
      <c r="Q133" s="1" t="str">
        <f>IF(Logs[[#This Row],[Type_Forfait]]="Pro Monde","B2B","B2C")</f>
        <v>B2C</v>
      </c>
      <c r="R133" s="1">
        <f>_xlfn.XLOOKUP(Logs[[#This Row],[ID_Client]],Clients_Log!B:B,Clients_Log!G:G,"Pas de correspondance")</f>
        <v>228</v>
      </c>
      <c r="S133" s="3">
        <f>Logs[[#This Row],[Duree_Cumulee_Panne_Min]]/1440</f>
        <v>0.15833333333333333</v>
      </c>
      <c r="T133" s="1">
        <f>_xlfn.XLOOKUP(Logs[[#This Row],[ID_Client]],Clients_Log!B:B,Clients_Log!H:H,"Pas de correspondance")</f>
        <v>94.72</v>
      </c>
      <c r="U133" s="1">
        <f>_xlfn.XLOOKUP(Logs[[#This Row],[ID_Client]],Clients_Log!B:B,Clients_Log!I:I,"Pas de correspondance")</f>
        <v>3</v>
      </c>
      <c r="V13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33" s="1">
        <f>Logs[[#This Row],[Facture_Mensuelle]]*Logs[[#This Row],[Remise (%)]]</f>
        <v>0</v>
      </c>
    </row>
    <row r="134" spans="1:23" x14ac:dyDescent="0.25">
      <c r="A134" s="1" t="s">
        <v>897</v>
      </c>
      <c r="B134" s="2">
        <v>45219</v>
      </c>
      <c r="C134" s="1" t="str">
        <f>_xlfn.XLOOKUP(Logs[[#This Row],[Province_RDC]],Clients_Log!D:D,Clients_Log!B:B,"Pas de correspondance")</f>
        <v>CLI-00131</v>
      </c>
      <c r="D134" t="str">
        <f>_xlfn.XLOOKUP(Logs[[#This Row],[Cell_ID]],'Registre_Maintenance'!B:B,'Registre_Maintenance'!C:C,"Pas de correspondance")</f>
        <v>Lomami</v>
      </c>
      <c r="E134" s="3">
        <v>0.4201388888888889</v>
      </c>
      <c r="F134" s="1" t="s">
        <v>929</v>
      </c>
      <c r="G134" s="3">
        <f>Logs[[#This Row],[Duree_Panne_Min]]/1440</f>
        <v>4.3749999999999997E-2</v>
      </c>
      <c r="H134">
        <v>63</v>
      </c>
      <c r="I134">
        <f>_xlfn.XLOOKUP(Logs[[#This Row],[Cell_ID]],'Registre_Maintenance'!B:B,'Registre_Maintenance'!D:D,"Pas de correspondance")</f>
        <v>-9.9875139999999991</v>
      </c>
      <c r="J134">
        <f>_xlfn.XLOOKUP(Logs[[#This Row],[Cell_ID]],'Registre_Maintenance'!B:B,'Registre_Maintenance'!E:E,"Pas de correspondance")</f>
        <v>12.013676999999999</v>
      </c>
      <c r="K134" t="str">
        <f>_xlfn.XLOOKUP(Logs[[#This Row],[Cell_ID]],'Registre_Maintenance'!B:B,'Registre_Maintenance'!F:F,"Pas de correspondance")</f>
        <v>3G</v>
      </c>
      <c r="L134" t="str">
        <f>_xlfn.XLOOKUP(Logs[[#This Row],[Cell_ID]],'Registre_Maintenance'!B:B,'Registre_Maintenance'!G:G,"Pas de correspondance")</f>
        <v>ZTE</v>
      </c>
      <c r="M134" s="1" t="s">
        <v>811</v>
      </c>
      <c r="N134" s="1">
        <f>_xlfn.XLOOKUP(Logs[[#This Row],[ID_Client]],Clients_Log!B:B,Clients_Log!E:E,"Pas de correspondance")</f>
        <v>101</v>
      </c>
      <c r="O134" s="4">
        <f>IFERROR(Logs[[#This Row],[Anciennete_Mois]]/12,"")</f>
        <v>8.4166666666666661</v>
      </c>
      <c r="P134" s="1" t="str">
        <f>_xlfn.XLOOKUP(Logs[[#This Row],[ID_Client]],Clients_Log!B:B,Clients_Log!F:F,"Pas de correspondance")</f>
        <v>Pro Monde</v>
      </c>
      <c r="Q134" s="1" t="str">
        <f>IF(Logs[[#This Row],[Type_Forfait]]="Pro Monde","B2B","B2C")</f>
        <v>B2B</v>
      </c>
      <c r="R134" s="1">
        <f>_xlfn.XLOOKUP(Logs[[#This Row],[ID_Client]],Clients_Log!B:B,Clients_Log!G:G,"Pas de correspondance")</f>
        <v>176</v>
      </c>
      <c r="S134" s="3">
        <f>Logs[[#This Row],[Duree_Cumulee_Panne_Min]]/1440</f>
        <v>0.12222222222222222</v>
      </c>
      <c r="T134" s="1">
        <f>_xlfn.XLOOKUP(Logs[[#This Row],[ID_Client]],Clients_Log!B:B,Clients_Log!H:H,"Pas de correspondance")</f>
        <v>86</v>
      </c>
      <c r="U134" s="1">
        <f>_xlfn.XLOOKUP(Logs[[#This Row],[ID_Client]],Clients_Log!B:B,Clients_Log!I:I,"Pas de correspondance")</f>
        <v>3</v>
      </c>
      <c r="V13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134" s="1">
        <f>Logs[[#This Row],[Facture_Mensuelle]]*Logs[[#This Row],[Remise (%)]]</f>
        <v>8.6</v>
      </c>
    </row>
    <row r="135" spans="1:23" hidden="1" x14ac:dyDescent="0.25">
      <c r="A135" s="1" t="s">
        <v>897</v>
      </c>
      <c r="B135" s="2">
        <v>45226</v>
      </c>
      <c r="C135" s="1" t="str">
        <f>_xlfn.XLOOKUP(Logs[[#This Row],[Province_RDC]],Clients_Log!D:D,Clients_Log!B:B,"Pas de correspondance")</f>
        <v>Pas de correspondance</v>
      </c>
      <c r="D135" t="str">
        <f>_xlfn.XLOOKUP(Logs[[#This Row],[Cell_ID]],'Registre_Maintenance'!B:B,'Registre_Maintenance'!C:C,"Pas de correspondance")</f>
        <v>Pas de correspondance</v>
      </c>
      <c r="E135" s="3">
        <v>0.3215277777777778</v>
      </c>
      <c r="F135" s="1" t="s">
        <v>930</v>
      </c>
      <c r="G135" s="3">
        <f>Logs[[#This Row],[Duree_Panne_Min]]/1440</f>
        <v>1.5277777777777777E-2</v>
      </c>
      <c r="H135">
        <v>22</v>
      </c>
      <c r="I135" t="str">
        <f>_xlfn.XLOOKUP(Logs[[#This Row],[Cell_ID]],'Registre_Maintenance'!B:B,'Registre_Maintenance'!D:D,"Pas de correspondance")</f>
        <v>Pas de correspondance</v>
      </c>
      <c r="J135" t="str">
        <f>_xlfn.XLOOKUP(Logs[[#This Row],[Cell_ID]],'Registre_Maintenance'!B:B,'Registre_Maintenance'!E:E,"Pas de correspondance")</f>
        <v>Pas de correspondance</v>
      </c>
      <c r="K135" t="str">
        <f>_xlfn.XLOOKUP(Logs[[#This Row],[Cell_ID]],'Registre_Maintenance'!B:B,'Registre_Maintenance'!F:F,"Pas de correspondance")</f>
        <v>Pas de correspondance</v>
      </c>
      <c r="L135" t="str">
        <f>_xlfn.XLOOKUP(Logs[[#This Row],[Cell_ID]],'Registre_Maintenance'!B:B,'Registre_Maintenance'!G:G,"Pas de correspondance")</f>
        <v>Pas de correspondance</v>
      </c>
      <c r="M135" s="1" t="s">
        <v>811</v>
      </c>
      <c r="N135" s="1" t="str">
        <f>_xlfn.XLOOKUP(Logs[[#This Row],[ID_Client]],Clients_Log!B:B,Clients_Log!E:E,"Pas de correspondance")</f>
        <v>Pas de correspondance</v>
      </c>
      <c r="O135" s="4" t="str">
        <f>IFERROR(Logs[[#This Row],[Anciennete_Mois]]/12,"")</f>
        <v/>
      </c>
      <c r="P135" s="1" t="str">
        <f>_xlfn.XLOOKUP(Logs[[#This Row],[ID_Client]],Clients_Log!B:B,Clients_Log!F:F,"Pas de correspondance")</f>
        <v>Pas de correspondance</v>
      </c>
      <c r="Q135" s="1" t="str">
        <f>IF(Logs[[#This Row],[Type_Forfait]]="Pro Monde","B2B","B2C")</f>
        <v>B2C</v>
      </c>
      <c r="R135" s="1" t="str">
        <f>_xlfn.XLOOKUP(Logs[[#This Row],[ID_Client]],Clients_Log!B:B,Clients_Log!G:G,"Pas de correspondance")</f>
        <v>Pas de correspondance</v>
      </c>
      <c r="S135" s="1" t="e">
        <f>Logs[[#This Row],[Duree_Cumulee_Panne_Min]]/1440</f>
        <v>#VALUE!</v>
      </c>
      <c r="T135" s="1" t="str">
        <f>_xlfn.XLOOKUP(Logs[[#This Row],[ID_Client]],Clients_Log!B:B,Clients_Log!H:H,"Pas de correspondance")</f>
        <v>Pas de correspondance</v>
      </c>
      <c r="U135" s="1" t="str">
        <f>_xlfn.XLOOKUP(Logs[[#This Row],[ID_Client]],Clients_Log!B:B,Clients_Log!I:I,"Pas de correspondance")</f>
        <v>Pas de correspondance</v>
      </c>
      <c r="V13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35" s="1" t="e">
        <f>Logs[[#This Row],[Facture_Mensuelle]]*Logs[[#This Row],[Remise (%)]]</f>
        <v>#VALUE!</v>
      </c>
    </row>
    <row r="136" spans="1:23" x14ac:dyDescent="0.25">
      <c r="A136" s="1" t="s">
        <v>897</v>
      </c>
      <c r="B136" s="2">
        <v>45209</v>
      </c>
      <c r="C136" s="1" t="str">
        <f>_xlfn.XLOOKUP(Logs[[#This Row],[Province_RDC]],Clients_Log!D:D,Clients_Log!B:B,"Pas de correspondance")</f>
        <v>CLI-00643</v>
      </c>
      <c r="D136" t="str">
        <f>_xlfn.XLOOKUP(Logs[[#This Row],[Cell_ID]],'Registre_Maintenance'!B:B,'Registre_Maintenance'!C:C,"Pas de correspondance")</f>
        <v>Equateur</v>
      </c>
      <c r="E136" s="3">
        <v>0.32708333333333334</v>
      </c>
      <c r="F136" s="1" t="s">
        <v>931</v>
      </c>
      <c r="G136" s="3">
        <f>Logs[[#This Row],[Duree_Panne_Min]]/1440</f>
        <v>7.4305555555555555E-2</v>
      </c>
      <c r="H136">
        <v>107</v>
      </c>
      <c r="I136">
        <f>_xlfn.XLOOKUP(Logs[[#This Row],[Cell_ID]],'Registre_Maintenance'!B:B,'Registre_Maintenance'!D:D,"Pas de correspondance")</f>
        <v>-5.0402180000000003</v>
      </c>
      <c r="J136">
        <f>_xlfn.XLOOKUP(Logs[[#This Row],[Cell_ID]],'Registre_Maintenance'!B:B,'Registre_Maintenance'!E:E,"Pas de correspondance")</f>
        <v>13.892471</v>
      </c>
      <c r="K136" t="str">
        <f>_xlfn.XLOOKUP(Logs[[#This Row],[Cell_ID]],'Registre_Maintenance'!B:B,'Registre_Maintenance'!F:F,"Pas de correspondance")</f>
        <v>3G</v>
      </c>
      <c r="L136" t="str">
        <f>_xlfn.XLOOKUP(Logs[[#This Row],[Cell_ID]],'Registre_Maintenance'!B:B,'Registre_Maintenance'!G:G,"Pas de correspondance")</f>
        <v>ZTE</v>
      </c>
      <c r="M136" s="1" t="s">
        <v>809</v>
      </c>
      <c r="N136" s="1">
        <f>_xlfn.XLOOKUP(Logs[[#This Row],[ID_Client]],Clients_Log!B:B,Clients_Log!E:E,"Pas de correspondance")</f>
        <v>14</v>
      </c>
      <c r="O136" s="4">
        <f>IFERROR(Logs[[#This Row],[Anciennete_Mois]]/12,"")</f>
        <v>1.1666666666666667</v>
      </c>
      <c r="P136" s="1" t="str">
        <f>_xlfn.XLOOKUP(Logs[[#This Row],[ID_Client]],Clients_Log!B:B,Clients_Log!F:F,"Pas de correspondance")</f>
        <v>Pro Monde</v>
      </c>
      <c r="Q136" s="1" t="str">
        <f>IF(Logs[[#This Row],[Type_Forfait]]="Pro Monde","B2B","B2C")</f>
        <v>B2B</v>
      </c>
      <c r="R136" s="1">
        <f>_xlfn.XLOOKUP(Logs[[#This Row],[ID_Client]],Clients_Log!B:B,Clients_Log!G:G,"Pas de correspondance")</f>
        <v>316</v>
      </c>
      <c r="S136" s="3">
        <f>Logs[[#This Row],[Duree_Cumulee_Panne_Min]]/1440</f>
        <v>0.21944444444444444</v>
      </c>
      <c r="T136" s="1">
        <f>_xlfn.XLOOKUP(Logs[[#This Row],[ID_Client]],Clients_Log!B:B,Clients_Log!H:H,"Pas de correspondance")</f>
        <v>62.34</v>
      </c>
      <c r="U136" s="1">
        <f>_xlfn.XLOOKUP(Logs[[#This Row],[ID_Client]],Clients_Log!B:B,Clients_Log!I:I,"Pas de correspondance")</f>
        <v>4</v>
      </c>
      <c r="V13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36" s="1">
        <f>Logs[[#This Row],[Facture_Mensuelle]]*Logs[[#This Row],[Remise (%)]]</f>
        <v>28.053000000000001</v>
      </c>
    </row>
    <row r="137" spans="1:23" x14ac:dyDescent="0.25">
      <c r="A137" s="1" t="s">
        <v>897</v>
      </c>
      <c r="B137" s="2">
        <v>45206</v>
      </c>
      <c r="C137" s="1" t="str">
        <f>_xlfn.XLOOKUP(Logs[[#This Row],[Province_RDC]],Clients_Log!D:D,Clients_Log!B:B,"Pas de correspondance")</f>
        <v>CLI-01147</v>
      </c>
      <c r="D137" t="str">
        <f>_xlfn.XLOOKUP(Logs[[#This Row],[Cell_ID]],'Registre_Maintenance'!B:B,'Registre_Maintenance'!C:C,"Pas de correspondance")</f>
        <v>Ituri</v>
      </c>
      <c r="E137" s="3">
        <v>0.1673611111111111</v>
      </c>
      <c r="F137" s="1" t="s">
        <v>932</v>
      </c>
      <c r="G137" s="3">
        <f>Logs[[#This Row],[Duree_Panne_Min]]/1440</f>
        <v>4.4444444444444446E-2</v>
      </c>
      <c r="H137">
        <v>64</v>
      </c>
      <c r="I137">
        <f>_xlfn.XLOOKUP(Logs[[#This Row],[Cell_ID]],'Registre_Maintenance'!B:B,'Registre_Maintenance'!D:D,"Pas de correspondance")</f>
        <v>0.24202000000000001</v>
      </c>
      <c r="J137">
        <f>_xlfn.XLOOKUP(Logs[[#This Row],[Cell_ID]],'Registre_Maintenance'!B:B,'Registre_Maintenance'!E:E,"Pas de correspondance")</f>
        <v>17.396256999999999</v>
      </c>
      <c r="K137" t="str">
        <f>_xlfn.XLOOKUP(Logs[[#This Row],[Cell_ID]],'Registre_Maintenance'!B:B,'Registre_Maintenance'!F:F,"Pas de correspondance")</f>
        <v>4G</v>
      </c>
      <c r="L137" t="str">
        <f>_xlfn.XLOOKUP(Logs[[#This Row],[Cell_ID]],'Registre_Maintenance'!B:B,'Registre_Maintenance'!G:G,"Pas de correspondance")</f>
        <v>Huawei</v>
      </c>
      <c r="M137" s="1" t="s">
        <v>809</v>
      </c>
      <c r="N137" s="1">
        <f>_xlfn.XLOOKUP(Logs[[#This Row],[ID_Client]],Clients_Log!B:B,Clients_Log!E:E,"Pas de correspondance")</f>
        <v>29</v>
      </c>
      <c r="O137" s="4">
        <f>IFERROR(Logs[[#This Row],[Anciennete_Mois]]/12,"")</f>
        <v>2.4166666666666665</v>
      </c>
      <c r="P137" s="1" t="str">
        <f>_xlfn.XLOOKUP(Logs[[#This Row],[ID_Client]],Clients_Log!B:B,Clients_Log!F:F,"Pas de correspondance")</f>
        <v>Premium 5G 150Go</v>
      </c>
      <c r="Q137" s="1" t="str">
        <f>IF(Logs[[#This Row],[Type_Forfait]]="Pro Monde","B2B","B2C")</f>
        <v>B2C</v>
      </c>
      <c r="R137" s="1">
        <f>_xlfn.XLOOKUP(Logs[[#This Row],[ID_Client]],Clients_Log!B:B,Clients_Log!G:G,"Pas de correspondance")</f>
        <v>214</v>
      </c>
      <c r="S137" s="3">
        <f>Logs[[#This Row],[Duree_Cumulee_Panne_Min]]/1440</f>
        <v>0.14861111111111111</v>
      </c>
      <c r="T137" s="1">
        <f>_xlfn.XLOOKUP(Logs[[#This Row],[ID_Client]],Clients_Log!B:B,Clients_Log!H:H,"Pas de correspondance")</f>
        <v>74.7</v>
      </c>
      <c r="U137" s="1">
        <f>_xlfn.XLOOKUP(Logs[[#This Row],[ID_Client]],Clients_Log!B:B,Clients_Log!I:I,"Pas de correspondance")</f>
        <v>3</v>
      </c>
      <c r="V13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37" s="1">
        <f>Logs[[#This Row],[Facture_Mensuelle]]*Logs[[#This Row],[Remise (%)]]</f>
        <v>33.615000000000002</v>
      </c>
    </row>
    <row r="138" spans="1:23" x14ac:dyDescent="0.25">
      <c r="A138" s="1" t="s">
        <v>897</v>
      </c>
      <c r="B138" s="2">
        <v>45201</v>
      </c>
      <c r="C138" s="1" t="str">
        <f>_xlfn.XLOOKUP(Logs[[#This Row],[Province_RDC]],Clients_Log!D:D,Clients_Log!B:B,"Pas de correspondance")</f>
        <v>CLI-01837</v>
      </c>
      <c r="D138" t="str">
        <f>_xlfn.XLOOKUP(Logs[[#This Row],[Cell_ID]],'Registre_Maintenance'!B:B,'Registre_Maintenance'!C:C,"Pas de correspondance")</f>
        <v>Kasaï-Oriental</v>
      </c>
      <c r="E138" s="3">
        <v>0.3125</v>
      </c>
      <c r="F138" s="1" t="s">
        <v>933</v>
      </c>
      <c r="G138" s="3">
        <f>Logs[[#This Row],[Duree_Panne_Min]]/1440</f>
        <v>6.25E-2</v>
      </c>
      <c r="H138">
        <v>90</v>
      </c>
      <c r="I138">
        <f>_xlfn.XLOOKUP(Logs[[#This Row],[Cell_ID]],'Registre_Maintenance'!B:B,'Registre_Maintenance'!D:D,"Pas de correspondance")</f>
        <v>-12.333232000000001</v>
      </c>
      <c r="J138">
        <f>_xlfn.XLOOKUP(Logs[[#This Row],[Cell_ID]],'Registre_Maintenance'!B:B,'Registre_Maintenance'!E:E,"Pas de correspondance")</f>
        <v>25.229620000000001</v>
      </c>
      <c r="K138" t="str">
        <f>_xlfn.XLOOKUP(Logs[[#This Row],[Cell_ID]],'Registre_Maintenance'!B:B,'Registre_Maintenance'!F:F,"Pas de correspondance")</f>
        <v>5G</v>
      </c>
      <c r="L138" t="str">
        <f>_xlfn.XLOOKUP(Logs[[#This Row],[Cell_ID]],'Registre_Maintenance'!B:B,'Registre_Maintenance'!G:G,"Pas de correspondance")</f>
        <v>Nokia</v>
      </c>
      <c r="M138" s="1" t="s">
        <v>809</v>
      </c>
      <c r="N138" s="1">
        <f>_xlfn.XLOOKUP(Logs[[#This Row],[ID_Client]],Clients_Log!B:B,Clients_Log!E:E,"Pas de correspondance")</f>
        <v>97</v>
      </c>
      <c r="O138" s="4">
        <f>IFERROR(Logs[[#This Row],[Anciennete_Mois]]/12,"")</f>
        <v>8.0833333333333339</v>
      </c>
      <c r="P138" s="1" t="str">
        <f>_xlfn.XLOOKUP(Logs[[#This Row],[ID_Client]],Clients_Log!B:B,Clients_Log!F:F,"Pas de correspondance")</f>
        <v>Pro Monde</v>
      </c>
      <c r="Q138" s="1" t="str">
        <f>IF(Logs[[#This Row],[Type_Forfait]]="Pro Monde","B2B","B2C")</f>
        <v>B2B</v>
      </c>
      <c r="R138" s="1">
        <f>_xlfn.XLOOKUP(Logs[[#This Row],[ID_Client]],Clients_Log!B:B,Clients_Log!G:G,"Pas de correspondance")</f>
        <v>319</v>
      </c>
      <c r="S138" s="3">
        <f>Logs[[#This Row],[Duree_Cumulee_Panne_Min]]/1440</f>
        <v>0.22152777777777777</v>
      </c>
      <c r="T138" s="1">
        <f>_xlfn.XLOOKUP(Logs[[#This Row],[ID_Client]],Clients_Log!B:B,Clients_Log!H:H,"Pas de correspondance")</f>
        <v>31.25</v>
      </c>
      <c r="U138" s="1">
        <f>_xlfn.XLOOKUP(Logs[[#This Row],[ID_Client]],Clients_Log!B:B,Clients_Log!I:I,"Pas de correspondance")</f>
        <v>1</v>
      </c>
      <c r="V13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38" s="1">
        <f>Logs[[#This Row],[Facture_Mensuelle]]*Logs[[#This Row],[Remise (%)]]</f>
        <v>14.0625</v>
      </c>
    </row>
    <row r="139" spans="1:23" x14ac:dyDescent="0.25">
      <c r="A139" s="1" t="s">
        <v>897</v>
      </c>
      <c r="B139" s="2">
        <v>45219</v>
      </c>
      <c r="C139" s="1" t="str">
        <f>_xlfn.XLOOKUP(Logs[[#This Row],[Province_RDC]],Clients_Log!D:D,Clients_Log!B:B,"Pas de correspondance")</f>
        <v>CLI-00131</v>
      </c>
      <c r="D139" t="str">
        <f>_xlfn.XLOOKUP(Logs[[#This Row],[Cell_ID]],'Registre_Maintenance'!B:B,'Registre_Maintenance'!C:C,"Pas de correspondance")</f>
        <v>Lomami</v>
      </c>
      <c r="E139" s="3">
        <v>0.10347222222222222</v>
      </c>
      <c r="F139" s="1" t="s">
        <v>934</v>
      </c>
      <c r="G139" s="3">
        <f>Logs[[#This Row],[Duree_Panne_Min]]/1440</f>
        <v>0.05</v>
      </c>
      <c r="H139">
        <v>72</v>
      </c>
      <c r="I139">
        <f>_xlfn.XLOOKUP(Logs[[#This Row],[Cell_ID]],'Registre_Maintenance'!B:B,'Registre_Maintenance'!D:D,"Pas de correspondance")</f>
        <v>-5.7035130000000001</v>
      </c>
      <c r="J139">
        <f>_xlfn.XLOOKUP(Logs[[#This Row],[Cell_ID]],'Registre_Maintenance'!B:B,'Registre_Maintenance'!E:E,"Pas de correspondance")</f>
        <v>14.331479</v>
      </c>
      <c r="K139" t="str">
        <f>_xlfn.XLOOKUP(Logs[[#This Row],[Cell_ID]],'Registre_Maintenance'!B:B,'Registre_Maintenance'!F:F,"Pas de correspondance")</f>
        <v>5G</v>
      </c>
      <c r="L139" t="str">
        <f>_xlfn.XLOOKUP(Logs[[#This Row],[Cell_ID]],'Registre_Maintenance'!B:B,'Registre_Maintenance'!G:G,"Pas de correspondance")</f>
        <v>Nokia</v>
      </c>
      <c r="M139" s="1" t="s">
        <v>809</v>
      </c>
      <c r="N139" s="1">
        <f>_xlfn.XLOOKUP(Logs[[#This Row],[ID_Client]],Clients_Log!B:B,Clients_Log!E:E,"Pas de correspondance")</f>
        <v>101</v>
      </c>
      <c r="O139" s="4">
        <f>IFERROR(Logs[[#This Row],[Anciennete_Mois]]/12,"")</f>
        <v>8.4166666666666661</v>
      </c>
      <c r="P139" s="1" t="str">
        <f>_xlfn.XLOOKUP(Logs[[#This Row],[ID_Client]],Clients_Log!B:B,Clients_Log!F:F,"Pas de correspondance")</f>
        <v>Pro Monde</v>
      </c>
      <c r="Q139" s="1" t="str">
        <f>IF(Logs[[#This Row],[Type_Forfait]]="Pro Monde","B2B","B2C")</f>
        <v>B2B</v>
      </c>
      <c r="R139" s="1">
        <f>_xlfn.XLOOKUP(Logs[[#This Row],[ID_Client]],Clients_Log!B:B,Clients_Log!G:G,"Pas de correspondance")</f>
        <v>176</v>
      </c>
      <c r="S139" s="3">
        <f>Logs[[#This Row],[Duree_Cumulee_Panne_Min]]/1440</f>
        <v>0.12222222222222222</v>
      </c>
      <c r="T139" s="1">
        <f>_xlfn.XLOOKUP(Logs[[#This Row],[ID_Client]],Clients_Log!B:B,Clients_Log!H:H,"Pas de correspondance")</f>
        <v>86</v>
      </c>
      <c r="U139" s="1">
        <f>_xlfn.XLOOKUP(Logs[[#This Row],[ID_Client]],Clients_Log!B:B,Clients_Log!I:I,"Pas de correspondance")</f>
        <v>3</v>
      </c>
      <c r="V13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139" s="1">
        <f>Logs[[#This Row],[Facture_Mensuelle]]*Logs[[#This Row],[Remise (%)]]</f>
        <v>8.6</v>
      </c>
    </row>
    <row r="140" spans="1:23" hidden="1" x14ac:dyDescent="0.25">
      <c r="A140" s="1" t="s">
        <v>935</v>
      </c>
      <c r="B140" s="2">
        <v>45200</v>
      </c>
      <c r="C140" s="1" t="str">
        <f>_xlfn.XLOOKUP(Logs[[#This Row],[Province_RDC]],Clients_Log!D:D,Clients_Log!B:B,"Pas de correspondance")</f>
        <v>Pas de correspondance</v>
      </c>
      <c r="D140" t="str">
        <f>_xlfn.XLOOKUP(Logs[[#This Row],[Cell_ID]],'Registre_Maintenance'!B:B,'Registre_Maintenance'!C:C,"Pas de correspondance")</f>
        <v>Pas de correspondance</v>
      </c>
      <c r="E140" s="3">
        <v>0.51458333333333328</v>
      </c>
      <c r="F140" s="1" t="s">
        <v>936</v>
      </c>
      <c r="G140" s="3">
        <f>Logs[[#This Row],[Duree_Panne_Min]]/1440</f>
        <v>1.6666666666666666E-2</v>
      </c>
      <c r="H140">
        <v>24</v>
      </c>
      <c r="I140" t="str">
        <f>_xlfn.XLOOKUP(Logs[[#This Row],[Cell_ID]],'Registre_Maintenance'!B:B,'Registre_Maintenance'!D:D,"Pas de correspondance")</f>
        <v>Pas de correspondance</v>
      </c>
      <c r="J140" t="str">
        <f>_xlfn.XLOOKUP(Logs[[#This Row],[Cell_ID]],'Registre_Maintenance'!B:B,'Registre_Maintenance'!E:E,"Pas de correspondance")</f>
        <v>Pas de correspondance</v>
      </c>
      <c r="K140" t="str">
        <f>_xlfn.XLOOKUP(Logs[[#This Row],[Cell_ID]],'Registre_Maintenance'!B:B,'Registre_Maintenance'!F:F,"Pas de correspondance")</f>
        <v>Pas de correspondance</v>
      </c>
      <c r="L140" t="str">
        <f>_xlfn.XLOOKUP(Logs[[#This Row],[Cell_ID]],'Registre_Maintenance'!B:B,'Registre_Maintenance'!G:G,"Pas de correspondance")</f>
        <v>Pas de correspondance</v>
      </c>
      <c r="M140" s="1" t="s">
        <v>811</v>
      </c>
      <c r="N140" s="1" t="str">
        <f>_xlfn.XLOOKUP(Logs[[#This Row],[ID_Client]],Clients_Log!B:B,Clients_Log!E:E,"Pas de correspondance")</f>
        <v>Pas de correspondance</v>
      </c>
      <c r="O140" s="4" t="str">
        <f>IFERROR(Logs[[#This Row],[Anciennete_Mois]]/12,"")</f>
        <v/>
      </c>
      <c r="P140" s="1" t="str">
        <f>_xlfn.XLOOKUP(Logs[[#This Row],[ID_Client]],Clients_Log!B:B,Clients_Log!F:F,"Pas de correspondance")</f>
        <v>Pas de correspondance</v>
      </c>
      <c r="Q140" s="1" t="str">
        <f>IF(Logs[[#This Row],[Type_Forfait]]="Pro Monde","B2B","B2C")</f>
        <v>B2C</v>
      </c>
      <c r="R140" s="1" t="str">
        <f>_xlfn.XLOOKUP(Logs[[#This Row],[ID_Client]],Clients_Log!B:B,Clients_Log!G:G,"Pas de correspondance")</f>
        <v>Pas de correspondance</v>
      </c>
      <c r="S140" s="1" t="e">
        <f>Logs[[#This Row],[Duree_Cumulee_Panne_Min]]/1440</f>
        <v>#VALUE!</v>
      </c>
      <c r="T140" s="1" t="str">
        <f>_xlfn.XLOOKUP(Logs[[#This Row],[ID_Client]],Clients_Log!B:B,Clients_Log!H:H,"Pas de correspondance")</f>
        <v>Pas de correspondance</v>
      </c>
      <c r="U140" s="1" t="str">
        <f>_xlfn.XLOOKUP(Logs[[#This Row],[ID_Client]],Clients_Log!B:B,Clients_Log!I:I,"Pas de correspondance")</f>
        <v>Pas de correspondance</v>
      </c>
      <c r="V14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40" s="1" t="e">
        <f>Logs[[#This Row],[Facture_Mensuelle]]*Logs[[#This Row],[Remise (%)]]</f>
        <v>#VALUE!</v>
      </c>
    </row>
    <row r="141" spans="1:23" hidden="1" x14ac:dyDescent="0.25">
      <c r="A141" s="1" t="s">
        <v>935</v>
      </c>
      <c r="B141" s="2">
        <v>45221</v>
      </c>
      <c r="C141" s="1" t="str">
        <f>_xlfn.XLOOKUP(Logs[[#This Row],[Province_RDC]],Clients_Log!D:D,Clients_Log!B:B,"Pas de correspondance")</f>
        <v>Pas de correspondance</v>
      </c>
      <c r="D141" t="str">
        <f>_xlfn.XLOOKUP(Logs[[#This Row],[Cell_ID]],'Registre_Maintenance'!B:B,'Registre_Maintenance'!C:C,"Pas de correspondance")</f>
        <v>Pas de correspondance</v>
      </c>
      <c r="E141" s="3">
        <v>0.91041666666666665</v>
      </c>
      <c r="F141" s="1" t="s">
        <v>937</v>
      </c>
      <c r="G141" s="3">
        <f>Logs[[#This Row],[Duree_Panne_Min]]/1440</f>
        <v>4.1666666666666664E-2</v>
      </c>
      <c r="H141">
        <v>60</v>
      </c>
      <c r="I141" t="str">
        <f>_xlfn.XLOOKUP(Logs[[#This Row],[Cell_ID]],'Registre_Maintenance'!B:B,'Registre_Maintenance'!D:D,"Pas de correspondance")</f>
        <v>Pas de correspondance</v>
      </c>
      <c r="J141" t="str">
        <f>_xlfn.XLOOKUP(Logs[[#This Row],[Cell_ID]],'Registre_Maintenance'!B:B,'Registre_Maintenance'!E:E,"Pas de correspondance")</f>
        <v>Pas de correspondance</v>
      </c>
      <c r="K141" t="str">
        <f>_xlfn.XLOOKUP(Logs[[#This Row],[Cell_ID]],'Registre_Maintenance'!B:B,'Registre_Maintenance'!F:F,"Pas de correspondance")</f>
        <v>Pas de correspondance</v>
      </c>
      <c r="L141" t="str">
        <f>_xlfn.XLOOKUP(Logs[[#This Row],[Cell_ID]],'Registre_Maintenance'!B:B,'Registre_Maintenance'!G:G,"Pas de correspondance")</f>
        <v>Pas de correspondance</v>
      </c>
      <c r="M141" s="1" t="s">
        <v>809</v>
      </c>
      <c r="N141" s="1" t="str">
        <f>_xlfn.XLOOKUP(Logs[[#This Row],[ID_Client]],Clients_Log!B:B,Clients_Log!E:E,"Pas de correspondance")</f>
        <v>Pas de correspondance</v>
      </c>
      <c r="O141" s="4" t="str">
        <f>IFERROR(Logs[[#This Row],[Anciennete_Mois]]/12,"")</f>
        <v/>
      </c>
      <c r="P141" s="1" t="str">
        <f>_xlfn.XLOOKUP(Logs[[#This Row],[ID_Client]],Clients_Log!B:B,Clients_Log!F:F,"Pas de correspondance")</f>
        <v>Pas de correspondance</v>
      </c>
      <c r="Q141" s="1" t="str">
        <f>IF(Logs[[#This Row],[Type_Forfait]]="Pro Monde","B2B","B2C")</f>
        <v>B2C</v>
      </c>
      <c r="R141" s="1" t="str">
        <f>_xlfn.XLOOKUP(Logs[[#This Row],[ID_Client]],Clients_Log!B:B,Clients_Log!G:G,"Pas de correspondance")</f>
        <v>Pas de correspondance</v>
      </c>
      <c r="S141" s="1" t="e">
        <f>Logs[[#This Row],[Duree_Cumulee_Panne_Min]]/1440</f>
        <v>#VALUE!</v>
      </c>
      <c r="T141" s="1" t="str">
        <f>_xlfn.XLOOKUP(Logs[[#This Row],[ID_Client]],Clients_Log!B:B,Clients_Log!H:H,"Pas de correspondance")</f>
        <v>Pas de correspondance</v>
      </c>
      <c r="U141" s="1" t="str">
        <f>_xlfn.XLOOKUP(Logs[[#This Row],[ID_Client]],Clients_Log!B:B,Clients_Log!I:I,"Pas de correspondance")</f>
        <v>Pas de correspondance</v>
      </c>
      <c r="V14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41" s="1" t="e">
        <f>Logs[[#This Row],[Facture_Mensuelle]]*Logs[[#This Row],[Remise (%)]]</f>
        <v>#VALUE!</v>
      </c>
    </row>
    <row r="142" spans="1:23" x14ac:dyDescent="0.25">
      <c r="A142" s="1" t="s">
        <v>935</v>
      </c>
      <c r="B142" s="2">
        <v>45212</v>
      </c>
      <c r="C142" s="1" t="str">
        <f>_xlfn.XLOOKUP(Logs[[#This Row],[Province_RDC]],Clients_Log!D:D,Clients_Log!B:B,"Pas de correspondance")</f>
        <v>CLI-01233</v>
      </c>
      <c r="D142" t="str">
        <f>_xlfn.XLOOKUP(Logs[[#This Row],[Cell_ID]],'Registre_Maintenance'!B:B,'Registre_Maintenance'!C:C,"Pas de correspondance")</f>
        <v>Kongo-Central</v>
      </c>
      <c r="E142" s="3">
        <v>0.96527777777777779</v>
      </c>
      <c r="F142" s="1" t="s">
        <v>938</v>
      </c>
      <c r="G142" s="3">
        <f>Logs[[#This Row],[Duree_Panne_Min]]/1440</f>
        <v>1.8749999999999999E-2</v>
      </c>
      <c r="H142">
        <v>27</v>
      </c>
      <c r="I142">
        <f>_xlfn.XLOOKUP(Logs[[#This Row],[Cell_ID]],'Registre_Maintenance'!B:B,'Registre_Maintenance'!D:D,"Pas de correspondance")</f>
        <v>0.79124300000000003</v>
      </c>
      <c r="J142">
        <f>_xlfn.XLOOKUP(Logs[[#This Row],[Cell_ID]],'Registre_Maintenance'!B:B,'Registre_Maintenance'!E:E,"Pas de correspondance")</f>
        <v>25.273389000000002</v>
      </c>
      <c r="K142" t="str">
        <f>_xlfn.XLOOKUP(Logs[[#This Row],[Cell_ID]],'Registre_Maintenance'!B:B,'Registre_Maintenance'!F:F,"Pas de correspondance")</f>
        <v>4G</v>
      </c>
      <c r="L142" t="str">
        <f>_xlfn.XLOOKUP(Logs[[#This Row],[Cell_ID]],'Registre_Maintenance'!B:B,'Registre_Maintenance'!G:G,"Pas de correspondance")</f>
        <v>Nokia</v>
      </c>
      <c r="M142" s="1" t="s">
        <v>811</v>
      </c>
      <c r="N142" s="1">
        <f>_xlfn.XLOOKUP(Logs[[#This Row],[ID_Client]],Clients_Log!B:B,Clients_Log!E:E,"Pas de correspondance")</f>
        <v>101</v>
      </c>
      <c r="O142" s="4">
        <f>IFERROR(Logs[[#This Row],[Anciennete_Mois]]/12,"")</f>
        <v>8.4166666666666661</v>
      </c>
      <c r="P142" s="1" t="str">
        <f>_xlfn.XLOOKUP(Logs[[#This Row],[ID_Client]],Clients_Log!B:B,Clients_Log!F:F,"Pas de correspondance")</f>
        <v>Pro Monde</v>
      </c>
      <c r="Q142" s="1" t="str">
        <f>IF(Logs[[#This Row],[Type_Forfait]]="Pro Monde","B2B","B2C")</f>
        <v>B2B</v>
      </c>
      <c r="R142" s="1">
        <f>_xlfn.XLOOKUP(Logs[[#This Row],[ID_Client]],Clients_Log!B:B,Clients_Log!G:G,"Pas de correspondance")</f>
        <v>333</v>
      </c>
      <c r="S142" s="3">
        <f>Logs[[#This Row],[Duree_Cumulee_Panne_Min]]/1440</f>
        <v>0.23125000000000001</v>
      </c>
      <c r="T142" s="1">
        <f>_xlfn.XLOOKUP(Logs[[#This Row],[ID_Client]],Clients_Log!B:B,Clients_Log!H:H,"Pas de correspondance")</f>
        <v>74.319999999999993</v>
      </c>
      <c r="U142" s="1">
        <f>_xlfn.XLOOKUP(Logs[[#This Row],[ID_Client]],Clients_Log!B:B,Clients_Log!I:I,"Pas de correspondance")</f>
        <v>1</v>
      </c>
      <c r="V14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42" s="1">
        <f>Logs[[#This Row],[Facture_Mensuelle]]*Logs[[#This Row],[Remise (%)]]</f>
        <v>33.443999999999996</v>
      </c>
    </row>
    <row r="143" spans="1:23" x14ac:dyDescent="0.25">
      <c r="A143" s="1" t="s">
        <v>935</v>
      </c>
      <c r="B143" s="2">
        <v>45226</v>
      </c>
      <c r="C143" s="1" t="str">
        <f>_xlfn.XLOOKUP(Logs[[#This Row],[Province_RDC]],Clients_Log!D:D,Clients_Log!B:B,"Pas de correspondance")</f>
        <v>CLI-01170</v>
      </c>
      <c r="D143" t="str">
        <f>_xlfn.XLOOKUP(Logs[[#This Row],[Cell_ID]],'Registre_Maintenance'!B:B,'Registre_Maintenance'!C:C,"Pas de correspondance")</f>
        <v>Nord-Ubangi</v>
      </c>
      <c r="E143" s="3">
        <v>0.62361111111111112</v>
      </c>
      <c r="F143" s="1" t="s">
        <v>939</v>
      </c>
      <c r="G143" s="3">
        <f>Logs[[#This Row],[Duree_Panne_Min]]/1440</f>
        <v>6.805555555555555E-2</v>
      </c>
      <c r="H143">
        <v>98</v>
      </c>
      <c r="I143">
        <f>_xlfn.XLOOKUP(Logs[[#This Row],[Cell_ID]],'Registre_Maintenance'!B:B,'Registre_Maintenance'!D:D,"Pas de correspondance")</f>
        <v>-7.9987219999999999</v>
      </c>
      <c r="J143">
        <f>_xlfn.XLOOKUP(Logs[[#This Row],[Cell_ID]],'Registre_Maintenance'!B:B,'Registre_Maintenance'!E:E,"Pas de correspondance")</f>
        <v>12.779335</v>
      </c>
      <c r="K143" t="str">
        <f>_xlfn.XLOOKUP(Logs[[#This Row],[Cell_ID]],'Registre_Maintenance'!B:B,'Registre_Maintenance'!F:F,"Pas de correspondance")</f>
        <v>5G</v>
      </c>
      <c r="L143" t="str">
        <f>_xlfn.XLOOKUP(Logs[[#This Row],[Cell_ID]],'Registre_Maintenance'!B:B,'Registre_Maintenance'!G:G,"Pas de correspondance")</f>
        <v>Nokia</v>
      </c>
      <c r="M143" s="1" t="s">
        <v>811</v>
      </c>
      <c r="N143" s="1">
        <f>_xlfn.XLOOKUP(Logs[[#This Row],[ID_Client]],Clients_Log!B:B,Clients_Log!E:E,"Pas de correspondance")</f>
        <v>98</v>
      </c>
      <c r="O143" s="4">
        <f>IFERROR(Logs[[#This Row],[Anciennete_Mois]]/12,"")</f>
        <v>8.1666666666666661</v>
      </c>
      <c r="P143" s="1" t="str">
        <f>_xlfn.XLOOKUP(Logs[[#This Row],[ID_Client]],Clients_Log!B:B,Clients_Log!F:F,"Pas de correspondance")</f>
        <v>Pro Monde</v>
      </c>
      <c r="Q143" s="1" t="str">
        <f>IF(Logs[[#This Row],[Type_Forfait]]="Pro Monde","B2B","B2C")</f>
        <v>B2B</v>
      </c>
      <c r="R143" s="1">
        <f>_xlfn.XLOOKUP(Logs[[#This Row],[ID_Client]],Clients_Log!B:B,Clients_Log!G:G,"Pas de correspondance")</f>
        <v>482</v>
      </c>
      <c r="S143" s="3">
        <f>Logs[[#This Row],[Duree_Cumulee_Panne_Min]]/1440</f>
        <v>0.3347222222222222</v>
      </c>
      <c r="T143" s="1">
        <f>_xlfn.XLOOKUP(Logs[[#This Row],[ID_Client]],Clients_Log!B:B,Clients_Log!H:H,"Pas de correspondance")</f>
        <v>55.04</v>
      </c>
      <c r="U143" s="1">
        <f>_xlfn.XLOOKUP(Logs[[#This Row],[ID_Client]],Clients_Log!B:B,Clients_Log!I:I,"Pas de correspondance")</f>
        <v>5</v>
      </c>
      <c r="V14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43" s="1">
        <f>Logs[[#This Row],[Facture_Mensuelle]]*Logs[[#This Row],[Remise (%)]]</f>
        <v>24.768000000000001</v>
      </c>
    </row>
    <row r="144" spans="1:23" hidden="1" x14ac:dyDescent="0.25">
      <c r="A144" s="1" t="s">
        <v>935</v>
      </c>
      <c r="B144" s="2">
        <v>45204</v>
      </c>
      <c r="C144" s="1" t="str">
        <f>_xlfn.XLOOKUP(Logs[[#This Row],[Province_RDC]],Clients_Log!D:D,Clients_Log!B:B,"Pas de correspondance")</f>
        <v>Pas de correspondance</v>
      </c>
      <c r="D144" t="str">
        <f>_xlfn.XLOOKUP(Logs[[#This Row],[Cell_ID]],'Registre_Maintenance'!B:B,'Registre_Maintenance'!C:C,"Pas de correspondance")</f>
        <v>Pas de correspondance</v>
      </c>
      <c r="E144" s="3">
        <v>0.81527777777777777</v>
      </c>
      <c r="F144" s="1" t="s">
        <v>937</v>
      </c>
      <c r="G144" s="3">
        <f>Logs[[#This Row],[Duree_Panne_Min]]/1440</f>
        <v>4.9305555555555554E-2</v>
      </c>
      <c r="H144">
        <v>71</v>
      </c>
      <c r="I144" t="str">
        <f>_xlfn.XLOOKUP(Logs[[#This Row],[Cell_ID]],'Registre_Maintenance'!B:B,'Registre_Maintenance'!D:D,"Pas de correspondance")</f>
        <v>Pas de correspondance</v>
      </c>
      <c r="J144" t="str">
        <f>_xlfn.XLOOKUP(Logs[[#This Row],[Cell_ID]],'Registre_Maintenance'!B:B,'Registre_Maintenance'!E:E,"Pas de correspondance")</f>
        <v>Pas de correspondance</v>
      </c>
      <c r="K144" t="str">
        <f>_xlfn.XLOOKUP(Logs[[#This Row],[Cell_ID]],'Registre_Maintenance'!B:B,'Registre_Maintenance'!F:F,"Pas de correspondance")</f>
        <v>Pas de correspondance</v>
      </c>
      <c r="L144" t="str">
        <f>_xlfn.XLOOKUP(Logs[[#This Row],[Cell_ID]],'Registre_Maintenance'!B:B,'Registre_Maintenance'!G:G,"Pas de correspondance")</f>
        <v>Pas de correspondance</v>
      </c>
      <c r="M144" s="1" t="s">
        <v>811</v>
      </c>
      <c r="N144" s="1" t="str">
        <f>_xlfn.XLOOKUP(Logs[[#This Row],[ID_Client]],Clients_Log!B:B,Clients_Log!E:E,"Pas de correspondance")</f>
        <v>Pas de correspondance</v>
      </c>
      <c r="O144" s="4" t="str">
        <f>IFERROR(Logs[[#This Row],[Anciennete_Mois]]/12,"")</f>
        <v/>
      </c>
      <c r="P144" s="1" t="str">
        <f>_xlfn.XLOOKUP(Logs[[#This Row],[ID_Client]],Clients_Log!B:B,Clients_Log!F:F,"Pas de correspondance")</f>
        <v>Pas de correspondance</v>
      </c>
      <c r="Q144" s="1" t="str">
        <f>IF(Logs[[#This Row],[Type_Forfait]]="Pro Monde","B2B","B2C")</f>
        <v>B2C</v>
      </c>
      <c r="R144" s="1" t="str">
        <f>_xlfn.XLOOKUP(Logs[[#This Row],[ID_Client]],Clients_Log!B:B,Clients_Log!G:G,"Pas de correspondance")</f>
        <v>Pas de correspondance</v>
      </c>
      <c r="S144" s="1" t="e">
        <f>Logs[[#This Row],[Duree_Cumulee_Panne_Min]]/1440</f>
        <v>#VALUE!</v>
      </c>
      <c r="T144" s="1" t="str">
        <f>_xlfn.XLOOKUP(Logs[[#This Row],[ID_Client]],Clients_Log!B:B,Clients_Log!H:H,"Pas de correspondance")</f>
        <v>Pas de correspondance</v>
      </c>
      <c r="U144" s="1" t="str">
        <f>_xlfn.XLOOKUP(Logs[[#This Row],[ID_Client]],Clients_Log!B:B,Clients_Log!I:I,"Pas de correspondance")</f>
        <v>Pas de correspondance</v>
      </c>
      <c r="V14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44" s="1" t="e">
        <f>Logs[[#This Row],[Facture_Mensuelle]]*Logs[[#This Row],[Remise (%)]]</f>
        <v>#VALUE!</v>
      </c>
    </row>
    <row r="145" spans="1:23" x14ac:dyDescent="0.25">
      <c r="A145" s="1" t="s">
        <v>935</v>
      </c>
      <c r="B145" s="2">
        <v>45200</v>
      </c>
      <c r="C145" s="1" t="str">
        <f>_xlfn.XLOOKUP(Logs[[#This Row],[Province_RDC]],Clients_Log!D:D,Clients_Log!B:B,"Pas de correspondance")</f>
        <v>CLI-00611</v>
      </c>
      <c r="D145" t="str">
        <f>_xlfn.XLOOKUP(Logs[[#This Row],[Cell_ID]],'Registre_Maintenance'!B:B,'Registre_Maintenance'!C:C,"Pas de correspondance")</f>
        <v>Kinshasa</v>
      </c>
      <c r="E145" s="3">
        <v>0.52569444444444446</v>
      </c>
      <c r="F145" s="1" t="s">
        <v>940</v>
      </c>
      <c r="G145" s="3">
        <f>Logs[[#This Row],[Duree_Panne_Min]]/1440</f>
        <v>6.1111111111111109E-2</v>
      </c>
      <c r="H145">
        <v>88</v>
      </c>
      <c r="I145">
        <f>_xlfn.XLOOKUP(Logs[[#This Row],[Cell_ID]],'Registre_Maintenance'!B:B,'Registre_Maintenance'!D:D,"Pas de correspondance")</f>
        <v>-1.6097570000000001</v>
      </c>
      <c r="J145">
        <f>_xlfn.XLOOKUP(Logs[[#This Row],[Cell_ID]],'Registre_Maintenance'!B:B,'Registre_Maintenance'!E:E,"Pas de correspondance")</f>
        <v>30.661662</v>
      </c>
      <c r="K145" t="str">
        <f>_xlfn.XLOOKUP(Logs[[#This Row],[Cell_ID]],'Registre_Maintenance'!B:B,'Registre_Maintenance'!F:F,"Pas de correspondance")</f>
        <v>4G</v>
      </c>
      <c r="L145" t="str">
        <f>_xlfn.XLOOKUP(Logs[[#This Row],[Cell_ID]],'Registre_Maintenance'!B:B,'Registre_Maintenance'!G:G,"Pas de correspondance")</f>
        <v>Ericsson</v>
      </c>
      <c r="M145" s="1" t="s">
        <v>811</v>
      </c>
      <c r="N145" s="1">
        <f>_xlfn.XLOOKUP(Logs[[#This Row],[ID_Client]],Clients_Log!B:B,Clients_Log!E:E,"Pas de correspondance")</f>
        <v>79</v>
      </c>
      <c r="O145" s="4">
        <f>IFERROR(Logs[[#This Row],[Anciennete_Mois]]/12,"")</f>
        <v>6.583333333333333</v>
      </c>
      <c r="P145" s="1" t="str">
        <f>_xlfn.XLOOKUP(Logs[[#This Row],[ID_Client]],Clients_Log!B:B,Clients_Log!F:F,"Pas de correspondance")</f>
        <v>Premium 5G 150Go</v>
      </c>
      <c r="Q145" s="1" t="str">
        <f>IF(Logs[[#This Row],[Type_Forfait]]="Pro Monde","B2B","B2C")</f>
        <v>B2C</v>
      </c>
      <c r="R145" s="1">
        <f>_xlfn.XLOOKUP(Logs[[#This Row],[ID_Client]],Clients_Log!B:B,Clients_Log!G:G,"Pas de correspondance")</f>
        <v>226</v>
      </c>
      <c r="S145" s="3">
        <f>Logs[[#This Row],[Duree_Cumulee_Panne_Min]]/1440</f>
        <v>0.15694444444444444</v>
      </c>
      <c r="T145" s="1">
        <f>_xlfn.XLOOKUP(Logs[[#This Row],[ID_Client]],Clients_Log!B:B,Clients_Log!H:H,"Pas de correspondance")</f>
        <v>94.38</v>
      </c>
      <c r="U145" s="1">
        <f>_xlfn.XLOOKUP(Logs[[#This Row],[ID_Client]],Clients_Log!B:B,Clients_Log!I:I,"Pas de correspondance")</f>
        <v>3</v>
      </c>
      <c r="V14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45" s="1">
        <f>Logs[[#This Row],[Facture_Mensuelle]]*Logs[[#This Row],[Remise (%)]]</f>
        <v>0</v>
      </c>
    </row>
    <row r="146" spans="1:23" hidden="1" x14ac:dyDescent="0.25">
      <c r="A146" s="1" t="s">
        <v>935</v>
      </c>
      <c r="B146" s="2">
        <v>45218</v>
      </c>
      <c r="C146" s="1" t="str">
        <f>_xlfn.XLOOKUP(Logs[[#This Row],[Province_RDC]],Clients_Log!D:D,Clients_Log!B:B,"Pas de correspondance")</f>
        <v>Pas de correspondance</v>
      </c>
      <c r="D146" t="str">
        <f>_xlfn.XLOOKUP(Logs[[#This Row],[Cell_ID]],'Registre_Maintenance'!B:B,'Registre_Maintenance'!C:C,"Pas de correspondance")</f>
        <v>Pas de correspondance</v>
      </c>
      <c r="E146" s="3">
        <v>0.87569444444444444</v>
      </c>
      <c r="F146" s="1" t="s">
        <v>941</v>
      </c>
      <c r="G146" s="3">
        <f>Logs[[#This Row],[Duree_Panne_Min]]/1440</f>
        <v>2.7083333333333334E-2</v>
      </c>
      <c r="H146">
        <v>39</v>
      </c>
      <c r="I146" t="str">
        <f>_xlfn.XLOOKUP(Logs[[#This Row],[Cell_ID]],'Registre_Maintenance'!B:B,'Registre_Maintenance'!D:D,"Pas de correspondance")</f>
        <v>Pas de correspondance</v>
      </c>
      <c r="J146" t="str">
        <f>_xlfn.XLOOKUP(Logs[[#This Row],[Cell_ID]],'Registre_Maintenance'!B:B,'Registre_Maintenance'!E:E,"Pas de correspondance")</f>
        <v>Pas de correspondance</v>
      </c>
      <c r="K146" t="str">
        <f>_xlfn.XLOOKUP(Logs[[#This Row],[Cell_ID]],'Registre_Maintenance'!B:B,'Registre_Maintenance'!F:F,"Pas de correspondance")</f>
        <v>Pas de correspondance</v>
      </c>
      <c r="L146" t="str">
        <f>_xlfn.XLOOKUP(Logs[[#This Row],[Cell_ID]],'Registre_Maintenance'!B:B,'Registre_Maintenance'!G:G,"Pas de correspondance")</f>
        <v>Pas de correspondance</v>
      </c>
      <c r="M146" s="1" t="s">
        <v>806</v>
      </c>
      <c r="N146" s="1" t="str">
        <f>_xlfn.XLOOKUP(Logs[[#This Row],[ID_Client]],Clients_Log!B:B,Clients_Log!E:E,"Pas de correspondance")</f>
        <v>Pas de correspondance</v>
      </c>
      <c r="O146" s="4" t="str">
        <f>IFERROR(Logs[[#This Row],[Anciennete_Mois]]/12,"")</f>
        <v/>
      </c>
      <c r="P146" s="1" t="str">
        <f>_xlfn.XLOOKUP(Logs[[#This Row],[ID_Client]],Clients_Log!B:B,Clients_Log!F:F,"Pas de correspondance")</f>
        <v>Pas de correspondance</v>
      </c>
      <c r="Q146" s="1" t="str">
        <f>IF(Logs[[#This Row],[Type_Forfait]]="Pro Monde","B2B","B2C")</f>
        <v>B2C</v>
      </c>
      <c r="R146" s="1" t="str">
        <f>_xlfn.XLOOKUP(Logs[[#This Row],[ID_Client]],Clients_Log!B:B,Clients_Log!G:G,"Pas de correspondance")</f>
        <v>Pas de correspondance</v>
      </c>
      <c r="S146" s="1" t="e">
        <f>Logs[[#This Row],[Duree_Cumulee_Panne_Min]]/1440</f>
        <v>#VALUE!</v>
      </c>
      <c r="T146" s="1" t="str">
        <f>_xlfn.XLOOKUP(Logs[[#This Row],[ID_Client]],Clients_Log!B:B,Clients_Log!H:H,"Pas de correspondance")</f>
        <v>Pas de correspondance</v>
      </c>
      <c r="U146" s="1" t="str">
        <f>_xlfn.XLOOKUP(Logs[[#This Row],[ID_Client]],Clients_Log!B:B,Clients_Log!I:I,"Pas de correspondance")</f>
        <v>Pas de correspondance</v>
      </c>
      <c r="V14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46" s="1" t="e">
        <f>Logs[[#This Row],[Facture_Mensuelle]]*Logs[[#This Row],[Remise (%)]]</f>
        <v>#VALUE!</v>
      </c>
    </row>
    <row r="147" spans="1:23" x14ac:dyDescent="0.25">
      <c r="A147" s="1" t="s">
        <v>935</v>
      </c>
      <c r="B147" s="2">
        <v>45202</v>
      </c>
      <c r="C147" s="1" t="str">
        <f>_xlfn.XLOOKUP(Logs[[#This Row],[Province_RDC]],Clients_Log!D:D,Clients_Log!B:B,"Pas de correspondance")</f>
        <v>CLI-00361</v>
      </c>
      <c r="D147" t="str">
        <f>_xlfn.XLOOKUP(Logs[[#This Row],[Cell_ID]],'Registre_Maintenance'!B:B,'Registre_Maintenance'!C:C,"Pas de correspondance")</f>
        <v>Mai-Ndombe</v>
      </c>
      <c r="E147" s="3">
        <v>0.8520833333333333</v>
      </c>
      <c r="F147" s="1" t="s">
        <v>942</v>
      </c>
      <c r="G147" s="3">
        <f>Logs[[#This Row],[Duree_Panne_Min]]/1440</f>
        <v>5.7638888888888892E-2</v>
      </c>
      <c r="H147">
        <v>83</v>
      </c>
      <c r="I147">
        <f>_xlfn.XLOOKUP(Logs[[#This Row],[Cell_ID]],'Registre_Maintenance'!B:B,'Registre_Maintenance'!D:D,"Pas de correspondance")</f>
        <v>-1.607639</v>
      </c>
      <c r="J147">
        <f>_xlfn.XLOOKUP(Logs[[#This Row],[Cell_ID]],'Registre_Maintenance'!B:B,'Registre_Maintenance'!E:E,"Pas de correspondance")</f>
        <v>17.003636</v>
      </c>
      <c r="K147" t="str">
        <f>_xlfn.XLOOKUP(Logs[[#This Row],[Cell_ID]],'Registre_Maintenance'!B:B,'Registre_Maintenance'!F:F,"Pas de correspondance")</f>
        <v>4G</v>
      </c>
      <c r="L147" t="str">
        <f>_xlfn.XLOOKUP(Logs[[#This Row],[Cell_ID]],'Registre_Maintenance'!B:B,'Registre_Maintenance'!G:G,"Pas de correspondance")</f>
        <v>Ericsson</v>
      </c>
      <c r="M147" s="1" t="s">
        <v>806</v>
      </c>
      <c r="N147" s="1">
        <f>_xlfn.XLOOKUP(Logs[[#This Row],[ID_Client]],Clients_Log!B:B,Clients_Log!E:E,"Pas de correspondance")</f>
        <v>66</v>
      </c>
      <c r="O147" s="4">
        <f>IFERROR(Logs[[#This Row],[Anciennete_Mois]]/12,"")</f>
        <v>5.5</v>
      </c>
      <c r="P147" s="1" t="str">
        <f>_xlfn.XLOOKUP(Logs[[#This Row],[ID_Client]],Clients_Log!B:B,Clients_Log!F:F,"Pas de correspondance")</f>
        <v>Illimité 50Go</v>
      </c>
      <c r="Q147" s="1" t="str">
        <f>IF(Logs[[#This Row],[Type_Forfait]]="Pro Monde","B2B","B2C")</f>
        <v>B2C</v>
      </c>
      <c r="R147" s="1">
        <f>_xlfn.XLOOKUP(Logs[[#This Row],[ID_Client]],Clients_Log!B:B,Clients_Log!G:G,"Pas de correspondance")</f>
        <v>270</v>
      </c>
      <c r="S147" s="3">
        <f>Logs[[#This Row],[Duree_Cumulee_Panne_Min]]/1440</f>
        <v>0.1875</v>
      </c>
      <c r="T147" s="1">
        <f>_xlfn.XLOOKUP(Logs[[#This Row],[ID_Client]],Clients_Log!B:B,Clients_Log!H:H,"Pas de correspondance")</f>
        <v>75.88</v>
      </c>
      <c r="U147" s="1">
        <f>_xlfn.XLOOKUP(Logs[[#This Row],[ID_Client]],Clients_Log!B:B,Clients_Log!I:I,"Pas de correspondance")</f>
        <v>3</v>
      </c>
      <c r="V14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47" s="1">
        <f>Logs[[#This Row],[Facture_Mensuelle]]*Logs[[#This Row],[Remise (%)]]</f>
        <v>34.146000000000001</v>
      </c>
    </row>
    <row r="148" spans="1:23" x14ac:dyDescent="0.25">
      <c r="A148" s="1" t="s">
        <v>935</v>
      </c>
      <c r="B148" s="2">
        <v>45204</v>
      </c>
      <c r="C148" s="1" t="str">
        <f>_xlfn.XLOOKUP(Logs[[#This Row],[Province_RDC]],Clients_Log!D:D,Clients_Log!B:B,"Pas de correspondance")</f>
        <v>CLI-00996</v>
      </c>
      <c r="D148" t="str">
        <f>_xlfn.XLOOKUP(Logs[[#This Row],[Cell_ID]],'Registre_Maintenance'!B:B,'Registre_Maintenance'!C:C,"Pas de correspondance")</f>
        <v>Kwilu</v>
      </c>
      <c r="E148" s="3">
        <v>0.59097222222222223</v>
      </c>
      <c r="F148" s="1" t="s">
        <v>943</v>
      </c>
      <c r="G148" s="3">
        <f>Logs[[#This Row],[Duree_Panne_Min]]/1440</f>
        <v>7.4999999999999997E-2</v>
      </c>
      <c r="H148">
        <v>108</v>
      </c>
      <c r="I148">
        <f>_xlfn.XLOOKUP(Logs[[#This Row],[Cell_ID]],'Registre_Maintenance'!B:B,'Registre_Maintenance'!D:D,"Pas de correspondance")</f>
        <v>-8.5675749999999997</v>
      </c>
      <c r="J148">
        <f>_xlfn.XLOOKUP(Logs[[#This Row],[Cell_ID]],'Registre_Maintenance'!B:B,'Registre_Maintenance'!E:E,"Pas de correspondance")</f>
        <v>26.994581</v>
      </c>
      <c r="K148" t="str">
        <f>_xlfn.XLOOKUP(Logs[[#This Row],[Cell_ID]],'Registre_Maintenance'!B:B,'Registre_Maintenance'!F:F,"Pas de correspondance")</f>
        <v>3G</v>
      </c>
      <c r="L148" t="str">
        <f>_xlfn.XLOOKUP(Logs[[#This Row],[Cell_ID]],'Registre_Maintenance'!B:B,'Registre_Maintenance'!G:G,"Pas de correspondance")</f>
        <v>Nokia</v>
      </c>
      <c r="M148" s="1" t="s">
        <v>809</v>
      </c>
      <c r="N148" s="1">
        <f>_xlfn.XLOOKUP(Logs[[#This Row],[ID_Client]],Clients_Log!B:B,Clients_Log!E:E,"Pas de correspondance")</f>
        <v>119</v>
      </c>
      <c r="O148" s="4">
        <f>IFERROR(Logs[[#This Row],[Anciennete_Mois]]/12,"")</f>
        <v>9.9166666666666661</v>
      </c>
      <c r="P148" s="1" t="str">
        <f>_xlfn.XLOOKUP(Logs[[#This Row],[ID_Client]],Clients_Log!B:B,Clients_Log!F:F,"Pas de correspondance")</f>
        <v>Illimité 50Go</v>
      </c>
      <c r="Q148" s="1" t="str">
        <f>IF(Logs[[#This Row],[Type_Forfait]]="Pro Monde","B2B","B2C")</f>
        <v>B2C</v>
      </c>
      <c r="R148" s="1">
        <f>_xlfn.XLOOKUP(Logs[[#This Row],[ID_Client]],Clients_Log!B:B,Clients_Log!G:G,"Pas de correspondance")</f>
        <v>228</v>
      </c>
      <c r="S148" s="3">
        <f>Logs[[#This Row],[Duree_Cumulee_Panne_Min]]/1440</f>
        <v>0.15833333333333333</v>
      </c>
      <c r="T148" s="1">
        <f>_xlfn.XLOOKUP(Logs[[#This Row],[ID_Client]],Clients_Log!B:B,Clients_Log!H:H,"Pas de correspondance")</f>
        <v>94.72</v>
      </c>
      <c r="U148" s="1">
        <f>_xlfn.XLOOKUP(Logs[[#This Row],[ID_Client]],Clients_Log!B:B,Clients_Log!I:I,"Pas de correspondance")</f>
        <v>3</v>
      </c>
      <c r="V14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48" s="1">
        <f>Logs[[#This Row],[Facture_Mensuelle]]*Logs[[#This Row],[Remise (%)]]</f>
        <v>0</v>
      </c>
    </row>
    <row r="149" spans="1:23" hidden="1" x14ac:dyDescent="0.25">
      <c r="A149" s="1" t="s">
        <v>935</v>
      </c>
      <c r="B149" s="2">
        <v>45201</v>
      </c>
      <c r="C149" s="1" t="str">
        <f>_xlfn.XLOOKUP(Logs[[#This Row],[Province_RDC]],Clients_Log!D:D,Clients_Log!B:B,"Pas de correspondance")</f>
        <v>Pas de correspondance</v>
      </c>
      <c r="D149" t="str">
        <f>_xlfn.XLOOKUP(Logs[[#This Row],[Cell_ID]],'Registre_Maintenance'!B:B,'Registre_Maintenance'!C:C,"Pas de correspondance")</f>
        <v>Pas de correspondance</v>
      </c>
      <c r="E149" s="3">
        <v>0.35</v>
      </c>
      <c r="F149" s="1" t="s">
        <v>944</v>
      </c>
      <c r="G149" s="3">
        <f>Logs[[#This Row],[Duree_Panne_Min]]/1440</f>
        <v>5.0694444444444445E-2</v>
      </c>
      <c r="H149">
        <v>73</v>
      </c>
      <c r="I149" t="str">
        <f>_xlfn.XLOOKUP(Logs[[#This Row],[Cell_ID]],'Registre_Maintenance'!B:B,'Registre_Maintenance'!D:D,"Pas de correspondance")</f>
        <v>Pas de correspondance</v>
      </c>
      <c r="J149" t="str">
        <f>_xlfn.XLOOKUP(Logs[[#This Row],[Cell_ID]],'Registre_Maintenance'!B:B,'Registre_Maintenance'!E:E,"Pas de correspondance")</f>
        <v>Pas de correspondance</v>
      </c>
      <c r="K149" t="str">
        <f>_xlfn.XLOOKUP(Logs[[#This Row],[Cell_ID]],'Registre_Maintenance'!B:B,'Registre_Maintenance'!F:F,"Pas de correspondance")</f>
        <v>Pas de correspondance</v>
      </c>
      <c r="L149" t="str">
        <f>_xlfn.XLOOKUP(Logs[[#This Row],[Cell_ID]],'Registre_Maintenance'!B:B,'Registre_Maintenance'!G:G,"Pas de correspondance")</f>
        <v>Pas de correspondance</v>
      </c>
      <c r="M149" s="1" t="s">
        <v>806</v>
      </c>
      <c r="N149" s="1" t="str">
        <f>_xlfn.XLOOKUP(Logs[[#This Row],[ID_Client]],Clients_Log!B:B,Clients_Log!E:E,"Pas de correspondance")</f>
        <v>Pas de correspondance</v>
      </c>
      <c r="O149" s="4" t="str">
        <f>IFERROR(Logs[[#This Row],[Anciennete_Mois]]/12,"")</f>
        <v/>
      </c>
      <c r="P149" s="1" t="str">
        <f>_xlfn.XLOOKUP(Logs[[#This Row],[ID_Client]],Clients_Log!B:B,Clients_Log!F:F,"Pas de correspondance")</f>
        <v>Pas de correspondance</v>
      </c>
      <c r="Q149" s="1" t="str">
        <f>IF(Logs[[#This Row],[Type_Forfait]]="Pro Monde","B2B","B2C")</f>
        <v>B2C</v>
      </c>
      <c r="R149" s="1" t="str">
        <f>_xlfn.XLOOKUP(Logs[[#This Row],[ID_Client]],Clients_Log!B:B,Clients_Log!G:G,"Pas de correspondance")</f>
        <v>Pas de correspondance</v>
      </c>
      <c r="S149" s="1" t="e">
        <f>Logs[[#This Row],[Duree_Cumulee_Panne_Min]]/1440</f>
        <v>#VALUE!</v>
      </c>
      <c r="T149" s="1" t="str">
        <f>_xlfn.XLOOKUP(Logs[[#This Row],[ID_Client]],Clients_Log!B:B,Clients_Log!H:H,"Pas de correspondance")</f>
        <v>Pas de correspondance</v>
      </c>
      <c r="U149" s="1" t="str">
        <f>_xlfn.XLOOKUP(Logs[[#This Row],[ID_Client]],Clients_Log!B:B,Clients_Log!I:I,"Pas de correspondance")</f>
        <v>Pas de correspondance</v>
      </c>
      <c r="V14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49" s="1" t="e">
        <f>Logs[[#This Row],[Facture_Mensuelle]]*Logs[[#This Row],[Remise (%)]]</f>
        <v>#VALUE!</v>
      </c>
    </row>
    <row r="150" spans="1:23" hidden="1" x14ac:dyDescent="0.25">
      <c r="A150" s="1" t="s">
        <v>935</v>
      </c>
      <c r="B150" s="2">
        <v>45210</v>
      </c>
      <c r="C150" s="1" t="str">
        <f>_xlfn.XLOOKUP(Logs[[#This Row],[Province_RDC]],Clients_Log!D:D,Clients_Log!B:B,"Pas de correspondance")</f>
        <v>Pas de correspondance</v>
      </c>
      <c r="D150" t="str">
        <f>_xlfn.XLOOKUP(Logs[[#This Row],[Cell_ID]],'Registre_Maintenance'!B:B,'Registre_Maintenance'!C:C,"Pas de correspondance")</f>
        <v>Pas de correspondance</v>
      </c>
      <c r="E150" s="3">
        <v>0.27013888888888887</v>
      </c>
      <c r="F150" s="1" t="s">
        <v>945</v>
      </c>
      <c r="G150" s="3">
        <f>Logs[[#This Row],[Duree_Panne_Min]]/1440</f>
        <v>7.2222222222222215E-2</v>
      </c>
      <c r="H150">
        <v>104</v>
      </c>
      <c r="I150" t="str">
        <f>_xlfn.XLOOKUP(Logs[[#This Row],[Cell_ID]],'Registre_Maintenance'!B:B,'Registre_Maintenance'!D:D,"Pas de correspondance")</f>
        <v>Pas de correspondance</v>
      </c>
      <c r="J150" t="str">
        <f>_xlfn.XLOOKUP(Logs[[#This Row],[Cell_ID]],'Registre_Maintenance'!B:B,'Registre_Maintenance'!E:E,"Pas de correspondance")</f>
        <v>Pas de correspondance</v>
      </c>
      <c r="K150" t="str">
        <f>_xlfn.XLOOKUP(Logs[[#This Row],[Cell_ID]],'Registre_Maintenance'!B:B,'Registre_Maintenance'!F:F,"Pas de correspondance")</f>
        <v>Pas de correspondance</v>
      </c>
      <c r="L150" t="str">
        <f>_xlfn.XLOOKUP(Logs[[#This Row],[Cell_ID]],'Registre_Maintenance'!B:B,'Registre_Maintenance'!G:G,"Pas de correspondance")</f>
        <v>Pas de correspondance</v>
      </c>
      <c r="M150" s="1" t="s">
        <v>811</v>
      </c>
      <c r="N150" s="1" t="str">
        <f>_xlfn.XLOOKUP(Logs[[#This Row],[ID_Client]],Clients_Log!B:B,Clients_Log!E:E,"Pas de correspondance")</f>
        <v>Pas de correspondance</v>
      </c>
      <c r="O150" s="4" t="str">
        <f>IFERROR(Logs[[#This Row],[Anciennete_Mois]]/12,"")</f>
        <v/>
      </c>
      <c r="P150" s="1" t="str">
        <f>_xlfn.XLOOKUP(Logs[[#This Row],[ID_Client]],Clients_Log!B:B,Clients_Log!F:F,"Pas de correspondance")</f>
        <v>Pas de correspondance</v>
      </c>
      <c r="Q150" s="1" t="str">
        <f>IF(Logs[[#This Row],[Type_Forfait]]="Pro Monde","B2B","B2C")</f>
        <v>B2C</v>
      </c>
      <c r="R150" s="1" t="str">
        <f>_xlfn.XLOOKUP(Logs[[#This Row],[ID_Client]],Clients_Log!B:B,Clients_Log!G:G,"Pas de correspondance")</f>
        <v>Pas de correspondance</v>
      </c>
      <c r="S150" s="1" t="e">
        <f>Logs[[#This Row],[Duree_Cumulee_Panne_Min]]/1440</f>
        <v>#VALUE!</v>
      </c>
      <c r="T150" s="1" t="str">
        <f>_xlfn.XLOOKUP(Logs[[#This Row],[ID_Client]],Clients_Log!B:B,Clients_Log!H:H,"Pas de correspondance")</f>
        <v>Pas de correspondance</v>
      </c>
      <c r="U150" s="1" t="str">
        <f>_xlfn.XLOOKUP(Logs[[#This Row],[ID_Client]],Clients_Log!B:B,Clients_Log!I:I,"Pas de correspondance")</f>
        <v>Pas de correspondance</v>
      </c>
      <c r="V15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50" s="1" t="e">
        <f>Logs[[#This Row],[Facture_Mensuelle]]*Logs[[#This Row],[Remise (%)]]</f>
        <v>#VALUE!</v>
      </c>
    </row>
    <row r="151" spans="1:23" x14ac:dyDescent="0.25">
      <c r="A151" s="1" t="s">
        <v>935</v>
      </c>
      <c r="B151" s="2">
        <v>45210</v>
      </c>
      <c r="C151" s="1" t="str">
        <f>_xlfn.XLOOKUP(Logs[[#This Row],[Province_RDC]],Clients_Log!D:D,Clients_Log!B:B,"Pas de correspondance")</f>
        <v>CLI-01005</v>
      </c>
      <c r="D151" t="str">
        <f>_xlfn.XLOOKUP(Logs[[#This Row],[Cell_ID]],'Registre_Maintenance'!B:B,'Registre_Maintenance'!C:C,"Pas de correspondance")</f>
        <v>Lualaba</v>
      </c>
      <c r="E151" s="3">
        <v>0.45</v>
      </c>
      <c r="F151" s="1" t="s">
        <v>946</v>
      </c>
      <c r="G151" s="3">
        <f>Logs[[#This Row],[Duree_Panne_Min]]/1440</f>
        <v>4.583333333333333E-2</v>
      </c>
      <c r="H151">
        <v>66</v>
      </c>
      <c r="I151">
        <f>_xlfn.XLOOKUP(Logs[[#This Row],[Cell_ID]],'Registre_Maintenance'!B:B,'Registre_Maintenance'!D:D,"Pas de correspondance")</f>
        <v>-9.7803979999999999</v>
      </c>
      <c r="J151">
        <f>_xlfn.XLOOKUP(Logs[[#This Row],[Cell_ID]],'Registre_Maintenance'!B:B,'Registre_Maintenance'!E:E,"Pas de correspondance")</f>
        <v>17.686595000000001</v>
      </c>
      <c r="K151" t="str">
        <f>_xlfn.XLOOKUP(Logs[[#This Row],[Cell_ID]],'Registre_Maintenance'!B:B,'Registre_Maintenance'!F:F,"Pas de correspondance")</f>
        <v>4G</v>
      </c>
      <c r="L151" t="str">
        <f>_xlfn.XLOOKUP(Logs[[#This Row],[Cell_ID]],'Registre_Maintenance'!B:B,'Registre_Maintenance'!G:G,"Pas de correspondance")</f>
        <v>Ericsson</v>
      </c>
      <c r="M151" s="1" t="s">
        <v>806</v>
      </c>
      <c r="N151" s="1">
        <f>_xlfn.XLOOKUP(Logs[[#This Row],[ID_Client]],Clients_Log!B:B,Clients_Log!E:E,"Pas de correspondance")</f>
        <v>80</v>
      </c>
      <c r="O151" s="4">
        <f>IFERROR(Logs[[#This Row],[Anciennete_Mois]]/12,"")</f>
        <v>6.666666666666667</v>
      </c>
      <c r="P151" s="1" t="str">
        <f>_xlfn.XLOOKUP(Logs[[#This Row],[ID_Client]],Clients_Log!B:B,Clients_Log!F:F,"Pas de correspondance")</f>
        <v>Illimité 50Go</v>
      </c>
      <c r="Q151" s="1" t="str">
        <f>IF(Logs[[#This Row],[Type_Forfait]]="Pro Monde","B2B","B2C")</f>
        <v>B2C</v>
      </c>
      <c r="R151" s="1">
        <f>_xlfn.XLOOKUP(Logs[[#This Row],[ID_Client]],Clients_Log!B:B,Clients_Log!G:G,"Pas de correspondance")</f>
        <v>155</v>
      </c>
      <c r="S151" s="3">
        <f>Logs[[#This Row],[Duree_Cumulee_Panne_Min]]/1440</f>
        <v>0.1076388888888889</v>
      </c>
      <c r="T151" s="1">
        <f>_xlfn.XLOOKUP(Logs[[#This Row],[ID_Client]],Clients_Log!B:B,Clients_Log!H:H,"Pas de correspondance")</f>
        <v>28.96</v>
      </c>
      <c r="U151" s="1">
        <f>_xlfn.XLOOKUP(Logs[[#This Row],[ID_Client]],Clients_Log!B:B,Clients_Log!I:I,"Pas de correspondance")</f>
        <v>2</v>
      </c>
      <c r="V15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51" s="1">
        <f>Logs[[#This Row],[Facture_Mensuelle]]*Logs[[#This Row],[Remise (%)]]</f>
        <v>0</v>
      </c>
    </row>
    <row r="152" spans="1:23" hidden="1" x14ac:dyDescent="0.25">
      <c r="A152" s="1" t="s">
        <v>935</v>
      </c>
      <c r="B152" s="2">
        <v>45228</v>
      </c>
      <c r="C152" s="1" t="str">
        <f>_xlfn.XLOOKUP(Logs[[#This Row],[Province_RDC]],Clients_Log!D:D,Clients_Log!B:B,"Pas de correspondance")</f>
        <v>Pas de correspondance</v>
      </c>
      <c r="D152" t="str">
        <f>_xlfn.XLOOKUP(Logs[[#This Row],[Cell_ID]],'Registre_Maintenance'!B:B,'Registre_Maintenance'!C:C,"Pas de correspondance")</f>
        <v>Pas de correspondance</v>
      </c>
      <c r="E152" s="3">
        <v>0.51180555555555551</v>
      </c>
      <c r="F152" s="1" t="s">
        <v>947</v>
      </c>
      <c r="G152" s="3">
        <f>Logs[[#This Row],[Duree_Panne_Min]]/1440</f>
        <v>4.4444444444444446E-2</v>
      </c>
      <c r="H152">
        <v>64</v>
      </c>
      <c r="I152" t="str">
        <f>_xlfn.XLOOKUP(Logs[[#This Row],[Cell_ID]],'Registre_Maintenance'!B:B,'Registre_Maintenance'!D:D,"Pas de correspondance")</f>
        <v>Pas de correspondance</v>
      </c>
      <c r="J152" t="str">
        <f>_xlfn.XLOOKUP(Logs[[#This Row],[Cell_ID]],'Registre_Maintenance'!B:B,'Registre_Maintenance'!E:E,"Pas de correspondance")</f>
        <v>Pas de correspondance</v>
      </c>
      <c r="K152" t="str">
        <f>_xlfn.XLOOKUP(Logs[[#This Row],[Cell_ID]],'Registre_Maintenance'!B:B,'Registre_Maintenance'!F:F,"Pas de correspondance")</f>
        <v>Pas de correspondance</v>
      </c>
      <c r="L152" t="str">
        <f>_xlfn.XLOOKUP(Logs[[#This Row],[Cell_ID]],'Registre_Maintenance'!B:B,'Registre_Maintenance'!G:G,"Pas de correspondance")</f>
        <v>Pas de correspondance</v>
      </c>
      <c r="M152" s="1" t="s">
        <v>809</v>
      </c>
      <c r="N152" s="1" t="str">
        <f>_xlfn.XLOOKUP(Logs[[#This Row],[ID_Client]],Clients_Log!B:B,Clients_Log!E:E,"Pas de correspondance")</f>
        <v>Pas de correspondance</v>
      </c>
      <c r="O152" s="4" t="str">
        <f>IFERROR(Logs[[#This Row],[Anciennete_Mois]]/12,"")</f>
        <v/>
      </c>
      <c r="P152" s="1" t="str">
        <f>_xlfn.XLOOKUP(Logs[[#This Row],[ID_Client]],Clients_Log!B:B,Clients_Log!F:F,"Pas de correspondance")</f>
        <v>Pas de correspondance</v>
      </c>
      <c r="Q152" s="1" t="str">
        <f>IF(Logs[[#This Row],[Type_Forfait]]="Pro Monde","B2B","B2C")</f>
        <v>B2C</v>
      </c>
      <c r="R152" s="1" t="str">
        <f>_xlfn.XLOOKUP(Logs[[#This Row],[ID_Client]],Clients_Log!B:B,Clients_Log!G:G,"Pas de correspondance")</f>
        <v>Pas de correspondance</v>
      </c>
      <c r="S152" s="1" t="e">
        <f>Logs[[#This Row],[Duree_Cumulee_Panne_Min]]/1440</f>
        <v>#VALUE!</v>
      </c>
      <c r="T152" s="1" t="str">
        <f>_xlfn.XLOOKUP(Logs[[#This Row],[ID_Client]],Clients_Log!B:B,Clients_Log!H:H,"Pas de correspondance")</f>
        <v>Pas de correspondance</v>
      </c>
      <c r="U152" s="1" t="str">
        <f>_xlfn.XLOOKUP(Logs[[#This Row],[ID_Client]],Clients_Log!B:B,Clients_Log!I:I,"Pas de correspondance")</f>
        <v>Pas de correspondance</v>
      </c>
      <c r="V15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52" s="1" t="e">
        <f>Logs[[#This Row],[Facture_Mensuelle]]*Logs[[#This Row],[Remise (%)]]</f>
        <v>#VALUE!</v>
      </c>
    </row>
    <row r="153" spans="1:23" x14ac:dyDescent="0.25">
      <c r="A153" s="1" t="s">
        <v>935</v>
      </c>
      <c r="B153" s="2">
        <v>45224</v>
      </c>
      <c r="C153" s="1" t="str">
        <f>_xlfn.XLOOKUP(Logs[[#This Row],[Province_RDC]],Clients_Log!D:D,Clients_Log!B:B,"Pas de correspondance")</f>
        <v>CLI-01618</v>
      </c>
      <c r="D153" t="str">
        <f>_xlfn.XLOOKUP(Logs[[#This Row],[Cell_ID]],'Registre_Maintenance'!B:B,'Registre_Maintenance'!C:C,"Pas de correspondance")</f>
        <v>Tanganyika</v>
      </c>
      <c r="E153" s="3">
        <v>0.55277777777777781</v>
      </c>
      <c r="F153" s="1" t="s">
        <v>948</v>
      </c>
      <c r="G153" s="3">
        <f>Logs[[#This Row],[Duree_Panne_Min]]/1440</f>
        <v>4.1666666666666664E-2</v>
      </c>
      <c r="H153">
        <v>60</v>
      </c>
      <c r="I153">
        <f>_xlfn.XLOOKUP(Logs[[#This Row],[Cell_ID]],'Registre_Maintenance'!B:B,'Registre_Maintenance'!D:D,"Pas de correspondance")</f>
        <v>-10.439686999999999</v>
      </c>
      <c r="J153">
        <f>_xlfn.XLOOKUP(Logs[[#This Row],[Cell_ID]],'Registre_Maintenance'!B:B,'Registre_Maintenance'!E:E,"Pas de correspondance")</f>
        <v>20.714210000000001</v>
      </c>
      <c r="K153" t="str">
        <f>_xlfn.XLOOKUP(Logs[[#This Row],[Cell_ID]],'Registre_Maintenance'!B:B,'Registre_Maintenance'!F:F,"Pas de correspondance")</f>
        <v>4G</v>
      </c>
      <c r="L153" t="str">
        <f>_xlfn.XLOOKUP(Logs[[#This Row],[Cell_ID]],'Registre_Maintenance'!B:B,'Registre_Maintenance'!G:G,"Pas de correspondance")</f>
        <v>ZTE</v>
      </c>
      <c r="M153" s="1" t="s">
        <v>809</v>
      </c>
      <c r="N153" s="1">
        <f>_xlfn.XLOOKUP(Logs[[#This Row],[ID_Client]],Clients_Log!B:B,Clients_Log!E:E,"Pas de correspondance")</f>
        <v>115</v>
      </c>
      <c r="O153" s="4">
        <f>IFERROR(Logs[[#This Row],[Anciennete_Mois]]/12,"")</f>
        <v>9.5833333333333339</v>
      </c>
      <c r="P153" s="1" t="str">
        <f>_xlfn.XLOOKUP(Logs[[#This Row],[ID_Client]],Clients_Log!B:B,Clients_Log!F:F,"Pas de correspondance")</f>
        <v>Bloqué 5Go</v>
      </c>
      <c r="Q153" s="1" t="str">
        <f>IF(Logs[[#This Row],[Type_Forfait]]="Pro Monde","B2B","B2C")</f>
        <v>B2C</v>
      </c>
      <c r="R153" s="1">
        <f>_xlfn.XLOOKUP(Logs[[#This Row],[ID_Client]],Clients_Log!B:B,Clients_Log!G:G,"Pas de correspondance")</f>
        <v>176</v>
      </c>
      <c r="S153" s="3">
        <f>Logs[[#This Row],[Duree_Cumulee_Panne_Min]]/1440</f>
        <v>0.12222222222222222</v>
      </c>
      <c r="T153" s="1">
        <f>_xlfn.XLOOKUP(Logs[[#This Row],[ID_Client]],Clients_Log!B:B,Clients_Log!H:H,"Pas de correspondance")</f>
        <v>33.28</v>
      </c>
      <c r="U153" s="1">
        <f>_xlfn.XLOOKUP(Logs[[#This Row],[ID_Client]],Clients_Log!B:B,Clients_Log!I:I,"Pas de correspondance")</f>
        <v>4</v>
      </c>
      <c r="V15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53" s="1">
        <f>Logs[[#This Row],[Facture_Mensuelle]]*Logs[[#This Row],[Remise (%)]]</f>
        <v>0</v>
      </c>
    </row>
    <row r="154" spans="1:23" hidden="1" x14ac:dyDescent="0.25">
      <c r="A154" s="1" t="s">
        <v>935</v>
      </c>
      <c r="B154" s="2">
        <v>45226</v>
      </c>
      <c r="C154" s="1" t="str">
        <f>_xlfn.XLOOKUP(Logs[[#This Row],[Province_RDC]],Clients_Log!D:D,Clients_Log!B:B,"Pas de correspondance")</f>
        <v>Pas de correspondance</v>
      </c>
      <c r="D154" t="str">
        <f>_xlfn.XLOOKUP(Logs[[#This Row],[Cell_ID]],'Registre_Maintenance'!B:B,'Registre_Maintenance'!C:C,"Pas de correspondance")</f>
        <v>Pas de correspondance</v>
      </c>
      <c r="E154" s="3">
        <v>0.10416666666666667</v>
      </c>
      <c r="F154" s="1" t="s">
        <v>949</v>
      </c>
      <c r="G154" s="3">
        <f>Logs[[#This Row],[Duree_Panne_Min]]/1440</f>
        <v>7.6388888888888895E-2</v>
      </c>
      <c r="H154">
        <v>110</v>
      </c>
      <c r="I154" t="str">
        <f>_xlfn.XLOOKUP(Logs[[#This Row],[Cell_ID]],'Registre_Maintenance'!B:B,'Registre_Maintenance'!D:D,"Pas de correspondance")</f>
        <v>Pas de correspondance</v>
      </c>
      <c r="J154" t="str">
        <f>_xlfn.XLOOKUP(Logs[[#This Row],[Cell_ID]],'Registre_Maintenance'!B:B,'Registre_Maintenance'!E:E,"Pas de correspondance")</f>
        <v>Pas de correspondance</v>
      </c>
      <c r="K154" t="str">
        <f>_xlfn.XLOOKUP(Logs[[#This Row],[Cell_ID]],'Registre_Maintenance'!B:B,'Registre_Maintenance'!F:F,"Pas de correspondance")</f>
        <v>Pas de correspondance</v>
      </c>
      <c r="L154" t="str">
        <f>_xlfn.XLOOKUP(Logs[[#This Row],[Cell_ID]],'Registre_Maintenance'!B:B,'Registre_Maintenance'!G:G,"Pas de correspondance")</f>
        <v>Pas de correspondance</v>
      </c>
      <c r="M154" s="1" t="s">
        <v>809</v>
      </c>
      <c r="N154" s="1" t="str">
        <f>_xlfn.XLOOKUP(Logs[[#This Row],[ID_Client]],Clients_Log!B:B,Clients_Log!E:E,"Pas de correspondance")</f>
        <v>Pas de correspondance</v>
      </c>
      <c r="O154" s="4" t="str">
        <f>IFERROR(Logs[[#This Row],[Anciennete_Mois]]/12,"")</f>
        <v/>
      </c>
      <c r="P154" s="1" t="str">
        <f>_xlfn.XLOOKUP(Logs[[#This Row],[ID_Client]],Clients_Log!B:B,Clients_Log!F:F,"Pas de correspondance")</f>
        <v>Pas de correspondance</v>
      </c>
      <c r="Q154" s="1" t="str">
        <f>IF(Logs[[#This Row],[Type_Forfait]]="Pro Monde","B2B","B2C")</f>
        <v>B2C</v>
      </c>
      <c r="R154" s="1" t="str">
        <f>_xlfn.XLOOKUP(Logs[[#This Row],[ID_Client]],Clients_Log!B:B,Clients_Log!G:G,"Pas de correspondance")</f>
        <v>Pas de correspondance</v>
      </c>
      <c r="S154" s="1" t="e">
        <f>Logs[[#This Row],[Duree_Cumulee_Panne_Min]]/1440</f>
        <v>#VALUE!</v>
      </c>
      <c r="T154" s="1" t="str">
        <f>_xlfn.XLOOKUP(Logs[[#This Row],[ID_Client]],Clients_Log!B:B,Clients_Log!H:H,"Pas de correspondance")</f>
        <v>Pas de correspondance</v>
      </c>
      <c r="U154" s="1" t="str">
        <f>_xlfn.XLOOKUP(Logs[[#This Row],[ID_Client]],Clients_Log!B:B,Clients_Log!I:I,"Pas de correspondance")</f>
        <v>Pas de correspondance</v>
      </c>
      <c r="V15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54" s="1" t="e">
        <f>Logs[[#This Row],[Facture_Mensuelle]]*Logs[[#This Row],[Remise (%)]]</f>
        <v>#VALUE!</v>
      </c>
    </row>
    <row r="155" spans="1:23" hidden="1" x14ac:dyDescent="0.25">
      <c r="A155" s="1" t="s">
        <v>935</v>
      </c>
      <c r="B155" s="2">
        <v>45200</v>
      </c>
      <c r="C155" s="1" t="str">
        <f>_xlfn.XLOOKUP(Logs[[#This Row],[Province_RDC]],Clients_Log!D:D,Clients_Log!B:B,"Pas de correspondance")</f>
        <v>Pas de correspondance</v>
      </c>
      <c r="D155" t="str">
        <f>_xlfn.XLOOKUP(Logs[[#This Row],[Cell_ID]],'Registre_Maintenance'!B:B,'Registre_Maintenance'!C:C,"Pas de correspondance")</f>
        <v>Pas de correspondance</v>
      </c>
      <c r="E155" s="3">
        <v>0.9819444444444444</v>
      </c>
      <c r="F155" s="1" t="s">
        <v>840</v>
      </c>
      <c r="G155" s="3">
        <f>Logs[[#This Row],[Duree_Panne_Min]]/1440</f>
        <v>6.805555555555555E-2</v>
      </c>
      <c r="H155">
        <v>98</v>
      </c>
      <c r="I155" t="str">
        <f>_xlfn.XLOOKUP(Logs[[#This Row],[Cell_ID]],'Registre_Maintenance'!B:B,'Registre_Maintenance'!D:D,"Pas de correspondance")</f>
        <v>Pas de correspondance</v>
      </c>
      <c r="J155" t="str">
        <f>_xlfn.XLOOKUP(Logs[[#This Row],[Cell_ID]],'Registre_Maintenance'!B:B,'Registre_Maintenance'!E:E,"Pas de correspondance")</f>
        <v>Pas de correspondance</v>
      </c>
      <c r="K155" t="str">
        <f>_xlfn.XLOOKUP(Logs[[#This Row],[Cell_ID]],'Registre_Maintenance'!B:B,'Registre_Maintenance'!F:F,"Pas de correspondance")</f>
        <v>Pas de correspondance</v>
      </c>
      <c r="L155" t="str">
        <f>_xlfn.XLOOKUP(Logs[[#This Row],[Cell_ID]],'Registre_Maintenance'!B:B,'Registre_Maintenance'!G:G,"Pas de correspondance")</f>
        <v>Pas de correspondance</v>
      </c>
      <c r="M155" s="1" t="s">
        <v>806</v>
      </c>
      <c r="N155" s="1" t="str">
        <f>_xlfn.XLOOKUP(Logs[[#This Row],[ID_Client]],Clients_Log!B:B,Clients_Log!E:E,"Pas de correspondance")</f>
        <v>Pas de correspondance</v>
      </c>
      <c r="O155" s="4" t="str">
        <f>IFERROR(Logs[[#This Row],[Anciennete_Mois]]/12,"")</f>
        <v/>
      </c>
      <c r="P155" s="1" t="str">
        <f>_xlfn.XLOOKUP(Logs[[#This Row],[ID_Client]],Clients_Log!B:B,Clients_Log!F:F,"Pas de correspondance")</f>
        <v>Pas de correspondance</v>
      </c>
      <c r="Q155" s="1" t="str">
        <f>IF(Logs[[#This Row],[Type_Forfait]]="Pro Monde","B2B","B2C")</f>
        <v>B2C</v>
      </c>
      <c r="R155" s="1" t="str">
        <f>_xlfn.XLOOKUP(Logs[[#This Row],[ID_Client]],Clients_Log!B:B,Clients_Log!G:G,"Pas de correspondance")</f>
        <v>Pas de correspondance</v>
      </c>
      <c r="S155" s="1" t="e">
        <f>Logs[[#This Row],[Duree_Cumulee_Panne_Min]]/1440</f>
        <v>#VALUE!</v>
      </c>
      <c r="T155" s="1" t="str">
        <f>_xlfn.XLOOKUP(Logs[[#This Row],[ID_Client]],Clients_Log!B:B,Clients_Log!H:H,"Pas de correspondance")</f>
        <v>Pas de correspondance</v>
      </c>
      <c r="U155" s="1" t="str">
        <f>_xlfn.XLOOKUP(Logs[[#This Row],[ID_Client]],Clients_Log!B:B,Clients_Log!I:I,"Pas de correspondance")</f>
        <v>Pas de correspondance</v>
      </c>
      <c r="V15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55" s="1" t="e">
        <f>Logs[[#This Row],[Facture_Mensuelle]]*Logs[[#This Row],[Remise (%)]]</f>
        <v>#VALUE!</v>
      </c>
    </row>
    <row r="156" spans="1:23" x14ac:dyDescent="0.25">
      <c r="A156" s="1" t="s">
        <v>935</v>
      </c>
      <c r="B156" s="2">
        <v>45201</v>
      </c>
      <c r="C156" s="1" t="str">
        <f>_xlfn.XLOOKUP(Logs[[#This Row],[Province_RDC]],Clients_Log!D:D,Clients_Log!B:B,"Pas de correspondance")</f>
        <v>CLI-00076</v>
      </c>
      <c r="D156" t="str">
        <f>_xlfn.XLOOKUP(Logs[[#This Row],[Cell_ID]],'Registre_Maintenance'!B:B,'Registre_Maintenance'!C:C,"Pas de correspondance")</f>
        <v>Haut-Katanga</v>
      </c>
      <c r="E156" s="3">
        <v>0.46805555555555556</v>
      </c>
      <c r="F156" s="1" t="s">
        <v>950</v>
      </c>
      <c r="G156" s="3">
        <f>Logs[[#This Row],[Duree_Panne_Min]]/1440</f>
        <v>5.5555555555555552E-2</v>
      </c>
      <c r="H156">
        <v>80</v>
      </c>
      <c r="I156">
        <f>_xlfn.XLOOKUP(Logs[[#This Row],[Cell_ID]],'Registre_Maintenance'!B:B,'Registre_Maintenance'!D:D,"Pas de correspondance")</f>
        <v>-3.3890790000000002</v>
      </c>
      <c r="J156">
        <f>_xlfn.XLOOKUP(Logs[[#This Row],[Cell_ID]],'Registre_Maintenance'!B:B,'Registre_Maintenance'!E:E,"Pas de correspondance")</f>
        <v>18.374571</v>
      </c>
      <c r="K156" t="str">
        <f>_xlfn.XLOOKUP(Logs[[#This Row],[Cell_ID]],'Registre_Maintenance'!B:B,'Registre_Maintenance'!F:F,"Pas de correspondance")</f>
        <v>5G</v>
      </c>
      <c r="L156" t="str">
        <f>_xlfn.XLOOKUP(Logs[[#This Row],[Cell_ID]],'Registre_Maintenance'!B:B,'Registre_Maintenance'!G:G,"Pas de correspondance")</f>
        <v>ZTE</v>
      </c>
      <c r="M156" s="1" t="s">
        <v>806</v>
      </c>
      <c r="N156" s="1">
        <f>_xlfn.XLOOKUP(Logs[[#This Row],[ID_Client]],Clients_Log!B:B,Clients_Log!E:E,"Pas de correspondance")</f>
        <v>46</v>
      </c>
      <c r="O156" s="4">
        <f>IFERROR(Logs[[#This Row],[Anciennete_Mois]]/12,"")</f>
        <v>3.8333333333333335</v>
      </c>
      <c r="P156" s="1" t="str">
        <f>_xlfn.XLOOKUP(Logs[[#This Row],[ID_Client]],Clients_Log!B:B,Clients_Log!F:F,"Pas de correspondance")</f>
        <v>Premium 5G 150Go</v>
      </c>
      <c r="Q156" s="1" t="str">
        <f>IF(Logs[[#This Row],[Type_Forfait]]="Pro Monde","B2B","B2C")</f>
        <v>B2C</v>
      </c>
      <c r="R156" s="1">
        <f>_xlfn.XLOOKUP(Logs[[#This Row],[ID_Client]],Clients_Log!B:B,Clients_Log!G:G,"Pas de correspondance")</f>
        <v>283</v>
      </c>
      <c r="S156" s="3">
        <f>Logs[[#This Row],[Duree_Cumulee_Panne_Min]]/1440</f>
        <v>0.19652777777777777</v>
      </c>
      <c r="T156" s="1">
        <f>_xlfn.XLOOKUP(Logs[[#This Row],[ID_Client]],Clients_Log!B:B,Clients_Log!H:H,"Pas de correspondance")</f>
        <v>56.05</v>
      </c>
      <c r="U156" s="1">
        <f>_xlfn.XLOOKUP(Logs[[#This Row],[ID_Client]],Clients_Log!B:B,Clients_Log!I:I,"Pas de correspondance")</f>
        <v>1</v>
      </c>
      <c r="V15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56" s="1">
        <f>Logs[[#This Row],[Facture_Mensuelle]]*Logs[[#This Row],[Remise (%)]]</f>
        <v>25.2225</v>
      </c>
    </row>
    <row r="157" spans="1:23" hidden="1" x14ac:dyDescent="0.25">
      <c r="A157" s="1" t="s">
        <v>935</v>
      </c>
      <c r="B157" s="2">
        <v>45220</v>
      </c>
      <c r="C157" s="1" t="str">
        <f>_xlfn.XLOOKUP(Logs[[#This Row],[Province_RDC]],Clients_Log!D:D,Clients_Log!B:B,"Pas de correspondance")</f>
        <v>Pas de correspondance</v>
      </c>
      <c r="D157" t="str">
        <f>_xlfn.XLOOKUP(Logs[[#This Row],[Cell_ID]],'Registre_Maintenance'!B:B,'Registre_Maintenance'!C:C,"Pas de correspondance")</f>
        <v>Pas de correspondance</v>
      </c>
      <c r="E157" s="3">
        <v>0.11736111111111111</v>
      </c>
      <c r="F157" s="1" t="s">
        <v>951</v>
      </c>
      <c r="G157" s="3">
        <f>Logs[[#This Row],[Duree_Panne_Min]]/1440</f>
        <v>2.7083333333333334E-2</v>
      </c>
      <c r="H157">
        <v>39</v>
      </c>
      <c r="I157" t="str">
        <f>_xlfn.XLOOKUP(Logs[[#This Row],[Cell_ID]],'Registre_Maintenance'!B:B,'Registre_Maintenance'!D:D,"Pas de correspondance")</f>
        <v>Pas de correspondance</v>
      </c>
      <c r="J157" t="str">
        <f>_xlfn.XLOOKUP(Logs[[#This Row],[Cell_ID]],'Registre_Maintenance'!B:B,'Registre_Maintenance'!E:E,"Pas de correspondance")</f>
        <v>Pas de correspondance</v>
      </c>
      <c r="K157" t="str">
        <f>_xlfn.XLOOKUP(Logs[[#This Row],[Cell_ID]],'Registre_Maintenance'!B:B,'Registre_Maintenance'!F:F,"Pas de correspondance")</f>
        <v>Pas de correspondance</v>
      </c>
      <c r="L157" t="str">
        <f>_xlfn.XLOOKUP(Logs[[#This Row],[Cell_ID]],'Registre_Maintenance'!B:B,'Registre_Maintenance'!G:G,"Pas de correspondance")</f>
        <v>Pas de correspondance</v>
      </c>
      <c r="M157" s="1" t="s">
        <v>806</v>
      </c>
      <c r="N157" s="1" t="str">
        <f>_xlfn.XLOOKUP(Logs[[#This Row],[ID_Client]],Clients_Log!B:B,Clients_Log!E:E,"Pas de correspondance")</f>
        <v>Pas de correspondance</v>
      </c>
      <c r="O157" s="4" t="str">
        <f>IFERROR(Logs[[#This Row],[Anciennete_Mois]]/12,"")</f>
        <v/>
      </c>
      <c r="P157" s="1" t="str">
        <f>_xlfn.XLOOKUP(Logs[[#This Row],[ID_Client]],Clients_Log!B:B,Clients_Log!F:F,"Pas de correspondance")</f>
        <v>Pas de correspondance</v>
      </c>
      <c r="Q157" s="1" t="str">
        <f>IF(Logs[[#This Row],[Type_Forfait]]="Pro Monde","B2B","B2C")</f>
        <v>B2C</v>
      </c>
      <c r="R157" s="1" t="str">
        <f>_xlfn.XLOOKUP(Logs[[#This Row],[ID_Client]],Clients_Log!B:B,Clients_Log!G:G,"Pas de correspondance")</f>
        <v>Pas de correspondance</v>
      </c>
      <c r="S157" s="1" t="e">
        <f>Logs[[#This Row],[Duree_Cumulee_Panne_Min]]/1440</f>
        <v>#VALUE!</v>
      </c>
      <c r="T157" s="1" t="str">
        <f>_xlfn.XLOOKUP(Logs[[#This Row],[ID_Client]],Clients_Log!B:B,Clients_Log!H:H,"Pas de correspondance")</f>
        <v>Pas de correspondance</v>
      </c>
      <c r="U157" s="1" t="str">
        <f>_xlfn.XLOOKUP(Logs[[#This Row],[ID_Client]],Clients_Log!B:B,Clients_Log!I:I,"Pas de correspondance")</f>
        <v>Pas de correspondance</v>
      </c>
      <c r="V15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57" s="1" t="e">
        <f>Logs[[#This Row],[Facture_Mensuelle]]*Logs[[#This Row],[Remise (%)]]</f>
        <v>#VALUE!</v>
      </c>
    </row>
    <row r="158" spans="1:23" hidden="1" x14ac:dyDescent="0.25">
      <c r="A158" s="1" t="s">
        <v>935</v>
      </c>
      <c r="B158" s="2">
        <v>45230</v>
      </c>
      <c r="C158" s="1" t="str">
        <f>_xlfn.XLOOKUP(Logs[[#This Row],[Province_RDC]],Clients_Log!D:D,Clients_Log!B:B,"Pas de correspondance")</f>
        <v>Pas de correspondance</v>
      </c>
      <c r="D158" t="str">
        <f>_xlfn.XLOOKUP(Logs[[#This Row],[Cell_ID]],'Registre_Maintenance'!B:B,'Registre_Maintenance'!C:C,"Pas de correspondance")</f>
        <v>Pas de correspondance</v>
      </c>
      <c r="E158" s="3">
        <v>0.83472222222222225</v>
      </c>
      <c r="F158" s="1" t="s">
        <v>850</v>
      </c>
      <c r="G158" s="3">
        <f>Logs[[#This Row],[Duree_Panne_Min]]/1440</f>
        <v>3.1944444444444442E-2</v>
      </c>
      <c r="H158">
        <v>46</v>
      </c>
      <c r="I158" t="str">
        <f>_xlfn.XLOOKUP(Logs[[#This Row],[Cell_ID]],'Registre_Maintenance'!B:B,'Registre_Maintenance'!D:D,"Pas de correspondance")</f>
        <v>Pas de correspondance</v>
      </c>
      <c r="J158" t="str">
        <f>_xlfn.XLOOKUP(Logs[[#This Row],[Cell_ID]],'Registre_Maintenance'!B:B,'Registre_Maintenance'!E:E,"Pas de correspondance")</f>
        <v>Pas de correspondance</v>
      </c>
      <c r="K158" t="str">
        <f>_xlfn.XLOOKUP(Logs[[#This Row],[Cell_ID]],'Registre_Maintenance'!B:B,'Registre_Maintenance'!F:F,"Pas de correspondance")</f>
        <v>Pas de correspondance</v>
      </c>
      <c r="L158" t="str">
        <f>_xlfn.XLOOKUP(Logs[[#This Row],[Cell_ID]],'Registre_Maintenance'!B:B,'Registre_Maintenance'!G:G,"Pas de correspondance")</f>
        <v>Pas de correspondance</v>
      </c>
      <c r="M158" s="1" t="s">
        <v>809</v>
      </c>
      <c r="N158" s="1" t="str">
        <f>_xlfn.XLOOKUP(Logs[[#This Row],[ID_Client]],Clients_Log!B:B,Clients_Log!E:E,"Pas de correspondance")</f>
        <v>Pas de correspondance</v>
      </c>
      <c r="O158" s="4" t="str">
        <f>IFERROR(Logs[[#This Row],[Anciennete_Mois]]/12,"")</f>
        <v/>
      </c>
      <c r="P158" s="1" t="str">
        <f>_xlfn.XLOOKUP(Logs[[#This Row],[ID_Client]],Clients_Log!B:B,Clients_Log!F:F,"Pas de correspondance")</f>
        <v>Pas de correspondance</v>
      </c>
      <c r="Q158" s="1" t="str">
        <f>IF(Logs[[#This Row],[Type_Forfait]]="Pro Monde","B2B","B2C")</f>
        <v>B2C</v>
      </c>
      <c r="R158" s="1" t="str">
        <f>_xlfn.XLOOKUP(Logs[[#This Row],[ID_Client]],Clients_Log!B:B,Clients_Log!G:G,"Pas de correspondance")</f>
        <v>Pas de correspondance</v>
      </c>
      <c r="S158" s="1" t="e">
        <f>Logs[[#This Row],[Duree_Cumulee_Panne_Min]]/1440</f>
        <v>#VALUE!</v>
      </c>
      <c r="T158" s="1" t="str">
        <f>_xlfn.XLOOKUP(Logs[[#This Row],[ID_Client]],Clients_Log!B:B,Clients_Log!H:H,"Pas de correspondance")</f>
        <v>Pas de correspondance</v>
      </c>
      <c r="U158" s="1" t="str">
        <f>_xlfn.XLOOKUP(Logs[[#This Row],[ID_Client]],Clients_Log!B:B,Clients_Log!I:I,"Pas de correspondance")</f>
        <v>Pas de correspondance</v>
      </c>
      <c r="V15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58" s="1" t="e">
        <f>Logs[[#This Row],[Facture_Mensuelle]]*Logs[[#This Row],[Remise (%)]]</f>
        <v>#VALUE!</v>
      </c>
    </row>
    <row r="159" spans="1:23" hidden="1" x14ac:dyDescent="0.25">
      <c r="A159" s="1" t="s">
        <v>935</v>
      </c>
      <c r="B159" s="2">
        <v>45224</v>
      </c>
      <c r="C159" s="1" t="str">
        <f>_xlfn.XLOOKUP(Logs[[#This Row],[Province_RDC]],Clients_Log!D:D,Clients_Log!B:B,"Pas de correspondance")</f>
        <v>Pas de correspondance</v>
      </c>
      <c r="D159" t="str">
        <f>_xlfn.XLOOKUP(Logs[[#This Row],[Cell_ID]],'Registre_Maintenance'!B:B,'Registre_Maintenance'!C:C,"Pas de correspondance")</f>
        <v>Pas de correspondance</v>
      </c>
      <c r="E159" s="3">
        <v>1.0416666666666666E-2</v>
      </c>
      <c r="F159" s="1" t="s">
        <v>883</v>
      </c>
      <c r="G159" s="3">
        <f>Logs[[#This Row],[Duree_Panne_Min]]/1440</f>
        <v>7.9166666666666663E-2</v>
      </c>
      <c r="H159">
        <v>114</v>
      </c>
      <c r="I159" t="str">
        <f>_xlfn.XLOOKUP(Logs[[#This Row],[Cell_ID]],'Registre_Maintenance'!B:B,'Registre_Maintenance'!D:D,"Pas de correspondance")</f>
        <v>Pas de correspondance</v>
      </c>
      <c r="J159" t="str">
        <f>_xlfn.XLOOKUP(Logs[[#This Row],[Cell_ID]],'Registre_Maintenance'!B:B,'Registre_Maintenance'!E:E,"Pas de correspondance")</f>
        <v>Pas de correspondance</v>
      </c>
      <c r="K159" t="str">
        <f>_xlfn.XLOOKUP(Logs[[#This Row],[Cell_ID]],'Registre_Maintenance'!B:B,'Registre_Maintenance'!F:F,"Pas de correspondance")</f>
        <v>Pas de correspondance</v>
      </c>
      <c r="L159" t="str">
        <f>_xlfn.XLOOKUP(Logs[[#This Row],[Cell_ID]],'Registre_Maintenance'!B:B,'Registre_Maintenance'!G:G,"Pas de correspondance")</f>
        <v>Pas de correspondance</v>
      </c>
      <c r="M159" s="1" t="s">
        <v>811</v>
      </c>
      <c r="N159" s="1" t="str">
        <f>_xlfn.XLOOKUP(Logs[[#This Row],[ID_Client]],Clients_Log!B:B,Clients_Log!E:E,"Pas de correspondance")</f>
        <v>Pas de correspondance</v>
      </c>
      <c r="O159" s="4" t="str">
        <f>IFERROR(Logs[[#This Row],[Anciennete_Mois]]/12,"")</f>
        <v/>
      </c>
      <c r="P159" s="1" t="str">
        <f>_xlfn.XLOOKUP(Logs[[#This Row],[ID_Client]],Clients_Log!B:B,Clients_Log!F:F,"Pas de correspondance")</f>
        <v>Pas de correspondance</v>
      </c>
      <c r="Q159" s="1" t="str">
        <f>IF(Logs[[#This Row],[Type_Forfait]]="Pro Monde","B2B","B2C")</f>
        <v>B2C</v>
      </c>
      <c r="R159" s="1" t="str">
        <f>_xlfn.XLOOKUP(Logs[[#This Row],[ID_Client]],Clients_Log!B:B,Clients_Log!G:G,"Pas de correspondance")</f>
        <v>Pas de correspondance</v>
      </c>
      <c r="S159" s="1" t="e">
        <f>Logs[[#This Row],[Duree_Cumulee_Panne_Min]]/1440</f>
        <v>#VALUE!</v>
      </c>
      <c r="T159" s="1" t="str">
        <f>_xlfn.XLOOKUP(Logs[[#This Row],[ID_Client]],Clients_Log!B:B,Clients_Log!H:H,"Pas de correspondance")</f>
        <v>Pas de correspondance</v>
      </c>
      <c r="U159" s="1" t="str">
        <f>_xlfn.XLOOKUP(Logs[[#This Row],[ID_Client]],Clients_Log!B:B,Clients_Log!I:I,"Pas de correspondance")</f>
        <v>Pas de correspondance</v>
      </c>
      <c r="V15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59" s="1" t="e">
        <f>Logs[[#This Row],[Facture_Mensuelle]]*Logs[[#This Row],[Remise (%)]]</f>
        <v>#VALUE!</v>
      </c>
    </row>
    <row r="160" spans="1:23" x14ac:dyDescent="0.25">
      <c r="A160" s="1" t="s">
        <v>935</v>
      </c>
      <c r="B160" s="2">
        <v>45206</v>
      </c>
      <c r="C160" s="1" t="str">
        <f>_xlfn.XLOOKUP(Logs[[#This Row],[Province_RDC]],Clients_Log!D:D,Clients_Log!B:B,"Pas de correspondance")</f>
        <v>CLI-00060</v>
      </c>
      <c r="D160" t="str">
        <f>_xlfn.XLOOKUP(Logs[[#This Row],[Cell_ID]],'Registre_Maintenance'!B:B,'Registre_Maintenance'!C:C,"Pas de correspondance")</f>
        <v>Kasaï-Central</v>
      </c>
      <c r="E160" s="3">
        <v>2.7083333333333334E-2</v>
      </c>
      <c r="F160" s="1" t="s">
        <v>952</v>
      </c>
      <c r="G160" s="3">
        <f>Logs[[#This Row],[Duree_Panne_Min]]/1440</f>
        <v>2.5000000000000001E-2</v>
      </c>
      <c r="H160">
        <v>36</v>
      </c>
      <c r="I160">
        <f>_xlfn.XLOOKUP(Logs[[#This Row],[Cell_ID]],'Registre_Maintenance'!B:B,'Registre_Maintenance'!D:D,"Pas de correspondance")</f>
        <v>-3.111418</v>
      </c>
      <c r="J160">
        <f>_xlfn.XLOOKUP(Logs[[#This Row],[Cell_ID]],'Registre_Maintenance'!B:B,'Registre_Maintenance'!E:E,"Pas de correspondance")</f>
        <v>14.144854</v>
      </c>
      <c r="K160" t="str">
        <f>_xlfn.XLOOKUP(Logs[[#This Row],[Cell_ID]],'Registre_Maintenance'!B:B,'Registre_Maintenance'!F:F,"Pas de correspondance")</f>
        <v>4G</v>
      </c>
      <c r="L160" t="str">
        <f>_xlfn.XLOOKUP(Logs[[#This Row],[Cell_ID]],'Registre_Maintenance'!B:B,'Registre_Maintenance'!G:G,"Pas de correspondance")</f>
        <v>ZTE</v>
      </c>
      <c r="M160" s="1" t="s">
        <v>811</v>
      </c>
      <c r="N160" s="1">
        <f>_xlfn.XLOOKUP(Logs[[#This Row],[ID_Client]],Clients_Log!B:B,Clients_Log!E:E,"Pas de correspondance")</f>
        <v>72</v>
      </c>
      <c r="O160" s="4">
        <f>IFERROR(Logs[[#This Row],[Anciennete_Mois]]/12,"")</f>
        <v>6</v>
      </c>
      <c r="P160" s="1" t="str">
        <f>_xlfn.XLOOKUP(Logs[[#This Row],[ID_Client]],Clients_Log!B:B,Clients_Log!F:F,"Pas de correspondance")</f>
        <v>Pro Monde</v>
      </c>
      <c r="Q160" s="1" t="str">
        <f>IF(Logs[[#This Row],[Type_Forfait]]="Pro Monde","B2B","B2C")</f>
        <v>B2B</v>
      </c>
      <c r="R160" s="1">
        <f>_xlfn.XLOOKUP(Logs[[#This Row],[ID_Client]],Clients_Log!B:B,Clients_Log!G:G,"Pas de correspondance")</f>
        <v>160</v>
      </c>
      <c r="S160" s="3">
        <f>Logs[[#This Row],[Duree_Cumulee_Panne_Min]]/1440</f>
        <v>0.1111111111111111</v>
      </c>
      <c r="T160" s="1">
        <f>_xlfn.XLOOKUP(Logs[[#This Row],[ID_Client]],Clients_Log!B:B,Clients_Log!H:H,"Pas de correspondance")</f>
        <v>90.13</v>
      </c>
      <c r="U160" s="1">
        <f>_xlfn.XLOOKUP(Logs[[#This Row],[ID_Client]],Clients_Log!B:B,Clients_Log!I:I,"Pas de correspondance")</f>
        <v>2</v>
      </c>
      <c r="V16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160" s="1">
        <f>Logs[[#This Row],[Facture_Mensuelle]]*Logs[[#This Row],[Remise (%)]]</f>
        <v>9.0129999999999999</v>
      </c>
    </row>
    <row r="161" spans="1:23" x14ac:dyDescent="0.25">
      <c r="A161" s="1" t="s">
        <v>935</v>
      </c>
      <c r="B161" s="2">
        <v>45204</v>
      </c>
      <c r="C161" s="1" t="str">
        <f>_xlfn.XLOOKUP(Logs[[#This Row],[Province_RDC]],Clients_Log!D:D,Clients_Log!B:B,"Pas de correspondance")</f>
        <v>CLI-01170</v>
      </c>
      <c r="D161" t="str">
        <f>_xlfn.XLOOKUP(Logs[[#This Row],[Cell_ID]],'Registre_Maintenance'!B:B,'Registre_Maintenance'!C:C,"Pas de correspondance")</f>
        <v>Nord-Ubangi</v>
      </c>
      <c r="E161" s="3">
        <v>0.29722222222222222</v>
      </c>
      <c r="F161" s="1" t="s">
        <v>953</v>
      </c>
      <c r="G161" s="3">
        <f>Logs[[#This Row],[Duree_Panne_Min]]/1440</f>
        <v>7.7083333333333337E-2</v>
      </c>
      <c r="H161">
        <v>111</v>
      </c>
      <c r="I161">
        <f>_xlfn.XLOOKUP(Logs[[#This Row],[Cell_ID]],'Registre_Maintenance'!B:B,'Registre_Maintenance'!D:D,"Pas de correspondance")</f>
        <v>-1.342476</v>
      </c>
      <c r="J161">
        <f>_xlfn.XLOOKUP(Logs[[#This Row],[Cell_ID]],'Registre_Maintenance'!B:B,'Registre_Maintenance'!E:E,"Pas de correspondance")</f>
        <v>15.986086</v>
      </c>
      <c r="K161" t="str">
        <f>_xlfn.XLOOKUP(Logs[[#This Row],[Cell_ID]],'Registre_Maintenance'!B:B,'Registre_Maintenance'!F:F,"Pas de correspondance")</f>
        <v>4G</v>
      </c>
      <c r="L161" t="str">
        <f>_xlfn.XLOOKUP(Logs[[#This Row],[Cell_ID]],'Registre_Maintenance'!B:B,'Registre_Maintenance'!G:G,"Pas de correspondance")</f>
        <v>Ericsson</v>
      </c>
      <c r="M161" s="1" t="s">
        <v>809</v>
      </c>
      <c r="N161" s="1">
        <f>_xlfn.XLOOKUP(Logs[[#This Row],[ID_Client]],Clients_Log!B:B,Clients_Log!E:E,"Pas de correspondance")</f>
        <v>98</v>
      </c>
      <c r="O161" s="4">
        <f>IFERROR(Logs[[#This Row],[Anciennete_Mois]]/12,"")</f>
        <v>8.1666666666666661</v>
      </c>
      <c r="P161" s="1" t="str">
        <f>_xlfn.XLOOKUP(Logs[[#This Row],[ID_Client]],Clients_Log!B:B,Clients_Log!F:F,"Pas de correspondance")</f>
        <v>Pro Monde</v>
      </c>
      <c r="Q161" s="1" t="str">
        <f>IF(Logs[[#This Row],[Type_Forfait]]="Pro Monde","B2B","B2C")</f>
        <v>B2B</v>
      </c>
      <c r="R161" s="1">
        <f>_xlfn.XLOOKUP(Logs[[#This Row],[ID_Client]],Clients_Log!B:B,Clients_Log!G:G,"Pas de correspondance")</f>
        <v>482</v>
      </c>
      <c r="S161" s="3">
        <f>Logs[[#This Row],[Duree_Cumulee_Panne_Min]]/1440</f>
        <v>0.3347222222222222</v>
      </c>
      <c r="T161" s="1">
        <f>_xlfn.XLOOKUP(Logs[[#This Row],[ID_Client]],Clients_Log!B:B,Clients_Log!H:H,"Pas de correspondance")</f>
        <v>55.04</v>
      </c>
      <c r="U161" s="1">
        <f>_xlfn.XLOOKUP(Logs[[#This Row],[ID_Client]],Clients_Log!B:B,Clients_Log!I:I,"Pas de correspondance")</f>
        <v>5</v>
      </c>
      <c r="V16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61" s="1">
        <f>Logs[[#This Row],[Facture_Mensuelle]]*Logs[[#This Row],[Remise (%)]]</f>
        <v>24.768000000000001</v>
      </c>
    </row>
    <row r="162" spans="1:23" hidden="1" x14ac:dyDescent="0.25">
      <c r="A162" s="1" t="s">
        <v>935</v>
      </c>
      <c r="B162" s="2">
        <v>45215</v>
      </c>
      <c r="C162" s="1" t="str">
        <f>_xlfn.XLOOKUP(Logs[[#This Row],[Province_RDC]],Clients_Log!D:D,Clients_Log!B:B,"Pas de correspondance")</f>
        <v>Pas de correspondance</v>
      </c>
      <c r="D162" t="str">
        <f>_xlfn.XLOOKUP(Logs[[#This Row],[Cell_ID]],'Registre_Maintenance'!B:B,'Registre_Maintenance'!C:C,"Pas de correspondance")</f>
        <v>Pas de correspondance</v>
      </c>
      <c r="E162" s="3">
        <v>0.87986111111111109</v>
      </c>
      <c r="F162" s="1" t="s">
        <v>954</v>
      </c>
      <c r="G162" s="3">
        <f>Logs[[#This Row],[Duree_Panne_Min]]/1440</f>
        <v>1.1111111111111112E-2</v>
      </c>
      <c r="H162">
        <v>16</v>
      </c>
      <c r="I162" t="str">
        <f>_xlfn.XLOOKUP(Logs[[#This Row],[Cell_ID]],'Registre_Maintenance'!B:B,'Registre_Maintenance'!D:D,"Pas de correspondance")</f>
        <v>Pas de correspondance</v>
      </c>
      <c r="J162" t="str">
        <f>_xlfn.XLOOKUP(Logs[[#This Row],[Cell_ID]],'Registre_Maintenance'!B:B,'Registre_Maintenance'!E:E,"Pas de correspondance")</f>
        <v>Pas de correspondance</v>
      </c>
      <c r="K162" t="str">
        <f>_xlfn.XLOOKUP(Logs[[#This Row],[Cell_ID]],'Registre_Maintenance'!B:B,'Registre_Maintenance'!F:F,"Pas de correspondance")</f>
        <v>Pas de correspondance</v>
      </c>
      <c r="L162" t="str">
        <f>_xlfn.XLOOKUP(Logs[[#This Row],[Cell_ID]],'Registre_Maintenance'!B:B,'Registre_Maintenance'!G:G,"Pas de correspondance")</f>
        <v>Pas de correspondance</v>
      </c>
      <c r="M162" s="1" t="s">
        <v>809</v>
      </c>
      <c r="N162" s="1" t="str">
        <f>_xlfn.XLOOKUP(Logs[[#This Row],[ID_Client]],Clients_Log!B:B,Clients_Log!E:E,"Pas de correspondance")</f>
        <v>Pas de correspondance</v>
      </c>
      <c r="O162" s="4" t="str">
        <f>IFERROR(Logs[[#This Row],[Anciennete_Mois]]/12,"")</f>
        <v/>
      </c>
      <c r="P162" s="1" t="str">
        <f>_xlfn.XLOOKUP(Logs[[#This Row],[ID_Client]],Clients_Log!B:B,Clients_Log!F:F,"Pas de correspondance")</f>
        <v>Pas de correspondance</v>
      </c>
      <c r="Q162" s="1" t="str">
        <f>IF(Logs[[#This Row],[Type_Forfait]]="Pro Monde","B2B","B2C")</f>
        <v>B2C</v>
      </c>
      <c r="R162" s="1" t="str">
        <f>_xlfn.XLOOKUP(Logs[[#This Row],[ID_Client]],Clients_Log!B:B,Clients_Log!G:G,"Pas de correspondance")</f>
        <v>Pas de correspondance</v>
      </c>
      <c r="S162" s="1" t="e">
        <f>Logs[[#This Row],[Duree_Cumulee_Panne_Min]]/1440</f>
        <v>#VALUE!</v>
      </c>
      <c r="T162" s="1" t="str">
        <f>_xlfn.XLOOKUP(Logs[[#This Row],[ID_Client]],Clients_Log!B:B,Clients_Log!H:H,"Pas de correspondance")</f>
        <v>Pas de correspondance</v>
      </c>
      <c r="U162" s="1" t="str">
        <f>_xlfn.XLOOKUP(Logs[[#This Row],[ID_Client]],Clients_Log!B:B,Clients_Log!I:I,"Pas de correspondance")</f>
        <v>Pas de correspondance</v>
      </c>
      <c r="V16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62" s="1" t="e">
        <f>Logs[[#This Row],[Facture_Mensuelle]]*Logs[[#This Row],[Remise (%)]]</f>
        <v>#VALUE!</v>
      </c>
    </row>
    <row r="163" spans="1:23" hidden="1" x14ac:dyDescent="0.25">
      <c r="A163" s="1" t="s">
        <v>935</v>
      </c>
      <c r="B163" s="2">
        <v>45218</v>
      </c>
      <c r="C163" s="1" t="str">
        <f>_xlfn.XLOOKUP(Logs[[#This Row],[Province_RDC]],Clients_Log!D:D,Clients_Log!B:B,"Pas de correspondance")</f>
        <v>Pas de correspondance</v>
      </c>
      <c r="D163" t="str">
        <f>_xlfn.XLOOKUP(Logs[[#This Row],[Cell_ID]],'Registre_Maintenance'!B:B,'Registre_Maintenance'!C:C,"Pas de correspondance")</f>
        <v>Pas de correspondance</v>
      </c>
      <c r="E163" s="3">
        <v>0.27013888888888887</v>
      </c>
      <c r="F163" s="1" t="s">
        <v>955</v>
      </c>
      <c r="G163" s="3">
        <f>Logs[[#This Row],[Duree_Panne_Min]]/1440</f>
        <v>2.7777777777777776E-2</v>
      </c>
      <c r="H163">
        <v>40</v>
      </c>
      <c r="I163" t="str">
        <f>_xlfn.XLOOKUP(Logs[[#This Row],[Cell_ID]],'Registre_Maintenance'!B:B,'Registre_Maintenance'!D:D,"Pas de correspondance")</f>
        <v>Pas de correspondance</v>
      </c>
      <c r="J163" t="str">
        <f>_xlfn.XLOOKUP(Logs[[#This Row],[Cell_ID]],'Registre_Maintenance'!B:B,'Registre_Maintenance'!E:E,"Pas de correspondance")</f>
        <v>Pas de correspondance</v>
      </c>
      <c r="K163" t="str">
        <f>_xlfn.XLOOKUP(Logs[[#This Row],[Cell_ID]],'Registre_Maintenance'!B:B,'Registre_Maintenance'!F:F,"Pas de correspondance")</f>
        <v>Pas de correspondance</v>
      </c>
      <c r="L163" t="str">
        <f>_xlfn.XLOOKUP(Logs[[#This Row],[Cell_ID]],'Registre_Maintenance'!B:B,'Registre_Maintenance'!G:G,"Pas de correspondance")</f>
        <v>Pas de correspondance</v>
      </c>
      <c r="M163" s="1" t="s">
        <v>809</v>
      </c>
      <c r="N163" s="1" t="str">
        <f>_xlfn.XLOOKUP(Logs[[#This Row],[ID_Client]],Clients_Log!B:B,Clients_Log!E:E,"Pas de correspondance")</f>
        <v>Pas de correspondance</v>
      </c>
      <c r="O163" s="4" t="str">
        <f>IFERROR(Logs[[#This Row],[Anciennete_Mois]]/12,"")</f>
        <v/>
      </c>
      <c r="P163" s="1" t="str">
        <f>_xlfn.XLOOKUP(Logs[[#This Row],[ID_Client]],Clients_Log!B:B,Clients_Log!F:F,"Pas de correspondance")</f>
        <v>Pas de correspondance</v>
      </c>
      <c r="Q163" s="1" t="str">
        <f>IF(Logs[[#This Row],[Type_Forfait]]="Pro Monde","B2B","B2C")</f>
        <v>B2C</v>
      </c>
      <c r="R163" s="1" t="str">
        <f>_xlfn.XLOOKUP(Logs[[#This Row],[ID_Client]],Clients_Log!B:B,Clients_Log!G:G,"Pas de correspondance")</f>
        <v>Pas de correspondance</v>
      </c>
      <c r="S163" s="1" t="e">
        <f>Logs[[#This Row],[Duree_Cumulee_Panne_Min]]/1440</f>
        <v>#VALUE!</v>
      </c>
      <c r="T163" s="1" t="str">
        <f>_xlfn.XLOOKUP(Logs[[#This Row],[ID_Client]],Clients_Log!B:B,Clients_Log!H:H,"Pas de correspondance")</f>
        <v>Pas de correspondance</v>
      </c>
      <c r="U163" s="1" t="str">
        <f>_xlfn.XLOOKUP(Logs[[#This Row],[ID_Client]],Clients_Log!B:B,Clients_Log!I:I,"Pas de correspondance")</f>
        <v>Pas de correspondance</v>
      </c>
      <c r="V16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63" s="1" t="e">
        <f>Logs[[#This Row],[Facture_Mensuelle]]*Logs[[#This Row],[Remise (%)]]</f>
        <v>#VALUE!</v>
      </c>
    </row>
    <row r="164" spans="1:23" hidden="1" x14ac:dyDescent="0.25">
      <c r="A164" s="1" t="s">
        <v>935</v>
      </c>
      <c r="B164" s="2">
        <v>45222</v>
      </c>
      <c r="C164" s="1" t="str">
        <f>_xlfn.XLOOKUP(Logs[[#This Row],[Province_RDC]],Clients_Log!D:D,Clients_Log!B:B,"Pas de correspondance")</f>
        <v>Pas de correspondance</v>
      </c>
      <c r="D164" t="str">
        <f>_xlfn.XLOOKUP(Logs[[#This Row],[Cell_ID]],'Registre_Maintenance'!B:B,'Registre_Maintenance'!C:C,"Pas de correspondance")</f>
        <v>Pas de correspondance</v>
      </c>
      <c r="E164" s="3">
        <v>0.36736111111111114</v>
      </c>
      <c r="F164" s="1" t="s">
        <v>956</v>
      </c>
      <c r="G164" s="3">
        <f>Logs[[#This Row],[Duree_Panne_Min]]/1440</f>
        <v>8.1250000000000003E-2</v>
      </c>
      <c r="H164">
        <v>117</v>
      </c>
      <c r="I164" t="str">
        <f>_xlfn.XLOOKUP(Logs[[#This Row],[Cell_ID]],'Registre_Maintenance'!B:B,'Registre_Maintenance'!D:D,"Pas de correspondance")</f>
        <v>Pas de correspondance</v>
      </c>
      <c r="J164" t="str">
        <f>_xlfn.XLOOKUP(Logs[[#This Row],[Cell_ID]],'Registre_Maintenance'!B:B,'Registre_Maintenance'!E:E,"Pas de correspondance")</f>
        <v>Pas de correspondance</v>
      </c>
      <c r="K164" t="str">
        <f>_xlfn.XLOOKUP(Logs[[#This Row],[Cell_ID]],'Registre_Maintenance'!B:B,'Registre_Maintenance'!F:F,"Pas de correspondance")</f>
        <v>Pas de correspondance</v>
      </c>
      <c r="L164" t="str">
        <f>_xlfn.XLOOKUP(Logs[[#This Row],[Cell_ID]],'Registre_Maintenance'!B:B,'Registre_Maintenance'!G:G,"Pas de correspondance")</f>
        <v>Pas de correspondance</v>
      </c>
      <c r="M164" s="1" t="s">
        <v>809</v>
      </c>
      <c r="N164" s="1" t="str">
        <f>_xlfn.XLOOKUP(Logs[[#This Row],[ID_Client]],Clients_Log!B:B,Clients_Log!E:E,"Pas de correspondance")</f>
        <v>Pas de correspondance</v>
      </c>
      <c r="O164" s="4" t="str">
        <f>IFERROR(Logs[[#This Row],[Anciennete_Mois]]/12,"")</f>
        <v/>
      </c>
      <c r="P164" s="1" t="str">
        <f>_xlfn.XLOOKUP(Logs[[#This Row],[ID_Client]],Clients_Log!B:B,Clients_Log!F:F,"Pas de correspondance")</f>
        <v>Pas de correspondance</v>
      </c>
      <c r="Q164" s="1" t="str">
        <f>IF(Logs[[#This Row],[Type_Forfait]]="Pro Monde","B2B","B2C")</f>
        <v>B2C</v>
      </c>
      <c r="R164" s="1" t="str">
        <f>_xlfn.XLOOKUP(Logs[[#This Row],[ID_Client]],Clients_Log!B:B,Clients_Log!G:G,"Pas de correspondance")</f>
        <v>Pas de correspondance</v>
      </c>
      <c r="S164" s="1" t="e">
        <f>Logs[[#This Row],[Duree_Cumulee_Panne_Min]]/1440</f>
        <v>#VALUE!</v>
      </c>
      <c r="T164" s="1" t="str">
        <f>_xlfn.XLOOKUP(Logs[[#This Row],[ID_Client]],Clients_Log!B:B,Clients_Log!H:H,"Pas de correspondance")</f>
        <v>Pas de correspondance</v>
      </c>
      <c r="U164" s="1" t="str">
        <f>_xlfn.XLOOKUP(Logs[[#This Row],[ID_Client]],Clients_Log!B:B,Clients_Log!I:I,"Pas de correspondance")</f>
        <v>Pas de correspondance</v>
      </c>
      <c r="V16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64" s="1" t="e">
        <f>Logs[[#This Row],[Facture_Mensuelle]]*Logs[[#This Row],[Remise (%)]]</f>
        <v>#VALUE!</v>
      </c>
    </row>
    <row r="165" spans="1:23" x14ac:dyDescent="0.25">
      <c r="A165" s="1" t="s">
        <v>935</v>
      </c>
      <c r="B165" s="2">
        <v>45211</v>
      </c>
      <c r="C165" s="1" t="str">
        <f>_xlfn.XLOOKUP(Logs[[#This Row],[Province_RDC]],Clients_Log!D:D,Clients_Log!B:B,"Pas de correspondance")</f>
        <v>CLI-00837</v>
      </c>
      <c r="D165" t="str">
        <f>_xlfn.XLOOKUP(Logs[[#This Row],[Cell_ID]],'Registre_Maintenance'!B:B,'Registre_Maintenance'!C:C,"Pas de correspondance")</f>
        <v>Nord-Kivu</v>
      </c>
      <c r="E165" s="3">
        <v>0.23472222222222222</v>
      </c>
      <c r="F165" s="1" t="s">
        <v>957</v>
      </c>
      <c r="G165" s="3">
        <f>Logs[[#This Row],[Duree_Panne_Min]]/1440</f>
        <v>4.3055555555555555E-2</v>
      </c>
      <c r="H165">
        <v>62</v>
      </c>
      <c r="I165">
        <f>_xlfn.XLOOKUP(Logs[[#This Row],[Cell_ID]],'Registre_Maintenance'!B:B,'Registre_Maintenance'!D:D,"Pas de correspondance")</f>
        <v>-2.3102109999999998</v>
      </c>
      <c r="J165">
        <f>_xlfn.XLOOKUP(Logs[[#This Row],[Cell_ID]],'Registre_Maintenance'!B:B,'Registre_Maintenance'!E:E,"Pas de correspondance")</f>
        <v>12.362488000000001</v>
      </c>
      <c r="K165" t="str">
        <f>_xlfn.XLOOKUP(Logs[[#This Row],[Cell_ID]],'Registre_Maintenance'!B:B,'Registre_Maintenance'!F:F,"Pas de correspondance")</f>
        <v>5G</v>
      </c>
      <c r="L165" t="str">
        <f>_xlfn.XLOOKUP(Logs[[#This Row],[Cell_ID]],'Registre_Maintenance'!B:B,'Registre_Maintenance'!G:G,"Pas de correspondance")</f>
        <v>Nokia</v>
      </c>
      <c r="M165" s="1" t="s">
        <v>811</v>
      </c>
      <c r="N165" s="1">
        <f>_xlfn.XLOOKUP(Logs[[#This Row],[ID_Client]],Clients_Log!B:B,Clients_Log!E:E,"Pas de correspondance")</f>
        <v>16</v>
      </c>
      <c r="O165" s="4">
        <f>IFERROR(Logs[[#This Row],[Anciennete_Mois]]/12,"")</f>
        <v>1.3333333333333333</v>
      </c>
      <c r="P165" s="1" t="str">
        <f>_xlfn.XLOOKUP(Logs[[#This Row],[ID_Client]],Clients_Log!B:B,Clients_Log!F:F,"Pas de correspondance")</f>
        <v>Bloqué 5Go</v>
      </c>
      <c r="Q165" s="1" t="str">
        <f>IF(Logs[[#This Row],[Type_Forfait]]="Pro Monde","B2B","B2C")</f>
        <v>B2C</v>
      </c>
      <c r="R165" s="1">
        <f>_xlfn.XLOOKUP(Logs[[#This Row],[ID_Client]],Clients_Log!B:B,Clients_Log!G:G,"Pas de correspondance")</f>
        <v>390</v>
      </c>
      <c r="S165" s="3">
        <f>Logs[[#This Row],[Duree_Cumulee_Panne_Min]]/1440</f>
        <v>0.27083333333333331</v>
      </c>
      <c r="T165" s="1">
        <f>_xlfn.XLOOKUP(Logs[[#This Row],[ID_Client]],Clients_Log!B:B,Clients_Log!H:H,"Pas de correspondance")</f>
        <v>98.17</v>
      </c>
      <c r="U165" s="1">
        <f>_xlfn.XLOOKUP(Logs[[#This Row],[ID_Client]],Clients_Log!B:B,Clients_Log!I:I,"Pas de correspondance")</f>
        <v>5</v>
      </c>
      <c r="V16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65" s="1">
        <f>Logs[[#This Row],[Facture_Mensuelle]]*Logs[[#This Row],[Remise (%)]]</f>
        <v>44.176500000000004</v>
      </c>
    </row>
    <row r="166" spans="1:23" hidden="1" x14ac:dyDescent="0.25">
      <c r="A166" s="1" t="s">
        <v>935</v>
      </c>
      <c r="B166" s="2">
        <v>45219</v>
      </c>
      <c r="C166" s="1" t="str">
        <f>_xlfn.XLOOKUP(Logs[[#This Row],[Province_RDC]],Clients_Log!D:D,Clients_Log!B:B,"Pas de correspondance")</f>
        <v>Pas de correspondance</v>
      </c>
      <c r="D166" t="str">
        <f>_xlfn.XLOOKUP(Logs[[#This Row],[Cell_ID]],'Registre_Maintenance'!B:B,'Registre_Maintenance'!C:C,"Pas de correspondance")</f>
        <v>Pas de correspondance</v>
      </c>
      <c r="E166" s="3">
        <v>0.98958333333333337</v>
      </c>
      <c r="F166" s="1" t="s">
        <v>958</v>
      </c>
      <c r="G166" s="3">
        <f>Logs[[#This Row],[Duree_Panne_Min]]/1440</f>
        <v>2.5000000000000001E-2</v>
      </c>
      <c r="H166">
        <v>36</v>
      </c>
      <c r="I166" t="str">
        <f>_xlfn.XLOOKUP(Logs[[#This Row],[Cell_ID]],'Registre_Maintenance'!B:B,'Registre_Maintenance'!D:D,"Pas de correspondance")</f>
        <v>Pas de correspondance</v>
      </c>
      <c r="J166" t="str">
        <f>_xlfn.XLOOKUP(Logs[[#This Row],[Cell_ID]],'Registre_Maintenance'!B:B,'Registre_Maintenance'!E:E,"Pas de correspondance")</f>
        <v>Pas de correspondance</v>
      </c>
      <c r="K166" t="str">
        <f>_xlfn.XLOOKUP(Logs[[#This Row],[Cell_ID]],'Registre_Maintenance'!B:B,'Registre_Maintenance'!F:F,"Pas de correspondance")</f>
        <v>Pas de correspondance</v>
      </c>
      <c r="L166" t="str">
        <f>_xlfn.XLOOKUP(Logs[[#This Row],[Cell_ID]],'Registre_Maintenance'!B:B,'Registre_Maintenance'!G:G,"Pas de correspondance")</f>
        <v>Pas de correspondance</v>
      </c>
      <c r="M166" s="1" t="s">
        <v>806</v>
      </c>
      <c r="N166" s="1" t="str">
        <f>_xlfn.XLOOKUP(Logs[[#This Row],[ID_Client]],Clients_Log!B:B,Clients_Log!E:E,"Pas de correspondance")</f>
        <v>Pas de correspondance</v>
      </c>
      <c r="O166" s="4" t="str">
        <f>IFERROR(Logs[[#This Row],[Anciennete_Mois]]/12,"")</f>
        <v/>
      </c>
      <c r="P166" s="1" t="str">
        <f>_xlfn.XLOOKUP(Logs[[#This Row],[ID_Client]],Clients_Log!B:B,Clients_Log!F:F,"Pas de correspondance")</f>
        <v>Pas de correspondance</v>
      </c>
      <c r="Q166" s="1" t="str">
        <f>IF(Logs[[#This Row],[Type_Forfait]]="Pro Monde","B2B","B2C")</f>
        <v>B2C</v>
      </c>
      <c r="R166" s="1" t="str">
        <f>_xlfn.XLOOKUP(Logs[[#This Row],[ID_Client]],Clients_Log!B:B,Clients_Log!G:G,"Pas de correspondance")</f>
        <v>Pas de correspondance</v>
      </c>
      <c r="S166" s="1" t="e">
        <f>Logs[[#This Row],[Duree_Cumulee_Panne_Min]]/1440</f>
        <v>#VALUE!</v>
      </c>
      <c r="T166" s="1" t="str">
        <f>_xlfn.XLOOKUP(Logs[[#This Row],[ID_Client]],Clients_Log!B:B,Clients_Log!H:H,"Pas de correspondance")</f>
        <v>Pas de correspondance</v>
      </c>
      <c r="U166" s="1" t="str">
        <f>_xlfn.XLOOKUP(Logs[[#This Row],[ID_Client]],Clients_Log!B:B,Clients_Log!I:I,"Pas de correspondance")</f>
        <v>Pas de correspondance</v>
      </c>
      <c r="V16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66" s="1" t="e">
        <f>Logs[[#This Row],[Facture_Mensuelle]]*Logs[[#This Row],[Remise (%)]]</f>
        <v>#VALUE!</v>
      </c>
    </row>
    <row r="167" spans="1:23" x14ac:dyDescent="0.25">
      <c r="A167" s="1" t="s">
        <v>935</v>
      </c>
      <c r="B167" s="2">
        <v>45203</v>
      </c>
      <c r="C167" s="1" t="str">
        <f>_xlfn.XLOOKUP(Logs[[#This Row],[Province_RDC]],Clients_Log!D:D,Clients_Log!B:B,"Pas de correspondance")</f>
        <v>CLI-00745</v>
      </c>
      <c r="D167" t="str">
        <f>_xlfn.XLOOKUP(Logs[[#This Row],[Cell_ID]],'Registre_Maintenance'!B:B,'Registre_Maintenance'!C:C,"Pas de correspondance")</f>
        <v>Tshopo</v>
      </c>
      <c r="E167" s="3">
        <v>0.22152777777777777</v>
      </c>
      <c r="F167" s="1" t="s">
        <v>959</v>
      </c>
      <c r="G167" s="3">
        <f>Logs[[#This Row],[Duree_Panne_Min]]/1440</f>
        <v>7.013888888888889E-2</v>
      </c>
      <c r="H167">
        <v>101</v>
      </c>
      <c r="I167">
        <f>_xlfn.XLOOKUP(Logs[[#This Row],[Cell_ID]],'Registre_Maintenance'!B:B,'Registre_Maintenance'!D:D,"Pas de correspondance")</f>
        <v>3.0603760000000002</v>
      </c>
      <c r="J167">
        <f>_xlfn.XLOOKUP(Logs[[#This Row],[Cell_ID]],'Registre_Maintenance'!B:B,'Registre_Maintenance'!E:E,"Pas de correspondance")</f>
        <v>19.708034000000001</v>
      </c>
      <c r="K167" t="str">
        <f>_xlfn.XLOOKUP(Logs[[#This Row],[Cell_ID]],'Registre_Maintenance'!B:B,'Registre_Maintenance'!F:F,"Pas de correspondance")</f>
        <v>3G</v>
      </c>
      <c r="L167" t="str">
        <f>_xlfn.XLOOKUP(Logs[[#This Row],[Cell_ID]],'Registre_Maintenance'!B:B,'Registre_Maintenance'!G:G,"Pas de correspondance")</f>
        <v>ZTE</v>
      </c>
      <c r="M167" s="1" t="s">
        <v>806</v>
      </c>
      <c r="N167" s="1">
        <f>_xlfn.XLOOKUP(Logs[[#This Row],[ID_Client]],Clients_Log!B:B,Clients_Log!E:E,"Pas de correspondance")</f>
        <v>6</v>
      </c>
      <c r="O167" s="4">
        <f>IFERROR(Logs[[#This Row],[Anciennete_Mois]]/12,"")</f>
        <v>0.5</v>
      </c>
      <c r="P167" s="1" t="str">
        <f>_xlfn.XLOOKUP(Logs[[#This Row],[ID_Client]],Clients_Log!B:B,Clients_Log!F:F,"Pas de correspondance")</f>
        <v>Premium 5G 150Go</v>
      </c>
      <c r="Q167" s="1" t="str">
        <f>IF(Logs[[#This Row],[Type_Forfait]]="Pro Monde","B2B","B2C")</f>
        <v>B2C</v>
      </c>
      <c r="R167" s="1">
        <f>_xlfn.XLOOKUP(Logs[[#This Row],[ID_Client]],Clients_Log!B:B,Clients_Log!G:G,"Pas de correspondance")</f>
        <v>207</v>
      </c>
      <c r="S167" s="3">
        <f>Logs[[#This Row],[Duree_Cumulee_Panne_Min]]/1440</f>
        <v>0.14374999999999999</v>
      </c>
      <c r="T167" s="1">
        <f>_xlfn.XLOOKUP(Logs[[#This Row],[ID_Client]],Clients_Log!B:B,Clients_Log!H:H,"Pas de correspondance")</f>
        <v>61.55</v>
      </c>
      <c r="U167" s="1">
        <f>_xlfn.XLOOKUP(Logs[[#This Row],[ID_Client]],Clients_Log!B:B,Clients_Log!I:I,"Pas de correspondance")</f>
        <v>0</v>
      </c>
      <c r="V16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67" s="1">
        <f>Logs[[#This Row],[Facture_Mensuelle]]*Logs[[#This Row],[Remise (%)]]</f>
        <v>27.697499999999998</v>
      </c>
    </row>
    <row r="168" spans="1:23" hidden="1" x14ac:dyDescent="0.25">
      <c r="A168" s="1" t="s">
        <v>935</v>
      </c>
      <c r="B168" s="2">
        <v>45203</v>
      </c>
      <c r="C168" s="1" t="str">
        <f>_xlfn.XLOOKUP(Logs[[#This Row],[Province_RDC]],Clients_Log!D:D,Clients_Log!B:B,"Pas de correspondance")</f>
        <v>Pas de correspondance</v>
      </c>
      <c r="D168" t="str">
        <f>_xlfn.XLOOKUP(Logs[[#This Row],[Cell_ID]],'Registre_Maintenance'!B:B,'Registre_Maintenance'!C:C,"Pas de correspondance")</f>
        <v>Pas de correspondance</v>
      </c>
      <c r="E168" s="3">
        <v>0.75069444444444444</v>
      </c>
      <c r="F168" s="1" t="s">
        <v>960</v>
      </c>
      <c r="G168" s="3">
        <f>Logs[[#This Row],[Duree_Panne_Min]]/1440</f>
        <v>4.4444444444444446E-2</v>
      </c>
      <c r="H168">
        <v>64</v>
      </c>
      <c r="I168" t="str">
        <f>_xlfn.XLOOKUP(Logs[[#This Row],[Cell_ID]],'Registre_Maintenance'!B:B,'Registre_Maintenance'!D:D,"Pas de correspondance")</f>
        <v>Pas de correspondance</v>
      </c>
      <c r="J168" t="str">
        <f>_xlfn.XLOOKUP(Logs[[#This Row],[Cell_ID]],'Registre_Maintenance'!B:B,'Registre_Maintenance'!E:E,"Pas de correspondance")</f>
        <v>Pas de correspondance</v>
      </c>
      <c r="K168" t="str">
        <f>_xlfn.XLOOKUP(Logs[[#This Row],[Cell_ID]],'Registre_Maintenance'!B:B,'Registre_Maintenance'!F:F,"Pas de correspondance")</f>
        <v>Pas de correspondance</v>
      </c>
      <c r="L168" t="str">
        <f>_xlfn.XLOOKUP(Logs[[#This Row],[Cell_ID]],'Registre_Maintenance'!B:B,'Registre_Maintenance'!G:G,"Pas de correspondance")</f>
        <v>Pas de correspondance</v>
      </c>
      <c r="M168" s="1" t="s">
        <v>811</v>
      </c>
      <c r="N168" s="1" t="str">
        <f>_xlfn.XLOOKUP(Logs[[#This Row],[ID_Client]],Clients_Log!B:B,Clients_Log!E:E,"Pas de correspondance")</f>
        <v>Pas de correspondance</v>
      </c>
      <c r="O168" s="4" t="str">
        <f>IFERROR(Logs[[#This Row],[Anciennete_Mois]]/12,"")</f>
        <v/>
      </c>
      <c r="P168" s="1" t="str">
        <f>_xlfn.XLOOKUP(Logs[[#This Row],[ID_Client]],Clients_Log!B:B,Clients_Log!F:F,"Pas de correspondance")</f>
        <v>Pas de correspondance</v>
      </c>
      <c r="Q168" s="1" t="str">
        <f>IF(Logs[[#This Row],[Type_Forfait]]="Pro Monde","B2B","B2C")</f>
        <v>B2C</v>
      </c>
      <c r="R168" s="1" t="str">
        <f>_xlfn.XLOOKUP(Logs[[#This Row],[ID_Client]],Clients_Log!B:B,Clients_Log!G:G,"Pas de correspondance")</f>
        <v>Pas de correspondance</v>
      </c>
      <c r="S168" s="1" t="e">
        <f>Logs[[#This Row],[Duree_Cumulee_Panne_Min]]/1440</f>
        <v>#VALUE!</v>
      </c>
      <c r="T168" s="1" t="str">
        <f>_xlfn.XLOOKUP(Logs[[#This Row],[ID_Client]],Clients_Log!B:B,Clients_Log!H:H,"Pas de correspondance")</f>
        <v>Pas de correspondance</v>
      </c>
      <c r="U168" s="1" t="str">
        <f>_xlfn.XLOOKUP(Logs[[#This Row],[ID_Client]],Clients_Log!B:B,Clients_Log!I:I,"Pas de correspondance")</f>
        <v>Pas de correspondance</v>
      </c>
      <c r="V16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68" s="1" t="e">
        <f>Logs[[#This Row],[Facture_Mensuelle]]*Logs[[#This Row],[Remise (%)]]</f>
        <v>#VALUE!</v>
      </c>
    </row>
    <row r="169" spans="1:23" hidden="1" x14ac:dyDescent="0.25">
      <c r="A169" s="1" t="s">
        <v>935</v>
      </c>
      <c r="B169" s="2">
        <v>45229</v>
      </c>
      <c r="C169" s="1" t="str">
        <f>_xlfn.XLOOKUP(Logs[[#This Row],[Province_RDC]],Clients_Log!D:D,Clients_Log!B:B,"Pas de correspondance")</f>
        <v>Pas de correspondance</v>
      </c>
      <c r="D169" t="str">
        <f>_xlfn.XLOOKUP(Logs[[#This Row],[Cell_ID]],'Registre_Maintenance'!B:B,'Registre_Maintenance'!C:C,"Pas de correspondance")</f>
        <v>Pas de correspondance</v>
      </c>
      <c r="E169" s="3">
        <v>0.4</v>
      </c>
      <c r="F169" s="1" t="s">
        <v>961</v>
      </c>
      <c r="G169" s="3">
        <f>Logs[[#This Row],[Duree_Panne_Min]]/1440</f>
        <v>5.347222222222222E-2</v>
      </c>
      <c r="H169">
        <v>77</v>
      </c>
      <c r="I169" t="str">
        <f>_xlfn.XLOOKUP(Logs[[#This Row],[Cell_ID]],'Registre_Maintenance'!B:B,'Registre_Maintenance'!D:D,"Pas de correspondance")</f>
        <v>Pas de correspondance</v>
      </c>
      <c r="J169" t="str">
        <f>_xlfn.XLOOKUP(Logs[[#This Row],[Cell_ID]],'Registre_Maintenance'!B:B,'Registre_Maintenance'!E:E,"Pas de correspondance")</f>
        <v>Pas de correspondance</v>
      </c>
      <c r="K169" t="str">
        <f>_xlfn.XLOOKUP(Logs[[#This Row],[Cell_ID]],'Registre_Maintenance'!B:B,'Registre_Maintenance'!F:F,"Pas de correspondance")</f>
        <v>Pas de correspondance</v>
      </c>
      <c r="L169" t="str">
        <f>_xlfn.XLOOKUP(Logs[[#This Row],[Cell_ID]],'Registre_Maintenance'!B:B,'Registre_Maintenance'!G:G,"Pas de correspondance")</f>
        <v>Pas de correspondance</v>
      </c>
      <c r="M169" s="1" t="s">
        <v>806</v>
      </c>
      <c r="N169" s="1" t="str">
        <f>_xlfn.XLOOKUP(Logs[[#This Row],[ID_Client]],Clients_Log!B:B,Clients_Log!E:E,"Pas de correspondance")</f>
        <v>Pas de correspondance</v>
      </c>
      <c r="O169" s="4" t="str">
        <f>IFERROR(Logs[[#This Row],[Anciennete_Mois]]/12,"")</f>
        <v/>
      </c>
      <c r="P169" s="1" t="str">
        <f>_xlfn.XLOOKUP(Logs[[#This Row],[ID_Client]],Clients_Log!B:B,Clients_Log!F:F,"Pas de correspondance")</f>
        <v>Pas de correspondance</v>
      </c>
      <c r="Q169" s="1" t="str">
        <f>IF(Logs[[#This Row],[Type_Forfait]]="Pro Monde","B2B","B2C")</f>
        <v>B2C</v>
      </c>
      <c r="R169" s="1" t="str">
        <f>_xlfn.XLOOKUP(Logs[[#This Row],[ID_Client]],Clients_Log!B:B,Clients_Log!G:G,"Pas de correspondance")</f>
        <v>Pas de correspondance</v>
      </c>
      <c r="S169" s="1" t="e">
        <f>Logs[[#This Row],[Duree_Cumulee_Panne_Min]]/1440</f>
        <v>#VALUE!</v>
      </c>
      <c r="T169" s="1" t="str">
        <f>_xlfn.XLOOKUP(Logs[[#This Row],[ID_Client]],Clients_Log!B:B,Clients_Log!H:H,"Pas de correspondance")</f>
        <v>Pas de correspondance</v>
      </c>
      <c r="U169" s="1" t="str">
        <f>_xlfn.XLOOKUP(Logs[[#This Row],[ID_Client]],Clients_Log!B:B,Clients_Log!I:I,"Pas de correspondance")</f>
        <v>Pas de correspondance</v>
      </c>
      <c r="V16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69" s="1" t="e">
        <f>Logs[[#This Row],[Facture_Mensuelle]]*Logs[[#This Row],[Remise (%)]]</f>
        <v>#VALUE!</v>
      </c>
    </row>
    <row r="170" spans="1:23" x14ac:dyDescent="0.25">
      <c r="A170" s="1" t="s">
        <v>935</v>
      </c>
      <c r="B170" s="2">
        <v>45221</v>
      </c>
      <c r="C170" s="1" t="str">
        <f>_xlfn.XLOOKUP(Logs[[#This Row],[Province_RDC]],Clients_Log!D:D,Clients_Log!B:B,"Pas de correspondance")</f>
        <v>CLI-01855</v>
      </c>
      <c r="D170" t="str">
        <f>_xlfn.XLOOKUP(Logs[[#This Row],[Cell_ID]],'Registre_Maintenance'!B:B,'Registre_Maintenance'!C:C,"Pas de correspondance")</f>
        <v>Sud-Kivu</v>
      </c>
      <c r="E170" s="3">
        <v>0.51736111111111116</v>
      </c>
      <c r="F170" s="1" t="s">
        <v>962</v>
      </c>
      <c r="G170" s="3">
        <f>Logs[[#This Row],[Duree_Panne_Min]]/1440</f>
        <v>5.7638888888888892E-2</v>
      </c>
      <c r="H170">
        <v>83</v>
      </c>
      <c r="I170">
        <f>_xlfn.XLOOKUP(Logs[[#This Row],[Cell_ID]],'Registre_Maintenance'!B:B,'Registre_Maintenance'!D:D,"Pas de correspondance")</f>
        <v>-2.9651529999999999</v>
      </c>
      <c r="J170">
        <f>_xlfn.XLOOKUP(Logs[[#This Row],[Cell_ID]],'Registre_Maintenance'!B:B,'Registre_Maintenance'!E:E,"Pas de correspondance")</f>
        <v>29.79908</v>
      </c>
      <c r="K170" t="str">
        <f>_xlfn.XLOOKUP(Logs[[#This Row],[Cell_ID]],'Registre_Maintenance'!B:B,'Registre_Maintenance'!F:F,"Pas de correspondance")</f>
        <v>4G</v>
      </c>
      <c r="L170" t="str">
        <f>_xlfn.XLOOKUP(Logs[[#This Row],[Cell_ID]],'Registre_Maintenance'!B:B,'Registre_Maintenance'!G:G,"Pas de correspondance")</f>
        <v>Ericsson</v>
      </c>
      <c r="M170" s="1" t="s">
        <v>811</v>
      </c>
      <c r="N170" s="1">
        <f>_xlfn.XLOOKUP(Logs[[#This Row],[ID_Client]],Clients_Log!B:B,Clients_Log!E:E,"Pas de correspondance")</f>
        <v>101</v>
      </c>
      <c r="O170" s="4">
        <f>IFERROR(Logs[[#This Row],[Anciennete_Mois]]/12,"")</f>
        <v>8.4166666666666661</v>
      </c>
      <c r="P170" s="1" t="str">
        <f>_xlfn.XLOOKUP(Logs[[#This Row],[ID_Client]],Clients_Log!B:B,Clients_Log!F:F,"Pas de correspondance")</f>
        <v>Illimité 50Go</v>
      </c>
      <c r="Q170" s="1" t="str">
        <f>IF(Logs[[#This Row],[Type_Forfait]]="Pro Monde","B2B","B2C")</f>
        <v>B2C</v>
      </c>
      <c r="R170" s="1">
        <f>_xlfn.XLOOKUP(Logs[[#This Row],[ID_Client]],Clients_Log!B:B,Clients_Log!G:G,"Pas de correspondance")</f>
        <v>358</v>
      </c>
      <c r="S170" s="3">
        <f>Logs[[#This Row],[Duree_Cumulee_Panne_Min]]/1440</f>
        <v>0.24861111111111112</v>
      </c>
      <c r="T170" s="1">
        <f>_xlfn.XLOOKUP(Logs[[#This Row],[ID_Client]],Clients_Log!B:B,Clients_Log!H:H,"Pas de correspondance")</f>
        <v>29.24</v>
      </c>
      <c r="U170" s="1">
        <f>_xlfn.XLOOKUP(Logs[[#This Row],[ID_Client]],Clients_Log!B:B,Clients_Log!I:I,"Pas de correspondance")</f>
        <v>3</v>
      </c>
      <c r="V17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70" s="1">
        <f>Logs[[#This Row],[Facture_Mensuelle]]*Logs[[#This Row],[Remise (%)]]</f>
        <v>13.157999999999999</v>
      </c>
    </row>
    <row r="171" spans="1:23" hidden="1" x14ac:dyDescent="0.25">
      <c r="A171" s="1" t="s">
        <v>935</v>
      </c>
      <c r="B171" s="2">
        <v>45230</v>
      </c>
      <c r="C171" s="1" t="str">
        <f>_xlfn.XLOOKUP(Logs[[#This Row],[Province_RDC]],Clients_Log!D:D,Clients_Log!B:B,"Pas de correspondance")</f>
        <v>Pas de correspondance</v>
      </c>
      <c r="D171" t="str">
        <f>_xlfn.XLOOKUP(Logs[[#This Row],[Cell_ID]],'Registre_Maintenance'!B:B,'Registre_Maintenance'!C:C,"Pas de correspondance")</f>
        <v>Pas de correspondance</v>
      </c>
      <c r="E171" s="3">
        <v>0.92500000000000004</v>
      </c>
      <c r="F171" s="1" t="s">
        <v>963</v>
      </c>
      <c r="G171" s="3">
        <f>Logs[[#This Row],[Duree_Panne_Min]]/1440</f>
        <v>6.25E-2</v>
      </c>
      <c r="H171">
        <v>90</v>
      </c>
      <c r="I171" t="str">
        <f>_xlfn.XLOOKUP(Logs[[#This Row],[Cell_ID]],'Registre_Maintenance'!B:B,'Registre_Maintenance'!D:D,"Pas de correspondance")</f>
        <v>Pas de correspondance</v>
      </c>
      <c r="J171" t="str">
        <f>_xlfn.XLOOKUP(Logs[[#This Row],[Cell_ID]],'Registre_Maintenance'!B:B,'Registre_Maintenance'!E:E,"Pas de correspondance")</f>
        <v>Pas de correspondance</v>
      </c>
      <c r="K171" t="str">
        <f>_xlfn.XLOOKUP(Logs[[#This Row],[Cell_ID]],'Registre_Maintenance'!B:B,'Registre_Maintenance'!F:F,"Pas de correspondance")</f>
        <v>Pas de correspondance</v>
      </c>
      <c r="L171" t="str">
        <f>_xlfn.XLOOKUP(Logs[[#This Row],[Cell_ID]],'Registre_Maintenance'!B:B,'Registre_Maintenance'!G:G,"Pas de correspondance")</f>
        <v>Pas de correspondance</v>
      </c>
      <c r="M171" s="1" t="s">
        <v>806</v>
      </c>
      <c r="N171" s="1" t="str">
        <f>_xlfn.XLOOKUP(Logs[[#This Row],[ID_Client]],Clients_Log!B:B,Clients_Log!E:E,"Pas de correspondance")</f>
        <v>Pas de correspondance</v>
      </c>
      <c r="O171" s="4" t="str">
        <f>IFERROR(Logs[[#This Row],[Anciennete_Mois]]/12,"")</f>
        <v/>
      </c>
      <c r="P171" s="1" t="str">
        <f>_xlfn.XLOOKUP(Logs[[#This Row],[ID_Client]],Clients_Log!B:B,Clients_Log!F:F,"Pas de correspondance")</f>
        <v>Pas de correspondance</v>
      </c>
      <c r="Q171" s="1" t="str">
        <f>IF(Logs[[#This Row],[Type_Forfait]]="Pro Monde","B2B","B2C")</f>
        <v>B2C</v>
      </c>
      <c r="R171" s="1" t="str">
        <f>_xlfn.XLOOKUP(Logs[[#This Row],[ID_Client]],Clients_Log!B:B,Clients_Log!G:G,"Pas de correspondance")</f>
        <v>Pas de correspondance</v>
      </c>
      <c r="S171" s="1" t="e">
        <f>Logs[[#This Row],[Duree_Cumulee_Panne_Min]]/1440</f>
        <v>#VALUE!</v>
      </c>
      <c r="T171" s="1" t="str">
        <f>_xlfn.XLOOKUP(Logs[[#This Row],[ID_Client]],Clients_Log!B:B,Clients_Log!H:H,"Pas de correspondance")</f>
        <v>Pas de correspondance</v>
      </c>
      <c r="U171" s="1" t="str">
        <f>_xlfn.XLOOKUP(Logs[[#This Row],[ID_Client]],Clients_Log!B:B,Clients_Log!I:I,"Pas de correspondance")</f>
        <v>Pas de correspondance</v>
      </c>
      <c r="V17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71" s="1" t="e">
        <f>Logs[[#This Row],[Facture_Mensuelle]]*Logs[[#This Row],[Remise (%)]]</f>
        <v>#VALUE!</v>
      </c>
    </row>
    <row r="172" spans="1:23" x14ac:dyDescent="0.25">
      <c r="A172" s="1" t="s">
        <v>935</v>
      </c>
      <c r="B172" s="2">
        <v>45202</v>
      </c>
      <c r="C172" s="1" t="str">
        <f>_xlfn.XLOOKUP(Logs[[#This Row],[Province_RDC]],Clients_Log!D:D,Clients_Log!B:B,"Pas de correspondance")</f>
        <v>CLI-00185</v>
      </c>
      <c r="D172" t="str">
        <f>_xlfn.XLOOKUP(Logs[[#This Row],[Cell_ID]],'Registre_Maintenance'!B:B,'Registre_Maintenance'!C:C,"Pas de correspondance")</f>
        <v>Maniema</v>
      </c>
      <c r="E172" s="3">
        <v>0.78055555555555556</v>
      </c>
      <c r="F172" s="1" t="s">
        <v>964</v>
      </c>
      <c r="G172" s="3">
        <f>Logs[[#This Row],[Duree_Panne_Min]]/1440</f>
        <v>3.6805555555555557E-2</v>
      </c>
      <c r="H172">
        <v>53</v>
      </c>
      <c r="I172">
        <f>_xlfn.XLOOKUP(Logs[[#This Row],[Cell_ID]],'Registre_Maintenance'!B:B,'Registre_Maintenance'!D:D,"Pas de correspondance")</f>
        <v>-2.3743210000000001</v>
      </c>
      <c r="J172">
        <f>_xlfn.XLOOKUP(Logs[[#This Row],[Cell_ID]],'Registre_Maintenance'!B:B,'Registre_Maintenance'!E:E,"Pas de correspondance")</f>
        <v>22.399491000000001</v>
      </c>
      <c r="K172" t="str">
        <f>_xlfn.XLOOKUP(Logs[[#This Row],[Cell_ID]],'Registre_Maintenance'!B:B,'Registre_Maintenance'!F:F,"Pas de correspondance")</f>
        <v>5G</v>
      </c>
      <c r="L172" t="str">
        <f>_xlfn.XLOOKUP(Logs[[#This Row],[Cell_ID]],'Registre_Maintenance'!B:B,'Registre_Maintenance'!G:G,"Pas de correspondance")</f>
        <v>Ericsson</v>
      </c>
      <c r="M172" s="1" t="s">
        <v>811</v>
      </c>
      <c r="N172" s="1">
        <f>_xlfn.XLOOKUP(Logs[[#This Row],[ID_Client]],Clients_Log!B:B,Clients_Log!E:E,"Pas de correspondance")</f>
        <v>81</v>
      </c>
      <c r="O172" s="4">
        <f>IFERROR(Logs[[#This Row],[Anciennete_Mois]]/12,"")</f>
        <v>6.75</v>
      </c>
      <c r="P172" s="1" t="str">
        <f>_xlfn.XLOOKUP(Logs[[#This Row],[ID_Client]],Clients_Log!B:B,Clients_Log!F:F,"Pas de correspondance")</f>
        <v>Pro Monde</v>
      </c>
      <c r="Q172" s="1" t="str">
        <f>IF(Logs[[#This Row],[Type_Forfait]]="Pro Monde","B2B","B2C")</f>
        <v>B2B</v>
      </c>
      <c r="R172" s="1">
        <f>_xlfn.XLOOKUP(Logs[[#This Row],[ID_Client]],Clients_Log!B:B,Clients_Log!G:G,"Pas de correspondance")</f>
        <v>154</v>
      </c>
      <c r="S172" s="3">
        <f>Logs[[#This Row],[Duree_Cumulee_Panne_Min]]/1440</f>
        <v>0.10694444444444444</v>
      </c>
      <c r="T172" s="1">
        <f>_xlfn.XLOOKUP(Logs[[#This Row],[ID_Client]],Clients_Log!B:B,Clients_Log!H:H,"Pas de correspondance")</f>
        <v>19.47</v>
      </c>
      <c r="U172" s="1">
        <f>_xlfn.XLOOKUP(Logs[[#This Row],[ID_Client]],Clients_Log!B:B,Clients_Log!I:I,"Pas de correspondance")</f>
        <v>3</v>
      </c>
      <c r="V17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172" s="1">
        <f>Logs[[#This Row],[Facture_Mensuelle]]*Logs[[#This Row],[Remise (%)]]</f>
        <v>1.9470000000000001</v>
      </c>
    </row>
    <row r="173" spans="1:23" hidden="1" x14ac:dyDescent="0.25">
      <c r="A173" s="1" t="s">
        <v>935</v>
      </c>
      <c r="B173" s="2">
        <v>45226</v>
      </c>
      <c r="C173" s="1" t="str">
        <f>_xlfn.XLOOKUP(Logs[[#This Row],[Province_RDC]],Clients_Log!D:D,Clients_Log!B:B,"Pas de correspondance")</f>
        <v>Pas de correspondance</v>
      </c>
      <c r="D173" t="str">
        <f>_xlfn.XLOOKUP(Logs[[#This Row],[Cell_ID]],'Registre_Maintenance'!B:B,'Registre_Maintenance'!C:C,"Pas de correspondance")</f>
        <v>Pas de correspondance</v>
      </c>
      <c r="E173" s="3">
        <v>0.84375</v>
      </c>
      <c r="F173" s="1" t="s">
        <v>965</v>
      </c>
      <c r="G173" s="3">
        <f>Logs[[#This Row],[Duree_Panne_Min]]/1440</f>
        <v>3.3333333333333333E-2</v>
      </c>
      <c r="H173">
        <v>48</v>
      </c>
      <c r="I173" t="str">
        <f>_xlfn.XLOOKUP(Logs[[#This Row],[Cell_ID]],'Registre_Maintenance'!B:B,'Registre_Maintenance'!D:D,"Pas de correspondance")</f>
        <v>Pas de correspondance</v>
      </c>
      <c r="J173" t="str">
        <f>_xlfn.XLOOKUP(Logs[[#This Row],[Cell_ID]],'Registre_Maintenance'!B:B,'Registre_Maintenance'!E:E,"Pas de correspondance")</f>
        <v>Pas de correspondance</v>
      </c>
      <c r="K173" t="str">
        <f>_xlfn.XLOOKUP(Logs[[#This Row],[Cell_ID]],'Registre_Maintenance'!B:B,'Registre_Maintenance'!F:F,"Pas de correspondance")</f>
        <v>Pas de correspondance</v>
      </c>
      <c r="L173" t="str">
        <f>_xlfn.XLOOKUP(Logs[[#This Row],[Cell_ID]],'Registre_Maintenance'!B:B,'Registre_Maintenance'!G:G,"Pas de correspondance")</f>
        <v>Pas de correspondance</v>
      </c>
      <c r="M173" s="1" t="s">
        <v>806</v>
      </c>
      <c r="N173" s="1" t="str">
        <f>_xlfn.XLOOKUP(Logs[[#This Row],[ID_Client]],Clients_Log!B:B,Clients_Log!E:E,"Pas de correspondance")</f>
        <v>Pas de correspondance</v>
      </c>
      <c r="O173" s="4" t="str">
        <f>IFERROR(Logs[[#This Row],[Anciennete_Mois]]/12,"")</f>
        <v/>
      </c>
      <c r="P173" s="1" t="str">
        <f>_xlfn.XLOOKUP(Logs[[#This Row],[ID_Client]],Clients_Log!B:B,Clients_Log!F:F,"Pas de correspondance")</f>
        <v>Pas de correspondance</v>
      </c>
      <c r="Q173" s="1" t="str">
        <f>IF(Logs[[#This Row],[Type_Forfait]]="Pro Monde","B2B","B2C")</f>
        <v>B2C</v>
      </c>
      <c r="R173" s="1" t="str">
        <f>_xlfn.XLOOKUP(Logs[[#This Row],[ID_Client]],Clients_Log!B:B,Clients_Log!G:G,"Pas de correspondance")</f>
        <v>Pas de correspondance</v>
      </c>
      <c r="S173" s="1" t="e">
        <f>Logs[[#This Row],[Duree_Cumulee_Panne_Min]]/1440</f>
        <v>#VALUE!</v>
      </c>
      <c r="T173" s="1" t="str">
        <f>_xlfn.XLOOKUP(Logs[[#This Row],[ID_Client]],Clients_Log!B:B,Clients_Log!H:H,"Pas de correspondance")</f>
        <v>Pas de correspondance</v>
      </c>
      <c r="U173" s="1" t="str">
        <f>_xlfn.XLOOKUP(Logs[[#This Row],[ID_Client]],Clients_Log!B:B,Clients_Log!I:I,"Pas de correspondance")</f>
        <v>Pas de correspondance</v>
      </c>
      <c r="V17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73" s="1" t="e">
        <f>Logs[[#This Row],[Facture_Mensuelle]]*Logs[[#This Row],[Remise (%)]]</f>
        <v>#VALUE!</v>
      </c>
    </row>
    <row r="174" spans="1:23" hidden="1" x14ac:dyDescent="0.25">
      <c r="A174" s="1" t="s">
        <v>935</v>
      </c>
      <c r="B174" s="2">
        <v>45203</v>
      </c>
      <c r="C174" s="1" t="str">
        <f>_xlfn.XLOOKUP(Logs[[#This Row],[Province_RDC]],Clients_Log!D:D,Clients_Log!B:B,"Pas de correspondance")</f>
        <v>Pas de correspondance</v>
      </c>
      <c r="D174" t="str">
        <f>_xlfn.XLOOKUP(Logs[[#This Row],[Cell_ID]],'Registre_Maintenance'!B:B,'Registre_Maintenance'!C:C,"Pas de correspondance")</f>
        <v>Pas de correspondance</v>
      </c>
      <c r="E174" s="3">
        <v>0.9506944444444444</v>
      </c>
      <c r="F174" s="1" t="s">
        <v>966</v>
      </c>
      <c r="G174" s="3">
        <f>Logs[[#This Row],[Duree_Panne_Min]]/1440</f>
        <v>5.5555555555555558E-3</v>
      </c>
      <c r="H174">
        <v>8</v>
      </c>
      <c r="I174" t="str">
        <f>_xlfn.XLOOKUP(Logs[[#This Row],[Cell_ID]],'Registre_Maintenance'!B:B,'Registre_Maintenance'!D:D,"Pas de correspondance")</f>
        <v>Pas de correspondance</v>
      </c>
      <c r="J174" t="str">
        <f>_xlfn.XLOOKUP(Logs[[#This Row],[Cell_ID]],'Registre_Maintenance'!B:B,'Registre_Maintenance'!E:E,"Pas de correspondance")</f>
        <v>Pas de correspondance</v>
      </c>
      <c r="K174" t="str">
        <f>_xlfn.XLOOKUP(Logs[[#This Row],[Cell_ID]],'Registre_Maintenance'!B:B,'Registre_Maintenance'!F:F,"Pas de correspondance")</f>
        <v>Pas de correspondance</v>
      </c>
      <c r="L174" t="str">
        <f>_xlfn.XLOOKUP(Logs[[#This Row],[Cell_ID]],'Registre_Maintenance'!B:B,'Registre_Maintenance'!G:G,"Pas de correspondance")</f>
        <v>Pas de correspondance</v>
      </c>
      <c r="M174" s="1" t="s">
        <v>809</v>
      </c>
      <c r="N174" s="1" t="str">
        <f>_xlfn.XLOOKUP(Logs[[#This Row],[ID_Client]],Clients_Log!B:B,Clients_Log!E:E,"Pas de correspondance")</f>
        <v>Pas de correspondance</v>
      </c>
      <c r="O174" s="4" t="str">
        <f>IFERROR(Logs[[#This Row],[Anciennete_Mois]]/12,"")</f>
        <v/>
      </c>
      <c r="P174" s="1" t="str">
        <f>_xlfn.XLOOKUP(Logs[[#This Row],[ID_Client]],Clients_Log!B:B,Clients_Log!F:F,"Pas de correspondance")</f>
        <v>Pas de correspondance</v>
      </c>
      <c r="Q174" s="1" t="str">
        <f>IF(Logs[[#This Row],[Type_Forfait]]="Pro Monde","B2B","B2C")</f>
        <v>B2C</v>
      </c>
      <c r="R174" s="1" t="str">
        <f>_xlfn.XLOOKUP(Logs[[#This Row],[ID_Client]],Clients_Log!B:B,Clients_Log!G:G,"Pas de correspondance")</f>
        <v>Pas de correspondance</v>
      </c>
      <c r="S174" s="1" t="e">
        <f>Logs[[#This Row],[Duree_Cumulee_Panne_Min]]/1440</f>
        <v>#VALUE!</v>
      </c>
      <c r="T174" s="1" t="str">
        <f>_xlfn.XLOOKUP(Logs[[#This Row],[ID_Client]],Clients_Log!B:B,Clients_Log!H:H,"Pas de correspondance")</f>
        <v>Pas de correspondance</v>
      </c>
      <c r="U174" s="1" t="str">
        <f>_xlfn.XLOOKUP(Logs[[#This Row],[ID_Client]],Clients_Log!B:B,Clients_Log!I:I,"Pas de correspondance")</f>
        <v>Pas de correspondance</v>
      </c>
      <c r="V17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74" s="1" t="e">
        <f>Logs[[#This Row],[Facture_Mensuelle]]*Logs[[#This Row],[Remise (%)]]</f>
        <v>#VALUE!</v>
      </c>
    </row>
    <row r="175" spans="1:23" x14ac:dyDescent="0.25">
      <c r="A175" s="1" t="s">
        <v>935</v>
      </c>
      <c r="B175" s="2">
        <v>45209</v>
      </c>
      <c r="C175" s="1" t="str">
        <f>_xlfn.XLOOKUP(Logs[[#This Row],[Province_RDC]],Clients_Log!D:D,Clients_Log!B:B,"Pas de correspondance")</f>
        <v>CLI-00280</v>
      </c>
      <c r="D175" t="str">
        <f>_xlfn.XLOOKUP(Logs[[#This Row],[Cell_ID]],'Registre_Maintenance'!B:B,'Registre_Maintenance'!C:C,"Pas de correspondance")</f>
        <v>Sud-Ubangi</v>
      </c>
      <c r="E175" s="3">
        <v>0.90138888888888891</v>
      </c>
      <c r="F175" s="1" t="s">
        <v>967</v>
      </c>
      <c r="G175" s="3">
        <f>Logs[[#This Row],[Duree_Panne_Min]]/1440</f>
        <v>4.7222222222222221E-2</v>
      </c>
      <c r="H175">
        <v>68</v>
      </c>
      <c r="I175">
        <f>_xlfn.XLOOKUP(Logs[[#This Row],[Cell_ID]],'Registre_Maintenance'!B:B,'Registre_Maintenance'!D:D,"Pas de correspondance")</f>
        <v>-8.3241560000000003</v>
      </c>
      <c r="J175">
        <f>_xlfn.XLOOKUP(Logs[[#This Row],[Cell_ID]],'Registre_Maintenance'!B:B,'Registre_Maintenance'!E:E,"Pas de correspondance")</f>
        <v>19.543866000000001</v>
      </c>
      <c r="K175" t="str">
        <f>_xlfn.XLOOKUP(Logs[[#This Row],[Cell_ID]],'Registre_Maintenance'!B:B,'Registre_Maintenance'!F:F,"Pas de correspondance")</f>
        <v>4G</v>
      </c>
      <c r="L175" t="str">
        <f>_xlfn.XLOOKUP(Logs[[#This Row],[Cell_ID]],'Registre_Maintenance'!B:B,'Registre_Maintenance'!G:G,"Pas de correspondance")</f>
        <v>ZTE</v>
      </c>
      <c r="M175" s="1" t="s">
        <v>809</v>
      </c>
      <c r="N175" s="1">
        <f>_xlfn.XLOOKUP(Logs[[#This Row],[ID_Client]],Clients_Log!B:B,Clients_Log!E:E,"Pas de correspondance")</f>
        <v>113</v>
      </c>
      <c r="O175" s="4">
        <f>IFERROR(Logs[[#This Row],[Anciennete_Mois]]/12,"")</f>
        <v>9.4166666666666661</v>
      </c>
      <c r="P175" s="1" t="str">
        <f>_xlfn.XLOOKUP(Logs[[#This Row],[ID_Client]],Clients_Log!B:B,Clients_Log!F:F,"Pas de correspondance")</f>
        <v>Illimité 50Go</v>
      </c>
      <c r="Q175" s="1" t="str">
        <f>IF(Logs[[#This Row],[Type_Forfait]]="Pro Monde","B2B","B2C")</f>
        <v>B2C</v>
      </c>
      <c r="R175" s="1">
        <f>_xlfn.XLOOKUP(Logs[[#This Row],[ID_Client]],Clients_Log!B:B,Clients_Log!G:G,"Pas de correspondance")</f>
        <v>380</v>
      </c>
      <c r="S175" s="3">
        <f>Logs[[#This Row],[Duree_Cumulee_Panne_Min]]/1440</f>
        <v>0.2638888888888889</v>
      </c>
      <c r="T175" s="1">
        <f>_xlfn.XLOOKUP(Logs[[#This Row],[ID_Client]],Clients_Log!B:B,Clients_Log!H:H,"Pas de correspondance")</f>
        <v>12.11</v>
      </c>
      <c r="U175" s="1">
        <f>_xlfn.XLOOKUP(Logs[[#This Row],[ID_Client]],Clients_Log!B:B,Clients_Log!I:I,"Pas de correspondance")</f>
        <v>0</v>
      </c>
      <c r="V17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75" s="1">
        <f>Logs[[#This Row],[Facture_Mensuelle]]*Logs[[#This Row],[Remise (%)]]</f>
        <v>5.4494999999999996</v>
      </c>
    </row>
    <row r="176" spans="1:23" hidden="1" x14ac:dyDescent="0.25">
      <c r="A176" s="1" t="s">
        <v>935</v>
      </c>
      <c r="B176" s="2">
        <v>45225</v>
      </c>
      <c r="C176" s="1" t="str">
        <f>_xlfn.XLOOKUP(Logs[[#This Row],[Province_RDC]],Clients_Log!D:D,Clients_Log!B:B,"Pas de correspondance")</f>
        <v>Pas de correspondance</v>
      </c>
      <c r="D176" t="str">
        <f>_xlfn.XLOOKUP(Logs[[#This Row],[Cell_ID]],'Registre_Maintenance'!B:B,'Registre_Maintenance'!C:C,"Pas de correspondance")</f>
        <v>Pas de correspondance</v>
      </c>
      <c r="E176" s="3">
        <v>0.15972222222222221</v>
      </c>
      <c r="F176" s="1" t="s">
        <v>968</v>
      </c>
      <c r="G176" s="3">
        <f>Logs[[#This Row],[Duree_Panne_Min]]/1440</f>
        <v>7.8472222222222221E-2</v>
      </c>
      <c r="H176">
        <v>113</v>
      </c>
      <c r="I176" t="str">
        <f>_xlfn.XLOOKUP(Logs[[#This Row],[Cell_ID]],'Registre_Maintenance'!B:B,'Registre_Maintenance'!D:D,"Pas de correspondance")</f>
        <v>Pas de correspondance</v>
      </c>
      <c r="J176" t="str">
        <f>_xlfn.XLOOKUP(Logs[[#This Row],[Cell_ID]],'Registre_Maintenance'!B:B,'Registre_Maintenance'!E:E,"Pas de correspondance")</f>
        <v>Pas de correspondance</v>
      </c>
      <c r="K176" t="str">
        <f>_xlfn.XLOOKUP(Logs[[#This Row],[Cell_ID]],'Registre_Maintenance'!B:B,'Registre_Maintenance'!F:F,"Pas de correspondance")</f>
        <v>Pas de correspondance</v>
      </c>
      <c r="L176" t="str">
        <f>_xlfn.XLOOKUP(Logs[[#This Row],[Cell_ID]],'Registre_Maintenance'!B:B,'Registre_Maintenance'!G:G,"Pas de correspondance")</f>
        <v>Pas de correspondance</v>
      </c>
      <c r="M176" s="1" t="s">
        <v>806</v>
      </c>
      <c r="N176" s="1" t="str">
        <f>_xlfn.XLOOKUP(Logs[[#This Row],[ID_Client]],Clients_Log!B:B,Clients_Log!E:E,"Pas de correspondance")</f>
        <v>Pas de correspondance</v>
      </c>
      <c r="O176" s="4" t="str">
        <f>IFERROR(Logs[[#This Row],[Anciennete_Mois]]/12,"")</f>
        <v/>
      </c>
      <c r="P176" s="1" t="str">
        <f>_xlfn.XLOOKUP(Logs[[#This Row],[ID_Client]],Clients_Log!B:B,Clients_Log!F:F,"Pas de correspondance")</f>
        <v>Pas de correspondance</v>
      </c>
      <c r="Q176" s="1" t="str">
        <f>IF(Logs[[#This Row],[Type_Forfait]]="Pro Monde","B2B","B2C")</f>
        <v>B2C</v>
      </c>
      <c r="R176" s="1" t="str">
        <f>_xlfn.XLOOKUP(Logs[[#This Row],[ID_Client]],Clients_Log!B:B,Clients_Log!G:G,"Pas de correspondance")</f>
        <v>Pas de correspondance</v>
      </c>
      <c r="S176" s="1" t="e">
        <f>Logs[[#This Row],[Duree_Cumulee_Panne_Min]]/1440</f>
        <v>#VALUE!</v>
      </c>
      <c r="T176" s="1" t="str">
        <f>_xlfn.XLOOKUP(Logs[[#This Row],[ID_Client]],Clients_Log!B:B,Clients_Log!H:H,"Pas de correspondance")</f>
        <v>Pas de correspondance</v>
      </c>
      <c r="U176" s="1" t="str">
        <f>_xlfn.XLOOKUP(Logs[[#This Row],[ID_Client]],Clients_Log!B:B,Clients_Log!I:I,"Pas de correspondance")</f>
        <v>Pas de correspondance</v>
      </c>
      <c r="V17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76" s="1" t="e">
        <f>Logs[[#This Row],[Facture_Mensuelle]]*Logs[[#This Row],[Remise (%)]]</f>
        <v>#VALUE!</v>
      </c>
    </row>
    <row r="177" spans="1:23" hidden="1" x14ac:dyDescent="0.25">
      <c r="A177" s="1" t="s">
        <v>935</v>
      </c>
      <c r="B177" s="2">
        <v>45218</v>
      </c>
      <c r="C177" s="1" t="str">
        <f>_xlfn.XLOOKUP(Logs[[#This Row],[Province_RDC]],Clients_Log!D:D,Clients_Log!B:B,"Pas de correspondance")</f>
        <v>Pas de correspondance</v>
      </c>
      <c r="D177" t="str">
        <f>_xlfn.XLOOKUP(Logs[[#This Row],[Cell_ID]],'Registre_Maintenance'!B:B,'Registre_Maintenance'!C:C,"Pas de correspondance")</f>
        <v>Pas de correspondance</v>
      </c>
      <c r="E177" s="3">
        <v>5.6944444444444443E-2</v>
      </c>
      <c r="F177" s="1" t="s">
        <v>969</v>
      </c>
      <c r="G177" s="3">
        <f>Logs[[#This Row],[Duree_Panne_Min]]/1440</f>
        <v>3.1944444444444442E-2</v>
      </c>
      <c r="H177">
        <v>46</v>
      </c>
      <c r="I177" t="str">
        <f>_xlfn.XLOOKUP(Logs[[#This Row],[Cell_ID]],'Registre_Maintenance'!B:B,'Registre_Maintenance'!D:D,"Pas de correspondance")</f>
        <v>Pas de correspondance</v>
      </c>
      <c r="J177" t="str">
        <f>_xlfn.XLOOKUP(Logs[[#This Row],[Cell_ID]],'Registre_Maintenance'!B:B,'Registre_Maintenance'!E:E,"Pas de correspondance")</f>
        <v>Pas de correspondance</v>
      </c>
      <c r="K177" t="str">
        <f>_xlfn.XLOOKUP(Logs[[#This Row],[Cell_ID]],'Registre_Maintenance'!B:B,'Registre_Maintenance'!F:F,"Pas de correspondance")</f>
        <v>Pas de correspondance</v>
      </c>
      <c r="L177" t="str">
        <f>_xlfn.XLOOKUP(Logs[[#This Row],[Cell_ID]],'Registre_Maintenance'!B:B,'Registre_Maintenance'!G:G,"Pas de correspondance")</f>
        <v>Pas de correspondance</v>
      </c>
      <c r="M177" s="1" t="s">
        <v>811</v>
      </c>
      <c r="N177" s="1" t="str">
        <f>_xlfn.XLOOKUP(Logs[[#This Row],[ID_Client]],Clients_Log!B:B,Clients_Log!E:E,"Pas de correspondance")</f>
        <v>Pas de correspondance</v>
      </c>
      <c r="O177" s="4" t="str">
        <f>IFERROR(Logs[[#This Row],[Anciennete_Mois]]/12,"")</f>
        <v/>
      </c>
      <c r="P177" s="1" t="str">
        <f>_xlfn.XLOOKUP(Logs[[#This Row],[ID_Client]],Clients_Log!B:B,Clients_Log!F:F,"Pas de correspondance")</f>
        <v>Pas de correspondance</v>
      </c>
      <c r="Q177" s="1" t="str">
        <f>IF(Logs[[#This Row],[Type_Forfait]]="Pro Monde","B2B","B2C")</f>
        <v>B2C</v>
      </c>
      <c r="R177" s="1" t="str">
        <f>_xlfn.XLOOKUP(Logs[[#This Row],[ID_Client]],Clients_Log!B:B,Clients_Log!G:G,"Pas de correspondance")</f>
        <v>Pas de correspondance</v>
      </c>
      <c r="S177" s="1" t="e">
        <f>Logs[[#This Row],[Duree_Cumulee_Panne_Min]]/1440</f>
        <v>#VALUE!</v>
      </c>
      <c r="T177" s="1" t="str">
        <f>_xlfn.XLOOKUP(Logs[[#This Row],[ID_Client]],Clients_Log!B:B,Clients_Log!H:H,"Pas de correspondance")</f>
        <v>Pas de correspondance</v>
      </c>
      <c r="U177" s="1" t="str">
        <f>_xlfn.XLOOKUP(Logs[[#This Row],[ID_Client]],Clients_Log!B:B,Clients_Log!I:I,"Pas de correspondance")</f>
        <v>Pas de correspondance</v>
      </c>
      <c r="V17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77" s="1" t="e">
        <f>Logs[[#This Row],[Facture_Mensuelle]]*Logs[[#This Row],[Remise (%)]]</f>
        <v>#VALUE!</v>
      </c>
    </row>
    <row r="178" spans="1:23" hidden="1" x14ac:dyDescent="0.25">
      <c r="A178" s="1" t="s">
        <v>935</v>
      </c>
      <c r="B178" s="2">
        <v>45217</v>
      </c>
      <c r="C178" s="1" t="str">
        <f>_xlfn.XLOOKUP(Logs[[#This Row],[Province_RDC]],Clients_Log!D:D,Clients_Log!B:B,"Pas de correspondance")</f>
        <v>Pas de correspondance</v>
      </c>
      <c r="D178" t="str">
        <f>_xlfn.XLOOKUP(Logs[[#This Row],[Cell_ID]],'Registre_Maintenance'!B:B,'Registre_Maintenance'!C:C,"Pas de correspondance")</f>
        <v>Pas de correspondance</v>
      </c>
      <c r="E178" s="3">
        <v>0.5708333333333333</v>
      </c>
      <c r="F178" s="1" t="s">
        <v>970</v>
      </c>
      <c r="G178" s="3">
        <f>Logs[[#This Row],[Duree_Panne_Min]]/1440</f>
        <v>1.9444444444444445E-2</v>
      </c>
      <c r="H178">
        <v>28</v>
      </c>
      <c r="I178" t="str">
        <f>_xlfn.XLOOKUP(Logs[[#This Row],[Cell_ID]],'Registre_Maintenance'!B:B,'Registre_Maintenance'!D:D,"Pas de correspondance")</f>
        <v>Pas de correspondance</v>
      </c>
      <c r="J178" t="str">
        <f>_xlfn.XLOOKUP(Logs[[#This Row],[Cell_ID]],'Registre_Maintenance'!B:B,'Registre_Maintenance'!E:E,"Pas de correspondance")</f>
        <v>Pas de correspondance</v>
      </c>
      <c r="K178" t="str">
        <f>_xlfn.XLOOKUP(Logs[[#This Row],[Cell_ID]],'Registre_Maintenance'!B:B,'Registre_Maintenance'!F:F,"Pas de correspondance")</f>
        <v>Pas de correspondance</v>
      </c>
      <c r="L178" t="str">
        <f>_xlfn.XLOOKUP(Logs[[#This Row],[Cell_ID]],'Registre_Maintenance'!B:B,'Registre_Maintenance'!G:G,"Pas de correspondance")</f>
        <v>Pas de correspondance</v>
      </c>
      <c r="M178" s="1" t="s">
        <v>806</v>
      </c>
      <c r="N178" s="1" t="str">
        <f>_xlfn.XLOOKUP(Logs[[#This Row],[ID_Client]],Clients_Log!B:B,Clients_Log!E:E,"Pas de correspondance")</f>
        <v>Pas de correspondance</v>
      </c>
      <c r="O178" s="4" t="str">
        <f>IFERROR(Logs[[#This Row],[Anciennete_Mois]]/12,"")</f>
        <v/>
      </c>
      <c r="P178" s="1" t="str">
        <f>_xlfn.XLOOKUP(Logs[[#This Row],[ID_Client]],Clients_Log!B:B,Clients_Log!F:F,"Pas de correspondance")</f>
        <v>Pas de correspondance</v>
      </c>
      <c r="Q178" s="1" t="str">
        <f>IF(Logs[[#This Row],[Type_Forfait]]="Pro Monde","B2B","B2C")</f>
        <v>B2C</v>
      </c>
      <c r="R178" s="1" t="str">
        <f>_xlfn.XLOOKUP(Logs[[#This Row],[ID_Client]],Clients_Log!B:B,Clients_Log!G:G,"Pas de correspondance")</f>
        <v>Pas de correspondance</v>
      </c>
      <c r="S178" s="1" t="e">
        <f>Logs[[#This Row],[Duree_Cumulee_Panne_Min]]/1440</f>
        <v>#VALUE!</v>
      </c>
      <c r="T178" s="1" t="str">
        <f>_xlfn.XLOOKUP(Logs[[#This Row],[ID_Client]],Clients_Log!B:B,Clients_Log!H:H,"Pas de correspondance")</f>
        <v>Pas de correspondance</v>
      </c>
      <c r="U178" s="1" t="str">
        <f>_xlfn.XLOOKUP(Logs[[#This Row],[ID_Client]],Clients_Log!B:B,Clients_Log!I:I,"Pas de correspondance")</f>
        <v>Pas de correspondance</v>
      </c>
      <c r="V17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78" s="1" t="e">
        <f>Logs[[#This Row],[Facture_Mensuelle]]*Logs[[#This Row],[Remise (%)]]</f>
        <v>#VALUE!</v>
      </c>
    </row>
    <row r="179" spans="1:23" hidden="1" x14ac:dyDescent="0.25">
      <c r="A179" s="1" t="s">
        <v>935</v>
      </c>
      <c r="B179" s="2">
        <v>45211</v>
      </c>
      <c r="C179" s="1" t="str">
        <f>_xlfn.XLOOKUP(Logs[[#This Row],[Province_RDC]],Clients_Log!D:D,Clients_Log!B:B,"Pas de correspondance")</f>
        <v>Pas de correspondance</v>
      </c>
      <c r="D179" t="str">
        <f>_xlfn.XLOOKUP(Logs[[#This Row],[Cell_ID]],'Registre_Maintenance'!B:B,'Registre_Maintenance'!C:C,"Pas de correspondance")</f>
        <v>Pas de correspondance</v>
      </c>
      <c r="E179" s="3">
        <v>0.10555555555555556</v>
      </c>
      <c r="F179" s="1" t="s">
        <v>835</v>
      </c>
      <c r="G179" s="3">
        <f>Logs[[#This Row],[Duree_Panne_Min]]/1440</f>
        <v>4.6527777777777779E-2</v>
      </c>
      <c r="H179">
        <v>67</v>
      </c>
      <c r="I179" t="str">
        <f>_xlfn.XLOOKUP(Logs[[#This Row],[Cell_ID]],'Registre_Maintenance'!B:B,'Registre_Maintenance'!D:D,"Pas de correspondance")</f>
        <v>Pas de correspondance</v>
      </c>
      <c r="J179" t="str">
        <f>_xlfn.XLOOKUP(Logs[[#This Row],[Cell_ID]],'Registre_Maintenance'!B:B,'Registre_Maintenance'!E:E,"Pas de correspondance")</f>
        <v>Pas de correspondance</v>
      </c>
      <c r="K179" t="str">
        <f>_xlfn.XLOOKUP(Logs[[#This Row],[Cell_ID]],'Registre_Maintenance'!B:B,'Registre_Maintenance'!F:F,"Pas de correspondance")</f>
        <v>Pas de correspondance</v>
      </c>
      <c r="L179" t="str">
        <f>_xlfn.XLOOKUP(Logs[[#This Row],[Cell_ID]],'Registre_Maintenance'!B:B,'Registre_Maintenance'!G:G,"Pas de correspondance")</f>
        <v>Pas de correspondance</v>
      </c>
      <c r="M179" s="1" t="s">
        <v>806</v>
      </c>
      <c r="N179" s="1" t="str">
        <f>_xlfn.XLOOKUP(Logs[[#This Row],[ID_Client]],Clients_Log!B:B,Clients_Log!E:E,"Pas de correspondance")</f>
        <v>Pas de correspondance</v>
      </c>
      <c r="O179" s="4" t="str">
        <f>IFERROR(Logs[[#This Row],[Anciennete_Mois]]/12,"")</f>
        <v/>
      </c>
      <c r="P179" s="1" t="str">
        <f>_xlfn.XLOOKUP(Logs[[#This Row],[ID_Client]],Clients_Log!B:B,Clients_Log!F:F,"Pas de correspondance")</f>
        <v>Pas de correspondance</v>
      </c>
      <c r="Q179" s="1" t="str">
        <f>IF(Logs[[#This Row],[Type_Forfait]]="Pro Monde","B2B","B2C")</f>
        <v>B2C</v>
      </c>
      <c r="R179" s="1" t="str">
        <f>_xlfn.XLOOKUP(Logs[[#This Row],[ID_Client]],Clients_Log!B:B,Clients_Log!G:G,"Pas de correspondance")</f>
        <v>Pas de correspondance</v>
      </c>
      <c r="S179" s="1" t="e">
        <f>Logs[[#This Row],[Duree_Cumulee_Panne_Min]]/1440</f>
        <v>#VALUE!</v>
      </c>
      <c r="T179" s="1" t="str">
        <f>_xlfn.XLOOKUP(Logs[[#This Row],[ID_Client]],Clients_Log!B:B,Clients_Log!H:H,"Pas de correspondance")</f>
        <v>Pas de correspondance</v>
      </c>
      <c r="U179" s="1" t="str">
        <f>_xlfn.XLOOKUP(Logs[[#This Row],[ID_Client]],Clients_Log!B:B,Clients_Log!I:I,"Pas de correspondance")</f>
        <v>Pas de correspondance</v>
      </c>
      <c r="V17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79" s="1" t="e">
        <f>Logs[[#This Row],[Facture_Mensuelle]]*Logs[[#This Row],[Remise (%)]]</f>
        <v>#VALUE!</v>
      </c>
    </row>
    <row r="180" spans="1:23" x14ac:dyDescent="0.25">
      <c r="A180" s="1" t="s">
        <v>935</v>
      </c>
      <c r="B180" s="2">
        <v>45220</v>
      </c>
      <c r="C180" s="1" t="str">
        <f>_xlfn.XLOOKUP(Logs[[#This Row],[Province_RDC]],Clients_Log!D:D,Clients_Log!B:B,"Pas de correspondance")</f>
        <v>CLI-00611</v>
      </c>
      <c r="D180" t="str">
        <f>_xlfn.XLOOKUP(Logs[[#This Row],[Cell_ID]],'Registre_Maintenance'!B:B,'Registre_Maintenance'!C:C,"Pas de correspondance")</f>
        <v>Kinshasa</v>
      </c>
      <c r="E180" s="3">
        <v>0.41666666666666669</v>
      </c>
      <c r="F180" s="1" t="s">
        <v>971</v>
      </c>
      <c r="G180" s="3">
        <f>Logs[[#This Row],[Duree_Panne_Min]]/1440</f>
        <v>2.2222222222222223E-2</v>
      </c>
      <c r="H180">
        <v>32</v>
      </c>
      <c r="I180">
        <f>_xlfn.XLOOKUP(Logs[[#This Row],[Cell_ID]],'Registre_Maintenance'!B:B,'Registre_Maintenance'!D:D,"Pas de correspondance")</f>
        <v>-11.991020000000001</v>
      </c>
      <c r="J180">
        <f>_xlfn.XLOOKUP(Logs[[#This Row],[Cell_ID]],'Registre_Maintenance'!B:B,'Registre_Maintenance'!E:E,"Pas de correspondance")</f>
        <v>22.514747</v>
      </c>
      <c r="K180" t="str">
        <f>_xlfn.XLOOKUP(Logs[[#This Row],[Cell_ID]],'Registre_Maintenance'!B:B,'Registre_Maintenance'!F:F,"Pas de correspondance")</f>
        <v>5G</v>
      </c>
      <c r="L180" t="str">
        <f>_xlfn.XLOOKUP(Logs[[#This Row],[Cell_ID]],'Registre_Maintenance'!B:B,'Registre_Maintenance'!G:G,"Pas de correspondance")</f>
        <v>ZTE</v>
      </c>
      <c r="M180" s="1" t="s">
        <v>809</v>
      </c>
      <c r="N180" s="1">
        <f>_xlfn.XLOOKUP(Logs[[#This Row],[ID_Client]],Clients_Log!B:B,Clients_Log!E:E,"Pas de correspondance")</f>
        <v>79</v>
      </c>
      <c r="O180" s="4">
        <f>IFERROR(Logs[[#This Row],[Anciennete_Mois]]/12,"")</f>
        <v>6.583333333333333</v>
      </c>
      <c r="P180" s="1" t="str">
        <f>_xlfn.XLOOKUP(Logs[[#This Row],[ID_Client]],Clients_Log!B:B,Clients_Log!F:F,"Pas de correspondance")</f>
        <v>Premium 5G 150Go</v>
      </c>
      <c r="Q180" s="1" t="str">
        <f>IF(Logs[[#This Row],[Type_Forfait]]="Pro Monde","B2B","B2C")</f>
        <v>B2C</v>
      </c>
      <c r="R180" s="1">
        <f>_xlfn.XLOOKUP(Logs[[#This Row],[ID_Client]],Clients_Log!B:B,Clients_Log!G:G,"Pas de correspondance")</f>
        <v>226</v>
      </c>
      <c r="S180" s="3">
        <f>Logs[[#This Row],[Duree_Cumulee_Panne_Min]]/1440</f>
        <v>0.15694444444444444</v>
      </c>
      <c r="T180" s="1">
        <f>_xlfn.XLOOKUP(Logs[[#This Row],[ID_Client]],Clients_Log!B:B,Clients_Log!H:H,"Pas de correspondance")</f>
        <v>94.38</v>
      </c>
      <c r="U180" s="1">
        <f>_xlfn.XLOOKUP(Logs[[#This Row],[ID_Client]],Clients_Log!B:B,Clients_Log!I:I,"Pas de correspondance")</f>
        <v>3</v>
      </c>
      <c r="V18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80" s="1">
        <f>Logs[[#This Row],[Facture_Mensuelle]]*Logs[[#This Row],[Remise (%)]]</f>
        <v>0</v>
      </c>
    </row>
    <row r="181" spans="1:23" x14ac:dyDescent="0.25">
      <c r="A181" s="1" t="s">
        <v>935</v>
      </c>
      <c r="B181" s="2">
        <v>45227</v>
      </c>
      <c r="C181" s="1" t="str">
        <f>_xlfn.XLOOKUP(Logs[[#This Row],[Province_RDC]],Clients_Log!D:D,Clients_Log!B:B,"Pas de correspondance")</f>
        <v>CLI-00745</v>
      </c>
      <c r="D181" t="str">
        <f>_xlfn.XLOOKUP(Logs[[#This Row],[Cell_ID]],'Registre_Maintenance'!B:B,'Registre_Maintenance'!C:C,"Pas de correspondance")</f>
        <v>Tshopo</v>
      </c>
      <c r="E181" s="3">
        <v>0.57777777777777772</v>
      </c>
      <c r="F181" s="1" t="s">
        <v>972</v>
      </c>
      <c r="G181" s="3">
        <f>Logs[[#This Row],[Duree_Panne_Min]]/1440</f>
        <v>3.4722222222222224E-2</v>
      </c>
      <c r="H181">
        <v>50</v>
      </c>
      <c r="I181">
        <f>_xlfn.XLOOKUP(Logs[[#This Row],[Cell_ID]],'Registre_Maintenance'!B:B,'Registre_Maintenance'!D:D,"Pas de correspondance")</f>
        <v>-4.5603610000000003</v>
      </c>
      <c r="J181">
        <f>_xlfn.XLOOKUP(Logs[[#This Row],[Cell_ID]],'Registre_Maintenance'!B:B,'Registre_Maintenance'!E:E,"Pas de correspondance")</f>
        <v>24.113918999999999</v>
      </c>
      <c r="K181" t="str">
        <f>_xlfn.XLOOKUP(Logs[[#This Row],[Cell_ID]],'Registre_Maintenance'!B:B,'Registre_Maintenance'!F:F,"Pas de correspondance")</f>
        <v>5G</v>
      </c>
      <c r="L181" t="str">
        <f>_xlfn.XLOOKUP(Logs[[#This Row],[Cell_ID]],'Registre_Maintenance'!B:B,'Registre_Maintenance'!G:G,"Pas de correspondance")</f>
        <v>ZTE</v>
      </c>
      <c r="M181" s="1" t="s">
        <v>811</v>
      </c>
      <c r="N181" s="1">
        <f>_xlfn.XLOOKUP(Logs[[#This Row],[ID_Client]],Clients_Log!B:B,Clients_Log!E:E,"Pas de correspondance")</f>
        <v>6</v>
      </c>
      <c r="O181" s="4">
        <f>IFERROR(Logs[[#This Row],[Anciennete_Mois]]/12,"")</f>
        <v>0.5</v>
      </c>
      <c r="P181" s="1" t="str">
        <f>_xlfn.XLOOKUP(Logs[[#This Row],[ID_Client]],Clients_Log!B:B,Clients_Log!F:F,"Pas de correspondance")</f>
        <v>Premium 5G 150Go</v>
      </c>
      <c r="Q181" s="1" t="str">
        <f>IF(Logs[[#This Row],[Type_Forfait]]="Pro Monde","B2B","B2C")</f>
        <v>B2C</v>
      </c>
      <c r="R181" s="1">
        <f>_xlfn.XLOOKUP(Logs[[#This Row],[ID_Client]],Clients_Log!B:B,Clients_Log!G:G,"Pas de correspondance")</f>
        <v>207</v>
      </c>
      <c r="S181" s="3">
        <f>Logs[[#This Row],[Duree_Cumulee_Panne_Min]]/1440</f>
        <v>0.14374999999999999</v>
      </c>
      <c r="T181" s="1">
        <f>_xlfn.XLOOKUP(Logs[[#This Row],[ID_Client]],Clients_Log!B:B,Clients_Log!H:H,"Pas de correspondance")</f>
        <v>61.55</v>
      </c>
      <c r="U181" s="1">
        <f>_xlfn.XLOOKUP(Logs[[#This Row],[ID_Client]],Clients_Log!B:B,Clients_Log!I:I,"Pas de correspondance")</f>
        <v>0</v>
      </c>
      <c r="V18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81" s="1">
        <f>Logs[[#This Row],[Facture_Mensuelle]]*Logs[[#This Row],[Remise (%)]]</f>
        <v>27.697499999999998</v>
      </c>
    </row>
    <row r="182" spans="1:23" hidden="1" x14ac:dyDescent="0.25">
      <c r="A182" s="1" t="s">
        <v>935</v>
      </c>
      <c r="B182" s="2">
        <v>45215</v>
      </c>
      <c r="C182" s="1" t="str">
        <f>_xlfn.XLOOKUP(Logs[[#This Row],[Province_RDC]],Clients_Log!D:D,Clients_Log!B:B,"Pas de correspondance")</f>
        <v>Pas de correspondance</v>
      </c>
      <c r="D182" t="str">
        <f>_xlfn.XLOOKUP(Logs[[#This Row],[Cell_ID]],'Registre_Maintenance'!B:B,'Registre_Maintenance'!C:C,"Pas de correspondance")</f>
        <v>Pas de correspondance</v>
      </c>
      <c r="E182" s="3">
        <v>0.14374999999999999</v>
      </c>
      <c r="F182" s="1" t="s">
        <v>973</v>
      </c>
      <c r="G182" s="3">
        <f>Logs[[#This Row],[Duree_Panne_Min]]/1440</f>
        <v>7.4305555555555555E-2</v>
      </c>
      <c r="H182">
        <v>107</v>
      </c>
      <c r="I182" t="str">
        <f>_xlfn.XLOOKUP(Logs[[#This Row],[Cell_ID]],'Registre_Maintenance'!B:B,'Registre_Maintenance'!D:D,"Pas de correspondance")</f>
        <v>Pas de correspondance</v>
      </c>
      <c r="J182" t="str">
        <f>_xlfn.XLOOKUP(Logs[[#This Row],[Cell_ID]],'Registre_Maintenance'!B:B,'Registre_Maintenance'!E:E,"Pas de correspondance")</f>
        <v>Pas de correspondance</v>
      </c>
      <c r="K182" t="str">
        <f>_xlfn.XLOOKUP(Logs[[#This Row],[Cell_ID]],'Registre_Maintenance'!B:B,'Registre_Maintenance'!F:F,"Pas de correspondance")</f>
        <v>Pas de correspondance</v>
      </c>
      <c r="L182" t="str">
        <f>_xlfn.XLOOKUP(Logs[[#This Row],[Cell_ID]],'Registre_Maintenance'!B:B,'Registre_Maintenance'!G:G,"Pas de correspondance")</f>
        <v>Pas de correspondance</v>
      </c>
      <c r="M182" s="1" t="s">
        <v>809</v>
      </c>
      <c r="N182" s="1" t="str">
        <f>_xlfn.XLOOKUP(Logs[[#This Row],[ID_Client]],Clients_Log!B:B,Clients_Log!E:E,"Pas de correspondance")</f>
        <v>Pas de correspondance</v>
      </c>
      <c r="O182" s="4" t="str">
        <f>IFERROR(Logs[[#This Row],[Anciennete_Mois]]/12,"")</f>
        <v/>
      </c>
      <c r="P182" s="1" t="str">
        <f>_xlfn.XLOOKUP(Logs[[#This Row],[ID_Client]],Clients_Log!B:B,Clients_Log!F:F,"Pas de correspondance")</f>
        <v>Pas de correspondance</v>
      </c>
      <c r="Q182" s="1" t="str">
        <f>IF(Logs[[#This Row],[Type_Forfait]]="Pro Monde","B2B","B2C")</f>
        <v>B2C</v>
      </c>
      <c r="R182" s="1" t="str">
        <f>_xlfn.XLOOKUP(Logs[[#This Row],[ID_Client]],Clients_Log!B:B,Clients_Log!G:G,"Pas de correspondance")</f>
        <v>Pas de correspondance</v>
      </c>
      <c r="S182" s="1" t="e">
        <f>Logs[[#This Row],[Duree_Cumulee_Panne_Min]]/1440</f>
        <v>#VALUE!</v>
      </c>
      <c r="T182" s="1" t="str">
        <f>_xlfn.XLOOKUP(Logs[[#This Row],[ID_Client]],Clients_Log!B:B,Clients_Log!H:H,"Pas de correspondance")</f>
        <v>Pas de correspondance</v>
      </c>
      <c r="U182" s="1" t="str">
        <f>_xlfn.XLOOKUP(Logs[[#This Row],[ID_Client]],Clients_Log!B:B,Clients_Log!I:I,"Pas de correspondance")</f>
        <v>Pas de correspondance</v>
      </c>
      <c r="V18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82" s="1" t="e">
        <f>Logs[[#This Row],[Facture_Mensuelle]]*Logs[[#This Row],[Remise (%)]]</f>
        <v>#VALUE!</v>
      </c>
    </row>
    <row r="183" spans="1:23" x14ac:dyDescent="0.25">
      <c r="A183" s="1" t="s">
        <v>935</v>
      </c>
      <c r="B183" s="2">
        <v>45230</v>
      </c>
      <c r="C183" s="1" t="str">
        <f>_xlfn.XLOOKUP(Logs[[#This Row],[Province_RDC]],Clients_Log!D:D,Clients_Log!B:B,"Pas de correspondance")</f>
        <v>CLI-00837</v>
      </c>
      <c r="D183" t="str">
        <f>_xlfn.XLOOKUP(Logs[[#This Row],[Cell_ID]],'Registre_Maintenance'!B:B,'Registre_Maintenance'!C:C,"Pas de correspondance")</f>
        <v>Nord-Kivu</v>
      </c>
      <c r="E183" s="3">
        <v>0.4861111111111111</v>
      </c>
      <c r="F183" s="1" t="s">
        <v>974</v>
      </c>
      <c r="G183" s="3">
        <f>Logs[[#This Row],[Duree_Panne_Min]]/1440</f>
        <v>2.6388888888888889E-2</v>
      </c>
      <c r="H183">
        <v>38</v>
      </c>
      <c r="I183">
        <f>_xlfn.XLOOKUP(Logs[[#This Row],[Cell_ID]],'Registre_Maintenance'!B:B,'Registre_Maintenance'!D:D,"Pas de correspondance")</f>
        <v>-12.336202</v>
      </c>
      <c r="J183">
        <f>_xlfn.XLOOKUP(Logs[[#This Row],[Cell_ID]],'Registre_Maintenance'!B:B,'Registre_Maintenance'!E:E,"Pas de correspondance")</f>
        <v>13.693683999999999</v>
      </c>
      <c r="K183" t="str">
        <f>_xlfn.XLOOKUP(Logs[[#This Row],[Cell_ID]],'Registre_Maintenance'!B:B,'Registre_Maintenance'!F:F,"Pas de correspondance")</f>
        <v>5G</v>
      </c>
      <c r="L183" t="str">
        <f>_xlfn.XLOOKUP(Logs[[#This Row],[Cell_ID]],'Registre_Maintenance'!B:B,'Registre_Maintenance'!G:G,"Pas de correspondance")</f>
        <v>Huawei</v>
      </c>
      <c r="M183" s="1" t="s">
        <v>806</v>
      </c>
      <c r="N183" s="1">
        <f>_xlfn.XLOOKUP(Logs[[#This Row],[ID_Client]],Clients_Log!B:B,Clients_Log!E:E,"Pas de correspondance")</f>
        <v>16</v>
      </c>
      <c r="O183" s="4">
        <f>IFERROR(Logs[[#This Row],[Anciennete_Mois]]/12,"")</f>
        <v>1.3333333333333333</v>
      </c>
      <c r="P183" s="1" t="str">
        <f>_xlfn.XLOOKUP(Logs[[#This Row],[ID_Client]],Clients_Log!B:B,Clients_Log!F:F,"Pas de correspondance")</f>
        <v>Bloqué 5Go</v>
      </c>
      <c r="Q183" s="1" t="str">
        <f>IF(Logs[[#This Row],[Type_Forfait]]="Pro Monde","B2B","B2C")</f>
        <v>B2C</v>
      </c>
      <c r="R183" s="1">
        <f>_xlfn.XLOOKUP(Logs[[#This Row],[ID_Client]],Clients_Log!B:B,Clients_Log!G:G,"Pas de correspondance")</f>
        <v>390</v>
      </c>
      <c r="S183" s="3">
        <f>Logs[[#This Row],[Duree_Cumulee_Panne_Min]]/1440</f>
        <v>0.27083333333333331</v>
      </c>
      <c r="T183" s="1">
        <f>_xlfn.XLOOKUP(Logs[[#This Row],[ID_Client]],Clients_Log!B:B,Clients_Log!H:H,"Pas de correspondance")</f>
        <v>98.17</v>
      </c>
      <c r="U183" s="1">
        <f>_xlfn.XLOOKUP(Logs[[#This Row],[ID_Client]],Clients_Log!B:B,Clients_Log!I:I,"Pas de correspondance")</f>
        <v>5</v>
      </c>
      <c r="V18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83" s="1">
        <f>Logs[[#This Row],[Facture_Mensuelle]]*Logs[[#This Row],[Remise (%)]]</f>
        <v>44.176500000000004</v>
      </c>
    </row>
    <row r="184" spans="1:23" x14ac:dyDescent="0.25">
      <c r="A184" s="1" t="s">
        <v>935</v>
      </c>
      <c r="B184" s="2">
        <v>45228</v>
      </c>
      <c r="C184" s="1" t="str">
        <f>_xlfn.XLOOKUP(Logs[[#This Row],[Province_RDC]],Clients_Log!D:D,Clients_Log!B:B,"Pas de correspondance")</f>
        <v>CLI-00414</v>
      </c>
      <c r="D184" t="str">
        <f>_xlfn.XLOOKUP(Logs[[#This Row],[Cell_ID]],'Registre_Maintenance'!B:B,'Registre_Maintenance'!C:C,"Pas de correspondance")</f>
        <v>Bas-Uele</v>
      </c>
      <c r="E184" s="3">
        <v>0.61458333333333337</v>
      </c>
      <c r="F184" s="1" t="s">
        <v>975</v>
      </c>
      <c r="G184" s="3">
        <f>Logs[[#This Row],[Duree_Panne_Min]]/1440</f>
        <v>3.3333333333333333E-2</v>
      </c>
      <c r="H184">
        <v>48</v>
      </c>
      <c r="I184">
        <f>_xlfn.XLOOKUP(Logs[[#This Row],[Cell_ID]],'Registre_Maintenance'!B:B,'Registre_Maintenance'!D:D,"Pas de correspondance")</f>
        <v>-3.6945459999999999</v>
      </c>
      <c r="J184">
        <f>_xlfn.XLOOKUP(Logs[[#This Row],[Cell_ID]],'Registre_Maintenance'!B:B,'Registre_Maintenance'!E:E,"Pas de correspondance")</f>
        <v>16.809108999999999</v>
      </c>
      <c r="K184" t="str">
        <f>_xlfn.XLOOKUP(Logs[[#This Row],[Cell_ID]],'Registre_Maintenance'!B:B,'Registre_Maintenance'!F:F,"Pas de correspondance")</f>
        <v>5G</v>
      </c>
      <c r="L184" t="str">
        <f>_xlfn.XLOOKUP(Logs[[#This Row],[Cell_ID]],'Registre_Maintenance'!B:B,'Registre_Maintenance'!G:G,"Pas de correspondance")</f>
        <v>ZTE</v>
      </c>
      <c r="M184" s="1" t="s">
        <v>809</v>
      </c>
      <c r="N184" s="1">
        <f>_xlfn.XLOOKUP(Logs[[#This Row],[ID_Client]],Clients_Log!B:B,Clients_Log!E:E,"Pas de correspondance")</f>
        <v>99</v>
      </c>
      <c r="O184" s="4">
        <f>IFERROR(Logs[[#This Row],[Anciennete_Mois]]/12,"")</f>
        <v>8.25</v>
      </c>
      <c r="P184" s="1" t="str">
        <f>_xlfn.XLOOKUP(Logs[[#This Row],[ID_Client]],Clients_Log!B:B,Clients_Log!F:F,"Pas de correspondance")</f>
        <v>Premium 5G 150Go</v>
      </c>
      <c r="Q184" s="1" t="str">
        <f>IF(Logs[[#This Row],[Type_Forfait]]="Pro Monde","B2B","B2C")</f>
        <v>B2C</v>
      </c>
      <c r="R184" s="1">
        <f>_xlfn.XLOOKUP(Logs[[#This Row],[ID_Client]],Clients_Log!B:B,Clients_Log!G:G,"Pas de correspondance")</f>
        <v>447</v>
      </c>
      <c r="S184" s="3">
        <f>Logs[[#This Row],[Duree_Cumulee_Panne_Min]]/1440</f>
        <v>0.31041666666666667</v>
      </c>
      <c r="T184" s="1">
        <f>_xlfn.XLOOKUP(Logs[[#This Row],[ID_Client]],Clients_Log!B:B,Clients_Log!H:H,"Pas de correspondance")</f>
        <v>38.1</v>
      </c>
      <c r="U184" s="1">
        <f>_xlfn.XLOOKUP(Logs[[#This Row],[ID_Client]],Clients_Log!B:B,Clients_Log!I:I,"Pas de correspondance")</f>
        <v>3</v>
      </c>
      <c r="V18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84" s="1">
        <f>Logs[[#This Row],[Facture_Mensuelle]]*Logs[[#This Row],[Remise (%)]]</f>
        <v>17.145</v>
      </c>
    </row>
    <row r="185" spans="1:23" hidden="1" x14ac:dyDescent="0.25">
      <c r="A185" s="1" t="s">
        <v>976</v>
      </c>
      <c r="B185" s="2">
        <v>45215</v>
      </c>
      <c r="C185" s="1" t="str">
        <f>_xlfn.XLOOKUP(Logs[[#This Row],[Province_RDC]],Clients_Log!D:D,Clients_Log!B:B,"Pas de correspondance")</f>
        <v>Pas de correspondance</v>
      </c>
      <c r="D185" t="str">
        <f>_xlfn.XLOOKUP(Logs[[#This Row],[Cell_ID]],'Registre_Maintenance'!B:B,'Registre_Maintenance'!C:C,"Pas de correspondance")</f>
        <v>Pas de correspondance</v>
      </c>
      <c r="E185" s="3">
        <v>0.59791666666666665</v>
      </c>
      <c r="F185" s="1" t="s">
        <v>977</v>
      </c>
      <c r="G185" s="3">
        <f>Logs[[#This Row],[Duree_Panne_Min]]/1440</f>
        <v>4.8611111111111112E-3</v>
      </c>
      <c r="H185">
        <v>7</v>
      </c>
      <c r="I185" t="str">
        <f>_xlfn.XLOOKUP(Logs[[#This Row],[Cell_ID]],'Registre_Maintenance'!B:B,'Registre_Maintenance'!D:D,"Pas de correspondance")</f>
        <v>Pas de correspondance</v>
      </c>
      <c r="J185" t="str">
        <f>_xlfn.XLOOKUP(Logs[[#This Row],[Cell_ID]],'Registre_Maintenance'!B:B,'Registre_Maintenance'!E:E,"Pas de correspondance")</f>
        <v>Pas de correspondance</v>
      </c>
      <c r="K185" t="str">
        <f>_xlfn.XLOOKUP(Logs[[#This Row],[Cell_ID]],'Registre_Maintenance'!B:B,'Registre_Maintenance'!F:F,"Pas de correspondance")</f>
        <v>Pas de correspondance</v>
      </c>
      <c r="L185" t="str">
        <f>_xlfn.XLOOKUP(Logs[[#This Row],[Cell_ID]],'Registre_Maintenance'!B:B,'Registre_Maintenance'!G:G,"Pas de correspondance")</f>
        <v>Pas de correspondance</v>
      </c>
      <c r="M185" s="1" t="s">
        <v>811</v>
      </c>
      <c r="N185" s="1" t="str">
        <f>_xlfn.XLOOKUP(Logs[[#This Row],[ID_Client]],Clients_Log!B:B,Clients_Log!E:E,"Pas de correspondance")</f>
        <v>Pas de correspondance</v>
      </c>
      <c r="O185" s="4" t="str">
        <f>IFERROR(Logs[[#This Row],[Anciennete_Mois]]/12,"")</f>
        <v/>
      </c>
      <c r="P185" s="1" t="str">
        <f>_xlfn.XLOOKUP(Logs[[#This Row],[ID_Client]],Clients_Log!B:B,Clients_Log!F:F,"Pas de correspondance")</f>
        <v>Pas de correspondance</v>
      </c>
      <c r="Q185" s="1" t="str">
        <f>IF(Logs[[#This Row],[Type_Forfait]]="Pro Monde","B2B","B2C")</f>
        <v>B2C</v>
      </c>
      <c r="R185" s="1" t="str">
        <f>_xlfn.XLOOKUP(Logs[[#This Row],[ID_Client]],Clients_Log!B:B,Clients_Log!G:G,"Pas de correspondance")</f>
        <v>Pas de correspondance</v>
      </c>
      <c r="S185" s="1" t="e">
        <f>Logs[[#This Row],[Duree_Cumulee_Panne_Min]]/1440</f>
        <v>#VALUE!</v>
      </c>
      <c r="T185" s="1" t="str">
        <f>_xlfn.XLOOKUP(Logs[[#This Row],[ID_Client]],Clients_Log!B:B,Clients_Log!H:H,"Pas de correspondance")</f>
        <v>Pas de correspondance</v>
      </c>
      <c r="U185" s="1" t="str">
        <f>_xlfn.XLOOKUP(Logs[[#This Row],[ID_Client]],Clients_Log!B:B,Clients_Log!I:I,"Pas de correspondance")</f>
        <v>Pas de correspondance</v>
      </c>
      <c r="V18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85" s="1" t="e">
        <f>Logs[[#This Row],[Facture_Mensuelle]]*Logs[[#This Row],[Remise (%)]]</f>
        <v>#VALUE!</v>
      </c>
    </row>
    <row r="186" spans="1:23" x14ac:dyDescent="0.25">
      <c r="A186" s="1" t="s">
        <v>976</v>
      </c>
      <c r="B186" s="2">
        <v>45205</v>
      </c>
      <c r="C186" s="1" t="str">
        <f>_xlfn.XLOOKUP(Logs[[#This Row],[Province_RDC]],Clients_Log!D:D,Clients_Log!B:B,"Pas de correspondance")</f>
        <v>CLI-00559</v>
      </c>
      <c r="D186" t="str">
        <f>_xlfn.XLOOKUP(Logs[[#This Row],[Cell_ID]],'Registre_Maintenance'!B:B,'Registre_Maintenance'!C:C,"Pas de correspondance")</f>
        <v>Kasaï</v>
      </c>
      <c r="E186" s="3">
        <v>5.2777777777777778E-2</v>
      </c>
      <c r="F186" s="1" t="s">
        <v>839</v>
      </c>
      <c r="G186" s="3">
        <f>Logs[[#This Row],[Duree_Panne_Min]]/1440</f>
        <v>7.0833333333333331E-2</v>
      </c>
      <c r="H186">
        <v>102</v>
      </c>
      <c r="I186">
        <f>_xlfn.XLOOKUP(Logs[[#This Row],[Cell_ID]],'Registre_Maintenance'!B:B,'Registre_Maintenance'!D:D,"Pas de correspondance")</f>
        <v>-4.9789079999999997</v>
      </c>
      <c r="J186">
        <f>_xlfn.XLOOKUP(Logs[[#This Row],[Cell_ID]],'Registre_Maintenance'!B:B,'Registre_Maintenance'!E:E,"Pas de correspondance")</f>
        <v>28.506295000000001</v>
      </c>
      <c r="K186" t="str">
        <f>_xlfn.XLOOKUP(Logs[[#This Row],[Cell_ID]],'Registre_Maintenance'!B:B,'Registre_Maintenance'!F:F,"Pas de correspondance")</f>
        <v>4G</v>
      </c>
      <c r="L186" t="str">
        <f>_xlfn.XLOOKUP(Logs[[#This Row],[Cell_ID]],'Registre_Maintenance'!B:B,'Registre_Maintenance'!G:G,"Pas de correspondance")</f>
        <v>Huawei</v>
      </c>
      <c r="M186" s="1" t="s">
        <v>809</v>
      </c>
      <c r="N186" s="1">
        <f>_xlfn.XLOOKUP(Logs[[#This Row],[ID_Client]],Clients_Log!B:B,Clients_Log!E:E,"Pas de correspondance")</f>
        <v>99</v>
      </c>
      <c r="O186" s="4">
        <f>IFERROR(Logs[[#This Row],[Anciennete_Mois]]/12,"")</f>
        <v>8.25</v>
      </c>
      <c r="P186" s="1" t="str">
        <f>_xlfn.XLOOKUP(Logs[[#This Row],[ID_Client]],Clients_Log!B:B,Clients_Log!F:F,"Pas de correspondance")</f>
        <v>Bloqué 5Go</v>
      </c>
      <c r="Q186" s="1" t="str">
        <f>IF(Logs[[#This Row],[Type_Forfait]]="Pro Monde","B2B","B2C")</f>
        <v>B2C</v>
      </c>
      <c r="R186" s="1">
        <f>_xlfn.XLOOKUP(Logs[[#This Row],[ID_Client]],Clients_Log!B:B,Clients_Log!G:G,"Pas de correspondance")</f>
        <v>369</v>
      </c>
      <c r="S186" s="3">
        <f>Logs[[#This Row],[Duree_Cumulee_Panne_Min]]/1440</f>
        <v>0.25624999999999998</v>
      </c>
      <c r="T186" s="1">
        <f>_xlfn.XLOOKUP(Logs[[#This Row],[ID_Client]],Clients_Log!B:B,Clients_Log!H:H,"Pas de correspondance")</f>
        <v>67.209999999999994</v>
      </c>
      <c r="U186" s="1">
        <f>_xlfn.XLOOKUP(Logs[[#This Row],[ID_Client]],Clients_Log!B:B,Clients_Log!I:I,"Pas de correspondance")</f>
        <v>3</v>
      </c>
      <c r="V18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86" s="1">
        <f>Logs[[#This Row],[Facture_Mensuelle]]*Logs[[#This Row],[Remise (%)]]</f>
        <v>30.244499999999999</v>
      </c>
    </row>
    <row r="187" spans="1:23" hidden="1" x14ac:dyDescent="0.25">
      <c r="A187" s="1" t="s">
        <v>976</v>
      </c>
      <c r="B187" s="2">
        <v>45230</v>
      </c>
      <c r="C187" s="1" t="str">
        <f>_xlfn.XLOOKUP(Logs[[#This Row],[Province_RDC]],Clients_Log!D:D,Clients_Log!B:B,"Pas de correspondance")</f>
        <v>Pas de correspondance</v>
      </c>
      <c r="D187" t="str">
        <f>_xlfn.XLOOKUP(Logs[[#This Row],[Cell_ID]],'Registre_Maintenance'!B:B,'Registre_Maintenance'!C:C,"Pas de correspondance")</f>
        <v>Pas de correspondance</v>
      </c>
      <c r="E187" s="3">
        <v>0.62986111111111109</v>
      </c>
      <c r="F187" s="1" t="s">
        <v>978</v>
      </c>
      <c r="G187" s="3">
        <f>Logs[[#This Row],[Duree_Panne_Min]]/1440</f>
        <v>6.3194444444444442E-2</v>
      </c>
      <c r="H187">
        <v>91</v>
      </c>
      <c r="I187" t="str">
        <f>_xlfn.XLOOKUP(Logs[[#This Row],[Cell_ID]],'Registre_Maintenance'!B:B,'Registre_Maintenance'!D:D,"Pas de correspondance")</f>
        <v>Pas de correspondance</v>
      </c>
      <c r="J187" t="str">
        <f>_xlfn.XLOOKUP(Logs[[#This Row],[Cell_ID]],'Registre_Maintenance'!B:B,'Registre_Maintenance'!E:E,"Pas de correspondance")</f>
        <v>Pas de correspondance</v>
      </c>
      <c r="K187" t="str">
        <f>_xlfn.XLOOKUP(Logs[[#This Row],[Cell_ID]],'Registre_Maintenance'!B:B,'Registre_Maintenance'!F:F,"Pas de correspondance")</f>
        <v>Pas de correspondance</v>
      </c>
      <c r="L187" t="str">
        <f>_xlfn.XLOOKUP(Logs[[#This Row],[Cell_ID]],'Registre_Maintenance'!B:B,'Registre_Maintenance'!G:G,"Pas de correspondance")</f>
        <v>Pas de correspondance</v>
      </c>
      <c r="M187" s="1" t="s">
        <v>806</v>
      </c>
      <c r="N187" s="1" t="str">
        <f>_xlfn.XLOOKUP(Logs[[#This Row],[ID_Client]],Clients_Log!B:B,Clients_Log!E:E,"Pas de correspondance")</f>
        <v>Pas de correspondance</v>
      </c>
      <c r="O187" s="4" t="str">
        <f>IFERROR(Logs[[#This Row],[Anciennete_Mois]]/12,"")</f>
        <v/>
      </c>
      <c r="P187" s="1" t="str">
        <f>_xlfn.XLOOKUP(Logs[[#This Row],[ID_Client]],Clients_Log!B:B,Clients_Log!F:F,"Pas de correspondance")</f>
        <v>Pas de correspondance</v>
      </c>
      <c r="Q187" s="1" t="str">
        <f>IF(Logs[[#This Row],[Type_Forfait]]="Pro Monde","B2B","B2C")</f>
        <v>B2C</v>
      </c>
      <c r="R187" s="1" t="str">
        <f>_xlfn.XLOOKUP(Logs[[#This Row],[ID_Client]],Clients_Log!B:B,Clients_Log!G:G,"Pas de correspondance")</f>
        <v>Pas de correspondance</v>
      </c>
      <c r="S187" s="1" t="e">
        <f>Logs[[#This Row],[Duree_Cumulee_Panne_Min]]/1440</f>
        <v>#VALUE!</v>
      </c>
      <c r="T187" s="1" t="str">
        <f>_xlfn.XLOOKUP(Logs[[#This Row],[ID_Client]],Clients_Log!B:B,Clients_Log!H:H,"Pas de correspondance")</f>
        <v>Pas de correspondance</v>
      </c>
      <c r="U187" s="1" t="str">
        <f>_xlfn.XLOOKUP(Logs[[#This Row],[ID_Client]],Clients_Log!B:B,Clients_Log!I:I,"Pas de correspondance")</f>
        <v>Pas de correspondance</v>
      </c>
      <c r="V18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87" s="1" t="e">
        <f>Logs[[#This Row],[Facture_Mensuelle]]*Logs[[#This Row],[Remise (%)]]</f>
        <v>#VALUE!</v>
      </c>
    </row>
    <row r="188" spans="1:23" x14ac:dyDescent="0.25">
      <c r="A188" s="1" t="s">
        <v>976</v>
      </c>
      <c r="B188" s="2">
        <v>45226</v>
      </c>
      <c r="C188" s="1" t="str">
        <f>_xlfn.XLOOKUP(Logs[[#This Row],[Province_RDC]],Clients_Log!D:D,Clients_Log!B:B,"Pas de correspondance")</f>
        <v>CLI-00131</v>
      </c>
      <c r="D188" t="str">
        <f>_xlfn.XLOOKUP(Logs[[#This Row],[Cell_ID]],'Registre_Maintenance'!B:B,'Registre_Maintenance'!C:C,"Pas de correspondance")</f>
        <v>Lomami</v>
      </c>
      <c r="E188" s="3">
        <v>0.10069444444444445</v>
      </c>
      <c r="F188" s="1" t="s">
        <v>979</v>
      </c>
      <c r="G188" s="3">
        <f>Logs[[#This Row],[Duree_Panne_Min]]/1440</f>
        <v>7.6388888888888895E-2</v>
      </c>
      <c r="H188">
        <v>110</v>
      </c>
      <c r="I188">
        <f>_xlfn.XLOOKUP(Logs[[#This Row],[Cell_ID]],'Registre_Maintenance'!B:B,'Registre_Maintenance'!D:D,"Pas de correspondance")</f>
        <v>-2.2681789999999999</v>
      </c>
      <c r="J188">
        <f>_xlfn.XLOOKUP(Logs[[#This Row],[Cell_ID]],'Registre_Maintenance'!B:B,'Registre_Maintenance'!E:E,"Pas de correspondance")</f>
        <v>25.699068</v>
      </c>
      <c r="K188" t="str">
        <f>_xlfn.XLOOKUP(Logs[[#This Row],[Cell_ID]],'Registre_Maintenance'!B:B,'Registre_Maintenance'!F:F,"Pas de correspondance")</f>
        <v>3G</v>
      </c>
      <c r="L188" t="str">
        <f>_xlfn.XLOOKUP(Logs[[#This Row],[Cell_ID]],'Registre_Maintenance'!B:B,'Registre_Maintenance'!G:G,"Pas de correspondance")</f>
        <v>ZTE</v>
      </c>
      <c r="M188" s="1" t="s">
        <v>809</v>
      </c>
      <c r="N188" s="1">
        <f>_xlfn.XLOOKUP(Logs[[#This Row],[ID_Client]],Clients_Log!B:B,Clients_Log!E:E,"Pas de correspondance")</f>
        <v>101</v>
      </c>
      <c r="O188" s="4">
        <f>IFERROR(Logs[[#This Row],[Anciennete_Mois]]/12,"")</f>
        <v>8.4166666666666661</v>
      </c>
      <c r="P188" s="1" t="str">
        <f>_xlfn.XLOOKUP(Logs[[#This Row],[ID_Client]],Clients_Log!B:B,Clients_Log!F:F,"Pas de correspondance")</f>
        <v>Pro Monde</v>
      </c>
      <c r="Q188" s="1" t="str">
        <f>IF(Logs[[#This Row],[Type_Forfait]]="Pro Monde","B2B","B2C")</f>
        <v>B2B</v>
      </c>
      <c r="R188" s="1">
        <f>_xlfn.XLOOKUP(Logs[[#This Row],[ID_Client]],Clients_Log!B:B,Clients_Log!G:G,"Pas de correspondance")</f>
        <v>176</v>
      </c>
      <c r="S188" s="3">
        <f>Logs[[#This Row],[Duree_Cumulee_Panne_Min]]/1440</f>
        <v>0.12222222222222222</v>
      </c>
      <c r="T188" s="1">
        <f>_xlfn.XLOOKUP(Logs[[#This Row],[ID_Client]],Clients_Log!B:B,Clients_Log!H:H,"Pas de correspondance")</f>
        <v>86</v>
      </c>
      <c r="U188" s="1">
        <f>_xlfn.XLOOKUP(Logs[[#This Row],[ID_Client]],Clients_Log!B:B,Clients_Log!I:I,"Pas de correspondance")</f>
        <v>3</v>
      </c>
      <c r="V18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188" s="1">
        <f>Logs[[#This Row],[Facture_Mensuelle]]*Logs[[#This Row],[Remise (%)]]</f>
        <v>8.6</v>
      </c>
    </row>
    <row r="189" spans="1:23" hidden="1" x14ac:dyDescent="0.25">
      <c r="A189" s="1" t="s">
        <v>976</v>
      </c>
      <c r="B189" s="2">
        <v>45215</v>
      </c>
      <c r="C189" s="1" t="str">
        <f>_xlfn.XLOOKUP(Logs[[#This Row],[Province_RDC]],Clients_Log!D:D,Clients_Log!B:B,"Pas de correspondance")</f>
        <v>Pas de correspondance</v>
      </c>
      <c r="D189" t="str">
        <f>_xlfn.XLOOKUP(Logs[[#This Row],[Cell_ID]],'Registre_Maintenance'!B:B,'Registre_Maintenance'!C:C,"Pas de correspondance")</f>
        <v>Pas de correspondance</v>
      </c>
      <c r="E189" s="3">
        <v>0.10833333333333334</v>
      </c>
      <c r="F189" s="1" t="s">
        <v>980</v>
      </c>
      <c r="G189" s="3">
        <f>Logs[[#This Row],[Duree_Panne_Min]]/1440</f>
        <v>2.7083333333333334E-2</v>
      </c>
      <c r="H189">
        <v>39</v>
      </c>
      <c r="I189" t="str">
        <f>_xlfn.XLOOKUP(Logs[[#This Row],[Cell_ID]],'Registre_Maintenance'!B:B,'Registre_Maintenance'!D:D,"Pas de correspondance")</f>
        <v>Pas de correspondance</v>
      </c>
      <c r="J189" t="str">
        <f>_xlfn.XLOOKUP(Logs[[#This Row],[Cell_ID]],'Registre_Maintenance'!B:B,'Registre_Maintenance'!E:E,"Pas de correspondance")</f>
        <v>Pas de correspondance</v>
      </c>
      <c r="K189" t="str">
        <f>_xlfn.XLOOKUP(Logs[[#This Row],[Cell_ID]],'Registre_Maintenance'!B:B,'Registre_Maintenance'!F:F,"Pas de correspondance")</f>
        <v>Pas de correspondance</v>
      </c>
      <c r="L189" t="str">
        <f>_xlfn.XLOOKUP(Logs[[#This Row],[Cell_ID]],'Registre_Maintenance'!B:B,'Registre_Maintenance'!G:G,"Pas de correspondance")</f>
        <v>Pas de correspondance</v>
      </c>
      <c r="M189" s="1" t="s">
        <v>811</v>
      </c>
      <c r="N189" s="1" t="str">
        <f>_xlfn.XLOOKUP(Logs[[#This Row],[ID_Client]],Clients_Log!B:B,Clients_Log!E:E,"Pas de correspondance")</f>
        <v>Pas de correspondance</v>
      </c>
      <c r="O189" s="4" t="str">
        <f>IFERROR(Logs[[#This Row],[Anciennete_Mois]]/12,"")</f>
        <v/>
      </c>
      <c r="P189" s="1" t="str">
        <f>_xlfn.XLOOKUP(Logs[[#This Row],[ID_Client]],Clients_Log!B:B,Clients_Log!F:F,"Pas de correspondance")</f>
        <v>Pas de correspondance</v>
      </c>
      <c r="Q189" s="1" t="str">
        <f>IF(Logs[[#This Row],[Type_Forfait]]="Pro Monde","B2B","B2C")</f>
        <v>B2C</v>
      </c>
      <c r="R189" s="1" t="str">
        <f>_xlfn.XLOOKUP(Logs[[#This Row],[ID_Client]],Clients_Log!B:B,Clients_Log!G:G,"Pas de correspondance")</f>
        <v>Pas de correspondance</v>
      </c>
      <c r="S189" s="1" t="e">
        <f>Logs[[#This Row],[Duree_Cumulee_Panne_Min]]/1440</f>
        <v>#VALUE!</v>
      </c>
      <c r="T189" s="1" t="str">
        <f>_xlfn.XLOOKUP(Logs[[#This Row],[ID_Client]],Clients_Log!B:B,Clients_Log!H:H,"Pas de correspondance")</f>
        <v>Pas de correspondance</v>
      </c>
      <c r="U189" s="1" t="str">
        <f>_xlfn.XLOOKUP(Logs[[#This Row],[ID_Client]],Clients_Log!B:B,Clients_Log!I:I,"Pas de correspondance")</f>
        <v>Pas de correspondance</v>
      </c>
      <c r="V18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89" s="1" t="e">
        <f>Logs[[#This Row],[Facture_Mensuelle]]*Logs[[#This Row],[Remise (%)]]</f>
        <v>#VALUE!</v>
      </c>
    </row>
    <row r="190" spans="1:23" hidden="1" x14ac:dyDescent="0.25">
      <c r="A190" s="1" t="s">
        <v>976</v>
      </c>
      <c r="B190" s="2">
        <v>45220</v>
      </c>
      <c r="C190" s="1" t="str">
        <f>_xlfn.XLOOKUP(Logs[[#This Row],[Province_RDC]],Clients_Log!D:D,Clients_Log!B:B,"Pas de correspondance")</f>
        <v>Pas de correspondance</v>
      </c>
      <c r="D190" t="str">
        <f>_xlfn.XLOOKUP(Logs[[#This Row],[Cell_ID]],'Registre_Maintenance'!B:B,'Registre_Maintenance'!C:C,"Pas de correspondance")</f>
        <v>Pas de correspondance</v>
      </c>
      <c r="E190" s="3">
        <v>0.87708333333333333</v>
      </c>
      <c r="F190" s="1" t="s">
        <v>981</v>
      </c>
      <c r="G190" s="3">
        <f>Logs[[#This Row],[Duree_Panne_Min]]/1440</f>
        <v>5.4166666666666669E-2</v>
      </c>
      <c r="H190">
        <v>78</v>
      </c>
      <c r="I190" t="str">
        <f>_xlfn.XLOOKUP(Logs[[#This Row],[Cell_ID]],'Registre_Maintenance'!B:B,'Registre_Maintenance'!D:D,"Pas de correspondance")</f>
        <v>Pas de correspondance</v>
      </c>
      <c r="J190" t="str">
        <f>_xlfn.XLOOKUP(Logs[[#This Row],[Cell_ID]],'Registre_Maintenance'!B:B,'Registre_Maintenance'!E:E,"Pas de correspondance")</f>
        <v>Pas de correspondance</v>
      </c>
      <c r="K190" t="str">
        <f>_xlfn.XLOOKUP(Logs[[#This Row],[Cell_ID]],'Registre_Maintenance'!B:B,'Registre_Maintenance'!F:F,"Pas de correspondance")</f>
        <v>Pas de correspondance</v>
      </c>
      <c r="L190" t="str">
        <f>_xlfn.XLOOKUP(Logs[[#This Row],[Cell_ID]],'Registre_Maintenance'!B:B,'Registre_Maintenance'!G:G,"Pas de correspondance")</f>
        <v>Pas de correspondance</v>
      </c>
      <c r="M190" s="1" t="s">
        <v>806</v>
      </c>
      <c r="N190" s="1" t="str">
        <f>_xlfn.XLOOKUP(Logs[[#This Row],[ID_Client]],Clients_Log!B:B,Clients_Log!E:E,"Pas de correspondance")</f>
        <v>Pas de correspondance</v>
      </c>
      <c r="O190" s="4" t="str">
        <f>IFERROR(Logs[[#This Row],[Anciennete_Mois]]/12,"")</f>
        <v/>
      </c>
      <c r="P190" s="1" t="str">
        <f>_xlfn.XLOOKUP(Logs[[#This Row],[ID_Client]],Clients_Log!B:B,Clients_Log!F:F,"Pas de correspondance")</f>
        <v>Pas de correspondance</v>
      </c>
      <c r="Q190" s="1" t="str">
        <f>IF(Logs[[#This Row],[Type_Forfait]]="Pro Monde","B2B","B2C")</f>
        <v>B2C</v>
      </c>
      <c r="R190" s="1" t="str">
        <f>_xlfn.XLOOKUP(Logs[[#This Row],[ID_Client]],Clients_Log!B:B,Clients_Log!G:G,"Pas de correspondance")</f>
        <v>Pas de correspondance</v>
      </c>
      <c r="S190" s="1" t="e">
        <f>Logs[[#This Row],[Duree_Cumulee_Panne_Min]]/1440</f>
        <v>#VALUE!</v>
      </c>
      <c r="T190" s="1" t="str">
        <f>_xlfn.XLOOKUP(Logs[[#This Row],[ID_Client]],Clients_Log!B:B,Clients_Log!H:H,"Pas de correspondance")</f>
        <v>Pas de correspondance</v>
      </c>
      <c r="U190" s="1" t="str">
        <f>_xlfn.XLOOKUP(Logs[[#This Row],[ID_Client]],Clients_Log!B:B,Clients_Log!I:I,"Pas de correspondance")</f>
        <v>Pas de correspondance</v>
      </c>
      <c r="V19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90" s="1" t="e">
        <f>Logs[[#This Row],[Facture_Mensuelle]]*Logs[[#This Row],[Remise (%)]]</f>
        <v>#VALUE!</v>
      </c>
    </row>
    <row r="191" spans="1:23" hidden="1" x14ac:dyDescent="0.25">
      <c r="A191" s="1" t="s">
        <v>976</v>
      </c>
      <c r="B191" s="2">
        <v>45204</v>
      </c>
      <c r="C191" s="1" t="str">
        <f>_xlfn.XLOOKUP(Logs[[#This Row],[Province_RDC]],Clients_Log!D:D,Clients_Log!B:B,"Pas de correspondance")</f>
        <v>Pas de correspondance</v>
      </c>
      <c r="D191" t="str">
        <f>_xlfn.XLOOKUP(Logs[[#This Row],[Cell_ID]],'Registre_Maintenance'!B:B,'Registre_Maintenance'!C:C,"Pas de correspondance")</f>
        <v>Pas de correspondance</v>
      </c>
      <c r="E191" s="3">
        <v>0.20208333333333334</v>
      </c>
      <c r="F191" s="1" t="s">
        <v>982</v>
      </c>
      <c r="G191" s="3">
        <f>Logs[[#This Row],[Duree_Panne_Min]]/1440</f>
        <v>6.9444444444444441E-3</v>
      </c>
      <c r="H191">
        <v>10</v>
      </c>
      <c r="I191" t="str">
        <f>_xlfn.XLOOKUP(Logs[[#This Row],[Cell_ID]],'Registre_Maintenance'!B:B,'Registre_Maintenance'!D:D,"Pas de correspondance")</f>
        <v>Pas de correspondance</v>
      </c>
      <c r="J191" t="str">
        <f>_xlfn.XLOOKUP(Logs[[#This Row],[Cell_ID]],'Registre_Maintenance'!B:B,'Registre_Maintenance'!E:E,"Pas de correspondance")</f>
        <v>Pas de correspondance</v>
      </c>
      <c r="K191" t="str">
        <f>_xlfn.XLOOKUP(Logs[[#This Row],[Cell_ID]],'Registre_Maintenance'!B:B,'Registre_Maintenance'!F:F,"Pas de correspondance")</f>
        <v>Pas de correspondance</v>
      </c>
      <c r="L191" t="str">
        <f>_xlfn.XLOOKUP(Logs[[#This Row],[Cell_ID]],'Registre_Maintenance'!B:B,'Registre_Maintenance'!G:G,"Pas de correspondance")</f>
        <v>Pas de correspondance</v>
      </c>
      <c r="M191" s="1" t="s">
        <v>806</v>
      </c>
      <c r="N191" s="1" t="str">
        <f>_xlfn.XLOOKUP(Logs[[#This Row],[ID_Client]],Clients_Log!B:B,Clients_Log!E:E,"Pas de correspondance")</f>
        <v>Pas de correspondance</v>
      </c>
      <c r="O191" s="4" t="str">
        <f>IFERROR(Logs[[#This Row],[Anciennete_Mois]]/12,"")</f>
        <v/>
      </c>
      <c r="P191" s="1" t="str">
        <f>_xlfn.XLOOKUP(Logs[[#This Row],[ID_Client]],Clients_Log!B:B,Clients_Log!F:F,"Pas de correspondance")</f>
        <v>Pas de correspondance</v>
      </c>
      <c r="Q191" s="1" t="str">
        <f>IF(Logs[[#This Row],[Type_Forfait]]="Pro Monde","B2B","B2C")</f>
        <v>B2C</v>
      </c>
      <c r="R191" s="1" t="str">
        <f>_xlfn.XLOOKUP(Logs[[#This Row],[ID_Client]],Clients_Log!B:B,Clients_Log!G:G,"Pas de correspondance")</f>
        <v>Pas de correspondance</v>
      </c>
      <c r="S191" s="1" t="e">
        <f>Logs[[#This Row],[Duree_Cumulee_Panne_Min]]/1440</f>
        <v>#VALUE!</v>
      </c>
      <c r="T191" s="1" t="str">
        <f>_xlfn.XLOOKUP(Logs[[#This Row],[ID_Client]],Clients_Log!B:B,Clients_Log!H:H,"Pas de correspondance")</f>
        <v>Pas de correspondance</v>
      </c>
      <c r="U191" s="1" t="str">
        <f>_xlfn.XLOOKUP(Logs[[#This Row],[ID_Client]],Clients_Log!B:B,Clients_Log!I:I,"Pas de correspondance")</f>
        <v>Pas de correspondance</v>
      </c>
      <c r="V19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91" s="1" t="e">
        <f>Logs[[#This Row],[Facture_Mensuelle]]*Logs[[#This Row],[Remise (%)]]</f>
        <v>#VALUE!</v>
      </c>
    </row>
    <row r="192" spans="1:23" x14ac:dyDescent="0.25">
      <c r="A192" s="1" t="s">
        <v>976</v>
      </c>
      <c r="B192" s="2">
        <v>45218</v>
      </c>
      <c r="C192" s="1" t="str">
        <f>_xlfn.XLOOKUP(Logs[[#This Row],[Province_RDC]],Clients_Log!D:D,Clients_Log!B:B,"Pas de correspondance")</f>
        <v>CLI-00060</v>
      </c>
      <c r="D192" t="str">
        <f>_xlfn.XLOOKUP(Logs[[#This Row],[Cell_ID]],'Registre_Maintenance'!B:B,'Registre_Maintenance'!C:C,"Pas de correspondance")</f>
        <v>Kasaï-Central</v>
      </c>
      <c r="E192" s="3">
        <v>0.37847222222222221</v>
      </c>
      <c r="F192" s="1" t="s">
        <v>983</v>
      </c>
      <c r="G192" s="3">
        <f>Logs[[#This Row],[Duree_Panne_Min]]/1440</f>
        <v>7.0833333333333331E-2</v>
      </c>
      <c r="H192">
        <v>102</v>
      </c>
      <c r="I192">
        <f>_xlfn.XLOOKUP(Logs[[#This Row],[Cell_ID]],'Registre_Maintenance'!B:B,'Registre_Maintenance'!D:D,"Pas de correspondance")</f>
        <v>-4.4451280000000004</v>
      </c>
      <c r="J192">
        <f>_xlfn.XLOOKUP(Logs[[#This Row],[Cell_ID]],'Registre_Maintenance'!B:B,'Registre_Maintenance'!E:E,"Pas de correspondance")</f>
        <v>16.536944999999999</v>
      </c>
      <c r="K192" t="str">
        <f>_xlfn.XLOOKUP(Logs[[#This Row],[Cell_ID]],'Registre_Maintenance'!B:B,'Registre_Maintenance'!F:F,"Pas de correspondance")</f>
        <v>4G</v>
      </c>
      <c r="L192" t="str">
        <f>_xlfn.XLOOKUP(Logs[[#This Row],[Cell_ID]],'Registre_Maintenance'!B:B,'Registre_Maintenance'!G:G,"Pas de correspondance")</f>
        <v>Ericsson</v>
      </c>
      <c r="M192" s="1" t="s">
        <v>806</v>
      </c>
      <c r="N192" s="1">
        <f>_xlfn.XLOOKUP(Logs[[#This Row],[ID_Client]],Clients_Log!B:B,Clients_Log!E:E,"Pas de correspondance")</f>
        <v>72</v>
      </c>
      <c r="O192" s="4">
        <f>IFERROR(Logs[[#This Row],[Anciennete_Mois]]/12,"")</f>
        <v>6</v>
      </c>
      <c r="P192" s="1" t="str">
        <f>_xlfn.XLOOKUP(Logs[[#This Row],[ID_Client]],Clients_Log!B:B,Clients_Log!F:F,"Pas de correspondance")</f>
        <v>Pro Monde</v>
      </c>
      <c r="Q192" s="1" t="str">
        <f>IF(Logs[[#This Row],[Type_Forfait]]="Pro Monde","B2B","B2C")</f>
        <v>B2B</v>
      </c>
      <c r="R192" s="1">
        <f>_xlfn.XLOOKUP(Logs[[#This Row],[ID_Client]],Clients_Log!B:B,Clients_Log!G:G,"Pas de correspondance")</f>
        <v>160</v>
      </c>
      <c r="S192" s="3">
        <f>Logs[[#This Row],[Duree_Cumulee_Panne_Min]]/1440</f>
        <v>0.1111111111111111</v>
      </c>
      <c r="T192" s="1">
        <f>_xlfn.XLOOKUP(Logs[[#This Row],[ID_Client]],Clients_Log!B:B,Clients_Log!H:H,"Pas de correspondance")</f>
        <v>90.13</v>
      </c>
      <c r="U192" s="1">
        <f>_xlfn.XLOOKUP(Logs[[#This Row],[ID_Client]],Clients_Log!B:B,Clients_Log!I:I,"Pas de correspondance")</f>
        <v>2</v>
      </c>
      <c r="V19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192" s="1">
        <f>Logs[[#This Row],[Facture_Mensuelle]]*Logs[[#This Row],[Remise (%)]]</f>
        <v>9.0129999999999999</v>
      </c>
    </row>
    <row r="193" spans="1:23" x14ac:dyDescent="0.25">
      <c r="A193" s="1" t="s">
        <v>976</v>
      </c>
      <c r="B193" s="2">
        <v>45207</v>
      </c>
      <c r="C193" s="1" t="str">
        <f>_xlfn.XLOOKUP(Logs[[#This Row],[Province_RDC]],Clients_Log!D:D,Clients_Log!B:B,"Pas de correspondance")</f>
        <v>CLI-01005</v>
      </c>
      <c r="D193" t="str">
        <f>_xlfn.XLOOKUP(Logs[[#This Row],[Cell_ID]],'Registre_Maintenance'!B:B,'Registre_Maintenance'!C:C,"Pas de correspondance")</f>
        <v>Lualaba</v>
      </c>
      <c r="E193" s="3">
        <v>0.14930555555555555</v>
      </c>
      <c r="F193" s="1" t="s">
        <v>984</v>
      </c>
      <c r="G193" s="3">
        <f>Logs[[#This Row],[Duree_Panne_Min]]/1440</f>
        <v>7.013888888888889E-2</v>
      </c>
      <c r="H193">
        <v>101</v>
      </c>
      <c r="I193">
        <f>_xlfn.XLOOKUP(Logs[[#This Row],[Cell_ID]],'Registre_Maintenance'!B:B,'Registre_Maintenance'!D:D,"Pas de correspondance")</f>
        <v>-10.872631999999999</v>
      </c>
      <c r="J193">
        <f>_xlfn.XLOOKUP(Logs[[#This Row],[Cell_ID]],'Registre_Maintenance'!B:B,'Registre_Maintenance'!E:E,"Pas de correspondance")</f>
        <v>12.773279</v>
      </c>
      <c r="K193" t="str">
        <f>_xlfn.XLOOKUP(Logs[[#This Row],[Cell_ID]],'Registre_Maintenance'!B:B,'Registre_Maintenance'!F:F,"Pas de correspondance")</f>
        <v>3G</v>
      </c>
      <c r="L193" t="str">
        <f>_xlfn.XLOOKUP(Logs[[#This Row],[Cell_ID]],'Registre_Maintenance'!B:B,'Registre_Maintenance'!G:G,"Pas de correspondance")</f>
        <v>ZTE</v>
      </c>
      <c r="M193" s="1" t="s">
        <v>811</v>
      </c>
      <c r="N193" s="1">
        <f>_xlfn.XLOOKUP(Logs[[#This Row],[ID_Client]],Clients_Log!B:B,Clients_Log!E:E,"Pas de correspondance")</f>
        <v>80</v>
      </c>
      <c r="O193" s="4">
        <f>IFERROR(Logs[[#This Row],[Anciennete_Mois]]/12,"")</f>
        <v>6.666666666666667</v>
      </c>
      <c r="P193" s="1" t="str">
        <f>_xlfn.XLOOKUP(Logs[[#This Row],[ID_Client]],Clients_Log!B:B,Clients_Log!F:F,"Pas de correspondance")</f>
        <v>Illimité 50Go</v>
      </c>
      <c r="Q193" s="1" t="str">
        <f>IF(Logs[[#This Row],[Type_Forfait]]="Pro Monde","B2B","B2C")</f>
        <v>B2C</v>
      </c>
      <c r="R193" s="1">
        <f>_xlfn.XLOOKUP(Logs[[#This Row],[ID_Client]],Clients_Log!B:B,Clients_Log!G:G,"Pas de correspondance")</f>
        <v>155</v>
      </c>
      <c r="S193" s="3">
        <f>Logs[[#This Row],[Duree_Cumulee_Panne_Min]]/1440</f>
        <v>0.1076388888888889</v>
      </c>
      <c r="T193" s="1">
        <f>_xlfn.XLOOKUP(Logs[[#This Row],[ID_Client]],Clients_Log!B:B,Clients_Log!H:H,"Pas de correspondance")</f>
        <v>28.96</v>
      </c>
      <c r="U193" s="1">
        <f>_xlfn.XLOOKUP(Logs[[#This Row],[ID_Client]],Clients_Log!B:B,Clients_Log!I:I,"Pas de correspondance")</f>
        <v>2</v>
      </c>
      <c r="V19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93" s="1">
        <f>Logs[[#This Row],[Facture_Mensuelle]]*Logs[[#This Row],[Remise (%)]]</f>
        <v>0</v>
      </c>
    </row>
    <row r="194" spans="1:23" x14ac:dyDescent="0.25">
      <c r="A194" s="1" t="s">
        <v>976</v>
      </c>
      <c r="B194" s="2">
        <v>45224</v>
      </c>
      <c r="C194" s="1" t="str">
        <f>_xlfn.XLOOKUP(Logs[[#This Row],[Province_RDC]],Clients_Log!D:D,Clients_Log!B:B,"Pas de correspondance")</f>
        <v>CLI-00361</v>
      </c>
      <c r="D194" t="str">
        <f>_xlfn.XLOOKUP(Logs[[#This Row],[Cell_ID]],'Registre_Maintenance'!B:B,'Registre_Maintenance'!C:C,"Pas de correspondance")</f>
        <v>Mai-Ndombe</v>
      </c>
      <c r="E194" s="3">
        <v>0.56805555555555554</v>
      </c>
      <c r="F194" s="1" t="s">
        <v>985</v>
      </c>
      <c r="G194" s="3">
        <f>Logs[[#This Row],[Duree_Panne_Min]]/1440</f>
        <v>1.8749999999999999E-2</v>
      </c>
      <c r="H194">
        <v>27</v>
      </c>
      <c r="I194">
        <f>_xlfn.XLOOKUP(Logs[[#This Row],[Cell_ID]],'Registre_Maintenance'!B:B,'Registre_Maintenance'!D:D,"Pas de correspondance")</f>
        <v>-10.442425</v>
      </c>
      <c r="J194">
        <f>_xlfn.XLOOKUP(Logs[[#This Row],[Cell_ID]],'Registre_Maintenance'!B:B,'Registre_Maintenance'!E:E,"Pas de correspondance")</f>
        <v>23.243632000000002</v>
      </c>
      <c r="K194" t="str">
        <f>_xlfn.XLOOKUP(Logs[[#This Row],[Cell_ID]],'Registre_Maintenance'!B:B,'Registre_Maintenance'!F:F,"Pas de correspondance")</f>
        <v>4G</v>
      </c>
      <c r="L194" t="str">
        <f>_xlfn.XLOOKUP(Logs[[#This Row],[Cell_ID]],'Registre_Maintenance'!B:B,'Registre_Maintenance'!G:G,"Pas de correspondance")</f>
        <v>Nokia</v>
      </c>
      <c r="M194" s="1" t="s">
        <v>806</v>
      </c>
      <c r="N194" s="1">
        <f>_xlfn.XLOOKUP(Logs[[#This Row],[ID_Client]],Clients_Log!B:B,Clients_Log!E:E,"Pas de correspondance")</f>
        <v>66</v>
      </c>
      <c r="O194" s="4">
        <f>IFERROR(Logs[[#This Row],[Anciennete_Mois]]/12,"")</f>
        <v>5.5</v>
      </c>
      <c r="P194" s="1" t="str">
        <f>_xlfn.XLOOKUP(Logs[[#This Row],[ID_Client]],Clients_Log!B:B,Clients_Log!F:F,"Pas de correspondance")</f>
        <v>Illimité 50Go</v>
      </c>
      <c r="Q194" s="1" t="str">
        <f>IF(Logs[[#This Row],[Type_Forfait]]="Pro Monde","B2B","B2C")</f>
        <v>B2C</v>
      </c>
      <c r="R194" s="1">
        <f>_xlfn.XLOOKUP(Logs[[#This Row],[ID_Client]],Clients_Log!B:B,Clients_Log!G:G,"Pas de correspondance")</f>
        <v>270</v>
      </c>
      <c r="S194" s="3">
        <f>Logs[[#This Row],[Duree_Cumulee_Panne_Min]]/1440</f>
        <v>0.1875</v>
      </c>
      <c r="T194" s="1">
        <f>_xlfn.XLOOKUP(Logs[[#This Row],[ID_Client]],Clients_Log!B:B,Clients_Log!H:H,"Pas de correspondance")</f>
        <v>75.88</v>
      </c>
      <c r="U194" s="1">
        <f>_xlfn.XLOOKUP(Logs[[#This Row],[ID_Client]],Clients_Log!B:B,Clients_Log!I:I,"Pas de correspondance")</f>
        <v>3</v>
      </c>
      <c r="V19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94" s="1">
        <f>Logs[[#This Row],[Facture_Mensuelle]]*Logs[[#This Row],[Remise (%)]]</f>
        <v>34.146000000000001</v>
      </c>
    </row>
    <row r="195" spans="1:23" hidden="1" x14ac:dyDescent="0.25">
      <c r="A195" s="1" t="s">
        <v>976</v>
      </c>
      <c r="B195" s="2">
        <v>45219</v>
      </c>
      <c r="C195" s="1" t="str">
        <f>_xlfn.XLOOKUP(Logs[[#This Row],[Province_RDC]],Clients_Log!D:D,Clients_Log!B:B,"Pas de correspondance")</f>
        <v>Pas de correspondance</v>
      </c>
      <c r="D195" t="str">
        <f>_xlfn.XLOOKUP(Logs[[#This Row],[Cell_ID]],'Registre_Maintenance'!B:B,'Registre_Maintenance'!C:C,"Pas de correspondance")</f>
        <v>Pas de correspondance</v>
      </c>
      <c r="E195" s="3">
        <v>0.80138888888888893</v>
      </c>
      <c r="F195" s="1" t="s">
        <v>986</v>
      </c>
      <c r="G195" s="3">
        <f>Logs[[#This Row],[Duree_Panne_Min]]/1440</f>
        <v>4.5138888888888888E-2</v>
      </c>
      <c r="H195">
        <v>65</v>
      </c>
      <c r="I195" t="str">
        <f>_xlfn.XLOOKUP(Logs[[#This Row],[Cell_ID]],'Registre_Maintenance'!B:B,'Registre_Maintenance'!D:D,"Pas de correspondance")</f>
        <v>Pas de correspondance</v>
      </c>
      <c r="J195" t="str">
        <f>_xlfn.XLOOKUP(Logs[[#This Row],[Cell_ID]],'Registre_Maintenance'!B:B,'Registre_Maintenance'!E:E,"Pas de correspondance")</f>
        <v>Pas de correspondance</v>
      </c>
      <c r="K195" t="str">
        <f>_xlfn.XLOOKUP(Logs[[#This Row],[Cell_ID]],'Registre_Maintenance'!B:B,'Registre_Maintenance'!F:F,"Pas de correspondance")</f>
        <v>Pas de correspondance</v>
      </c>
      <c r="L195" t="str">
        <f>_xlfn.XLOOKUP(Logs[[#This Row],[Cell_ID]],'Registre_Maintenance'!B:B,'Registre_Maintenance'!G:G,"Pas de correspondance")</f>
        <v>Pas de correspondance</v>
      </c>
      <c r="M195" s="1" t="s">
        <v>809</v>
      </c>
      <c r="N195" s="1" t="str">
        <f>_xlfn.XLOOKUP(Logs[[#This Row],[ID_Client]],Clients_Log!B:B,Clients_Log!E:E,"Pas de correspondance")</f>
        <v>Pas de correspondance</v>
      </c>
      <c r="O195" s="4" t="str">
        <f>IFERROR(Logs[[#This Row],[Anciennete_Mois]]/12,"")</f>
        <v/>
      </c>
      <c r="P195" s="1" t="str">
        <f>_xlfn.XLOOKUP(Logs[[#This Row],[ID_Client]],Clients_Log!B:B,Clients_Log!F:F,"Pas de correspondance")</f>
        <v>Pas de correspondance</v>
      </c>
      <c r="Q195" s="1" t="str">
        <f>IF(Logs[[#This Row],[Type_Forfait]]="Pro Monde","B2B","B2C")</f>
        <v>B2C</v>
      </c>
      <c r="R195" s="1" t="str">
        <f>_xlfn.XLOOKUP(Logs[[#This Row],[ID_Client]],Clients_Log!B:B,Clients_Log!G:G,"Pas de correspondance")</f>
        <v>Pas de correspondance</v>
      </c>
      <c r="S195" s="1" t="e">
        <f>Logs[[#This Row],[Duree_Cumulee_Panne_Min]]/1440</f>
        <v>#VALUE!</v>
      </c>
      <c r="T195" s="1" t="str">
        <f>_xlfn.XLOOKUP(Logs[[#This Row],[ID_Client]],Clients_Log!B:B,Clients_Log!H:H,"Pas de correspondance")</f>
        <v>Pas de correspondance</v>
      </c>
      <c r="U195" s="1" t="str">
        <f>_xlfn.XLOOKUP(Logs[[#This Row],[ID_Client]],Clients_Log!B:B,Clients_Log!I:I,"Pas de correspondance")</f>
        <v>Pas de correspondance</v>
      </c>
      <c r="V19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95" s="1" t="e">
        <f>Logs[[#This Row],[Facture_Mensuelle]]*Logs[[#This Row],[Remise (%)]]</f>
        <v>#VALUE!</v>
      </c>
    </row>
    <row r="196" spans="1:23" hidden="1" x14ac:dyDescent="0.25">
      <c r="A196" s="1" t="s">
        <v>976</v>
      </c>
      <c r="B196" s="2">
        <v>45224</v>
      </c>
      <c r="C196" s="1" t="str">
        <f>_xlfn.XLOOKUP(Logs[[#This Row],[Province_RDC]],Clients_Log!D:D,Clients_Log!B:B,"Pas de correspondance")</f>
        <v>Pas de correspondance</v>
      </c>
      <c r="D196" t="str">
        <f>_xlfn.XLOOKUP(Logs[[#This Row],[Cell_ID]],'Registre_Maintenance'!B:B,'Registre_Maintenance'!C:C,"Pas de correspondance")</f>
        <v>Pas de correspondance</v>
      </c>
      <c r="E196" s="3">
        <v>0.68333333333333335</v>
      </c>
      <c r="F196" s="1" t="s">
        <v>987</v>
      </c>
      <c r="G196" s="3">
        <f>Logs[[#This Row],[Duree_Panne_Min]]/1440</f>
        <v>4.9305555555555554E-2</v>
      </c>
      <c r="H196">
        <v>71</v>
      </c>
      <c r="I196" t="str">
        <f>_xlfn.XLOOKUP(Logs[[#This Row],[Cell_ID]],'Registre_Maintenance'!B:B,'Registre_Maintenance'!D:D,"Pas de correspondance")</f>
        <v>Pas de correspondance</v>
      </c>
      <c r="J196" t="str">
        <f>_xlfn.XLOOKUP(Logs[[#This Row],[Cell_ID]],'Registre_Maintenance'!B:B,'Registre_Maintenance'!E:E,"Pas de correspondance")</f>
        <v>Pas de correspondance</v>
      </c>
      <c r="K196" t="str">
        <f>_xlfn.XLOOKUP(Logs[[#This Row],[Cell_ID]],'Registre_Maintenance'!B:B,'Registre_Maintenance'!F:F,"Pas de correspondance")</f>
        <v>Pas de correspondance</v>
      </c>
      <c r="L196" t="str">
        <f>_xlfn.XLOOKUP(Logs[[#This Row],[Cell_ID]],'Registre_Maintenance'!B:B,'Registre_Maintenance'!G:G,"Pas de correspondance")</f>
        <v>Pas de correspondance</v>
      </c>
      <c r="M196" s="1" t="s">
        <v>806</v>
      </c>
      <c r="N196" s="1" t="str">
        <f>_xlfn.XLOOKUP(Logs[[#This Row],[ID_Client]],Clients_Log!B:B,Clients_Log!E:E,"Pas de correspondance")</f>
        <v>Pas de correspondance</v>
      </c>
      <c r="O196" s="4" t="str">
        <f>IFERROR(Logs[[#This Row],[Anciennete_Mois]]/12,"")</f>
        <v/>
      </c>
      <c r="P196" s="1" t="str">
        <f>_xlfn.XLOOKUP(Logs[[#This Row],[ID_Client]],Clients_Log!B:B,Clients_Log!F:F,"Pas de correspondance")</f>
        <v>Pas de correspondance</v>
      </c>
      <c r="Q196" s="1" t="str">
        <f>IF(Logs[[#This Row],[Type_Forfait]]="Pro Monde","B2B","B2C")</f>
        <v>B2C</v>
      </c>
      <c r="R196" s="1" t="str">
        <f>_xlfn.XLOOKUP(Logs[[#This Row],[ID_Client]],Clients_Log!B:B,Clients_Log!G:G,"Pas de correspondance")</f>
        <v>Pas de correspondance</v>
      </c>
      <c r="S196" s="1" t="e">
        <f>Logs[[#This Row],[Duree_Cumulee_Panne_Min]]/1440</f>
        <v>#VALUE!</v>
      </c>
      <c r="T196" s="1" t="str">
        <f>_xlfn.XLOOKUP(Logs[[#This Row],[ID_Client]],Clients_Log!B:B,Clients_Log!H:H,"Pas de correspondance")</f>
        <v>Pas de correspondance</v>
      </c>
      <c r="U196" s="1" t="str">
        <f>_xlfn.XLOOKUP(Logs[[#This Row],[ID_Client]],Clients_Log!B:B,Clients_Log!I:I,"Pas de correspondance")</f>
        <v>Pas de correspondance</v>
      </c>
      <c r="V19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96" s="1" t="e">
        <f>Logs[[#This Row],[Facture_Mensuelle]]*Logs[[#This Row],[Remise (%)]]</f>
        <v>#VALUE!</v>
      </c>
    </row>
    <row r="197" spans="1:23" hidden="1" x14ac:dyDescent="0.25">
      <c r="A197" s="1" t="s">
        <v>976</v>
      </c>
      <c r="B197" s="2">
        <v>45214</v>
      </c>
      <c r="C197" s="1" t="str">
        <f>_xlfn.XLOOKUP(Logs[[#This Row],[Province_RDC]],Clients_Log!D:D,Clients_Log!B:B,"Pas de correspondance")</f>
        <v>Pas de correspondance</v>
      </c>
      <c r="D197" t="str">
        <f>_xlfn.XLOOKUP(Logs[[#This Row],[Cell_ID]],'Registre_Maintenance'!B:B,'Registre_Maintenance'!C:C,"Pas de correspondance")</f>
        <v>Pas de correspondance</v>
      </c>
      <c r="E197" s="3">
        <v>0.59652777777777777</v>
      </c>
      <c r="F197" s="1" t="s">
        <v>988</v>
      </c>
      <c r="G197" s="3">
        <f>Logs[[#This Row],[Duree_Panne_Min]]/1440</f>
        <v>6.1111111111111109E-2</v>
      </c>
      <c r="H197">
        <v>88</v>
      </c>
      <c r="I197" t="str">
        <f>_xlfn.XLOOKUP(Logs[[#This Row],[Cell_ID]],'Registre_Maintenance'!B:B,'Registre_Maintenance'!D:D,"Pas de correspondance")</f>
        <v>Pas de correspondance</v>
      </c>
      <c r="J197" t="str">
        <f>_xlfn.XLOOKUP(Logs[[#This Row],[Cell_ID]],'Registre_Maintenance'!B:B,'Registre_Maintenance'!E:E,"Pas de correspondance")</f>
        <v>Pas de correspondance</v>
      </c>
      <c r="K197" t="str">
        <f>_xlfn.XLOOKUP(Logs[[#This Row],[Cell_ID]],'Registre_Maintenance'!B:B,'Registre_Maintenance'!F:F,"Pas de correspondance")</f>
        <v>Pas de correspondance</v>
      </c>
      <c r="L197" t="str">
        <f>_xlfn.XLOOKUP(Logs[[#This Row],[Cell_ID]],'Registre_Maintenance'!B:B,'Registre_Maintenance'!G:G,"Pas de correspondance")</f>
        <v>Pas de correspondance</v>
      </c>
      <c r="M197" s="1" t="s">
        <v>811</v>
      </c>
      <c r="N197" s="1" t="str">
        <f>_xlfn.XLOOKUP(Logs[[#This Row],[ID_Client]],Clients_Log!B:B,Clients_Log!E:E,"Pas de correspondance")</f>
        <v>Pas de correspondance</v>
      </c>
      <c r="O197" s="4" t="str">
        <f>IFERROR(Logs[[#This Row],[Anciennete_Mois]]/12,"")</f>
        <v/>
      </c>
      <c r="P197" s="1" t="str">
        <f>_xlfn.XLOOKUP(Logs[[#This Row],[ID_Client]],Clients_Log!B:B,Clients_Log!F:F,"Pas de correspondance")</f>
        <v>Pas de correspondance</v>
      </c>
      <c r="Q197" s="1" t="str">
        <f>IF(Logs[[#This Row],[Type_Forfait]]="Pro Monde","B2B","B2C")</f>
        <v>B2C</v>
      </c>
      <c r="R197" s="1" t="str">
        <f>_xlfn.XLOOKUP(Logs[[#This Row],[ID_Client]],Clients_Log!B:B,Clients_Log!G:G,"Pas de correspondance")</f>
        <v>Pas de correspondance</v>
      </c>
      <c r="S197" s="1" t="e">
        <f>Logs[[#This Row],[Duree_Cumulee_Panne_Min]]/1440</f>
        <v>#VALUE!</v>
      </c>
      <c r="T197" s="1" t="str">
        <f>_xlfn.XLOOKUP(Logs[[#This Row],[ID_Client]],Clients_Log!B:B,Clients_Log!H:H,"Pas de correspondance")</f>
        <v>Pas de correspondance</v>
      </c>
      <c r="U197" s="1" t="str">
        <f>_xlfn.XLOOKUP(Logs[[#This Row],[ID_Client]],Clients_Log!B:B,Clients_Log!I:I,"Pas de correspondance")</f>
        <v>Pas de correspondance</v>
      </c>
      <c r="V19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97" s="1" t="e">
        <f>Logs[[#This Row],[Facture_Mensuelle]]*Logs[[#This Row],[Remise (%)]]</f>
        <v>#VALUE!</v>
      </c>
    </row>
    <row r="198" spans="1:23" hidden="1" x14ac:dyDescent="0.25">
      <c r="A198" s="1" t="s">
        <v>976</v>
      </c>
      <c r="B198" s="2">
        <v>45227</v>
      </c>
      <c r="C198" s="1" t="str">
        <f>_xlfn.XLOOKUP(Logs[[#This Row],[Province_RDC]],Clients_Log!D:D,Clients_Log!B:B,"Pas de correspondance")</f>
        <v>Pas de correspondance</v>
      </c>
      <c r="D198" t="str">
        <f>_xlfn.XLOOKUP(Logs[[#This Row],[Cell_ID]],'Registre_Maintenance'!B:B,'Registre_Maintenance'!C:C,"Pas de correspondance")</f>
        <v>Pas de correspondance</v>
      </c>
      <c r="E198" s="3">
        <v>0.76875000000000004</v>
      </c>
      <c r="F198" s="1" t="s">
        <v>989</v>
      </c>
      <c r="G198" s="3">
        <f>Logs[[#This Row],[Duree_Panne_Min]]/1440</f>
        <v>4.2361111111111113E-2</v>
      </c>
      <c r="H198">
        <v>61</v>
      </c>
      <c r="I198" t="str">
        <f>_xlfn.XLOOKUP(Logs[[#This Row],[Cell_ID]],'Registre_Maintenance'!B:B,'Registre_Maintenance'!D:D,"Pas de correspondance")</f>
        <v>Pas de correspondance</v>
      </c>
      <c r="J198" t="str">
        <f>_xlfn.XLOOKUP(Logs[[#This Row],[Cell_ID]],'Registre_Maintenance'!B:B,'Registre_Maintenance'!E:E,"Pas de correspondance")</f>
        <v>Pas de correspondance</v>
      </c>
      <c r="K198" t="str">
        <f>_xlfn.XLOOKUP(Logs[[#This Row],[Cell_ID]],'Registre_Maintenance'!B:B,'Registre_Maintenance'!F:F,"Pas de correspondance")</f>
        <v>Pas de correspondance</v>
      </c>
      <c r="L198" t="str">
        <f>_xlfn.XLOOKUP(Logs[[#This Row],[Cell_ID]],'Registre_Maintenance'!B:B,'Registre_Maintenance'!G:G,"Pas de correspondance")</f>
        <v>Pas de correspondance</v>
      </c>
      <c r="M198" s="1" t="s">
        <v>809</v>
      </c>
      <c r="N198" s="1" t="str">
        <f>_xlfn.XLOOKUP(Logs[[#This Row],[ID_Client]],Clients_Log!B:B,Clients_Log!E:E,"Pas de correspondance")</f>
        <v>Pas de correspondance</v>
      </c>
      <c r="O198" s="4" t="str">
        <f>IFERROR(Logs[[#This Row],[Anciennete_Mois]]/12,"")</f>
        <v/>
      </c>
      <c r="P198" s="1" t="str">
        <f>_xlfn.XLOOKUP(Logs[[#This Row],[ID_Client]],Clients_Log!B:B,Clients_Log!F:F,"Pas de correspondance")</f>
        <v>Pas de correspondance</v>
      </c>
      <c r="Q198" s="1" t="str">
        <f>IF(Logs[[#This Row],[Type_Forfait]]="Pro Monde","B2B","B2C")</f>
        <v>B2C</v>
      </c>
      <c r="R198" s="1" t="str">
        <f>_xlfn.XLOOKUP(Logs[[#This Row],[ID_Client]],Clients_Log!B:B,Clients_Log!G:G,"Pas de correspondance")</f>
        <v>Pas de correspondance</v>
      </c>
      <c r="S198" s="1" t="e">
        <f>Logs[[#This Row],[Duree_Cumulee_Panne_Min]]/1440</f>
        <v>#VALUE!</v>
      </c>
      <c r="T198" s="1" t="str">
        <f>_xlfn.XLOOKUP(Logs[[#This Row],[ID_Client]],Clients_Log!B:B,Clients_Log!H:H,"Pas de correspondance")</f>
        <v>Pas de correspondance</v>
      </c>
      <c r="U198" s="1" t="str">
        <f>_xlfn.XLOOKUP(Logs[[#This Row],[ID_Client]],Clients_Log!B:B,Clients_Log!I:I,"Pas de correspondance")</f>
        <v>Pas de correspondance</v>
      </c>
      <c r="V19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98" s="1" t="e">
        <f>Logs[[#This Row],[Facture_Mensuelle]]*Logs[[#This Row],[Remise (%)]]</f>
        <v>#VALUE!</v>
      </c>
    </row>
    <row r="199" spans="1:23" x14ac:dyDescent="0.25">
      <c r="A199" s="1" t="s">
        <v>976</v>
      </c>
      <c r="B199" s="2">
        <v>45209</v>
      </c>
      <c r="C199" s="1" t="str">
        <f>_xlfn.XLOOKUP(Logs[[#This Row],[Province_RDC]],Clients_Log!D:D,Clients_Log!B:B,"Pas de correspondance")</f>
        <v>CLI-01005</v>
      </c>
      <c r="D199" t="str">
        <f>_xlfn.XLOOKUP(Logs[[#This Row],[Cell_ID]],'Registre_Maintenance'!B:B,'Registre_Maintenance'!C:C,"Pas de correspondance")</f>
        <v>Lualaba</v>
      </c>
      <c r="E199" s="3">
        <v>0.77708333333333335</v>
      </c>
      <c r="F199" s="1" t="s">
        <v>990</v>
      </c>
      <c r="G199" s="3">
        <f>Logs[[#This Row],[Duree_Panne_Min]]/1440</f>
        <v>2.7777777777777776E-2</v>
      </c>
      <c r="H199">
        <v>40</v>
      </c>
      <c r="I199">
        <f>_xlfn.XLOOKUP(Logs[[#This Row],[Cell_ID]],'Registre_Maintenance'!B:B,'Registre_Maintenance'!D:D,"Pas de correspondance")</f>
        <v>-9.5243310000000001</v>
      </c>
      <c r="J199">
        <f>_xlfn.XLOOKUP(Logs[[#This Row],[Cell_ID]],'Registre_Maintenance'!B:B,'Registre_Maintenance'!E:E,"Pas de correspondance")</f>
        <v>30.541212000000002</v>
      </c>
      <c r="K199" t="str">
        <f>_xlfn.XLOOKUP(Logs[[#This Row],[Cell_ID]],'Registre_Maintenance'!B:B,'Registre_Maintenance'!F:F,"Pas de correspondance")</f>
        <v>3G</v>
      </c>
      <c r="L199" t="str">
        <f>_xlfn.XLOOKUP(Logs[[#This Row],[Cell_ID]],'Registre_Maintenance'!B:B,'Registre_Maintenance'!G:G,"Pas de correspondance")</f>
        <v>Ericsson</v>
      </c>
      <c r="M199" s="1" t="s">
        <v>811</v>
      </c>
      <c r="N199" s="1">
        <f>_xlfn.XLOOKUP(Logs[[#This Row],[ID_Client]],Clients_Log!B:B,Clients_Log!E:E,"Pas de correspondance")</f>
        <v>80</v>
      </c>
      <c r="O199" s="4">
        <f>IFERROR(Logs[[#This Row],[Anciennete_Mois]]/12,"")</f>
        <v>6.666666666666667</v>
      </c>
      <c r="P199" s="1" t="str">
        <f>_xlfn.XLOOKUP(Logs[[#This Row],[ID_Client]],Clients_Log!B:B,Clients_Log!F:F,"Pas de correspondance")</f>
        <v>Illimité 50Go</v>
      </c>
      <c r="Q199" s="1" t="str">
        <f>IF(Logs[[#This Row],[Type_Forfait]]="Pro Monde","B2B","B2C")</f>
        <v>B2C</v>
      </c>
      <c r="R199" s="1">
        <f>_xlfn.XLOOKUP(Logs[[#This Row],[ID_Client]],Clients_Log!B:B,Clients_Log!G:G,"Pas de correspondance")</f>
        <v>155</v>
      </c>
      <c r="S199" s="3">
        <f>Logs[[#This Row],[Duree_Cumulee_Panne_Min]]/1440</f>
        <v>0.1076388888888889</v>
      </c>
      <c r="T199" s="1">
        <f>_xlfn.XLOOKUP(Logs[[#This Row],[ID_Client]],Clients_Log!B:B,Clients_Log!H:H,"Pas de correspondance")</f>
        <v>28.96</v>
      </c>
      <c r="U199" s="1">
        <f>_xlfn.XLOOKUP(Logs[[#This Row],[ID_Client]],Clients_Log!B:B,Clients_Log!I:I,"Pas de correspondance")</f>
        <v>2</v>
      </c>
      <c r="V19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99" s="1">
        <f>Logs[[#This Row],[Facture_Mensuelle]]*Logs[[#This Row],[Remise (%)]]</f>
        <v>0</v>
      </c>
    </row>
    <row r="200" spans="1:23" hidden="1" x14ac:dyDescent="0.25">
      <c r="A200" s="1" t="s">
        <v>976</v>
      </c>
      <c r="B200" s="2">
        <v>45201</v>
      </c>
      <c r="C200" s="1" t="str">
        <f>_xlfn.XLOOKUP(Logs[[#This Row],[Province_RDC]],Clients_Log!D:D,Clients_Log!B:B,"Pas de correspondance")</f>
        <v>Pas de correspondance</v>
      </c>
      <c r="D200" t="str">
        <f>_xlfn.XLOOKUP(Logs[[#This Row],[Cell_ID]],'Registre_Maintenance'!B:B,'Registre_Maintenance'!C:C,"Pas de correspondance")</f>
        <v>Pas de correspondance</v>
      </c>
      <c r="E200" s="3">
        <v>0.82430555555555551</v>
      </c>
      <c r="F200" s="1" t="s">
        <v>991</v>
      </c>
      <c r="G200" s="3">
        <f>Logs[[#This Row],[Duree_Panne_Min]]/1440</f>
        <v>1.9444444444444445E-2</v>
      </c>
      <c r="H200">
        <v>28</v>
      </c>
      <c r="I200" t="str">
        <f>_xlfn.XLOOKUP(Logs[[#This Row],[Cell_ID]],'Registre_Maintenance'!B:B,'Registre_Maintenance'!D:D,"Pas de correspondance")</f>
        <v>Pas de correspondance</v>
      </c>
      <c r="J200" t="str">
        <f>_xlfn.XLOOKUP(Logs[[#This Row],[Cell_ID]],'Registre_Maintenance'!B:B,'Registre_Maintenance'!E:E,"Pas de correspondance")</f>
        <v>Pas de correspondance</v>
      </c>
      <c r="K200" t="str">
        <f>_xlfn.XLOOKUP(Logs[[#This Row],[Cell_ID]],'Registre_Maintenance'!B:B,'Registre_Maintenance'!F:F,"Pas de correspondance")</f>
        <v>Pas de correspondance</v>
      </c>
      <c r="L200" t="str">
        <f>_xlfn.XLOOKUP(Logs[[#This Row],[Cell_ID]],'Registre_Maintenance'!B:B,'Registre_Maintenance'!G:G,"Pas de correspondance")</f>
        <v>Pas de correspondance</v>
      </c>
      <c r="M200" s="1" t="s">
        <v>809</v>
      </c>
      <c r="N200" s="1" t="str">
        <f>_xlfn.XLOOKUP(Logs[[#This Row],[ID_Client]],Clients_Log!B:B,Clients_Log!E:E,"Pas de correspondance")</f>
        <v>Pas de correspondance</v>
      </c>
      <c r="O200" s="4" t="str">
        <f>IFERROR(Logs[[#This Row],[Anciennete_Mois]]/12,"")</f>
        <v/>
      </c>
      <c r="P200" s="1" t="str">
        <f>_xlfn.XLOOKUP(Logs[[#This Row],[ID_Client]],Clients_Log!B:B,Clients_Log!F:F,"Pas de correspondance")</f>
        <v>Pas de correspondance</v>
      </c>
      <c r="Q200" s="1" t="str">
        <f>IF(Logs[[#This Row],[Type_Forfait]]="Pro Monde","B2B","B2C")</f>
        <v>B2C</v>
      </c>
      <c r="R200" s="1" t="str">
        <f>_xlfn.XLOOKUP(Logs[[#This Row],[ID_Client]],Clients_Log!B:B,Clients_Log!G:G,"Pas de correspondance")</f>
        <v>Pas de correspondance</v>
      </c>
      <c r="S200" s="1" t="e">
        <f>Logs[[#This Row],[Duree_Cumulee_Panne_Min]]/1440</f>
        <v>#VALUE!</v>
      </c>
      <c r="T200" s="1" t="str">
        <f>_xlfn.XLOOKUP(Logs[[#This Row],[ID_Client]],Clients_Log!B:B,Clients_Log!H:H,"Pas de correspondance")</f>
        <v>Pas de correspondance</v>
      </c>
      <c r="U200" s="1" t="str">
        <f>_xlfn.XLOOKUP(Logs[[#This Row],[ID_Client]],Clients_Log!B:B,Clients_Log!I:I,"Pas de correspondance")</f>
        <v>Pas de correspondance</v>
      </c>
      <c r="V20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00" s="1" t="e">
        <f>Logs[[#This Row],[Facture_Mensuelle]]*Logs[[#This Row],[Remise (%)]]</f>
        <v>#VALUE!</v>
      </c>
    </row>
    <row r="201" spans="1:23" hidden="1" x14ac:dyDescent="0.25">
      <c r="A201" s="1" t="s">
        <v>976</v>
      </c>
      <c r="B201" s="2">
        <v>45203</v>
      </c>
      <c r="C201" s="1" t="str">
        <f>_xlfn.XLOOKUP(Logs[[#This Row],[Province_RDC]],Clients_Log!D:D,Clients_Log!B:B,"Pas de correspondance")</f>
        <v>Pas de correspondance</v>
      </c>
      <c r="D201" t="str">
        <f>_xlfn.XLOOKUP(Logs[[#This Row],[Cell_ID]],'Registre_Maintenance'!B:B,'Registre_Maintenance'!C:C,"Pas de correspondance")</f>
        <v>Pas de correspondance</v>
      </c>
      <c r="E201" s="3">
        <v>0.27777777777777779</v>
      </c>
      <c r="F201" s="1" t="s">
        <v>992</v>
      </c>
      <c r="G201" s="3">
        <f>Logs[[#This Row],[Duree_Panne_Min]]/1440</f>
        <v>5.486111111111111E-2</v>
      </c>
      <c r="H201">
        <v>79</v>
      </c>
      <c r="I201" t="str">
        <f>_xlfn.XLOOKUP(Logs[[#This Row],[Cell_ID]],'Registre_Maintenance'!B:B,'Registre_Maintenance'!D:D,"Pas de correspondance")</f>
        <v>Pas de correspondance</v>
      </c>
      <c r="J201" t="str">
        <f>_xlfn.XLOOKUP(Logs[[#This Row],[Cell_ID]],'Registre_Maintenance'!B:B,'Registre_Maintenance'!E:E,"Pas de correspondance")</f>
        <v>Pas de correspondance</v>
      </c>
      <c r="K201" t="str">
        <f>_xlfn.XLOOKUP(Logs[[#This Row],[Cell_ID]],'Registre_Maintenance'!B:B,'Registre_Maintenance'!F:F,"Pas de correspondance")</f>
        <v>Pas de correspondance</v>
      </c>
      <c r="L201" t="str">
        <f>_xlfn.XLOOKUP(Logs[[#This Row],[Cell_ID]],'Registre_Maintenance'!B:B,'Registre_Maintenance'!G:G,"Pas de correspondance")</f>
        <v>Pas de correspondance</v>
      </c>
      <c r="M201" s="1" t="s">
        <v>809</v>
      </c>
      <c r="N201" s="1" t="str">
        <f>_xlfn.XLOOKUP(Logs[[#This Row],[ID_Client]],Clients_Log!B:B,Clients_Log!E:E,"Pas de correspondance")</f>
        <v>Pas de correspondance</v>
      </c>
      <c r="O201" s="4" t="str">
        <f>IFERROR(Logs[[#This Row],[Anciennete_Mois]]/12,"")</f>
        <v/>
      </c>
      <c r="P201" s="1" t="str">
        <f>_xlfn.XLOOKUP(Logs[[#This Row],[ID_Client]],Clients_Log!B:B,Clients_Log!F:F,"Pas de correspondance")</f>
        <v>Pas de correspondance</v>
      </c>
      <c r="Q201" s="1" t="str">
        <f>IF(Logs[[#This Row],[Type_Forfait]]="Pro Monde","B2B","B2C")</f>
        <v>B2C</v>
      </c>
      <c r="R201" s="1" t="str">
        <f>_xlfn.XLOOKUP(Logs[[#This Row],[ID_Client]],Clients_Log!B:B,Clients_Log!G:G,"Pas de correspondance")</f>
        <v>Pas de correspondance</v>
      </c>
      <c r="S201" s="1" t="e">
        <f>Logs[[#This Row],[Duree_Cumulee_Panne_Min]]/1440</f>
        <v>#VALUE!</v>
      </c>
      <c r="T201" s="1" t="str">
        <f>_xlfn.XLOOKUP(Logs[[#This Row],[ID_Client]],Clients_Log!B:B,Clients_Log!H:H,"Pas de correspondance")</f>
        <v>Pas de correspondance</v>
      </c>
      <c r="U201" s="1" t="str">
        <f>_xlfn.XLOOKUP(Logs[[#This Row],[ID_Client]],Clients_Log!B:B,Clients_Log!I:I,"Pas de correspondance")</f>
        <v>Pas de correspondance</v>
      </c>
      <c r="V20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01" s="1" t="e">
        <f>Logs[[#This Row],[Facture_Mensuelle]]*Logs[[#This Row],[Remise (%)]]</f>
        <v>#VALUE!</v>
      </c>
    </row>
    <row r="202" spans="1:23" x14ac:dyDescent="0.25">
      <c r="A202" s="1" t="s">
        <v>976</v>
      </c>
      <c r="B202" s="2">
        <v>45206</v>
      </c>
      <c r="C202" s="1" t="str">
        <f>_xlfn.XLOOKUP(Logs[[#This Row],[Province_RDC]],Clients_Log!D:D,Clients_Log!B:B,"Pas de correspondance")</f>
        <v>CLI-00185</v>
      </c>
      <c r="D202" t="str">
        <f>_xlfn.XLOOKUP(Logs[[#This Row],[Cell_ID]],'Registre_Maintenance'!B:B,'Registre_Maintenance'!C:C,"Pas de correspondance")</f>
        <v>Maniema</v>
      </c>
      <c r="E202" s="3">
        <v>0.36249999999999999</v>
      </c>
      <c r="F202" s="1" t="s">
        <v>993</v>
      </c>
      <c r="G202" s="3">
        <f>Logs[[#This Row],[Duree_Panne_Min]]/1440</f>
        <v>4.1666666666666664E-2</v>
      </c>
      <c r="H202">
        <v>60</v>
      </c>
      <c r="I202">
        <f>_xlfn.XLOOKUP(Logs[[#This Row],[Cell_ID]],'Registre_Maintenance'!B:B,'Registre_Maintenance'!D:D,"Pas de correspondance")</f>
        <v>-4.2645619999999997</v>
      </c>
      <c r="J202">
        <f>_xlfn.XLOOKUP(Logs[[#This Row],[Cell_ID]],'Registre_Maintenance'!B:B,'Registre_Maintenance'!E:E,"Pas de correspondance")</f>
        <v>18.960726000000001</v>
      </c>
      <c r="K202" t="str">
        <f>_xlfn.XLOOKUP(Logs[[#This Row],[Cell_ID]],'Registre_Maintenance'!B:B,'Registre_Maintenance'!F:F,"Pas de correspondance")</f>
        <v>4G</v>
      </c>
      <c r="L202" t="str">
        <f>_xlfn.XLOOKUP(Logs[[#This Row],[Cell_ID]],'Registre_Maintenance'!B:B,'Registre_Maintenance'!G:G,"Pas de correspondance")</f>
        <v>Huawei</v>
      </c>
      <c r="M202" s="1" t="s">
        <v>811</v>
      </c>
      <c r="N202" s="1">
        <f>_xlfn.XLOOKUP(Logs[[#This Row],[ID_Client]],Clients_Log!B:B,Clients_Log!E:E,"Pas de correspondance")</f>
        <v>81</v>
      </c>
      <c r="O202" s="4">
        <f>IFERROR(Logs[[#This Row],[Anciennete_Mois]]/12,"")</f>
        <v>6.75</v>
      </c>
      <c r="P202" s="1" t="str">
        <f>_xlfn.XLOOKUP(Logs[[#This Row],[ID_Client]],Clients_Log!B:B,Clients_Log!F:F,"Pas de correspondance")</f>
        <v>Pro Monde</v>
      </c>
      <c r="Q202" s="1" t="str">
        <f>IF(Logs[[#This Row],[Type_Forfait]]="Pro Monde","B2B","B2C")</f>
        <v>B2B</v>
      </c>
      <c r="R202" s="1">
        <f>_xlfn.XLOOKUP(Logs[[#This Row],[ID_Client]],Clients_Log!B:B,Clients_Log!G:G,"Pas de correspondance")</f>
        <v>154</v>
      </c>
      <c r="S202" s="3">
        <f>Logs[[#This Row],[Duree_Cumulee_Panne_Min]]/1440</f>
        <v>0.10694444444444444</v>
      </c>
      <c r="T202" s="1">
        <f>_xlfn.XLOOKUP(Logs[[#This Row],[ID_Client]],Clients_Log!B:B,Clients_Log!H:H,"Pas de correspondance")</f>
        <v>19.47</v>
      </c>
      <c r="U202" s="1">
        <f>_xlfn.XLOOKUP(Logs[[#This Row],[ID_Client]],Clients_Log!B:B,Clients_Log!I:I,"Pas de correspondance")</f>
        <v>3</v>
      </c>
      <c r="V20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202" s="1">
        <f>Logs[[#This Row],[Facture_Mensuelle]]*Logs[[#This Row],[Remise (%)]]</f>
        <v>1.9470000000000001</v>
      </c>
    </row>
    <row r="203" spans="1:23" x14ac:dyDescent="0.25">
      <c r="A203" s="1" t="s">
        <v>976</v>
      </c>
      <c r="B203" s="2">
        <v>45202</v>
      </c>
      <c r="C203" s="1" t="str">
        <f>_xlfn.XLOOKUP(Logs[[#This Row],[Province_RDC]],Clients_Log!D:D,Clients_Log!B:B,"Pas de correspondance")</f>
        <v>CLI-01325</v>
      </c>
      <c r="D203" t="str">
        <f>_xlfn.XLOOKUP(Logs[[#This Row],[Cell_ID]],'Registre_Maintenance'!B:B,'Registre_Maintenance'!C:C,"Pas de correspondance")</f>
        <v>Haut-Lomami</v>
      </c>
      <c r="E203" s="3">
        <v>0.21875</v>
      </c>
      <c r="F203" s="1" t="s">
        <v>994</v>
      </c>
      <c r="G203" s="3">
        <f>Logs[[#This Row],[Duree_Panne_Min]]/1440</f>
        <v>5.9722222222222225E-2</v>
      </c>
      <c r="H203">
        <v>86</v>
      </c>
      <c r="I203">
        <f>_xlfn.XLOOKUP(Logs[[#This Row],[Cell_ID]],'Registre_Maintenance'!B:B,'Registre_Maintenance'!D:D,"Pas de correspondance")</f>
        <v>-12.112682</v>
      </c>
      <c r="J203">
        <f>_xlfn.XLOOKUP(Logs[[#This Row],[Cell_ID]],'Registre_Maintenance'!B:B,'Registre_Maintenance'!E:E,"Pas de correspondance")</f>
        <v>19.972052000000001</v>
      </c>
      <c r="K203" t="str">
        <f>_xlfn.XLOOKUP(Logs[[#This Row],[Cell_ID]],'Registre_Maintenance'!B:B,'Registre_Maintenance'!F:F,"Pas de correspondance")</f>
        <v>4G</v>
      </c>
      <c r="L203" t="str">
        <f>_xlfn.XLOOKUP(Logs[[#This Row],[Cell_ID]],'Registre_Maintenance'!B:B,'Registre_Maintenance'!G:G,"Pas de correspondance")</f>
        <v>Huawei</v>
      </c>
      <c r="M203" s="1" t="s">
        <v>811</v>
      </c>
      <c r="N203" s="1">
        <f>_xlfn.XLOOKUP(Logs[[#This Row],[ID_Client]],Clients_Log!B:B,Clients_Log!E:E,"Pas de correspondance")</f>
        <v>44</v>
      </c>
      <c r="O203" s="4">
        <f>IFERROR(Logs[[#This Row],[Anciennete_Mois]]/12,"")</f>
        <v>3.6666666666666665</v>
      </c>
      <c r="P203" s="1" t="str">
        <f>_xlfn.XLOOKUP(Logs[[#This Row],[ID_Client]],Clients_Log!B:B,Clients_Log!F:F,"Pas de correspondance")</f>
        <v>Bloqué 5Go</v>
      </c>
      <c r="Q203" s="1" t="str">
        <f>IF(Logs[[#This Row],[Type_Forfait]]="Pro Monde","B2B","B2C")</f>
        <v>B2C</v>
      </c>
      <c r="R203" s="1">
        <f>_xlfn.XLOOKUP(Logs[[#This Row],[ID_Client]],Clients_Log!B:B,Clients_Log!G:G,"Pas de correspondance")</f>
        <v>348</v>
      </c>
      <c r="S203" s="3">
        <f>Logs[[#This Row],[Duree_Cumulee_Panne_Min]]/1440</f>
        <v>0.24166666666666667</v>
      </c>
      <c r="T203" s="1">
        <f>_xlfn.XLOOKUP(Logs[[#This Row],[ID_Client]],Clients_Log!B:B,Clients_Log!H:H,"Pas de correspondance")</f>
        <v>58.67</v>
      </c>
      <c r="U203" s="1">
        <f>_xlfn.XLOOKUP(Logs[[#This Row],[ID_Client]],Clients_Log!B:B,Clients_Log!I:I,"Pas de correspondance")</f>
        <v>0</v>
      </c>
      <c r="V20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03" s="1">
        <f>Logs[[#This Row],[Facture_Mensuelle]]*Logs[[#This Row],[Remise (%)]]</f>
        <v>26.401500000000002</v>
      </c>
    </row>
    <row r="204" spans="1:23" hidden="1" x14ac:dyDescent="0.25">
      <c r="A204" s="1" t="s">
        <v>976</v>
      </c>
      <c r="B204" s="2">
        <v>45205</v>
      </c>
      <c r="C204" s="1" t="str">
        <f>_xlfn.XLOOKUP(Logs[[#This Row],[Province_RDC]],Clients_Log!D:D,Clients_Log!B:B,"Pas de correspondance")</f>
        <v>Pas de correspondance</v>
      </c>
      <c r="D204" t="str">
        <f>_xlfn.XLOOKUP(Logs[[#This Row],[Cell_ID]],'Registre_Maintenance'!B:B,'Registre_Maintenance'!C:C,"Pas de correspondance")</f>
        <v>Pas de correspondance</v>
      </c>
      <c r="E204" s="3">
        <v>0.71111111111111114</v>
      </c>
      <c r="F204" s="1" t="s">
        <v>995</v>
      </c>
      <c r="G204" s="3">
        <f>Logs[[#This Row],[Duree_Panne_Min]]/1440</f>
        <v>7.5694444444444439E-2</v>
      </c>
      <c r="H204">
        <v>109</v>
      </c>
      <c r="I204" t="str">
        <f>_xlfn.XLOOKUP(Logs[[#This Row],[Cell_ID]],'Registre_Maintenance'!B:B,'Registre_Maintenance'!D:D,"Pas de correspondance")</f>
        <v>Pas de correspondance</v>
      </c>
      <c r="J204" t="str">
        <f>_xlfn.XLOOKUP(Logs[[#This Row],[Cell_ID]],'Registre_Maintenance'!B:B,'Registre_Maintenance'!E:E,"Pas de correspondance")</f>
        <v>Pas de correspondance</v>
      </c>
      <c r="K204" t="str">
        <f>_xlfn.XLOOKUP(Logs[[#This Row],[Cell_ID]],'Registre_Maintenance'!B:B,'Registre_Maintenance'!F:F,"Pas de correspondance")</f>
        <v>Pas de correspondance</v>
      </c>
      <c r="L204" t="str">
        <f>_xlfn.XLOOKUP(Logs[[#This Row],[Cell_ID]],'Registre_Maintenance'!B:B,'Registre_Maintenance'!G:G,"Pas de correspondance")</f>
        <v>Pas de correspondance</v>
      </c>
      <c r="M204" s="1" t="s">
        <v>811</v>
      </c>
      <c r="N204" s="1" t="str">
        <f>_xlfn.XLOOKUP(Logs[[#This Row],[ID_Client]],Clients_Log!B:B,Clients_Log!E:E,"Pas de correspondance")</f>
        <v>Pas de correspondance</v>
      </c>
      <c r="O204" s="4" t="str">
        <f>IFERROR(Logs[[#This Row],[Anciennete_Mois]]/12,"")</f>
        <v/>
      </c>
      <c r="P204" s="1" t="str">
        <f>_xlfn.XLOOKUP(Logs[[#This Row],[ID_Client]],Clients_Log!B:B,Clients_Log!F:F,"Pas de correspondance")</f>
        <v>Pas de correspondance</v>
      </c>
      <c r="Q204" s="1" t="str">
        <f>IF(Logs[[#This Row],[Type_Forfait]]="Pro Monde","B2B","B2C")</f>
        <v>B2C</v>
      </c>
      <c r="R204" s="1" t="str">
        <f>_xlfn.XLOOKUP(Logs[[#This Row],[ID_Client]],Clients_Log!B:B,Clients_Log!G:G,"Pas de correspondance")</f>
        <v>Pas de correspondance</v>
      </c>
      <c r="S204" s="1" t="e">
        <f>Logs[[#This Row],[Duree_Cumulee_Panne_Min]]/1440</f>
        <v>#VALUE!</v>
      </c>
      <c r="T204" s="1" t="str">
        <f>_xlfn.XLOOKUP(Logs[[#This Row],[ID_Client]],Clients_Log!B:B,Clients_Log!H:H,"Pas de correspondance")</f>
        <v>Pas de correspondance</v>
      </c>
      <c r="U204" s="1" t="str">
        <f>_xlfn.XLOOKUP(Logs[[#This Row],[ID_Client]],Clients_Log!B:B,Clients_Log!I:I,"Pas de correspondance")</f>
        <v>Pas de correspondance</v>
      </c>
      <c r="V20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04" s="1" t="e">
        <f>Logs[[#This Row],[Facture_Mensuelle]]*Logs[[#This Row],[Remise (%)]]</f>
        <v>#VALUE!</v>
      </c>
    </row>
    <row r="205" spans="1:23" x14ac:dyDescent="0.25">
      <c r="A205" s="1" t="s">
        <v>976</v>
      </c>
      <c r="B205" s="2">
        <v>45205</v>
      </c>
      <c r="C205" s="1" t="str">
        <f>_xlfn.XLOOKUP(Logs[[#This Row],[Province_RDC]],Clients_Log!D:D,Clients_Log!B:B,"Pas de correspondance")</f>
        <v>CLI-00414</v>
      </c>
      <c r="D205" t="str">
        <f>_xlfn.XLOOKUP(Logs[[#This Row],[Cell_ID]],'Registre_Maintenance'!B:B,'Registre_Maintenance'!C:C,"Pas de correspondance")</f>
        <v>Bas-Uele</v>
      </c>
      <c r="E205" s="3">
        <v>1.8055555555555554E-2</v>
      </c>
      <c r="F205" s="1" t="s">
        <v>996</v>
      </c>
      <c r="G205" s="3">
        <f>Logs[[#This Row],[Duree_Panne_Min]]/1440</f>
        <v>4.6527777777777779E-2</v>
      </c>
      <c r="H205">
        <v>67</v>
      </c>
      <c r="I205">
        <f>_xlfn.XLOOKUP(Logs[[#This Row],[Cell_ID]],'Registre_Maintenance'!B:B,'Registre_Maintenance'!D:D,"Pas de correspondance")</f>
        <v>1.5278670000000001</v>
      </c>
      <c r="J205">
        <f>_xlfn.XLOOKUP(Logs[[#This Row],[Cell_ID]],'Registre_Maintenance'!B:B,'Registre_Maintenance'!E:E,"Pas de correspondance")</f>
        <v>13.899388999999999</v>
      </c>
      <c r="K205" t="str">
        <f>_xlfn.XLOOKUP(Logs[[#This Row],[Cell_ID]],'Registre_Maintenance'!B:B,'Registre_Maintenance'!F:F,"Pas de correspondance")</f>
        <v>3G</v>
      </c>
      <c r="L205" t="str">
        <f>_xlfn.XLOOKUP(Logs[[#This Row],[Cell_ID]],'Registre_Maintenance'!B:B,'Registre_Maintenance'!G:G,"Pas de correspondance")</f>
        <v>Huawei</v>
      </c>
      <c r="M205" s="1" t="s">
        <v>811</v>
      </c>
      <c r="N205" s="1">
        <f>_xlfn.XLOOKUP(Logs[[#This Row],[ID_Client]],Clients_Log!B:B,Clients_Log!E:E,"Pas de correspondance")</f>
        <v>99</v>
      </c>
      <c r="O205" s="4">
        <f>IFERROR(Logs[[#This Row],[Anciennete_Mois]]/12,"")</f>
        <v>8.25</v>
      </c>
      <c r="P205" s="1" t="str">
        <f>_xlfn.XLOOKUP(Logs[[#This Row],[ID_Client]],Clients_Log!B:B,Clients_Log!F:F,"Pas de correspondance")</f>
        <v>Premium 5G 150Go</v>
      </c>
      <c r="Q205" s="1" t="str">
        <f>IF(Logs[[#This Row],[Type_Forfait]]="Pro Monde","B2B","B2C")</f>
        <v>B2C</v>
      </c>
      <c r="R205" s="1">
        <f>_xlfn.XLOOKUP(Logs[[#This Row],[ID_Client]],Clients_Log!B:B,Clients_Log!G:G,"Pas de correspondance")</f>
        <v>447</v>
      </c>
      <c r="S205" s="3">
        <f>Logs[[#This Row],[Duree_Cumulee_Panne_Min]]/1440</f>
        <v>0.31041666666666667</v>
      </c>
      <c r="T205" s="1">
        <f>_xlfn.XLOOKUP(Logs[[#This Row],[ID_Client]],Clients_Log!B:B,Clients_Log!H:H,"Pas de correspondance")</f>
        <v>38.1</v>
      </c>
      <c r="U205" s="1">
        <f>_xlfn.XLOOKUP(Logs[[#This Row],[ID_Client]],Clients_Log!B:B,Clients_Log!I:I,"Pas de correspondance")</f>
        <v>3</v>
      </c>
      <c r="V20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05" s="1">
        <f>Logs[[#This Row],[Facture_Mensuelle]]*Logs[[#This Row],[Remise (%)]]</f>
        <v>17.145</v>
      </c>
    </row>
    <row r="206" spans="1:23" hidden="1" x14ac:dyDescent="0.25">
      <c r="A206" s="1" t="s">
        <v>976</v>
      </c>
      <c r="B206" s="2">
        <v>45214</v>
      </c>
      <c r="C206" s="1" t="str">
        <f>_xlfn.XLOOKUP(Logs[[#This Row],[Province_RDC]],Clients_Log!D:D,Clients_Log!B:B,"Pas de correspondance")</f>
        <v>Pas de correspondance</v>
      </c>
      <c r="D206" t="str">
        <f>_xlfn.XLOOKUP(Logs[[#This Row],[Cell_ID]],'Registre_Maintenance'!B:B,'Registre_Maintenance'!C:C,"Pas de correspondance")</f>
        <v>Pas de correspondance</v>
      </c>
      <c r="E206" s="3">
        <v>0.94305555555555554</v>
      </c>
      <c r="F206" s="1" t="s">
        <v>997</v>
      </c>
      <c r="G206" s="3">
        <f>Logs[[#This Row],[Duree_Panne_Min]]/1440</f>
        <v>1.1111111111111112E-2</v>
      </c>
      <c r="H206">
        <v>16</v>
      </c>
      <c r="I206" t="str">
        <f>_xlfn.XLOOKUP(Logs[[#This Row],[Cell_ID]],'Registre_Maintenance'!B:B,'Registre_Maintenance'!D:D,"Pas de correspondance")</f>
        <v>Pas de correspondance</v>
      </c>
      <c r="J206" t="str">
        <f>_xlfn.XLOOKUP(Logs[[#This Row],[Cell_ID]],'Registre_Maintenance'!B:B,'Registre_Maintenance'!E:E,"Pas de correspondance")</f>
        <v>Pas de correspondance</v>
      </c>
      <c r="K206" t="str">
        <f>_xlfn.XLOOKUP(Logs[[#This Row],[Cell_ID]],'Registre_Maintenance'!B:B,'Registre_Maintenance'!F:F,"Pas de correspondance")</f>
        <v>Pas de correspondance</v>
      </c>
      <c r="L206" t="str">
        <f>_xlfn.XLOOKUP(Logs[[#This Row],[Cell_ID]],'Registre_Maintenance'!B:B,'Registre_Maintenance'!G:G,"Pas de correspondance")</f>
        <v>Pas de correspondance</v>
      </c>
      <c r="M206" s="1" t="s">
        <v>806</v>
      </c>
      <c r="N206" s="1" t="str">
        <f>_xlfn.XLOOKUP(Logs[[#This Row],[ID_Client]],Clients_Log!B:B,Clients_Log!E:E,"Pas de correspondance")</f>
        <v>Pas de correspondance</v>
      </c>
      <c r="O206" s="4" t="str">
        <f>IFERROR(Logs[[#This Row],[Anciennete_Mois]]/12,"")</f>
        <v/>
      </c>
      <c r="P206" s="1" t="str">
        <f>_xlfn.XLOOKUP(Logs[[#This Row],[ID_Client]],Clients_Log!B:B,Clients_Log!F:F,"Pas de correspondance")</f>
        <v>Pas de correspondance</v>
      </c>
      <c r="Q206" s="1" t="str">
        <f>IF(Logs[[#This Row],[Type_Forfait]]="Pro Monde","B2B","B2C")</f>
        <v>B2C</v>
      </c>
      <c r="R206" s="1" t="str">
        <f>_xlfn.XLOOKUP(Logs[[#This Row],[ID_Client]],Clients_Log!B:B,Clients_Log!G:G,"Pas de correspondance")</f>
        <v>Pas de correspondance</v>
      </c>
      <c r="S206" s="1" t="e">
        <f>Logs[[#This Row],[Duree_Cumulee_Panne_Min]]/1440</f>
        <v>#VALUE!</v>
      </c>
      <c r="T206" s="1" t="str">
        <f>_xlfn.XLOOKUP(Logs[[#This Row],[ID_Client]],Clients_Log!B:B,Clients_Log!H:H,"Pas de correspondance")</f>
        <v>Pas de correspondance</v>
      </c>
      <c r="U206" s="1" t="str">
        <f>_xlfn.XLOOKUP(Logs[[#This Row],[ID_Client]],Clients_Log!B:B,Clients_Log!I:I,"Pas de correspondance")</f>
        <v>Pas de correspondance</v>
      </c>
      <c r="V20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06" s="1" t="e">
        <f>Logs[[#This Row],[Facture_Mensuelle]]*Logs[[#This Row],[Remise (%)]]</f>
        <v>#VALUE!</v>
      </c>
    </row>
    <row r="207" spans="1:23" hidden="1" x14ac:dyDescent="0.25">
      <c r="A207" s="1" t="s">
        <v>976</v>
      </c>
      <c r="B207" s="2">
        <v>45215</v>
      </c>
      <c r="C207" s="1" t="str">
        <f>_xlfn.XLOOKUP(Logs[[#This Row],[Province_RDC]],Clients_Log!D:D,Clients_Log!B:B,"Pas de correspondance")</f>
        <v>Pas de correspondance</v>
      </c>
      <c r="D207" t="str">
        <f>_xlfn.XLOOKUP(Logs[[#This Row],[Cell_ID]],'Registre_Maintenance'!B:B,'Registre_Maintenance'!C:C,"Pas de correspondance")</f>
        <v>Pas de correspondance</v>
      </c>
      <c r="E207" s="3">
        <v>0.37638888888888888</v>
      </c>
      <c r="F207" s="1" t="s">
        <v>823</v>
      </c>
      <c r="G207" s="3">
        <f>Logs[[#This Row],[Duree_Panne_Min]]/1440</f>
        <v>4.5138888888888888E-2</v>
      </c>
      <c r="H207">
        <v>65</v>
      </c>
      <c r="I207" t="str">
        <f>_xlfn.XLOOKUP(Logs[[#This Row],[Cell_ID]],'Registre_Maintenance'!B:B,'Registre_Maintenance'!D:D,"Pas de correspondance")</f>
        <v>Pas de correspondance</v>
      </c>
      <c r="J207" t="str">
        <f>_xlfn.XLOOKUP(Logs[[#This Row],[Cell_ID]],'Registre_Maintenance'!B:B,'Registre_Maintenance'!E:E,"Pas de correspondance")</f>
        <v>Pas de correspondance</v>
      </c>
      <c r="K207" t="str">
        <f>_xlfn.XLOOKUP(Logs[[#This Row],[Cell_ID]],'Registre_Maintenance'!B:B,'Registre_Maintenance'!F:F,"Pas de correspondance")</f>
        <v>Pas de correspondance</v>
      </c>
      <c r="L207" t="str">
        <f>_xlfn.XLOOKUP(Logs[[#This Row],[Cell_ID]],'Registre_Maintenance'!B:B,'Registre_Maintenance'!G:G,"Pas de correspondance")</f>
        <v>Pas de correspondance</v>
      </c>
      <c r="M207" s="1" t="s">
        <v>811</v>
      </c>
      <c r="N207" s="1" t="str">
        <f>_xlfn.XLOOKUP(Logs[[#This Row],[ID_Client]],Clients_Log!B:B,Clients_Log!E:E,"Pas de correspondance")</f>
        <v>Pas de correspondance</v>
      </c>
      <c r="O207" s="4" t="str">
        <f>IFERROR(Logs[[#This Row],[Anciennete_Mois]]/12,"")</f>
        <v/>
      </c>
      <c r="P207" s="1" t="str">
        <f>_xlfn.XLOOKUP(Logs[[#This Row],[ID_Client]],Clients_Log!B:B,Clients_Log!F:F,"Pas de correspondance")</f>
        <v>Pas de correspondance</v>
      </c>
      <c r="Q207" s="1" t="str">
        <f>IF(Logs[[#This Row],[Type_Forfait]]="Pro Monde","B2B","B2C")</f>
        <v>B2C</v>
      </c>
      <c r="R207" s="1" t="str">
        <f>_xlfn.XLOOKUP(Logs[[#This Row],[ID_Client]],Clients_Log!B:B,Clients_Log!G:G,"Pas de correspondance")</f>
        <v>Pas de correspondance</v>
      </c>
      <c r="S207" s="1" t="e">
        <f>Logs[[#This Row],[Duree_Cumulee_Panne_Min]]/1440</f>
        <v>#VALUE!</v>
      </c>
      <c r="T207" s="1" t="str">
        <f>_xlfn.XLOOKUP(Logs[[#This Row],[ID_Client]],Clients_Log!B:B,Clients_Log!H:H,"Pas de correspondance")</f>
        <v>Pas de correspondance</v>
      </c>
      <c r="U207" s="1" t="str">
        <f>_xlfn.XLOOKUP(Logs[[#This Row],[ID_Client]],Clients_Log!B:B,Clients_Log!I:I,"Pas de correspondance")</f>
        <v>Pas de correspondance</v>
      </c>
      <c r="V20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07" s="1" t="e">
        <f>Logs[[#This Row],[Facture_Mensuelle]]*Logs[[#This Row],[Remise (%)]]</f>
        <v>#VALUE!</v>
      </c>
    </row>
    <row r="208" spans="1:23" hidden="1" x14ac:dyDescent="0.25">
      <c r="A208" s="1" t="s">
        <v>976</v>
      </c>
      <c r="B208" s="2">
        <v>45207</v>
      </c>
      <c r="C208" s="1" t="str">
        <f>_xlfn.XLOOKUP(Logs[[#This Row],[Province_RDC]],Clients_Log!D:D,Clients_Log!B:B,"Pas de correspondance")</f>
        <v>Pas de correspondance</v>
      </c>
      <c r="D208" t="str">
        <f>_xlfn.XLOOKUP(Logs[[#This Row],[Cell_ID]],'Registre_Maintenance'!B:B,'Registre_Maintenance'!C:C,"Pas de correspondance")</f>
        <v>Pas de correspondance</v>
      </c>
      <c r="E208" s="3">
        <v>0.40625</v>
      </c>
      <c r="F208" s="1" t="s">
        <v>874</v>
      </c>
      <c r="G208" s="3">
        <f>Logs[[#This Row],[Duree_Panne_Min]]/1440</f>
        <v>3.4027777777777775E-2</v>
      </c>
      <c r="H208">
        <v>49</v>
      </c>
      <c r="I208" t="str">
        <f>_xlfn.XLOOKUP(Logs[[#This Row],[Cell_ID]],'Registre_Maintenance'!B:B,'Registre_Maintenance'!D:D,"Pas de correspondance")</f>
        <v>Pas de correspondance</v>
      </c>
      <c r="J208" t="str">
        <f>_xlfn.XLOOKUP(Logs[[#This Row],[Cell_ID]],'Registre_Maintenance'!B:B,'Registre_Maintenance'!E:E,"Pas de correspondance")</f>
        <v>Pas de correspondance</v>
      </c>
      <c r="K208" t="str">
        <f>_xlfn.XLOOKUP(Logs[[#This Row],[Cell_ID]],'Registre_Maintenance'!B:B,'Registre_Maintenance'!F:F,"Pas de correspondance")</f>
        <v>Pas de correspondance</v>
      </c>
      <c r="L208" t="str">
        <f>_xlfn.XLOOKUP(Logs[[#This Row],[Cell_ID]],'Registre_Maintenance'!B:B,'Registre_Maintenance'!G:G,"Pas de correspondance")</f>
        <v>Pas de correspondance</v>
      </c>
      <c r="M208" s="1" t="s">
        <v>809</v>
      </c>
      <c r="N208" s="1" t="str">
        <f>_xlfn.XLOOKUP(Logs[[#This Row],[ID_Client]],Clients_Log!B:B,Clients_Log!E:E,"Pas de correspondance")</f>
        <v>Pas de correspondance</v>
      </c>
      <c r="O208" s="4" t="str">
        <f>IFERROR(Logs[[#This Row],[Anciennete_Mois]]/12,"")</f>
        <v/>
      </c>
      <c r="P208" s="1" t="str">
        <f>_xlfn.XLOOKUP(Logs[[#This Row],[ID_Client]],Clients_Log!B:B,Clients_Log!F:F,"Pas de correspondance")</f>
        <v>Pas de correspondance</v>
      </c>
      <c r="Q208" s="1" t="str">
        <f>IF(Logs[[#This Row],[Type_Forfait]]="Pro Monde","B2B","B2C")</f>
        <v>B2C</v>
      </c>
      <c r="R208" s="1" t="str">
        <f>_xlfn.XLOOKUP(Logs[[#This Row],[ID_Client]],Clients_Log!B:B,Clients_Log!G:G,"Pas de correspondance")</f>
        <v>Pas de correspondance</v>
      </c>
      <c r="S208" s="1" t="e">
        <f>Logs[[#This Row],[Duree_Cumulee_Panne_Min]]/1440</f>
        <v>#VALUE!</v>
      </c>
      <c r="T208" s="1" t="str">
        <f>_xlfn.XLOOKUP(Logs[[#This Row],[ID_Client]],Clients_Log!B:B,Clients_Log!H:H,"Pas de correspondance")</f>
        <v>Pas de correspondance</v>
      </c>
      <c r="U208" s="1" t="str">
        <f>_xlfn.XLOOKUP(Logs[[#This Row],[ID_Client]],Clients_Log!B:B,Clients_Log!I:I,"Pas de correspondance")</f>
        <v>Pas de correspondance</v>
      </c>
      <c r="V20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08" s="1" t="e">
        <f>Logs[[#This Row],[Facture_Mensuelle]]*Logs[[#This Row],[Remise (%)]]</f>
        <v>#VALUE!</v>
      </c>
    </row>
    <row r="209" spans="1:23" hidden="1" x14ac:dyDescent="0.25">
      <c r="A209" s="1" t="s">
        <v>976</v>
      </c>
      <c r="B209" s="2">
        <v>45209</v>
      </c>
      <c r="C209" s="1" t="str">
        <f>_xlfn.XLOOKUP(Logs[[#This Row],[Province_RDC]],Clients_Log!D:D,Clients_Log!B:B,"Pas de correspondance")</f>
        <v>Pas de correspondance</v>
      </c>
      <c r="D209" t="str">
        <f>_xlfn.XLOOKUP(Logs[[#This Row],[Cell_ID]],'Registre_Maintenance'!B:B,'Registre_Maintenance'!C:C,"Pas de correspondance")</f>
        <v>Pas de correspondance</v>
      </c>
      <c r="E209" s="3">
        <v>0.95486111111111116</v>
      </c>
      <c r="F209" s="1" t="s">
        <v>998</v>
      </c>
      <c r="G209" s="3">
        <f>Logs[[#This Row],[Duree_Panne_Min]]/1440</f>
        <v>3.9583333333333331E-2</v>
      </c>
      <c r="H209">
        <v>57</v>
      </c>
      <c r="I209" t="str">
        <f>_xlfn.XLOOKUP(Logs[[#This Row],[Cell_ID]],'Registre_Maintenance'!B:B,'Registre_Maintenance'!D:D,"Pas de correspondance")</f>
        <v>Pas de correspondance</v>
      </c>
      <c r="J209" t="str">
        <f>_xlfn.XLOOKUP(Logs[[#This Row],[Cell_ID]],'Registre_Maintenance'!B:B,'Registre_Maintenance'!E:E,"Pas de correspondance")</f>
        <v>Pas de correspondance</v>
      </c>
      <c r="K209" t="str">
        <f>_xlfn.XLOOKUP(Logs[[#This Row],[Cell_ID]],'Registre_Maintenance'!B:B,'Registre_Maintenance'!F:F,"Pas de correspondance")</f>
        <v>Pas de correspondance</v>
      </c>
      <c r="L209" t="str">
        <f>_xlfn.XLOOKUP(Logs[[#This Row],[Cell_ID]],'Registre_Maintenance'!B:B,'Registre_Maintenance'!G:G,"Pas de correspondance")</f>
        <v>Pas de correspondance</v>
      </c>
      <c r="M209" s="1" t="s">
        <v>806</v>
      </c>
      <c r="N209" s="1" t="str">
        <f>_xlfn.XLOOKUP(Logs[[#This Row],[ID_Client]],Clients_Log!B:B,Clients_Log!E:E,"Pas de correspondance")</f>
        <v>Pas de correspondance</v>
      </c>
      <c r="O209" s="4" t="str">
        <f>IFERROR(Logs[[#This Row],[Anciennete_Mois]]/12,"")</f>
        <v/>
      </c>
      <c r="P209" s="1" t="str">
        <f>_xlfn.XLOOKUP(Logs[[#This Row],[ID_Client]],Clients_Log!B:B,Clients_Log!F:F,"Pas de correspondance")</f>
        <v>Pas de correspondance</v>
      </c>
      <c r="Q209" s="1" t="str">
        <f>IF(Logs[[#This Row],[Type_Forfait]]="Pro Monde","B2B","B2C")</f>
        <v>B2C</v>
      </c>
      <c r="R209" s="1" t="str">
        <f>_xlfn.XLOOKUP(Logs[[#This Row],[ID_Client]],Clients_Log!B:B,Clients_Log!G:G,"Pas de correspondance")</f>
        <v>Pas de correspondance</v>
      </c>
      <c r="S209" s="1" t="e">
        <f>Logs[[#This Row],[Duree_Cumulee_Panne_Min]]/1440</f>
        <v>#VALUE!</v>
      </c>
      <c r="T209" s="1" t="str">
        <f>_xlfn.XLOOKUP(Logs[[#This Row],[ID_Client]],Clients_Log!B:B,Clients_Log!H:H,"Pas de correspondance")</f>
        <v>Pas de correspondance</v>
      </c>
      <c r="U209" s="1" t="str">
        <f>_xlfn.XLOOKUP(Logs[[#This Row],[ID_Client]],Clients_Log!B:B,Clients_Log!I:I,"Pas de correspondance")</f>
        <v>Pas de correspondance</v>
      </c>
      <c r="V20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09" s="1" t="e">
        <f>Logs[[#This Row],[Facture_Mensuelle]]*Logs[[#This Row],[Remise (%)]]</f>
        <v>#VALUE!</v>
      </c>
    </row>
    <row r="210" spans="1:23" hidden="1" x14ac:dyDescent="0.25">
      <c r="A210" s="1" t="s">
        <v>976</v>
      </c>
      <c r="B210" s="2">
        <v>45214</v>
      </c>
      <c r="C210" s="1" t="str">
        <f>_xlfn.XLOOKUP(Logs[[#This Row],[Province_RDC]],Clients_Log!D:D,Clients_Log!B:B,"Pas de correspondance")</f>
        <v>Pas de correspondance</v>
      </c>
      <c r="D210" t="str">
        <f>_xlfn.XLOOKUP(Logs[[#This Row],[Cell_ID]],'Registre_Maintenance'!B:B,'Registre_Maintenance'!C:C,"Pas de correspondance")</f>
        <v>Pas de correspondance</v>
      </c>
      <c r="E210" s="3">
        <v>0.11319444444444444</v>
      </c>
      <c r="F210" s="1" t="s">
        <v>862</v>
      </c>
      <c r="G210" s="3">
        <f>Logs[[#This Row],[Duree_Panne_Min]]/1440</f>
        <v>3.2638888888888891E-2</v>
      </c>
      <c r="H210">
        <v>47</v>
      </c>
      <c r="I210" t="str">
        <f>_xlfn.XLOOKUP(Logs[[#This Row],[Cell_ID]],'Registre_Maintenance'!B:B,'Registre_Maintenance'!D:D,"Pas de correspondance")</f>
        <v>Pas de correspondance</v>
      </c>
      <c r="J210" t="str">
        <f>_xlfn.XLOOKUP(Logs[[#This Row],[Cell_ID]],'Registre_Maintenance'!B:B,'Registre_Maintenance'!E:E,"Pas de correspondance")</f>
        <v>Pas de correspondance</v>
      </c>
      <c r="K210" t="str">
        <f>_xlfn.XLOOKUP(Logs[[#This Row],[Cell_ID]],'Registre_Maintenance'!B:B,'Registre_Maintenance'!F:F,"Pas de correspondance")</f>
        <v>Pas de correspondance</v>
      </c>
      <c r="L210" t="str">
        <f>_xlfn.XLOOKUP(Logs[[#This Row],[Cell_ID]],'Registre_Maintenance'!B:B,'Registre_Maintenance'!G:G,"Pas de correspondance")</f>
        <v>Pas de correspondance</v>
      </c>
      <c r="M210" s="1" t="s">
        <v>811</v>
      </c>
      <c r="N210" s="1" t="str">
        <f>_xlfn.XLOOKUP(Logs[[#This Row],[ID_Client]],Clients_Log!B:B,Clients_Log!E:E,"Pas de correspondance")</f>
        <v>Pas de correspondance</v>
      </c>
      <c r="O210" s="4" t="str">
        <f>IFERROR(Logs[[#This Row],[Anciennete_Mois]]/12,"")</f>
        <v/>
      </c>
      <c r="P210" s="1" t="str">
        <f>_xlfn.XLOOKUP(Logs[[#This Row],[ID_Client]],Clients_Log!B:B,Clients_Log!F:F,"Pas de correspondance")</f>
        <v>Pas de correspondance</v>
      </c>
      <c r="Q210" s="1" t="str">
        <f>IF(Logs[[#This Row],[Type_Forfait]]="Pro Monde","B2B","B2C")</f>
        <v>B2C</v>
      </c>
      <c r="R210" s="1" t="str">
        <f>_xlfn.XLOOKUP(Logs[[#This Row],[ID_Client]],Clients_Log!B:B,Clients_Log!G:G,"Pas de correspondance")</f>
        <v>Pas de correspondance</v>
      </c>
      <c r="S210" s="1" t="e">
        <f>Logs[[#This Row],[Duree_Cumulee_Panne_Min]]/1440</f>
        <v>#VALUE!</v>
      </c>
      <c r="T210" s="1" t="str">
        <f>_xlfn.XLOOKUP(Logs[[#This Row],[ID_Client]],Clients_Log!B:B,Clients_Log!H:H,"Pas de correspondance")</f>
        <v>Pas de correspondance</v>
      </c>
      <c r="U210" s="1" t="str">
        <f>_xlfn.XLOOKUP(Logs[[#This Row],[ID_Client]],Clients_Log!B:B,Clients_Log!I:I,"Pas de correspondance")</f>
        <v>Pas de correspondance</v>
      </c>
      <c r="V21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10" s="1" t="e">
        <f>Logs[[#This Row],[Facture_Mensuelle]]*Logs[[#This Row],[Remise (%)]]</f>
        <v>#VALUE!</v>
      </c>
    </row>
    <row r="211" spans="1:23" x14ac:dyDescent="0.25">
      <c r="A211" s="1" t="s">
        <v>976</v>
      </c>
      <c r="B211" s="2">
        <v>45207</v>
      </c>
      <c r="C211" s="1" t="str">
        <f>_xlfn.XLOOKUP(Logs[[#This Row],[Province_RDC]],Clients_Log!D:D,Clients_Log!B:B,"Pas de correspondance")</f>
        <v>CLI-01618</v>
      </c>
      <c r="D211" t="str">
        <f>_xlfn.XLOOKUP(Logs[[#This Row],[Cell_ID]],'Registre_Maintenance'!B:B,'Registre_Maintenance'!C:C,"Pas de correspondance")</f>
        <v>Tanganyika</v>
      </c>
      <c r="E211" s="3">
        <v>0.36805555555555558</v>
      </c>
      <c r="F211" s="1" t="s">
        <v>999</v>
      </c>
      <c r="G211" s="3">
        <f>Logs[[#This Row],[Duree_Panne_Min]]/1440</f>
        <v>3.1944444444444442E-2</v>
      </c>
      <c r="H211">
        <v>46</v>
      </c>
      <c r="I211">
        <f>_xlfn.XLOOKUP(Logs[[#This Row],[Cell_ID]],'Registre_Maintenance'!B:B,'Registre_Maintenance'!D:D,"Pas de correspondance")</f>
        <v>-10.481026999999999</v>
      </c>
      <c r="J211">
        <f>_xlfn.XLOOKUP(Logs[[#This Row],[Cell_ID]],'Registre_Maintenance'!B:B,'Registre_Maintenance'!E:E,"Pas de correspondance")</f>
        <v>18.160464000000001</v>
      </c>
      <c r="K211" t="str">
        <f>_xlfn.XLOOKUP(Logs[[#This Row],[Cell_ID]],'Registre_Maintenance'!B:B,'Registre_Maintenance'!F:F,"Pas de correspondance")</f>
        <v>5G</v>
      </c>
      <c r="L211" t="str">
        <f>_xlfn.XLOOKUP(Logs[[#This Row],[Cell_ID]],'Registre_Maintenance'!B:B,'Registre_Maintenance'!G:G,"Pas de correspondance")</f>
        <v>Huawei</v>
      </c>
      <c r="M211" s="1" t="s">
        <v>806</v>
      </c>
      <c r="N211" s="1">
        <f>_xlfn.XLOOKUP(Logs[[#This Row],[ID_Client]],Clients_Log!B:B,Clients_Log!E:E,"Pas de correspondance")</f>
        <v>115</v>
      </c>
      <c r="O211" s="4">
        <f>IFERROR(Logs[[#This Row],[Anciennete_Mois]]/12,"")</f>
        <v>9.5833333333333339</v>
      </c>
      <c r="P211" s="1" t="str">
        <f>_xlfn.XLOOKUP(Logs[[#This Row],[ID_Client]],Clients_Log!B:B,Clients_Log!F:F,"Pas de correspondance")</f>
        <v>Bloqué 5Go</v>
      </c>
      <c r="Q211" s="1" t="str">
        <f>IF(Logs[[#This Row],[Type_Forfait]]="Pro Monde","B2B","B2C")</f>
        <v>B2C</v>
      </c>
      <c r="R211" s="1">
        <f>_xlfn.XLOOKUP(Logs[[#This Row],[ID_Client]],Clients_Log!B:B,Clients_Log!G:G,"Pas de correspondance")</f>
        <v>176</v>
      </c>
      <c r="S211" s="3">
        <f>Logs[[#This Row],[Duree_Cumulee_Panne_Min]]/1440</f>
        <v>0.12222222222222222</v>
      </c>
      <c r="T211" s="1">
        <f>_xlfn.XLOOKUP(Logs[[#This Row],[ID_Client]],Clients_Log!B:B,Clients_Log!H:H,"Pas de correspondance")</f>
        <v>33.28</v>
      </c>
      <c r="U211" s="1">
        <f>_xlfn.XLOOKUP(Logs[[#This Row],[ID_Client]],Clients_Log!B:B,Clients_Log!I:I,"Pas de correspondance")</f>
        <v>4</v>
      </c>
      <c r="V21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211" s="1">
        <f>Logs[[#This Row],[Facture_Mensuelle]]*Logs[[#This Row],[Remise (%)]]</f>
        <v>0</v>
      </c>
    </row>
    <row r="212" spans="1:23" hidden="1" x14ac:dyDescent="0.25">
      <c r="A212" s="1" t="s">
        <v>976</v>
      </c>
      <c r="B212" s="2">
        <v>45225</v>
      </c>
      <c r="C212" s="1" t="str">
        <f>_xlfn.XLOOKUP(Logs[[#This Row],[Province_RDC]],Clients_Log!D:D,Clients_Log!B:B,"Pas de correspondance")</f>
        <v>Pas de correspondance</v>
      </c>
      <c r="D212" t="str">
        <f>_xlfn.XLOOKUP(Logs[[#This Row],[Cell_ID]],'Registre_Maintenance'!B:B,'Registre_Maintenance'!C:C,"Pas de correspondance")</f>
        <v>Pas de correspondance</v>
      </c>
      <c r="E212" s="3">
        <v>0.85902777777777772</v>
      </c>
      <c r="F212" s="1" t="s">
        <v>1000</v>
      </c>
      <c r="G212" s="3">
        <f>Logs[[#This Row],[Duree_Panne_Min]]/1440</f>
        <v>6.25E-2</v>
      </c>
      <c r="H212">
        <v>90</v>
      </c>
      <c r="I212" t="str">
        <f>_xlfn.XLOOKUP(Logs[[#This Row],[Cell_ID]],'Registre_Maintenance'!B:B,'Registre_Maintenance'!D:D,"Pas de correspondance")</f>
        <v>Pas de correspondance</v>
      </c>
      <c r="J212" t="str">
        <f>_xlfn.XLOOKUP(Logs[[#This Row],[Cell_ID]],'Registre_Maintenance'!B:B,'Registre_Maintenance'!E:E,"Pas de correspondance")</f>
        <v>Pas de correspondance</v>
      </c>
      <c r="K212" t="str">
        <f>_xlfn.XLOOKUP(Logs[[#This Row],[Cell_ID]],'Registre_Maintenance'!B:B,'Registre_Maintenance'!F:F,"Pas de correspondance")</f>
        <v>Pas de correspondance</v>
      </c>
      <c r="L212" t="str">
        <f>_xlfn.XLOOKUP(Logs[[#This Row],[Cell_ID]],'Registre_Maintenance'!B:B,'Registre_Maintenance'!G:G,"Pas de correspondance")</f>
        <v>Pas de correspondance</v>
      </c>
      <c r="M212" s="1" t="s">
        <v>809</v>
      </c>
      <c r="N212" s="1" t="str">
        <f>_xlfn.XLOOKUP(Logs[[#This Row],[ID_Client]],Clients_Log!B:B,Clients_Log!E:E,"Pas de correspondance")</f>
        <v>Pas de correspondance</v>
      </c>
      <c r="O212" s="4" t="str">
        <f>IFERROR(Logs[[#This Row],[Anciennete_Mois]]/12,"")</f>
        <v/>
      </c>
      <c r="P212" s="1" t="str">
        <f>_xlfn.XLOOKUP(Logs[[#This Row],[ID_Client]],Clients_Log!B:B,Clients_Log!F:F,"Pas de correspondance")</f>
        <v>Pas de correspondance</v>
      </c>
      <c r="Q212" s="1" t="str">
        <f>IF(Logs[[#This Row],[Type_Forfait]]="Pro Monde","B2B","B2C")</f>
        <v>B2C</v>
      </c>
      <c r="R212" s="1" t="str">
        <f>_xlfn.XLOOKUP(Logs[[#This Row],[ID_Client]],Clients_Log!B:B,Clients_Log!G:G,"Pas de correspondance")</f>
        <v>Pas de correspondance</v>
      </c>
      <c r="S212" s="1" t="e">
        <f>Logs[[#This Row],[Duree_Cumulee_Panne_Min]]/1440</f>
        <v>#VALUE!</v>
      </c>
      <c r="T212" s="1" t="str">
        <f>_xlfn.XLOOKUP(Logs[[#This Row],[ID_Client]],Clients_Log!B:B,Clients_Log!H:H,"Pas de correspondance")</f>
        <v>Pas de correspondance</v>
      </c>
      <c r="U212" s="1" t="str">
        <f>_xlfn.XLOOKUP(Logs[[#This Row],[ID_Client]],Clients_Log!B:B,Clients_Log!I:I,"Pas de correspondance")</f>
        <v>Pas de correspondance</v>
      </c>
      <c r="V21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12" s="1" t="e">
        <f>Logs[[#This Row],[Facture_Mensuelle]]*Logs[[#This Row],[Remise (%)]]</f>
        <v>#VALUE!</v>
      </c>
    </row>
    <row r="213" spans="1:23" x14ac:dyDescent="0.25">
      <c r="A213" s="1" t="s">
        <v>976</v>
      </c>
      <c r="B213" s="2">
        <v>45221</v>
      </c>
      <c r="C213" s="1" t="str">
        <f>_xlfn.XLOOKUP(Logs[[#This Row],[Province_RDC]],Clients_Log!D:D,Clients_Log!B:B,"Pas de correspondance")</f>
        <v>CLI-00837</v>
      </c>
      <c r="D213" t="str">
        <f>_xlfn.XLOOKUP(Logs[[#This Row],[Cell_ID]],'Registre_Maintenance'!B:B,'Registre_Maintenance'!C:C,"Pas de correspondance")</f>
        <v>Nord-Kivu</v>
      </c>
      <c r="E213" s="3">
        <v>0.26874999999999999</v>
      </c>
      <c r="F213" s="1" t="s">
        <v>1001</v>
      </c>
      <c r="G213" s="3">
        <f>Logs[[#This Row],[Duree_Panne_Min]]/1440</f>
        <v>1.2500000000000001E-2</v>
      </c>
      <c r="H213">
        <v>18</v>
      </c>
      <c r="I213">
        <f>_xlfn.XLOOKUP(Logs[[#This Row],[Cell_ID]],'Registre_Maintenance'!B:B,'Registre_Maintenance'!D:D,"Pas de correspondance")</f>
        <v>-1.8555980000000001</v>
      </c>
      <c r="J213">
        <f>_xlfn.XLOOKUP(Logs[[#This Row],[Cell_ID]],'Registre_Maintenance'!B:B,'Registre_Maintenance'!E:E,"Pas de correspondance")</f>
        <v>30.421918000000002</v>
      </c>
      <c r="K213" t="str">
        <f>_xlfn.XLOOKUP(Logs[[#This Row],[Cell_ID]],'Registre_Maintenance'!B:B,'Registre_Maintenance'!F:F,"Pas de correspondance")</f>
        <v>3G</v>
      </c>
      <c r="L213" t="str">
        <f>_xlfn.XLOOKUP(Logs[[#This Row],[Cell_ID]],'Registre_Maintenance'!B:B,'Registre_Maintenance'!G:G,"Pas de correspondance")</f>
        <v>ZTE</v>
      </c>
      <c r="M213" s="1" t="s">
        <v>809</v>
      </c>
      <c r="N213" s="1">
        <f>_xlfn.XLOOKUP(Logs[[#This Row],[ID_Client]],Clients_Log!B:B,Clients_Log!E:E,"Pas de correspondance")</f>
        <v>16</v>
      </c>
      <c r="O213" s="4">
        <f>IFERROR(Logs[[#This Row],[Anciennete_Mois]]/12,"")</f>
        <v>1.3333333333333333</v>
      </c>
      <c r="P213" s="1" t="str">
        <f>_xlfn.XLOOKUP(Logs[[#This Row],[ID_Client]],Clients_Log!B:B,Clients_Log!F:F,"Pas de correspondance")</f>
        <v>Bloqué 5Go</v>
      </c>
      <c r="Q213" s="1" t="str">
        <f>IF(Logs[[#This Row],[Type_Forfait]]="Pro Monde","B2B","B2C")</f>
        <v>B2C</v>
      </c>
      <c r="R213" s="1">
        <f>_xlfn.XLOOKUP(Logs[[#This Row],[ID_Client]],Clients_Log!B:B,Clients_Log!G:G,"Pas de correspondance")</f>
        <v>390</v>
      </c>
      <c r="S213" s="3">
        <f>Logs[[#This Row],[Duree_Cumulee_Panne_Min]]/1440</f>
        <v>0.27083333333333331</v>
      </c>
      <c r="T213" s="1">
        <f>_xlfn.XLOOKUP(Logs[[#This Row],[ID_Client]],Clients_Log!B:B,Clients_Log!H:H,"Pas de correspondance")</f>
        <v>98.17</v>
      </c>
      <c r="U213" s="1">
        <f>_xlfn.XLOOKUP(Logs[[#This Row],[ID_Client]],Clients_Log!B:B,Clients_Log!I:I,"Pas de correspondance")</f>
        <v>5</v>
      </c>
      <c r="V21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13" s="1">
        <f>Logs[[#This Row],[Facture_Mensuelle]]*Logs[[#This Row],[Remise (%)]]</f>
        <v>44.176500000000004</v>
      </c>
    </row>
    <row r="214" spans="1:23" hidden="1" x14ac:dyDescent="0.25">
      <c r="A214" s="1" t="s">
        <v>976</v>
      </c>
      <c r="B214" s="2">
        <v>45203</v>
      </c>
      <c r="C214" s="1" t="str">
        <f>_xlfn.XLOOKUP(Logs[[#This Row],[Province_RDC]],Clients_Log!D:D,Clients_Log!B:B,"Pas de correspondance")</f>
        <v>Pas de correspondance</v>
      </c>
      <c r="D214" t="str">
        <f>_xlfn.XLOOKUP(Logs[[#This Row],[Cell_ID]],'Registre_Maintenance'!B:B,'Registre_Maintenance'!C:C,"Pas de correspondance")</f>
        <v>Pas de correspondance</v>
      </c>
      <c r="E214" s="3">
        <v>0.71805555555555556</v>
      </c>
      <c r="F214" s="1" t="s">
        <v>1002</v>
      </c>
      <c r="G214" s="3">
        <f>Logs[[#This Row],[Duree_Panne_Min]]/1440</f>
        <v>7.9166666666666663E-2</v>
      </c>
      <c r="H214">
        <v>114</v>
      </c>
      <c r="I214" t="str">
        <f>_xlfn.XLOOKUP(Logs[[#This Row],[Cell_ID]],'Registre_Maintenance'!B:B,'Registre_Maintenance'!D:D,"Pas de correspondance")</f>
        <v>Pas de correspondance</v>
      </c>
      <c r="J214" t="str">
        <f>_xlfn.XLOOKUP(Logs[[#This Row],[Cell_ID]],'Registre_Maintenance'!B:B,'Registre_Maintenance'!E:E,"Pas de correspondance")</f>
        <v>Pas de correspondance</v>
      </c>
      <c r="K214" t="str">
        <f>_xlfn.XLOOKUP(Logs[[#This Row],[Cell_ID]],'Registre_Maintenance'!B:B,'Registre_Maintenance'!F:F,"Pas de correspondance")</f>
        <v>Pas de correspondance</v>
      </c>
      <c r="L214" t="str">
        <f>_xlfn.XLOOKUP(Logs[[#This Row],[Cell_ID]],'Registre_Maintenance'!B:B,'Registre_Maintenance'!G:G,"Pas de correspondance")</f>
        <v>Pas de correspondance</v>
      </c>
      <c r="M214" s="1" t="s">
        <v>809</v>
      </c>
      <c r="N214" s="1" t="str">
        <f>_xlfn.XLOOKUP(Logs[[#This Row],[ID_Client]],Clients_Log!B:B,Clients_Log!E:E,"Pas de correspondance")</f>
        <v>Pas de correspondance</v>
      </c>
      <c r="O214" s="4" t="str">
        <f>IFERROR(Logs[[#This Row],[Anciennete_Mois]]/12,"")</f>
        <v/>
      </c>
      <c r="P214" s="1" t="str">
        <f>_xlfn.XLOOKUP(Logs[[#This Row],[ID_Client]],Clients_Log!B:B,Clients_Log!F:F,"Pas de correspondance")</f>
        <v>Pas de correspondance</v>
      </c>
      <c r="Q214" s="1" t="str">
        <f>IF(Logs[[#This Row],[Type_Forfait]]="Pro Monde","B2B","B2C")</f>
        <v>B2C</v>
      </c>
      <c r="R214" s="1" t="str">
        <f>_xlfn.XLOOKUP(Logs[[#This Row],[ID_Client]],Clients_Log!B:B,Clients_Log!G:G,"Pas de correspondance")</f>
        <v>Pas de correspondance</v>
      </c>
      <c r="S214" s="1" t="e">
        <f>Logs[[#This Row],[Duree_Cumulee_Panne_Min]]/1440</f>
        <v>#VALUE!</v>
      </c>
      <c r="T214" s="1" t="str">
        <f>_xlfn.XLOOKUP(Logs[[#This Row],[ID_Client]],Clients_Log!B:B,Clients_Log!H:H,"Pas de correspondance")</f>
        <v>Pas de correspondance</v>
      </c>
      <c r="U214" s="1" t="str">
        <f>_xlfn.XLOOKUP(Logs[[#This Row],[ID_Client]],Clients_Log!B:B,Clients_Log!I:I,"Pas de correspondance")</f>
        <v>Pas de correspondance</v>
      </c>
      <c r="V21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14" s="1" t="e">
        <f>Logs[[#This Row],[Facture_Mensuelle]]*Logs[[#This Row],[Remise (%)]]</f>
        <v>#VALUE!</v>
      </c>
    </row>
    <row r="215" spans="1:23" x14ac:dyDescent="0.25">
      <c r="A215" s="1" t="s">
        <v>976</v>
      </c>
      <c r="B215" s="2">
        <v>45220</v>
      </c>
      <c r="C215" s="1" t="str">
        <f>_xlfn.XLOOKUP(Logs[[#This Row],[Province_RDC]],Clients_Log!D:D,Clients_Log!B:B,"Pas de correspondance")</f>
        <v>CLI-00643</v>
      </c>
      <c r="D215" t="str">
        <f>_xlfn.XLOOKUP(Logs[[#This Row],[Cell_ID]],'Registre_Maintenance'!B:B,'Registre_Maintenance'!C:C,"Pas de correspondance")</f>
        <v>Equateur</v>
      </c>
      <c r="E215" s="3">
        <v>0.20694444444444443</v>
      </c>
      <c r="F215" s="1" t="s">
        <v>1003</v>
      </c>
      <c r="G215" s="3">
        <f>Logs[[#This Row],[Duree_Panne_Min]]/1440</f>
        <v>1.7361111111111112E-2</v>
      </c>
      <c r="H215">
        <v>25</v>
      </c>
      <c r="I215">
        <f>_xlfn.XLOOKUP(Logs[[#This Row],[Cell_ID]],'Registre_Maintenance'!B:B,'Registre_Maintenance'!D:D,"Pas de correspondance")</f>
        <v>3.3289240000000002</v>
      </c>
      <c r="J215">
        <f>_xlfn.XLOOKUP(Logs[[#This Row],[Cell_ID]],'Registre_Maintenance'!B:B,'Registre_Maintenance'!E:E,"Pas de correspondance")</f>
        <v>24.412261000000001</v>
      </c>
      <c r="K215" t="str">
        <f>_xlfn.XLOOKUP(Logs[[#This Row],[Cell_ID]],'Registre_Maintenance'!B:B,'Registre_Maintenance'!F:F,"Pas de correspondance")</f>
        <v>5G</v>
      </c>
      <c r="L215" t="str">
        <f>_xlfn.XLOOKUP(Logs[[#This Row],[Cell_ID]],'Registre_Maintenance'!B:B,'Registre_Maintenance'!G:G,"Pas de correspondance")</f>
        <v>Nokia</v>
      </c>
      <c r="M215" s="1" t="s">
        <v>806</v>
      </c>
      <c r="N215" s="1">
        <f>_xlfn.XLOOKUP(Logs[[#This Row],[ID_Client]],Clients_Log!B:B,Clients_Log!E:E,"Pas de correspondance")</f>
        <v>14</v>
      </c>
      <c r="O215" s="4">
        <f>IFERROR(Logs[[#This Row],[Anciennete_Mois]]/12,"")</f>
        <v>1.1666666666666667</v>
      </c>
      <c r="P215" s="1" t="str">
        <f>_xlfn.XLOOKUP(Logs[[#This Row],[ID_Client]],Clients_Log!B:B,Clients_Log!F:F,"Pas de correspondance")</f>
        <v>Pro Monde</v>
      </c>
      <c r="Q215" s="1" t="str">
        <f>IF(Logs[[#This Row],[Type_Forfait]]="Pro Monde","B2B","B2C")</f>
        <v>B2B</v>
      </c>
      <c r="R215" s="1">
        <f>_xlfn.XLOOKUP(Logs[[#This Row],[ID_Client]],Clients_Log!B:B,Clients_Log!G:G,"Pas de correspondance")</f>
        <v>316</v>
      </c>
      <c r="S215" s="3">
        <f>Logs[[#This Row],[Duree_Cumulee_Panne_Min]]/1440</f>
        <v>0.21944444444444444</v>
      </c>
      <c r="T215" s="1">
        <f>_xlfn.XLOOKUP(Logs[[#This Row],[ID_Client]],Clients_Log!B:B,Clients_Log!H:H,"Pas de correspondance")</f>
        <v>62.34</v>
      </c>
      <c r="U215" s="1">
        <f>_xlfn.XLOOKUP(Logs[[#This Row],[ID_Client]],Clients_Log!B:B,Clients_Log!I:I,"Pas de correspondance")</f>
        <v>4</v>
      </c>
      <c r="V21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15" s="1">
        <f>Logs[[#This Row],[Facture_Mensuelle]]*Logs[[#This Row],[Remise (%)]]</f>
        <v>28.053000000000001</v>
      </c>
    </row>
    <row r="216" spans="1:23" hidden="1" x14ac:dyDescent="0.25">
      <c r="A216" s="1" t="s">
        <v>976</v>
      </c>
      <c r="B216" s="2">
        <v>45208</v>
      </c>
      <c r="C216" s="1" t="str">
        <f>_xlfn.XLOOKUP(Logs[[#This Row],[Province_RDC]],Clients_Log!D:D,Clients_Log!B:B,"Pas de correspondance")</f>
        <v>Pas de correspondance</v>
      </c>
      <c r="D216" t="str">
        <f>_xlfn.XLOOKUP(Logs[[#This Row],[Cell_ID]],'Registre_Maintenance'!B:B,'Registre_Maintenance'!C:C,"Pas de correspondance")</f>
        <v>Pas de correspondance</v>
      </c>
      <c r="E216" s="3">
        <v>0.16944444444444445</v>
      </c>
      <c r="F216" s="1" t="s">
        <v>1004</v>
      </c>
      <c r="G216" s="3">
        <f>Logs[[#This Row],[Duree_Panne_Min]]/1440</f>
        <v>3.2638888888888891E-2</v>
      </c>
      <c r="H216">
        <v>47</v>
      </c>
      <c r="I216" t="str">
        <f>_xlfn.XLOOKUP(Logs[[#This Row],[Cell_ID]],'Registre_Maintenance'!B:B,'Registre_Maintenance'!D:D,"Pas de correspondance")</f>
        <v>Pas de correspondance</v>
      </c>
      <c r="J216" t="str">
        <f>_xlfn.XLOOKUP(Logs[[#This Row],[Cell_ID]],'Registre_Maintenance'!B:B,'Registre_Maintenance'!E:E,"Pas de correspondance")</f>
        <v>Pas de correspondance</v>
      </c>
      <c r="K216" t="str">
        <f>_xlfn.XLOOKUP(Logs[[#This Row],[Cell_ID]],'Registre_Maintenance'!B:B,'Registre_Maintenance'!F:F,"Pas de correspondance")</f>
        <v>Pas de correspondance</v>
      </c>
      <c r="L216" t="str">
        <f>_xlfn.XLOOKUP(Logs[[#This Row],[Cell_ID]],'Registre_Maintenance'!B:B,'Registre_Maintenance'!G:G,"Pas de correspondance")</f>
        <v>Pas de correspondance</v>
      </c>
      <c r="M216" s="1" t="s">
        <v>806</v>
      </c>
      <c r="N216" s="1" t="str">
        <f>_xlfn.XLOOKUP(Logs[[#This Row],[ID_Client]],Clients_Log!B:B,Clients_Log!E:E,"Pas de correspondance")</f>
        <v>Pas de correspondance</v>
      </c>
      <c r="O216" s="4" t="str">
        <f>IFERROR(Logs[[#This Row],[Anciennete_Mois]]/12,"")</f>
        <v/>
      </c>
      <c r="P216" s="1" t="str">
        <f>_xlfn.XLOOKUP(Logs[[#This Row],[ID_Client]],Clients_Log!B:B,Clients_Log!F:F,"Pas de correspondance")</f>
        <v>Pas de correspondance</v>
      </c>
      <c r="Q216" s="1" t="str">
        <f>IF(Logs[[#This Row],[Type_Forfait]]="Pro Monde","B2B","B2C")</f>
        <v>B2C</v>
      </c>
      <c r="R216" s="1" t="str">
        <f>_xlfn.XLOOKUP(Logs[[#This Row],[ID_Client]],Clients_Log!B:B,Clients_Log!G:G,"Pas de correspondance")</f>
        <v>Pas de correspondance</v>
      </c>
      <c r="S216" s="1" t="e">
        <f>Logs[[#This Row],[Duree_Cumulee_Panne_Min]]/1440</f>
        <v>#VALUE!</v>
      </c>
      <c r="T216" s="1" t="str">
        <f>_xlfn.XLOOKUP(Logs[[#This Row],[ID_Client]],Clients_Log!B:B,Clients_Log!H:H,"Pas de correspondance")</f>
        <v>Pas de correspondance</v>
      </c>
      <c r="U216" s="1" t="str">
        <f>_xlfn.XLOOKUP(Logs[[#This Row],[ID_Client]],Clients_Log!B:B,Clients_Log!I:I,"Pas de correspondance")</f>
        <v>Pas de correspondance</v>
      </c>
      <c r="V21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16" s="1" t="e">
        <f>Logs[[#This Row],[Facture_Mensuelle]]*Logs[[#This Row],[Remise (%)]]</f>
        <v>#VALUE!</v>
      </c>
    </row>
    <row r="217" spans="1:23" hidden="1" x14ac:dyDescent="0.25">
      <c r="A217" s="1" t="s">
        <v>976</v>
      </c>
      <c r="B217" s="2">
        <v>45201</v>
      </c>
      <c r="C217" s="1" t="str">
        <f>_xlfn.XLOOKUP(Logs[[#This Row],[Province_RDC]],Clients_Log!D:D,Clients_Log!B:B,"Pas de correspondance")</f>
        <v>Pas de correspondance</v>
      </c>
      <c r="D217" t="str">
        <f>_xlfn.XLOOKUP(Logs[[#This Row],[Cell_ID]],'Registre_Maintenance'!B:B,'Registre_Maintenance'!C:C,"Pas de correspondance")</f>
        <v>Pas de correspondance</v>
      </c>
      <c r="E217" s="3">
        <v>0.24305555555555555</v>
      </c>
      <c r="F217" s="1" t="s">
        <v>1005</v>
      </c>
      <c r="G217" s="3">
        <f>Logs[[#This Row],[Duree_Panne_Min]]/1440</f>
        <v>3.9583333333333331E-2</v>
      </c>
      <c r="H217">
        <v>57</v>
      </c>
      <c r="I217" t="str">
        <f>_xlfn.XLOOKUP(Logs[[#This Row],[Cell_ID]],'Registre_Maintenance'!B:B,'Registre_Maintenance'!D:D,"Pas de correspondance")</f>
        <v>Pas de correspondance</v>
      </c>
      <c r="J217" t="str">
        <f>_xlfn.XLOOKUP(Logs[[#This Row],[Cell_ID]],'Registre_Maintenance'!B:B,'Registre_Maintenance'!E:E,"Pas de correspondance")</f>
        <v>Pas de correspondance</v>
      </c>
      <c r="K217" t="str">
        <f>_xlfn.XLOOKUP(Logs[[#This Row],[Cell_ID]],'Registre_Maintenance'!B:B,'Registre_Maintenance'!F:F,"Pas de correspondance")</f>
        <v>Pas de correspondance</v>
      </c>
      <c r="L217" t="str">
        <f>_xlfn.XLOOKUP(Logs[[#This Row],[Cell_ID]],'Registre_Maintenance'!B:B,'Registre_Maintenance'!G:G,"Pas de correspondance")</f>
        <v>Pas de correspondance</v>
      </c>
      <c r="M217" s="1" t="s">
        <v>811</v>
      </c>
      <c r="N217" s="1" t="str">
        <f>_xlfn.XLOOKUP(Logs[[#This Row],[ID_Client]],Clients_Log!B:B,Clients_Log!E:E,"Pas de correspondance")</f>
        <v>Pas de correspondance</v>
      </c>
      <c r="O217" s="4" t="str">
        <f>IFERROR(Logs[[#This Row],[Anciennete_Mois]]/12,"")</f>
        <v/>
      </c>
      <c r="P217" s="1" t="str">
        <f>_xlfn.XLOOKUP(Logs[[#This Row],[ID_Client]],Clients_Log!B:B,Clients_Log!F:F,"Pas de correspondance")</f>
        <v>Pas de correspondance</v>
      </c>
      <c r="Q217" s="1" t="str">
        <f>IF(Logs[[#This Row],[Type_Forfait]]="Pro Monde","B2B","B2C")</f>
        <v>B2C</v>
      </c>
      <c r="R217" s="1" t="str">
        <f>_xlfn.XLOOKUP(Logs[[#This Row],[ID_Client]],Clients_Log!B:B,Clients_Log!G:G,"Pas de correspondance")</f>
        <v>Pas de correspondance</v>
      </c>
      <c r="S217" s="1" t="e">
        <f>Logs[[#This Row],[Duree_Cumulee_Panne_Min]]/1440</f>
        <v>#VALUE!</v>
      </c>
      <c r="T217" s="1" t="str">
        <f>_xlfn.XLOOKUP(Logs[[#This Row],[ID_Client]],Clients_Log!B:B,Clients_Log!H:H,"Pas de correspondance")</f>
        <v>Pas de correspondance</v>
      </c>
      <c r="U217" s="1" t="str">
        <f>_xlfn.XLOOKUP(Logs[[#This Row],[ID_Client]],Clients_Log!B:B,Clients_Log!I:I,"Pas de correspondance")</f>
        <v>Pas de correspondance</v>
      </c>
      <c r="V21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17" s="1" t="e">
        <f>Logs[[#This Row],[Facture_Mensuelle]]*Logs[[#This Row],[Remise (%)]]</f>
        <v>#VALUE!</v>
      </c>
    </row>
    <row r="218" spans="1:23" hidden="1" x14ac:dyDescent="0.25">
      <c r="A218" s="1" t="s">
        <v>976</v>
      </c>
      <c r="B218" s="2">
        <v>45209</v>
      </c>
      <c r="C218" s="1" t="str">
        <f>_xlfn.XLOOKUP(Logs[[#This Row],[Province_RDC]],Clients_Log!D:D,Clients_Log!B:B,"Pas de correspondance")</f>
        <v>Pas de correspondance</v>
      </c>
      <c r="D218" t="str">
        <f>_xlfn.XLOOKUP(Logs[[#This Row],[Cell_ID]],'Registre_Maintenance'!B:B,'Registre_Maintenance'!C:C,"Pas de correspondance")</f>
        <v>Pas de correspondance</v>
      </c>
      <c r="E218" s="3">
        <v>0.82430555555555551</v>
      </c>
      <c r="F218" s="1" t="s">
        <v>937</v>
      </c>
      <c r="G218" s="3">
        <f>Logs[[#This Row],[Duree_Panne_Min]]/1440</f>
        <v>6.458333333333334E-2</v>
      </c>
      <c r="H218">
        <v>93</v>
      </c>
      <c r="I218" t="str">
        <f>_xlfn.XLOOKUP(Logs[[#This Row],[Cell_ID]],'Registre_Maintenance'!B:B,'Registre_Maintenance'!D:D,"Pas de correspondance")</f>
        <v>Pas de correspondance</v>
      </c>
      <c r="J218" t="str">
        <f>_xlfn.XLOOKUP(Logs[[#This Row],[Cell_ID]],'Registre_Maintenance'!B:B,'Registre_Maintenance'!E:E,"Pas de correspondance")</f>
        <v>Pas de correspondance</v>
      </c>
      <c r="K218" t="str">
        <f>_xlfn.XLOOKUP(Logs[[#This Row],[Cell_ID]],'Registre_Maintenance'!B:B,'Registre_Maintenance'!F:F,"Pas de correspondance")</f>
        <v>Pas de correspondance</v>
      </c>
      <c r="L218" t="str">
        <f>_xlfn.XLOOKUP(Logs[[#This Row],[Cell_ID]],'Registre_Maintenance'!B:B,'Registre_Maintenance'!G:G,"Pas de correspondance")</f>
        <v>Pas de correspondance</v>
      </c>
      <c r="M218" s="1" t="s">
        <v>811</v>
      </c>
      <c r="N218" s="1" t="str">
        <f>_xlfn.XLOOKUP(Logs[[#This Row],[ID_Client]],Clients_Log!B:B,Clients_Log!E:E,"Pas de correspondance")</f>
        <v>Pas de correspondance</v>
      </c>
      <c r="O218" s="4" t="str">
        <f>IFERROR(Logs[[#This Row],[Anciennete_Mois]]/12,"")</f>
        <v/>
      </c>
      <c r="P218" s="1" t="str">
        <f>_xlfn.XLOOKUP(Logs[[#This Row],[ID_Client]],Clients_Log!B:B,Clients_Log!F:F,"Pas de correspondance")</f>
        <v>Pas de correspondance</v>
      </c>
      <c r="Q218" s="1" t="str">
        <f>IF(Logs[[#This Row],[Type_Forfait]]="Pro Monde","B2B","B2C")</f>
        <v>B2C</v>
      </c>
      <c r="R218" s="1" t="str">
        <f>_xlfn.XLOOKUP(Logs[[#This Row],[ID_Client]],Clients_Log!B:B,Clients_Log!G:G,"Pas de correspondance")</f>
        <v>Pas de correspondance</v>
      </c>
      <c r="S218" s="1" t="e">
        <f>Logs[[#This Row],[Duree_Cumulee_Panne_Min]]/1440</f>
        <v>#VALUE!</v>
      </c>
      <c r="T218" s="1" t="str">
        <f>_xlfn.XLOOKUP(Logs[[#This Row],[ID_Client]],Clients_Log!B:B,Clients_Log!H:H,"Pas de correspondance")</f>
        <v>Pas de correspondance</v>
      </c>
      <c r="U218" s="1" t="str">
        <f>_xlfn.XLOOKUP(Logs[[#This Row],[ID_Client]],Clients_Log!B:B,Clients_Log!I:I,"Pas de correspondance")</f>
        <v>Pas de correspondance</v>
      </c>
      <c r="V21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18" s="1" t="e">
        <f>Logs[[#This Row],[Facture_Mensuelle]]*Logs[[#This Row],[Remise (%)]]</f>
        <v>#VALUE!</v>
      </c>
    </row>
    <row r="219" spans="1:23" x14ac:dyDescent="0.25">
      <c r="A219" s="1" t="s">
        <v>976</v>
      </c>
      <c r="B219" s="2">
        <v>45226</v>
      </c>
      <c r="C219" s="1" t="str">
        <f>_xlfn.XLOOKUP(Logs[[#This Row],[Province_RDC]],Clients_Log!D:D,Clients_Log!B:B,"Pas de correspondance")</f>
        <v>CLI-00643</v>
      </c>
      <c r="D219" t="str">
        <f>_xlfn.XLOOKUP(Logs[[#This Row],[Cell_ID]],'Registre_Maintenance'!B:B,'Registre_Maintenance'!C:C,"Pas de correspondance")</f>
        <v>Equateur</v>
      </c>
      <c r="E219" s="3">
        <v>0.79027777777777775</v>
      </c>
      <c r="F219" s="1" t="s">
        <v>1006</v>
      </c>
      <c r="G219" s="3">
        <f>Logs[[#This Row],[Duree_Panne_Min]]/1440</f>
        <v>4.7222222222222221E-2</v>
      </c>
      <c r="H219">
        <v>68</v>
      </c>
      <c r="I219">
        <f>_xlfn.XLOOKUP(Logs[[#This Row],[Cell_ID]],'Registre_Maintenance'!B:B,'Registre_Maintenance'!D:D,"Pas de correspondance")</f>
        <v>-0.37665700000000002</v>
      </c>
      <c r="J219">
        <f>_xlfn.XLOOKUP(Logs[[#This Row],[Cell_ID]],'Registre_Maintenance'!B:B,'Registre_Maintenance'!E:E,"Pas de correspondance")</f>
        <v>25.154807999999999</v>
      </c>
      <c r="K219" t="str">
        <f>_xlfn.XLOOKUP(Logs[[#This Row],[Cell_ID]],'Registre_Maintenance'!B:B,'Registre_Maintenance'!F:F,"Pas de correspondance")</f>
        <v>3G</v>
      </c>
      <c r="L219" t="str">
        <f>_xlfn.XLOOKUP(Logs[[#This Row],[Cell_ID]],'Registre_Maintenance'!B:B,'Registre_Maintenance'!G:G,"Pas de correspondance")</f>
        <v>Nokia</v>
      </c>
      <c r="M219" s="1" t="s">
        <v>811</v>
      </c>
      <c r="N219" s="1">
        <f>_xlfn.XLOOKUP(Logs[[#This Row],[ID_Client]],Clients_Log!B:B,Clients_Log!E:E,"Pas de correspondance")</f>
        <v>14</v>
      </c>
      <c r="O219" s="4">
        <f>IFERROR(Logs[[#This Row],[Anciennete_Mois]]/12,"")</f>
        <v>1.1666666666666667</v>
      </c>
      <c r="P219" s="1" t="str">
        <f>_xlfn.XLOOKUP(Logs[[#This Row],[ID_Client]],Clients_Log!B:B,Clients_Log!F:F,"Pas de correspondance")</f>
        <v>Pro Monde</v>
      </c>
      <c r="Q219" s="1" t="str">
        <f>IF(Logs[[#This Row],[Type_Forfait]]="Pro Monde","B2B","B2C")</f>
        <v>B2B</v>
      </c>
      <c r="R219" s="1">
        <f>_xlfn.XLOOKUP(Logs[[#This Row],[ID_Client]],Clients_Log!B:B,Clients_Log!G:G,"Pas de correspondance")</f>
        <v>316</v>
      </c>
      <c r="S219" s="3">
        <f>Logs[[#This Row],[Duree_Cumulee_Panne_Min]]/1440</f>
        <v>0.21944444444444444</v>
      </c>
      <c r="T219" s="1">
        <f>_xlfn.XLOOKUP(Logs[[#This Row],[ID_Client]],Clients_Log!B:B,Clients_Log!H:H,"Pas de correspondance")</f>
        <v>62.34</v>
      </c>
      <c r="U219" s="1">
        <f>_xlfn.XLOOKUP(Logs[[#This Row],[ID_Client]],Clients_Log!B:B,Clients_Log!I:I,"Pas de correspondance")</f>
        <v>4</v>
      </c>
      <c r="V21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19" s="1">
        <f>Logs[[#This Row],[Facture_Mensuelle]]*Logs[[#This Row],[Remise (%)]]</f>
        <v>28.053000000000001</v>
      </c>
    </row>
    <row r="220" spans="1:23" hidden="1" x14ac:dyDescent="0.25">
      <c r="A220" s="1" t="s">
        <v>976</v>
      </c>
      <c r="B220" s="2">
        <v>45209</v>
      </c>
      <c r="C220" s="1" t="str">
        <f>_xlfn.XLOOKUP(Logs[[#This Row],[Province_RDC]],Clients_Log!D:D,Clients_Log!B:B,"Pas de correspondance")</f>
        <v>Pas de correspondance</v>
      </c>
      <c r="D220" t="str">
        <f>_xlfn.XLOOKUP(Logs[[#This Row],[Cell_ID]],'Registre_Maintenance'!B:B,'Registre_Maintenance'!C:C,"Pas de correspondance")</f>
        <v>Pas de correspondance</v>
      </c>
      <c r="E220" s="3">
        <v>0.58819444444444446</v>
      </c>
      <c r="F220" s="1" t="s">
        <v>927</v>
      </c>
      <c r="G220" s="3">
        <f>Logs[[#This Row],[Duree_Panne_Min]]/1440</f>
        <v>2.8472222222222222E-2</v>
      </c>
      <c r="H220">
        <v>41</v>
      </c>
      <c r="I220" t="str">
        <f>_xlfn.XLOOKUP(Logs[[#This Row],[Cell_ID]],'Registre_Maintenance'!B:B,'Registre_Maintenance'!D:D,"Pas de correspondance")</f>
        <v>Pas de correspondance</v>
      </c>
      <c r="J220" t="str">
        <f>_xlfn.XLOOKUP(Logs[[#This Row],[Cell_ID]],'Registre_Maintenance'!B:B,'Registre_Maintenance'!E:E,"Pas de correspondance")</f>
        <v>Pas de correspondance</v>
      </c>
      <c r="K220" t="str">
        <f>_xlfn.XLOOKUP(Logs[[#This Row],[Cell_ID]],'Registre_Maintenance'!B:B,'Registre_Maintenance'!F:F,"Pas de correspondance")</f>
        <v>Pas de correspondance</v>
      </c>
      <c r="L220" t="str">
        <f>_xlfn.XLOOKUP(Logs[[#This Row],[Cell_ID]],'Registre_Maintenance'!B:B,'Registre_Maintenance'!G:G,"Pas de correspondance")</f>
        <v>Pas de correspondance</v>
      </c>
      <c r="M220" s="1" t="s">
        <v>809</v>
      </c>
      <c r="N220" s="1" t="str">
        <f>_xlfn.XLOOKUP(Logs[[#This Row],[ID_Client]],Clients_Log!B:B,Clients_Log!E:E,"Pas de correspondance")</f>
        <v>Pas de correspondance</v>
      </c>
      <c r="O220" s="4" t="str">
        <f>IFERROR(Logs[[#This Row],[Anciennete_Mois]]/12,"")</f>
        <v/>
      </c>
      <c r="P220" s="1" t="str">
        <f>_xlfn.XLOOKUP(Logs[[#This Row],[ID_Client]],Clients_Log!B:B,Clients_Log!F:F,"Pas de correspondance")</f>
        <v>Pas de correspondance</v>
      </c>
      <c r="Q220" s="1" t="str">
        <f>IF(Logs[[#This Row],[Type_Forfait]]="Pro Monde","B2B","B2C")</f>
        <v>B2C</v>
      </c>
      <c r="R220" s="1" t="str">
        <f>_xlfn.XLOOKUP(Logs[[#This Row],[ID_Client]],Clients_Log!B:B,Clients_Log!G:G,"Pas de correspondance")</f>
        <v>Pas de correspondance</v>
      </c>
      <c r="S220" s="1" t="e">
        <f>Logs[[#This Row],[Duree_Cumulee_Panne_Min]]/1440</f>
        <v>#VALUE!</v>
      </c>
      <c r="T220" s="1" t="str">
        <f>_xlfn.XLOOKUP(Logs[[#This Row],[ID_Client]],Clients_Log!B:B,Clients_Log!H:H,"Pas de correspondance")</f>
        <v>Pas de correspondance</v>
      </c>
      <c r="U220" s="1" t="str">
        <f>_xlfn.XLOOKUP(Logs[[#This Row],[ID_Client]],Clients_Log!B:B,Clients_Log!I:I,"Pas de correspondance")</f>
        <v>Pas de correspondance</v>
      </c>
      <c r="V22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20" s="1" t="e">
        <f>Logs[[#This Row],[Facture_Mensuelle]]*Logs[[#This Row],[Remise (%)]]</f>
        <v>#VALUE!</v>
      </c>
    </row>
    <row r="221" spans="1:23" hidden="1" x14ac:dyDescent="0.25">
      <c r="A221" s="1" t="s">
        <v>976</v>
      </c>
      <c r="B221" s="2">
        <v>45214</v>
      </c>
      <c r="C221" s="1" t="str">
        <f>_xlfn.XLOOKUP(Logs[[#This Row],[Province_RDC]],Clients_Log!D:D,Clients_Log!B:B,"Pas de correspondance")</f>
        <v>Pas de correspondance</v>
      </c>
      <c r="D221" t="str">
        <f>_xlfn.XLOOKUP(Logs[[#This Row],[Cell_ID]],'Registre_Maintenance'!B:B,'Registre_Maintenance'!C:C,"Pas de correspondance")</f>
        <v>Pas de correspondance</v>
      </c>
      <c r="E221" s="3">
        <v>0.92986111111111114</v>
      </c>
      <c r="F221" s="1" t="s">
        <v>1007</v>
      </c>
      <c r="G221" s="3">
        <f>Logs[[#This Row],[Duree_Panne_Min]]/1440</f>
        <v>6.1805555555555558E-2</v>
      </c>
      <c r="H221">
        <v>89</v>
      </c>
      <c r="I221" t="str">
        <f>_xlfn.XLOOKUP(Logs[[#This Row],[Cell_ID]],'Registre_Maintenance'!B:B,'Registre_Maintenance'!D:D,"Pas de correspondance")</f>
        <v>Pas de correspondance</v>
      </c>
      <c r="J221" t="str">
        <f>_xlfn.XLOOKUP(Logs[[#This Row],[Cell_ID]],'Registre_Maintenance'!B:B,'Registre_Maintenance'!E:E,"Pas de correspondance")</f>
        <v>Pas de correspondance</v>
      </c>
      <c r="K221" t="str">
        <f>_xlfn.XLOOKUP(Logs[[#This Row],[Cell_ID]],'Registre_Maintenance'!B:B,'Registre_Maintenance'!F:F,"Pas de correspondance")</f>
        <v>Pas de correspondance</v>
      </c>
      <c r="L221" t="str">
        <f>_xlfn.XLOOKUP(Logs[[#This Row],[Cell_ID]],'Registre_Maintenance'!B:B,'Registre_Maintenance'!G:G,"Pas de correspondance")</f>
        <v>Pas de correspondance</v>
      </c>
      <c r="M221" s="1" t="s">
        <v>811</v>
      </c>
      <c r="N221" s="1" t="str">
        <f>_xlfn.XLOOKUP(Logs[[#This Row],[ID_Client]],Clients_Log!B:B,Clients_Log!E:E,"Pas de correspondance")</f>
        <v>Pas de correspondance</v>
      </c>
      <c r="O221" s="4" t="str">
        <f>IFERROR(Logs[[#This Row],[Anciennete_Mois]]/12,"")</f>
        <v/>
      </c>
      <c r="P221" s="1" t="str">
        <f>_xlfn.XLOOKUP(Logs[[#This Row],[ID_Client]],Clients_Log!B:B,Clients_Log!F:F,"Pas de correspondance")</f>
        <v>Pas de correspondance</v>
      </c>
      <c r="Q221" s="1" t="str">
        <f>IF(Logs[[#This Row],[Type_Forfait]]="Pro Monde","B2B","B2C")</f>
        <v>B2C</v>
      </c>
      <c r="R221" s="1" t="str">
        <f>_xlfn.XLOOKUP(Logs[[#This Row],[ID_Client]],Clients_Log!B:B,Clients_Log!G:G,"Pas de correspondance")</f>
        <v>Pas de correspondance</v>
      </c>
      <c r="S221" s="1" t="e">
        <f>Logs[[#This Row],[Duree_Cumulee_Panne_Min]]/1440</f>
        <v>#VALUE!</v>
      </c>
      <c r="T221" s="1" t="str">
        <f>_xlfn.XLOOKUP(Logs[[#This Row],[ID_Client]],Clients_Log!B:B,Clients_Log!H:H,"Pas de correspondance")</f>
        <v>Pas de correspondance</v>
      </c>
      <c r="U221" s="1" t="str">
        <f>_xlfn.XLOOKUP(Logs[[#This Row],[ID_Client]],Clients_Log!B:B,Clients_Log!I:I,"Pas de correspondance")</f>
        <v>Pas de correspondance</v>
      </c>
      <c r="V22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21" s="1" t="e">
        <f>Logs[[#This Row],[Facture_Mensuelle]]*Logs[[#This Row],[Remise (%)]]</f>
        <v>#VALUE!</v>
      </c>
    </row>
    <row r="222" spans="1:23" hidden="1" x14ac:dyDescent="0.25">
      <c r="A222" s="1" t="s">
        <v>976</v>
      </c>
      <c r="B222" s="2">
        <v>45222</v>
      </c>
      <c r="C222" s="1" t="str">
        <f>_xlfn.XLOOKUP(Logs[[#This Row],[Province_RDC]],Clients_Log!D:D,Clients_Log!B:B,"Pas de correspondance")</f>
        <v>Pas de correspondance</v>
      </c>
      <c r="D222" t="str">
        <f>_xlfn.XLOOKUP(Logs[[#This Row],[Cell_ID]],'Registre_Maintenance'!B:B,'Registre_Maintenance'!C:C,"Pas de correspondance")</f>
        <v>Pas de correspondance</v>
      </c>
      <c r="E222" s="3">
        <v>0.51180555555555551</v>
      </c>
      <c r="F222" s="1" t="s">
        <v>1008</v>
      </c>
      <c r="G222" s="3">
        <f>Logs[[#This Row],[Duree_Panne_Min]]/1440</f>
        <v>3.888888888888889E-2</v>
      </c>
      <c r="H222">
        <v>56</v>
      </c>
      <c r="I222" t="str">
        <f>_xlfn.XLOOKUP(Logs[[#This Row],[Cell_ID]],'Registre_Maintenance'!B:B,'Registre_Maintenance'!D:D,"Pas de correspondance")</f>
        <v>Pas de correspondance</v>
      </c>
      <c r="J222" t="str">
        <f>_xlfn.XLOOKUP(Logs[[#This Row],[Cell_ID]],'Registre_Maintenance'!B:B,'Registre_Maintenance'!E:E,"Pas de correspondance")</f>
        <v>Pas de correspondance</v>
      </c>
      <c r="K222" t="str">
        <f>_xlfn.XLOOKUP(Logs[[#This Row],[Cell_ID]],'Registre_Maintenance'!B:B,'Registre_Maintenance'!F:F,"Pas de correspondance")</f>
        <v>Pas de correspondance</v>
      </c>
      <c r="L222" t="str">
        <f>_xlfn.XLOOKUP(Logs[[#This Row],[Cell_ID]],'Registre_Maintenance'!B:B,'Registre_Maintenance'!G:G,"Pas de correspondance")</f>
        <v>Pas de correspondance</v>
      </c>
      <c r="M222" s="1" t="s">
        <v>806</v>
      </c>
      <c r="N222" s="1" t="str">
        <f>_xlfn.XLOOKUP(Logs[[#This Row],[ID_Client]],Clients_Log!B:B,Clients_Log!E:E,"Pas de correspondance")</f>
        <v>Pas de correspondance</v>
      </c>
      <c r="O222" s="4" t="str">
        <f>IFERROR(Logs[[#This Row],[Anciennete_Mois]]/12,"")</f>
        <v/>
      </c>
      <c r="P222" s="1" t="str">
        <f>_xlfn.XLOOKUP(Logs[[#This Row],[ID_Client]],Clients_Log!B:B,Clients_Log!F:F,"Pas de correspondance")</f>
        <v>Pas de correspondance</v>
      </c>
      <c r="Q222" s="1" t="str">
        <f>IF(Logs[[#This Row],[Type_Forfait]]="Pro Monde","B2B","B2C")</f>
        <v>B2C</v>
      </c>
      <c r="R222" s="1" t="str">
        <f>_xlfn.XLOOKUP(Logs[[#This Row],[ID_Client]],Clients_Log!B:B,Clients_Log!G:G,"Pas de correspondance")</f>
        <v>Pas de correspondance</v>
      </c>
      <c r="S222" s="1" t="e">
        <f>Logs[[#This Row],[Duree_Cumulee_Panne_Min]]/1440</f>
        <v>#VALUE!</v>
      </c>
      <c r="T222" s="1" t="str">
        <f>_xlfn.XLOOKUP(Logs[[#This Row],[ID_Client]],Clients_Log!B:B,Clients_Log!H:H,"Pas de correspondance")</f>
        <v>Pas de correspondance</v>
      </c>
      <c r="U222" s="1" t="str">
        <f>_xlfn.XLOOKUP(Logs[[#This Row],[ID_Client]],Clients_Log!B:B,Clients_Log!I:I,"Pas de correspondance")</f>
        <v>Pas de correspondance</v>
      </c>
      <c r="V22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22" s="1" t="e">
        <f>Logs[[#This Row],[Facture_Mensuelle]]*Logs[[#This Row],[Remise (%)]]</f>
        <v>#VALUE!</v>
      </c>
    </row>
    <row r="223" spans="1:23" x14ac:dyDescent="0.25">
      <c r="A223" s="1" t="s">
        <v>976</v>
      </c>
      <c r="B223" s="2">
        <v>45216</v>
      </c>
      <c r="C223" s="1" t="str">
        <f>_xlfn.XLOOKUP(Logs[[#This Row],[Province_RDC]],Clients_Log!D:D,Clients_Log!B:B,"Pas de correspondance")</f>
        <v>CLI-01837</v>
      </c>
      <c r="D223" t="str">
        <f>_xlfn.XLOOKUP(Logs[[#This Row],[Cell_ID]],'Registre_Maintenance'!B:B,'Registre_Maintenance'!C:C,"Pas de correspondance")</f>
        <v>Kasaï-Oriental</v>
      </c>
      <c r="E223" s="3">
        <v>0.72986111111111107</v>
      </c>
      <c r="F223" s="1" t="s">
        <v>1009</v>
      </c>
      <c r="G223" s="3">
        <f>Logs[[#This Row],[Duree_Panne_Min]]/1440</f>
        <v>7.5694444444444439E-2</v>
      </c>
      <c r="H223">
        <v>109</v>
      </c>
      <c r="I223">
        <f>_xlfn.XLOOKUP(Logs[[#This Row],[Cell_ID]],'Registre_Maintenance'!B:B,'Registre_Maintenance'!D:D,"Pas de correspondance")</f>
        <v>0.639208</v>
      </c>
      <c r="J223">
        <f>_xlfn.XLOOKUP(Logs[[#This Row],[Cell_ID]],'Registre_Maintenance'!B:B,'Registre_Maintenance'!E:E,"Pas de correspondance")</f>
        <v>20.701739</v>
      </c>
      <c r="K223" t="str">
        <f>_xlfn.XLOOKUP(Logs[[#This Row],[Cell_ID]],'Registre_Maintenance'!B:B,'Registre_Maintenance'!F:F,"Pas de correspondance")</f>
        <v>4G</v>
      </c>
      <c r="L223" t="str">
        <f>_xlfn.XLOOKUP(Logs[[#This Row],[Cell_ID]],'Registre_Maintenance'!B:B,'Registre_Maintenance'!G:G,"Pas de correspondance")</f>
        <v>Huawei</v>
      </c>
      <c r="M223" s="1" t="s">
        <v>811</v>
      </c>
      <c r="N223" s="1">
        <f>_xlfn.XLOOKUP(Logs[[#This Row],[ID_Client]],Clients_Log!B:B,Clients_Log!E:E,"Pas de correspondance")</f>
        <v>97</v>
      </c>
      <c r="O223" s="4">
        <f>IFERROR(Logs[[#This Row],[Anciennete_Mois]]/12,"")</f>
        <v>8.0833333333333339</v>
      </c>
      <c r="P223" s="1" t="str">
        <f>_xlfn.XLOOKUP(Logs[[#This Row],[ID_Client]],Clients_Log!B:B,Clients_Log!F:F,"Pas de correspondance")</f>
        <v>Pro Monde</v>
      </c>
      <c r="Q223" s="1" t="str">
        <f>IF(Logs[[#This Row],[Type_Forfait]]="Pro Monde","B2B","B2C")</f>
        <v>B2B</v>
      </c>
      <c r="R223" s="1">
        <f>_xlfn.XLOOKUP(Logs[[#This Row],[ID_Client]],Clients_Log!B:B,Clients_Log!G:G,"Pas de correspondance")</f>
        <v>319</v>
      </c>
      <c r="S223" s="3">
        <f>Logs[[#This Row],[Duree_Cumulee_Panne_Min]]/1440</f>
        <v>0.22152777777777777</v>
      </c>
      <c r="T223" s="1">
        <f>_xlfn.XLOOKUP(Logs[[#This Row],[ID_Client]],Clients_Log!B:B,Clients_Log!H:H,"Pas de correspondance")</f>
        <v>31.25</v>
      </c>
      <c r="U223" s="1">
        <f>_xlfn.XLOOKUP(Logs[[#This Row],[ID_Client]],Clients_Log!B:B,Clients_Log!I:I,"Pas de correspondance")</f>
        <v>1</v>
      </c>
      <c r="V22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23" s="1">
        <f>Logs[[#This Row],[Facture_Mensuelle]]*Logs[[#This Row],[Remise (%)]]</f>
        <v>14.0625</v>
      </c>
    </row>
    <row r="224" spans="1:23" hidden="1" x14ac:dyDescent="0.25">
      <c r="A224" s="1" t="s">
        <v>976</v>
      </c>
      <c r="B224" s="2">
        <v>45214</v>
      </c>
      <c r="C224" s="1" t="str">
        <f>_xlfn.XLOOKUP(Logs[[#This Row],[Province_RDC]],Clients_Log!D:D,Clients_Log!B:B,"Pas de correspondance")</f>
        <v>Pas de correspondance</v>
      </c>
      <c r="D224" t="str">
        <f>_xlfn.XLOOKUP(Logs[[#This Row],[Cell_ID]],'Registre_Maintenance'!B:B,'Registre_Maintenance'!C:C,"Pas de correspondance")</f>
        <v>Pas de correspondance</v>
      </c>
      <c r="E224" s="3">
        <v>0.10972222222222222</v>
      </c>
      <c r="F224" s="1" t="s">
        <v>1010</v>
      </c>
      <c r="G224" s="3">
        <f>Logs[[#This Row],[Duree_Panne_Min]]/1440</f>
        <v>7.0833333333333331E-2</v>
      </c>
      <c r="H224">
        <v>102</v>
      </c>
      <c r="I224" t="str">
        <f>_xlfn.XLOOKUP(Logs[[#This Row],[Cell_ID]],'Registre_Maintenance'!B:B,'Registre_Maintenance'!D:D,"Pas de correspondance")</f>
        <v>Pas de correspondance</v>
      </c>
      <c r="J224" t="str">
        <f>_xlfn.XLOOKUP(Logs[[#This Row],[Cell_ID]],'Registre_Maintenance'!B:B,'Registre_Maintenance'!E:E,"Pas de correspondance")</f>
        <v>Pas de correspondance</v>
      </c>
      <c r="K224" t="str">
        <f>_xlfn.XLOOKUP(Logs[[#This Row],[Cell_ID]],'Registre_Maintenance'!B:B,'Registre_Maintenance'!F:F,"Pas de correspondance")</f>
        <v>Pas de correspondance</v>
      </c>
      <c r="L224" t="str">
        <f>_xlfn.XLOOKUP(Logs[[#This Row],[Cell_ID]],'Registre_Maintenance'!B:B,'Registre_Maintenance'!G:G,"Pas de correspondance")</f>
        <v>Pas de correspondance</v>
      </c>
      <c r="M224" s="1" t="s">
        <v>809</v>
      </c>
      <c r="N224" s="1" t="str">
        <f>_xlfn.XLOOKUP(Logs[[#This Row],[ID_Client]],Clients_Log!B:B,Clients_Log!E:E,"Pas de correspondance")</f>
        <v>Pas de correspondance</v>
      </c>
      <c r="O224" s="4" t="str">
        <f>IFERROR(Logs[[#This Row],[Anciennete_Mois]]/12,"")</f>
        <v/>
      </c>
      <c r="P224" s="1" t="str">
        <f>_xlfn.XLOOKUP(Logs[[#This Row],[ID_Client]],Clients_Log!B:B,Clients_Log!F:F,"Pas de correspondance")</f>
        <v>Pas de correspondance</v>
      </c>
      <c r="Q224" s="1" t="str">
        <f>IF(Logs[[#This Row],[Type_Forfait]]="Pro Monde","B2B","B2C")</f>
        <v>B2C</v>
      </c>
      <c r="R224" s="1" t="str">
        <f>_xlfn.XLOOKUP(Logs[[#This Row],[ID_Client]],Clients_Log!B:B,Clients_Log!G:G,"Pas de correspondance")</f>
        <v>Pas de correspondance</v>
      </c>
      <c r="S224" s="1" t="e">
        <f>Logs[[#This Row],[Duree_Cumulee_Panne_Min]]/1440</f>
        <v>#VALUE!</v>
      </c>
      <c r="T224" s="1" t="str">
        <f>_xlfn.XLOOKUP(Logs[[#This Row],[ID_Client]],Clients_Log!B:B,Clients_Log!H:H,"Pas de correspondance")</f>
        <v>Pas de correspondance</v>
      </c>
      <c r="U224" s="1" t="str">
        <f>_xlfn.XLOOKUP(Logs[[#This Row],[ID_Client]],Clients_Log!B:B,Clients_Log!I:I,"Pas de correspondance")</f>
        <v>Pas de correspondance</v>
      </c>
      <c r="V22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24" s="1" t="e">
        <f>Logs[[#This Row],[Facture_Mensuelle]]*Logs[[#This Row],[Remise (%)]]</f>
        <v>#VALUE!</v>
      </c>
    </row>
    <row r="225" spans="1:23" x14ac:dyDescent="0.25">
      <c r="A225" s="1" t="s">
        <v>976</v>
      </c>
      <c r="B225" s="2">
        <v>45201</v>
      </c>
      <c r="C225" s="1" t="str">
        <f>_xlfn.XLOOKUP(Logs[[#This Row],[Province_RDC]],Clients_Log!D:D,Clients_Log!B:B,"Pas de correspondance")</f>
        <v>CLI-00076</v>
      </c>
      <c r="D225" t="str">
        <f>_xlfn.XLOOKUP(Logs[[#This Row],[Cell_ID]],'Registre_Maintenance'!B:B,'Registre_Maintenance'!C:C,"Pas de correspondance")</f>
        <v>Haut-Katanga</v>
      </c>
      <c r="E225" s="3">
        <v>0.57430555555555551</v>
      </c>
      <c r="F225" s="1" t="s">
        <v>827</v>
      </c>
      <c r="G225" s="3">
        <f>Logs[[#This Row],[Duree_Panne_Min]]/1440</f>
        <v>5.2083333333333336E-2</v>
      </c>
      <c r="H225">
        <v>75</v>
      </c>
      <c r="I225">
        <f>_xlfn.XLOOKUP(Logs[[#This Row],[Cell_ID]],'Registre_Maintenance'!B:B,'Registre_Maintenance'!D:D,"Pas de correspondance")</f>
        <v>0.172153</v>
      </c>
      <c r="J225">
        <f>_xlfn.XLOOKUP(Logs[[#This Row],[Cell_ID]],'Registre_Maintenance'!B:B,'Registre_Maintenance'!E:E,"Pas de correspondance")</f>
        <v>21.091376</v>
      </c>
      <c r="K225" t="str">
        <f>_xlfn.XLOOKUP(Logs[[#This Row],[Cell_ID]],'Registre_Maintenance'!B:B,'Registre_Maintenance'!F:F,"Pas de correspondance")</f>
        <v>3G</v>
      </c>
      <c r="L225" t="str">
        <f>_xlfn.XLOOKUP(Logs[[#This Row],[Cell_ID]],'Registre_Maintenance'!B:B,'Registre_Maintenance'!G:G,"Pas de correspondance")</f>
        <v>Ericsson</v>
      </c>
      <c r="M225" s="1" t="s">
        <v>811</v>
      </c>
      <c r="N225" s="1">
        <f>_xlfn.XLOOKUP(Logs[[#This Row],[ID_Client]],Clients_Log!B:B,Clients_Log!E:E,"Pas de correspondance")</f>
        <v>46</v>
      </c>
      <c r="O225" s="4">
        <f>IFERROR(Logs[[#This Row],[Anciennete_Mois]]/12,"")</f>
        <v>3.8333333333333335</v>
      </c>
      <c r="P225" s="1" t="str">
        <f>_xlfn.XLOOKUP(Logs[[#This Row],[ID_Client]],Clients_Log!B:B,Clients_Log!F:F,"Pas de correspondance")</f>
        <v>Premium 5G 150Go</v>
      </c>
      <c r="Q225" s="1" t="str">
        <f>IF(Logs[[#This Row],[Type_Forfait]]="Pro Monde","B2B","B2C")</f>
        <v>B2C</v>
      </c>
      <c r="R225" s="1">
        <f>_xlfn.XLOOKUP(Logs[[#This Row],[ID_Client]],Clients_Log!B:B,Clients_Log!G:G,"Pas de correspondance")</f>
        <v>283</v>
      </c>
      <c r="S225" s="3">
        <f>Logs[[#This Row],[Duree_Cumulee_Panne_Min]]/1440</f>
        <v>0.19652777777777777</v>
      </c>
      <c r="T225" s="1">
        <f>_xlfn.XLOOKUP(Logs[[#This Row],[ID_Client]],Clients_Log!B:B,Clients_Log!H:H,"Pas de correspondance")</f>
        <v>56.05</v>
      </c>
      <c r="U225" s="1">
        <f>_xlfn.XLOOKUP(Logs[[#This Row],[ID_Client]],Clients_Log!B:B,Clients_Log!I:I,"Pas de correspondance")</f>
        <v>1</v>
      </c>
      <c r="V22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25" s="1">
        <f>Logs[[#This Row],[Facture_Mensuelle]]*Logs[[#This Row],[Remise (%)]]</f>
        <v>25.2225</v>
      </c>
    </row>
    <row r="226" spans="1:23" hidden="1" x14ac:dyDescent="0.25">
      <c r="A226" s="1" t="s">
        <v>976</v>
      </c>
      <c r="B226" s="2">
        <v>45210</v>
      </c>
      <c r="C226" s="1" t="str">
        <f>_xlfn.XLOOKUP(Logs[[#This Row],[Province_RDC]],Clients_Log!D:D,Clients_Log!B:B,"Pas de correspondance")</f>
        <v>Pas de correspondance</v>
      </c>
      <c r="D226" t="str">
        <f>_xlfn.XLOOKUP(Logs[[#This Row],[Cell_ID]],'Registre_Maintenance'!B:B,'Registre_Maintenance'!C:C,"Pas de correspondance")</f>
        <v>Pas de correspondance</v>
      </c>
      <c r="E226" s="3">
        <v>0.80277777777777781</v>
      </c>
      <c r="F226" s="1" t="s">
        <v>1011</v>
      </c>
      <c r="G226" s="3">
        <f>Logs[[#This Row],[Duree_Panne_Min]]/1440</f>
        <v>6.2500000000000003E-3</v>
      </c>
      <c r="H226">
        <v>9</v>
      </c>
      <c r="I226" t="str">
        <f>_xlfn.XLOOKUP(Logs[[#This Row],[Cell_ID]],'Registre_Maintenance'!B:B,'Registre_Maintenance'!D:D,"Pas de correspondance")</f>
        <v>Pas de correspondance</v>
      </c>
      <c r="J226" t="str">
        <f>_xlfn.XLOOKUP(Logs[[#This Row],[Cell_ID]],'Registre_Maintenance'!B:B,'Registre_Maintenance'!E:E,"Pas de correspondance")</f>
        <v>Pas de correspondance</v>
      </c>
      <c r="K226" t="str">
        <f>_xlfn.XLOOKUP(Logs[[#This Row],[Cell_ID]],'Registre_Maintenance'!B:B,'Registre_Maintenance'!F:F,"Pas de correspondance")</f>
        <v>Pas de correspondance</v>
      </c>
      <c r="L226" t="str">
        <f>_xlfn.XLOOKUP(Logs[[#This Row],[Cell_ID]],'Registre_Maintenance'!B:B,'Registre_Maintenance'!G:G,"Pas de correspondance")</f>
        <v>Pas de correspondance</v>
      </c>
      <c r="M226" s="1" t="s">
        <v>809</v>
      </c>
      <c r="N226" s="1" t="str">
        <f>_xlfn.XLOOKUP(Logs[[#This Row],[ID_Client]],Clients_Log!B:B,Clients_Log!E:E,"Pas de correspondance")</f>
        <v>Pas de correspondance</v>
      </c>
      <c r="O226" s="4" t="str">
        <f>IFERROR(Logs[[#This Row],[Anciennete_Mois]]/12,"")</f>
        <v/>
      </c>
      <c r="P226" s="1" t="str">
        <f>_xlfn.XLOOKUP(Logs[[#This Row],[ID_Client]],Clients_Log!B:B,Clients_Log!F:F,"Pas de correspondance")</f>
        <v>Pas de correspondance</v>
      </c>
      <c r="Q226" s="1" t="str">
        <f>IF(Logs[[#This Row],[Type_Forfait]]="Pro Monde","B2B","B2C")</f>
        <v>B2C</v>
      </c>
      <c r="R226" s="1" t="str">
        <f>_xlfn.XLOOKUP(Logs[[#This Row],[ID_Client]],Clients_Log!B:B,Clients_Log!G:G,"Pas de correspondance")</f>
        <v>Pas de correspondance</v>
      </c>
      <c r="S226" s="1" t="e">
        <f>Logs[[#This Row],[Duree_Cumulee_Panne_Min]]/1440</f>
        <v>#VALUE!</v>
      </c>
      <c r="T226" s="1" t="str">
        <f>_xlfn.XLOOKUP(Logs[[#This Row],[ID_Client]],Clients_Log!B:B,Clients_Log!H:H,"Pas de correspondance")</f>
        <v>Pas de correspondance</v>
      </c>
      <c r="U226" s="1" t="str">
        <f>_xlfn.XLOOKUP(Logs[[#This Row],[ID_Client]],Clients_Log!B:B,Clients_Log!I:I,"Pas de correspondance")</f>
        <v>Pas de correspondance</v>
      </c>
      <c r="V22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26" s="1" t="e">
        <f>Logs[[#This Row],[Facture_Mensuelle]]*Logs[[#This Row],[Remise (%)]]</f>
        <v>#VALUE!</v>
      </c>
    </row>
    <row r="227" spans="1:23" hidden="1" x14ac:dyDescent="0.25">
      <c r="A227" s="1" t="s">
        <v>976</v>
      </c>
      <c r="B227" s="2">
        <v>45200</v>
      </c>
      <c r="C227" s="1" t="str">
        <f>_xlfn.XLOOKUP(Logs[[#This Row],[Province_RDC]],Clients_Log!D:D,Clients_Log!B:B,"Pas de correspondance")</f>
        <v>Pas de correspondance</v>
      </c>
      <c r="D227" t="str">
        <f>_xlfn.XLOOKUP(Logs[[#This Row],[Cell_ID]],'Registre_Maintenance'!B:B,'Registre_Maintenance'!C:C,"Pas de correspondance")</f>
        <v>Pas de correspondance</v>
      </c>
      <c r="E227" s="3">
        <v>9.3055555555555558E-2</v>
      </c>
      <c r="F227" s="1" t="s">
        <v>848</v>
      </c>
      <c r="G227" s="3">
        <f>Logs[[#This Row],[Duree_Panne_Min]]/1440</f>
        <v>4.3749999999999997E-2</v>
      </c>
      <c r="H227">
        <v>63</v>
      </c>
      <c r="I227" t="str">
        <f>_xlfn.XLOOKUP(Logs[[#This Row],[Cell_ID]],'Registre_Maintenance'!B:B,'Registre_Maintenance'!D:D,"Pas de correspondance")</f>
        <v>Pas de correspondance</v>
      </c>
      <c r="J227" t="str">
        <f>_xlfn.XLOOKUP(Logs[[#This Row],[Cell_ID]],'Registre_Maintenance'!B:B,'Registre_Maintenance'!E:E,"Pas de correspondance")</f>
        <v>Pas de correspondance</v>
      </c>
      <c r="K227" t="str">
        <f>_xlfn.XLOOKUP(Logs[[#This Row],[Cell_ID]],'Registre_Maintenance'!B:B,'Registre_Maintenance'!F:F,"Pas de correspondance")</f>
        <v>Pas de correspondance</v>
      </c>
      <c r="L227" t="str">
        <f>_xlfn.XLOOKUP(Logs[[#This Row],[Cell_ID]],'Registre_Maintenance'!B:B,'Registre_Maintenance'!G:G,"Pas de correspondance")</f>
        <v>Pas de correspondance</v>
      </c>
      <c r="M227" s="1" t="s">
        <v>809</v>
      </c>
      <c r="N227" s="1" t="str">
        <f>_xlfn.XLOOKUP(Logs[[#This Row],[ID_Client]],Clients_Log!B:B,Clients_Log!E:E,"Pas de correspondance")</f>
        <v>Pas de correspondance</v>
      </c>
      <c r="O227" s="4" t="str">
        <f>IFERROR(Logs[[#This Row],[Anciennete_Mois]]/12,"")</f>
        <v/>
      </c>
      <c r="P227" s="1" t="str">
        <f>_xlfn.XLOOKUP(Logs[[#This Row],[ID_Client]],Clients_Log!B:B,Clients_Log!F:F,"Pas de correspondance")</f>
        <v>Pas de correspondance</v>
      </c>
      <c r="Q227" s="1" t="str">
        <f>IF(Logs[[#This Row],[Type_Forfait]]="Pro Monde","B2B","B2C")</f>
        <v>B2C</v>
      </c>
      <c r="R227" s="1" t="str">
        <f>_xlfn.XLOOKUP(Logs[[#This Row],[ID_Client]],Clients_Log!B:B,Clients_Log!G:G,"Pas de correspondance")</f>
        <v>Pas de correspondance</v>
      </c>
      <c r="S227" s="1" t="e">
        <f>Logs[[#This Row],[Duree_Cumulee_Panne_Min]]/1440</f>
        <v>#VALUE!</v>
      </c>
      <c r="T227" s="1" t="str">
        <f>_xlfn.XLOOKUP(Logs[[#This Row],[ID_Client]],Clients_Log!B:B,Clients_Log!H:H,"Pas de correspondance")</f>
        <v>Pas de correspondance</v>
      </c>
      <c r="U227" s="1" t="str">
        <f>_xlfn.XLOOKUP(Logs[[#This Row],[ID_Client]],Clients_Log!B:B,Clients_Log!I:I,"Pas de correspondance")</f>
        <v>Pas de correspondance</v>
      </c>
      <c r="V22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27" s="1" t="e">
        <f>Logs[[#This Row],[Facture_Mensuelle]]*Logs[[#This Row],[Remise (%)]]</f>
        <v>#VALUE!</v>
      </c>
    </row>
    <row r="228" spans="1:23" hidden="1" x14ac:dyDescent="0.25">
      <c r="A228" s="1" t="s">
        <v>976</v>
      </c>
      <c r="B228" s="2">
        <v>45230</v>
      </c>
      <c r="C228" s="1" t="str">
        <f>_xlfn.XLOOKUP(Logs[[#This Row],[Province_RDC]],Clients_Log!D:D,Clients_Log!B:B,"Pas de correspondance")</f>
        <v>Pas de correspondance</v>
      </c>
      <c r="D228" t="str">
        <f>_xlfn.XLOOKUP(Logs[[#This Row],[Cell_ID]],'Registre_Maintenance'!B:B,'Registre_Maintenance'!C:C,"Pas de correspondance")</f>
        <v>Pas de correspondance</v>
      </c>
      <c r="E228" s="3">
        <v>0.91180555555555554</v>
      </c>
      <c r="F228" s="1" t="s">
        <v>1012</v>
      </c>
      <c r="G228" s="3">
        <f>Logs[[#This Row],[Duree_Panne_Min]]/1440</f>
        <v>1.1111111111111112E-2</v>
      </c>
      <c r="H228">
        <v>16</v>
      </c>
      <c r="I228" t="str">
        <f>_xlfn.XLOOKUP(Logs[[#This Row],[Cell_ID]],'Registre_Maintenance'!B:B,'Registre_Maintenance'!D:D,"Pas de correspondance")</f>
        <v>Pas de correspondance</v>
      </c>
      <c r="J228" t="str">
        <f>_xlfn.XLOOKUP(Logs[[#This Row],[Cell_ID]],'Registre_Maintenance'!B:B,'Registre_Maintenance'!E:E,"Pas de correspondance")</f>
        <v>Pas de correspondance</v>
      </c>
      <c r="K228" t="str">
        <f>_xlfn.XLOOKUP(Logs[[#This Row],[Cell_ID]],'Registre_Maintenance'!B:B,'Registre_Maintenance'!F:F,"Pas de correspondance")</f>
        <v>Pas de correspondance</v>
      </c>
      <c r="L228" t="str">
        <f>_xlfn.XLOOKUP(Logs[[#This Row],[Cell_ID]],'Registre_Maintenance'!B:B,'Registre_Maintenance'!G:G,"Pas de correspondance")</f>
        <v>Pas de correspondance</v>
      </c>
      <c r="M228" s="1" t="s">
        <v>809</v>
      </c>
      <c r="N228" s="1" t="str">
        <f>_xlfn.XLOOKUP(Logs[[#This Row],[ID_Client]],Clients_Log!B:B,Clients_Log!E:E,"Pas de correspondance")</f>
        <v>Pas de correspondance</v>
      </c>
      <c r="O228" s="4" t="str">
        <f>IFERROR(Logs[[#This Row],[Anciennete_Mois]]/12,"")</f>
        <v/>
      </c>
      <c r="P228" s="1" t="str">
        <f>_xlfn.XLOOKUP(Logs[[#This Row],[ID_Client]],Clients_Log!B:B,Clients_Log!F:F,"Pas de correspondance")</f>
        <v>Pas de correspondance</v>
      </c>
      <c r="Q228" s="1" t="str">
        <f>IF(Logs[[#This Row],[Type_Forfait]]="Pro Monde","B2B","B2C")</f>
        <v>B2C</v>
      </c>
      <c r="R228" s="1" t="str">
        <f>_xlfn.XLOOKUP(Logs[[#This Row],[ID_Client]],Clients_Log!B:B,Clients_Log!G:G,"Pas de correspondance")</f>
        <v>Pas de correspondance</v>
      </c>
      <c r="S228" s="1" t="e">
        <f>Logs[[#This Row],[Duree_Cumulee_Panne_Min]]/1440</f>
        <v>#VALUE!</v>
      </c>
      <c r="T228" s="1" t="str">
        <f>_xlfn.XLOOKUP(Logs[[#This Row],[ID_Client]],Clients_Log!B:B,Clients_Log!H:H,"Pas de correspondance")</f>
        <v>Pas de correspondance</v>
      </c>
      <c r="U228" s="1" t="str">
        <f>_xlfn.XLOOKUP(Logs[[#This Row],[ID_Client]],Clients_Log!B:B,Clients_Log!I:I,"Pas de correspondance")</f>
        <v>Pas de correspondance</v>
      </c>
      <c r="V22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28" s="1" t="e">
        <f>Logs[[#This Row],[Facture_Mensuelle]]*Logs[[#This Row],[Remise (%)]]</f>
        <v>#VALUE!</v>
      </c>
    </row>
    <row r="229" spans="1:23" hidden="1" x14ac:dyDescent="0.25">
      <c r="A229" s="1" t="s">
        <v>976</v>
      </c>
      <c r="B229" s="2">
        <v>45227</v>
      </c>
      <c r="C229" s="1" t="str">
        <f>_xlfn.XLOOKUP(Logs[[#This Row],[Province_RDC]],Clients_Log!D:D,Clients_Log!B:B,"Pas de correspondance")</f>
        <v>Pas de correspondance</v>
      </c>
      <c r="D229" t="str">
        <f>_xlfn.XLOOKUP(Logs[[#This Row],[Cell_ID]],'Registre_Maintenance'!B:B,'Registre_Maintenance'!C:C,"Pas de correspondance")</f>
        <v>Pas de correspondance</v>
      </c>
      <c r="E229" s="3">
        <v>0.77569444444444446</v>
      </c>
      <c r="F229" s="1" t="s">
        <v>915</v>
      </c>
      <c r="G229" s="3">
        <f>Logs[[#This Row],[Duree_Panne_Min]]/1440</f>
        <v>3.125E-2</v>
      </c>
      <c r="H229">
        <v>45</v>
      </c>
      <c r="I229" t="str">
        <f>_xlfn.XLOOKUP(Logs[[#This Row],[Cell_ID]],'Registre_Maintenance'!B:B,'Registre_Maintenance'!D:D,"Pas de correspondance")</f>
        <v>Pas de correspondance</v>
      </c>
      <c r="J229" t="str">
        <f>_xlfn.XLOOKUP(Logs[[#This Row],[Cell_ID]],'Registre_Maintenance'!B:B,'Registre_Maintenance'!E:E,"Pas de correspondance")</f>
        <v>Pas de correspondance</v>
      </c>
      <c r="K229" t="str">
        <f>_xlfn.XLOOKUP(Logs[[#This Row],[Cell_ID]],'Registre_Maintenance'!B:B,'Registre_Maintenance'!F:F,"Pas de correspondance")</f>
        <v>Pas de correspondance</v>
      </c>
      <c r="L229" t="str">
        <f>_xlfn.XLOOKUP(Logs[[#This Row],[Cell_ID]],'Registre_Maintenance'!B:B,'Registre_Maintenance'!G:G,"Pas de correspondance")</f>
        <v>Pas de correspondance</v>
      </c>
      <c r="M229" s="1" t="s">
        <v>811</v>
      </c>
      <c r="N229" s="1" t="str">
        <f>_xlfn.XLOOKUP(Logs[[#This Row],[ID_Client]],Clients_Log!B:B,Clients_Log!E:E,"Pas de correspondance")</f>
        <v>Pas de correspondance</v>
      </c>
      <c r="O229" s="4" t="str">
        <f>IFERROR(Logs[[#This Row],[Anciennete_Mois]]/12,"")</f>
        <v/>
      </c>
      <c r="P229" s="1" t="str">
        <f>_xlfn.XLOOKUP(Logs[[#This Row],[ID_Client]],Clients_Log!B:B,Clients_Log!F:F,"Pas de correspondance")</f>
        <v>Pas de correspondance</v>
      </c>
      <c r="Q229" s="1" t="str">
        <f>IF(Logs[[#This Row],[Type_Forfait]]="Pro Monde","B2B","B2C")</f>
        <v>B2C</v>
      </c>
      <c r="R229" s="1" t="str">
        <f>_xlfn.XLOOKUP(Logs[[#This Row],[ID_Client]],Clients_Log!B:B,Clients_Log!G:G,"Pas de correspondance")</f>
        <v>Pas de correspondance</v>
      </c>
      <c r="S229" s="1" t="e">
        <f>Logs[[#This Row],[Duree_Cumulee_Panne_Min]]/1440</f>
        <v>#VALUE!</v>
      </c>
      <c r="T229" s="1" t="str">
        <f>_xlfn.XLOOKUP(Logs[[#This Row],[ID_Client]],Clients_Log!B:B,Clients_Log!H:H,"Pas de correspondance")</f>
        <v>Pas de correspondance</v>
      </c>
      <c r="U229" s="1" t="str">
        <f>_xlfn.XLOOKUP(Logs[[#This Row],[ID_Client]],Clients_Log!B:B,Clients_Log!I:I,"Pas de correspondance")</f>
        <v>Pas de correspondance</v>
      </c>
      <c r="V22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29" s="1" t="e">
        <f>Logs[[#This Row],[Facture_Mensuelle]]*Logs[[#This Row],[Remise (%)]]</f>
        <v>#VALUE!</v>
      </c>
    </row>
    <row r="230" spans="1:23" hidden="1" x14ac:dyDescent="0.25">
      <c r="A230" s="1" t="s">
        <v>1013</v>
      </c>
      <c r="B230" s="2">
        <v>45212</v>
      </c>
      <c r="C230" s="1" t="str">
        <f>_xlfn.XLOOKUP(Logs[[#This Row],[Province_RDC]],Clients_Log!D:D,Clients_Log!B:B,"Pas de correspondance")</f>
        <v>Pas de correspondance</v>
      </c>
      <c r="D230" t="str">
        <f>_xlfn.XLOOKUP(Logs[[#This Row],[Cell_ID]],'Registre_Maintenance'!B:B,'Registre_Maintenance'!C:C,"Pas de correspondance")</f>
        <v>Pas de correspondance</v>
      </c>
      <c r="E230" s="3">
        <v>0.62430555555555556</v>
      </c>
      <c r="F230" s="1" t="s">
        <v>1014</v>
      </c>
      <c r="G230" s="3">
        <f>Logs[[#This Row],[Duree_Panne_Min]]/1440</f>
        <v>7.8472222222222221E-2</v>
      </c>
      <c r="H230">
        <v>113</v>
      </c>
      <c r="I230" t="str">
        <f>_xlfn.XLOOKUP(Logs[[#This Row],[Cell_ID]],'Registre_Maintenance'!B:B,'Registre_Maintenance'!D:D,"Pas de correspondance")</f>
        <v>Pas de correspondance</v>
      </c>
      <c r="J230" t="str">
        <f>_xlfn.XLOOKUP(Logs[[#This Row],[Cell_ID]],'Registre_Maintenance'!B:B,'Registre_Maintenance'!E:E,"Pas de correspondance")</f>
        <v>Pas de correspondance</v>
      </c>
      <c r="K230" t="str">
        <f>_xlfn.XLOOKUP(Logs[[#This Row],[Cell_ID]],'Registre_Maintenance'!B:B,'Registre_Maintenance'!F:F,"Pas de correspondance")</f>
        <v>Pas de correspondance</v>
      </c>
      <c r="L230" t="str">
        <f>_xlfn.XLOOKUP(Logs[[#This Row],[Cell_ID]],'Registre_Maintenance'!B:B,'Registre_Maintenance'!G:G,"Pas de correspondance")</f>
        <v>Pas de correspondance</v>
      </c>
      <c r="M230" s="1" t="s">
        <v>811</v>
      </c>
      <c r="N230" s="1" t="str">
        <f>_xlfn.XLOOKUP(Logs[[#This Row],[ID_Client]],Clients_Log!B:B,Clients_Log!E:E,"Pas de correspondance")</f>
        <v>Pas de correspondance</v>
      </c>
      <c r="O230" s="4" t="str">
        <f>IFERROR(Logs[[#This Row],[Anciennete_Mois]]/12,"")</f>
        <v/>
      </c>
      <c r="P230" s="1" t="str">
        <f>_xlfn.XLOOKUP(Logs[[#This Row],[ID_Client]],Clients_Log!B:B,Clients_Log!F:F,"Pas de correspondance")</f>
        <v>Pas de correspondance</v>
      </c>
      <c r="Q230" s="1" t="str">
        <f>IF(Logs[[#This Row],[Type_Forfait]]="Pro Monde","B2B","B2C")</f>
        <v>B2C</v>
      </c>
      <c r="R230" s="1" t="str">
        <f>_xlfn.XLOOKUP(Logs[[#This Row],[ID_Client]],Clients_Log!B:B,Clients_Log!G:G,"Pas de correspondance")</f>
        <v>Pas de correspondance</v>
      </c>
      <c r="S230" s="1" t="e">
        <f>Logs[[#This Row],[Duree_Cumulee_Panne_Min]]/1440</f>
        <v>#VALUE!</v>
      </c>
      <c r="T230" s="1" t="str">
        <f>_xlfn.XLOOKUP(Logs[[#This Row],[ID_Client]],Clients_Log!B:B,Clients_Log!H:H,"Pas de correspondance")</f>
        <v>Pas de correspondance</v>
      </c>
      <c r="U230" s="1" t="str">
        <f>_xlfn.XLOOKUP(Logs[[#This Row],[ID_Client]],Clients_Log!B:B,Clients_Log!I:I,"Pas de correspondance")</f>
        <v>Pas de correspondance</v>
      </c>
      <c r="V23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30" s="1" t="e">
        <f>Logs[[#This Row],[Facture_Mensuelle]]*Logs[[#This Row],[Remise (%)]]</f>
        <v>#VALUE!</v>
      </c>
    </row>
    <row r="231" spans="1:23" x14ac:dyDescent="0.25">
      <c r="A231" s="1" t="s">
        <v>1013</v>
      </c>
      <c r="B231" s="2">
        <v>45210</v>
      </c>
      <c r="C231" s="1" t="str">
        <f>_xlfn.XLOOKUP(Logs[[#This Row],[Province_RDC]],Clients_Log!D:D,Clients_Log!B:B,"Pas de correspondance")</f>
        <v>CLI-00280</v>
      </c>
      <c r="D231" t="str">
        <f>_xlfn.XLOOKUP(Logs[[#This Row],[Cell_ID]],'Registre_Maintenance'!B:B,'Registre_Maintenance'!C:C,"Pas de correspondance")</f>
        <v>Sud-Ubangi</v>
      </c>
      <c r="E231" s="3">
        <v>0.28055555555555556</v>
      </c>
      <c r="F231" s="1" t="s">
        <v>1015</v>
      </c>
      <c r="G231" s="3">
        <f>Logs[[#This Row],[Duree_Panne_Min]]/1440</f>
        <v>2.9861111111111113E-2</v>
      </c>
      <c r="H231">
        <v>43</v>
      </c>
      <c r="I231">
        <f>_xlfn.XLOOKUP(Logs[[#This Row],[Cell_ID]],'Registre_Maintenance'!B:B,'Registre_Maintenance'!D:D,"Pas de correspondance")</f>
        <v>-12.342053999999999</v>
      </c>
      <c r="J231">
        <f>_xlfn.XLOOKUP(Logs[[#This Row],[Cell_ID]],'Registre_Maintenance'!B:B,'Registre_Maintenance'!E:E,"Pas de correspondance")</f>
        <v>18.756862000000002</v>
      </c>
      <c r="K231" t="str">
        <f>_xlfn.XLOOKUP(Logs[[#This Row],[Cell_ID]],'Registre_Maintenance'!B:B,'Registre_Maintenance'!F:F,"Pas de correspondance")</f>
        <v>3G</v>
      </c>
      <c r="L231" t="str">
        <f>_xlfn.XLOOKUP(Logs[[#This Row],[Cell_ID]],'Registre_Maintenance'!B:B,'Registre_Maintenance'!G:G,"Pas de correspondance")</f>
        <v>Ericsson</v>
      </c>
      <c r="M231" s="1" t="s">
        <v>809</v>
      </c>
      <c r="N231" s="1">
        <f>_xlfn.XLOOKUP(Logs[[#This Row],[ID_Client]],Clients_Log!B:B,Clients_Log!E:E,"Pas de correspondance")</f>
        <v>113</v>
      </c>
      <c r="O231" s="4">
        <f>IFERROR(Logs[[#This Row],[Anciennete_Mois]]/12,"")</f>
        <v>9.4166666666666661</v>
      </c>
      <c r="P231" s="1" t="str">
        <f>_xlfn.XLOOKUP(Logs[[#This Row],[ID_Client]],Clients_Log!B:B,Clients_Log!F:F,"Pas de correspondance")</f>
        <v>Illimité 50Go</v>
      </c>
      <c r="Q231" s="1" t="str">
        <f>IF(Logs[[#This Row],[Type_Forfait]]="Pro Monde","B2B","B2C")</f>
        <v>B2C</v>
      </c>
      <c r="R231" s="1">
        <f>_xlfn.XLOOKUP(Logs[[#This Row],[ID_Client]],Clients_Log!B:B,Clients_Log!G:G,"Pas de correspondance")</f>
        <v>380</v>
      </c>
      <c r="S231" s="3">
        <f>Logs[[#This Row],[Duree_Cumulee_Panne_Min]]/1440</f>
        <v>0.2638888888888889</v>
      </c>
      <c r="T231" s="1">
        <f>_xlfn.XLOOKUP(Logs[[#This Row],[ID_Client]],Clients_Log!B:B,Clients_Log!H:H,"Pas de correspondance")</f>
        <v>12.11</v>
      </c>
      <c r="U231" s="1">
        <f>_xlfn.XLOOKUP(Logs[[#This Row],[ID_Client]],Clients_Log!B:B,Clients_Log!I:I,"Pas de correspondance")</f>
        <v>0</v>
      </c>
      <c r="V23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31" s="1">
        <f>Logs[[#This Row],[Facture_Mensuelle]]*Logs[[#This Row],[Remise (%)]]</f>
        <v>5.4494999999999996</v>
      </c>
    </row>
    <row r="232" spans="1:23" hidden="1" x14ac:dyDescent="0.25">
      <c r="A232" s="1" t="s">
        <v>1013</v>
      </c>
      <c r="B232" s="2">
        <v>45207</v>
      </c>
      <c r="C232" s="1" t="str">
        <f>_xlfn.XLOOKUP(Logs[[#This Row],[Province_RDC]],Clients_Log!D:D,Clients_Log!B:B,"Pas de correspondance")</f>
        <v>Pas de correspondance</v>
      </c>
      <c r="D232" t="str">
        <f>_xlfn.XLOOKUP(Logs[[#This Row],[Cell_ID]],'Registre_Maintenance'!B:B,'Registre_Maintenance'!C:C,"Pas de correspondance")</f>
        <v>Pas de correspondance</v>
      </c>
      <c r="E232" s="3">
        <v>0.54305555555555551</v>
      </c>
      <c r="F232" s="1" t="s">
        <v>1016</v>
      </c>
      <c r="G232" s="3">
        <f>Logs[[#This Row],[Duree_Panne_Min]]/1440</f>
        <v>3.7499999999999999E-2</v>
      </c>
      <c r="H232">
        <v>54</v>
      </c>
      <c r="I232" t="str">
        <f>_xlfn.XLOOKUP(Logs[[#This Row],[Cell_ID]],'Registre_Maintenance'!B:B,'Registre_Maintenance'!D:D,"Pas de correspondance")</f>
        <v>Pas de correspondance</v>
      </c>
      <c r="J232" t="str">
        <f>_xlfn.XLOOKUP(Logs[[#This Row],[Cell_ID]],'Registre_Maintenance'!B:B,'Registre_Maintenance'!E:E,"Pas de correspondance")</f>
        <v>Pas de correspondance</v>
      </c>
      <c r="K232" t="str">
        <f>_xlfn.XLOOKUP(Logs[[#This Row],[Cell_ID]],'Registre_Maintenance'!B:B,'Registre_Maintenance'!F:F,"Pas de correspondance")</f>
        <v>Pas de correspondance</v>
      </c>
      <c r="L232" t="str">
        <f>_xlfn.XLOOKUP(Logs[[#This Row],[Cell_ID]],'Registre_Maintenance'!B:B,'Registre_Maintenance'!G:G,"Pas de correspondance")</f>
        <v>Pas de correspondance</v>
      </c>
      <c r="M232" s="1" t="s">
        <v>806</v>
      </c>
      <c r="N232" s="1" t="str">
        <f>_xlfn.XLOOKUP(Logs[[#This Row],[ID_Client]],Clients_Log!B:B,Clients_Log!E:E,"Pas de correspondance")</f>
        <v>Pas de correspondance</v>
      </c>
      <c r="O232" s="4" t="str">
        <f>IFERROR(Logs[[#This Row],[Anciennete_Mois]]/12,"")</f>
        <v/>
      </c>
      <c r="P232" s="1" t="str">
        <f>_xlfn.XLOOKUP(Logs[[#This Row],[ID_Client]],Clients_Log!B:B,Clients_Log!F:F,"Pas de correspondance")</f>
        <v>Pas de correspondance</v>
      </c>
      <c r="Q232" s="1" t="str">
        <f>IF(Logs[[#This Row],[Type_Forfait]]="Pro Monde","B2B","B2C")</f>
        <v>B2C</v>
      </c>
      <c r="R232" s="1" t="str">
        <f>_xlfn.XLOOKUP(Logs[[#This Row],[ID_Client]],Clients_Log!B:B,Clients_Log!G:G,"Pas de correspondance")</f>
        <v>Pas de correspondance</v>
      </c>
      <c r="S232" s="1" t="e">
        <f>Logs[[#This Row],[Duree_Cumulee_Panne_Min]]/1440</f>
        <v>#VALUE!</v>
      </c>
      <c r="T232" s="1" t="str">
        <f>_xlfn.XLOOKUP(Logs[[#This Row],[ID_Client]],Clients_Log!B:B,Clients_Log!H:H,"Pas de correspondance")</f>
        <v>Pas de correspondance</v>
      </c>
      <c r="U232" s="1" t="str">
        <f>_xlfn.XLOOKUP(Logs[[#This Row],[ID_Client]],Clients_Log!B:B,Clients_Log!I:I,"Pas de correspondance")</f>
        <v>Pas de correspondance</v>
      </c>
      <c r="V23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32" s="1" t="e">
        <f>Logs[[#This Row],[Facture_Mensuelle]]*Logs[[#This Row],[Remise (%)]]</f>
        <v>#VALUE!</v>
      </c>
    </row>
    <row r="233" spans="1:23" hidden="1" x14ac:dyDescent="0.25">
      <c r="A233" s="1" t="s">
        <v>1013</v>
      </c>
      <c r="B233" s="2">
        <v>45210</v>
      </c>
      <c r="C233" s="1" t="str">
        <f>_xlfn.XLOOKUP(Logs[[#This Row],[Province_RDC]],Clients_Log!D:D,Clients_Log!B:B,"Pas de correspondance")</f>
        <v>Pas de correspondance</v>
      </c>
      <c r="D233" t="str">
        <f>_xlfn.XLOOKUP(Logs[[#This Row],[Cell_ID]],'Registre_Maintenance'!B:B,'Registre_Maintenance'!C:C,"Pas de correspondance")</f>
        <v>Pas de correspondance</v>
      </c>
      <c r="E233" s="3">
        <v>0.97916666666666663</v>
      </c>
      <c r="F233" s="1" t="s">
        <v>1017</v>
      </c>
      <c r="G233" s="3">
        <f>Logs[[#This Row],[Duree_Panne_Min]]/1440</f>
        <v>7.9166666666666663E-2</v>
      </c>
      <c r="H233">
        <v>114</v>
      </c>
      <c r="I233" t="str">
        <f>_xlfn.XLOOKUP(Logs[[#This Row],[Cell_ID]],'Registre_Maintenance'!B:B,'Registre_Maintenance'!D:D,"Pas de correspondance")</f>
        <v>Pas de correspondance</v>
      </c>
      <c r="J233" t="str">
        <f>_xlfn.XLOOKUP(Logs[[#This Row],[Cell_ID]],'Registre_Maintenance'!B:B,'Registre_Maintenance'!E:E,"Pas de correspondance")</f>
        <v>Pas de correspondance</v>
      </c>
      <c r="K233" t="str">
        <f>_xlfn.XLOOKUP(Logs[[#This Row],[Cell_ID]],'Registre_Maintenance'!B:B,'Registre_Maintenance'!F:F,"Pas de correspondance")</f>
        <v>Pas de correspondance</v>
      </c>
      <c r="L233" t="str">
        <f>_xlfn.XLOOKUP(Logs[[#This Row],[Cell_ID]],'Registre_Maintenance'!B:B,'Registre_Maintenance'!G:G,"Pas de correspondance")</f>
        <v>Pas de correspondance</v>
      </c>
      <c r="M233" s="1" t="s">
        <v>811</v>
      </c>
      <c r="N233" s="1" t="str">
        <f>_xlfn.XLOOKUP(Logs[[#This Row],[ID_Client]],Clients_Log!B:B,Clients_Log!E:E,"Pas de correspondance")</f>
        <v>Pas de correspondance</v>
      </c>
      <c r="O233" s="4" t="str">
        <f>IFERROR(Logs[[#This Row],[Anciennete_Mois]]/12,"")</f>
        <v/>
      </c>
      <c r="P233" s="1" t="str">
        <f>_xlfn.XLOOKUP(Logs[[#This Row],[ID_Client]],Clients_Log!B:B,Clients_Log!F:F,"Pas de correspondance")</f>
        <v>Pas de correspondance</v>
      </c>
      <c r="Q233" s="1" t="str">
        <f>IF(Logs[[#This Row],[Type_Forfait]]="Pro Monde","B2B","B2C")</f>
        <v>B2C</v>
      </c>
      <c r="R233" s="1" t="str">
        <f>_xlfn.XLOOKUP(Logs[[#This Row],[ID_Client]],Clients_Log!B:B,Clients_Log!G:G,"Pas de correspondance")</f>
        <v>Pas de correspondance</v>
      </c>
      <c r="S233" s="1" t="e">
        <f>Logs[[#This Row],[Duree_Cumulee_Panne_Min]]/1440</f>
        <v>#VALUE!</v>
      </c>
      <c r="T233" s="1" t="str">
        <f>_xlfn.XLOOKUP(Logs[[#This Row],[ID_Client]],Clients_Log!B:B,Clients_Log!H:H,"Pas de correspondance")</f>
        <v>Pas de correspondance</v>
      </c>
      <c r="U233" s="1" t="str">
        <f>_xlfn.XLOOKUP(Logs[[#This Row],[ID_Client]],Clients_Log!B:B,Clients_Log!I:I,"Pas de correspondance")</f>
        <v>Pas de correspondance</v>
      </c>
      <c r="V23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33" s="1" t="e">
        <f>Logs[[#This Row],[Facture_Mensuelle]]*Logs[[#This Row],[Remise (%)]]</f>
        <v>#VALUE!</v>
      </c>
    </row>
    <row r="234" spans="1:23" hidden="1" x14ac:dyDescent="0.25">
      <c r="A234" s="1" t="s">
        <v>1013</v>
      </c>
      <c r="B234" s="2">
        <v>45222</v>
      </c>
      <c r="C234" s="1" t="str">
        <f>_xlfn.XLOOKUP(Logs[[#This Row],[Province_RDC]],Clients_Log!D:D,Clients_Log!B:B,"Pas de correspondance")</f>
        <v>Pas de correspondance</v>
      </c>
      <c r="D234" t="str">
        <f>_xlfn.XLOOKUP(Logs[[#This Row],[Cell_ID]],'Registre_Maintenance'!B:B,'Registre_Maintenance'!C:C,"Pas de correspondance")</f>
        <v>Pas de correspondance</v>
      </c>
      <c r="E234" s="3">
        <v>0.51666666666666672</v>
      </c>
      <c r="F234" s="1" t="s">
        <v>1018</v>
      </c>
      <c r="G234" s="3">
        <f>Logs[[#This Row],[Duree_Panne_Min]]/1440</f>
        <v>4.583333333333333E-2</v>
      </c>
      <c r="H234">
        <v>66</v>
      </c>
      <c r="I234" t="str">
        <f>_xlfn.XLOOKUP(Logs[[#This Row],[Cell_ID]],'Registre_Maintenance'!B:B,'Registre_Maintenance'!D:D,"Pas de correspondance")</f>
        <v>Pas de correspondance</v>
      </c>
      <c r="J234" t="str">
        <f>_xlfn.XLOOKUP(Logs[[#This Row],[Cell_ID]],'Registre_Maintenance'!B:B,'Registre_Maintenance'!E:E,"Pas de correspondance")</f>
        <v>Pas de correspondance</v>
      </c>
      <c r="K234" t="str">
        <f>_xlfn.XLOOKUP(Logs[[#This Row],[Cell_ID]],'Registre_Maintenance'!B:B,'Registre_Maintenance'!F:F,"Pas de correspondance")</f>
        <v>Pas de correspondance</v>
      </c>
      <c r="L234" t="str">
        <f>_xlfn.XLOOKUP(Logs[[#This Row],[Cell_ID]],'Registre_Maintenance'!B:B,'Registre_Maintenance'!G:G,"Pas de correspondance")</f>
        <v>Pas de correspondance</v>
      </c>
      <c r="M234" s="1" t="s">
        <v>806</v>
      </c>
      <c r="N234" s="1" t="str">
        <f>_xlfn.XLOOKUP(Logs[[#This Row],[ID_Client]],Clients_Log!B:B,Clients_Log!E:E,"Pas de correspondance")</f>
        <v>Pas de correspondance</v>
      </c>
      <c r="O234" s="4" t="str">
        <f>IFERROR(Logs[[#This Row],[Anciennete_Mois]]/12,"")</f>
        <v/>
      </c>
      <c r="P234" s="1" t="str">
        <f>_xlfn.XLOOKUP(Logs[[#This Row],[ID_Client]],Clients_Log!B:B,Clients_Log!F:F,"Pas de correspondance")</f>
        <v>Pas de correspondance</v>
      </c>
      <c r="Q234" s="1" t="str">
        <f>IF(Logs[[#This Row],[Type_Forfait]]="Pro Monde","B2B","B2C")</f>
        <v>B2C</v>
      </c>
      <c r="R234" s="1" t="str">
        <f>_xlfn.XLOOKUP(Logs[[#This Row],[ID_Client]],Clients_Log!B:B,Clients_Log!G:G,"Pas de correspondance")</f>
        <v>Pas de correspondance</v>
      </c>
      <c r="S234" s="1" t="e">
        <f>Logs[[#This Row],[Duree_Cumulee_Panne_Min]]/1440</f>
        <v>#VALUE!</v>
      </c>
      <c r="T234" s="1" t="str">
        <f>_xlfn.XLOOKUP(Logs[[#This Row],[ID_Client]],Clients_Log!B:B,Clients_Log!H:H,"Pas de correspondance")</f>
        <v>Pas de correspondance</v>
      </c>
      <c r="U234" s="1" t="str">
        <f>_xlfn.XLOOKUP(Logs[[#This Row],[ID_Client]],Clients_Log!B:B,Clients_Log!I:I,"Pas de correspondance")</f>
        <v>Pas de correspondance</v>
      </c>
      <c r="V23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34" s="1" t="e">
        <f>Logs[[#This Row],[Facture_Mensuelle]]*Logs[[#This Row],[Remise (%)]]</f>
        <v>#VALUE!</v>
      </c>
    </row>
    <row r="235" spans="1:23" hidden="1" x14ac:dyDescent="0.25">
      <c r="A235" s="1" t="s">
        <v>1013</v>
      </c>
      <c r="B235" s="2">
        <v>45221</v>
      </c>
      <c r="C235" s="1" t="str">
        <f>_xlfn.XLOOKUP(Logs[[#This Row],[Province_RDC]],Clients_Log!D:D,Clients_Log!B:B,"Pas de correspondance")</f>
        <v>Pas de correspondance</v>
      </c>
      <c r="D235" t="str">
        <f>_xlfn.XLOOKUP(Logs[[#This Row],[Cell_ID]],'Registre_Maintenance'!B:B,'Registre_Maintenance'!C:C,"Pas de correspondance")</f>
        <v>Pas de correspondance</v>
      </c>
      <c r="E235" s="3">
        <v>0.83958333333333335</v>
      </c>
      <c r="F235" s="1" t="s">
        <v>1019</v>
      </c>
      <c r="G235" s="3">
        <f>Logs[[#This Row],[Duree_Panne_Min]]/1440</f>
        <v>1.2500000000000001E-2</v>
      </c>
      <c r="H235">
        <v>18</v>
      </c>
      <c r="I235" t="str">
        <f>_xlfn.XLOOKUP(Logs[[#This Row],[Cell_ID]],'Registre_Maintenance'!B:B,'Registre_Maintenance'!D:D,"Pas de correspondance")</f>
        <v>Pas de correspondance</v>
      </c>
      <c r="J235" t="str">
        <f>_xlfn.XLOOKUP(Logs[[#This Row],[Cell_ID]],'Registre_Maintenance'!B:B,'Registre_Maintenance'!E:E,"Pas de correspondance")</f>
        <v>Pas de correspondance</v>
      </c>
      <c r="K235" t="str">
        <f>_xlfn.XLOOKUP(Logs[[#This Row],[Cell_ID]],'Registre_Maintenance'!B:B,'Registre_Maintenance'!F:F,"Pas de correspondance")</f>
        <v>Pas de correspondance</v>
      </c>
      <c r="L235" t="str">
        <f>_xlfn.XLOOKUP(Logs[[#This Row],[Cell_ID]],'Registre_Maintenance'!B:B,'Registre_Maintenance'!G:G,"Pas de correspondance")</f>
        <v>Pas de correspondance</v>
      </c>
      <c r="M235" s="1" t="s">
        <v>806</v>
      </c>
      <c r="N235" s="1" t="str">
        <f>_xlfn.XLOOKUP(Logs[[#This Row],[ID_Client]],Clients_Log!B:B,Clients_Log!E:E,"Pas de correspondance")</f>
        <v>Pas de correspondance</v>
      </c>
      <c r="O235" s="4" t="str">
        <f>IFERROR(Logs[[#This Row],[Anciennete_Mois]]/12,"")</f>
        <v/>
      </c>
      <c r="P235" s="1" t="str">
        <f>_xlfn.XLOOKUP(Logs[[#This Row],[ID_Client]],Clients_Log!B:B,Clients_Log!F:F,"Pas de correspondance")</f>
        <v>Pas de correspondance</v>
      </c>
      <c r="Q235" s="1" t="str">
        <f>IF(Logs[[#This Row],[Type_Forfait]]="Pro Monde","B2B","B2C")</f>
        <v>B2C</v>
      </c>
      <c r="R235" s="1" t="str">
        <f>_xlfn.XLOOKUP(Logs[[#This Row],[ID_Client]],Clients_Log!B:B,Clients_Log!G:G,"Pas de correspondance")</f>
        <v>Pas de correspondance</v>
      </c>
      <c r="S235" s="1" t="e">
        <f>Logs[[#This Row],[Duree_Cumulee_Panne_Min]]/1440</f>
        <v>#VALUE!</v>
      </c>
      <c r="T235" s="1" t="str">
        <f>_xlfn.XLOOKUP(Logs[[#This Row],[ID_Client]],Clients_Log!B:B,Clients_Log!H:H,"Pas de correspondance")</f>
        <v>Pas de correspondance</v>
      </c>
      <c r="U235" s="1" t="str">
        <f>_xlfn.XLOOKUP(Logs[[#This Row],[ID_Client]],Clients_Log!B:B,Clients_Log!I:I,"Pas de correspondance")</f>
        <v>Pas de correspondance</v>
      </c>
      <c r="V23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35" s="1" t="e">
        <f>Logs[[#This Row],[Facture_Mensuelle]]*Logs[[#This Row],[Remise (%)]]</f>
        <v>#VALUE!</v>
      </c>
    </row>
    <row r="236" spans="1:23" hidden="1" x14ac:dyDescent="0.25">
      <c r="A236" s="1" t="s">
        <v>1013</v>
      </c>
      <c r="B236" s="2">
        <v>45215</v>
      </c>
      <c r="C236" s="1" t="str">
        <f>_xlfn.XLOOKUP(Logs[[#This Row],[Province_RDC]],Clients_Log!D:D,Clients_Log!B:B,"Pas de correspondance")</f>
        <v>Pas de correspondance</v>
      </c>
      <c r="D236" t="str">
        <f>_xlfn.XLOOKUP(Logs[[#This Row],[Cell_ID]],'Registre_Maintenance'!B:B,'Registre_Maintenance'!C:C,"Pas de correspondance")</f>
        <v>Pas de correspondance</v>
      </c>
      <c r="E236" s="3">
        <v>4.7222222222222221E-2</v>
      </c>
      <c r="F236" s="1" t="s">
        <v>1020</v>
      </c>
      <c r="G236" s="3">
        <f>Logs[[#This Row],[Duree_Panne_Min]]/1440</f>
        <v>2.4305555555555556E-2</v>
      </c>
      <c r="H236">
        <v>35</v>
      </c>
      <c r="I236" t="str">
        <f>_xlfn.XLOOKUP(Logs[[#This Row],[Cell_ID]],'Registre_Maintenance'!B:B,'Registre_Maintenance'!D:D,"Pas de correspondance")</f>
        <v>Pas de correspondance</v>
      </c>
      <c r="J236" t="str">
        <f>_xlfn.XLOOKUP(Logs[[#This Row],[Cell_ID]],'Registre_Maintenance'!B:B,'Registre_Maintenance'!E:E,"Pas de correspondance")</f>
        <v>Pas de correspondance</v>
      </c>
      <c r="K236" t="str">
        <f>_xlfn.XLOOKUP(Logs[[#This Row],[Cell_ID]],'Registre_Maintenance'!B:B,'Registre_Maintenance'!F:F,"Pas de correspondance")</f>
        <v>Pas de correspondance</v>
      </c>
      <c r="L236" t="str">
        <f>_xlfn.XLOOKUP(Logs[[#This Row],[Cell_ID]],'Registre_Maintenance'!B:B,'Registre_Maintenance'!G:G,"Pas de correspondance")</f>
        <v>Pas de correspondance</v>
      </c>
      <c r="M236" s="1" t="s">
        <v>806</v>
      </c>
      <c r="N236" s="1" t="str">
        <f>_xlfn.XLOOKUP(Logs[[#This Row],[ID_Client]],Clients_Log!B:B,Clients_Log!E:E,"Pas de correspondance")</f>
        <v>Pas de correspondance</v>
      </c>
      <c r="O236" s="4" t="str">
        <f>IFERROR(Logs[[#This Row],[Anciennete_Mois]]/12,"")</f>
        <v/>
      </c>
      <c r="P236" s="1" t="str">
        <f>_xlfn.XLOOKUP(Logs[[#This Row],[ID_Client]],Clients_Log!B:B,Clients_Log!F:F,"Pas de correspondance")</f>
        <v>Pas de correspondance</v>
      </c>
      <c r="Q236" s="1" t="str">
        <f>IF(Logs[[#This Row],[Type_Forfait]]="Pro Monde","B2B","B2C")</f>
        <v>B2C</v>
      </c>
      <c r="R236" s="1" t="str">
        <f>_xlfn.XLOOKUP(Logs[[#This Row],[ID_Client]],Clients_Log!B:B,Clients_Log!G:G,"Pas de correspondance")</f>
        <v>Pas de correspondance</v>
      </c>
      <c r="S236" s="1" t="e">
        <f>Logs[[#This Row],[Duree_Cumulee_Panne_Min]]/1440</f>
        <v>#VALUE!</v>
      </c>
      <c r="T236" s="1" t="str">
        <f>_xlfn.XLOOKUP(Logs[[#This Row],[ID_Client]],Clients_Log!B:B,Clients_Log!H:H,"Pas de correspondance")</f>
        <v>Pas de correspondance</v>
      </c>
      <c r="U236" s="1" t="str">
        <f>_xlfn.XLOOKUP(Logs[[#This Row],[ID_Client]],Clients_Log!B:B,Clients_Log!I:I,"Pas de correspondance")</f>
        <v>Pas de correspondance</v>
      </c>
      <c r="V23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36" s="1" t="e">
        <f>Logs[[#This Row],[Facture_Mensuelle]]*Logs[[#This Row],[Remise (%)]]</f>
        <v>#VALUE!</v>
      </c>
    </row>
    <row r="237" spans="1:23" x14ac:dyDescent="0.25">
      <c r="A237" s="1" t="s">
        <v>1013</v>
      </c>
      <c r="B237" s="2">
        <v>45216</v>
      </c>
      <c r="C237" s="1" t="str">
        <f>_xlfn.XLOOKUP(Logs[[#This Row],[Province_RDC]],Clients_Log!D:D,Clients_Log!B:B,"Pas de correspondance")</f>
        <v>CLI-00280</v>
      </c>
      <c r="D237" t="str">
        <f>_xlfn.XLOOKUP(Logs[[#This Row],[Cell_ID]],'Registre_Maintenance'!B:B,'Registre_Maintenance'!C:C,"Pas de correspondance")</f>
        <v>Sud-Ubangi</v>
      </c>
      <c r="E237" s="3">
        <v>0.76458333333333328</v>
      </c>
      <c r="F237" s="1" t="s">
        <v>884</v>
      </c>
      <c r="G237" s="3">
        <f>Logs[[#This Row],[Duree_Panne_Min]]/1440</f>
        <v>3.6805555555555557E-2</v>
      </c>
      <c r="H237">
        <v>53</v>
      </c>
      <c r="I237">
        <f>_xlfn.XLOOKUP(Logs[[#This Row],[Cell_ID]],'Registre_Maintenance'!B:B,'Registre_Maintenance'!D:D,"Pas de correspondance")</f>
        <v>-10.914952</v>
      </c>
      <c r="J237">
        <f>_xlfn.XLOOKUP(Logs[[#This Row],[Cell_ID]],'Registre_Maintenance'!B:B,'Registre_Maintenance'!E:E,"Pas de correspondance")</f>
        <v>26.409648000000001</v>
      </c>
      <c r="K237" t="str">
        <f>_xlfn.XLOOKUP(Logs[[#This Row],[Cell_ID]],'Registre_Maintenance'!B:B,'Registre_Maintenance'!F:F,"Pas de correspondance")</f>
        <v>4G</v>
      </c>
      <c r="L237" t="str">
        <f>_xlfn.XLOOKUP(Logs[[#This Row],[Cell_ID]],'Registre_Maintenance'!B:B,'Registre_Maintenance'!G:G,"Pas de correspondance")</f>
        <v>Huawei</v>
      </c>
      <c r="M237" s="1" t="s">
        <v>809</v>
      </c>
      <c r="N237" s="1">
        <f>_xlfn.XLOOKUP(Logs[[#This Row],[ID_Client]],Clients_Log!B:B,Clients_Log!E:E,"Pas de correspondance")</f>
        <v>113</v>
      </c>
      <c r="O237" s="4">
        <f>IFERROR(Logs[[#This Row],[Anciennete_Mois]]/12,"")</f>
        <v>9.4166666666666661</v>
      </c>
      <c r="P237" s="1" t="str">
        <f>_xlfn.XLOOKUP(Logs[[#This Row],[ID_Client]],Clients_Log!B:B,Clients_Log!F:F,"Pas de correspondance")</f>
        <v>Illimité 50Go</v>
      </c>
      <c r="Q237" s="1" t="str">
        <f>IF(Logs[[#This Row],[Type_Forfait]]="Pro Monde","B2B","B2C")</f>
        <v>B2C</v>
      </c>
      <c r="R237" s="1">
        <f>_xlfn.XLOOKUP(Logs[[#This Row],[ID_Client]],Clients_Log!B:B,Clients_Log!G:G,"Pas de correspondance")</f>
        <v>380</v>
      </c>
      <c r="S237" s="3">
        <f>Logs[[#This Row],[Duree_Cumulee_Panne_Min]]/1440</f>
        <v>0.2638888888888889</v>
      </c>
      <c r="T237" s="1">
        <f>_xlfn.XLOOKUP(Logs[[#This Row],[ID_Client]],Clients_Log!B:B,Clients_Log!H:H,"Pas de correspondance")</f>
        <v>12.11</v>
      </c>
      <c r="U237" s="1">
        <f>_xlfn.XLOOKUP(Logs[[#This Row],[ID_Client]],Clients_Log!B:B,Clients_Log!I:I,"Pas de correspondance")</f>
        <v>0</v>
      </c>
      <c r="V23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37" s="1">
        <f>Logs[[#This Row],[Facture_Mensuelle]]*Logs[[#This Row],[Remise (%)]]</f>
        <v>5.4494999999999996</v>
      </c>
    </row>
    <row r="238" spans="1:23" hidden="1" x14ac:dyDescent="0.25">
      <c r="A238" s="1" t="s">
        <v>1013</v>
      </c>
      <c r="B238" s="2">
        <v>45227</v>
      </c>
      <c r="C238" s="1" t="str">
        <f>_xlfn.XLOOKUP(Logs[[#This Row],[Province_RDC]],Clients_Log!D:D,Clients_Log!B:B,"Pas de correspondance")</f>
        <v>Pas de correspondance</v>
      </c>
      <c r="D238" t="str">
        <f>_xlfn.XLOOKUP(Logs[[#This Row],[Cell_ID]],'Registre_Maintenance'!B:B,'Registre_Maintenance'!C:C,"Pas de correspondance")</f>
        <v>Pas de correspondance</v>
      </c>
      <c r="E238" s="3">
        <v>0.16319444444444445</v>
      </c>
      <c r="F238" s="1" t="s">
        <v>1021</v>
      </c>
      <c r="G238" s="3">
        <f>Logs[[#This Row],[Duree_Panne_Min]]/1440</f>
        <v>5.4166666666666669E-2</v>
      </c>
      <c r="H238">
        <v>78</v>
      </c>
      <c r="I238" t="str">
        <f>_xlfn.XLOOKUP(Logs[[#This Row],[Cell_ID]],'Registre_Maintenance'!B:B,'Registre_Maintenance'!D:D,"Pas de correspondance")</f>
        <v>Pas de correspondance</v>
      </c>
      <c r="J238" t="str">
        <f>_xlfn.XLOOKUP(Logs[[#This Row],[Cell_ID]],'Registre_Maintenance'!B:B,'Registre_Maintenance'!E:E,"Pas de correspondance")</f>
        <v>Pas de correspondance</v>
      </c>
      <c r="K238" t="str">
        <f>_xlfn.XLOOKUP(Logs[[#This Row],[Cell_ID]],'Registre_Maintenance'!B:B,'Registre_Maintenance'!F:F,"Pas de correspondance")</f>
        <v>Pas de correspondance</v>
      </c>
      <c r="L238" t="str">
        <f>_xlfn.XLOOKUP(Logs[[#This Row],[Cell_ID]],'Registre_Maintenance'!B:B,'Registre_Maintenance'!G:G,"Pas de correspondance")</f>
        <v>Pas de correspondance</v>
      </c>
      <c r="M238" s="1" t="s">
        <v>809</v>
      </c>
      <c r="N238" s="1" t="str">
        <f>_xlfn.XLOOKUP(Logs[[#This Row],[ID_Client]],Clients_Log!B:B,Clients_Log!E:E,"Pas de correspondance")</f>
        <v>Pas de correspondance</v>
      </c>
      <c r="O238" s="4" t="str">
        <f>IFERROR(Logs[[#This Row],[Anciennete_Mois]]/12,"")</f>
        <v/>
      </c>
      <c r="P238" s="1" t="str">
        <f>_xlfn.XLOOKUP(Logs[[#This Row],[ID_Client]],Clients_Log!B:B,Clients_Log!F:F,"Pas de correspondance")</f>
        <v>Pas de correspondance</v>
      </c>
      <c r="Q238" s="1" t="str">
        <f>IF(Logs[[#This Row],[Type_Forfait]]="Pro Monde","B2B","B2C")</f>
        <v>B2C</v>
      </c>
      <c r="R238" s="1" t="str">
        <f>_xlfn.XLOOKUP(Logs[[#This Row],[ID_Client]],Clients_Log!B:B,Clients_Log!G:G,"Pas de correspondance")</f>
        <v>Pas de correspondance</v>
      </c>
      <c r="S238" s="1" t="e">
        <f>Logs[[#This Row],[Duree_Cumulee_Panne_Min]]/1440</f>
        <v>#VALUE!</v>
      </c>
      <c r="T238" s="1" t="str">
        <f>_xlfn.XLOOKUP(Logs[[#This Row],[ID_Client]],Clients_Log!B:B,Clients_Log!H:H,"Pas de correspondance")</f>
        <v>Pas de correspondance</v>
      </c>
      <c r="U238" s="1" t="str">
        <f>_xlfn.XLOOKUP(Logs[[#This Row],[ID_Client]],Clients_Log!B:B,Clients_Log!I:I,"Pas de correspondance")</f>
        <v>Pas de correspondance</v>
      </c>
      <c r="V23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38" s="1" t="e">
        <f>Logs[[#This Row],[Facture_Mensuelle]]*Logs[[#This Row],[Remise (%)]]</f>
        <v>#VALUE!</v>
      </c>
    </row>
    <row r="239" spans="1:23" x14ac:dyDescent="0.25">
      <c r="A239" s="1" t="s">
        <v>1013</v>
      </c>
      <c r="B239" s="2">
        <v>45227</v>
      </c>
      <c r="C239" s="1" t="str">
        <f>_xlfn.XLOOKUP(Logs[[#This Row],[Province_RDC]],Clients_Log!D:D,Clients_Log!B:B,"Pas de correspondance")</f>
        <v>CLI-01170</v>
      </c>
      <c r="D239" t="str">
        <f>_xlfn.XLOOKUP(Logs[[#This Row],[Cell_ID]],'Registre_Maintenance'!B:B,'Registre_Maintenance'!C:C,"Pas de correspondance")</f>
        <v>Nord-Ubangi</v>
      </c>
      <c r="E239" s="3">
        <v>0.58750000000000002</v>
      </c>
      <c r="F239" s="1" t="s">
        <v>953</v>
      </c>
      <c r="G239" s="3">
        <f>Logs[[#This Row],[Duree_Panne_Min]]/1440</f>
        <v>3.4722222222222224E-2</v>
      </c>
      <c r="H239">
        <v>50</v>
      </c>
      <c r="I239">
        <f>_xlfn.XLOOKUP(Logs[[#This Row],[Cell_ID]],'Registre_Maintenance'!B:B,'Registre_Maintenance'!D:D,"Pas de correspondance")</f>
        <v>-1.342476</v>
      </c>
      <c r="J239">
        <f>_xlfn.XLOOKUP(Logs[[#This Row],[Cell_ID]],'Registre_Maintenance'!B:B,'Registre_Maintenance'!E:E,"Pas de correspondance")</f>
        <v>15.986086</v>
      </c>
      <c r="K239" t="str">
        <f>_xlfn.XLOOKUP(Logs[[#This Row],[Cell_ID]],'Registre_Maintenance'!B:B,'Registre_Maintenance'!F:F,"Pas de correspondance")</f>
        <v>4G</v>
      </c>
      <c r="L239" t="str">
        <f>_xlfn.XLOOKUP(Logs[[#This Row],[Cell_ID]],'Registre_Maintenance'!B:B,'Registre_Maintenance'!G:G,"Pas de correspondance")</f>
        <v>Ericsson</v>
      </c>
      <c r="M239" s="1" t="s">
        <v>809</v>
      </c>
      <c r="N239" s="1">
        <f>_xlfn.XLOOKUP(Logs[[#This Row],[ID_Client]],Clients_Log!B:B,Clients_Log!E:E,"Pas de correspondance")</f>
        <v>98</v>
      </c>
      <c r="O239" s="4">
        <f>IFERROR(Logs[[#This Row],[Anciennete_Mois]]/12,"")</f>
        <v>8.1666666666666661</v>
      </c>
      <c r="P239" s="1" t="str">
        <f>_xlfn.XLOOKUP(Logs[[#This Row],[ID_Client]],Clients_Log!B:B,Clients_Log!F:F,"Pas de correspondance")</f>
        <v>Pro Monde</v>
      </c>
      <c r="Q239" s="1" t="str">
        <f>IF(Logs[[#This Row],[Type_Forfait]]="Pro Monde","B2B","B2C")</f>
        <v>B2B</v>
      </c>
      <c r="R239" s="1">
        <f>_xlfn.XLOOKUP(Logs[[#This Row],[ID_Client]],Clients_Log!B:B,Clients_Log!G:G,"Pas de correspondance")</f>
        <v>482</v>
      </c>
      <c r="S239" s="3">
        <f>Logs[[#This Row],[Duree_Cumulee_Panne_Min]]/1440</f>
        <v>0.3347222222222222</v>
      </c>
      <c r="T239" s="1">
        <f>_xlfn.XLOOKUP(Logs[[#This Row],[ID_Client]],Clients_Log!B:B,Clients_Log!H:H,"Pas de correspondance")</f>
        <v>55.04</v>
      </c>
      <c r="U239" s="1">
        <f>_xlfn.XLOOKUP(Logs[[#This Row],[ID_Client]],Clients_Log!B:B,Clients_Log!I:I,"Pas de correspondance")</f>
        <v>5</v>
      </c>
      <c r="V23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39" s="1">
        <f>Logs[[#This Row],[Facture_Mensuelle]]*Logs[[#This Row],[Remise (%)]]</f>
        <v>24.768000000000001</v>
      </c>
    </row>
    <row r="240" spans="1:23" x14ac:dyDescent="0.25">
      <c r="A240" s="1" t="s">
        <v>1013</v>
      </c>
      <c r="B240" s="2">
        <v>45216</v>
      </c>
      <c r="C240" s="1" t="str">
        <f>_xlfn.XLOOKUP(Logs[[#This Row],[Province_RDC]],Clients_Log!D:D,Clients_Log!B:B,"Pas de correspondance")</f>
        <v>CLI-00076</v>
      </c>
      <c r="D240" t="str">
        <f>_xlfn.XLOOKUP(Logs[[#This Row],[Cell_ID]],'Registre_Maintenance'!B:B,'Registre_Maintenance'!C:C,"Pas de correspondance")</f>
        <v>Haut-Katanga</v>
      </c>
      <c r="E240" s="3">
        <v>0.58333333333333337</v>
      </c>
      <c r="F240" s="1" t="s">
        <v>1022</v>
      </c>
      <c r="G240" s="3">
        <f>Logs[[#This Row],[Duree_Panne_Min]]/1440</f>
        <v>5.4166666666666669E-2</v>
      </c>
      <c r="H240">
        <v>78</v>
      </c>
      <c r="I240">
        <f>_xlfn.XLOOKUP(Logs[[#This Row],[Cell_ID]],'Registre_Maintenance'!B:B,'Registre_Maintenance'!D:D,"Pas de correspondance")</f>
        <v>0.16841400000000001</v>
      </c>
      <c r="J240">
        <f>_xlfn.XLOOKUP(Logs[[#This Row],[Cell_ID]],'Registre_Maintenance'!B:B,'Registre_Maintenance'!E:E,"Pas de correspondance")</f>
        <v>30.029876999999999</v>
      </c>
      <c r="K240" t="str">
        <f>_xlfn.XLOOKUP(Logs[[#This Row],[Cell_ID]],'Registre_Maintenance'!B:B,'Registre_Maintenance'!F:F,"Pas de correspondance")</f>
        <v>5G</v>
      </c>
      <c r="L240" t="str">
        <f>_xlfn.XLOOKUP(Logs[[#This Row],[Cell_ID]],'Registre_Maintenance'!B:B,'Registre_Maintenance'!G:G,"Pas de correspondance")</f>
        <v>Huawei</v>
      </c>
      <c r="M240" s="1" t="s">
        <v>811</v>
      </c>
      <c r="N240" s="1">
        <f>_xlfn.XLOOKUP(Logs[[#This Row],[ID_Client]],Clients_Log!B:B,Clients_Log!E:E,"Pas de correspondance")</f>
        <v>46</v>
      </c>
      <c r="O240" s="4">
        <f>IFERROR(Logs[[#This Row],[Anciennete_Mois]]/12,"")</f>
        <v>3.8333333333333335</v>
      </c>
      <c r="P240" s="1" t="str">
        <f>_xlfn.XLOOKUP(Logs[[#This Row],[ID_Client]],Clients_Log!B:B,Clients_Log!F:F,"Pas de correspondance")</f>
        <v>Premium 5G 150Go</v>
      </c>
      <c r="Q240" s="1" t="str">
        <f>IF(Logs[[#This Row],[Type_Forfait]]="Pro Monde","B2B","B2C")</f>
        <v>B2C</v>
      </c>
      <c r="R240" s="1">
        <f>_xlfn.XLOOKUP(Logs[[#This Row],[ID_Client]],Clients_Log!B:B,Clients_Log!G:G,"Pas de correspondance")</f>
        <v>283</v>
      </c>
      <c r="S240" s="3">
        <f>Logs[[#This Row],[Duree_Cumulee_Panne_Min]]/1440</f>
        <v>0.19652777777777777</v>
      </c>
      <c r="T240" s="1">
        <f>_xlfn.XLOOKUP(Logs[[#This Row],[ID_Client]],Clients_Log!B:B,Clients_Log!H:H,"Pas de correspondance")</f>
        <v>56.05</v>
      </c>
      <c r="U240" s="1">
        <f>_xlfn.XLOOKUP(Logs[[#This Row],[ID_Client]],Clients_Log!B:B,Clients_Log!I:I,"Pas de correspondance")</f>
        <v>1</v>
      </c>
      <c r="V24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40" s="1">
        <f>Logs[[#This Row],[Facture_Mensuelle]]*Logs[[#This Row],[Remise (%)]]</f>
        <v>25.2225</v>
      </c>
    </row>
    <row r="241" spans="1:23" hidden="1" x14ac:dyDescent="0.25">
      <c r="A241" s="1" t="s">
        <v>1013</v>
      </c>
      <c r="B241" s="2">
        <v>45223</v>
      </c>
      <c r="C241" s="1" t="str">
        <f>_xlfn.XLOOKUP(Logs[[#This Row],[Province_RDC]],Clients_Log!D:D,Clients_Log!B:B,"Pas de correspondance")</f>
        <v>Pas de correspondance</v>
      </c>
      <c r="D241" t="str">
        <f>_xlfn.XLOOKUP(Logs[[#This Row],[Cell_ID]],'Registre_Maintenance'!B:B,'Registre_Maintenance'!C:C,"Pas de correspondance")</f>
        <v>Pas de correspondance</v>
      </c>
      <c r="E241" s="3">
        <v>0.18472222222222223</v>
      </c>
      <c r="F241" s="1" t="s">
        <v>1023</v>
      </c>
      <c r="G241" s="3">
        <f>Logs[[#This Row],[Duree_Panne_Min]]/1440</f>
        <v>2.9166666666666667E-2</v>
      </c>
      <c r="H241">
        <v>42</v>
      </c>
      <c r="I241" t="str">
        <f>_xlfn.XLOOKUP(Logs[[#This Row],[Cell_ID]],'Registre_Maintenance'!B:B,'Registre_Maintenance'!D:D,"Pas de correspondance")</f>
        <v>Pas de correspondance</v>
      </c>
      <c r="J241" t="str">
        <f>_xlfn.XLOOKUP(Logs[[#This Row],[Cell_ID]],'Registre_Maintenance'!B:B,'Registre_Maintenance'!E:E,"Pas de correspondance")</f>
        <v>Pas de correspondance</v>
      </c>
      <c r="K241" t="str">
        <f>_xlfn.XLOOKUP(Logs[[#This Row],[Cell_ID]],'Registre_Maintenance'!B:B,'Registre_Maintenance'!F:F,"Pas de correspondance")</f>
        <v>Pas de correspondance</v>
      </c>
      <c r="L241" t="str">
        <f>_xlfn.XLOOKUP(Logs[[#This Row],[Cell_ID]],'Registre_Maintenance'!B:B,'Registre_Maintenance'!G:G,"Pas de correspondance")</f>
        <v>Pas de correspondance</v>
      </c>
      <c r="M241" s="1" t="s">
        <v>809</v>
      </c>
      <c r="N241" s="1" t="str">
        <f>_xlfn.XLOOKUP(Logs[[#This Row],[ID_Client]],Clients_Log!B:B,Clients_Log!E:E,"Pas de correspondance")</f>
        <v>Pas de correspondance</v>
      </c>
      <c r="O241" s="4" t="str">
        <f>IFERROR(Logs[[#This Row],[Anciennete_Mois]]/12,"")</f>
        <v/>
      </c>
      <c r="P241" s="1" t="str">
        <f>_xlfn.XLOOKUP(Logs[[#This Row],[ID_Client]],Clients_Log!B:B,Clients_Log!F:F,"Pas de correspondance")</f>
        <v>Pas de correspondance</v>
      </c>
      <c r="Q241" s="1" t="str">
        <f>IF(Logs[[#This Row],[Type_Forfait]]="Pro Monde","B2B","B2C")</f>
        <v>B2C</v>
      </c>
      <c r="R241" s="1" t="str">
        <f>_xlfn.XLOOKUP(Logs[[#This Row],[ID_Client]],Clients_Log!B:B,Clients_Log!G:G,"Pas de correspondance")</f>
        <v>Pas de correspondance</v>
      </c>
      <c r="S241" s="1" t="e">
        <f>Logs[[#This Row],[Duree_Cumulee_Panne_Min]]/1440</f>
        <v>#VALUE!</v>
      </c>
      <c r="T241" s="1" t="str">
        <f>_xlfn.XLOOKUP(Logs[[#This Row],[ID_Client]],Clients_Log!B:B,Clients_Log!H:H,"Pas de correspondance")</f>
        <v>Pas de correspondance</v>
      </c>
      <c r="U241" s="1" t="str">
        <f>_xlfn.XLOOKUP(Logs[[#This Row],[ID_Client]],Clients_Log!B:B,Clients_Log!I:I,"Pas de correspondance")</f>
        <v>Pas de correspondance</v>
      </c>
      <c r="V24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41" s="1" t="e">
        <f>Logs[[#This Row],[Facture_Mensuelle]]*Logs[[#This Row],[Remise (%)]]</f>
        <v>#VALUE!</v>
      </c>
    </row>
    <row r="242" spans="1:23" hidden="1" x14ac:dyDescent="0.25">
      <c r="A242" s="1" t="s">
        <v>1013</v>
      </c>
      <c r="B242" s="2">
        <v>45227</v>
      </c>
      <c r="C242" s="1" t="str">
        <f>_xlfn.XLOOKUP(Logs[[#This Row],[Province_RDC]],Clients_Log!D:D,Clients_Log!B:B,"Pas de correspondance")</f>
        <v>Pas de correspondance</v>
      </c>
      <c r="D242" t="str">
        <f>_xlfn.XLOOKUP(Logs[[#This Row],[Cell_ID]],'Registre_Maintenance'!B:B,'Registre_Maintenance'!C:C,"Pas de correspondance")</f>
        <v>Pas de correspondance</v>
      </c>
      <c r="E242" s="3">
        <v>0.83958333333333335</v>
      </c>
      <c r="F242" s="1" t="s">
        <v>1024</v>
      </c>
      <c r="G242" s="3">
        <f>Logs[[#This Row],[Duree_Panne_Min]]/1440</f>
        <v>6.5277777777777782E-2</v>
      </c>
      <c r="H242">
        <v>94</v>
      </c>
      <c r="I242" t="str">
        <f>_xlfn.XLOOKUP(Logs[[#This Row],[Cell_ID]],'Registre_Maintenance'!B:B,'Registre_Maintenance'!D:D,"Pas de correspondance")</f>
        <v>Pas de correspondance</v>
      </c>
      <c r="J242" t="str">
        <f>_xlfn.XLOOKUP(Logs[[#This Row],[Cell_ID]],'Registre_Maintenance'!B:B,'Registre_Maintenance'!E:E,"Pas de correspondance")</f>
        <v>Pas de correspondance</v>
      </c>
      <c r="K242" t="str">
        <f>_xlfn.XLOOKUP(Logs[[#This Row],[Cell_ID]],'Registre_Maintenance'!B:B,'Registre_Maintenance'!F:F,"Pas de correspondance")</f>
        <v>Pas de correspondance</v>
      </c>
      <c r="L242" t="str">
        <f>_xlfn.XLOOKUP(Logs[[#This Row],[Cell_ID]],'Registre_Maintenance'!B:B,'Registre_Maintenance'!G:G,"Pas de correspondance")</f>
        <v>Pas de correspondance</v>
      </c>
      <c r="M242" s="1" t="s">
        <v>811</v>
      </c>
      <c r="N242" s="1" t="str">
        <f>_xlfn.XLOOKUP(Logs[[#This Row],[ID_Client]],Clients_Log!B:B,Clients_Log!E:E,"Pas de correspondance")</f>
        <v>Pas de correspondance</v>
      </c>
      <c r="O242" s="4" t="str">
        <f>IFERROR(Logs[[#This Row],[Anciennete_Mois]]/12,"")</f>
        <v/>
      </c>
      <c r="P242" s="1" t="str">
        <f>_xlfn.XLOOKUP(Logs[[#This Row],[ID_Client]],Clients_Log!B:B,Clients_Log!F:F,"Pas de correspondance")</f>
        <v>Pas de correspondance</v>
      </c>
      <c r="Q242" s="1" t="str">
        <f>IF(Logs[[#This Row],[Type_Forfait]]="Pro Monde","B2B","B2C")</f>
        <v>B2C</v>
      </c>
      <c r="R242" s="1" t="str">
        <f>_xlfn.XLOOKUP(Logs[[#This Row],[ID_Client]],Clients_Log!B:B,Clients_Log!G:G,"Pas de correspondance")</f>
        <v>Pas de correspondance</v>
      </c>
      <c r="S242" s="1" t="e">
        <f>Logs[[#This Row],[Duree_Cumulee_Panne_Min]]/1440</f>
        <v>#VALUE!</v>
      </c>
      <c r="T242" s="1" t="str">
        <f>_xlfn.XLOOKUP(Logs[[#This Row],[ID_Client]],Clients_Log!B:B,Clients_Log!H:H,"Pas de correspondance")</f>
        <v>Pas de correspondance</v>
      </c>
      <c r="U242" s="1" t="str">
        <f>_xlfn.XLOOKUP(Logs[[#This Row],[ID_Client]],Clients_Log!B:B,Clients_Log!I:I,"Pas de correspondance")</f>
        <v>Pas de correspondance</v>
      </c>
      <c r="V24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42" s="1" t="e">
        <f>Logs[[#This Row],[Facture_Mensuelle]]*Logs[[#This Row],[Remise (%)]]</f>
        <v>#VALUE!</v>
      </c>
    </row>
    <row r="243" spans="1:23" hidden="1" x14ac:dyDescent="0.25">
      <c r="A243" s="1" t="s">
        <v>1013</v>
      </c>
      <c r="B243" s="2">
        <v>45202</v>
      </c>
      <c r="C243" s="1" t="str">
        <f>_xlfn.XLOOKUP(Logs[[#This Row],[Province_RDC]],Clients_Log!D:D,Clients_Log!B:B,"Pas de correspondance")</f>
        <v>Pas de correspondance</v>
      </c>
      <c r="D243" t="str">
        <f>_xlfn.XLOOKUP(Logs[[#This Row],[Cell_ID]],'Registre_Maintenance'!B:B,'Registre_Maintenance'!C:C,"Pas de correspondance")</f>
        <v>Pas de correspondance</v>
      </c>
      <c r="E243" s="3">
        <v>0.65972222222222221</v>
      </c>
      <c r="F243" s="1" t="s">
        <v>1025</v>
      </c>
      <c r="G243" s="3">
        <f>Logs[[#This Row],[Duree_Panne_Min]]/1440</f>
        <v>2.9166666666666667E-2</v>
      </c>
      <c r="H243">
        <v>42</v>
      </c>
      <c r="I243" t="str">
        <f>_xlfn.XLOOKUP(Logs[[#This Row],[Cell_ID]],'Registre_Maintenance'!B:B,'Registre_Maintenance'!D:D,"Pas de correspondance")</f>
        <v>Pas de correspondance</v>
      </c>
      <c r="J243" t="str">
        <f>_xlfn.XLOOKUP(Logs[[#This Row],[Cell_ID]],'Registre_Maintenance'!B:B,'Registre_Maintenance'!E:E,"Pas de correspondance")</f>
        <v>Pas de correspondance</v>
      </c>
      <c r="K243" t="str">
        <f>_xlfn.XLOOKUP(Logs[[#This Row],[Cell_ID]],'Registre_Maintenance'!B:B,'Registre_Maintenance'!F:F,"Pas de correspondance")</f>
        <v>Pas de correspondance</v>
      </c>
      <c r="L243" t="str">
        <f>_xlfn.XLOOKUP(Logs[[#This Row],[Cell_ID]],'Registre_Maintenance'!B:B,'Registre_Maintenance'!G:G,"Pas de correspondance")</f>
        <v>Pas de correspondance</v>
      </c>
      <c r="M243" s="1" t="s">
        <v>806</v>
      </c>
      <c r="N243" s="1" t="str">
        <f>_xlfn.XLOOKUP(Logs[[#This Row],[ID_Client]],Clients_Log!B:B,Clients_Log!E:E,"Pas de correspondance")</f>
        <v>Pas de correspondance</v>
      </c>
      <c r="O243" s="4" t="str">
        <f>IFERROR(Logs[[#This Row],[Anciennete_Mois]]/12,"")</f>
        <v/>
      </c>
      <c r="P243" s="1" t="str">
        <f>_xlfn.XLOOKUP(Logs[[#This Row],[ID_Client]],Clients_Log!B:B,Clients_Log!F:F,"Pas de correspondance")</f>
        <v>Pas de correspondance</v>
      </c>
      <c r="Q243" s="1" t="str">
        <f>IF(Logs[[#This Row],[Type_Forfait]]="Pro Monde","B2B","B2C")</f>
        <v>B2C</v>
      </c>
      <c r="R243" s="1" t="str">
        <f>_xlfn.XLOOKUP(Logs[[#This Row],[ID_Client]],Clients_Log!B:B,Clients_Log!G:G,"Pas de correspondance")</f>
        <v>Pas de correspondance</v>
      </c>
      <c r="S243" s="1" t="e">
        <f>Logs[[#This Row],[Duree_Cumulee_Panne_Min]]/1440</f>
        <v>#VALUE!</v>
      </c>
      <c r="T243" s="1" t="str">
        <f>_xlfn.XLOOKUP(Logs[[#This Row],[ID_Client]],Clients_Log!B:B,Clients_Log!H:H,"Pas de correspondance")</f>
        <v>Pas de correspondance</v>
      </c>
      <c r="U243" s="1" t="str">
        <f>_xlfn.XLOOKUP(Logs[[#This Row],[ID_Client]],Clients_Log!B:B,Clients_Log!I:I,"Pas de correspondance")</f>
        <v>Pas de correspondance</v>
      </c>
      <c r="V24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43" s="1" t="e">
        <f>Logs[[#This Row],[Facture_Mensuelle]]*Logs[[#This Row],[Remise (%)]]</f>
        <v>#VALUE!</v>
      </c>
    </row>
    <row r="244" spans="1:23" x14ac:dyDescent="0.25">
      <c r="A244" s="1" t="s">
        <v>1013</v>
      </c>
      <c r="B244" s="2">
        <v>45208</v>
      </c>
      <c r="C244" s="1" t="str">
        <f>_xlfn.XLOOKUP(Logs[[#This Row],[Province_RDC]],Clients_Log!D:D,Clients_Log!B:B,"Pas de correspondance")</f>
        <v>CLI-01325</v>
      </c>
      <c r="D244" t="str">
        <f>_xlfn.XLOOKUP(Logs[[#This Row],[Cell_ID]],'Registre_Maintenance'!B:B,'Registre_Maintenance'!C:C,"Pas de correspondance")</f>
        <v>Haut-Lomami</v>
      </c>
      <c r="E244" s="3">
        <v>0.44374999999999998</v>
      </c>
      <c r="F244" s="1" t="s">
        <v>1026</v>
      </c>
      <c r="G244" s="3">
        <f>Logs[[#This Row],[Duree_Panne_Min]]/1440</f>
        <v>4.8611111111111112E-3</v>
      </c>
      <c r="H244">
        <v>7</v>
      </c>
      <c r="I244">
        <f>_xlfn.XLOOKUP(Logs[[#This Row],[Cell_ID]],'Registre_Maintenance'!B:B,'Registre_Maintenance'!D:D,"Pas de correspondance")</f>
        <v>-6.3324319999999998</v>
      </c>
      <c r="J244">
        <f>_xlfn.XLOOKUP(Logs[[#This Row],[Cell_ID]],'Registre_Maintenance'!B:B,'Registre_Maintenance'!E:E,"Pas de correspondance")</f>
        <v>24.887858000000001</v>
      </c>
      <c r="K244" t="str">
        <f>_xlfn.XLOOKUP(Logs[[#This Row],[Cell_ID]],'Registre_Maintenance'!B:B,'Registre_Maintenance'!F:F,"Pas de correspondance")</f>
        <v>4G</v>
      </c>
      <c r="L244" t="str">
        <f>_xlfn.XLOOKUP(Logs[[#This Row],[Cell_ID]],'Registre_Maintenance'!B:B,'Registre_Maintenance'!G:G,"Pas de correspondance")</f>
        <v>ZTE</v>
      </c>
      <c r="M244" s="1" t="s">
        <v>811</v>
      </c>
      <c r="N244" s="1">
        <f>_xlfn.XLOOKUP(Logs[[#This Row],[ID_Client]],Clients_Log!B:B,Clients_Log!E:E,"Pas de correspondance")</f>
        <v>44</v>
      </c>
      <c r="O244" s="4">
        <f>IFERROR(Logs[[#This Row],[Anciennete_Mois]]/12,"")</f>
        <v>3.6666666666666665</v>
      </c>
      <c r="P244" s="1" t="str">
        <f>_xlfn.XLOOKUP(Logs[[#This Row],[ID_Client]],Clients_Log!B:B,Clients_Log!F:F,"Pas de correspondance")</f>
        <v>Bloqué 5Go</v>
      </c>
      <c r="Q244" s="1" t="str">
        <f>IF(Logs[[#This Row],[Type_Forfait]]="Pro Monde","B2B","B2C")</f>
        <v>B2C</v>
      </c>
      <c r="R244" s="1">
        <f>_xlfn.XLOOKUP(Logs[[#This Row],[ID_Client]],Clients_Log!B:B,Clients_Log!G:G,"Pas de correspondance")</f>
        <v>348</v>
      </c>
      <c r="S244" s="3">
        <f>Logs[[#This Row],[Duree_Cumulee_Panne_Min]]/1440</f>
        <v>0.24166666666666667</v>
      </c>
      <c r="T244" s="1">
        <f>_xlfn.XLOOKUP(Logs[[#This Row],[ID_Client]],Clients_Log!B:B,Clients_Log!H:H,"Pas de correspondance")</f>
        <v>58.67</v>
      </c>
      <c r="U244" s="1">
        <f>_xlfn.XLOOKUP(Logs[[#This Row],[ID_Client]],Clients_Log!B:B,Clients_Log!I:I,"Pas de correspondance")</f>
        <v>0</v>
      </c>
      <c r="V24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44" s="1">
        <f>Logs[[#This Row],[Facture_Mensuelle]]*Logs[[#This Row],[Remise (%)]]</f>
        <v>26.401500000000002</v>
      </c>
    </row>
    <row r="245" spans="1:23" hidden="1" x14ac:dyDescent="0.25">
      <c r="A245" s="1" t="s">
        <v>1013</v>
      </c>
      <c r="B245" s="2">
        <v>45222</v>
      </c>
      <c r="C245" s="1" t="str">
        <f>_xlfn.XLOOKUP(Logs[[#This Row],[Province_RDC]],Clients_Log!D:D,Clients_Log!B:B,"Pas de correspondance")</f>
        <v>Pas de correspondance</v>
      </c>
      <c r="D245" t="str">
        <f>_xlfn.XLOOKUP(Logs[[#This Row],[Cell_ID]],'Registre_Maintenance'!B:B,'Registre_Maintenance'!C:C,"Pas de correspondance")</f>
        <v>Pas de correspondance</v>
      </c>
      <c r="E245" s="3">
        <v>0.52847222222222223</v>
      </c>
      <c r="F245" s="1" t="s">
        <v>1027</v>
      </c>
      <c r="G245" s="3">
        <f>Logs[[#This Row],[Duree_Panne_Min]]/1440</f>
        <v>7.7083333333333337E-2</v>
      </c>
      <c r="H245">
        <v>111</v>
      </c>
      <c r="I245" t="str">
        <f>_xlfn.XLOOKUP(Logs[[#This Row],[Cell_ID]],'Registre_Maintenance'!B:B,'Registre_Maintenance'!D:D,"Pas de correspondance")</f>
        <v>Pas de correspondance</v>
      </c>
      <c r="J245" t="str">
        <f>_xlfn.XLOOKUP(Logs[[#This Row],[Cell_ID]],'Registre_Maintenance'!B:B,'Registre_Maintenance'!E:E,"Pas de correspondance")</f>
        <v>Pas de correspondance</v>
      </c>
      <c r="K245" t="str">
        <f>_xlfn.XLOOKUP(Logs[[#This Row],[Cell_ID]],'Registre_Maintenance'!B:B,'Registre_Maintenance'!F:F,"Pas de correspondance")</f>
        <v>Pas de correspondance</v>
      </c>
      <c r="L245" t="str">
        <f>_xlfn.XLOOKUP(Logs[[#This Row],[Cell_ID]],'Registre_Maintenance'!B:B,'Registre_Maintenance'!G:G,"Pas de correspondance")</f>
        <v>Pas de correspondance</v>
      </c>
      <c r="M245" s="1" t="s">
        <v>806</v>
      </c>
      <c r="N245" s="1" t="str">
        <f>_xlfn.XLOOKUP(Logs[[#This Row],[ID_Client]],Clients_Log!B:B,Clients_Log!E:E,"Pas de correspondance")</f>
        <v>Pas de correspondance</v>
      </c>
      <c r="O245" s="4" t="str">
        <f>IFERROR(Logs[[#This Row],[Anciennete_Mois]]/12,"")</f>
        <v/>
      </c>
      <c r="P245" s="1" t="str">
        <f>_xlfn.XLOOKUP(Logs[[#This Row],[ID_Client]],Clients_Log!B:B,Clients_Log!F:F,"Pas de correspondance")</f>
        <v>Pas de correspondance</v>
      </c>
      <c r="Q245" s="1" t="str">
        <f>IF(Logs[[#This Row],[Type_Forfait]]="Pro Monde","B2B","B2C")</f>
        <v>B2C</v>
      </c>
      <c r="R245" s="1" t="str">
        <f>_xlfn.XLOOKUP(Logs[[#This Row],[ID_Client]],Clients_Log!B:B,Clients_Log!G:G,"Pas de correspondance")</f>
        <v>Pas de correspondance</v>
      </c>
      <c r="S245" s="1" t="e">
        <f>Logs[[#This Row],[Duree_Cumulee_Panne_Min]]/1440</f>
        <v>#VALUE!</v>
      </c>
      <c r="T245" s="1" t="str">
        <f>_xlfn.XLOOKUP(Logs[[#This Row],[ID_Client]],Clients_Log!B:B,Clients_Log!H:H,"Pas de correspondance")</f>
        <v>Pas de correspondance</v>
      </c>
      <c r="U245" s="1" t="str">
        <f>_xlfn.XLOOKUP(Logs[[#This Row],[ID_Client]],Clients_Log!B:B,Clients_Log!I:I,"Pas de correspondance")</f>
        <v>Pas de correspondance</v>
      </c>
      <c r="V24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45" s="1" t="e">
        <f>Logs[[#This Row],[Facture_Mensuelle]]*Logs[[#This Row],[Remise (%)]]</f>
        <v>#VALUE!</v>
      </c>
    </row>
    <row r="246" spans="1:23" hidden="1" x14ac:dyDescent="0.25">
      <c r="A246" s="1" t="s">
        <v>1013</v>
      </c>
      <c r="B246" s="2">
        <v>45202</v>
      </c>
      <c r="C246" s="1" t="str">
        <f>_xlfn.XLOOKUP(Logs[[#This Row],[Province_RDC]],Clients_Log!D:D,Clients_Log!B:B,"Pas de correspondance")</f>
        <v>Pas de correspondance</v>
      </c>
      <c r="D246" t="str">
        <f>_xlfn.XLOOKUP(Logs[[#This Row],[Cell_ID]],'Registre_Maintenance'!B:B,'Registre_Maintenance'!C:C,"Pas de correspondance")</f>
        <v>Pas de correspondance</v>
      </c>
      <c r="E246" s="3">
        <v>0.45416666666666666</v>
      </c>
      <c r="F246" s="1" t="s">
        <v>1028</v>
      </c>
      <c r="G246" s="3">
        <f>Logs[[#This Row],[Duree_Panne_Min]]/1440</f>
        <v>6.1805555555555558E-2</v>
      </c>
      <c r="H246">
        <v>89</v>
      </c>
      <c r="I246" t="str">
        <f>_xlfn.XLOOKUP(Logs[[#This Row],[Cell_ID]],'Registre_Maintenance'!B:B,'Registre_Maintenance'!D:D,"Pas de correspondance")</f>
        <v>Pas de correspondance</v>
      </c>
      <c r="J246" t="str">
        <f>_xlfn.XLOOKUP(Logs[[#This Row],[Cell_ID]],'Registre_Maintenance'!B:B,'Registre_Maintenance'!E:E,"Pas de correspondance")</f>
        <v>Pas de correspondance</v>
      </c>
      <c r="K246" t="str">
        <f>_xlfn.XLOOKUP(Logs[[#This Row],[Cell_ID]],'Registre_Maintenance'!B:B,'Registre_Maintenance'!F:F,"Pas de correspondance")</f>
        <v>Pas de correspondance</v>
      </c>
      <c r="L246" t="str">
        <f>_xlfn.XLOOKUP(Logs[[#This Row],[Cell_ID]],'Registre_Maintenance'!B:B,'Registre_Maintenance'!G:G,"Pas de correspondance")</f>
        <v>Pas de correspondance</v>
      </c>
      <c r="M246" s="1" t="s">
        <v>811</v>
      </c>
      <c r="N246" s="1" t="str">
        <f>_xlfn.XLOOKUP(Logs[[#This Row],[ID_Client]],Clients_Log!B:B,Clients_Log!E:E,"Pas de correspondance")</f>
        <v>Pas de correspondance</v>
      </c>
      <c r="O246" s="4" t="str">
        <f>IFERROR(Logs[[#This Row],[Anciennete_Mois]]/12,"")</f>
        <v/>
      </c>
      <c r="P246" s="1" t="str">
        <f>_xlfn.XLOOKUP(Logs[[#This Row],[ID_Client]],Clients_Log!B:B,Clients_Log!F:F,"Pas de correspondance")</f>
        <v>Pas de correspondance</v>
      </c>
      <c r="Q246" s="1" t="str">
        <f>IF(Logs[[#This Row],[Type_Forfait]]="Pro Monde","B2B","B2C")</f>
        <v>B2C</v>
      </c>
      <c r="R246" s="1" t="str">
        <f>_xlfn.XLOOKUP(Logs[[#This Row],[ID_Client]],Clients_Log!B:B,Clients_Log!G:G,"Pas de correspondance")</f>
        <v>Pas de correspondance</v>
      </c>
      <c r="S246" s="1" t="e">
        <f>Logs[[#This Row],[Duree_Cumulee_Panne_Min]]/1440</f>
        <v>#VALUE!</v>
      </c>
      <c r="T246" s="1" t="str">
        <f>_xlfn.XLOOKUP(Logs[[#This Row],[ID_Client]],Clients_Log!B:B,Clients_Log!H:H,"Pas de correspondance")</f>
        <v>Pas de correspondance</v>
      </c>
      <c r="U246" s="1" t="str">
        <f>_xlfn.XLOOKUP(Logs[[#This Row],[ID_Client]],Clients_Log!B:B,Clients_Log!I:I,"Pas de correspondance")</f>
        <v>Pas de correspondance</v>
      </c>
      <c r="V24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46" s="1" t="e">
        <f>Logs[[#This Row],[Facture_Mensuelle]]*Logs[[#This Row],[Remise (%)]]</f>
        <v>#VALUE!</v>
      </c>
    </row>
    <row r="247" spans="1:23" x14ac:dyDescent="0.25">
      <c r="A247" s="1" t="s">
        <v>1013</v>
      </c>
      <c r="B247" s="2">
        <v>45221</v>
      </c>
      <c r="C247" s="1" t="str">
        <f>_xlfn.XLOOKUP(Logs[[#This Row],[Province_RDC]],Clients_Log!D:D,Clients_Log!B:B,"Pas de correspondance")</f>
        <v>CLI-01837</v>
      </c>
      <c r="D247" t="str">
        <f>_xlfn.XLOOKUP(Logs[[#This Row],[Cell_ID]],'Registre_Maintenance'!B:B,'Registre_Maintenance'!C:C,"Pas de correspondance")</f>
        <v>Kasaï-Oriental</v>
      </c>
      <c r="E247" s="3">
        <v>0.72499999999999998</v>
      </c>
      <c r="F247" s="1" t="s">
        <v>1029</v>
      </c>
      <c r="G247" s="3">
        <f>Logs[[#This Row],[Duree_Panne_Min]]/1440</f>
        <v>3.8194444444444448E-2</v>
      </c>
      <c r="H247">
        <v>55</v>
      </c>
      <c r="I247">
        <f>_xlfn.XLOOKUP(Logs[[#This Row],[Cell_ID]],'Registre_Maintenance'!B:B,'Registre_Maintenance'!D:D,"Pas de correspondance")</f>
        <v>-1.3976519999999999</v>
      </c>
      <c r="J247">
        <f>_xlfn.XLOOKUP(Logs[[#This Row],[Cell_ID]],'Registre_Maintenance'!B:B,'Registre_Maintenance'!E:E,"Pas de correspondance")</f>
        <v>14.098819000000001</v>
      </c>
      <c r="K247" t="str">
        <f>_xlfn.XLOOKUP(Logs[[#This Row],[Cell_ID]],'Registre_Maintenance'!B:B,'Registre_Maintenance'!F:F,"Pas de correspondance")</f>
        <v>3G</v>
      </c>
      <c r="L247" t="str">
        <f>_xlfn.XLOOKUP(Logs[[#This Row],[Cell_ID]],'Registre_Maintenance'!B:B,'Registre_Maintenance'!G:G,"Pas de correspondance")</f>
        <v>Ericsson</v>
      </c>
      <c r="M247" s="1" t="s">
        <v>809</v>
      </c>
      <c r="N247" s="1">
        <f>_xlfn.XLOOKUP(Logs[[#This Row],[ID_Client]],Clients_Log!B:B,Clients_Log!E:E,"Pas de correspondance")</f>
        <v>97</v>
      </c>
      <c r="O247" s="4">
        <f>IFERROR(Logs[[#This Row],[Anciennete_Mois]]/12,"")</f>
        <v>8.0833333333333339</v>
      </c>
      <c r="P247" s="1" t="str">
        <f>_xlfn.XLOOKUP(Logs[[#This Row],[ID_Client]],Clients_Log!B:B,Clients_Log!F:F,"Pas de correspondance")</f>
        <v>Pro Monde</v>
      </c>
      <c r="Q247" s="1" t="str">
        <f>IF(Logs[[#This Row],[Type_Forfait]]="Pro Monde","B2B","B2C")</f>
        <v>B2B</v>
      </c>
      <c r="R247" s="1">
        <f>_xlfn.XLOOKUP(Logs[[#This Row],[ID_Client]],Clients_Log!B:B,Clients_Log!G:G,"Pas de correspondance")</f>
        <v>319</v>
      </c>
      <c r="S247" s="3">
        <f>Logs[[#This Row],[Duree_Cumulee_Panne_Min]]/1440</f>
        <v>0.22152777777777777</v>
      </c>
      <c r="T247" s="1">
        <f>_xlfn.XLOOKUP(Logs[[#This Row],[ID_Client]],Clients_Log!B:B,Clients_Log!H:H,"Pas de correspondance")</f>
        <v>31.25</v>
      </c>
      <c r="U247" s="1">
        <f>_xlfn.XLOOKUP(Logs[[#This Row],[ID_Client]],Clients_Log!B:B,Clients_Log!I:I,"Pas de correspondance")</f>
        <v>1</v>
      </c>
      <c r="V24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47" s="1">
        <f>Logs[[#This Row],[Facture_Mensuelle]]*Logs[[#This Row],[Remise (%)]]</f>
        <v>14.0625</v>
      </c>
    </row>
    <row r="248" spans="1:23" hidden="1" x14ac:dyDescent="0.25">
      <c r="A248" s="1" t="s">
        <v>1013</v>
      </c>
      <c r="B248" s="2">
        <v>45230</v>
      </c>
      <c r="C248" s="1" t="str">
        <f>_xlfn.XLOOKUP(Logs[[#This Row],[Province_RDC]],Clients_Log!D:D,Clients_Log!B:B,"Pas de correspondance")</f>
        <v>Pas de correspondance</v>
      </c>
      <c r="D248" t="str">
        <f>_xlfn.XLOOKUP(Logs[[#This Row],[Cell_ID]],'Registre_Maintenance'!B:B,'Registre_Maintenance'!C:C,"Pas de correspondance")</f>
        <v>Pas de correspondance</v>
      </c>
      <c r="E248" s="3">
        <v>0.44444444444444442</v>
      </c>
      <c r="F248" s="1" t="s">
        <v>1002</v>
      </c>
      <c r="G248" s="3">
        <f>Logs[[#This Row],[Duree_Panne_Min]]/1440</f>
        <v>2.7777777777777776E-2</v>
      </c>
      <c r="H248">
        <v>40</v>
      </c>
      <c r="I248" t="str">
        <f>_xlfn.XLOOKUP(Logs[[#This Row],[Cell_ID]],'Registre_Maintenance'!B:B,'Registre_Maintenance'!D:D,"Pas de correspondance")</f>
        <v>Pas de correspondance</v>
      </c>
      <c r="J248" t="str">
        <f>_xlfn.XLOOKUP(Logs[[#This Row],[Cell_ID]],'Registre_Maintenance'!B:B,'Registre_Maintenance'!E:E,"Pas de correspondance")</f>
        <v>Pas de correspondance</v>
      </c>
      <c r="K248" t="str">
        <f>_xlfn.XLOOKUP(Logs[[#This Row],[Cell_ID]],'Registre_Maintenance'!B:B,'Registre_Maintenance'!F:F,"Pas de correspondance")</f>
        <v>Pas de correspondance</v>
      </c>
      <c r="L248" t="str">
        <f>_xlfn.XLOOKUP(Logs[[#This Row],[Cell_ID]],'Registre_Maintenance'!B:B,'Registre_Maintenance'!G:G,"Pas de correspondance")</f>
        <v>Pas de correspondance</v>
      </c>
      <c r="M248" s="1" t="s">
        <v>806</v>
      </c>
      <c r="N248" s="1" t="str">
        <f>_xlfn.XLOOKUP(Logs[[#This Row],[ID_Client]],Clients_Log!B:B,Clients_Log!E:E,"Pas de correspondance")</f>
        <v>Pas de correspondance</v>
      </c>
      <c r="O248" s="4" t="str">
        <f>IFERROR(Logs[[#This Row],[Anciennete_Mois]]/12,"")</f>
        <v/>
      </c>
      <c r="P248" s="1" t="str">
        <f>_xlfn.XLOOKUP(Logs[[#This Row],[ID_Client]],Clients_Log!B:B,Clients_Log!F:F,"Pas de correspondance")</f>
        <v>Pas de correspondance</v>
      </c>
      <c r="Q248" s="1" t="str">
        <f>IF(Logs[[#This Row],[Type_Forfait]]="Pro Monde","B2B","B2C")</f>
        <v>B2C</v>
      </c>
      <c r="R248" s="1" t="str">
        <f>_xlfn.XLOOKUP(Logs[[#This Row],[ID_Client]],Clients_Log!B:B,Clients_Log!G:G,"Pas de correspondance")</f>
        <v>Pas de correspondance</v>
      </c>
      <c r="S248" s="1" t="e">
        <f>Logs[[#This Row],[Duree_Cumulee_Panne_Min]]/1440</f>
        <v>#VALUE!</v>
      </c>
      <c r="T248" s="1" t="str">
        <f>_xlfn.XLOOKUP(Logs[[#This Row],[ID_Client]],Clients_Log!B:B,Clients_Log!H:H,"Pas de correspondance")</f>
        <v>Pas de correspondance</v>
      </c>
      <c r="U248" s="1" t="str">
        <f>_xlfn.XLOOKUP(Logs[[#This Row],[ID_Client]],Clients_Log!B:B,Clients_Log!I:I,"Pas de correspondance")</f>
        <v>Pas de correspondance</v>
      </c>
      <c r="V24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48" s="1" t="e">
        <f>Logs[[#This Row],[Facture_Mensuelle]]*Logs[[#This Row],[Remise (%)]]</f>
        <v>#VALUE!</v>
      </c>
    </row>
    <row r="249" spans="1:23" x14ac:dyDescent="0.25">
      <c r="A249" s="1" t="s">
        <v>1013</v>
      </c>
      <c r="B249" s="2">
        <v>45222</v>
      </c>
      <c r="C249" s="1" t="str">
        <f>_xlfn.XLOOKUP(Logs[[#This Row],[Province_RDC]],Clients_Log!D:D,Clients_Log!B:B,"Pas de correspondance")</f>
        <v>CLI-01233</v>
      </c>
      <c r="D249" t="str">
        <f>_xlfn.XLOOKUP(Logs[[#This Row],[Cell_ID]],'Registre_Maintenance'!B:B,'Registre_Maintenance'!C:C,"Pas de correspondance")</f>
        <v>Kongo-Central</v>
      </c>
      <c r="E249" s="3">
        <v>0.66319444444444442</v>
      </c>
      <c r="F249" s="1" t="s">
        <v>1030</v>
      </c>
      <c r="G249" s="3">
        <f>Logs[[#This Row],[Duree_Panne_Min]]/1440</f>
        <v>4.1666666666666666E-3</v>
      </c>
      <c r="H249">
        <v>6</v>
      </c>
      <c r="I249">
        <f>_xlfn.XLOOKUP(Logs[[#This Row],[Cell_ID]],'Registre_Maintenance'!B:B,'Registre_Maintenance'!D:D,"Pas de correspondance")</f>
        <v>2.975352</v>
      </c>
      <c r="J249">
        <f>_xlfn.XLOOKUP(Logs[[#This Row],[Cell_ID]],'Registre_Maintenance'!B:B,'Registre_Maintenance'!E:E,"Pas de correspondance")</f>
        <v>22.535886000000001</v>
      </c>
      <c r="K249" t="str">
        <f>_xlfn.XLOOKUP(Logs[[#This Row],[Cell_ID]],'Registre_Maintenance'!B:B,'Registre_Maintenance'!F:F,"Pas de correspondance")</f>
        <v>4G</v>
      </c>
      <c r="L249" t="str">
        <f>_xlfn.XLOOKUP(Logs[[#This Row],[Cell_ID]],'Registre_Maintenance'!B:B,'Registre_Maintenance'!G:G,"Pas de correspondance")</f>
        <v>Huawei</v>
      </c>
      <c r="M249" s="1" t="s">
        <v>811</v>
      </c>
      <c r="N249" s="1">
        <f>_xlfn.XLOOKUP(Logs[[#This Row],[ID_Client]],Clients_Log!B:B,Clients_Log!E:E,"Pas de correspondance")</f>
        <v>101</v>
      </c>
      <c r="O249" s="4">
        <f>IFERROR(Logs[[#This Row],[Anciennete_Mois]]/12,"")</f>
        <v>8.4166666666666661</v>
      </c>
      <c r="P249" s="1" t="str">
        <f>_xlfn.XLOOKUP(Logs[[#This Row],[ID_Client]],Clients_Log!B:B,Clients_Log!F:F,"Pas de correspondance")</f>
        <v>Pro Monde</v>
      </c>
      <c r="Q249" s="1" t="str">
        <f>IF(Logs[[#This Row],[Type_Forfait]]="Pro Monde","B2B","B2C")</f>
        <v>B2B</v>
      </c>
      <c r="R249" s="1">
        <f>_xlfn.XLOOKUP(Logs[[#This Row],[ID_Client]],Clients_Log!B:B,Clients_Log!G:G,"Pas de correspondance")</f>
        <v>333</v>
      </c>
      <c r="S249" s="3">
        <f>Logs[[#This Row],[Duree_Cumulee_Panne_Min]]/1440</f>
        <v>0.23125000000000001</v>
      </c>
      <c r="T249" s="1">
        <f>_xlfn.XLOOKUP(Logs[[#This Row],[ID_Client]],Clients_Log!B:B,Clients_Log!H:H,"Pas de correspondance")</f>
        <v>74.319999999999993</v>
      </c>
      <c r="U249" s="1">
        <f>_xlfn.XLOOKUP(Logs[[#This Row],[ID_Client]],Clients_Log!B:B,Clients_Log!I:I,"Pas de correspondance")</f>
        <v>1</v>
      </c>
      <c r="V24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49" s="1">
        <f>Logs[[#This Row],[Facture_Mensuelle]]*Logs[[#This Row],[Remise (%)]]</f>
        <v>33.443999999999996</v>
      </c>
    </row>
    <row r="250" spans="1:23" hidden="1" x14ac:dyDescent="0.25">
      <c r="A250" s="1" t="s">
        <v>1013</v>
      </c>
      <c r="B250" s="2">
        <v>45217</v>
      </c>
      <c r="C250" s="1" t="str">
        <f>_xlfn.XLOOKUP(Logs[[#This Row],[Province_RDC]],Clients_Log!D:D,Clients_Log!B:B,"Pas de correspondance")</f>
        <v>Pas de correspondance</v>
      </c>
      <c r="D250" t="str">
        <f>_xlfn.XLOOKUP(Logs[[#This Row],[Cell_ID]],'Registre_Maintenance'!B:B,'Registre_Maintenance'!C:C,"Pas de correspondance")</f>
        <v>Pas de correspondance</v>
      </c>
      <c r="E250" s="3">
        <v>6.8750000000000006E-2</v>
      </c>
      <c r="F250" s="1" t="s">
        <v>1031</v>
      </c>
      <c r="G250" s="3">
        <f>Logs[[#This Row],[Duree_Panne_Min]]/1440</f>
        <v>5.347222222222222E-2</v>
      </c>
      <c r="H250">
        <v>77</v>
      </c>
      <c r="I250" t="str">
        <f>_xlfn.XLOOKUP(Logs[[#This Row],[Cell_ID]],'Registre_Maintenance'!B:B,'Registre_Maintenance'!D:D,"Pas de correspondance")</f>
        <v>Pas de correspondance</v>
      </c>
      <c r="J250" t="str">
        <f>_xlfn.XLOOKUP(Logs[[#This Row],[Cell_ID]],'Registre_Maintenance'!B:B,'Registre_Maintenance'!E:E,"Pas de correspondance")</f>
        <v>Pas de correspondance</v>
      </c>
      <c r="K250" t="str">
        <f>_xlfn.XLOOKUP(Logs[[#This Row],[Cell_ID]],'Registre_Maintenance'!B:B,'Registre_Maintenance'!F:F,"Pas de correspondance")</f>
        <v>Pas de correspondance</v>
      </c>
      <c r="L250" t="str">
        <f>_xlfn.XLOOKUP(Logs[[#This Row],[Cell_ID]],'Registre_Maintenance'!B:B,'Registre_Maintenance'!G:G,"Pas de correspondance")</f>
        <v>Pas de correspondance</v>
      </c>
      <c r="M250" s="1" t="s">
        <v>811</v>
      </c>
      <c r="N250" s="1" t="str">
        <f>_xlfn.XLOOKUP(Logs[[#This Row],[ID_Client]],Clients_Log!B:B,Clients_Log!E:E,"Pas de correspondance")</f>
        <v>Pas de correspondance</v>
      </c>
      <c r="O250" s="4" t="str">
        <f>IFERROR(Logs[[#This Row],[Anciennete_Mois]]/12,"")</f>
        <v/>
      </c>
      <c r="P250" s="1" t="str">
        <f>_xlfn.XLOOKUP(Logs[[#This Row],[ID_Client]],Clients_Log!B:B,Clients_Log!F:F,"Pas de correspondance")</f>
        <v>Pas de correspondance</v>
      </c>
      <c r="Q250" s="1" t="str">
        <f>IF(Logs[[#This Row],[Type_Forfait]]="Pro Monde","B2B","B2C")</f>
        <v>B2C</v>
      </c>
      <c r="R250" s="1" t="str">
        <f>_xlfn.XLOOKUP(Logs[[#This Row],[ID_Client]],Clients_Log!B:B,Clients_Log!G:G,"Pas de correspondance")</f>
        <v>Pas de correspondance</v>
      </c>
      <c r="S250" s="1" t="e">
        <f>Logs[[#This Row],[Duree_Cumulee_Panne_Min]]/1440</f>
        <v>#VALUE!</v>
      </c>
      <c r="T250" s="1" t="str">
        <f>_xlfn.XLOOKUP(Logs[[#This Row],[ID_Client]],Clients_Log!B:B,Clients_Log!H:H,"Pas de correspondance")</f>
        <v>Pas de correspondance</v>
      </c>
      <c r="U250" s="1" t="str">
        <f>_xlfn.XLOOKUP(Logs[[#This Row],[ID_Client]],Clients_Log!B:B,Clients_Log!I:I,"Pas de correspondance")</f>
        <v>Pas de correspondance</v>
      </c>
      <c r="V25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50" s="1" t="e">
        <f>Logs[[#This Row],[Facture_Mensuelle]]*Logs[[#This Row],[Remise (%)]]</f>
        <v>#VALUE!</v>
      </c>
    </row>
    <row r="251" spans="1:23" hidden="1" x14ac:dyDescent="0.25">
      <c r="A251" s="1" t="s">
        <v>1013</v>
      </c>
      <c r="B251" s="2">
        <v>45202</v>
      </c>
      <c r="C251" s="1" t="str">
        <f>_xlfn.XLOOKUP(Logs[[#This Row],[Province_RDC]],Clients_Log!D:D,Clients_Log!B:B,"Pas de correspondance")</f>
        <v>Pas de correspondance</v>
      </c>
      <c r="D251" t="str">
        <f>_xlfn.XLOOKUP(Logs[[#This Row],[Cell_ID]],'Registre_Maintenance'!B:B,'Registre_Maintenance'!C:C,"Pas de correspondance")</f>
        <v>Pas de correspondance</v>
      </c>
      <c r="E251" s="3">
        <v>0.31944444444444442</v>
      </c>
      <c r="F251" s="1" t="s">
        <v>1032</v>
      </c>
      <c r="G251" s="3">
        <f>Logs[[#This Row],[Duree_Panne_Min]]/1440</f>
        <v>7.9861111111111105E-2</v>
      </c>
      <c r="H251">
        <v>115</v>
      </c>
      <c r="I251" t="str">
        <f>_xlfn.XLOOKUP(Logs[[#This Row],[Cell_ID]],'Registre_Maintenance'!B:B,'Registre_Maintenance'!D:D,"Pas de correspondance")</f>
        <v>Pas de correspondance</v>
      </c>
      <c r="J251" t="str">
        <f>_xlfn.XLOOKUP(Logs[[#This Row],[Cell_ID]],'Registre_Maintenance'!B:B,'Registre_Maintenance'!E:E,"Pas de correspondance")</f>
        <v>Pas de correspondance</v>
      </c>
      <c r="K251" t="str">
        <f>_xlfn.XLOOKUP(Logs[[#This Row],[Cell_ID]],'Registre_Maintenance'!B:B,'Registre_Maintenance'!F:F,"Pas de correspondance")</f>
        <v>Pas de correspondance</v>
      </c>
      <c r="L251" t="str">
        <f>_xlfn.XLOOKUP(Logs[[#This Row],[Cell_ID]],'Registre_Maintenance'!B:B,'Registre_Maintenance'!G:G,"Pas de correspondance")</f>
        <v>Pas de correspondance</v>
      </c>
      <c r="M251" s="1" t="s">
        <v>809</v>
      </c>
      <c r="N251" s="1" t="str">
        <f>_xlfn.XLOOKUP(Logs[[#This Row],[ID_Client]],Clients_Log!B:B,Clients_Log!E:E,"Pas de correspondance")</f>
        <v>Pas de correspondance</v>
      </c>
      <c r="O251" s="4" t="str">
        <f>IFERROR(Logs[[#This Row],[Anciennete_Mois]]/12,"")</f>
        <v/>
      </c>
      <c r="P251" s="1" t="str">
        <f>_xlfn.XLOOKUP(Logs[[#This Row],[ID_Client]],Clients_Log!B:B,Clients_Log!F:F,"Pas de correspondance")</f>
        <v>Pas de correspondance</v>
      </c>
      <c r="Q251" s="1" t="str">
        <f>IF(Logs[[#This Row],[Type_Forfait]]="Pro Monde","B2B","B2C")</f>
        <v>B2C</v>
      </c>
      <c r="R251" s="1" t="str">
        <f>_xlfn.XLOOKUP(Logs[[#This Row],[ID_Client]],Clients_Log!B:B,Clients_Log!G:G,"Pas de correspondance")</f>
        <v>Pas de correspondance</v>
      </c>
      <c r="S251" s="1" t="e">
        <f>Logs[[#This Row],[Duree_Cumulee_Panne_Min]]/1440</f>
        <v>#VALUE!</v>
      </c>
      <c r="T251" s="1" t="str">
        <f>_xlfn.XLOOKUP(Logs[[#This Row],[ID_Client]],Clients_Log!B:B,Clients_Log!H:H,"Pas de correspondance")</f>
        <v>Pas de correspondance</v>
      </c>
      <c r="U251" s="1" t="str">
        <f>_xlfn.XLOOKUP(Logs[[#This Row],[ID_Client]],Clients_Log!B:B,Clients_Log!I:I,"Pas de correspondance")</f>
        <v>Pas de correspondance</v>
      </c>
      <c r="V25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51" s="1" t="e">
        <f>Logs[[#This Row],[Facture_Mensuelle]]*Logs[[#This Row],[Remise (%)]]</f>
        <v>#VALUE!</v>
      </c>
    </row>
    <row r="252" spans="1:23" hidden="1" x14ac:dyDescent="0.25">
      <c r="A252" s="1" t="s">
        <v>1013</v>
      </c>
      <c r="B252" s="2">
        <v>45221</v>
      </c>
      <c r="C252" s="1" t="str">
        <f>_xlfn.XLOOKUP(Logs[[#This Row],[Province_RDC]],Clients_Log!D:D,Clients_Log!B:B,"Pas de correspondance")</f>
        <v>Pas de correspondance</v>
      </c>
      <c r="D252" t="str">
        <f>_xlfn.XLOOKUP(Logs[[#This Row],[Cell_ID]],'Registre_Maintenance'!B:B,'Registre_Maintenance'!C:C,"Pas de correspondance")</f>
        <v>Pas de correspondance</v>
      </c>
      <c r="E252" s="3">
        <v>0.38472222222222224</v>
      </c>
      <c r="F252" s="1" t="s">
        <v>1033</v>
      </c>
      <c r="G252" s="3">
        <f>Logs[[#This Row],[Duree_Panne_Min]]/1440</f>
        <v>6.3888888888888884E-2</v>
      </c>
      <c r="H252">
        <v>92</v>
      </c>
      <c r="I252" t="str">
        <f>_xlfn.XLOOKUP(Logs[[#This Row],[Cell_ID]],'Registre_Maintenance'!B:B,'Registre_Maintenance'!D:D,"Pas de correspondance")</f>
        <v>Pas de correspondance</v>
      </c>
      <c r="J252" t="str">
        <f>_xlfn.XLOOKUP(Logs[[#This Row],[Cell_ID]],'Registre_Maintenance'!B:B,'Registre_Maintenance'!E:E,"Pas de correspondance")</f>
        <v>Pas de correspondance</v>
      </c>
      <c r="K252" t="str">
        <f>_xlfn.XLOOKUP(Logs[[#This Row],[Cell_ID]],'Registre_Maintenance'!B:B,'Registre_Maintenance'!F:F,"Pas de correspondance")</f>
        <v>Pas de correspondance</v>
      </c>
      <c r="L252" t="str">
        <f>_xlfn.XLOOKUP(Logs[[#This Row],[Cell_ID]],'Registre_Maintenance'!B:B,'Registre_Maintenance'!G:G,"Pas de correspondance")</f>
        <v>Pas de correspondance</v>
      </c>
      <c r="M252" s="1" t="s">
        <v>809</v>
      </c>
      <c r="N252" s="1" t="str">
        <f>_xlfn.XLOOKUP(Logs[[#This Row],[ID_Client]],Clients_Log!B:B,Clients_Log!E:E,"Pas de correspondance")</f>
        <v>Pas de correspondance</v>
      </c>
      <c r="O252" s="4" t="str">
        <f>IFERROR(Logs[[#This Row],[Anciennete_Mois]]/12,"")</f>
        <v/>
      </c>
      <c r="P252" s="1" t="str">
        <f>_xlfn.XLOOKUP(Logs[[#This Row],[ID_Client]],Clients_Log!B:B,Clients_Log!F:F,"Pas de correspondance")</f>
        <v>Pas de correspondance</v>
      </c>
      <c r="Q252" s="1" t="str">
        <f>IF(Logs[[#This Row],[Type_Forfait]]="Pro Monde","B2B","B2C")</f>
        <v>B2C</v>
      </c>
      <c r="R252" s="1" t="str">
        <f>_xlfn.XLOOKUP(Logs[[#This Row],[ID_Client]],Clients_Log!B:B,Clients_Log!G:G,"Pas de correspondance")</f>
        <v>Pas de correspondance</v>
      </c>
      <c r="S252" s="1" t="e">
        <f>Logs[[#This Row],[Duree_Cumulee_Panne_Min]]/1440</f>
        <v>#VALUE!</v>
      </c>
      <c r="T252" s="1" t="str">
        <f>_xlfn.XLOOKUP(Logs[[#This Row],[ID_Client]],Clients_Log!B:B,Clients_Log!H:H,"Pas de correspondance")</f>
        <v>Pas de correspondance</v>
      </c>
      <c r="U252" s="1" t="str">
        <f>_xlfn.XLOOKUP(Logs[[#This Row],[ID_Client]],Clients_Log!B:B,Clients_Log!I:I,"Pas de correspondance")</f>
        <v>Pas de correspondance</v>
      </c>
      <c r="V25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52" s="1" t="e">
        <f>Logs[[#This Row],[Facture_Mensuelle]]*Logs[[#This Row],[Remise (%)]]</f>
        <v>#VALUE!</v>
      </c>
    </row>
    <row r="253" spans="1:23" hidden="1" x14ac:dyDescent="0.25">
      <c r="A253" s="1" t="s">
        <v>1013</v>
      </c>
      <c r="B253" s="2">
        <v>45223</v>
      </c>
      <c r="C253" s="1" t="str">
        <f>_xlfn.XLOOKUP(Logs[[#This Row],[Province_RDC]],Clients_Log!D:D,Clients_Log!B:B,"Pas de correspondance")</f>
        <v>Pas de correspondance</v>
      </c>
      <c r="D253" t="str">
        <f>_xlfn.XLOOKUP(Logs[[#This Row],[Cell_ID]],'Registre_Maintenance'!B:B,'Registre_Maintenance'!C:C,"Pas de correspondance")</f>
        <v>Pas de correspondance</v>
      </c>
      <c r="E253" s="3">
        <v>0.10208333333333333</v>
      </c>
      <c r="F253" s="1" t="s">
        <v>1034</v>
      </c>
      <c r="G253" s="3">
        <f>Logs[[#This Row],[Duree_Panne_Min]]/1440</f>
        <v>7.2222222222222215E-2</v>
      </c>
      <c r="H253">
        <v>104</v>
      </c>
      <c r="I253" t="str">
        <f>_xlfn.XLOOKUP(Logs[[#This Row],[Cell_ID]],'Registre_Maintenance'!B:B,'Registre_Maintenance'!D:D,"Pas de correspondance")</f>
        <v>Pas de correspondance</v>
      </c>
      <c r="J253" t="str">
        <f>_xlfn.XLOOKUP(Logs[[#This Row],[Cell_ID]],'Registre_Maintenance'!B:B,'Registre_Maintenance'!E:E,"Pas de correspondance")</f>
        <v>Pas de correspondance</v>
      </c>
      <c r="K253" t="str">
        <f>_xlfn.XLOOKUP(Logs[[#This Row],[Cell_ID]],'Registre_Maintenance'!B:B,'Registre_Maintenance'!F:F,"Pas de correspondance")</f>
        <v>Pas de correspondance</v>
      </c>
      <c r="L253" t="str">
        <f>_xlfn.XLOOKUP(Logs[[#This Row],[Cell_ID]],'Registre_Maintenance'!B:B,'Registre_Maintenance'!G:G,"Pas de correspondance")</f>
        <v>Pas de correspondance</v>
      </c>
      <c r="M253" s="1" t="s">
        <v>809</v>
      </c>
      <c r="N253" s="1" t="str">
        <f>_xlfn.XLOOKUP(Logs[[#This Row],[ID_Client]],Clients_Log!B:B,Clients_Log!E:E,"Pas de correspondance")</f>
        <v>Pas de correspondance</v>
      </c>
      <c r="O253" s="4" t="str">
        <f>IFERROR(Logs[[#This Row],[Anciennete_Mois]]/12,"")</f>
        <v/>
      </c>
      <c r="P253" s="1" t="str">
        <f>_xlfn.XLOOKUP(Logs[[#This Row],[ID_Client]],Clients_Log!B:B,Clients_Log!F:F,"Pas de correspondance")</f>
        <v>Pas de correspondance</v>
      </c>
      <c r="Q253" s="1" t="str">
        <f>IF(Logs[[#This Row],[Type_Forfait]]="Pro Monde","B2B","B2C")</f>
        <v>B2C</v>
      </c>
      <c r="R253" s="1" t="str">
        <f>_xlfn.XLOOKUP(Logs[[#This Row],[ID_Client]],Clients_Log!B:B,Clients_Log!G:G,"Pas de correspondance")</f>
        <v>Pas de correspondance</v>
      </c>
      <c r="S253" s="1" t="e">
        <f>Logs[[#This Row],[Duree_Cumulee_Panne_Min]]/1440</f>
        <v>#VALUE!</v>
      </c>
      <c r="T253" s="1" t="str">
        <f>_xlfn.XLOOKUP(Logs[[#This Row],[ID_Client]],Clients_Log!B:B,Clients_Log!H:H,"Pas de correspondance")</f>
        <v>Pas de correspondance</v>
      </c>
      <c r="U253" s="1" t="str">
        <f>_xlfn.XLOOKUP(Logs[[#This Row],[ID_Client]],Clients_Log!B:B,Clients_Log!I:I,"Pas de correspondance")</f>
        <v>Pas de correspondance</v>
      </c>
      <c r="V25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53" s="1" t="e">
        <f>Logs[[#This Row],[Facture_Mensuelle]]*Logs[[#This Row],[Remise (%)]]</f>
        <v>#VALUE!</v>
      </c>
    </row>
    <row r="254" spans="1:23" hidden="1" x14ac:dyDescent="0.25">
      <c r="A254" s="1" t="s">
        <v>1013</v>
      </c>
      <c r="B254" s="2">
        <v>45203</v>
      </c>
      <c r="C254" s="1" t="str">
        <f>_xlfn.XLOOKUP(Logs[[#This Row],[Province_RDC]],Clients_Log!D:D,Clients_Log!B:B,"Pas de correspondance")</f>
        <v>Pas de correspondance</v>
      </c>
      <c r="D254" t="str">
        <f>_xlfn.XLOOKUP(Logs[[#This Row],[Cell_ID]],'Registre_Maintenance'!B:B,'Registre_Maintenance'!C:C,"Pas de correspondance")</f>
        <v>Pas de correspondance</v>
      </c>
      <c r="E254" s="3">
        <v>0.86458333333333337</v>
      </c>
      <c r="F254" s="1" t="s">
        <v>1035</v>
      </c>
      <c r="G254" s="3">
        <f>Logs[[#This Row],[Duree_Panne_Min]]/1440</f>
        <v>6.9444444444444448E-2</v>
      </c>
      <c r="H254">
        <v>100</v>
      </c>
      <c r="I254" t="str">
        <f>_xlfn.XLOOKUP(Logs[[#This Row],[Cell_ID]],'Registre_Maintenance'!B:B,'Registre_Maintenance'!D:D,"Pas de correspondance")</f>
        <v>Pas de correspondance</v>
      </c>
      <c r="J254" t="str">
        <f>_xlfn.XLOOKUP(Logs[[#This Row],[Cell_ID]],'Registre_Maintenance'!B:B,'Registre_Maintenance'!E:E,"Pas de correspondance")</f>
        <v>Pas de correspondance</v>
      </c>
      <c r="K254" t="str">
        <f>_xlfn.XLOOKUP(Logs[[#This Row],[Cell_ID]],'Registre_Maintenance'!B:B,'Registre_Maintenance'!F:F,"Pas de correspondance")</f>
        <v>Pas de correspondance</v>
      </c>
      <c r="L254" t="str">
        <f>_xlfn.XLOOKUP(Logs[[#This Row],[Cell_ID]],'Registre_Maintenance'!B:B,'Registre_Maintenance'!G:G,"Pas de correspondance")</f>
        <v>Pas de correspondance</v>
      </c>
      <c r="M254" s="1" t="s">
        <v>811</v>
      </c>
      <c r="N254" s="1" t="str">
        <f>_xlfn.XLOOKUP(Logs[[#This Row],[ID_Client]],Clients_Log!B:B,Clients_Log!E:E,"Pas de correspondance")</f>
        <v>Pas de correspondance</v>
      </c>
      <c r="O254" s="4" t="str">
        <f>IFERROR(Logs[[#This Row],[Anciennete_Mois]]/12,"")</f>
        <v/>
      </c>
      <c r="P254" s="1" t="str">
        <f>_xlfn.XLOOKUP(Logs[[#This Row],[ID_Client]],Clients_Log!B:B,Clients_Log!F:F,"Pas de correspondance")</f>
        <v>Pas de correspondance</v>
      </c>
      <c r="Q254" s="1" t="str">
        <f>IF(Logs[[#This Row],[Type_Forfait]]="Pro Monde","B2B","B2C")</f>
        <v>B2C</v>
      </c>
      <c r="R254" s="1" t="str">
        <f>_xlfn.XLOOKUP(Logs[[#This Row],[ID_Client]],Clients_Log!B:B,Clients_Log!G:G,"Pas de correspondance")</f>
        <v>Pas de correspondance</v>
      </c>
      <c r="S254" s="1" t="e">
        <f>Logs[[#This Row],[Duree_Cumulee_Panne_Min]]/1440</f>
        <v>#VALUE!</v>
      </c>
      <c r="T254" s="1" t="str">
        <f>_xlfn.XLOOKUP(Logs[[#This Row],[ID_Client]],Clients_Log!B:B,Clients_Log!H:H,"Pas de correspondance")</f>
        <v>Pas de correspondance</v>
      </c>
      <c r="U254" s="1" t="str">
        <f>_xlfn.XLOOKUP(Logs[[#This Row],[ID_Client]],Clients_Log!B:B,Clients_Log!I:I,"Pas de correspondance")</f>
        <v>Pas de correspondance</v>
      </c>
      <c r="V25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54" s="1" t="e">
        <f>Logs[[#This Row],[Facture_Mensuelle]]*Logs[[#This Row],[Remise (%)]]</f>
        <v>#VALUE!</v>
      </c>
    </row>
    <row r="255" spans="1:23" x14ac:dyDescent="0.25">
      <c r="A255" s="1" t="s">
        <v>1013</v>
      </c>
      <c r="B255" s="2">
        <v>45227</v>
      </c>
      <c r="C255" s="1" t="str">
        <f>_xlfn.XLOOKUP(Logs[[#This Row],[Province_RDC]],Clients_Log!D:D,Clients_Log!B:B,"Pas de correspondance")</f>
        <v>CLI-00745</v>
      </c>
      <c r="D255" t="str">
        <f>_xlfn.XLOOKUP(Logs[[#This Row],[Cell_ID]],'Registre_Maintenance'!B:B,'Registre_Maintenance'!C:C,"Pas de correspondance")</f>
        <v>Tshopo</v>
      </c>
      <c r="E255" s="3">
        <v>0.14444444444444443</v>
      </c>
      <c r="F255" s="1" t="s">
        <v>1036</v>
      </c>
      <c r="G255" s="3">
        <f>Logs[[#This Row],[Duree_Panne_Min]]/1440</f>
        <v>7.6388888888888886E-3</v>
      </c>
      <c r="H255">
        <v>11</v>
      </c>
      <c r="I255">
        <f>_xlfn.XLOOKUP(Logs[[#This Row],[Cell_ID]],'Registre_Maintenance'!B:B,'Registre_Maintenance'!D:D,"Pas de correspondance")</f>
        <v>2.4425979999999998</v>
      </c>
      <c r="J255">
        <f>_xlfn.XLOOKUP(Logs[[#This Row],[Cell_ID]],'Registre_Maintenance'!B:B,'Registre_Maintenance'!E:E,"Pas de correspondance")</f>
        <v>24.924308</v>
      </c>
      <c r="K255" t="str">
        <f>_xlfn.XLOOKUP(Logs[[#This Row],[Cell_ID]],'Registre_Maintenance'!B:B,'Registre_Maintenance'!F:F,"Pas de correspondance")</f>
        <v>5G</v>
      </c>
      <c r="L255" t="str">
        <f>_xlfn.XLOOKUP(Logs[[#This Row],[Cell_ID]],'Registre_Maintenance'!B:B,'Registre_Maintenance'!G:G,"Pas de correspondance")</f>
        <v>Ericsson</v>
      </c>
      <c r="M255" s="1" t="s">
        <v>809</v>
      </c>
      <c r="N255" s="1">
        <f>_xlfn.XLOOKUP(Logs[[#This Row],[ID_Client]],Clients_Log!B:B,Clients_Log!E:E,"Pas de correspondance")</f>
        <v>6</v>
      </c>
      <c r="O255" s="4">
        <f>IFERROR(Logs[[#This Row],[Anciennete_Mois]]/12,"")</f>
        <v>0.5</v>
      </c>
      <c r="P255" s="1" t="str">
        <f>_xlfn.XLOOKUP(Logs[[#This Row],[ID_Client]],Clients_Log!B:B,Clients_Log!F:F,"Pas de correspondance")</f>
        <v>Premium 5G 150Go</v>
      </c>
      <c r="Q255" s="1" t="str">
        <f>IF(Logs[[#This Row],[Type_Forfait]]="Pro Monde","B2B","B2C")</f>
        <v>B2C</v>
      </c>
      <c r="R255" s="1">
        <f>_xlfn.XLOOKUP(Logs[[#This Row],[ID_Client]],Clients_Log!B:B,Clients_Log!G:G,"Pas de correspondance")</f>
        <v>207</v>
      </c>
      <c r="S255" s="3">
        <f>Logs[[#This Row],[Duree_Cumulee_Panne_Min]]/1440</f>
        <v>0.14374999999999999</v>
      </c>
      <c r="T255" s="1">
        <f>_xlfn.XLOOKUP(Logs[[#This Row],[ID_Client]],Clients_Log!B:B,Clients_Log!H:H,"Pas de correspondance")</f>
        <v>61.55</v>
      </c>
      <c r="U255" s="1">
        <f>_xlfn.XLOOKUP(Logs[[#This Row],[ID_Client]],Clients_Log!B:B,Clients_Log!I:I,"Pas de correspondance")</f>
        <v>0</v>
      </c>
      <c r="V25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55" s="1">
        <f>Logs[[#This Row],[Facture_Mensuelle]]*Logs[[#This Row],[Remise (%)]]</f>
        <v>27.697499999999998</v>
      </c>
    </row>
    <row r="256" spans="1:23" x14ac:dyDescent="0.25">
      <c r="A256" s="1" t="s">
        <v>1013</v>
      </c>
      <c r="B256" s="2">
        <v>45205</v>
      </c>
      <c r="C256" s="1" t="str">
        <f>_xlfn.XLOOKUP(Logs[[#This Row],[Province_RDC]],Clients_Log!D:D,Clients_Log!B:B,"Pas de correspondance")</f>
        <v>CLI-01005</v>
      </c>
      <c r="D256" t="str">
        <f>_xlfn.XLOOKUP(Logs[[#This Row],[Cell_ID]],'Registre_Maintenance'!B:B,'Registre_Maintenance'!C:C,"Pas de correspondance")</f>
        <v>Lualaba</v>
      </c>
      <c r="E256" s="3">
        <v>0.92986111111111114</v>
      </c>
      <c r="F256" s="1" t="s">
        <v>1037</v>
      </c>
      <c r="G256" s="3">
        <f>Logs[[#This Row],[Duree_Panne_Min]]/1440</f>
        <v>5.6944444444444443E-2</v>
      </c>
      <c r="H256">
        <v>82</v>
      </c>
      <c r="I256">
        <f>_xlfn.XLOOKUP(Logs[[#This Row],[Cell_ID]],'Registre_Maintenance'!B:B,'Registre_Maintenance'!D:D,"Pas de correspondance")</f>
        <v>4.0157999999999996</v>
      </c>
      <c r="J256">
        <f>_xlfn.XLOOKUP(Logs[[#This Row],[Cell_ID]],'Registre_Maintenance'!B:B,'Registre_Maintenance'!E:E,"Pas de correspondance")</f>
        <v>21.430246</v>
      </c>
      <c r="K256" t="str">
        <f>_xlfn.XLOOKUP(Logs[[#This Row],[Cell_ID]],'Registre_Maintenance'!B:B,'Registre_Maintenance'!F:F,"Pas de correspondance")</f>
        <v>5G</v>
      </c>
      <c r="L256" t="str">
        <f>_xlfn.XLOOKUP(Logs[[#This Row],[Cell_ID]],'Registre_Maintenance'!B:B,'Registre_Maintenance'!G:G,"Pas de correspondance")</f>
        <v>Nokia</v>
      </c>
      <c r="M256" s="1" t="s">
        <v>811</v>
      </c>
      <c r="N256" s="1">
        <f>_xlfn.XLOOKUP(Logs[[#This Row],[ID_Client]],Clients_Log!B:B,Clients_Log!E:E,"Pas de correspondance")</f>
        <v>80</v>
      </c>
      <c r="O256" s="4">
        <f>IFERROR(Logs[[#This Row],[Anciennete_Mois]]/12,"")</f>
        <v>6.666666666666667</v>
      </c>
      <c r="P256" s="1" t="str">
        <f>_xlfn.XLOOKUP(Logs[[#This Row],[ID_Client]],Clients_Log!B:B,Clients_Log!F:F,"Pas de correspondance")</f>
        <v>Illimité 50Go</v>
      </c>
      <c r="Q256" s="1" t="str">
        <f>IF(Logs[[#This Row],[Type_Forfait]]="Pro Monde","B2B","B2C")</f>
        <v>B2C</v>
      </c>
      <c r="R256" s="1">
        <f>_xlfn.XLOOKUP(Logs[[#This Row],[ID_Client]],Clients_Log!B:B,Clients_Log!G:G,"Pas de correspondance")</f>
        <v>155</v>
      </c>
      <c r="S256" s="3">
        <f>Logs[[#This Row],[Duree_Cumulee_Panne_Min]]/1440</f>
        <v>0.1076388888888889</v>
      </c>
      <c r="T256" s="1">
        <f>_xlfn.XLOOKUP(Logs[[#This Row],[ID_Client]],Clients_Log!B:B,Clients_Log!H:H,"Pas de correspondance")</f>
        <v>28.96</v>
      </c>
      <c r="U256" s="1">
        <f>_xlfn.XLOOKUP(Logs[[#This Row],[ID_Client]],Clients_Log!B:B,Clients_Log!I:I,"Pas de correspondance")</f>
        <v>2</v>
      </c>
      <c r="V25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256" s="1">
        <f>Logs[[#This Row],[Facture_Mensuelle]]*Logs[[#This Row],[Remise (%)]]</f>
        <v>0</v>
      </c>
    </row>
    <row r="257" spans="1:23" x14ac:dyDescent="0.25">
      <c r="A257" s="1" t="s">
        <v>1013</v>
      </c>
      <c r="B257" s="2">
        <v>45228</v>
      </c>
      <c r="C257" s="1" t="str">
        <f>_xlfn.XLOOKUP(Logs[[#This Row],[Province_RDC]],Clients_Log!D:D,Clients_Log!B:B,"Pas de correspondance")</f>
        <v>CLI-01855</v>
      </c>
      <c r="D257" t="str">
        <f>_xlfn.XLOOKUP(Logs[[#This Row],[Cell_ID]],'Registre_Maintenance'!B:B,'Registre_Maintenance'!C:C,"Pas de correspondance")</f>
        <v>Sud-Kivu</v>
      </c>
      <c r="E257" s="3">
        <v>1.3888888888888889E-3</v>
      </c>
      <c r="F257" s="1" t="s">
        <v>1038</v>
      </c>
      <c r="G257" s="3">
        <f>Logs[[#This Row],[Duree_Panne_Min]]/1440</f>
        <v>6.9444444444444448E-2</v>
      </c>
      <c r="H257">
        <v>100</v>
      </c>
      <c r="I257">
        <f>_xlfn.XLOOKUP(Logs[[#This Row],[Cell_ID]],'Registre_Maintenance'!B:B,'Registre_Maintenance'!D:D,"Pas de correspondance")</f>
        <v>-9.3900009999999998</v>
      </c>
      <c r="J257">
        <f>_xlfn.XLOOKUP(Logs[[#This Row],[Cell_ID]],'Registre_Maintenance'!B:B,'Registre_Maintenance'!E:E,"Pas de correspondance")</f>
        <v>30.001517</v>
      </c>
      <c r="K257" t="str">
        <f>_xlfn.XLOOKUP(Logs[[#This Row],[Cell_ID]],'Registre_Maintenance'!B:B,'Registre_Maintenance'!F:F,"Pas de correspondance")</f>
        <v>3G</v>
      </c>
      <c r="L257" t="str">
        <f>_xlfn.XLOOKUP(Logs[[#This Row],[Cell_ID]],'Registre_Maintenance'!B:B,'Registre_Maintenance'!G:G,"Pas de correspondance")</f>
        <v>Nokia</v>
      </c>
      <c r="M257" s="1" t="s">
        <v>809</v>
      </c>
      <c r="N257" s="1">
        <f>_xlfn.XLOOKUP(Logs[[#This Row],[ID_Client]],Clients_Log!B:B,Clients_Log!E:E,"Pas de correspondance")</f>
        <v>101</v>
      </c>
      <c r="O257" s="4">
        <f>IFERROR(Logs[[#This Row],[Anciennete_Mois]]/12,"")</f>
        <v>8.4166666666666661</v>
      </c>
      <c r="P257" s="1" t="str">
        <f>_xlfn.XLOOKUP(Logs[[#This Row],[ID_Client]],Clients_Log!B:B,Clients_Log!F:F,"Pas de correspondance")</f>
        <v>Illimité 50Go</v>
      </c>
      <c r="Q257" s="1" t="str">
        <f>IF(Logs[[#This Row],[Type_Forfait]]="Pro Monde","B2B","B2C")</f>
        <v>B2C</v>
      </c>
      <c r="R257" s="1">
        <f>_xlfn.XLOOKUP(Logs[[#This Row],[ID_Client]],Clients_Log!B:B,Clients_Log!G:G,"Pas de correspondance")</f>
        <v>358</v>
      </c>
      <c r="S257" s="3">
        <f>Logs[[#This Row],[Duree_Cumulee_Panne_Min]]/1440</f>
        <v>0.24861111111111112</v>
      </c>
      <c r="T257" s="1">
        <f>_xlfn.XLOOKUP(Logs[[#This Row],[ID_Client]],Clients_Log!B:B,Clients_Log!H:H,"Pas de correspondance")</f>
        <v>29.24</v>
      </c>
      <c r="U257" s="1">
        <f>_xlfn.XLOOKUP(Logs[[#This Row],[ID_Client]],Clients_Log!B:B,Clients_Log!I:I,"Pas de correspondance")</f>
        <v>3</v>
      </c>
      <c r="V25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57" s="1">
        <f>Logs[[#This Row],[Facture_Mensuelle]]*Logs[[#This Row],[Remise (%)]]</f>
        <v>13.157999999999999</v>
      </c>
    </row>
    <row r="258" spans="1:23" hidden="1" x14ac:dyDescent="0.25">
      <c r="A258" s="1" t="s">
        <v>1013</v>
      </c>
      <c r="B258" s="2">
        <v>45210</v>
      </c>
      <c r="C258" s="1" t="str">
        <f>_xlfn.XLOOKUP(Logs[[#This Row],[Province_RDC]],Clients_Log!D:D,Clients_Log!B:B,"Pas de correspondance")</f>
        <v>Pas de correspondance</v>
      </c>
      <c r="D258" t="str">
        <f>_xlfn.XLOOKUP(Logs[[#This Row],[Cell_ID]],'Registre_Maintenance'!B:B,'Registre_Maintenance'!C:C,"Pas de correspondance")</f>
        <v>Pas de correspondance</v>
      </c>
      <c r="E258" s="3">
        <v>5.4166666666666669E-2</v>
      </c>
      <c r="F258" s="1" t="s">
        <v>1039</v>
      </c>
      <c r="G258" s="3">
        <f>Logs[[#This Row],[Duree_Panne_Min]]/1440</f>
        <v>4.7222222222222221E-2</v>
      </c>
      <c r="H258">
        <v>68</v>
      </c>
      <c r="I258" t="str">
        <f>_xlfn.XLOOKUP(Logs[[#This Row],[Cell_ID]],'Registre_Maintenance'!B:B,'Registre_Maintenance'!D:D,"Pas de correspondance")</f>
        <v>Pas de correspondance</v>
      </c>
      <c r="J258" t="str">
        <f>_xlfn.XLOOKUP(Logs[[#This Row],[Cell_ID]],'Registre_Maintenance'!B:B,'Registre_Maintenance'!E:E,"Pas de correspondance")</f>
        <v>Pas de correspondance</v>
      </c>
      <c r="K258" t="str">
        <f>_xlfn.XLOOKUP(Logs[[#This Row],[Cell_ID]],'Registre_Maintenance'!B:B,'Registre_Maintenance'!F:F,"Pas de correspondance")</f>
        <v>Pas de correspondance</v>
      </c>
      <c r="L258" t="str">
        <f>_xlfn.XLOOKUP(Logs[[#This Row],[Cell_ID]],'Registre_Maintenance'!B:B,'Registre_Maintenance'!G:G,"Pas de correspondance")</f>
        <v>Pas de correspondance</v>
      </c>
      <c r="M258" s="1" t="s">
        <v>811</v>
      </c>
      <c r="N258" s="1" t="str">
        <f>_xlfn.XLOOKUP(Logs[[#This Row],[ID_Client]],Clients_Log!B:B,Clients_Log!E:E,"Pas de correspondance")</f>
        <v>Pas de correspondance</v>
      </c>
      <c r="O258" s="4" t="str">
        <f>IFERROR(Logs[[#This Row],[Anciennete_Mois]]/12,"")</f>
        <v/>
      </c>
      <c r="P258" s="1" t="str">
        <f>_xlfn.XLOOKUP(Logs[[#This Row],[ID_Client]],Clients_Log!B:B,Clients_Log!F:F,"Pas de correspondance")</f>
        <v>Pas de correspondance</v>
      </c>
      <c r="Q258" s="1" t="str">
        <f>IF(Logs[[#This Row],[Type_Forfait]]="Pro Monde","B2B","B2C")</f>
        <v>B2C</v>
      </c>
      <c r="R258" s="1" t="str">
        <f>_xlfn.XLOOKUP(Logs[[#This Row],[ID_Client]],Clients_Log!B:B,Clients_Log!G:G,"Pas de correspondance")</f>
        <v>Pas de correspondance</v>
      </c>
      <c r="S258" s="1" t="e">
        <f>Logs[[#This Row],[Duree_Cumulee_Panne_Min]]/1440</f>
        <v>#VALUE!</v>
      </c>
      <c r="T258" s="1" t="str">
        <f>_xlfn.XLOOKUP(Logs[[#This Row],[ID_Client]],Clients_Log!B:B,Clients_Log!H:H,"Pas de correspondance")</f>
        <v>Pas de correspondance</v>
      </c>
      <c r="U258" s="1" t="str">
        <f>_xlfn.XLOOKUP(Logs[[#This Row],[ID_Client]],Clients_Log!B:B,Clients_Log!I:I,"Pas de correspondance")</f>
        <v>Pas de correspondance</v>
      </c>
      <c r="V25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58" s="1" t="e">
        <f>Logs[[#This Row],[Facture_Mensuelle]]*Logs[[#This Row],[Remise (%)]]</f>
        <v>#VALUE!</v>
      </c>
    </row>
    <row r="259" spans="1:23" x14ac:dyDescent="0.25">
      <c r="A259" s="1" t="s">
        <v>1013</v>
      </c>
      <c r="B259" s="2">
        <v>45211</v>
      </c>
      <c r="C259" s="1" t="str">
        <f>_xlfn.XLOOKUP(Logs[[#This Row],[Province_RDC]],Clients_Log!D:D,Clients_Log!B:B,"Pas de correspondance")</f>
        <v>CLI-00837</v>
      </c>
      <c r="D259" t="str">
        <f>_xlfn.XLOOKUP(Logs[[#This Row],[Cell_ID]],'Registre_Maintenance'!B:B,'Registre_Maintenance'!C:C,"Pas de correspondance")</f>
        <v>Nord-Kivu</v>
      </c>
      <c r="E259" s="3">
        <v>0.47708333333333336</v>
      </c>
      <c r="F259" s="1" t="s">
        <v>832</v>
      </c>
      <c r="G259" s="3">
        <f>Logs[[#This Row],[Duree_Panne_Min]]/1440</f>
        <v>7.7083333333333337E-2</v>
      </c>
      <c r="H259">
        <v>111</v>
      </c>
      <c r="I259">
        <f>_xlfn.XLOOKUP(Logs[[#This Row],[Cell_ID]],'Registre_Maintenance'!B:B,'Registre_Maintenance'!D:D,"Pas de correspondance")</f>
        <v>4.6287159999999998</v>
      </c>
      <c r="J259">
        <f>_xlfn.XLOOKUP(Logs[[#This Row],[Cell_ID]],'Registre_Maintenance'!B:B,'Registre_Maintenance'!E:E,"Pas de correspondance")</f>
        <v>19.407077999999998</v>
      </c>
      <c r="K259" t="str">
        <f>_xlfn.XLOOKUP(Logs[[#This Row],[Cell_ID]],'Registre_Maintenance'!B:B,'Registre_Maintenance'!F:F,"Pas de correspondance")</f>
        <v>4G</v>
      </c>
      <c r="L259" t="str">
        <f>_xlfn.XLOOKUP(Logs[[#This Row],[Cell_ID]],'Registre_Maintenance'!B:B,'Registre_Maintenance'!G:G,"Pas de correspondance")</f>
        <v>Ericsson</v>
      </c>
      <c r="M259" s="1" t="s">
        <v>806</v>
      </c>
      <c r="N259" s="1">
        <f>_xlfn.XLOOKUP(Logs[[#This Row],[ID_Client]],Clients_Log!B:B,Clients_Log!E:E,"Pas de correspondance")</f>
        <v>16</v>
      </c>
      <c r="O259" s="4">
        <f>IFERROR(Logs[[#This Row],[Anciennete_Mois]]/12,"")</f>
        <v>1.3333333333333333</v>
      </c>
      <c r="P259" s="1" t="str">
        <f>_xlfn.XLOOKUP(Logs[[#This Row],[ID_Client]],Clients_Log!B:B,Clients_Log!F:F,"Pas de correspondance")</f>
        <v>Bloqué 5Go</v>
      </c>
      <c r="Q259" s="1" t="str">
        <f>IF(Logs[[#This Row],[Type_Forfait]]="Pro Monde","B2B","B2C")</f>
        <v>B2C</v>
      </c>
      <c r="R259" s="1">
        <f>_xlfn.XLOOKUP(Logs[[#This Row],[ID_Client]],Clients_Log!B:B,Clients_Log!G:G,"Pas de correspondance")</f>
        <v>390</v>
      </c>
      <c r="S259" s="3">
        <f>Logs[[#This Row],[Duree_Cumulee_Panne_Min]]/1440</f>
        <v>0.27083333333333331</v>
      </c>
      <c r="T259" s="1">
        <f>_xlfn.XLOOKUP(Logs[[#This Row],[ID_Client]],Clients_Log!B:B,Clients_Log!H:H,"Pas de correspondance")</f>
        <v>98.17</v>
      </c>
      <c r="U259" s="1">
        <f>_xlfn.XLOOKUP(Logs[[#This Row],[ID_Client]],Clients_Log!B:B,Clients_Log!I:I,"Pas de correspondance")</f>
        <v>5</v>
      </c>
      <c r="V25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59" s="1">
        <f>Logs[[#This Row],[Facture_Mensuelle]]*Logs[[#This Row],[Remise (%)]]</f>
        <v>44.176500000000004</v>
      </c>
    </row>
    <row r="260" spans="1:23" hidden="1" x14ac:dyDescent="0.25">
      <c r="A260" s="1" t="s">
        <v>1013</v>
      </c>
      <c r="B260" s="2">
        <v>45204</v>
      </c>
      <c r="C260" s="1" t="str">
        <f>_xlfn.XLOOKUP(Logs[[#This Row],[Province_RDC]],Clients_Log!D:D,Clients_Log!B:B,"Pas de correspondance")</f>
        <v>Pas de correspondance</v>
      </c>
      <c r="D260" t="str">
        <f>_xlfn.XLOOKUP(Logs[[#This Row],[Cell_ID]],'Registre_Maintenance'!B:B,'Registre_Maintenance'!C:C,"Pas de correspondance")</f>
        <v>Pas de correspondance</v>
      </c>
      <c r="E260" s="3">
        <v>0.31458333333333333</v>
      </c>
      <c r="F260" s="1" t="s">
        <v>1040</v>
      </c>
      <c r="G260" s="3">
        <f>Logs[[#This Row],[Duree_Panne_Min]]/1440</f>
        <v>8.3333333333333329E-2</v>
      </c>
      <c r="H260">
        <v>120</v>
      </c>
      <c r="I260" t="str">
        <f>_xlfn.XLOOKUP(Logs[[#This Row],[Cell_ID]],'Registre_Maintenance'!B:B,'Registre_Maintenance'!D:D,"Pas de correspondance")</f>
        <v>Pas de correspondance</v>
      </c>
      <c r="J260" t="str">
        <f>_xlfn.XLOOKUP(Logs[[#This Row],[Cell_ID]],'Registre_Maintenance'!B:B,'Registre_Maintenance'!E:E,"Pas de correspondance")</f>
        <v>Pas de correspondance</v>
      </c>
      <c r="K260" t="str">
        <f>_xlfn.XLOOKUP(Logs[[#This Row],[Cell_ID]],'Registre_Maintenance'!B:B,'Registre_Maintenance'!F:F,"Pas de correspondance")</f>
        <v>Pas de correspondance</v>
      </c>
      <c r="L260" t="str">
        <f>_xlfn.XLOOKUP(Logs[[#This Row],[Cell_ID]],'Registre_Maintenance'!B:B,'Registre_Maintenance'!G:G,"Pas de correspondance")</f>
        <v>Pas de correspondance</v>
      </c>
      <c r="M260" s="1" t="s">
        <v>809</v>
      </c>
      <c r="N260" s="1" t="str">
        <f>_xlfn.XLOOKUP(Logs[[#This Row],[ID_Client]],Clients_Log!B:B,Clients_Log!E:E,"Pas de correspondance")</f>
        <v>Pas de correspondance</v>
      </c>
      <c r="O260" s="4" t="str">
        <f>IFERROR(Logs[[#This Row],[Anciennete_Mois]]/12,"")</f>
        <v/>
      </c>
      <c r="P260" s="1" t="str">
        <f>_xlfn.XLOOKUP(Logs[[#This Row],[ID_Client]],Clients_Log!B:B,Clients_Log!F:F,"Pas de correspondance")</f>
        <v>Pas de correspondance</v>
      </c>
      <c r="Q260" s="1" t="str">
        <f>IF(Logs[[#This Row],[Type_Forfait]]="Pro Monde","B2B","B2C")</f>
        <v>B2C</v>
      </c>
      <c r="R260" s="1" t="str">
        <f>_xlfn.XLOOKUP(Logs[[#This Row],[ID_Client]],Clients_Log!B:B,Clients_Log!G:G,"Pas de correspondance")</f>
        <v>Pas de correspondance</v>
      </c>
      <c r="S260" s="1" t="e">
        <f>Logs[[#This Row],[Duree_Cumulee_Panne_Min]]/1440</f>
        <v>#VALUE!</v>
      </c>
      <c r="T260" s="1" t="str">
        <f>_xlfn.XLOOKUP(Logs[[#This Row],[ID_Client]],Clients_Log!B:B,Clients_Log!H:H,"Pas de correspondance")</f>
        <v>Pas de correspondance</v>
      </c>
      <c r="U260" s="1" t="str">
        <f>_xlfn.XLOOKUP(Logs[[#This Row],[ID_Client]],Clients_Log!B:B,Clients_Log!I:I,"Pas de correspondance")</f>
        <v>Pas de correspondance</v>
      </c>
      <c r="V26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60" s="1" t="e">
        <f>Logs[[#This Row],[Facture_Mensuelle]]*Logs[[#This Row],[Remise (%)]]</f>
        <v>#VALUE!</v>
      </c>
    </row>
    <row r="261" spans="1:23" hidden="1" x14ac:dyDescent="0.25">
      <c r="A261" s="1" t="s">
        <v>1013</v>
      </c>
      <c r="B261" s="2">
        <v>45213</v>
      </c>
      <c r="C261" s="1" t="str">
        <f>_xlfn.XLOOKUP(Logs[[#This Row],[Province_RDC]],Clients_Log!D:D,Clients_Log!B:B,"Pas de correspondance")</f>
        <v>Pas de correspondance</v>
      </c>
      <c r="D261" t="str">
        <f>_xlfn.XLOOKUP(Logs[[#This Row],[Cell_ID]],'Registre_Maintenance'!B:B,'Registre_Maintenance'!C:C,"Pas de correspondance")</f>
        <v>Pas de correspondance</v>
      </c>
      <c r="E261" s="3">
        <v>0.77986111111111112</v>
      </c>
      <c r="F261" s="1" t="s">
        <v>1041</v>
      </c>
      <c r="G261" s="3">
        <f>Logs[[#This Row],[Duree_Panne_Min]]/1440</f>
        <v>8.3333333333333329E-2</v>
      </c>
      <c r="H261">
        <v>120</v>
      </c>
      <c r="I261" t="str">
        <f>_xlfn.XLOOKUP(Logs[[#This Row],[Cell_ID]],'Registre_Maintenance'!B:B,'Registre_Maintenance'!D:D,"Pas de correspondance")</f>
        <v>Pas de correspondance</v>
      </c>
      <c r="J261" t="str">
        <f>_xlfn.XLOOKUP(Logs[[#This Row],[Cell_ID]],'Registre_Maintenance'!B:B,'Registre_Maintenance'!E:E,"Pas de correspondance")</f>
        <v>Pas de correspondance</v>
      </c>
      <c r="K261" t="str">
        <f>_xlfn.XLOOKUP(Logs[[#This Row],[Cell_ID]],'Registre_Maintenance'!B:B,'Registre_Maintenance'!F:F,"Pas de correspondance")</f>
        <v>Pas de correspondance</v>
      </c>
      <c r="L261" t="str">
        <f>_xlfn.XLOOKUP(Logs[[#This Row],[Cell_ID]],'Registre_Maintenance'!B:B,'Registre_Maintenance'!G:G,"Pas de correspondance")</f>
        <v>Pas de correspondance</v>
      </c>
      <c r="M261" s="1" t="s">
        <v>806</v>
      </c>
      <c r="N261" s="1" t="str">
        <f>_xlfn.XLOOKUP(Logs[[#This Row],[ID_Client]],Clients_Log!B:B,Clients_Log!E:E,"Pas de correspondance")</f>
        <v>Pas de correspondance</v>
      </c>
      <c r="O261" s="4" t="str">
        <f>IFERROR(Logs[[#This Row],[Anciennete_Mois]]/12,"")</f>
        <v/>
      </c>
      <c r="P261" s="1" t="str">
        <f>_xlfn.XLOOKUP(Logs[[#This Row],[ID_Client]],Clients_Log!B:B,Clients_Log!F:F,"Pas de correspondance")</f>
        <v>Pas de correspondance</v>
      </c>
      <c r="Q261" s="1" t="str">
        <f>IF(Logs[[#This Row],[Type_Forfait]]="Pro Monde","B2B","B2C")</f>
        <v>B2C</v>
      </c>
      <c r="R261" s="1" t="str">
        <f>_xlfn.XLOOKUP(Logs[[#This Row],[ID_Client]],Clients_Log!B:B,Clients_Log!G:G,"Pas de correspondance")</f>
        <v>Pas de correspondance</v>
      </c>
      <c r="S261" s="1" t="e">
        <f>Logs[[#This Row],[Duree_Cumulee_Panne_Min]]/1440</f>
        <v>#VALUE!</v>
      </c>
      <c r="T261" s="1" t="str">
        <f>_xlfn.XLOOKUP(Logs[[#This Row],[ID_Client]],Clients_Log!B:B,Clients_Log!H:H,"Pas de correspondance")</f>
        <v>Pas de correspondance</v>
      </c>
      <c r="U261" s="1" t="str">
        <f>_xlfn.XLOOKUP(Logs[[#This Row],[ID_Client]],Clients_Log!B:B,Clients_Log!I:I,"Pas de correspondance")</f>
        <v>Pas de correspondance</v>
      </c>
      <c r="V26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61" s="1" t="e">
        <f>Logs[[#This Row],[Facture_Mensuelle]]*Logs[[#This Row],[Remise (%)]]</f>
        <v>#VALUE!</v>
      </c>
    </row>
    <row r="262" spans="1:23" x14ac:dyDescent="0.25">
      <c r="A262" s="1" t="s">
        <v>1013</v>
      </c>
      <c r="B262" s="2">
        <v>45225</v>
      </c>
      <c r="C262" s="1" t="str">
        <f>_xlfn.XLOOKUP(Logs[[#This Row],[Province_RDC]],Clients_Log!D:D,Clients_Log!B:B,"Pas de correspondance")</f>
        <v>CLI-00361</v>
      </c>
      <c r="D262" t="str">
        <f>_xlfn.XLOOKUP(Logs[[#This Row],[Cell_ID]],'Registre_Maintenance'!B:B,'Registre_Maintenance'!C:C,"Pas de correspondance")</f>
        <v>Mai-Ndombe</v>
      </c>
      <c r="E262" s="3">
        <v>0.21527777777777779</v>
      </c>
      <c r="F262" s="1" t="s">
        <v>1042</v>
      </c>
      <c r="G262" s="3">
        <f>Logs[[#This Row],[Duree_Panne_Min]]/1440</f>
        <v>2.8472222222222222E-2</v>
      </c>
      <c r="H262">
        <v>41</v>
      </c>
      <c r="I262">
        <f>_xlfn.XLOOKUP(Logs[[#This Row],[Cell_ID]],'Registre_Maintenance'!B:B,'Registre_Maintenance'!D:D,"Pas de correspondance")</f>
        <v>-4.9552579999999997</v>
      </c>
      <c r="J262">
        <f>_xlfn.XLOOKUP(Logs[[#This Row],[Cell_ID]],'Registre_Maintenance'!B:B,'Registre_Maintenance'!E:E,"Pas de correspondance")</f>
        <v>22.008103999999999</v>
      </c>
      <c r="K262" t="str">
        <f>_xlfn.XLOOKUP(Logs[[#This Row],[Cell_ID]],'Registre_Maintenance'!B:B,'Registre_Maintenance'!F:F,"Pas de correspondance")</f>
        <v>4G</v>
      </c>
      <c r="L262" t="str">
        <f>_xlfn.XLOOKUP(Logs[[#This Row],[Cell_ID]],'Registre_Maintenance'!B:B,'Registre_Maintenance'!G:G,"Pas de correspondance")</f>
        <v>Huawei</v>
      </c>
      <c r="M262" s="1" t="s">
        <v>811</v>
      </c>
      <c r="N262" s="1">
        <f>_xlfn.XLOOKUP(Logs[[#This Row],[ID_Client]],Clients_Log!B:B,Clients_Log!E:E,"Pas de correspondance")</f>
        <v>66</v>
      </c>
      <c r="O262" s="4">
        <f>IFERROR(Logs[[#This Row],[Anciennete_Mois]]/12,"")</f>
        <v>5.5</v>
      </c>
      <c r="P262" s="1" t="str">
        <f>_xlfn.XLOOKUP(Logs[[#This Row],[ID_Client]],Clients_Log!B:B,Clients_Log!F:F,"Pas de correspondance")</f>
        <v>Illimité 50Go</v>
      </c>
      <c r="Q262" s="1" t="str">
        <f>IF(Logs[[#This Row],[Type_Forfait]]="Pro Monde","B2B","B2C")</f>
        <v>B2C</v>
      </c>
      <c r="R262" s="1">
        <f>_xlfn.XLOOKUP(Logs[[#This Row],[ID_Client]],Clients_Log!B:B,Clients_Log!G:G,"Pas de correspondance")</f>
        <v>270</v>
      </c>
      <c r="S262" s="3">
        <f>Logs[[#This Row],[Duree_Cumulee_Panne_Min]]/1440</f>
        <v>0.1875</v>
      </c>
      <c r="T262" s="1">
        <f>_xlfn.XLOOKUP(Logs[[#This Row],[ID_Client]],Clients_Log!B:B,Clients_Log!H:H,"Pas de correspondance")</f>
        <v>75.88</v>
      </c>
      <c r="U262" s="1">
        <f>_xlfn.XLOOKUP(Logs[[#This Row],[ID_Client]],Clients_Log!B:B,Clients_Log!I:I,"Pas de correspondance")</f>
        <v>3</v>
      </c>
      <c r="V26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62" s="1">
        <f>Logs[[#This Row],[Facture_Mensuelle]]*Logs[[#This Row],[Remise (%)]]</f>
        <v>34.146000000000001</v>
      </c>
    </row>
    <row r="263" spans="1:23" hidden="1" x14ac:dyDescent="0.25">
      <c r="A263" s="1" t="s">
        <v>1013</v>
      </c>
      <c r="B263" s="2">
        <v>45205</v>
      </c>
      <c r="C263" s="1" t="str">
        <f>_xlfn.XLOOKUP(Logs[[#This Row],[Province_RDC]],Clients_Log!D:D,Clients_Log!B:B,"Pas de correspondance")</f>
        <v>Pas de correspondance</v>
      </c>
      <c r="D263" t="str">
        <f>_xlfn.XLOOKUP(Logs[[#This Row],[Cell_ID]],'Registre_Maintenance'!B:B,'Registre_Maintenance'!C:C,"Pas de correspondance")</f>
        <v>Pas de correspondance</v>
      </c>
      <c r="E263" s="3">
        <v>0.11041666666666666</v>
      </c>
      <c r="F263" s="1" t="s">
        <v>835</v>
      </c>
      <c r="G263" s="3">
        <f>Logs[[#This Row],[Duree_Panne_Min]]/1440</f>
        <v>7.2222222222222215E-2</v>
      </c>
      <c r="H263">
        <v>104</v>
      </c>
      <c r="I263" t="str">
        <f>_xlfn.XLOOKUP(Logs[[#This Row],[Cell_ID]],'Registre_Maintenance'!B:B,'Registre_Maintenance'!D:D,"Pas de correspondance")</f>
        <v>Pas de correspondance</v>
      </c>
      <c r="J263" t="str">
        <f>_xlfn.XLOOKUP(Logs[[#This Row],[Cell_ID]],'Registre_Maintenance'!B:B,'Registre_Maintenance'!E:E,"Pas de correspondance")</f>
        <v>Pas de correspondance</v>
      </c>
      <c r="K263" t="str">
        <f>_xlfn.XLOOKUP(Logs[[#This Row],[Cell_ID]],'Registre_Maintenance'!B:B,'Registre_Maintenance'!F:F,"Pas de correspondance")</f>
        <v>Pas de correspondance</v>
      </c>
      <c r="L263" t="str">
        <f>_xlfn.XLOOKUP(Logs[[#This Row],[Cell_ID]],'Registre_Maintenance'!B:B,'Registre_Maintenance'!G:G,"Pas de correspondance")</f>
        <v>Pas de correspondance</v>
      </c>
      <c r="M263" s="1" t="s">
        <v>806</v>
      </c>
      <c r="N263" s="1" t="str">
        <f>_xlfn.XLOOKUP(Logs[[#This Row],[ID_Client]],Clients_Log!B:B,Clients_Log!E:E,"Pas de correspondance")</f>
        <v>Pas de correspondance</v>
      </c>
      <c r="O263" s="4" t="str">
        <f>IFERROR(Logs[[#This Row],[Anciennete_Mois]]/12,"")</f>
        <v/>
      </c>
      <c r="P263" s="1" t="str">
        <f>_xlfn.XLOOKUP(Logs[[#This Row],[ID_Client]],Clients_Log!B:B,Clients_Log!F:F,"Pas de correspondance")</f>
        <v>Pas de correspondance</v>
      </c>
      <c r="Q263" s="1" t="str">
        <f>IF(Logs[[#This Row],[Type_Forfait]]="Pro Monde","B2B","B2C")</f>
        <v>B2C</v>
      </c>
      <c r="R263" s="1" t="str">
        <f>_xlfn.XLOOKUP(Logs[[#This Row],[ID_Client]],Clients_Log!B:B,Clients_Log!G:G,"Pas de correspondance")</f>
        <v>Pas de correspondance</v>
      </c>
      <c r="S263" s="1" t="e">
        <f>Logs[[#This Row],[Duree_Cumulee_Panne_Min]]/1440</f>
        <v>#VALUE!</v>
      </c>
      <c r="T263" s="1" t="str">
        <f>_xlfn.XLOOKUP(Logs[[#This Row],[ID_Client]],Clients_Log!B:B,Clients_Log!H:H,"Pas de correspondance")</f>
        <v>Pas de correspondance</v>
      </c>
      <c r="U263" s="1" t="str">
        <f>_xlfn.XLOOKUP(Logs[[#This Row],[ID_Client]],Clients_Log!B:B,Clients_Log!I:I,"Pas de correspondance")</f>
        <v>Pas de correspondance</v>
      </c>
      <c r="V26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63" s="1" t="e">
        <f>Logs[[#This Row],[Facture_Mensuelle]]*Logs[[#This Row],[Remise (%)]]</f>
        <v>#VALUE!</v>
      </c>
    </row>
    <row r="264" spans="1:23" x14ac:dyDescent="0.25">
      <c r="A264" s="1" t="s">
        <v>1013</v>
      </c>
      <c r="B264" s="2">
        <v>45227</v>
      </c>
      <c r="C264" s="1" t="str">
        <f>_xlfn.XLOOKUP(Logs[[#This Row],[Province_RDC]],Clients_Log!D:D,Clients_Log!B:B,"Pas de correspondance")</f>
        <v>CLI-01618</v>
      </c>
      <c r="D264" t="str">
        <f>_xlfn.XLOOKUP(Logs[[#This Row],[Cell_ID]],'Registre_Maintenance'!B:B,'Registre_Maintenance'!C:C,"Pas de correspondance")</f>
        <v>Tanganyika</v>
      </c>
      <c r="E264" s="3">
        <v>0.52708333333333335</v>
      </c>
      <c r="F264" s="1" t="s">
        <v>1043</v>
      </c>
      <c r="G264" s="3">
        <f>Logs[[#This Row],[Duree_Panne_Min]]/1440</f>
        <v>7.4305555555555555E-2</v>
      </c>
      <c r="H264">
        <v>107</v>
      </c>
      <c r="I264">
        <f>_xlfn.XLOOKUP(Logs[[#This Row],[Cell_ID]],'Registre_Maintenance'!B:B,'Registre_Maintenance'!D:D,"Pas de correspondance")</f>
        <v>-1.50664</v>
      </c>
      <c r="J264">
        <f>_xlfn.XLOOKUP(Logs[[#This Row],[Cell_ID]],'Registre_Maintenance'!B:B,'Registre_Maintenance'!E:E,"Pas de correspondance")</f>
        <v>27.795642000000001</v>
      </c>
      <c r="K264" t="str">
        <f>_xlfn.XLOOKUP(Logs[[#This Row],[Cell_ID]],'Registre_Maintenance'!B:B,'Registre_Maintenance'!F:F,"Pas de correspondance")</f>
        <v>5G</v>
      </c>
      <c r="L264" t="str">
        <f>_xlfn.XLOOKUP(Logs[[#This Row],[Cell_ID]],'Registre_Maintenance'!B:B,'Registre_Maintenance'!G:G,"Pas de correspondance")</f>
        <v>ZTE</v>
      </c>
      <c r="M264" s="1" t="s">
        <v>809</v>
      </c>
      <c r="N264" s="1">
        <f>_xlfn.XLOOKUP(Logs[[#This Row],[ID_Client]],Clients_Log!B:B,Clients_Log!E:E,"Pas de correspondance")</f>
        <v>115</v>
      </c>
      <c r="O264" s="4">
        <f>IFERROR(Logs[[#This Row],[Anciennete_Mois]]/12,"")</f>
        <v>9.5833333333333339</v>
      </c>
      <c r="P264" s="1" t="str">
        <f>_xlfn.XLOOKUP(Logs[[#This Row],[ID_Client]],Clients_Log!B:B,Clients_Log!F:F,"Pas de correspondance")</f>
        <v>Bloqué 5Go</v>
      </c>
      <c r="Q264" s="1" t="str">
        <f>IF(Logs[[#This Row],[Type_Forfait]]="Pro Monde","B2B","B2C")</f>
        <v>B2C</v>
      </c>
      <c r="R264" s="1">
        <f>_xlfn.XLOOKUP(Logs[[#This Row],[ID_Client]],Clients_Log!B:B,Clients_Log!G:G,"Pas de correspondance")</f>
        <v>176</v>
      </c>
      <c r="S264" s="3">
        <f>Logs[[#This Row],[Duree_Cumulee_Panne_Min]]/1440</f>
        <v>0.12222222222222222</v>
      </c>
      <c r="T264" s="1">
        <f>_xlfn.XLOOKUP(Logs[[#This Row],[ID_Client]],Clients_Log!B:B,Clients_Log!H:H,"Pas de correspondance")</f>
        <v>33.28</v>
      </c>
      <c r="U264" s="1">
        <f>_xlfn.XLOOKUP(Logs[[#This Row],[ID_Client]],Clients_Log!B:B,Clients_Log!I:I,"Pas de correspondance")</f>
        <v>4</v>
      </c>
      <c r="V26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264" s="1">
        <f>Logs[[#This Row],[Facture_Mensuelle]]*Logs[[#This Row],[Remise (%)]]</f>
        <v>0</v>
      </c>
    </row>
    <row r="265" spans="1:23" x14ac:dyDescent="0.25">
      <c r="A265" s="1" t="s">
        <v>1013</v>
      </c>
      <c r="B265" s="2">
        <v>45221</v>
      </c>
      <c r="C265" s="1" t="str">
        <f>_xlfn.XLOOKUP(Logs[[#This Row],[Province_RDC]],Clients_Log!D:D,Clients_Log!B:B,"Pas de correspondance")</f>
        <v>CLI-00559</v>
      </c>
      <c r="D265" t="str">
        <f>_xlfn.XLOOKUP(Logs[[#This Row],[Cell_ID]],'Registre_Maintenance'!B:B,'Registre_Maintenance'!C:C,"Pas de correspondance")</f>
        <v>Kasaï</v>
      </c>
      <c r="E265" s="3">
        <v>0.31319444444444444</v>
      </c>
      <c r="F265" s="1" t="s">
        <v>1044</v>
      </c>
      <c r="G265" s="3">
        <f>Logs[[#This Row],[Duree_Panne_Min]]/1440</f>
        <v>2.361111111111111E-2</v>
      </c>
      <c r="H265">
        <v>34</v>
      </c>
      <c r="I265">
        <f>_xlfn.XLOOKUP(Logs[[#This Row],[Cell_ID]],'Registre_Maintenance'!B:B,'Registre_Maintenance'!D:D,"Pas de correspondance")</f>
        <v>-10.165072</v>
      </c>
      <c r="J265">
        <f>_xlfn.XLOOKUP(Logs[[#This Row],[Cell_ID]],'Registre_Maintenance'!B:B,'Registre_Maintenance'!E:E,"Pas de correspondance")</f>
        <v>29.428024000000001</v>
      </c>
      <c r="K265" t="str">
        <f>_xlfn.XLOOKUP(Logs[[#This Row],[Cell_ID]],'Registre_Maintenance'!B:B,'Registre_Maintenance'!F:F,"Pas de correspondance")</f>
        <v>5G</v>
      </c>
      <c r="L265" t="str">
        <f>_xlfn.XLOOKUP(Logs[[#This Row],[Cell_ID]],'Registre_Maintenance'!B:B,'Registre_Maintenance'!G:G,"Pas de correspondance")</f>
        <v>Huawei</v>
      </c>
      <c r="M265" s="1" t="s">
        <v>809</v>
      </c>
      <c r="N265" s="1">
        <f>_xlfn.XLOOKUP(Logs[[#This Row],[ID_Client]],Clients_Log!B:B,Clients_Log!E:E,"Pas de correspondance")</f>
        <v>99</v>
      </c>
      <c r="O265" s="4">
        <f>IFERROR(Logs[[#This Row],[Anciennete_Mois]]/12,"")</f>
        <v>8.25</v>
      </c>
      <c r="P265" s="1" t="str">
        <f>_xlfn.XLOOKUP(Logs[[#This Row],[ID_Client]],Clients_Log!B:B,Clients_Log!F:F,"Pas de correspondance")</f>
        <v>Bloqué 5Go</v>
      </c>
      <c r="Q265" s="1" t="str">
        <f>IF(Logs[[#This Row],[Type_Forfait]]="Pro Monde","B2B","B2C")</f>
        <v>B2C</v>
      </c>
      <c r="R265" s="1">
        <f>_xlfn.XLOOKUP(Logs[[#This Row],[ID_Client]],Clients_Log!B:B,Clients_Log!G:G,"Pas de correspondance")</f>
        <v>369</v>
      </c>
      <c r="S265" s="3">
        <f>Logs[[#This Row],[Duree_Cumulee_Panne_Min]]/1440</f>
        <v>0.25624999999999998</v>
      </c>
      <c r="T265" s="1">
        <f>_xlfn.XLOOKUP(Logs[[#This Row],[ID_Client]],Clients_Log!B:B,Clients_Log!H:H,"Pas de correspondance")</f>
        <v>67.209999999999994</v>
      </c>
      <c r="U265" s="1">
        <f>_xlfn.XLOOKUP(Logs[[#This Row],[ID_Client]],Clients_Log!B:B,Clients_Log!I:I,"Pas de correspondance")</f>
        <v>3</v>
      </c>
      <c r="V26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65" s="1">
        <f>Logs[[#This Row],[Facture_Mensuelle]]*Logs[[#This Row],[Remise (%)]]</f>
        <v>30.244499999999999</v>
      </c>
    </row>
    <row r="266" spans="1:23" hidden="1" x14ac:dyDescent="0.25">
      <c r="A266" s="1" t="s">
        <v>1013</v>
      </c>
      <c r="B266" s="2">
        <v>45229</v>
      </c>
      <c r="C266" s="1" t="str">
        <f>_xlfn.XLOOKUP(Logs[[#This Row],[Province_RDC]],Clients_Log!D:D,Clients_Log!B:B,"Pas de correspondance")</f>
        <v>Pas de correspondance</v>
      </c>
      <c r="D266" t="str">
        <f>_xlfn.XLOOKUP(Logs[[#This Row],[Cell_ID]],'Registre_Maintenance'!B:B,'Registre_Maintenance'!C:C,"Pas de correspondance")</f>
        <v>Pas de correspondance</v>
      </c>
      <c r="E266" s="3">
        <v>0.75624999999999998</v>
      </c>
      <c r="F266" s="1" t="s">
        <v>1045</v>
      </c>
      <c r="G266" s="3">
        <f>Logs[[#This Row],[Duree_Panne_Min]]/1440</f>
        <v>5.6944444444444443E-2</v>
      </c>
      <c r="H266">
        <v>82</v>
      </c>
      <c r="I266" t="str">
        <f>_xlfn.XLOOKUP(Logs[[#This Row],[Cell_ID]],'Registre_Maintenance'!B:B,'Registre_Maintenance'!D:D,"Pas de correspondance")</f>
        <v>Pas de correspondance</v>
      </c>
      <c r="J266" t="str">
        <f>_xlfn.XLOOKUP(Logs[[#This Row],[Cell_ID]],'Registre_Maintenance'!B:B,'Registre_Maintenance'!E:E,"Pas de correspondance")</f>
        <v>Pas de correspondance</v>
      </c>
      <c r="K266" t="str">
        <f>_xlfn.XLOOKUP(Logs[[#This Row],[Cell_ID]],'Registre_Maintenance'!B:B,'Registre_Maintenance'!F:F,"Pas de correspondance")</f>
        <v>Pas de correspondance</v>
      </c>
      <c r="L266" t="str">
        <f>_xlfn.XLOOKUP(Logs[[#This Row],[Cell_ID]],'Registre_Maintenance'!B:B,'Registre_Maintenance'!G:G,"Pas de correspondance")</f>
        <v>Pas de correspondance</v>
      </c>
      <c r="M266" s="1" t="s">
        <v>811</v>
      </c>
      <c r="N266" s="1" t="str">
        <f>_xlfn.XLOOKUP(Logs[[#This Row],[ID_Client]],Clients_Log!B:B,Clients_Log!E:E,"Pas de correspondance")</f>
        <v>Pas de correspondance</v>
      </c>
      <c r="O266" s="4" t="str">
        <f>IFERROR(Logs[[#This Row],[Anciennete_Mois]]/12,"")</f>
        <v/>
      </c>
      <c r="P266" s="1" t="str">
        <f>_xlfn.XLOOKUP(Logs[[#This Row],[ID_Client]],Clients_Log!B:B,Clients_Log!F:F,"Pas de correspondance")</f>
        <v>Pas de correspondance</v>
      </c>
      <c r="Q266" s="1" t="str">
        <f>IF(Logs[[#This Row],[Type_Forfait]]="Pro Monde","B2B","B2C")</f>
        <v>B2C</v>
      </c>
      <c r="R266" s="1" t="str">
        <f>_xlfn.XLOOKUP(Logs[[#This Row],[ID_Client]],Clients_Log!B:B,Clients_Log!G:G,"Pas de correspondance")</f>
        <v>Pas de correspondance</v>
      </c>
      <c r="S266" s="1" t="e">
        <f>Logs[[#This Row],[Duree_Cumulee_Panne_Min]]/1440</f>
        <v>#VALUE!</v>
      </c>
      <c r="T266" s="1" t="str">
        <f>_xlfn.XLOOKUP(Logs[[#This Row],[ID_Client]],Clients_Log!B:B,Clients_Log!H:H,"Pas de correspondance")</f>
        <v>Pas de correspondance</v>
      </c>
      <c r="U266" s="1" t="str">
        <f>_xlfn.XLOOKUP(Logs[[#This Row],[ID_Client]],Clients_Log!B:B,Clients_Log!I:I,"Pas de correspondance")</f>
        <v>Pas de correspondance</v>
      </c>
      <c r="V26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66" s="1" t="e">
        <f>Logs[[#This Row],[Facture_Mensuelle]]*Logs[[#This Row],[Remise (%)]]</f>
        <v>#VALUE!</v>
      </c>
    </row>
    <row r="267" spans="1:23" hidden="1" x14ac:dyDescent="0.25">
      <c r="A267" s="1" t="s">
        <v>1013</v>
      </c>
      <c r="B267" s="2">
        <v>45207</v>
      </c>
      <c r="C267" s="1" t="str">
        <f>_xlfn.XLOOKUP(Logs[[#This Row],[Province_RDC]],Clients_Log!D:D,Clients_Log!B:B,"Pas de correspondance")</f>
        <v>Pas de correspondance</v>
      </c>
      <c r="D267" t="str">
        <f>_xlfn.XLOOKUP(Logs[[#This Row],[Cell_ID]],'Registre_Maintenance'!B:B,'Registre_Maintenance'!C:C,"Pas de correspondance")</f>
        <v>Pas de correspondance</v>
      </c>
      <c r="E267" s="3">
        <v>0.61111111111111116</v>
      </c>
      <c r="F267" s="1" t="s">
        <v>910</v>
      </c>
      <c r="G267" s="3">
        <f>Logs[[#This Row],[Duree_Panne_Min]]/1440</f>
        <v>7.4305555555555555E-2</v>
      </c>
      <c r="H267">
        <v>107</v>
      </c>
      <c r="I267" t="str">
        <f>_xlfn.XLOOKUP(Logs[[#This Row],[Cell_ID]],'Registre_Maintenance'!B:B,'Registre_Maintenance'!D:D,"Pas de correspondance")</f>
        <v>Pas de correspondance</v>
      </c>
      <c r="J267" t="str">
        <f>_xlfn.XLOOKUP(Logs[[#This Row],[Cell_ID]],'Registre_Maintenance'!B:B,'Registre_Maintenance'!E:E,"Pas de correspondance")</f>
        <v>Pas de correspondance</v>
      </c>
      <c r="K267" t="str">
        <f>_xlfn.XLOOKUP(Logs[[#This Row],[Cell_ID]],'Registre_Maintenance'!B:B,'Registre_Maintenance'!F:F,"Pas de correspondance")</f>
        <v>Pas de correspondance</v>
      </c>
      <c r="L267" t="str">
        <f>_xlfn.XLOOKUP(Logs[[#This Row],[Cell_ID]],'Registre_Maintenance'!B:B,'Registre_Maintenance'!G:G,"Pas de correspondance")</f>
        <v>Pas de correspondance</v>
      </c>
      <c r="M267" s="1" t="s">
        <v>809</v>
      </c>
      <c r="N267" s="1" t="str">
        <f>_xlfn.XLOOKUP(Logs[[#This Row],[ID_Client]],Clients_Log!B:B,Clients_Log!E:E,"Pas de correspondance")</f>
        <v>Pas de correspondance</v>
      </c>
      <c r="O267" s="4" t="str">
        <f>IFERROR(Logs[[#This Row],[Anciennete_Mois]]/12,"")</f>
        <v/>
      </c>
      <c r="P267" s="1" t="str">
        <f>_xlfn.XLOOKUP(Logs[[#This Row],[ID_Client]],Clients_Log!B:B,Clients_Log!F:F,"Pas de correspondance")</f>
        <v>Pas de correspondance</v>
      </c>
      <c r="Q267" s="1" t="str">
        <f>IF(Logs[[#This Row],[Type_Forfait]]="Pro Monde","B2B","B2C")</f>
        <v>B2C</v>
      </c>
      <c r="R267" s="1" t="str">
        <f>_xlfn.XLOOKUP(Logs[[#This Row],[ID_Client]],Clients_Log!B:B,Clients_Log!G:G,"Pas de correspondance")</f>
        <v>Pas de correspondance</v>
      </c>
      <c r="S267" s="1" t="e">
        <f>Logs[[#This Row],[Duree_Cumulee_Panne_Min]]/1440</f>
        <v>#VALUE!</v>
      </c>
      <c r="T267" s="1" t="str">
        <f>_xlfn.XLOOKUP(Logs[[#This Row],[ID_Client]],Clients_Log!B:B,Clients_Log!H:H,"Pas de correspondance")</f>
        <v>Pas de correspondance</v>
      </c>
      <c r="U267" s="1" t="str">
        <f>_xlfn.XLOOKUP(Logs[[#This Row],[ID_Client]],Clients_Log!B:B,Clients_Log!I:I,"Pas de correspondance")</f>
        <v>Pas de correspondance</v>
      </c>
      <c r="V26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67" s="1" t="e">
        <f>Logs[[#This Row],[Facture_Mensuelle]]*Logs[[#This Row],[Remise (%)]]</f>
        <v>#VALUE!</v>
      </c>
    </row>
    <row r="268" spans="1:23" hidden="1" x14ac:dyDescent="0.25">
      <c r="A268" s="1" t="s">
        <v>1013</v>
      </c>
      <c r="B268" s="2">
        <v>45208</v>
      </c>
      <c r="C268" s="1" t="str">
        <f>_xlfn.XLOOKUP(Logs[[#This Row],[Province_RDC]],Clients_Log!D:D,Clients_Log!B:B,"Pas de correspondance")</f>
        <v>Pas de correspondance</v>
      </c>
      <c r="D268" t="str">
        <f>_xlfn.XLOOKUP(Logs[[#This Row],[Cell_ID]],'Registre_Maintenance'!B:B,'Registre_Maintenance'!C:C,"Pas de correspondance")</f>
        <v>Pas de correspondance</v>
      </c>
      <c r="E268" s="3">
        <v>0.59444444444444444</v>
      </c>
      <c r="F268" s="1" t="s">
        <v>1046</v>
      </c>
      <c r="G268" s="3">
        <f>Logs[[#This Row],[Duree_Panne_Min]]/1440</f>
        <v>3.4722222222222224E-2</v>
      </c>
      <c r="H268">
        <v>50</v>
      </c>
      <c r="I268" t="str">
        <f>_xlfn.XLOOKUP(Logs[[#This Row],[Cell_ID]],'Registre_Maintenance'!B:B,'Registre_Maintenance'!D:D,"Pas de correspondance")</f>
        <v>Pas de correspondance</v>
      </c>
      <c r="J268" t="str">
        <f>_xlfn.XLOOKUP(Logs[[#This Row],[Cell_ID]],'Registre_Maintenance'!B:B,'Registre_Maintenance'!E:E,"Pas de correspondance")</f>
        <v>Pas de correspondance</v>
      </c>
      <c r="K268" t="str">
        <f>_xlfn.XLOOKUP(Logs[[#This Row],[Cell_ID]],'Registre_Maintenance'!B:B,'Registre_Maintenance'!F:F,"Pas de correspondance")</f>
        <v>Pas de correspondance</v>
      </c>
      <c r="L268" t="str">
        <f>_xlfn.XLOOKUP(Logs[[#This Row],[Cell_ID]],'Registre_Maintenance'!B:B,'Registre_Maintenance'!G:G,"Pas de correspondance")</f>
        <v>Pas de correspondance</v>
      </c>
      <c r="M268" s="1" t="s">
        <v>806</v>
      </c>
      <c r="N268" s="1" t="str">
        <f>_xlfn.XLOOKUP(Logs[[#This Row],[ID_Client]],Clients_Log!B:B,Clients_Log!E:E,"Pas de correspondance")</f>
        <v>Pas de correspondance</v>
      </c>
      <c r="O268" s="4" t="str">
        <f>IFERROR(Logs[[#This Row],[Anciennete_Mois]]/12,"")</f>
        <v/>
      </c>
      <c r="P268" s="1" t="str">
        <f>_xlfn.XLOOKUP(Logs[[#This Row],[ID_Client]],Clients_Log!B:B,Clients_Log!F:F,"Pas de correspondance")</f>
        <v>Pas de correspondance</v>
      </c>
      <c r="Q268" s="1" t="str">
        <f>IF(Logs[[#This Row],[Type_Forfait]]="Pro Monde","B2B","B2C")</f>
        <v>B2C</v>
      </c>
      <c r="R268" s="1" t="str">
        <f>_xlfn.XLOOKUP(Logs[[#This Row],[ID_Client]],Clients_Log!B:B,Clients_Log!G:G,"Pas de correspondance")</f>
        <v>Pas de correspondance</v>
      </c>
      <c r="S268" s="1" t="e">
        <f>Logs[[#This Row],[Duree_Cumulee_Panne_Min]]/1440</f>
        <v>#VALUE!</v>
      </c>
      <c r="T268" s="1" t="str">
        <f>_xlfn.XLOOKUP(Logs[[#This Row],[ID_Client]],Clients_Log!B:B,Clients_Log!H:H,"Pas de correspondance")</f>
        <v>Pas de correspondance</v>
      </c>
      <c r="U268" s="1" t="str">
        <f>_xlfn.XLOOKUP(Logs[[#This Row],[ID_Client]],Clients_Log!B:B,Clients_Log!I:I,"Pas de correspondance")</f>
        <v>Pas de correspondance</v>
      </c>
      <c r="V26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68" s="1" t="e">
        <f>Logs[[#This Row],[Facture_Mensuelle]]*Logs[[#This Row],[Remise (%)]]</f>
        <v>#VALUE!</v>
      </c>
    </row>
    <row r="269" spans="1:23" x14ac:dyDescent="0.25">
      <c r="A269" s="1" t="s">
        <v>1013</v>
      </c>
      <c r="B269" s="2">
        <v>45221</v>
      </c>
      <c r="C269" s="1" t="str">
        <f>_xlfn.XLOOKUP(Logs[[#This Row],[Province_RDC]],Clients_Log!D:D,Clients_Log!B:B,"Pas de correspondance")</f>
        <v>CLI-00611</v>
      </c>
      <c r="D269" t="str">
        <f>_xlfn.XLOOKUP(Logs[[#This Row],[Cell_ID]],'Registre_Maintenance'!B:B,'Registre_Maintenance'!C:C,"Pas de correspondance")</f>
        <v>Kinshasa</v>
      </c>
      <c r="E269" s="3">
        <v>3.9583333333333331E-2</v>
      </c>
      <c r="F269" s="1" t="s">
        <v>1047</v>
      </c>
      <c r="G269" s="3">
        <f>Logs[[#This Row],[Duree_Panne_Min]]/1440</f>
        <v>2.2916666666666665E-2</v>
      </c>
      <c r="H269">
        <v>33</v>
      </c>
      <c r="I269">
        <f>_xlfn.XLOOKUP(Logs[[#This Row],[Cell_ID]],'Registre_Maintenance'!B:B,'Registre_Maintenance'!D:D,"Pas de correspondance")</f>
        <v>0.48965500000000001</v>
      </c>
      <c r="J269">
        <f>_xlfn.XLOOKUP(Logs[[#This Row],[Cell_ID]],'Registre_Maintenance'!B:B,'Registre_Maintenance'!E:E,"Pas de correspondance")</f>
        <v>26.176860000000001</v>
      </c>
      <c r="K269" t="str">
        <f>_xlfn.XLOOKUP(Logs[[#This Row],[Cell_ID]],'Registre_Maintenance'!B:B,'Registre_Maintenance'!F:F,"Pas de correspondance")</f>
        <v>4G</v>
      </c>
      <c r="L269" t="str">
        <f>_xlfn.XLOOKUP(Logs[[#This Row],[Cell_ID]],'Registre_Maintenance'!B:B,'Registre_Maintenance'!G:G,"Pas de correspondance")</f>
        <v>Huawei</v>
      </c>
      <c r="M269" s="1" t="s">
        <v>809</v>
      </c>
      <c r="N269" s="1">
        <f>_xlfn.XLOOKUP(Logs[[#This Row],[ID_Client]],Clients_Log!B:B,Clients_Log!E:E,"Pas de correspondance")</f>
        <v>79</v>
      </c>
      <c r="O269" s="4">
        <f>IFERROR(Logs[[#This Row],[Anciennete_Mois]]/12,"")</f>
        <v>6.583333333333333</v>
      </c>
      <c r="P269" s="1" t="str">
        <f>_xlfn.XLOOKUP(Logs[[#This Row],[ID_Client]],Clients_Log!B:B,Clients_Log!F:F,"Pas de correspondance")</f>
        <v>Premium 5G 150Go</v>
      </c>
      <c r="Q269" s="1" t="str">
        <f>IF(Logs[[#This Row],[Type_Forfait]]="Pro Monde","B2B","B2C")</f>
        <v>B2C</v>
      </c>
      <c r="R269" s="1">
        <f>_xlfn.XLOOKUP(Logs[[#This Row],[ID_Client]],Clients_Log!B:B,Clients_Log!G:G,"Pas de correspondance")</f>
        <v>226</v>
      </c>
      <c r="S269" s="3">
        <f>Logs[[#This Row],[Duree_Cumulee_Panne_Min]]/1440</f>
        <v>0.15694444444444444</v>
      </c>
      <c r="T269" s="1">
        <f>_xlfn.XLOOKUP(Logs[[#This Row],[ID_Client]],Clients_Log!B:B,Clients_Log!H:H,"Pas de correspondance")</f>
        <v>94.38</v>
      </c>
      <c r="U269" s="1">
        <f>_xlfn.XLOOKUP(Logs[[#This Row],[ID_Client]],Clients_Log!B:B,Clients_Log!I:I,"Pas de correspondance")</f>
        <v>3</v>
      </c>
      <c r="V26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269" s="1">
        <f>Logs[[#This Row],[Facture_Mensuelle]]*Logs[[#This Row],[Remise (%)]]</f>
        <v>0</v>
      </c>
    </row>
    <row r="270" spans="1:23" x14ac:dyDescent="0.25">
      <c r="A270" s="1" t="s">
        <v>1013</v>
      </c>
      <c r="B270" s="2">
        <v>45225</v>
      </c>
      <c r="C270" s="1" t="str">
        <f>_xlfn.XLOOKUP(Logs[[#This Row],[Province_RDC]],Clients_Log!D:D,Clients_Log!B:B,"Pas de correspondance")</f>
        <v>CLI-00559</v>
      </c>
      <c r="D270" t="str">
        <f>_xlfn.XLOOKUP(Logs[[#This Row],[Cell_ID]],'Registre_Maintenance'!B:B,'Registre_Maintenance'!C:C,"Pas de correspondance")</f>
        <v>Kasaï</v>
      </c>
      <c r="E270" s="3">
        <v>0.62291666666666667</v>
      </c>
      <c r="F270" s="1" t="s">
        <v>1044</v>
      </c>
      <c r="G270" s="3">
        <f>Logs[[#This Row],[Duree_Panne_Min]]/1440</f>
        <v>5.9722222222222225E-2</v>
      </c>
      <c r="H270">
        <v>86</v>
      </c>
      <c r="I270">
        <f>_xlfn.XLOOKUP(Logs[[#This Row],[Cell_ID]],'Registre_Maintenance'!B:B,'Registre_Maintenance'!D:D,"Pas de correspondance")</f>
        <v>-10.165072</v>
      </c>
      <c r="J270">
        <f>_xlfn.XLOOKUP(Logs[[#This Row],[Cell_ID]],'Registre_Maintenance'!B:B,'Registre_Maintenance'!E:E,"Pas de correspondance")</f>
        <v>29.428024000000001</v>
      </c>
      <c r="K270" t="str">
        <f>_xlfn.XLOOKUP(Logs[[#This Row],[Cell_ID]],'Registre_Maintenance'!B:B,'Registre_Maintenance'!F:F,"Pas de correspondance")</f>
        <v>5G</v>
      </c>
      <c r="L270" t="str">
        <f>_xlfn.XLOOKUP(Logs[[#This Row],[Cell_ID]],'Registre_Maintenance'!B:B,'Registre_Maintenance'!G:G,"Pas de correspondance")</f>
        <v>Huawei</v>
      </c>
      <c r="M270" s="1" t="s">
        <v>806</v>
      </c>
      <c r="N270" s="1">
        <f>_xlfn.XLOOKUP(Logs[[#This Row],[ID_Client]],Clients_Log!B:B,Clients_Log!E:E,"Pas de correspondance")</f>
        <v>99</v>
      </c>
      <c r="O270" s="4">
        <f>IFERROR(Logs[[#This Row],[Anciennete_Mois]]/12,"")</f>
        <v>8.25</v>
      </c>
      <c r="P270" s="1" t="str">
        <f>_xlfn.XLOOKUP(Logs[[#This Row],[ID_Client]],Clients_Log!B:B,Clients_Log!F:F,"Pas de correspondance")</f>
        <v>Bloqué 5Go</v>
      </c>
      <c r="Q270" s="1" t="str">
        <f>IF(Logs[[#This Row],[Type_Forfait]]="Pro Monde","B2B","B2C")</f>
        <v>B2C</v>
      </c>
      <c r="R270" s="1">
        <f>_xlfn.XLOOKUP(Logs[[#This Row],[ID_Client]],Clients_Log!B:B,Clients_Log!G:G,"Pas de correspondance")</f>
        <v>369</v>
      </c>
      <c r="S270" s="3">
        <f>Logs[[#This Row],[Duree_Cumulee_Panne_Min]]/1440</f>
        <v>0.25624999999999998</v>
      </c>
      <c r="T270" s="1">
        <f>_xlfn.XLOOKUP(Logs[[#This Row],[ID_Client]],Clients_Log!B:B,Clients_Log!H:H,"Pas de correspondance")</f>
        <v>67.209999999999994</v>
      </c>
      <c r="U270" s="1">
        <f>_xlfn.XLOOKUP(Logs[[#This Row],[ID_Client]],Clients_Log!B:B,Clients_Log!I:I,"Pas de correspondance")</f>
        <v>3</v>
      </c>
      <c r="V27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70" s="1">
        <f>Logs[[#This Row],[Facture_Mensuelle]]*Logs[[#This Row],[Remise (%)]]</f>
        <v>30.244499999999999</v>
      </c>
    </row>
    <row r="271" spans="1:23" x14ac:dyDescent="0.25">
      <c r="A271" s="1" t="s">
        <v>1013</v>
      </c>
      <c r="B271" s="2">
        <v>45209</v>
      </c>
      <c r="C271" s="1" t="str">
        <f>_xlfn.XLOOKUP(Logs[[#This Row],[Province_RDC]],Clients_Log!D:D,Clients_Log!B:B,"Pas de correspondance")</f>
        <v>CLI-01005</v>
      </c>
      <c r="D271" t="str">
        <f>_xlfn.XLOOKUP(Logs[[#This Row],[Cell_ID]],'Registre_Maintenance'!B:B,'Registre_Maintenance'!C:C,"Pas de correspondance")</f>
        <v>Lualaba</v>
      </c>
      <c r="E271" s="3">
        <v>0.89861111111111114</v>
      </c>
      <c r="F271" s="1" t="s">
        <v>984</v>
      </c>
      <c r="G271" s="3">
        <f>Logs[[#This Row],[Duree_Panne_Min]]/1440</f>
        <v>2.013888888888889E-2</v>
      </c>
      <c r="H271">
        <v>29</v>
      </c>
      <c r="I271">
        <f>_xlfn.XLOOKUP(Logs[[#This Row],[Cell_ID]],'Registre_Maintenance'!B:B,'Registre_Maintenance'!D:D,"Pas de correspondance")</f>
        <v>-10.872631999999999</v>
      </c>
      <c r="J271">
        <f>_xlfn.XLOOKUP(Logs[[#This Row],[Cell_ID]],'Registre_Maintenance'!B:B,'Registre_Maintenance'!E:E,"Pas de correspondance")</f>
        <v>12.773279</v>
      </c>
      <c r="K271" t="str">
        <f>_xlfn.XLOOKUP(Logs[[#This Row],[Cell_ID]],'Registre_Maintenance'!B:B,'Registre_Maintenance'!F:F,"Pas de correspondance")</f>
        <v>3G</v>
      </c>
      <c r="L271" t="str">
        <f>_xlfn.XLOOKUP(Logs[[#This Row],[Cell_ID]],'Registre_Maintenance'!B:B,'Registre_Maintenance'!G:G,"Pas de correspondance")</f>
        <v>ZTE</v>
      </c>
      <c r="M271" s="1" t="s">
        <v>809</v>
      </c>
      <c r="N271" s="1">
        <f>_xlfn.XLOOKUP(Logs[[#This Row],[ID_Client]],Clients_Log!B:B,Clients_Log!E:E,"Pas de correspondance")</f>
        <v>80</v>
      </c>
      <c r="O271" s="4">
        <f>IFERROR(Logs[[#This Row],[Anciennete_Mois]]/12,"")</f>
        <v>6.666666666666667</v>
      </c>
      <c r="P271" s="1" t="str">
        <f>_xlfn.XLOOKUP(Logs[[#This Row],[ID_Client]],Clients_Log!B:B,Clients_Log!F:F,"Pas de correspondance")</f>
        <v>Illimité 50Go</v>
      </c>
      <c r="Q271" s="1" t="str">
        <f>IF(Logs[[#This Row],[Type_Forfait]]="Pro Monde","B2B","B2C")</f>
        <v>B2C</v>
      </c>
      <c r="R271" s="1">
        <f>_xlfn.XLOOKUP(Logs[[#This Row],[ID_Client]],Clients_Log!B:B,Clients_Log!G:G,"Pas de correspondance")</f>
        <v>155</v>
      </c>
      <c r="S271" s="3">
        <f>Logs[[#This Row],[Duree_Cumulee_Panne_Min]]/1440</f>
        <v>0.1076388888888889</v>
      </c>
      <c r="T271" s="1">
        <f>_xlfn.XLOOKUP(Logs[[#This Row],[ID_Client]],Clients_Log!B:B,Clients_Log!H:H,"Pas de correspondance")</f>
        <v>28.96</v>
      </c>
      <c r="U271" s="1">
        <f>_xlfn.XLOOKUP(Logs[[#This Row],[ID_Client]],Clients_Log!B:B,Clients_Log!I:I,"Pas de correspondance")</f>
        <v>2</v>
      </c>
      <c r="V27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271" s="1">
        <f>Logs[[#This Row],[Facture_Mensuelle]]*Logs[[#This Row],[Remise (%)]]</f>
        <v>0</v>
      </c>
    </row>
    <row r="272" spans="1:23" hidden="1" x14ac:dyDescent="0.25">
      <c r="A272" s="1" t="s">
        <v>1013</v>
      </c>
      <c r="B272" s="2">
        <v>45205</v>
      </c>
      <c r="C272" s="1" t="str">
        <f>_xlfn.XLOOKUP(Logs[[#This Row],[Province_RDC]],Clients_Log!D:D,Clients_Log!B:B,"Pas de correspondance")</f>
        <v>Pas de correspondance</v>
      </c>
      <c r="D272" t="str">
        <f>_xlfn.XLOOKUP(Logs[[#This Row],[Cell_ID]],'Registre_Maintenance'!B:B,'Registre_Maintenance'!C:C,"Pas de correspondance")</f>
        <v>Pas de correspondance</v>
      </c>
      <c r="E272" s="3">
        <v>0.10277777777777777</v>
      </c>
      <c r="F272" s="1" t="s">
        <v>1048</v>
      </c>
      <c r="G272" s="3">
        <f>Logs[[#This Row],[Duree_Panne_Min]]/1440</f>
        <v>5.8333333333333334E-2</v>
      </c>
      <c r="H272">
        <v>84</v>
      </c>
      <c r="I272" t="str">
        <f>_xlfn.XLOOKUP(Logs[[#This Row],[Cell_ID]],'Registre_Maintenance'!B:B,'Registre_Maintenance'!D:D,"Pas de correspondance")</f>
        <v>Pas de correspondance</v>
      </c>
      <c r="J272" t="str">
        <f>_xlfn.XLOOKUP(Logs[[#This Row],[Cell_ID]],'Registre_Maintenance'!B:B,'Registre_Maintenance'!E:E,"Pas de correspondance")</f>
        <v>Pas de correspondance</v>
      </c>
      <c r="K272" t="str">
        <f>_xlfn.XLOOKUP(Logs[[#This Row],[Cell_ID]],'Registre_Maintenance'!B:B,'Registre_Maintenance'!F:F,"Pas de correspondance")</f>
        <v>Pas de correspondance</v>
      </c>
      <c r="L272" t="str">
        <f>_xlfn.XLOOKUP(Logs[[#This Row],[Cell_ID]],'Registre_Maintenance'!B:B,'Registre_Maintenance'!G:G,"Pas de correspondance")</f>
        <v>Pas de correspondance</v>
      </c>
      <c r="M272" s="1" t="s">
        <v>811</v>
      </c>
      <c r="N272" s="1" t="str">
        <f>_xlfn.XLOOKUP(Logs[[#This Row],[ID_Client]],Clients_Log!B:B,Clients_Log!E:E,"Pas de correspondance")</f>
        <v>Pas de correspondance</v>
      </c>
      <c r="O272" s="4" t="str">
        <f>IFERROR(Logs[[#This Row],[Anciennete_Mois]]/12,"")</f>
        <v/>
      </c>
      <c r="P272" s="1" t="str">
        <f>_xlfn.XLOOKUP(Logs[[#This Row],[ID_Client]],Clients_Log!B:B,Clients_Log!F:F,"Pas de correspondance")</f>
        <v>Pas de correspondance</v>
      </c>
      <c r="Q272" s="1" t="str">
        <f>IF(Logs[[#This Row],[Type_Forfait]]="Pro Monde","B2B","B2C")</f>
        <v>B2C</v>
      </c>
      <c r="R272" s="1" t="str">
        <f>_xlfn.XLOOKUP(Logs[[#This Row],[ID_Client]],Clients_Log!B:B,Clients_Log!G:G,"Pas de correspondance")</f>
        <v>Pas de correspondance</v>
      </c>
      <c r="S272" s="1" t="e">
        <f>Logs[[#This Row],[Duree_Cumulee_Panne_Min]]/1440</f>
        <v>#VALUE!</v>
      </c>
      <c r="T272" s="1" t="str">
        <f>_xlfn.XLOOKUP(Logs[[#This Row],[ID_Client]],Clients_Log!B:B,Clients_Log!H:H,"Pas de correspondance")</f>
        <v>Pas de correspondance</v>
      </c>
      <c r="U272" s="1" t="str">
        <f>_xlfn.XLOOKUP(Logs[[#This Row],[ID_Client]],Clients_Log!B:B,Clients_Log!I:I,"Pas de correspondance")</f>
        <v>Pas de correspondance</v>
      </c>
      <c r="V27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72" s="1" t="e">
        <f>Logs[[#This Row],[Facture_Mensuelle]]*Logs[[#This Row],[Remise (%)]]</f>
        <v>#VALUE!</v>
      </c>
    </row>
    <row r="273" spans="1:23" x14ac:dyDescent="0.25">
      <c r="A273" s="1" t="s">
        <v>1013</v>
      </c>
      <c r="B273" s="2">
        <v>45230</v>
      </c>
      <c r="C273" s="1" t="str">
        <f>_xlfn.XLOOKUP(Logs[[#This Row],[Province_RDC]],Clients_Log!D:D,Clients_Log!B:B,"Pas de correspondance")</f>
        <v>CLI-01233</v>
      </c>
      <c r="D273" t="str">
        <f>_xlfn.XLOOKUP(Logs[[#This Row],[Cell_ID]],'Registre_Maintenance'!B:B,'Registre_Maintenance'!C:C,"Pas de correspondance")</f>
        <v>Kongo-Central</v>
      </c>
      <c r="E273" s="3">
        <v>0.48402777777777778</v>
      </c>
      <c r="F273" s="1" t="s">
        <v>1049</v>
      </c>
      <c r="G273" s="3">
        <f>Logs[[#This Row],[Duree_Panne_Min]]/1440</f>
        <v>2.5694444444444443E-2</v>
      </c>
      <c r="H273">
        <v>37</v>
      </c>
      <c r="I273">
        <f>_xlfn.XLOOKUP(Logs[[#This Row],[Cell_ID]],'Registre_Maintenance'!B:B,'Registre_Maintenance'!D:D,"Pas de correspondance")</f>
        <v>-12.564277000000001</v>
      </c>
      <c r="J273">
        <f>_xlfn.XLOOKUP(Logs[[#This Row],[Cell_ID]],'Registre_Maintenance'!B:B,'Registre_Maintenance'!E:E,"Pas de correspondance")</f>
        <v>28.480798</v>
      </c>
      <c r="K273" t="str">
        <f>_xlfn.XLOOKUP(Logs[[#This Row],[Cell_ID]],'Registre_Maintenance'!B:B,'Registre_Maintenance'!F:F,"Pas de correspondance")</f>
        <v>5G</v>
      </c>
      <c r="L273" t="str">
        <f>_xlfn.XLOOKUP(Logs[[#This Row],[Cell_ID]],'Registre_Maintenance'!B:B,'Registre_Maintenance'!G:G,"Pas de correspondance")</f>
        <v>ZTE</v>
      </c>
      <c r="M273" s="1" t="s">
        <v>809</v>
      </c>
      <c r="N273" s="1">
        <f>_xlfn.XLOOKUP(Logs[[#This Row],[ID_Client]],Clients_Log!B:B,Clients_Log!E:E,"Pas de correspondance")</f>
        <v>101</v>
      </c>
      <c r="O273" s="4">
        <f>IFERROR(Logs[[#This Row],[Anciennete_Mois]]/12,"")</f>
        <v>8.4166666666666661</v>
      </c>
      <c r="P273" s="1" t="str">
        <f>_xlfn.XLOOKUP(Logs[[#This Row],[ID_Client]],Clients_Log!B:B,Clients_Log!F:F,"Pas de correspondance")</f>
        <v>Pro Monde</v>
      </c>
      <c r="Q273" s="1" t="str">
        <f>IF(Logs[[#This Row],[Type_Forfait]]="Pro Monde","B2B","B2C")</f>
        <v>B2B</v>
      </c>
      <c r="R273" s="1">
        <f>_xlfn.XLOOKUP(Logs[[#This Row],[ID_Client]],Clients_Log!B:B,Clients_Log!G:G,"Pas de correspondance")</f>
        <v>333</v>
      </c>
      <c r="S273" s="3">
        <f>Logs[[#This Row],[Duree_Cumulee_Panne_Min]]/1440</f>
        <v>0.23125000000000001</v>
      </c>
      <c r="T273" s="1">
        <f>_xlfn.XLOOKUP(Logs[[#This Row],[ID_Client]],Clients_Log!B:B,Clients_Log!H:H,"Pas de correspondance")</f>
        <v>74.319999999999993</v>
      </c>
      <c r="U273" s="1">
        <f>_xlfn.XLOOKUP(Logs[[#This Row],[ID_Client]],Clients_Log!B:B,Clients_Log!I:I,"Pas de correspondance")</f>
        <v>1</v>
      </c>
      <c r="V27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73" s="1">
        <f>Logs[[#This Row],[Facture_Mensuelle]]*Logs[[#This Row],[Remise (%)]]</f>
        <v>33.443999999999996</v>
      </c>
    </row>
    <row r="274" spans="1:23" hidden="1" x14ac:dyDescent="0.25">
      <c r="A274" s="1" t="s">
        <v>1013</v>
      </c>
      <c r="B274" s="2">
        <v>45209</v>
      </c>
      <c r="C274" s="1" t="str">
        <f>_xlfn.XLOOKUP(Logs[[#This Row],[Province_RDC]],Clients_Log!D:D,Clients_Log!B:B,"Pas de correspondance")</f>
        <v>Pas de correspondance</v>
      </c>
      <c r="D274" t="str">
        <f>_xlfn.XLOOKUP(Logs[[#This Row],[Cell_ID]],'Registre_Maintenance'!B:B,'Registre_Maintenance'!C:C,"Pas de correspondance")</f>
        <v>Pas de correspondance</v>
      </c>
      <c r="E274" s="3">
        <v>0.8520833333333333</v>
      </c>
      <c r="F274" s="1" t="s">
        <v>1050</v>
      </c>
      <c r="G274" s="3">
        <f>Logs[[#This Row],[Duree_Panne_Min]]/1440</f>
        <v>6.3194444444444442E-2</v>
      </c>
      <c r="H274">
        <v>91</v>
      </c>
      <c r="I274" t="str">
        <f>_xlfn.XLOOKUP(Logs[[#This Row],[Cell_ID]],'Registre_Maintenance'!B:B,'Registre_Maintenance'!D:D,"Pas de correspondance")</f>
        <v>Pas de correspondance</v>
      </c>
      <c r="J274" t="str">
        <f>_xlfn.XLOOKUP(Logs[[#This Row],[Cell_ID]],'Registre_Maintenance'!B:B,'Registre_Maintenance'!E:E,"Pas de correspondance")</f>
        <v>Pas de correspondance</v>
      </c>
      <c r="K274" t="str">
        <f>_xlfn.XLOOKUP(Logs[[#This Row],[Cell_ID]],'Registre_Maintenance'!B:B,'Registre_Maintenance'!F:F,"Pas de correspondance")</f>
        <v>Pas de correspondance</v>
      </c>
      <c r="L274" t="str">
        <f>_xlfn.XLOOKUP(Logs[[#This Row],[Cell_ID]],'Registre_Maintenance'!B:B,'Registre_Maintenance'!G:G,"Pas de correspondance")</f>
        <v>Pas de correspondance</v>
      </c>
      <c r="M274" s="1" t="s">
        <v>811</v>
      </c>
      <c r="N274" s="1" t="str">
        <f>_xlfn.XLOOKUP(Logs[[#This Row],[ID_Client]],Clients_Log!B:B,Clients_Log!E:E,"Pas de correspondance")</f>
        <v>Pas de correspondance</v>
      </c>
      <c r="O274" s="4" t="str">
        <f>IFERROR(Logs[[#This Row],[Anciennete_Mois]]/12,"")</f>
        <v/>
      </c>
      <c r="P274" s="1" t="str">
        <f>_xlfn.XLOOKUP(Logs[[#This Row],[ID_Client]],Clients_Log!B:B,Clients_Log!F:F,"Pas de correspondance")</f>
        <v>Pas de correspondance</v>
      </c>
      <c r="Q274" s="1" t="str">
        <f>IF(Logs[[#This Row],[Type_Forfait]]="Pro Monde","B2B","B2C")</f>
        <v>B2C</v>
      </c>
      <c r="R274" s="1" t="str">
        <f>_xlfn.XLOOKUP(Logs[[#This Row],[ID_Client]],Clients_Log!B:B,Clients_Log!G:G,"Pas de correspondance")</f>
        <v>Pas de correspondance</v>
      </c>
      <c r="S274" s="1" t="e">
        <f>Logs[[#This Row],[Duree_Cumulee_Panne_Min]]/1440</f>
        <v>#VALUE!</v>
      </c>
      <c r="T274" s="1" t="str">
        <f>_xlfn.XLOOKUP(Logs[[#This Row],[ID_Client]],Clients_Log!B:B,Clients_Log!H:H,"Pas de correspondance")</f>
        <v>Pas de correspondance</v>
      </c>
      <c r="U274" s="1" t="str">
        <f>_xlfn.XLOOKUP(Logs[[#This Row],[ID_Client]],Clients_Log!B:B,Clients_Log!I:I,"Pas de correspondance")</f>
        <v>Pas de correspondance</v>
      </c>
      <c r="V27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74" s="1" t="e">
        <f>Logs[[#This Row],[Facture_Mensuelle]]*Logs[[#This Row],[Remise (%)]]</f>
        <v>#VALUE!</v>
      </c>
    </row>
    <row r="275" spans="1:23" x14ac:dyDescent="0.25">
      <c r="A275" s="1" t="s">
        <v>1013</v>
      </c>
      <c r="B275" s="2">
        <v>45222</v>
      </c>
      <c r="C275" s="1" t="str">
        <f>_xlfn.XLOOKUP(Logs[[#This Row],[Province_RDC]],Clients_Log!D:D,Clients_Log!B:B,"Pas de correspondance")</f>
        <v>CLI-00837</v>
      </c>
      <c r="D275" t="str">
        <f>_xlfn.XLOOKUP(Logs[[#This Row],[Cell_ID]],'Registre_Maintenance'!B:B,'Registre_Maintenance'!C:C,"Pas de correspondance")</f>
        <v>Nord-Kivu</v>
      </c>
      <c r="E275" s="3">
        <v>0.35347222222222224</v>
      </c>
      <c r="F275" s="1" t="s">
        <v>1051</v>
      </c>
      <c r="G275" s="3">
        <f>Logs[[#This Row],[Duree_Panne_Min]]/1440</f>
        <v>7.013888888888889E-2</v>
      </c>
      <c r="H275">
        <v>101</v>
      </c>
      <c r="I275">
        <f>_xlfn.XLOOKUP(Logs[[#This Row],[Cell_ID]],'Registre_Maintenance'!B:B,'Registre_Maintenance'!D:D,"Pas de correspondance")</f>
        <v>-10.846306999999999</v>
      </c>
      <c r="J275">
        <f>_xlfn.XLOOKUP(Logs[[#This Row],[Cell_ID]],'Registre_Maintenance'!B:B,'Registre_Maintenance'!E:E,"Pas de correspondance")</f>
        <v>19.201827999999999</v>
      </c>
      <c r="K275" t="str">
        <f>_xlfn.XLOOKUP(Logs[[#This Row],[Cell_ID]],'Registre_Maintenance'!B:B,'Registre_Maintenance'!F:F,"Pas de correspondance")</f>
        <v>4G</v>
      </c>
      <c r="L275" t="str">
        <f>_xlfn.XLOOKUP(Logs[[#This Row],[Cell_ID]],'Registre_Maintenance'!B:B,'Registre_Maintenance'!G:G,"Pas de correspondance")</f>
        <v>Ericsson</v>
      </c>
      <c r="M275" s="1" t="s">
        <v>809</v>
      </c>
      <c r="N275" s="1">
        <f>_xlfn.XLOOKUP(Logs[[#This Row],[ID_Client]],Clients_Log!B:B,Clients_Log!E:E,"Pas de correspondance")</f>
        <v>16</v>
      </c>
      <c r="O275" s="4">
        <f>IFERROR(Logs[[#This Row],[Anciennete_Mois]]/12,"")</f>
        <v>1.3333333333333333</v>
      </c>
      <c r="P275" s="1" t="str">
        <f>_xlfn.XLOOKUP(Logs[[#This Row],[ID_Client]],Clients_Log!B:B,Clients_Log!F:F,"Pas de correspondance")</f>
        <v>Bloqué 5Go</v>
      </c>
      <c r="Q275" s="1" t="str">
        <f>IF(Logs[[#This Row],[Type_Forfait]]="Pro Monde","B2B","B2C")</f>
        <v>B2C</v>
      </c>
      <c r="R275" s="1">
        <f>_xlfn.XLOOKUP(Logs[[#This Row],[ID_Client]],Clients_Log!B:B,Clients_Log!G:G,"Pas de correspondance")</f>
        <v>390</v>
      </c>
      <c r="S275" s="3">
        <f>Logs[[#This Row],[Duree_Cumulee_Panne_Min]]/1440</f>
        <v>0.27083333333333331</v>
      </c>
      <c r="T275" s="1">
        <f>_xlfn.XLOOKUP(Logs[[#This Row],[ID_Client]],Clients_Log!B:B,Clients_Log!H:H,"Pas de correspondance")</f>
        <v>98.17</v>
      </c>
      <c r="U275" s="1">
        <f>_xlfn.XLOOKUP(Logs[[#This Row],[ID_Client]],Clients_Log!B:B,Clients_Log!I:I,"Pas de correspondance")</f>
        <v>5</v>
      </c>
      <c r="V27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75" s="1">
        <f>Logs[[#This Row],[Facture_Mensuelle]]*Logs[[#This Row],[Remise (%)]]</f>
        <v>44.176500000000004</v>
      </c>
    </row>
    <row r="276" spans="1:23" hidden="1" x14ac:dyDescent="0.25">
      <c r="A276" s="1" t="s">
        <v>1052</v>
      </c>
      <c r="B276" s="2">
        <v>45207</v>
      </c>
      <c r="C276" s="1" t="str">
        <f>_xlfn.XLOOKUP(Logs[[#This Row],[Province_RDC]],Clients_Log!D:D,Clients_Log!B:B,"Pas de correspondance")</f>
        <v>Pas de correspondance</v>
      </c>
      <c r="D276" t="str">
        <f>_xlfn.XLOOKUP(Logs[[#This Row],[Cell_ID]],'Registre_Maintenance'!B:B,'Registre_Maintenance'!C:C,"Pas de correspondance")</f>
        <v>Pas de correspondance</v>
      </c>
      <c r="E276" s="3">
        <v>0.71388888888888891</v>
      </c>
      <c r="F276" s="1" t="s">
        <v>1053</v>
      </c>
      <c r="G276" s="3">
        <f>Logs[[#This Row],[Duree_Panne_Min]]/1440</f>
        <v>6.8750000000000006E-2</v>
      </c>
      <c r="H276">
        <v>99</v>
      </c>
      <c r="I276" t="str">
        <f>_xlfn.XLOOKUP(Logs[[#This Row],[Cell_ID]],'Registre_Maintenance'!B:B,'Registre_Maintenance'!D:D,"Pas de correspondance")</f>
        <v>Pas de correspondance</v>
      </c>
      <c r="J276" t="str">
        <f>_xlfn.XLOOKUP(Logs[[#This Row],[Cell_ID]],'Registre_Maintenance'!B:B,'Registre_Maintenance'!E:E,"Pas de correspondance")</f>
        <v>Pas de correspondance</v>
      </c>
      <c r="K276" t="str">
        <f>_xlfn.XLOOKUP(Logs[[#This Row],[Cell_ID]],'Registre_Maintenance'!B:B,'Registre_Maintenance'!F:F,"Pas de correspondance")</f>
        <v>Pas de correspondance</v>
      </c>
      <c r="L276" t="str">
        <f>_xlfn.XLOOKUP(Logs[[#This Row],[Cell_ID]],'Registre_Maintenance'!B:B,'Registre_Maintenance'!G:G,"Pas de correspondance")</f>
        <v>Pas de correspondance</v>
      </c>
      <c r="M276" s="1" t="s">
        <v>809</v>
      </c>
      <c r="N276" s="1" t="str">
        <f>_xlfn.XLOOKUP(Logs[[#This Row],[ID_Client]],Clients_Log!B:B,Clients_Log!E:E,"Pas de correspondance")</f>
        <v>Pas de correspondance</v>
      </c>
      <c r="O276" s="4" t="str">
        <f>IFERROR(Logs[[#This Row],[Anciennete_Mois]]/12,"")</f>
        <v/>
      </c>
      <c r="P276" s="1" t="str">
        <f>_xlfn.XLOOKUP(Logs[[#This Row],[ID_Client]],Clients_Log!B:B,Clients_Log!F:F,"Pas de correspondance")</f>
        <v>Pas de correspondance</v>
      </c>
      <c r="Q276" s="1" t="str">
        <f>IF(Logs[[#This Row],[Type_Forfait]]="Pro Monde","B2B","B2C")</f>
        <v>B2C</v>
      </c>
      <c r="R276" s="1" t="str">
        <f>_xlfn.XLOOKUP(Logs[[#This Row],[ID_Client]],Clients_Log!B:B,Clients_Log!G:G,"Pas de correspondance")</f>
        <v>Pas de correspondance</v>
      </c>
      <c r="S276" s="1" t="e">
        <f>Logs[[#This Row],[Duree_Cumulee_Panne_Min]]/1440</f>
        <v>#VALUE!</v>
      </c>
      <c r="T276" s="1" t="str">
        <f>_xlfn.XLOOKUP(Logs[[#This Row],[ID_Client]],Clients_Log!B:B,Clients_Log!H:H,"Pas de correspondance")</f>
        <v>Pas de correspondance</v>
      </c>
      <c r="U276" s="1" t="str">
        <f>_xlfn.XLOOKUP(Logs[[#This Row],[ID_Client]],Clients_Log!B:B,Clients_Log!I:I,"Pas de correspondance")</f>
        <v>Pas de correspondance</v>
      </c>
      <c r="V27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76" s="1" t="e">
        <f>Logs[[#This Row],[Facture_Mensuelle]]*Logs[[#This Row],[Remise (%)]]</f>
        <v>#VALUE!</v>
      </c>
    </row>
    <row r="277" spans="1:23" hidden="1" x14ac:dyDescent="0.25">
      <c r="A277" s="1" t="s">
        <v>1052</v>
      </c>
      <c r="B277" s="2">
        <v>45212</v>
      </c>
      <c r="C277" s="1" t="str">
        <f>_xlfn.XLOOKUP(Logs[[#This Row],[Province_RDC]],Clients_Log!D:D,Clients_Log!B:B,"Pas de correspondance")</f>
        <v>Pas de correspondance</v>
      </c>
      <c r="D277" t="str">
        <f>_xlfn.XLOOKUP(Logs[[#This Row],[Cell_ID]],'Registre_Maintenance'!B:B,'Registre_Maintenance'!C:C,"Pas de correspondance")</f>
        <v>Pas de correspondance</v>
      </c>
      <c r="E277" s="3">
        <v>0.59930555555555554</v>
      </c>
      <c r="F277" s="1" t="s">
        <v>955</v>
      </c>
      <c r="G277" s="3">
        <f>Logs[[#This Row],[Duree_Panne_Min]]/1440</f>
        <v>4.027777777777778E-2</v>
      </c>
      <c r="H277">
        <v>58</v>
      </c>
      <c r="I277" t="str">
        <f>_xlfn.XLOOKUP(Logs[[#This Row],[Cell_ID]],'Registre_Maintenance'!B:B,'Registre_Maintenance'!D:D,"Pas de correspondance")</f>
        <v>Pas de correspondance</v>
      </c>
      <c r="J277" t="str">
        <f>_xlfn.XLOOKUP(Logs[[#This Row],[Cell_ID]],'Registre_Maintenance'!B:B,'Registre_Maintenance'!E:E,"Pas de correspondance")</f>
        <v>Pas de correspondance</v>
      </c>
      <c r="K277" t="str">
        <f>_xlfn.XLOOKUP(Logs[[#This Row],[Cell_ID]],'Registre_Maintenance'!B:B,'Registre_Maintenance'!F:F,"Pas de correspondance")</f>
        <v>Pas de correspondance</v>
      </c>
      <c r="L277" t="str">
        <f>_xlfn.XLOOKUP(Logs[[#This Row],[Cell_ID]],'Registre_Maintenance'!B:B,'Registre_Maintenance'!G:G,"Pas de correspondance")</f>
        <v>Pas de correspondance</v>
      </c>
      <c r="M277" s="1" t="s">
        <v>809</v>
      </c>
      <c r="N277" s="1" t="str">
        <f>_xlfn.XLOOKUP(Logs[[#This Row],[ID_Client]],Clients_Log!B:B,Clients_Log!E:E,"Pas de correspondance")</f>
        <v>Pas de correspondance</v>
      </c>
      <c r="O277" s="4" t="str">
        <f>IFERROR(Logs[[#This Row],[Anciennete_Mois]]/12,"")</f>
        <v/>
      </c>
      <c r="P277" s="1" t="str">
        <f>_xlfn.XLOOKUP(Logs[[#This Row],[ID_Client]],Clients_Log!B:B,Clients_Log!F:F,"Pas de correspondance")</f>
        <v>Pas de correspondance</v>
      </c>
      <c r="Q277" s="1" t="str">
        <f>IF(Logs[[#This Row],[Type_Forfait]]="Pro Monde","B2B","B2C")</f>
        <v>B2C</v>
      </c>
      <c r="R277" s="1" t="str">
        <f>_xlfn.XLOOKUP(Logs[[#This Row],[ID_Client]],Clients_Log!B:B,Clients_Log!G:G,"Pas de correspondance")</f>
        <v>Pas de correspondance</v>
      </c>
      <c r="S277" s="1" t="e">
        <f>Logs[[#This Row],[Duree_Cumulee_Panne_Min]]/1440</f>
        <v>#VALUE!</v>
      </c>
      <c r="T277" s="1" t="str">
        <f>_xlfn.XLOOKUP(Logs[[#This Row],[ID_Client]],Clients_Log!B:B,Clients_Log!H:H,"Pas de correspondance")</f>
        <v>Pas de correspondance</v>
      </c>
      <c r="U277" s="1" t="str">
        <f>_xlfn.XLOOKUP(Logs[[#This Row],[ID_Client]],Clients_Log!B:B,Clients_Log!I:I,"Pas de correspondance")</f>
        <v>Pas de correspondance</v>
      </c>
      <c r="V27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77" s="1" t="e">
        <f>Logs[[#This Row],[Facture_Mensuelle]]*Logs[[#This Row],[Remise (%)]]</f>
        <v>#VALUE!</v>
      </c>
    </row>
    <row r="278" spans="1:23" hidden="1" x14ac:dyDescent="0.25">
      <c r="A278" s="1" t="s">
        <v>1052</v>
      </c>
      <c r="B278" s="2">
        <v>45221</v>
      </c>
      <c r="C278" s="1" t="str">
        <f>_xlfn.XLOOKUP(Logs[[#This Row],[Province_RDC]],Clients_Log!D:D,Clients_Log!B:B,"Pas de correspondance")</f>
        <v>Pas de correspondance</v>
      </c>
      <c r="D278" t="str">
        <f>_xlfn.XLOOKUP(Logs[[#This Row],[Cell_ID]],'Registre_Maintenance'!B:B,'Registre_Maintenance'!C:C,"Pas de correspondance")</f>
        <v>Pas de correspondance</v>
      </c>
      <c r="E278" s="3">
        <v>0.98888888888888893</v>
      </c>
      <c r="F278" s="1" t="s">
        <v>1054</v>
      </c>
      <c r="G278" s="3">
        <f>Logs[[#This Row],[Duree_Panne_Min]]/1440</f>
        <v>0.05</v>
      </c>
      <c r="H278">
        <v>72</v>
      </c>
      <c r="I278" t="str">
        <f>_xlfn.XLOOKUP(Logs[[#This Row],[Cell_ID]],'Registre_Maintenance'!B:B,'Registre_Maintenance'!D:D,"Pas de correspondance")</f>
        <v>Pas de correspondance</v>
      </c>
      <c r="J278" t="str">
        <f>_xlfn.XLOOKUP(Logs[[#This Row],[Cell_ID]],'Registre_Maintenance'!B:B,'Registre_Maintenance'!E:E,"Pas de correspondance")</f>
        <v>Pas de correspondance</v>
      </c>
      <c r="K278" t="str">
        <f>_xlfn.XLOOKUP(Logs[[#This Row],[Cell_ID]],'Registre_Maintenance'!B:B,'Registre_Maintenance'!F:F,"Pas de correspondance")</f>
        <v>Pas de correspondance</v>
      </c>
      <c r="L278" t="str">
        <f>_xlfn.XLOOKUP(Logs[[#This Row],[Cell_ID]],'Registre_Maintenance'!B:B,'Registre_Maintenance'!G:G,"Pas de correspondance")</f>
        <v>Pas de correspondance</v>
      </c>
      <c r="M278" s="1" t="s">
        <v>809</v>
      </c>
      <c r="N278" s="1" t="str">
        <f>_xlfn.XLOOKUP(Logs[[#This Row],[ID_Client]],Clients_Log!B:B,Clients_Log!E:E,"Pas de correspondance")</f>
        <v>Pas de correspondance</v>
      </c>
      <c r="O278" s="4" t="str">
        <f>IFERROR(Logs[[#This Row],[Anciennete_Mois]]/12,"")</f>
        <v/>
      </c>
      <c r="P278" s="1" t="str">
        <f>_xlfn.XLOOKUP(Logs[[#This Row],[ID_Client]],Clients_Log!B:B,Clients_Log!F:F,"Pas de correspondance")</f>
        <v>Pas de correspondance</v>
      </c>
      <c r="Q278" s="1" t="str">
        <f>IF(Logs[[#This Row],[Type_Forfait]]="Pro Monde","B2B","B2C")</f>
        <v>B2C</v>
      </c>
      <c r="R278" s="1" t="str">
        <f>_xlfn.XLOOKUP(Logs[[#This Row],[ID_Client]],Clients_Log!B:B,Clients_Log!G:G,"Pas de correspondance")</f>
        <v>Pas de correspondance</v>
      </c>
      <c r="S278" s="1" t="e">
        <f>Logs[[#This Row],[Duree_Cumulee_Panne_Min]]/1440</f>
        <v>#VALUE!</v>
      </c>
      <c r="T278" s="1" t="str">
        <f>_xlfn.XLOOKUP(Logs[[#This Row],[ID_Client]],Clients_Log!B:B,Clients_Log!H:H,"Pas de correspondance")</f>
        <v>Pas de correspondance</v>
      </c>
      <c r="U278" s="1" t="str">
        <f>_xlfn.XLOOKUP(Logs[[#This Row],[ID_Client]],Clients_Log!B:B,Clients_Log!I:I,"Pas de correspondance")</f>
        <v>Pas de correspondance</v>
      </c>
      <c r="V27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78" s="1" t="e">
        <f>Logs[[#This Row],[Facture_Mensuelle]]*Logs[[#This Row],[Remise (%)]]</f>
        <v>#VALUE!</v>
      </c>
    </row>
    <row r="279" spans="1:23" hidden="1" x14ac:dyDescent="0.25">
      <c r="A279" s="1" t="s">
        <v>1052</v>
      </c>
      <c r="B279" s="2">
        <v>45230</v>
      </c>
      <c r="C279" s="1" t="str">
        <f>_xlfn.XLOOKUP(Logs[[#This Row],[Province_RDC]],Clients_Log!D:D,Clients_Log!B:B,"Pas de correspondance")</f>
        <v>Pas de correspondance</v>
      </c>
      <c r="D279" t="str">
        <f>_xlfn.XLOOKUP(Logs[[#This Row],[Cell_ID]],'Registre_Maintenance'!B:B,'Registre_Maintenance'!C:C,"Pas de correspondance")</f>
        <v>Pas de correspondance</v>
      </c>
      <c r="E279" s="3">
        <v>0.72638888888888886</v>
      </c>
      <c r="F279" s="1" t="s">
        <v>1031</v>
      </c>
      <c r="G279" s="3">
        <f>Logs[[#This Row],[Duree_Panne_Min]]/1440</f>
        <v>1.3194444444444444E-2</v>
      </c>
      <c r="H279">
        <v>19</v>
      </c>
      <c r="I279" t="str">
        <f>_xlfn.XLOOKUP(Logs[[#This Row],[Cell_ID]],'Registre_Maintenance'!B:B,'Registre_Maintenance'!D:D,"Pas de correspondance")</f>
        <v>Pas de correspondance</v>
      </c>
      <c r="J279" t="str">
        <f>_xlfn.XLOOKUP(Logs[[#This Row],[Cell_ID]],'Registre_Maintenance'!B:B,'Registre_Maintenance'!E:E,"Pas de correspondance")</f>
        <v>Pas de correspondance</v>
      </c>
      <c r="K279" t="str">
        <f>_xlfn.XLOOKUP(Logs[[#This Row],[Cell_ID]],'Registre_Maintenance'!B:B,'Registre_Maintenance'!F:F,"Pas de correspondance")</f>
        <v>Pas de correspondance</v>
      </c>
      <c r="L279" t="str">
        <f>_xlfn.XLOOKUP(Logs[[#This Row],[Cell_ID]],'Registre_Maintenance'!B:B,'Registre_Maintenance'!G:G,"Pas de correspondance")</f>
        <v>Pas de correspondance</v>
      </c>
      <c r="M279" s="1" t="s">
        <v>809</v>
      </c>
      <c r="N279" s="1" t="str">
        <f>_xlfn.XLOOKUP(Logs[[#This Row],[ID_Client]],Clients_Log!B:B,Clients_Log!E:E,"Pas de correspondance")</f>
        <v>Pas de correspondance</v>
      </c>
      <c r="O279" s="4" t="str">
        <f>IFERROR(Logs[[#This Row],[Anciennete_Mois]]/12,"")</f>
        <v/>
      </c>
      <c r="P279" s="1" t="str">
        <f>_xlfn.XLOOKUP(Logs[[#This Row],[ID_Client]],Clients_Log!B:B,Clients_Log!F:F,"Pas de correspondance")</f>
        <v>Pas de correspondance</v>
      </c>
      <c r="Q279" s="1" t="str">
        <f>IF(Logs[[#This Row],[Type_Forfait]]="Pro Monde","B2B","B2C")</f>
        <v>B2C</v>
      </c>
      <c r="R279" s="1" t="str">
        <f>_xlfn.XLOOKUP(Logs[[#This Row],[ID_Client]],Clients_Log!B:B,Clients_Log!G:G,"Pas de correspondance")</f>
        <v>Pas de correspondance</v>
      </c>
      <c r="S279" s="1" t="e">
        <f>Logs[[#This Row],[Duree_Cumulee_Panne_Min]]/1440</f>
        <v>#VALUE!</v>
      </c>
      <c r="T279" s="1" t="str">
        <f>_xlfn.XLOOKUP(Logs[[#This Row],[ID_Client]],Clients_Log!B:B,Clients_Log!H:H,"Pas de correspondance")</f>
        <v>Pas de correspondance</v>
      </c>
      <c r="U279" s="1" t="str">
        <f>_xlfn.XLOOKUP(Logs[[#This Row],[ID_Client]],Clients_Log!B:B,Clients_Log!I:I,"Pas de correspondance")</f>
        <v>Pas de correspondance</v>
      </c>
      <c r="V27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79" s="1" t="e">
        <f>Logs[[#This Row],[Facture_Mensuelle]]*Logs[[#This Row],[Remise (%)]]</f>
        <v>#VALUE!</v>
      </c>
    </row>
    <row r="280" spans="1:23" hidden="1" x14ac:dyDescent="0.25">
      <c r="A280" s="1" t="s">
        <v>1052</v>
      </c>
      <c r="B280" s="2">
        <v>45218</v>
      </c>
      <c r="C280" s="1" t="str">
        <f>_xlfn.XLOOKUP(Logs[[#This Row],[Province_RDC]],Clients_Log!D:D,Clients_Log!B:B,"Pas de correspondance")</f>
        <v>Pas de correspondance</v>
      </c>
      <c r="D280" t="str">
        <f>_xlfn.XLOOKUP(Logs[[#This Row],[Cell_ID]],'Registre_Maintenance'!B:B,'Registre_Maintenance'!C:C,"Pas de correspondance")</f>
        <v>Pas de correspondance</v>
      </c>
      <c r="E280" s="3">
        <v>0.99027777777777781</v>
      </c>
      <c r="F280" s="1" t="s">
        <v>1055</v>
      </c>
      <c r="G280" s="3">
        <f>Logs[[#This Row],[Duree_Panne_Min]]/1440</f>
        <v>6.9444444444444448E-2</v>
      </c>
      <c r="H280">
        <v>100</v>
      </c>
      <c r="I280" t="str">
        <f>_xlfn.XLOOKUP(Logs[[#This Row],[Cell_ID]],'Registre_Maintenance'!B:B,'Registre_Maintenance'!D:D,"Pas de correspondance")</f>
        <v>Pas de correspondance</v>
      </c>
      <c r="J280" t="str">
        <f>_xlfn.XLOOKUP(Logs[[#This Row],[Cell_ID]],'Registre_Maintenance'!B:B,'Registre_Maintenance'!E:E,"Pas de correspondance")</f>
        <v>Pas de correspondance</v>
      </c>
      <c r="K280" t="str">
        <f>_xlfn.XLOOKUP(Logs[[#This Row],[Cell_ID]],'Registre_Maintenance'!B:B,'Registre_Maintenance'!F:F,"Pas de correspondance")</f>
        <v>Pas de correspondance</v>
      </c>
      <c r="L280" t="str">
        <f>_xlfn.XLOOKUP(Logs[[#This Row],[Cell_ID]],'Registre_Maintenance'!B:B,'Registre_Maintenance'!G:G,"Pas de correspondance")</f>
        <v>Pas de correspondance</v>
      </c>
      <c r="M280" s="1" t="s">
        <v>806</v>
      </c>
      <c r="N280" s="1" t="str">
        <f>_xlfn.XLOOKUP(Logs[[#This Row],[ID_Client]],Clients_Log!B:B,Clients_Log!E:E,"Pas de correspondance")</f>
        <v>Pas de correspondance</v>
      </c>
      <c r="O280" s="4" t="str">
        <f>IFERROR(Logs[[#This Row],[Anciennete_Mois]]/12,"")</f>
        <v/>
      </c>
      <c r="P280" s="1" t="str">
        <f>_xlfn.XLOOKUP(Logs[[#This Row],[ID_Client]],Clients_Log!B:B,Clients_Log!F:F,"Pas de correspondance")</f>
        <v>Pas de correspondance</v>
      </c>
      <c r="Q280" s="1" t="str">
        <f>IF(Logs[[#This Row],[Type_Forfait]]="Pro Monde","B2B","B2C")</f>
        <v>B2C</v>
      </c>
      <c r="R280" s="1" t="str">
        <f>_xlfn.XLOOKUP(Logs[[#This Row],[ID_Client]],Clients_Log!B:B,Clients_Log!G:G,"Pas de correspondance")</f>
        <v>Pas de correspondance</v>
      </c>
      <c r="S280" s="1" t="e">
        <f>Logs[[#This Row],[Duree_Cumulee_Panne_Min]]/1440</f>
        <v>#VALUE!</v>
      </c>
      <c r="T280" s="1" t="str">
        <f>_xlfn.XLOOKUP(Logs[[#This Row],[ID_Client]],Clients_Log!B:B,Clients_Log!H:H,"Pas de correspondance")</f>
        <v>Pas de correspondance</v>
      </c>
      <c r="U280" s="1" t="str">
        <f>_xlfn.XLOOKUP(Logs[[#This Row],[ID_Client]],Clients_Log!B:B,Clients_Log!I:I,"Pas de correspondance")</f>
        <v>Pas de correspondance</v>
      </c>
      <c r="V28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80" s="1" t="e">
        <f>Logs[[#This Row],[Facture_Mensuelle]]*Logs[[#This Row],[Remise (%)]]</f>
        <v>#VALUE!</v>
      </c>
    </row>
    <row r="281" spans="1:23" hidden="1" x14ac:dyDescent="0.25">
      <c r="A281" s="1" t="s">
        <v>1052</v>
      </c>
      <c r="B281" s="2">
        <v>45204</v>
      </c>
      <c r="C281" s="1" t="str">
        <f>_xlfn.XLOOKUP(Logs[[#This Row],[Province_RDC]],Clients_Log!D:D,Clients_Log!B:B,"Pas de correspondance")</f>
        <v>Pas de correspondance</v>
      </c>
      <c r="D281" t="str">
        <f>_xlfn.XLOOKUP(Logs[[#This Row],[Cell_ID]],'Registre_Maintenance'!B:B,'Registre_Maintenance'!C:C,"Pas de correspondance")</f>
        <v>Pas de correspondance</v>
      </c>
      <c r="E281" s="3">
        <v>0.57013888888888886</v>
      </c>
      <c r="F281" s="1" t="s">
        <v>1056</v>
      </c>
      <c r="G281" s="3">
        <f>Logs[[#This Row],[Duree_Panne_Min]]/1440</f>
        <v>9.0277777777777769E-3</v>
      </c>
      <c r="H281">
        <v>13</v>
      </c>
      <c r="I281" t="str">
        <f>_xlfn.XLOOKUP(Logs[[#This Row],[Cell_ID]],'Registre_Maintenance'!B:B,'Registre_Maintenance'!D:D,"Pas de correspondance")</f>
        <v>Pas de correspondance</v>
      </c>
      <c r="J281" t="str">
        <f>_xlfn.XLOOKUP(Logs[[#This Row],[Cell_ID]],'Registre_Maintenance'!B:B,'Registre_Maintenance'!E:E,"Pas de correspondance")</f>
        <v>Pas de correspondance</v>
      </c>
      <c r="K281" t="str">
        <f>_xlfn.XLOOKUP(Logs[[#This Row],[Cell_ID]],'Registre_Maintenance'!B:B,'Registre_Maintenance'!F:F,"Pas de correspondance")</f>
        <v>Pas de correspondance</v>
      </c>
      <c r="L281" t="str">
        <f>_xlfn.XLOOKUP(Logs[[#This Row],[Cell_ID]],'Registre_Maintenance'!B:B,'Registre_Maintenance'!G:G,"Pas de correspondance")</f>
        <v>Pas de correspondance</v>
      </c>
      <c r="M281" s="1" t="s">
        <v>811</v>
      </c>
      <c r="N281" s="1" t="str">
        <f>_xlfn.XLOOKUP(Logs[[#This Row],[ID_Client]],Clients_Log!B:B,Clients_Log!E:E,"Pas de correspondance")</f>
        <v>Pas de correspondance</v>
      </c>
      <c r="O281" s="4" t="str">
        <f>IFERROR(Logs[[#This Row],[Anciennete_Mois]]/12,"")</f>
        <v/>
      </c>
      <c r="P281" s="1" t="str">
        <f>_xlfn.XLOOKUP(Logs[[#This Row],[ID_Client]],Clients_Log!B:B,Clients_Log!F:F,"Pas de correspondance")</f>
        <v>Pas de correspondance</v>
      </c>
      <c r="Q281" s="1" t="str">
        <f>IF(Logs[[#This Row],[Type_Forfait]]="Pro Monde","B2B","B2C")</f>
        <v>B2C</v>
      </c>
      <c r="R281" s="1" t="str">
        <f>_xlfn.XLOOKUP(Logs[[#This Row],[ID_Client]],Clients_Log!B:B,Clients_Log!G:G,"Pas de correspondance")</f>
        <v>Pas de correspondance</v>
      </c>
      <c r="S281" s="1" t="e">
        <f>Logs[[#This Row],[Duree_Cumulee_Panne_Min]]/1440</f>
        <v>#VALUE!</v>
      </c>
      <c r="T281" s="1" t="str">
        <f>_xlfn.XLOOKUP(Logs[[#This Row],[ID_Client]],Clients_Log!B:B,Clients_Log!H:H,"Pas de correspondance")</f>
        <v>Pas de correspondance</v>
      </c>
      <c r="U281" s="1" t="str">
        <f>_xlfn.XLOOKUP(Logs[[#This Row],[ID_Client]],Clients_Log!B:B,Clients_Log!I:I,"Pas de correspondance")</f>
        <v>Pas de correspondance</v>
      </c>
      <c r="V28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81" s="1" t="e">
        <f>Logs[[#This Row],[Facture_Mensuelle]]*Logs[[#This Row],[Remise (%)]]</f>
        <v>#VALUE!</v>
      </c>
    </row>
    <row r="282" spans="1:23" x14ac:dyDescent="0.25">
      <c r="A282" s="1" t="s">
        <v>1052</v>
      </c>
      <c r="B282" s="2">
        <v>45203</v>
      </c>
      <c r="C282" s="1" t="str">
        <f>_xlfn.XLOOKUP(Logs[[#This Row],[Province_RDC]],Clients_Log!D:D,Clients_Log!B:B,"Pas de correspondance")</f>
        <v>CLI-00076</v>
      </c>
      <c r="D282" t="str">
        <f>_xlfn.XLOOKUP(Logs[[#This Row],[Cell_ID]],'Registre_Maintenance'!B:B,'Registre_Maintenance'!C:C,"Pas de correspondance")</f>
        <v>Haut-Katanga</v>
      </c>
      <c r="E282" s="3">
        <v>0.65208333333333335</v>
      </c>
      <c r="F282" s="1" t="s">
        <v>1057</v>
      </c>
      <c r="G282" s="3">
        <f>Logs[[#This Row],[Duree_Panne_Min]]/1440</f>
        <v>4.5138888888888888E-2</v>
      </c>
      <c r="H282">
        <v>65</v>
      </c>
      <c r="I282">
        <f>_xlfn.XLOOKUP(Logs[[#This Row],[Cell_ID]],'Registre_Maintenance'!B:B,'Registre_Maintenance'!D:D,"Pas de correspondance")</f>
        <v>2.016505</v>
      </c>
      <c r="J282">
        <f>_xlfn.XLOOKUP(Logs[[#This Row],[Cell_ID]],'Registre_Maintenance'!B:B,'Registre_Maintenance'!E:E,"Pas de correspondance")</f>
        <v>14.294164</v>
      </c>
      <c r="K282" t="str">
        <f>_xlfn.XLOOKUP(Logs[[#This Row],[Cell_ID]],'Registre_Maintenance'!B:B,'Registre_Maintenance'!F:F,"Pas de correspondance")</f>
        <v>5G</v>
      </c>
      <c r="L282" t="str">
        <f>_xlfn.XLOOKUP(Logs[[#This Row],[Cell_ID]],'Registre_Maintenance'!B:B,'Registre_Maintenance'!G:G,"Pas de correspondance")</f>
        <v>Huawei</v>
      </c>
      <c r="M282" s="1" t="s">
        <v>811</v>
      </c>
      <c r="N282" s="1">
        <f>_xlfn.XLOOKUP(Logs[[#This Row],[ID_Client]],Clients_Log!B:B,Clients_Log!E:E,"Pas de correspondance")</f>
        <v>46</v>
      </c>
      <c r="O282" s="4">
        <f>IFERROR(Logs[[#This Row],[Anciennete_Mois]]/12,"")</f>
        <v>3.8333333333333335</v>
      </c>
      <c r="P282" s="1" t="str">
        <f>_xlfn.XLOOKUP(Logs[[#This Row],[ID_Client]],Clients_Log!B:B,Clients_Log!F:F,"Pas de correspondance")</f>
        <v>Premium 5G 150Go</v>
      </c>
      <c r="Q282" s="1" t="str">
        <f>IF(Logs[[#This Row],[Type_Forfait]]="Pro Monde","B2B","B2C")</f>
        <v>B2C</v>
      </c>
      <c r="R282" s="1">
        <f>_xlfn.XLOOKUP(Logs[[#This Row],[ID_Client]],Clients_Log!B:B,Clients_Log!G:G,"Pas de correspondance")</f>
        <v>283</v>
      </c>
      <c r="S282" s="3">
        <f>Logs[[#This Row],[Duree_Cumulee_Panne_Min]]/1440</f>
        <v>0.19652777777777777</v>
      </c>
      <c r="T282" s="1">
        <f>_xlfn.XLOOKUP(Logs[[#This Row],[ID_Client]],Clients_Log!B:B,Clients_Log!H:H,"Pas de correspondance")</f>
        <v>56.05</v>
      </c>
      <c r="U282" s="1">
        <f>_xlfn.XLOOKUP(Logs[[#This Row],[ID_Client]],Clients_Log!B:B,Clients_Log!I:I,"Pas de correspondance")</f>
        <v>1</v>
      </c>
      <c r="V28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82" s="1">
        <f>Logs[[#This Row],[Facture_Mensuelle]]*Logs[[#This Row],[Remise (%)]]</f>
        <v>25.2225</v>
      </c>
    </row>
    <row r="283" spans="1:23" hidden="1" x14ac:dyDescent="0.25">
      <c r="A283" s="1" t="s">
        <v>1052</v>
      </c>
      <c r="B283" s="2">
        <v>45213</v>
      </c>
      <c r="C283" s="1" t="str">
        <f>_xlfn.XLOOKUP(Logs[[#This Row],[Province_RDC]],Clients_Log!D:D,Clients_Log!B:B,"Pas de correspondance")</f>
        <v>Pas de correspondance</v>
      </c>
      <c r="D283" t="str">
        <f>_xlfn.XLOOKUP(Logs[[#This Row],[Cell_ID]],'Registre_Maintenance'!B:B,'Registre_Maintenance'!C:C,"Pas de correspondance")</f>
        <v>Pas de correspondance</v>
      </c>
      <c r="E283" s="3">
        <v>0.3347222222222222</v>
      </c>
      <c r="F283" s="1" t="s">
        <v>1058</v>
      </c>
      <c r="G283" s="3">
        <f>Logs[[#This Row],[Duree_Panne_Min]]/1440</f>
        <v>4.3055555555555555E-2</v>
      </c>
      <c r="H283">
        <v>62</v>
      </c>
      <c r="I283" t="str">
        <f>_xlfn.XLOOKUP(Logs[[#This Row],[Cell_ID]],'Registre_Maintenance'!B:B,'Registre_Maintenance'!D:D,"Pas de correspondance")</f>
        <v>Pas de correspondance</v>
      </c>
      <c r="J283" t="str">
        <f>_xlfn.XLOOKUP(Logs[[#This Row],[Cell_ID]],'Registre_Maintenance'!B:B,'Registre_Maintenance'!E:E,"Pas de correspondance")</f>
        <v>Pas de correspondance</v>
      </c>
      <c r="K283" t="str">
        <f>_xlfn.XLOOKUP(Logs[[#This Row],[Cell_ID]],'Registre_Maintenance'!B:B,'Registre_Maintenance'!F:F,"Pas de correspondance")</f>
        <v>Pas de correspondance</v>
      </c>
      <c r="L283" t="str">
        <f>_xlfn.XLOOKUP(Logs[[#This Row],[Cell_ID]],'Registre_Maintenance'!B:B,'Registre_Maintenance'!G:G,"Pas de correspondance")</f>
        <v>Pas de correspondance</v>
      </c>
      <c r="M283" s="1" t="s">
        <v>806</v>
      </c>
      <c r="N283" s="1" t="str">
        <f>_xlfn.XLOOKUP(Logs[[#This Row],[ID_Client]],Clients_Log!B:B,Clients_Log!E:E,"Pas de correspondance")</f>
        <v>Pas de correspondance</v>
      </c>
      <c r="O283" s="4" t="str">
        <f>IFERROR(Logs[[#This Row],[Anciennete_Mois]]/12,"")</f>
        <v/>
      </c>
      <c r="P283" s="1" t="str">
        <f>_xlfn.XLOOKUP(Logs[[#This Row],[ID_Client]],Clients_Log!B:B,Clients_Log!F:F,"Pas de correspondance")</f>
        <v>Pas de correspondance</v>
      </c>
      <c r="Q283" s="1" t="str">
        <f>IF(Logs[[#This Row],[Type_Forfait]]="Pro Monde","B2B","B2C")</f>
        <v>B2C</v>
      </c>
      <c r="R283" s="1" t="str">
        <f>_xlfn.XLOOKUP(Logs[[#This Row],[ID_Client]],Clients_Log!B:B,Clients_Log!G:G,"Pas de correspondance")</f>
        <v>Pas de correspondance</v>
      </c>
      <c r="S283" s="1" t="e">
        <f>Logs[[#This Row],[Duree_Cumulee_Panne_Min]]/1440</f>
        <v>#VALUE!</v>
      </c>
      <c r="T283" s="1" t="str">
        <f>_xlfn.XLOOKUP(Logs[[#This Row],[ID_Client]],Clients_Log!B:B,Clients_Log!H:H,"Pas de correspondance")</f>
        <v>Pas de correspondance</v>
      </c>
      <c r="U283" s="1" t="str">
        <f>_xlfn.XLOOKUP(Logs[[#This Row],[ID_Client]],Clients_Log!B:B,Clients_Log!I:I,"Pas de correspondance")</f>
        <v>Pas de correspondance</v>
      </c>
      <c r="V28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83" s="1" t="e">
        <f>Logs[[#This Row],[Facture_Mensuelle]]*Logs[[#This Row],[Remise (%)]]</f>
        <v>#VALUE!</v>
      </c>
    </row>
    <row r="284" spans="1:23" hidden="1" x14ac:dyDescent="0.25">
      <c r="A284" s="1" t="s">
        <v>1052</v>
      </c>
      <c r="B284" s="2">
        <v>45222</v>
      </c>
      <c r="C284" s="1" t="str">
        <f>_xlfn.XLOOKUP(Logs[[#This Row],[Province_RDC]],Clients_Log!D:D,Clients_Log!B:B,"Pas de correspondance")</f>
        <v>Pas de correspondance</v>
      </c>
      <c r="D284" t="str">
        <f>_xlfn.XLOOKUP(Logs[[#This Row],[Cell_ID]],'Registre_Maintenance'!B:B,'Registre_Maintenance'!C:C,"Pas de correspondance")</f>
        <v>Pas de correspondance</v>
      </c>
      <c r="E284" s="3">
        <v>0.46736111111111112</v>
      </c>
      <c r="F284" s="1" t="s">
        <v>1059</v>
      </c>
      <c r="G284" s="3">
        <f>Logs[[#This Row],[Duree_Panne_Min]]/1440</f>
        <v>7.2222222222222215E-2</v>
      </c>
      <c r="H284">
        <v>104</v>
      </c>
      <c r="I284" t="str">
        <f>_xlfn.XLOOKUP(Logs[[#This Row],[Cell_ID]],'Registre_Maintenance'!B:B,'Registre_Maintenance'!D:D,"Pas de correspondance")</f>
        <v>Pas de correspondance</v>
      </c>
      <c r="J284" t="str">
        <f>_xlfn.XLOOKUP(Logs[[#This Row],[Cell_ID]],'Registre_Maintenance'!B:B,'Registre_Maintenance'!E:E,"Pas de correspondance")</f>
        <v>Pas de correspondance</v>
      </c>
      <c r="K284" t="str">
        <f>_xlfn.XLOOKUP(Logs[[#This Row],[Cell_ID]],'Registre_Maintenance'!B:B,'Registre_Maintenance'!F:F,"Pas de correspondance")</f>
        <v>Pas de correspondance</v>
      </c>
      <c r="L284" t="str">
        <f>_xlfn.XLOOKUP(Logs[[#This Row],[Cell_ID]],'Registre_Maintenance'!B:B,'Registre_Maintenance'!G:G,"Pas de correspondance")</f>
        <v>Pas de correspondance</v>
      </c>
      <c r="M284" s="1" t="s">
        <v>811</v>
      </c>
      <c r="N284" s="1" t="str">
        <f>_xlfn.XLOOKUP(Logs[[#This Row],[ID_Client]],Clients_Log!B:B,Clients_Log!E:E,"Pas de correspondance")</f>
        <v>Pas de correspondance</v>
      </c>
      <c r="O284" s="4" t="str">
        <f>IFERROR(Logs[[#This Row],[Anciennete_Mois]]/12,"")</f>
        <v/>
      </c>
      <c r="P284" s="1" t="str">
        <f>_xlfn.XLOOKUP(Logs[[#This Row],[ID_Client]],Clients_Log!B:B,Clients_Log!F:F,"Pas de correspondance")</f>
        <v>Pas de correspondance</v>
      </c>
      <c r="Q284" s="1" t="str">
        <f>IF(Logs[[#This Row],[Type_Forfait]]="Pro Monde","B2B","B2C")</f>
        <v>B2C</v>
      </c>
      <c r="R284" s="1" t="str">
        <f>_xlfn.XLOOKUP(Logs[[#This Row],[ID_Client]],Clients_Log!B:B,Clients_Log!G:G,"Pas de correspondance")</f>
        <v>Pas de correspondance</v>
      </c>
      <c r="S284" s="1" t="e">
        <f>Logs[[#This Row],[Duree_Cumulee_Panne_Min]]/1440</f>
        <v>#VALUE!</v>
      </c>
      <c r="T284" s="1" t="str">
        <f>_xlfn.XLOOKUP(Logs[[#This Row],[ID_Client]],Clients_Log!B:B,Clients_Log!H:H,"Pas de correspondance")</f>
        <v>Pas de correspondance</v>
      </c>
      <c r="U284" s="1" t="str">
        <f>_xlfn.XLOOKUP(Logs[[#This Row],[ID_Client]],Clients_Log!B:B,Clients_Log!I:I,"Pas de correspondance")</f>
        <v>Pas de correspondance</v>
      </c>
      <c r="V28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84" s="1" t="e">
        <f>Logs[[#This Row],[Facture_Mensuelle]]*Logs[[#This Row],[Remise (%)]]</f>
        <v>#VALUE!</v>
      </c>
    </row>
    <row r="285" spans="1:23" hidden="1" x14ac:dyDescent="0.25">
      <c r="A285" s="1" t="s">
        <v>1052</v>
      </c>
      <c r="B285" s="2">
        <v>45214</v>
      </c>
      <c r="C285" s="1" t="str">
        <f>_xlfn.XLOOKUP(Logs[[#This Row],[Province_RDC]],Clients_Log!D:D,Clients_Log!B:B,"Pas de correspondance")</f>
        <v>Pas de correspondance</v>
      </c>
      <c r="D285" t="str">
        <f>_xlfn.XLOOKUP(Logs[[#This Row],[Cell_ID]],'Registre_Maintenance'!B:B,'Registre_Maintenance'!C:C,"Pas de correspondance")</f>
        <v>Pas de correspondance</v>
      </c>
      <c r="E285" s="3">
        <v>0.59375</v>
      </c>
      <c r="F285" s="1" t="s">
        <v>1060</v>
      </c>
      <c r="G285" s="3">
        <f>Logs[[#This Row],[Duree_Panne_Min]]/1440</f>
        <v>3.5416666666666666E-2</v>
      </c>
      <c r="H285">
        <v>51</v>
      </c>
      <c r="I285" t="str">
        <f>_xlfn.XLOOKUP(Logs[[#This Row],[Cell_ID]],'Registre_Maintenance'!B:B,'Registre_Maintenance'!D:D,"Pas de correspondance")</f>
        <v>Pas de correspondance</v>
      </c>
      <c r="J285" t="str">
        <f>_xlfn.XLOOKUP(Logs[[#This Row],[Cell_ID]],'Registre_Maintenance'!B:B,'Registre_Maintenance'!E:E,"Pas de correspondance")</f>
        <v>Pas de correspondance</v>
      </c>
      <c r="K285" t="str">
        <f>_xlfn.XLOOKUP(Logs[[#This Row],[Cell_ID]],'Registre_Maintenance'!B:B,'Registre_Maintenance'!F:F,"Pas de correspondance")</f>
        <v>Pas de correspondance</v>
      </c>
      <c r="L285" t="str">
        <f>_xlfn.XLOOKUP(Logs[[#This Row],[Cell_ID]],'Registre_Maintenance'!B:B,'Registre_Maintenance'!G:G,"Pas de correspondance")</f>
        <v>Pas de correspondance</v>
      </c>
      <c r="M285" s="1" t="s">
        <v>811</v>
      </c>
      <c r="N285" s="1" t="str">
        <f>_xlfn.XLOOKUP(Logs[[#This Row],[ID_Client]],Clients_Log!B:B,Clients_Log!E:E,"Pas de correspondance")</f>
        <v>Pas de correspondance</v>
      </c>
      <c r="O285" s="4" t="str">
        <f>IFERROR(Logs[[#This Row],[Anciennete_Mois]]/12,"")</f>
        <v/>
      </c>
      <c r="P285" s="1" t="str">
        <f>_xlfn.XLOOKUP(Logs[[#This Row],[ID_Client]],Clients_Log!B:B,Clients_Log!F:F,"Pas de correspondance")</f>
        <v>Pas de correspondance</v>
      </c>
      <c r="Q285" s="1" t="str">
        <f>IF(Logs[[#This Row],[Type_Forfait]]="Pro Monde","B2B","B2C")</f>
        <v>B2C</v>
      </c>
      <c r="R285" s="1" t="str">
        <f>_xlfn.XLOOKUP(Logs[[#This Row],[ID_Client]],Clients_Log!B:B,Clients_Log!G:G,"Pas de correspondance")</f>
        <v>Pas de correspondance</v>
      </c>
      <c r="S285" s="1" t="e">
        <f>Logs[[#This Row],[Duree_Cumulee_Panne_Min]]/1440</f>
        <v>#VALUE!</v>
      </c>
      <c r="T285" s="1" t="str">
        <f>_xlfn.XLOOKUP(Logs[[#This Row],[ID_Client]],Clients_Log!B:B,Clients_Log!H:H,"Pas de correspondance")</f>
        <v>Pas de correspondance</v>
      </c>
      <c r="U285" s="1" t="str">
        <f>_xlfn.XLOOKUP(Logs[[#This Row],[ID_Client]],Clients_Log!B:B,Clients_Log!I:I,"Pas de correspondance")</f>
        <v>Pas de correspondance</v>
      </c>
      <c r="V28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85" s="1" t="e">
        <f>Logs[[#This Row],[Facture_Mensuelle]]*Logs[[#This Row],[Remise (%)]]</f>
        <v>#VALUE!</v>
      </c>
    </row>
    <row r="286" spans="1:23" hidden="1" x14ac:dyDescent="0.25">
      <c r="A286" s="1" t="s">
        <v>1052</v>
      </c>
      <c r="B286" s="2">
        <v>45227</v>
      </c>
      <c r="C286" s="1" t="str">
        <f>_xlfn.XLOOKUP(Logs[[#This Row],[Province_RDC]],Clients_Log!D:D,Clients_Log!B:B,"Pas de correspondance")</f>
        <v>Pas de correspondance</v>
      </c>
      <c r="D286" t="str">
        <f>_xlfn.XLOOKUP(Logs[[#This Row],[Cell_ID]],'Registre_Maintenance'!B:B,'Registre_Maintenance'!C:C,"Pas de correspondance")</f>
        <v>Pas de correspondance</v>
      </c>
      <c r="E286" s="3">
        <v>0.46250000000000002</v>
      </c>
      <c r="F286" s="1" t="s">
        <v>892</v>
      </c>
      <c r="G286" s="3">
        <f>Logs[[#This Row],[Duree_Panne_Min]]/1440</f>
        <v>4.8611111111111112E-2</v>
      </c>
      <c r="H286">
        <v>70</v>
      </c>
      <c r="I286" t="str">
        <f>_xlfn.XLOOKUP(Logs[[#This Row],[Cell_ID]],'Registre_Maintenance'!B:B,'Registre_Maintenance'!D:D,"Pas de correspondance")</f>
        <v>Pas de correspondance</v>
      </c>
      <c r="J286" t="str">
        <f>_xlfn.XLOOKUP(Logs[[#This Row],[Cell_ID]],'Registre_Maintenance'!B:B,'Registre_Maintenance'!E:E,"Pas de correspondance")</f>
        <v>Pas de correspondance</v>
      </c>
      <c r="K286" t="str">
        <f>_xlfn.XLOOKUP(Logs[[#This Row],[Cell_ID]],'Registre_Maintenance'!B:B,'Registre_Maintenance'!F:F,"Pas de correspondance")</f>
        <v>Pas de correspondance</v>
      </c>
      <c r="L286" t="str">
        <f>_xlfn.XLOOKUP(Logs[[#This Row],[Cell_ID]],'Registre_Maintenance'!B:B,'Registre_Maintenance'!G:G,"Pas de correspondance")</f>
        <v>Pas de correspondance</v>
      </c>
      <c r="M286" s="1" t="s">
        <v>811</v>
      </c>
      <c r="N286" s="1" t="str">
        <f>_xlfn.XLOOKUP(Logs[[#This Row],[ID_Client]],Clients_Log!B:B,Clients_Log!E:E,"Pas de correspondance")</f>
        <v>Pas de correspondance</v>
      </c>
      <c r="O286" s="4" t="str">
        <f>IFERROR(Logs[[#This Row],[Anciennete_Mois]]/12,"")</f>
        <v/>
      </c>
      <c r="P286" s="1" t="str">
        <f>_xlfn.XLOOKUP(Logs[[#This Row],[ID_Client]],Clients_Log!B:B,Clients_Log!F:F,"Pas de correspondance")</f>
        <v>Pas de correspondance</v>
      </c>
      <c r="Q286" s="1" t="str">
        <f>IF(Logs[[#This Row],[Type_Forfait]]="Pro Monde","B2B","B2C")</f>
        <v>B2C</v>
      </c>
      <c r="R286" s="1" t="str">
        <f>_xlfn.XLOOKUP(Logs[[#This Row],[ID_Client]],Clients_Log!B:B,Clients_Log!G:G,"Pas de correspondance")</f>
        <v>Pas de correspondance</v>
      </c>
      <c r="S286" s="1" t="e">
        <f>Logs[[#This Row],[Duree_Cumulee_Panne_Min]]/1440</f>
        <v>#VALUE!</v>
      </c>
      <c r="T286" s="1" t="str">
        <f>_xlfn.XLOOKUP(Logs[[#This Row],[ID_Client]],Clients_Log!B:B,Clients_Log!H:H,"Pas de correspondance")</f>
        <v>Pas de correspondance</v>
      </c>
      <c r="U286" s="1" t="str">
        <f>_xlfn.XLOOKUP(Logs[[#This Row],[ID_Client]],Clients_Log!B:B,Clients_Log!I:I,"Pas de correspondance")</f>
        <v>Pas de correspondance</v>
      </c>
      <c r="V28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86" s="1" t="e">
        <f>Logs[[#This Row],[Facture_Mensuelle]]*Logs[[#This Row],[Remise (%)]]</f>
        <v>#VALUE!</v>
      </c>
    </row>
    <row r="287" spans="1:23" hidden="1" x14ac:dyDescent="0.25">
      <c r="A287" s="1" t="s">
        <v>1052</v>
      </c>
      <c r="B287" s="2">
        <v>45221</v>
      </c>
      <c r="C287" s="1" t="str">
        <f>_xlfn.XLOOKUP(Logs[[#This Row],[Province_RDC]],Clients_Log!D:D,Clients_Log!B:B,"Pas de correspondance")</f>
        <v>Pas de correspondance</v>
      </c>
      <c r="D287" t="str">
        <f>_xlfn.XLOOKUP(Logs[[#This Row],[Cell_ID]],'Registre_Maintenance'!B:B,'Registre_Maintenance'!C:C,"Pas de correspondance")</f>
        <v>Pas de correspondance</v>
      </c>
      <c r="E287" s="3">
        <v>0.48194444444444445</v>
      </c>
      <c r="F287" s="1" t="s">
        <v>1061</v>
      </c>
      <c r="G287" s="3">
        <f>Logs[[#This Row],[Duree_Panne_Min]]/1440</f>
        <v>5.5555555555555552E-2</v>
      </c>
      <c r="H287">
        <v>80</v>
      </c>
      <c r="I287" t="str">
        <f>_xlfn.XLOOKUP(Logs[[#This Row],[Cell_ID]],'Registre_Maintenance'!B:B,'Registre_Maintenance'!D:D,"Pas de correspondance")</f>
        <v>Pas de correspondance</v>
      </c>
      <c r="J287" t="str">
        <f>_xlfn.XLOOKUP(Logs[[#This Row],[Cell_ID]],'Registre_Maintenance'!B:B,'Registre_Maintenance'!E:E,"Pas de correspondance")</f>
        <v>Pas de correspondance</v>
      </c>
      <c r="K287" t="str">
        <f>_xlfn.XLOOKUP(Logs[[#This Row],[Cell_ID]],'Registre_Maintenance'!B:B,'Registre_Maintenance'!F:F,"Pas de correspondance")</f>
        <v>Pas de correspondance</v>
      </c>
      <c r="L287" t="str">
        <f>_xlfn.XLOOKUP(Logs[[#This Row],[Cell_ID]],'Registre_Maintenance'!B:B,'Registre_Maintenance'!G:G,"Pas de correspondance")</f>
        <v>Pas de correspondance</v>
      </c>
      <c r="M287" s="1" t="s">
        <v>811</v>
      </c>
      <c r="N287" s="1" t="str">
        <f>_xlfn.XLOOKUP(Logs[[#This Row],[ID_Client]],Clients_Log!B:B,Clients_Log!E:E,"Pas de correspondance")</f>
        <v>Pas de correspondance</v>
      </c>
      <c r="O287" s="4" t="str">
        <f>IFERROR(Logs[[#This Row],[Anciennete_Mois]]/12,"")</f>
        <v/>
      </c>
      <c r="P287" s="1" t="str">
        <f>_xlfn.XLOOKUP(Logs[[#This Row],[ID_Client]],Clients_Log!B:B,Clients_Log!F:F,"Pas de correspondance")</f>
        <v>Pas de correspondance</v>
      </c>
      <c r="Q287" s="1" t="str">
        <f>IF(Logs[[#This Row],[Type_Forfait]]="Pro Monde","B2B","B2C")</f>
        <v>B2C</v>
      </c>
      <c r="R287" s="1" t="str">
        <f>_xlfn.XLOOKUP(Logs[[#This Row],[ID_Client]],Clients_Log!B:B,Clients_Log!G:G,"Pas de correspondance")</f>
        <v>Pas de correspondance</v>
      </c>
      <c r="S287" s="1" t="e">
        <f>Logs[[#This Row],[Duree_Cumulee_Panne_Min]]/1440</f>
        <v>#VALUE!</v>
      </c>
      <c r="T287" s="1" t="str">
        <f>_xlfn.XLOOKUP(Logs[[#This Row],[ID_Client]],Clients_Log!B:B,Clients_Log!H:H,"Pas de correspondance")</f>
        <v>Pas de correspondance</v>
      </c>
      <c r="U287" s="1" t="str">
        <f>_xlfn.XLOOKUP(Logs[[#This Row],[ID_Client]],Clients_Log!B:B,Clients_Log!I:I,"Pas de correspondance")</f>
        <v>Pas de correspondance</v>
      </c>
      <c r="V28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87" s="1" t="e">
        <f>Logs[[#This Row],[Facture_Mensuelle]]*Logs[[#This Row],[Remise (%)]]</f>
        <v>#VALUE!</v>
      </c>
    </row>
    <row r="288" spans="1:23" hidden="1" x14ac:dyDescent="0.25">
      <c r="A288" s="1" t="s">
        <v>1052</v>
      </c>
      <c r="B288" s="2">
        <v>45228</v>
      </c>
      <c r="C288" s="1" t="str">
        <f>_xlfn.XLOOKUP(Logs[[#This Row],[Province_RDC]],Clients_Log!D:D,Clients_Log!B:B,"Pas de correspondance")</f>
        <v>Pas de correspondance</v>
      </c>
      <c r="D288" t="str">
        <f>_xlfn.XLOOKUP(Logs[[#This Row],[Cell_ID]],'Registre_Maintenance'!B:B,'Registre_Maintenance'!C:C,"Pas de correspondance")</f>
        <v>Pas de correspondance</v>
      </c>
      <c r="E288" s="3">
        <v>0.84861111111111109</v>
      </c>
      <c r="F288" s="1" t="s">
        <v>1062</v>
      </c>
      <c r="G288" s="3">
        <f>Logs[[#This Row],[Duree_Panne_Min]]/1440</f>
        <v>1.2500000000000001E-2</v>
      </c>
      <c r="H288">
        <v>18</v>
      </c>
      <c r="I288" t="str">
        <f>_xlfn.XLOOKUP(Logs[[#This Row],[Cell_ID]],'Registre_Maintenance'!B:B,'Registre_Maintenance'!D:D,"Pas de correspondance")</f>
        <v>Pas de correspondance</v>
      </c>
      <c r="J288" t="str">
        <f>_xlfn.XLOOKUP(Logs[[#This Row],[Cell_ID]],'Registre_Maintenance'!B:B,'Registre_Maintenance'!E:E,"Pas de correspondance")</f>
        <v>Pas de correspondance</v>
      </c>
      <c r="K288" t="str">
        <f>_xlfn.XLOOKUP(Logs[[#This Row],[Cell_ID]],'Registre_Maintenance'!B:B,'Registre_Maintenance'!F:F,"Pas de correspondance")</f>
        <v>Pas de correspondance</v>
      </c>
      <c r="L288" t="str">
        <f>_xlfn.XLOOKUP(Logs[[#This Row],[Cell_ID]],'Registre_Maintenance'!B:B,'Registre_Maintenance'!G:G,"Pas de correspondance")</f>
        <v>Pas de correspondance</v>
      </c>
      <c r="M288" s="1" t="s">
        <v>811</v>
      </c>
      <c r="N288" s="1" t="str">
        <f>_xlfn.XLOOKUP(Logs[[#This Row],[ID_Client]],Clients_Log!B:B,Clients_Log!E:E,"Pas de correspondance")</f>
        <v>Pas de correspondance</v>
      </c>
      <c r="O288" s="4" t="str">
        <f>IFERROR(Logs[[#This Row],[Anciennete_Mois]]/12,"")</f>
        <v/>
      </c>
      <c r="P288" s="1" t="str">
        <f>_xlfn.XLOOKUP(Logs[[#This Row],[ID_Client]],Clients_Log!B:B,Clients_Log!F:F,"Pas de correspondance")</f>
        <v>Pas de correspondance</v>
      </c>
      <c r="Q288" s="1" t="str">
        <f>IF(Logs[[#This Row],[Type_Forfait]]="Pro Monde","B2B","B2C")</f>
        <v>B2C</v>
      </c>
      <c r="R288" s="1" t="str">
        <f>_xlfn.XLOOKUP(Logs[[#This Row],[ID_Client]],Clients_Log!B:B,Clients_Log!G:G,"Pas de correspondance")</f>
        <v>Pas de correspondance</v>
      </c>
      <c r="S288" s="1" t="e">
        <f>Logs[[#This Row],[Duree_Cumulee_Panne_Min]]/1440</f>
        <v>#VALUE!</v>
      </c>
      <c r="T288" s="1" t="str">
        <f>_xlfn.XLOOKUP(Logs[[#This Row],[ID_Client]],Clients_Log!B:B,Clients_Log!H:H,"Pas de correspondance")</f>
        <v>Pas de correspondance</v>
      </c>
      <c r="U288" s="1" t="str">
        <f>_xlfn.XLOOKUP(Logs[[#This Row],[ID_Client]],Clients_Log!B:B,Clients_Log!I:I,"Pas de correspondance")</f>
        <v>Pas de correspondance</v>
      </c>
      <c r="V28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88" s="1" t="e">
        <f>Logs[[#This Row],[Facture_Mensuelle]]*Logs[[#This Row],[Remise (%)]]</f>
        <v>#VALUE!</v>
      </c>
    </row>
    <row r="289" spans="1:23" hidden="1" x14ac:dyDescent="0.25">
      <c r="A289" s="1" t="s">
        <v>1052</v>
      </c>
      <c r="B289" s="2">
        <v>45201</v>
      </c>
      <c r="C289" s="1" t="str">
        <f>_xlfn.XLOOKUP(Logs[[#This Row],[Province_RDC]],Clients_Log!D:D,Clients_Log!B:B,"Pas de correspondance")</f>
        <v>Pas de correspondance</v>
      </c>
      <c r="D289" t="str">
        <f>_xlfn.XLOOKUP(Logs[[#This Row],[Cell_ID]],'Registre_Maintenance'!B:B,'Registre_Maintenance'!C:C,"Pas de correspondance")</f>
        <v>Pas de correspondance</v>
      </c>
      <c r="E289" s="3">
        <v>0.51180555555555551</v>
      </c>
      <c r="F289" s="1" t="s">
        <v>930</v>
      </c>
      <c r="G289" s="3">
        <f>Logs[[#This Row],[Duree_Panne_Min]]/1440</f>
        <v>4.3055555555555555E-2</v>
      </c>
      <c r="H289">
        <v>62</v>
      </c>
      <c r="I289" t="str">
        <f>_xlfn.XLOOKUP(Logs[[#This Row],[Cell_ID]],'Registre_Maintenance'!B:B,'Registre_Maintenance'!D:D,"Pas de correspondance")</f>
        <v>Pas de correspondance</v>
      </c>
      <c r="J289" t="str">
        <f>_xlfn.XLOOKUP(Logs[[#This Row],[Cell_ID]],'Registre_Maintenance'!B:B,'Registre_Maintenance'!E:E,"Pas de correspondance")</f>
        <v>Pas de correspondance</v>
      </c>
      <c r="K289" t="str">
        <f>_xlfn.XLOOKUP(Logs[[#This Row],[Cell_ID]],'Registre_Maintenance'!B:B,'Registre_Maintenance'!F:F,"Pas de correspondance")</f>
        <v>Pas de correspondance</v>
      </c>
      <c r="L289" t="str">
        <f>_xlfn.XLOOKUP(Logs[[#This Row],[Cell_ID]],'Registre_Maintenance'!B:B,'Registre_Maintenance'!G:G,"Pas de correspondance")</f>
        <v>Pas de correspondance</v>
      </c>
      <c r="M289" s="1" t="s">
        <v>809</v>
      </c>
      <c r="N289" s="1" t="str">
        <f>_xlfn.XLOOKUP(Logs[[#This Row],[ID_Client]],Clients_Log!B:B,Clients_Log!E:E,"Pas de correspondance")</f>
        <v>Pas de correspondance</v>
      </c>
      <c r="O289" s="4" t="str">
        <f>IFERROR(Logs[[#This Row],[Anciennete_Mois]]/12,"")</f>
        <v/>
      </c>
      <c r="P289" s="1" t="str">
        <f>_xlfn.XLOOKUP(Logs[[#This Row],[ID_Client]],Clients_Log!B:B,Clients_Log!F:F,"Pas de correspondance")</f>
        <v>Pas de correspondance</v>
      </c>
      <c r="Q289" s="1" t="str">
        <f>IF(Logs[[#This Row],[Type_Forfait]]="Pro Monde","B2B","B2C")</f>
        <v>B2C</v>
      </c>
      <c r="R289" s="1" t="str">
        <f>_xlfn.XLOOKUP(Logs[[#This Row],[ID_Client]],Clients_Log!B:B,Clients_Log!G:G,"Pas de correspondance")</f>
        <v>Pas de correspondance</v>
      </c>
      <c r="S289" s="1" t="e">
        <f>Logs[[#This Row],[Duree_Cumulee_Panne_Min]]/1440</f>
        <v>#VALUE!</v>
      </c>
      <c r="T289" s="1" t="str">
        <f>_xlfn.XLOOKUP(Logs[[#This Row],[ID_Client]],Clients_Log!B:B,Clients_Log!H:H,"Pas de correspondance")</f>
        <v>Pas de correspondance</v>
      </c>
      <c r="U289" s="1" t="str">
        <f>_xlfn.XLOOKUP(Logs[[#This Row],[ID_Client]],Clients_Log!B:B,Clients_Log!I:I,"Pas de correspondance")</f>
        <v>Pas de correspondance</v>
      </c>
      <c r="V28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89" s="1" t="e">
        <f>Logs[[#This Row],[Facture_Mensuelle]]*Logs[[#This Row],[Remise (%)]]</f>
        <v>#VALUE!</v>
      </c>
    </row>
    <row r="290" spans="1:23" hidden="1" x14ac:dyDescent="0.25">
      <c r="A290" s="1" t="s">
        <v>1052</v>
      </c>
      <c r="B290" s="2">
        <v>45206</v>
      </c>
      <c r="C290" s="1" t="str">
        <f>_xlfn.XLOOKUP(Logs[[#This Row],[Province_RDC]],Clients_Log!D:D,Clients_Log!B:B,"Pas de correspondance")</f>
        <v>Pas de correspondance</v>
      </c>
      <c r="D290" t="str">
        <f>_xlfn.XLOOKUP(Logs[[#This Row],[Cell_ID]],'Registre_Maintenance'!B:B,'Registre_Maintenance'!C:C,"Pas de correspondance")</f>
        <v>Pas de correspondance</v>
      </c>
      <c r="E290" s="3">
        <v>0.16250000000000001</v>
      </c>
      <c r="F290" s="1" t="s">
        <v>1063</v>
      </c>
      <c r="G290" s="3">
        <f>Logs[[#This Row],[Duree_Panne_Min]]/1440</f>
        <v>4.791666666666667E-2</v>
      </c>
      <c r="H290">
        <v>69</v>
      </c>
      <c r="I290" t="str">
        <f>_xlfn.XLOOKUP(Logs[[#This Row],[Cell_ID]],'Registre_Maintenance'!B:B,'Registre_Maintenance'!D:D,"Pas de correspondance")</f>
        <v>Pas de correspondance</v>
      </c>
      <c r="J290" t="str">
        <f>_xlfn.XLOOKUP(Logs[[#This Row],[Cell_ID]],'Registre_Maintenance'!B:B,'Registre_Maintenance'!E:E,"Pas de correspondance")</f>
        <v>Pas de correspondance</v>
      </c>
      <c r="K290" t="str">
        <f>_xlfn.XLOOKUP(Logs[[#This Row],[Cell_ID]],'Registre_Maintenance'!B:B,'Registre_Maintenance'!F:F,"Pas de correspondance")</f>
        <v>Pas de correspondance</v>
      </c>
      <c r="L290" t="str">
        <f>_xlfn.XLOOKUP(Logs[[#This Row],[Cell_ID]],'Registre_Maintenance'!B:B,'Registre_Maintenance'!G:G,"Pas de correspondance")</f>
        <v>Pas de correspondance</v>
      </c>
      <c r="M290" s="1" t="s">
        <v>806</v>
      </c>
      <c r="N290" s="1" t="str">
        <f>_xlfn.XLOOKUP(Logs[[#This Row],[ID_Client]],Clients_Log!B:B,Clients_Log!E:E,"Pas de correspondance")</f>
        <v>Pas de correspondance</v>
      </c>
      <c r="O290" s="4" t="str">
        <f>IFERROR(Logs[[#This Row],[Anciennete_Mois]]/12,"")</f>
        <v/>
      </c>
      <c r="P290" s="1" t="str">
        <f>_xlfn.XLOOKUP(Logs[[#This Row],[ID_Client]],Clients_Log!B:B,Clients_Log!F:F,"Pas de correspondance")</f>
        <v>Pas de correspondance</v>
      </c>
      <c r="Q290" s="1" t="str">
        <f>IF(Logs[[#This Row],[Type_Forfait]]="Pro Monde","B2B","B2C")</f>
        <v>B2C</v>
      </c>
      <c r="R290" s="1" t="str">
        <f>_xlfn.XLOOKUP(Logs[[#This Row],[ID_Client]],Clients_Log!B:B,Clients_Log!G:G,"Pas de correspondance")</f>
        <v>Pas de correspondance</v>
      </c>
      <c r="S290" s="1" t="e">
        <f>Logs[[#This Row],[Duree_Cumulee_Panne_Min]]/1440</f>
        <v>#VALUE!</v>
      </c>
      <c r="T290" s="1" t="str">
        <f>_xlfn.XLOOKUP(Logs[[#This Row],[ID_Client]],Clients_Log!B:B,Clients_Log!H:H,"Pas de correspondance")</f>
        <v>Pas de correspondance</v>
      </c>
      <c r="U290" s="1" t="str">
        <f>_xlfn.XLOOKUP(Logs[[#This Row],[ID_Client]],Clients_Log!B:B,Clients_Log!I:I,"Pas de correspondance")</f>
        <v>Pas de correspondance</v>
      </c>
      <c r="V29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90" s="1" t="e">
        <f>Logs[[#This Row],[Facture_Mensuelle]]*Logs[[#This Row],[Remise (%)]]</f>
        <v>#VALUE!</v>
      </c>
    </row>
    <row r="291" spans="1:23" x14ac:dyDescent="0.25">
      <c r="A291" s="1" t="s">
        <v>1052</v>
      </c>
      <c r="B291" s="2">
        <v>45226</v>
      </c>
      <c r="C291" s="1" t="str">
        <f>_xlfn.XLOOKUP(Logs[[#This Row],[Province_RDC]],Clients_Log!D:D,Clients_Log!B:B,"Pas de correspondance")</f>
        <v>CLI-01170</v>
      </c>
      <c r="D291" t="str">
        <f>_xlfn.XLOOKUP(Logs[[#This Row],[Cell_ID]],'Registre_Maintenance'!B:B,'Registre_Maintenance'!C:C,"Pas de correspondance")</f>
        <v>Nord-Ubangi</v>
      </c>
      <c r="E291" s="3">
        <v>0.58680555555555558</v>
      </c>
      <c r="F291" s="1" t="s">
        <v>1064</v>
      </c>
      <c r="G291" s="3">
        <f>Logs[[#This Row],[Duree_Panne_Min]]/1440</f>
        <v>2.2916666666666665E-2</v>
      </c>
      <c r="H291">
        <v>33</v>
      </c>
      <c r="I291">
        <f>_xlfn.XLOOKUP(Logs[[#This Row],[Cell_ID]],'Registre_Maintenance'!B:B,'Registre_Maintenance'!D:D,"Pas de correspondance")</f>
        <v>-7.7839049999999999</v>
      </c>
      <c r="J291">
        <f>_xlfn.XLOOKUP(Logs[[#This Row],[Cell_ID]],'Registre_Maintenance'!B:B,'Registre_Maintenance'!E:E,"Pas de correspondance")</f>
        <v>14.114281999999999</v>
      </c>
      <c r="K291" t="str">
        <f>_xlfn.XLOOKUP(Logs[[#This Row],[Cell_ID]],'Registre_Maintenance'!B:B,'Registre_Maintenance'!F:F,"Pas de correspondance")</f>
        <v>3G</v>
      </c>
      <c r="L291" t="str">
        <f>_xlfn.XLOOKUP(Logs[[#This Row],[Cell_ID]],'Registre_Maintenance'!B:B,'Registre_Maintenance'!G:G,"Pas de correspondance")</f>
        <v>ZTE</v>
      </c>
      <c r="M291" s="1" t="s">
        <v>811</v>
      </c>
      <c r="N291" s="1">
        <f>_xlfn.XLOOKUP(Logs[[#This Row],[ID_Client]],Clients_Log!B:B,Clients_Log!E:E,"Pas de correspondance")</f>
        <v>98</v>
      </c>
      <c r="O291" s="4">
        <f>IFERROR(Logs[[#This Row],[Anciennete_Mois]]/12,"")</f>
        <v>8.1666666666666661</v>
      </c>
      <c r="P291" s="1" t="str">
        <f>_xlfn.XLOOKUP(Logs[[#This Row],[ID_Client]],Clients_Log!B:B,Clients_Log!F:F,"Pas de correspondance")</f>
        <v>Pro Monde</v>
      </c>
      <c r="Q291" s="1" t="str">
        <f>IF(Logs[[#This Row],[Type_Forfait]]="Pro Monde","B2B","B2C")</f>
        <v>B2B</v>
      </c>
      <c r="R291" s="1">
        <f>_xlfn.XLOOKUP(Logs[[#This Row],[ID_Client]],Clients_Log!B:B,Clients_Log!G:G,"Pas de correspondance")</f>
        <v>482</v>
      </c>
      <c r="S291" s="3">
        <f>Logs[[#This Row],[Duree_Cumulee_Panne_Min]]/1440</f>
        <v>0.3347222222222222</v>
      </c>
      <c r="T291" s="1">
        <f>_xlfn.XLOOKUP(Logs[[#This Row],[ID_Client]],Clients_Log!B:B,Clients_Log!H:H,"Pas de correspondance")</f>
        <v>55.04</v>
      </c>
      <c r="U291" s="1">
        <f>_xlfn.XLOOKUP(Logs[[#This Row],[ID_Client]],Clients_Log!B:B,Clients_Log!I:I,"Pas de correspondance")</f>
        <v>5</v>
      </c>
      <c r="V29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91" s="1">
        <f>Logs[[#This Row],[Facture_Mensuelle]]*Logs[[#This Row],[Remise (%)]]</f>
        <v>24.768000000000001</v>
      </c>
    </row>
    <row r="292" spans="1:23" x14ac:dyDescent="0.25">
      <c r="A292" s="1" t="s">
        <v>1052</v>
      </c>
      <c r="B292" s="2">
        <v>45221</v>
      </c>
      <c r="C292" s="1" t="str">
        <f>_xlfn.XLOOKUP(Logs[[#This Row],[Province_RDC]],Clients_Log!D:D,Clients_Log!B:B,"Pas de correspondance")</f>
        <v>CLI-00894</v>
      </c>
      <c r="D292" t="str">
        <f>_xlfn.XLOOKUP(Logs[[#This Row],[Cell_ID]],'Registre_Maintenance'!B:B,'Registre_Maintenance'!C:C,"Pas de correspondance")</f>
        <v>Tshuapa</v>
      </c>
      <c r="E292" s="3">
        <v>0.27847222222222223</v>
      </c>
      <c r="F292" s="1" t="s">
        <v>1065</v>
      </c>
      <c r="G292" s="3">
        <f>Logs[[#This Row],[Duree_Panne_Min]]/1440</f>
        <v>5.7638888888888892E-2</v>
      </c>
      <c r="H292">
        <v>83</v>
      </c>
      <c r="I292">
        <f>_xlfn.XLOOKUP(Logs[[#This Row],[Cell_ID]],'Registre_Maintenance'!B:B,'Registre_Maintenance'!D:D,"Pas de correspondance")</f>
        <v>-12.292039000000001</v>
      </c>
      <c r="J292">
        <f>_xlfn.XLOOKUP(Logs[[#This Row],[Cell_ID]],'Registre_Maintenance'!B:B,'Registre_Maintenance'!E:E,"Pas de correspondance")</f>
        <v>27.538202999999999</v>
      </c>
      <c r="K292" t="str">
        <f>_xlfn.XLOOKUP(Logs[[#This Row],[Cell_ID]],'Registre_Maintenance'!B:B,'Registre_Maintenance'!F:F,"Pas de correspondance")</f>
        <v>3G</v>
      </c>
      <c r="L292" t="str">
        <f>_xlfn.XLOOKUP(Logs[[#This Row],[Cell_ID]],'Registre_Maintenance'!B:B,'Registre_Maintenance'!G:G,"Pas de correspondance")</f>
        <v>Huawei</v>
      </c>
      <c r="M292" s="1" t="s">
        <v>811</v>
      </c>
      <c r="N292" s="1">
        <f>_xlfn.XLOOKUP(Logs[[#This Row],[ID_Client]],Clients_Log!B:B,Clients_Log!E:E,"Pas de correspondance")</f>
        <v>63</v>
      </c>
      <c r="O292" s="4">
        <f>IFERROR(Logs[[#This Row],[Anciennete_Mois]]/12,"")</f>
        <v>5.25</v>
      </c>
      <c r="P292" s="1" t="str">
        <f>_xlfn.XLOOKUP(Logs[[#This Row],[ID_Client]],Clients_Log!B:B,Clients_Log!F:F,"Pas de correspondance")</f>
        <v>Pro Monde</v>
      </c>
      <c r="Q292" s="1" t="str">
        <f>IF(Logs[[#This Row],[Type_Forfait]]="Pro Monde","B2B","B2C")</f>
        <v>B2B</v>
      </c>
      <c r="R292" s="1">
        <f>_xlfn.XLOOKUP(Logs[[#This Row],[ID_Client]],Clients_Log!B:B,Clients_Log!G:G,"Pas de correspondance")</f>
        <v>205</v>
      </c>
      <c r="S292" s="3">
        <f>Logs[[#This Row],[Duree_Cumulee_Panne_Min]]/1440</f>
        <v>0.1423611111111111</v>
      </c>
      <c r="T292" s="1">
        <f>_xlfn.XLOOKUP(Logs[[#This Row],[ID_Client]],Clients_Log!B:B,Clients_Log!H:H,"Pas de correspondance")</f>
        <v>89.19</v>
      </c>
      <c r="U292" s="1">
        <f>_xlfn.XLOOKUP(Logs[[#This Row],[ID_Client]],Clients_Log!B:B,Clients_Log!I:I,"Pas de correspondance")</f>
        <v>0</v>
      </c>
      <c r="V29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292" s="1">
        <f>Logs[[#This Row],[Facture_Mensuelle]]*Logs[[#This Row],[Remise (%)]]</f>
        <v>8.9190000000000005</v>
      </c>
    </row>
    <row r="293" spans="1:23" hidden="1" x14ac:dyDescent="0.25">
      <c r="A293" s="1" t="s">
        <v>1052</v>
      </c>
      <c r="B293" s="2">
        <v>45220</v>
      </c>
      <c r="C293" s="1" t="str">
        <f>_xlfn.XLOOKUP(Logs[[#This Row],[Province_RDC]],Clients_Log!D:D,Clients_Log!B:B,"Pas de correspondance")</f>
        <v>Pas de correspondance</v>
      </c>
      <c r="D293" t="str">
        <f>_xlfn.XLOOKUP(Logs[[#This Row],[Cell_ID]],'Registre_Maintenance'!B:B,'Registre_Maintenance'!C:C,"Pas de correspondance")</f>
        <v>Pas de correspondance</v>
      </c>
      <c r="E293" s="3">
        <v>0.79236111111111107</v>
      </c>
      <c r="F293" s="1" t="s">
        <v>912</v>
      </c>
      <c r="G293" s="3">
        <f>Logs[[#This Row],[Duree_Panne_Min]]/1440</f>
        <v>6.9444444444444441E-3</v>
      </c>
      <c r="H293">
        <v>10</v>
      </c>
      <c r="I293" t="str">
        <f>_xlfn.XLOOKUP(Logs[[#This Row],[Cell_ID]],'Registre_Maintenance'!B:B,'Registre_Maintenance'!D:D,"Pas de correspondance")</f>
        <v>Pas de correspondance</v>
      </c>
      <c r="J293" t="str">
        <f>_xlfn.XLOOKUP(Logs[[#This Row],[Cell_ID]],'Registre_Maintenance'!B:B,'Registre_Maintenance'!E:E,"Pas de correspondance")</f>
        <v>Pas de correspondance</v>
      </c>
      <c r="K293" t="str">
        <f>_xlfn.XLOOKUP(Logs[[#This Row],[Cell_ID]],'Registre_Maintenance'!B:B,'Registre_Maintenance'!F:F,"Pas de correspondance")</f>
        <v>Pas de correspondance</v>
      </c>
      <c r="L293" t="str">
        <f>_xlfn.XLOOKUP(Logs[[#This Row],[Cell_ID]],'Registre_Maintenance'!B:B,'Registre_Maintenance'!G:G,"Pas de correspondance")</f>
        <v>Pas de correspondance</v>
      </c>
      <c r="M293" s="1" t="s">
        <v>811</v>
      </c>
      <c r="N293" s="1" t="str">
        <f>_xlfn.XLOOKUP(Logs[[#This Row],[ID_Client]],Clients_Log!B:B,Clients_Log!E:E,"Pas de correspondance")</f>
        <v>Pas de correspondance</v>
      </c>
      <c r="O293" s="4" t="str">
        <f>IFERROR(Logs[[#This Row],[Anciennete_Mois]]/12,"")</f>
        <v/>
      </c>
      <c r="P293" s="1" t="str">
        <f>_xlfn.XLOOKUP(Logs[[#This Row],[ID_Client]],Clients_Log!B:B,Clients_Log!F:F,"Pas de correspondance")</f>
        <v>Pas de correspondance</v>
      </c>
      <c r="Q293" s="1" t="str">
        <f>IF(Logs[[#This Row],[Type_Forfait]]="Pro Monde","B2B","B2C")</f>
        <v>B2C</v>
      </c>
      <c r="R293" s="1" t="str">
        <f>_xlfn.XLOOKUP(Logs[[#This Row],[ID_Client]],Clients_Log!B:B,Clients_Log!G:G,"Pas de correspondance")</f>
        <v>Pas de correspondance</v>
      </c>
      <c r="S293" s="1" t="e">
        <f>Logs[[#This Row],[Duree_Cumulee_Panne_Min]]/1440</f>
        <v>#VALUE!</v>
      </c>
      <c r="T293" s="1" t="str">
        <f>_xlfn.XLOOKUP(Logs[[#This Row],[ID_Client]],Clients_Log!B:B,Clients_Log!H:H,"Pas de correspondance")</f>
        <v>Pas de correspondance</v>
      </c>
      <c r="U293" s="1" t="str">
        <f>_xlfn.XLOOKUP(Logs[[#This Row],[ID_Client]],Clients_Log!B:B,Clients_Log!I:I,"Pas de correspondance")</f>
        <v>Pas de correspondance</v>
      </c>
      <c r="V29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93" s="1" t="e">
        <f>Logs[[#This Row],[Facture_Mensuelle]]*Logs[[#This Row],[Remise (%)]]</f>
        <v>#VALUE!</v>
      </c>
    </row>
    <row r="294" spans="1:23" hidden="1" x14ac:dyDescent="0.25">
      <c r="A294" s="1" t="s">
        <v>1052</v>
      </c>
      <c r="B294" s="2">
        <v>45201</v>
      </c>
      <c r="C294" s="1" t="str">
        <f>_xlfn.XLOOKUP(Logs[[#This Row],[Province_RDC]],Clients_Log!D:D,Clients_Log!B:B,"Pas de correspondance")</f>
        <v>Pas de correspondance</v>
      </c>
      <c r="D294" t="str">
        <f>_xlfn.XLOOKUP(Logs[[#This Row],[Cell_ID]],'Registre_Maintenance'!B:B,'Registre_Maintenance'!C:C,"Pas de correspondance")</f>
        <v>Pas de correspondance</v>
      </c>
      <c r="E294" s="3">
        <v>0.42708333333333331</v>
      </c>
      <c r="F294" s="1" t="s">
        <v>1054</v>
      </c>
      <c r="G294" s="3">
        <f>Logs[[#This Row],[Duree_Panne_Min]]/1440</f>
        <v>6.805555555555555E-2</v>
      </c>
      <c r="H294">
        <v>98</v>
      </c>
      <c r="I294" t="str">
        <f>_xlfn.XLOOKUP(Logs[[#This Row],[Cell_ID]],'Registre_Maintenance'!B:B,'Registre_Maintenance'!D:D,"Pas de correspondance")</f>
        <v>Pas de correspondance</v>
      </c>
      <c r="J294" t="str">
        <f>_xlfn.XLOOKUP(Logs[[#This Row],[Cell_ID]],'Registre_Maintenance'!B:B,'Registre_Maintenance'!E:E,"Pas de correspondance")</f>
        <v>Pas de correspondance</v>
      </c>
      <c r="K294" t="str">
        <f>_xlfn.XLOOKUP(Logs[[#This Row],[Cell_ID]],'Registre_Maintenance'!B:B,'Registre_Maintenance'!F:F,"Pas de correspondance")</f>
        <v>Pas de correspondance</v>
      </c>
      <c r="L294" t="str">
        <f>_xlfn.XLOOKUP(Logs[[#This Row],[Cell_ID]],'Registre_Maintenance'!B:B,'Registre_Maintenance'!G:G,"Pas de correspondance")</f>
        <v>Pas de correspondance</v>
      </c>
      <c r="M294" s="1" t="s">
        <v>809</v>
      </c>
      <c r="N294" s="1" t="str">
        <f>_xlfn.XLOOKUP(Logs[[#This Row],[ID_Client]],Clients_Log!B:B,Clients_Log!E:E,"Pas de correspondance")</f>
        <v>Pas de correspondance</v>
      </c>
      <c r="O294" s="4" t="str">
        <f>IFERROR(Logs[[#This Row],[Anciennete_Mois]]/12,"")</f>
        <v/>
      </c>
      <c r="P294" s="1" t="str">
        <f>_xlfn.XLOOKUP(Logs[[#This Row],[ID_Client]],Clients_Log!B:B,Clients_Log!F:F,"Pas de correspondance")</f>
        <v>Pas de correspondance</v>
      </c>
      <c r="Q294" s="1" t="str">
        <f>IF(Logs[[#This Row],[Type_Forfait]]="Pro Monde","B2B","B2C")</f>
        <v>B2C</v>
      </c>
      <c r="R294" s="1" t="str">
        <f>_xlfn.XLOOKUP(Logs[[#This Row],[ID_Client]],Clients_Log!B:B,Clients_Log!G:G,"Pas de correspondance")</f>
        <v>Pas de correspondance</v>
      </c>
      <c r="S294" s="1" t="e">
        <f>Logs[[#This Row],[Duree_Cumulee_Panne_Min]]/1440</f>
        <v>#VALUE!</v>
      </c>
      <c r="T294" s="1" t="str">
        <f>_xlfn.XLOOKUP(Logs[[#This Row],[ID_Client]],Clients_Log!B:B,Clients_Log!H:H,"Pas de correspondance")</f>
        <v>Pas de correspondance</v>
      </c>
      <c r="U294" s="1" t="str">
        <f>_xlfn.XLOOKUP(Logs[[#This Row],[ID_Client]],Clients_Log!B:B,Clients_Log!I:I,"Pas de correspondance")</f>
        <v>Pas de correspondance</v>
      </c>
      <c r="V29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94" s="1" t="e">
        <f>Logs[[#This Row],[Facture_Mensuelle]]*Logs[[#This Row],[Remise (%)]]</f>
        <v>#VALUE!</v>
      </c>
    </row>
    <row r="295" spans="1:23" hidden="1" x14ac:dyDescent="0.25">
      <c r="A295" s="1" t="s">
        <v>1052</v>
      </c>
      <c r="B295" s="2">
        <v>45204</v>
      </c>
      <c r="C295" s="1" t="str">
        <f>_xlfn.XLOOKUP(Logs[[#This Row],[Province_RDC]],Clients_Log!D:D,Clients_Log!B:B,"Pas de correspondance")</f>
        <v>Pas de correspondance</v>
      </c>
      <c r="D295" t="str">
        <f>_xlfn.XLOOKUP(Logs[[#This Row],[Cell_ID]],'Registre_Maintenance'!B:B,'Registre_Maintenance'!C:C,"Pas de correspondance")</f>
        <v>Pas de correspondance</v>
      </c>
      <c r="E295" s="3">
        <v>0.75902777777777775</v>
      </c>
      <c r="F295" s="1" t="s">
        <v>1066</v>
      </c>
      <c r="G295" s="3">
        <f>Logs[[#This Row],[Duree_Panne_Min]]/1440</f>
        <v>7.2916666666666671E-2</v>
      </c>
      <c r="H295">
        <v>105</v>
      </c>
      <c r="I295" t="str">
        <f>_xlfn.XLOOKUP(Logs[[#This Row],[Cell_ID]],'Registre_Maintenance'!B:B,'Registre_Maintenance'!D:D,"Pas de correspondance")</f>
        <v>Pas de correspondance</v>
      </c>
      <c r="J295" t="str">
        <f>_xlfn.XLOOKUP(Logs[[#This Row],[Cell_ID]],'Registre_Maintenance'!B:B,'Registre_Maintenance'!E:E,"Pas de correspondance")</f>
        <v>Pas de correspondance</v>
      </c>
      <c r="K295" t="str">
        <f>_xlfn.XLOOKUP(Logs[[#This Row],[Cell_ID]],'Registre_Maintenance'!B:B,'Registre_Maintenance'!F:F,"Pas de correspondance")</f>
        <v>Pas de correspondance</v>
      </c>
      <c r="L295" t="str">
        <f>_xlfn.XLOOKUP(Logs[[#This Row],[Cell_ID]],'Registre_Maintenance'!B:B,'Registre_Maintenance'!G:G,"Pas de correspondance")</f>
        <v>Pas de correspondance</v>
      </c>
      <c r="M295" s="1" t="s">
        <v>811</v>
      </c>
      <c r="N295" s="1" t="str">
        <f>_xlfn.XLOOKUP(Logs[[#This Row],[ID_Client]],Clients_Log!B:B,Clients_Log!E:E,"Pas de correspondance")</f>
        <v>Pas de correspondance</v>
      </c>
      <c r="O295" s="4" t="str">
        <f>IFERROR(Logs[[#This Row],[Anciennete_Mois]]/12,"")</f>
        <v/>
      </c>
      <c r="P295" s="1" t="str">
        <f>_xlfn.XLOOKUP(Logs[[#This Row],[ID_Client]],Clients_Log!B:B,Clients_Log!F:F,"Pas de correspondance")</f>
        <v>Pas de correspondance</v>
      </c>
      <c r="Q295" s="1" t="str">
        <f>IF(Logs[[#This Row],[Type_Forfait]]="Pro Monde","B2B","B2C")</f>
        <v>B2C</v>
      </c>
      <c r="R295" s="1" t="str">
        <f>_xlfn.XLOOKUP(Logs[[#This Row],[ID_Client]],Clients_Log!B:B,Clients_Log!G:G,"Pas de correspondance")</f>
        <v>Pas de correspondance</v>
      </c>
      <c r="S295" s="1" t="e">
        <f>Logs[[#This Row],[Duree_Cumulee_Panne_Min]]/1440</f>
        <v>#VALUE!</v>
      </c>
      <c r="T295" s="1" t="str">
        <f>_xlfn.XLOOKUP(Logs[[#This Row],[ID_Client]],Clients_Log!B:B,Clients_Log!H:H,"Pas de correspondance")</f>
        <v>Pas de correspondance</v>
      </c>
      <c r="U295" s="1" t="str">
        <f>_xlfn.XLOOKUP(Logs[[#This Row],[ID_Client]],Clients_Log!B:B,Clients_Log!I:I,"Pas de correspondance")</f>
        <v>Pas de correspondance</v>
      </c>
      <c r="V29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95" s="1" t="e">
        <f>Logs[[#This Row],[Facture_Mensuelle]]*Logs[[#This Row],[Remise (%)]]</f>
        <v>#VALUE!</v>
      </c>
    </row>
    <row r="296" spans="1:23" x14ac:dyDescent="0.25">
      <c r="A296" s="1" t="s">
        <v>1052</v>
      </c>
      <c r="B296" s="2">
        <v>45202</v>
      </c>
      <c r="C296" s="1" t="str">
        <f>_xlfn.XLOOKUP(Logs[[#This Row],[Province_RDC]],Clients_Log!D:D,Clients_Log!B:B,"Pas de correspondance")</f>
        <v>CLI-01618</v>
      </c>
      <c r="D296" t="str">
        <f>_xlfn.XLOOKUP(Logs[[#This Row],[Cell_ID]],'Registre_Maintenance'!B:B,'Registre_Maintenance'!C:C,"Pas de correspondance")</f>
        <v>Tanganyika</v>
      </c>
      <c r="E296" s="3">
        <v>0.71736111111111112</v>
      </c>
      <c r="F296" s="1" t="s">
        <v>1067</v>
      </c>
      <c r="G296" s="3">
        <f>Logs[[#This Row],[Duree_Panne_Min]]/1440</f>
        <v>7.9861111111111105E-2</v>
      </c>
      <c r="H296">
        <v>115</v>
      </c>
      <c r="I296">
        <f>_xlfn.XLOOKUP(Logs[[#This Row],[Cell_ID]],'Registre_Maintenance'!B:B,'Registre_Maintenance'!D:D,"Pas de correspondance")</f>
        <v>-1.5936220000000001</v>
      </c>
      <c r="J296">
        <f>_xlfn.XLOOKUP(Logs[[#This Row],[Cell_ID]],'Registre_Maintenance'!B:B,'Registre_Maintenance'!E:E,"Pas de correspondance")</f>
        <v>14.928856</v>
      </c>
      <c r="K296" t="str">
        <f>_xlfn.XLOOKUP(Logs[[#This Row],[Cell_ID]],'Registre_Maintenance'!B:B,'Registre_Maintenance'!F:F,"Pas de correspondance")</f>
        <v>5G</v>
      </c>
      <c r="L296" t="str">
        <f>_xlfn.XLOOKUP(Logs[[#This Row],[Cell_ID]],'Registre_Maintenance'!B:B,'Registre_Maintenance'!G:G,"Pas de correspondance")</f>
        <v>Ericsson</v>
      </c>
      <c r="M296" s="1" t="s">
        <v>811</v>
      </c>
      <c r="N296" s="1">
        <f>_xlfn.XLOOKUP(Logs[[#This Row],[ID_Client]],Clients_Log!B:B,Clients_Log!E:E,"Pas de correspondance")</f>
        <v>115</v>
      </c>
      <c r="O296" s="4">
        <f>IFERROR(Logs[[#This Row],[Anciennete_Mois]]/12,"")</f>
        <v>9.5833333333333339</v>
      </c>
      <c r="P296" s="1" t="str">
        <f>_xlfn.XLOOKUP(Logs[[#This Row],[ID_Client]],Clients_Log!B:B,Clients_Log!F:F,"Pas de correspondance")</f>
        <v>Bloqué 5Go</v>
      </c>
      <c r="Q296" s="1" t="str">
        <f>IF(Logs[[#This Row],[Type_Forfait]]="Pro Monde","B2B","B2C")</f>
        <v>B2C</v>
      </c>
      <c r="R296" s="1">
        <f>_xlfn.XLOOKUP(Logs[[#This Row],[ID_Client]],Clients_Log!B:B,Clients_Log!G:G,"Pas de correspondance")</f>
        <v>176</v>
      </c>
      <c r="S296" s="3">
        <f>Logs[[#This Row],[Duree_Cumulee_Panne_Min]]/1440</f>
        <v>0.12222222222222222</v>
      </c>
      <c r="T296" s="1">
        <f>_xlfn.XLOOKUP(Logs[[#This Row],[ID_Client]],Clients_Log!B:B,Clients_Log!H:H,"Pas de correspondance")</f>
        <v>33.28</v>
      </c>
      <c r="U296" s="1">
        <f>_xlfn.XLOOKUP(Logs[[#This Row],[ID_Client]],Clients_Log!B:B,Clients_Log!I:I,"Pas de correspondance")</f>
        <v>4</v>
      </c>
      <c r="V29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296" s="1">
        <f>Logs[[#This Row],[Facture_Mensuelle]]*Logs[[#This Row],[Remise (%)]]</f>
        <v>0</v>
      </c>
    </row>
    <row r="297" spans="1:23" x14ac:dyDescent="0.25">
      <c r="A297" s="1" t="s">
        <v>1052</v>
      </c>
      <c r="B297" s="2">
        <v>45218</v>
      </c>
      <c r="C297" s="1" t="str">
        <f>_xlfn.XLOOKUP(Logs[[#This Row],[Province_RDC]],Clients_Log!D:D,Clients_Log!B:B,"Pas de correspondance")</f>
        <v>CLI-00569</v>
      </c>
      <c r="D297" t="str">
        <f>_xlfn.XLOOKUP(Logs[[#This Row],[Cell_ID]],'Registre_Maintenance'!B:B,'Registre_Maintenance'!C:C,"Pas de correspondance")</f>
        <v>Kwango</v>
      </c>
      <c r="E297" s="3">
        <v>0.28611111111111109</v>
      </c>
      <c r="F297" s="1" t="s">
        <v>1068</v>
      </c>
      <c r="G297" s="3">
        <f>Logs[[#This Row],[Duree_Panne_Min]]/1440</f>
        <v>6.1805555555555558E-2</v>
      </c>
      <c r="H297">
        <v>89</v>
      </c>
      <c r="I297">
        <f>_xlfn.XLOOKUP(Logs[[#This Row],[Cell_ID]],'Registre_Maintenance'!B:B,'Registre_Maintenance'!D:D,"Pas de correspondance")</f>
        <v>-7.5129409999999996</v>
      </c>
      <c r="J297">
        <f>_xlfn.XLOOKUP(Logs[[#This Row],[Cell_ID]],'Registre_Maintenance'!B:B,'Registre_Maintenance'!E:E,"Pas de correspondance")</f>
        <v>18.701522000000001</v>
      </c>
      <c r="K297" t="str">
        <f>_xlfn.XLOOKUP(Logs[[#This Row],[Cell_ID]],'Registre_Maintenance'!B:B,'Registre_Maintenance'!F:F,"Pas de correspondance")</f>
        <v>4G</v>
      </c>
      <c r="L297" t="str">
        <f>_xlfn.XLOOKUP(Logs[[#This Row],[Cell_ID]],'Registre_Maintenance'!B:B,'Registre_Maintenance'!G:G,"Pas de correspondance")</f>
        <v>Nokia</v>
      </c>
      <c r="M297" s="1" t="s">
        <v>806</v>
      </c>
      <c r="N297" s="1">
        <f>_xlfn.XLOOKUP(Logs[[#This Row],[ID_Client]],Clients_Log!B:B,Clients_Log!E:E,"Pas de correspondance")</f>
        <v>110</v>
      </c>
      <c r="O297" s="4">
        <f>IFERROR(Logs[[#This Row],[Anciennete_Mois]]/12,"")</f>
        <v>9.1666666666666661</v>
      </c>
      <c r="P297" s="1" t="str">
        <f>_xlfn.XLOOKUP(Logs[[#This Row],[ID_Client]],Clients_Log!B:B,Clients_Log!F:F,"Pas de correspondance")</f>
        <v>Pro Monde</v>
      </c>
      <c r="Q297" s="1" t="str">
        <f>IF(Logs[[#This Row],[Type_Forfait]]="Pro Monde","B2B","B2C")</f>
        <v>B2B</v>
      </c>
      <c r="R297" s="1">
        <f>_xlfn.XLOOKUP(Logs[[#This Row],[ID_Client]],Clients_Log!B:B,Clients_Log!G:G,"Pas de correspondance")</f>
        <v>423</v>
      </c>
      <c r="S297" s="3">
        <f>Logs[[#This Row],[Duree_Cumulee_Panne_Min]]/1440</f>
        <v>0.29375000000000001</v>
      </c>
      <c r="T297" s="1">
        <f>_xlfn.XLOOKUP(Logs[[#This Row],[ID_Client]],Clients_Log!B:B,Clients_Log!H:H,"Pas de correspondance")</f>
        <v>37.35</v>
      </c>
      <c r="U297" s="1">
        <f>_xlfn.XLOOKUP(Logs[[#This Row],[ID_Client]],Clients_Log!B:B,Clients_Log!I:I,"Pas de correspondance")</f>
        <v>4</v>
      </c>
      <c r="V29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297" s="1">
        <f>Logs[[#This Row],[Facture_Mensuelle]]*Logs[[#This Row],[Remise (%)]]</f>
        <v>16.807500000000001</v>
      </c>
    </row>
    <row r="298" spans="1:23" hidden="1" x14ac:dyDescent="0.25">
      <c r="A298" s="1" t="s">
        <v>1052</v>
      </c>
      <c r="B298" s="2">
        <v>45227</v>
      </c>
      <c r="C298" s="1" t="str">
        <f>_xlfn.XLOOKUP(Logs[[#This Row],[Province_RDC]],Clients_Log!D:D,Clients_Log!B:B,"Pas de correspondance")</f>
        <v>Pas de correspondance</v>
      </c>
      <c r="D298" t="str">
        <f>_xlfn.XLOOKUP(Logs[[#This Row],[Cell_ID]],'Registre_Maintenance'!B:B,'Registre_Maintenance'!C:C,"Pas de correspondance")</f>
        <v>Pas de correspondance</v>
      </c>
      <c r="E298" s="3">
        <v>0.30625000000000002</v>
      </c>
      <c r="F298" s="1" t="s">
        <v>835</v>
      </c>
      <c r="G298" s="3">
        <f>Logs[[#This Row],[Duree_Panne_Min]]/1440</f>
        <v>4.9305555555555554E-2</v>
      </c>
      <c r="H298">
        <v>71</v>
      </c>
      <c r="I298" t="str">
        <f>_xlfn.XLOOKUP(Logs[[#This Row],[Cell_ID]],'Registre_Maintenance'!B:B,'Registre_Maintenance'!D:D,"Pas de correspondance")</f>
        <v>Pas de correspondance</v>
      </c>
      <c r="J298" t="str">
        <f>_xlfn.XLOOKUP(Logs[[#This Row],[Cell_ID]],'Registre_Maintenance'!B:B,'Registre_Maintenance'!E:E,"Pas de correspondance")</f>
        <v>Pas de correspondance</v>
      </c>
      <c r="K298" t="str">
        <f>_xlfn.XLOOKUP(Logs[[#This Row],[Cell_ID]],'Registre_Maintenance'!B:B,'Registre_Maintenance'!F:F,"Pas de correspondance")</f>
        <v>Pas de correspondance</v>
      </c>
      <c r="L298" t="str">
        <f>_xlfn.XLOOKUP(Logs[[#This Row],[Cell_ID]],'Registre_Maintenance'!B:B,'Registre_Maintenance'!G:G,"Pas de correspondance")</f>
        <v>Pas de correspondance</v>
      </c>
      <c r="M298" s="1" t="s">
        <v>809</v>
      </c>
      <c r="N298" s="1" t="str">
        <f>_xlfn.XLOOKUP(Logs[[#This Row],[ID_Client]],Clients_Log!B:B,Clients_Log!E:E,"Pas de correspondance")</f>
        <v>Pas de correspondance</v>
      </c>
      <c r="O298" s="4" t="str">
        <f>IFERROR(Logs[[#This Row],[Anciennete_Mois]]/12,"")</f>
        <v/>
      </c>
      <c r="P298" s="1" t="str">
        <f>_xlfn.XLOOKUP(Logs[[#This Row],[ID_Client]],Clients_Log!B:B,Clients_Log!F:F,"Pas de correspondance")</f>
        <v>Pas de correspondance</v>
      </c>
      <c r="Q298" s="1" t="str">
        <f>IF(Logs[[#This Row],[Type_Forfait]]="Pro Monde","B2B","B2C")</f>
        <v>B2C</v>
      </c>
      <c r="R298" s="1" t="str">
        <f>_xlfn.XLOOKUP(Logs[[#This Row],[ID_Client]],Clients_Log!B:B,Clients_Log!G:G,"Pas de correspondance")</f>
        <v>Pas de correspondance</v>
      </c>
      <c r="S298" s="1" t="e">
        <f>Logs[[#This Row],[Duree_Cumulee_Panne_Min]]/1440</f>
        <v>#VALUE!</v>
      </c>
      <c r="T298" s="1" t="str">
        <f>_xlfn.XLOOKUP(Logs[[#This Row],[ID_Client]],Clients_Log!B:B,Clients_Log!H:H,"Pas de correspondance")</f>
        <v>Pas de correspondance</v>
      </c>
      <c r="U298" s="1" t="str">
        <f>_xlfn.XLOOKUP(Logs[[#This Row],[ID_Client]],Clients_Log!B:B,Clients_Log!I:I,"Pas de correspondance")</f>
        <v>Pas de correspondance</v>
      </c>
      <c r="V29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98" s="1" t="e">
        <f>Logs[[#This Row],[Facture_Mensuelle]]*Logs[[#This Row],[Remise (%)]]</f>
        <v>#VALUE!</v>
      </c>
    </row>
    <row r="299" spans="1:23" hidden="1" x14ac:dyDescent="0.25">
      <c r="A299" s="1" t="s">
        <v>1052</v>
      </c>
      <c r="B299" s="2">
        <v>45224</v>
      </c>
      <c r="C299" s="1" t="str">
        <f>_xlfn.XLOOKUP(Logs[[#This Row],[Province_RDC]],Clients_Log!D:D,Clients_Log!B:B,"Pas de correspondance")</f>
        <v>Pas de correspondance</v>
      </c>
      <c r="D299" t="str">
        <f>_xlfn.XLOOKUP(Logs[[#This Row],[Cell_ID]],'Registre_Maintenance'!B:B,'Registre_Maintenance'!C:C,"Pas de correspondance")</f>
        <v>Pas de correspondance</v>
      </c>
      <c r="E299" s="3">
        <v>0.2013888888888889</v>
      </c>
      <c r="F299" s="1" t="s">
        <v>960</v>
      </c>
      <c r="G299" s="3">
        <f>Logs[[#This Row],[Duree_Panne_Min]]/1440</f>
        <v>2.9861111111111113E-2</v>
      </c>
      <c r="H299">
        <v>43</v>
      </c>
      <c r="I299" t="str">
        <f>_xlfn.XLOOKUP(Logs[[#This Row],[Cell_ID]],'Registre_Maintenance'!B:B,'Registre_Maintenance'!D:D,"Pas de correspondance")</f>
        <v>Pas de correspondance</v>
      </c>
      <c r="J299" t="str">
        <f>_xlfn.XLOOKUP(Logs[[#This Row],[Cell_ID]],'Registre_Maintenance'!B:B,'Registre_Maintenance'!E:E,"Pas de correspondance")</f>
        <v>Pas de correspondance</v>
      </c>
      <c r="K299" t="str">
        <f>_xlfn.XLOOKUP(Logs[[#This Row],[Cell_ID]],'Registre_Maintenance'!B:B,'Registre_Maintenance'!F:F,"Pas de correspondance")</f>
        <v>Pas de correspondance</v>
      </c>
      <c r="L299" t="str">
        <f>_xlfn.XLOOKUP(Logs[[#This Row],[Cell_ID]],'Registre_Maintenance'!B:B,'Registre_Maintenance'!G:G,"Pas de correspondance")</f>
        <v>Pas de correspondance</v>
      </c>
      <c r="M299" s="1" t="s">
        <v>811</v>
      </c>
      <c r="N299" s="1" t="str">
        <f>_xlfn.XLOOKUP(Logs[[#This Row],[ID_Client]],Clients_Log!B:B,Clients_Log!E:E,"Pas de correspondance")</f>
        <v>Pas de correspondance</v>
      </c>
      <c r="O299" s="4" t="str">
        <f>IFERROR(Logs[[#This Row],[Anciennete_Mois]]/12,"")</f>
        <v/>
      </c>
      <c r="P299" s="1" t="str">
        <f>_xlfn.XLOOKUP(Logs[[#This Row],[ID_Client]],Clients_Log!B:B,Clients_Log!F:F,"Pas de correspondance")</f>
        <v>Pas de correspondance</v>
      </c>
      <c r="Q299" s="1" t="str">
        <f>IF(Logs[[#This Row],[Type_Forfait]]="Pro Monde","B2B","B2C")</f>
        <v>B2C</v>
      </c>
      <c r="R299" s="1" t="str">
        <f>_xlfn.XLOOKUP(Logs[[#This Row],[ID_Client]],Clients_Log!B:B,Clients_Log!G:G,"Pas de correspondance")</f>
        <v>Pas de correspondance</v>
      </c>
      <c r="S299" s="1" t="e">
        <f>Logs[[#This Row],[Duree_Cumulee_Panne_Min]]/1440</f>
        <v>#VALUE!</v>
      </c>
      <c r="T299" s="1" t="str">
        <f>_xlfn.XLOOKUP(Logs[[#This Row],[ID_Client]],Clients_Log!B:B,Clients_Log!H:H,"Pas de correspondance")</f>
        <v>Pas de correspondance</v>
      </c>
      <c r="U299" s="1" t="str">
        <f>_xlfn.XLOOKUP(Logs[[#This Row],[ID_Client]],Clients_Log!B:B,Clients_Log!I:I,"Pas de correspondance")</f>
        <v>Pas de correspondance</v>
      </c>
      <c r="V29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299" s="1" t="e">
        <f>Logs[[#This Row],[Facture_Mensuelle]]*Logs[[#This Row],[Remise (%)]]</f>
        <v>#VALUE!</v>
      </c>
    </row>
    <row r="300" spans="1:23" x14ac:dyDescent="0.25">
      <c r="A300" s="1" t="s">
        <v>1052</v>
      </c>
      <c r="B300" s="2">
        <v>45228</v>
      </c>
      <c r="C300" s="1" t="str">
        <f>_xlfn.XLOOKUP(Logs[[#This Row],[Province_RDC]],Clients_Log!D:D,Clients_Log!B:B,"Pas de correspondance")</f>
        <v>CLI-01618</v>
      </c>
      <c r="D300" t="str">
        <f>_xlfn.XLOOKUP(Logs[[#This Row],[Cell_ID]],'Registre_Maintenance'!B:B,'Registre_Maintenance'!C:C,"Pas de correspondance")</f>
        <v>Tanganyika</v>
      </c>
      <c r="E300" s="3">
        <v>0.79166666666666663</v>
      </c>
      <c r="F300" s="1" t="s">
        <v>805</v>
      </c>
      <c r="G300" s="3">
        <f>Logs[[#This Row],[Duree_Panne_Min]]/1440</f>
        <v>4.3749999999999997E-2</v>
      </c>
      <c r="H300">
        <v>63</v>
      </c>
      <c r="I300">
        <f>_xlfn.XLOOKUP(Logs[[#This Row],[Cell_ID]],'Registre_Maintenance'!B:B,'Registre_Maintenance'!D:D,"Pas de correspondance")</f>
        <v>-11.144149000000001</v>
      </c>
      <c r="J300">
        <f>_xlfn.XLOOKUP(Logs[[#This Row],[Cell_ID]],'Registre_Maintenance'!B:B,'Registre_Maintenance'!E:E,"Pas de correspondance")</f>
        <v>27.244658999999999</v>
      </c>
      <c r="K300" t="str">
        <f>_xlfn.XLOOKUP(Logs[[#This Row],[Cell_ID]],'Registre_Maintenance'!B:B,'Registre_Maintenance'!F:F,"Pas de correspondance")</f>
        <v>4G</v>
      </c>
      <c r="L300" t="str">
        <f>_xlfn.XLOOKUP(Logs[[#This Row],[Cell_ID]],'Registre_Maintenance'!B:B,'Registre_Maintenance'!G:G,"Pas de correspondance")</f>
        <v>Nokia</v>
      </c>
      <c r="M300" s="1" t="s">
        <v>806</v>
      </c>
      <c r="N300" s="1">
        <f>_xlfn.XLOOKUP(Logs[[#This Row],[ID_Client]],Clients_Log!B:B,Clients_Log!E:E,"Pas de correspondance")</f>
        <v>115</v>
      </c>
      <c r="O300" s="4">
        <f>IFERROR(Logs[[#This Row],[Anciennete_Mois]]/12,"")</f>
        <v>9.5833333333333339</v>
      </c>
      <c r="P300" s="1" t="str">
        <f>_xlfn.XLOOKUP(Logs[[#This Row],[ID_Client]],Clients_Log!B:B,Clients_Log!F:F,"Pas de correspondance")</f>
        <v>Bloqué 5Go</v>
      </c>
      <c r="Q300" s="1" t="str">
        <f>IF(Logs[[#This Row],[Type_Forfait]]="Pro Monde","B2B","B2C")</f>
        <v>B2C</v>
      </c>
      <c r="R300" s="1">
        <f>_xlfn.XLOOKUP(Logs[[#This Row],[ID_Client]],Clients_Log!B:B,Clients_Log!G:G,"Pas de correspondance")</f>
        <v>176</v>
      </c>
      <c r="S300" s="3">
        <f>Logs[[#This Row],[Duree_Cumulee_Panne_Min]]/1440</f>
        <v>0.12222222222222222</v>
      </c>
      <c r="T300" s="1">
        <f>_xlfn.XLOOKUP(Logs[[#This Row],[ID_Client]],Clients_Log!B:B,Clients_Log!H:H,"Pas de correspondance")</f>
        <v>33.28</v>
      </c>
      <c r="U300" s="1">
        <f>_xlfn.XLOOKUP(Logs[[#This Row],[ID_Client]],Clients_Log!B:B,Clients_Log!I:I,"Pas de correspondance")</f>
        <v>4</v>
      </c>
      <c r="V30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300" s="1">
        <f>Logs[[#This Row],[Facture_Mensuelle]]*Logs[[#This Row],[Remise (%)]]</f>
        <v>0</v>
      </c>
    </row>
    <row r="301" spans="1:23" hidden="1" x14ac:dyDescent="0.25">
      <c r="A301" s="1" t="s">
        <v>1052</v>
      </c>
      <c r="B301" s="2">
        <v>45208</v>
      </c>
      <c r="C301" s="1" t="str">
        <f>_xlfn.XLOOKUP(Logs[[#This Row],[Province_RDC]],Clients_Log!D:D,Clients_Log!B:B,"Pas de correspondance")</f>
        <v>Pas de correspondance</v>
      </c>
      <c r="D301" t="str">
        <f>_xlfn.XLOOKUP(Logs[[#This Row],[Cell_ID]],'Registre_Maintenance'!B:B,'Registre_Maintenance'!C:C,"Pas de correspondance")</f>
        <v>Pas de correspondance</v>
      </c>
      <c r="E301" s="3">
        <v>0.17222222222222222</v>
      </c>
      <c r="F301" s="1" t="s">
        <v>857</v>
      </c>
      <c r="G301" s="3">
        <f>Logs[[#This Row],[Duree_Panne_Min]]/1440</f>
        <v>6.0416666666666667E-2</v>
      </c>
      <c r="H301">
        <v>87</v>
      </c>
      <c r="I301" t="str">
        <f>_xlfn.XLOOKUP(Logs[[#This Row],[Cell_ID]],'Registre_Maintenance'!B:B,'Registre_Maintenance'!D:D,"Pas de correspondance")</f>
        <v>Pas de correspondance</v>
      </c>
      <c r="J301" t="str">
        <f>_xlfn.XLOOKUP(Logs[[#This Row],[Cell_ID]],'Registre_Maintenance'!B:B,'Registre_Maintenance'!E:E,"Pas de correspondance")</f>
        <v>Pas de correspondance</v>
      </c>
      <c r="K301" t="str">
        <f>_xlfn.XLOOKUP(Logs[[#This Row],[Cell_ID]],'Registre_Maintenance'!B:B,'Registre_Maintenance'!F:F,"Pas de correspondance")</f>
        <v>Pas de correspondance</v>
      </c>
      <c r="L301" t="str">
        <f>_xlfn.XLOOKUP(Logs[[#This Row],[Cell_ID]],'Registre_Maintenance'!B:B,'Registre_Maintenance'!G:G,"Pas de correspondance")</f>
        <v>Pas de correspondance</v>
      </c>
      <c r="M301" s="1" t="s">
        <v>806</v>
      </c>
      <c r="N301" s="1" t="str">
        <f>_xlfn.XLOOKUP(Logs[[#This Row],[ID_Client]],Clients_Log!B:B,Clients_Log!E:E,"Pas de correspondance")</f>
        <v>Pas de correspondance</v>
      </c>
      <c r="O301" s="4" t="str">
        <f>IFERROR(Logs[[#This Row],[Anciennete_Mois]]/12,"")</f>
        <v/>
      </c>
      <c r="P301" s="1" t="str">
        <f>_xlfn.XLOOKUP(Logs[[#This Row],[ID_Client]],Clients_Log!B:B,Clients_Log!F:F,"Pas de correspondance")</f>
        <v>Pas de correspondance</v>
      </c>
      <c r="Q301" s="1" t="str">
        <f>IF(Logs[[#This Row],[Type_Forfait]]="Pro Monde","B2B","B2C")</f>
        <v>B2C</v>
      </c>
      <c r="R301" s="1" t="str">
        <f>_xlfn.XLOOKUP(Logs[[#This Row],[ID_Client]],Clients_Log!B:B,Clients_Log!G:G,"Pas de correspondance")</f>
        <v>Pas de correspondance</v>
      </c>
      <c r="S301" s="1" t="e">
        <f>Logs[[#This Row],[Duree_Cumulee_Panne_Min]]/1440</f>
        <v>#VALUE!</v>
      </c>
      <c r="T301" s="1" t="str">
        <f>_xlfn.XLOOKUP(Logs[[#This Row],[ID_Client]],Clients_Log!B:B,Clients_Log!H:H,"Pas de correspondance")</f>
        <v>Pas de correspondance</v>
      </c>
      <c r="U301" s="1" t="str">
        <f>_xlfn.XLOOKUP(Logs[[#This Row],[ID_Client]],Clients_Log!B:B,Clients_Log!I:I,"Pas de correspondance")</f>
        <v>Pas de correspondance</v>
      </c>
      <c r="V30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01" s="1" t="e">
        <f>Logs[[#This Row],[Facture_Mensuelle]]*Logs[[#This Row],[Remise (%)]]</f>
        <v>#VALUE!</v>
      </c>
    </row>
    <row r="302" spans="1:23" hidden="1" x14ac:dyDescent="0.25">
      <c r="A302" s="1" t="s">
        <v>1052</v>
      </c>
      <c r="B302" s="2">
        <v>45217</v>
      </c>
      <c r="C302" s="1" t="str">
        <f>_xlfn.XLOOKUP(Logs[[#This Row],[Province_RDC]],Clients_Log!D:D,Clients_Log!B:B,"Pas de correspondance")</f>
        <v>Pas de correspondance</v>
      </c>
      <c r="D302" t="str">
        <f>_xlfn.XLOOKUP(Logs[[#This Row],[Cell_ID]],'Registre_Maintenance'!B:B,'Registre_Maintenance'!C:C,"Pas de correspondance")</f>
        <v>Pas de correspondance</v>
      </c>
      <c r="E302" s="3">
        <v>0.36875000000000002</v>
      </c>
      <c r="F302" s="1" t="s">
        <v>1069</v>
      </c>
      <c r="G302" s="3">
        <f>Logs[[#This Row],[Duree_Panne_Min]]/1440</f>
        <v>5.5555555555555558E-3</v>
      </c>
      <c r="H302">
        <v>8</v>
      </c>
      <c r="I302" t="str">
        <f>_xlfn.XLOOKUP(Logs[[#This Row],[Cell_ID]],'Registre_Maintenance'!B:B,'Registre_Maintenance'!D:D,"Pas de correspondance")</f>
        <v>Pas de correspondance</v>
      </c>
      <c r="J302" t="str">
        <f>_xlfn.XLOOKUP(Logs[[#This Row],[Cell_ID]],'Registre_Maintenance'!B:B,'Registre_Maintenance'!E:E,"Pas de correspondance")</f>
        <v>Pas de correspondance</v>
      </c>
      <c r="K302" t="str">
        <f>_xlfn.XLOOKUP(Logs[[#This Row],[Cell_ID]],'Registre_Maintenance'!B:B,'Registre_Maintenance'!F:F,"Pas de correspondance")</f>
        <v>Pas de correspondance</v>
      </c>
      <c r="L302" t="str">
        <f>_xlfn.XLOOKUP(Logs[[#This Row],[Cell_ID]],'Registre_Maintenance'!B:B,'Registre_Maintenance'!G:G,"Pas de correspondance")</f>
        <v>Pas de correspondance</v>
      </c>
      <c r="M302" s="1" t="s">
        <v>806</v>
      </c>
      <c r="N302" s="1" t="str">
        <f>_xlfn.XLOOKUP(Logs[[#This Row],[ID_Client]],Clients_Log!B:B,Clients_Log!E:E,"Pas de correspondance")</f>
        <v>Pas de correspondance</v>
      </c>
      <c r="O302" s="4" t="str">
        <f>IFERROR(Logs[[#This Row],[Anciennete_Mois]]/12,"")</f>
        <v/>
      </c>
      <c r="P302" s="1" t="str">
        <f>_xlfn.XLOOKUP(Logs[[#This Row],[ID_Client]],Clients_Log!B:B,Clients_Log!F:F,"Pas de correspondance")</f>
        <v>Pas de correspondance</v>
      </c>
      <c r="Q302" s="1" t="str">
        <f>IF(Logs[[#This Row],[Type_Forfait]]="Pro Monde","B2B","B2C")</f>
        <v>B2C</v>
      </c>
      <c r="R302" s="1" t="str">
        <f>_xlfn.XLOOKUP(Logs[[#This Row],[ID_Client]],Clients_Log!B:B,Clients_Log!G:G,"Pas de correspondance")</f>
        <v>Pas de correspondance</v>
      </c>
      <c r="S302" s="1" t="e">
        <f>Logs[[#This Row],[Duree_Cumulee_Panne_Min]]/1440</f>
        <v>#VALUE!</v>
      </c>
      <c r="T302" s="1" t="str">
        <f>_xlfn.XLOOKUP(Logs[[#This Row],[ID_Client]],Clients_Log!B:B,Clients_Log!H:H,"Pas de correspondance")</f>
        <v>Pas de correspondance</v>
      </c>
      <c r="U302" s="1" t="str">
        <f>_xlfn.XLOOKUP(Logs[[#This Row],[ID_Client]],Clients_Log!B:B,Clients_Log!I:I,"Pas de correspondance")</f>
        <v>Pas de correspondance</v>
      </c>
      <c r="V30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02" s="1" t="e">
        <f>Logs[[#This Row],[Facture_Mensuelle]]*Logs[[#This Row],[Remise (%)]]</f>
        <v>#VALUE!</v>
      </c>
    </row>
    <row r="303" spans="1:23" hidden="1" x14ac:dyDescent="0.25">
      <c r="A303" s="1" t="s">
        <v>1052</v>
      </c>
      <c r="B303" s="2">
        <v>45205</v>
      </c>
      <c r="C303" s="1" t="str">
        <f>_xlfn.XLOOKUP(Logs[[#This Row],[Province_RDC]],Clients_Log!D:D,Clients_Log!B:B,"Pas de correspondance")</f>
        <v>Pas de correspondance</v>
      </c>
      <c r="D303" t="str">
        <f>_xlfn.XLOOKUP(Logs[[#This Row],[Cell_ID]],'Registre_Maintenance'!B:B,'Registre_Maintenance'!C:C,"Pas de correspondance")</f>
        <v>Pas de correspondance</v>
      </c>
      <c r="E303" s="3">
        <v>0.15416666666666667</v>
      </c>
      <c r="F303" s="1" t="s">
        <v>893</v>
      </c>
      <c r="G303" s="3">
        <f>Logs[[#This Row],[Duree_Panne_Min]]/1440</f>
        <v>8.3333333333333332E-3</v>
      </c>
      <c r="H303">
        <v>12</v>
      </c>
      <c r="I303" t="str">
        <f>_xlfn.XLOOKUP(Logs[[#This Row],[Cell_ID]],'Registre_Maintenance'!B:B,'Registre_Maintenance'!D:D,"Pas de correspondance")</f>
        <v>Pas de correspondance</v>
      </c>
      <c r="J303" t="str">
        <f>_xlfn.XLOOKUP(Logs[[#This Row],[Cell_ID]],'Registre_Maintenance'!B:B,'Registre_Maintenance'!E:E,"Pas de correspondance")</f>
        <v>Pas de correspondance</v>
      </c>
      <c r="K303" t="str">
        <f>_xlfn.XLOOKUP(Logs[[#This Row],[Cell_ID]],'Registre_Maintenance'!B:B,'Registre_Maintenance'!F:F,"Pas de correspondance")</f>
        <v>Pas de correspondance</v>
      </c>
      <c r="L303" t="str">
        <f>_xlfn.XLOOKUP(Logs[[#This Row],[Cell_ID]],'Registre_Maintenance'!B:B,'Registre_Maintenance'!G:G,"Pas de correspondance")</f>
        <v>Pas de correspondance</v>
      </c>
      <c r="M303" s="1" t="s">
        <v>806</v>
      </c>
      <c r="N303" s="1" t="str">
        <f>_xlfn.XLOOKUP(Logs[[#This Row],[ID_Client]],Clients_Log!B:B,Clients_Log!E:E,"Pas de correspondance")</f>
        <v>Pas de correspondance</v>
      </c>
      <c r="O303" s="4" t="str">
        <f>IFERROR(Logs[[#This Row],[Anciennete_Mois]]/12,"")</f>
        <v/>
      </c>
      <c r="P303" s="1" t="str">
        <f>_xlfn.XLOOKUP(Logs[[#This Row],[ID_Client]],Clients_Log!B:B,Clients_Log!F:F,"Pas de correspondance")</f>
        <v>Pas de correspondance</v>
      </c>
      <c r="Q303" s="1" t="str">
        <f>IF(Logs[[#This Row],[Type_Forfait]]="Pro Monde","B2B","B2C")</f>
        <v>B2C</v>
      </c>
      <c r="R303" s="1" t="str">
        <f>_xlfn.XLOOKUP(Logs[[#This Row],[ID_Client]],Clients_Log!B:B,Clients_Log!G:G,"Pas de correspondance")</f>
        <v>Pas de correspondance</v>
      </c>
      <c r="S303" s="1" t="e">
        <f>Logs[[#This Row],[Duree_Cumulee_Panne_Min]]/1440</f>
        <v>#VALUE!</v>
      </c>
      <c r="T303" s="1" t="str">
        <f>_xlfn.XLOOKUP(Logs[[#This Row],[ID_Client]],Clients_Log!B:B,Clients_Log!H:H,"Pas de correspondance")</f>
        <v>Pas de correspondance</v>
      </c>
      <c r="U303" s="1" t="str">
        <f>_xlfn.XLOOKUP(Logs[[#This Row],[ID_Client]],Clients_Log!B:B,Clients_Log!I:I,"Pas de correspondance")</f>
        <v>Pas de correspondance</v>
      </c>
      <c r="V30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03" s="1" t="e">
        <f>Logs[[#This Row],[Facture_Mensuelle]]*Logs[[#This Row],[Remise (%)]]</f>
        <v>#VALUE!</v>
      </c>
    </row>
    <row r="304" spans="1:23" hidden="1" x14ac:dyDescent="0.25">
      <c r="A304" s="1" t="s">
        <v>1052</v>
      </c>
      <c r="B304" s="2">
        <v>45227</v>
      </c>
      <c r="C304" s="1" t="str">
        <f>_xlfn.XLOOKUP(Logs[[#This Row],[Province_RDC]],Clients_Log!D:D,Clients_Log!B:B,"Pas de correspondance")</f>
        <v>Pas de correspondance</v>
      </c>
      <c r="D304" t="str">
        <f>_xlfn.XLOOKUP(Logs[[#This Row],[Cell_ID]],'Registre_Maintenance'!B:B,'Registre_Maintenance'!C:C,"Pas de correspondance")</f>
        <v>Pas de correspondance</v>
      </c>
      <c r="E304" s="3">
        <v>5.5555555555555558E-3</v>
      </c>
      <c r="F304" s="1" t="s">
        <v>1070</v>
      </c>
      <c r="G304" s="3">
        <f>Logs[[#This Row],[Duree_Panne_Min]]/1440</f>
        <v>4.583333333333333E-2</v>
      </c>
      <c r="H304">
        <v>66</v>
      </c>
      <c r="I304" t="str">
        <f>_xlfn.XLOOKUP(Logs[[#This Row],[Cell_ID]],'Registre_Maintenance'!B:B,'Registre_Maintenance'!D:D,"Pas de correspondance")</f>
        <v>Pas de correspondance</v>
      </c>
      <c r="J304" t="str">
        <f>_xlfn.XLOOKUP(Logs[[#This Row],[Cell_ID]],'Registre_Maintenance'!B:B,'Registre_Maintenance'!E:E,"Pas de correspondance")</f>
        <v>Pas de correspondance</v>
      </c>
      <c r="K304" t="str">
        <f>_xlfn.XLOOKUP(Logs[[#This Row],[Cell_ID]],'Registre_Maintenance'!B:B,'Registre_Maintenance'!F:F,"Pas de correspondance")</f>
        <v>Pas de correspondance</v>
      </c>
      <c r="L304" t="str">
        <f>_xlfn.XLOOKUP(Logs[[#This Row],[Cell_ID]],'Registre_Maintenance'!B:B,'Registre_Maintenance'!G:G,"Pas de correspondance")</f>
        <v>Pas de correspondance</v>
      </c>
      <c r="M304" s="1" t="s">
        <v>811</v>
      </c>
      <c r="N304" s="1" t="str">
        <f>_xlfn.XLOOKUP(Logs[[#This Row],[ID_Client]],Clients_Log!B:B,Clients_Log!E:E,"Pas de correspondance")</f>
        <v>Pas de correspondance</v>
      </c>
      <c r="O304" s="4" t="str">
        <f>IFERROR(Logs[[#This Row],[Anciennete_Mois]]/12,"")</f>
        <v/>
      </c>
      <c r="P304" s="1" t="str">
        <f>_xlfn.XLOOKUP(Logs[[#This Row],[ID_Client]],Clients_Log!B:B,Clients_Log!F:F,"Pas de correspondance")</f>
        <v>Pas de correspondance</v>
      </c>
      <c r="Q304" s="1" t="str">
        <f>IF(Logs[[#This Row],[Type_Forfait]]="Pro Monde","B2B","B2C")</f>
        <v>B2C</v>
      </c>
      <c r="R304" s="1" t="str">
        <f>_xlfn.XLOOKUP(Logs[[#This Row],[ID_Client]],Clients_Log!B:B,Clients_Log!G:G,"Pas de correspondance")</f>
        <v>Pas de correspondance</v>
      </c>
      <c r="S304" s="1" t="e">
        <f>Logs[[#This Row],[Duree_Cumulee_Panne_Min]]/1440</f>
        <v>#VALUE!</v>
      </c>
      <c r="T304" s="1" t="str">
        <f>_xlfn.XLOOKUP(Logs[[#This Row],[ID_Client]],Clients_Log!B:B,Clients_Log!H:H,"Pas de correspondance")</f>
        <v>Pas de correspondance</v>
      </c>
      <c r="U304" s="1" t="str">
        <f>_xlfn.XLOOKUP(Logs[[#This Row],[ID_Client]],Clients_Log!B:B,Clients_Log!I:I,"Pas de correspondance")</f>
        <v>Pas de correspondance</v>
      </c>
      <c r="V30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04" s="1" t="e">
        <f>Logs[[#This Row],[Facture_Mensuelle]]*Logs[[#This Row],[Remise (%)]]</f>
        <v>#VALUE!</v>
      </c>
    </row>
    <row r="305" spans="1:23" hidden="1" x14ac:dyDescent="0.25">
      <c r="A305" s="1" t="s">
        <v>1052</v>
      </c>
      <c r="B305" s="2">
        <v>45200</v>
      </c>
      <c r="C305" s="1" t="str">
        <f>_xlfn.XLOOKUP(Logs[[#This Row],[Province_RDC]],Clients_Log!D:D,Clients_Log!B:B,"Pas de correspondance")</f>
        <v>Pas de correspondance</v>
      </c>
      <c r="D305" t="str">
        <f>_xlfn.XLOOKUP(Logs[[#This Row],[Cell_ID]],'Registre_Maintenance'!B:B,'Registre_Maintenance'!C:C,"Pas de correspondance")</f>
        <v>Pas de correspondance</v>
      </c>
      <c r="E305" s="3">
        <v>0.49305555555555558</v>
      </c>
      <c r="F305" s="1" t="s">
        <v>1071</v>
      </c>
      <c r="G305" s="3">
        <f>Logs[[#This Row],[Duree_Panne_Min]]/1440</f>
        <v>7.8472222222222221E-2</v>
      </c>
      <c r="H305">
        <v>113</v>
      </c>
      <c r="I305" t="str">
        <f>_xlfn.XLOOKUP(Logs[[#This Row],[Cell_ID]],'Registre_Maintenance'!B:B,'Registre_Maintenance'!D:D,"Pas de correspondance")</f>
        <v>Pas de correspondance</v>
      </c>
      <c r="J305" t="str">
        <f>_xlfn.XLOOKUP(Logs[[#This Row],[Cell_ID]],'Registre_Maintenance'!B:B,'Registre_Maintenance'!E:E,"Pas de correspondance")</f>
        <v>Pas de correspondance</v>
      </c>
      <c r="K305" t="str">
        <f>_xlfn.XLOOKUP(Logs[[#This Row],[Cell_ID]],'Registre_Maintenance'!B:B,'Registre_Maintenance'!F:F,"Pas de correspondance")</f>
        <v>Pas de correspondance</v>
      </c>
      <c r="L305" t="str">
        <f>_xlfn.XLOOKUP(Logs[[#This Row],[Cell_ID]],'Registre_Maintenance'!B:B,'Registre_Maintenance'!G:G,"Pas de correspondance")</f>
        <v>Pas de correspondance</v>
      </c>
      <c r="M305" s="1" t="s">
        <v>806</v>
      </c>
      <c r="N305" s="1" t="str">
        <f>_xlfn.XLOOKUP(Logs[[#This Row],[ID_Client]],Clients_Log!B:B,Clients_Log!E:E,"Pas de correspondance")</f>
        <v>Pas de correspondance</v>
      </c>
      <c r="O305" s="4" t="str">
        <f>IFERROR(Logs[[#This Row],[Anciennete_Mois]]/12,"")</f>
        <v/>
      </c>
      <c r="P305" s="1" t="str">
        <f>_xlfn.XLOOKUP(Logs[[#This Row],[ID_Client]],Clients_Log!B:B,Clients_Log!F:F,"Pas de correspondance")</f>
        <v>Pas de correspondance</v>
      </c>
      <c r="Q305" s="1" t="str">
        <f>IF(Logs[[#This Row],[Type_Forfait]]="Pro Monde","B2B","B2C")</f>
        <v>B2C</v>
      </c>
      <c r="R305" s="1" t="str">
        <f>_xlfn.XLOOKUP(Logs[[#This Row],[ID_Client]],Clients_Log!B:B,Clients_Log!G:G,"Pas de correspondance")</f>
        <v>Pas de correspondance</v>
      </c>
      <c r="S305" s="1" t="e">
        <f>Logs[[#This Row],[Duree_Cumulee_Panne_Min]]/1440</f>
        <v>#VALUE!</v>
      </c>
      <c r="T305" s="1" t="str">
        <f>_xlfn.XLOOKUP(Logs[[#This Row],[ID_Client]],Clients_Log!B:B,Clients_Log!H:H,"Pas de correspondance")</f>
        <v>Pas de correspondance</v>
      </c>
      <c r="U305" s="1" t="str">
        <f>_xlfn.XLOOKUP(Logs[[#This Row],[ID_Client]],Clients_Log!B:B,Clients_Log!I:I,"Pas de correspondance")</f>
        <v>Pas de correspondance</v>
      </c>
      <c r="V30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05" s="1" t="e">
        <f>Logs[[#This Row],[Facture_Mensuelle]]*Logs[[#This Row],[Remise (%)]]</f>
        <v>#VALUE!</v>
      </c>
    </row>
    <row r="306" spans="1:23" x14ac:dyDescent="0.25">
      <c r="A306" s="1" t="s">
        <v>1052</v>
      </c>
      <c r="B306" s="2">
        <v>45225</v>
      </c>
      <c r="C306" s="1" t="str">
        <f>_xlfn.XLOOKUP(Logs[[#This Row],[Province_RDC]],Clients_Log!D:D,Clients_Log!B:B,"Pas de correspondance")</f>
        <v>CLI-01170</v>
      </c>
      <c r="D306" t="str">
        <f>_xlfn.XLOOKUP(Logs[[#This Row],[Cell_ID]],'Registre_Maintenance'!B:B,'Registre_Maintenance'!C:C,"Pas de correspondance")</f>
        <v>Nord-Ubangi</v>
      </c>
      <c r="E306" s="3">
        <v>0.31736111111111109</v>
      </c>
      <c r="F306" s="1" t="s">
        <v>939</v>
      </c>
      <c r="G306" s="3">
        <f>Logs[[#This Row],[Duree_Panne_Min]]/1440</f>
        <v>3.888888888888889E-2</v>
      </c>
      <c r="H306">
        <v>56</v>
      </c>
      <c r="I306">
        <f>_xlfn.XLOOKUP(Logs[[#This Row],[Cell_ID]],'Registre_Maintenance'!B:B,'Registre_Maintenance'!D:D,"Pas de correspondance")</f>
        <v>-7.9987219999999999</v>
      </c>
      <c r="J306">
        <f>_xlfn.XLOOKUP(Logs[[#This Row],[Cell_ID]],'Registre_Maintenance'!B:B,'Registre_Maintenance'!E:E,"Pas de correspondance")</f>
        <v>12.779335</v>
      </c>
      <c r="K306" t="str">
        <f>_xlfn.XLOOKUP(Logs[[#This Row],[Cell_ID]],'Registre_Maintenance'!B:B,'Registre_Maintenance'!F:F,"Pas de correspondance")</f>
        <v>5G</v>
      </c>
      <c r="L306" t="str">
        <f>_xlfn.XLOOKUP(Logs[[#This Row],[Cell_ID]],'Registre_Maintenance'!B:B,'Registre_Maintenance'!G:G,"Pas de correspondance")</f>
        <v>Nokia</v>
      </c>
      <c r="M306" s="1" t="s">
        <v>809</v>
      </c>
      <c r="N306" s="1">
        <f>_xlfn.XLOOKUP(Logs[[#This Row],[ID_Client]],Clients_Log!B:B,Clients_Log!E:E,"Pas de correspondance")</f>
        <v>98</v>
      </c>
      <c r="O306" s="4">
        <f>IFERROR(Logs[[#This Row],[Anciennete_Mois]]/12,"")</f>
        <v>8.1666666666666661</v>
      </c>
      <c r="P306" s="1" t="str">
        <f>_xlfn.XLOOKUP(Logs[[#This Row],[ID_Client]],Clients_Log!B:B,Clients_Log!F:F,"Pas de correspondance")</f>
        <v>Pro Monde</v>
      </c>
      <c r="Q306" s="1" t="str">
        <f>IF(Logs[[#This Row],[Type_Forfait]]="Pro Monde","B2B","B2C")</f>
        <v>B2B</v>
      </c>
      <c r="R306" s="1">
        <f>_xlfn.XLOOKUP(Logs[[#This Row],[ID_Client]],Clients_Log!B:B,Clients_Log!G:G,"Pas de correspondance")</f>
        <v>482</v>
      </c>
      <c r="S306" s="3">
        <f>Logs[[#This Row],[Duree_Cumulee_Panne_Min]]/1440</f>
        <v>0.3347222222222222</v>
      </c>
      <c r="T306" s="1">
        <f>_xlfn.XLOOKUP(Logs[[#This Row],[ID_Client]],Clients_Log!B:B,Clients_Log!H:H,"Pas de correspondance")</f>
        <v>55.04</v>
      </c>
      <c r="U306" s="1">
        <f>_xlfn.XLOOKUP(Logs[[#This Row],[ID_Client]],Clients_Log!B:B,Clients_Log!I:I,"Pas de correspondance")</f>
        <v>5</v>
      </c>
      <c r="V30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06" s="1">
        <f>Logs[[#This Row],[Facture_Mensuelle]]*Logs[[#This Row],[Remise (%)]]</f>
        <v>24.768000000000001</v>
      </c>
    </row>
    <row r="307" spans="1:23" hidden="1" x14ac:dyDescent="0.25">
      <c r="A307" s="1" t="s">
        <v>1052</v>
      </c>
      <c r="B307" s="2">
        <v>45210</v>
      </c>
      <c r="C307" s="1" t="str">
        <f>_xlfn.XLOOKUP(Logs[[#This Row],[Province_RDC]],Clients_Log!D:D,Clients_Log!B:B,"Pas de correspondance")</f>
        <v>Pas de correspondance</v>
      </c>
      <c r="D307" t="str">
        <f>_xlfn.XLOOKUP(Logs[[#This Row],[Cell_ID]],'Registre_Maintenance'!B:B,'Registre_Maintenance'!C:C,"Pas de correspondance")</f>
        <v>Pas de correspondance</v>
      </c>
      <c r="E307" s="3">
        <v>7.6388888888888886E-3</v>
      </c>
      <c r="F307" s="1" t="s">
        <v>1072</v>
      </c>
      <c r="G307" s="3">
        <f>Logs[[#This Row],[Duree_Panne_Min]]/1440</f>
        <v>4.0972222222222222E-2</v>
      </c>
      <c r="H307">
        <v>59</v>
      </c>
      <c r="I307" t="str">
        <f>_xlfn.XLOOKUP(Logs[[#This Row],[Cell_ID]],'Registre_Maintenance'!B:B,'Registre_Maintenance'!D:D,"Pas de correspondance")</f>
        <v>Pas de correspondance</v>
      </c>
      <c r="J307" t="str">
        <f>_xlfn.XLOOKUP(Logs[[#This Row],[Cell_ID]],'Registre_Maintenance'!B:B,'Registre_Maintenance'!E:E,"Pas de correspondance")</f>
        <v>Pas de correspondance</v>
      </c>
      <c r="K307" t="str">
        <f>_xlfn.XLOOKUP(Logs[[#This Row],[Cell_ID]],'Registre_Maintenance'!B:B,'Registre_Maintenance'!F:F,"Pas de correspondance")</f>
        <v>Pas de correspondance</v>
      </c>
      <c r="L307" t="str">
        <f>_xlfn.XLOOKUP(Logs[[#This Row],[Cell_ID]],'Registre_Maintenance'!B:B,'Registre_Maintenance'!G:G,"Pas de correspondance")</f>
        <v>Pas de correspondance</v>
      </c>
      <c r="M307" s="1" t="s">
        <v>809</v>
      </c>
      <c r="N307" s="1" t="str">
        <f>_xlfn.XLOOKUP(Logs[[#This Row],[ID_Client]],Clients_Log!B:B,Clients_Log!E:E,"Pas de correspondance")</f>
        <v>Pas de correspondance</v>
      </c>
      <c r="O307" s="4" t="str">
        <f>IFERROR(Logs[[#This Row],[Anciennete_Mois]]/12,"")</f>
        <v/>
      </c>
      <c r="P307" s="1" t="str">
        <f>_xlfn.XLOOKUP(Logs[[#This Row],[ID_Client]],Clients_Log!B:B,Clients_Log!F:F,"Pas de correspondance")</f>
        <v>Pas de correspondance</v>
      </c>
      <c r="Q307" s="1" t="str">
        <f>IF(Logs[[#This Row],[Type_Forfait]]="Pro Monde","B2B","B2C")</f>
        <v>B2C</v>
      </c>
      <c r="R307" s="1" t="str">
        <f>_xlfn.XLOOKUP(Logs[[#This Row],[ID_Client]],Clients_Log!B:B,Clients_Log!G:G,"Pas de correspondance")</f>
        <v>Pas de correspondance</v>
      </c>
      <c r="S307" s="1" t="e">
        <f>Logs[[#This Row],[Duree_Cumulee_Panne_Min]]/1440</f>
        <v>#VALUE!</v>
      </c>
      <c r="T307" s="1" t="str">
        <f>_xlfn.XLOOKUP(Logs[[#This Row],[ID_Client]],Clients_Log!B:B,Clients_Log!H:H,"Pas de correspondance")</f>
        <v>Pas de correspondance</v>
      </c>
      <c r="U307" s="1" t="str">
        <f>_xlfn.XLOOKUP(Logs[[#This Row],[ID_Client]],Clients_Log!B:B,Clients_Log!I:I,"Pas de correspondance")</f>
        <v>Pas de correspondance</v>
      </c>
      <c r="V30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07" s="1" t="e">
        <f>Logs[[#This Row],[Facture_Mensuelle]]*Logs[[#This Row],[Remise (%)]]</f>
        <v>#VALUE!</v>
      </c>
    </row>
    <row r="308" spans="1:23" hidden="1" x14ac:dyDescent="0.25">
      <c r="A308" s="1" t="s">
        <v>1052</v>
      </c>
      <c r="B308" s="2">
        <v>45208</v>
      </c>
      <c r="C308" s="1" t="str">
        <f>_xlfn.XLOOKUP(Logs[[#This Row],[Province_RDC]],Clients_Log!D:D,Clients_Log!B:B,"Pas de correspondance")</f>
        <v>Pas de correspondance</v>
      </c>
      <c r="D308" t="str">
        <f>_xlfn.XLOOKUP(Logs[[#This Row],[Cell_ID]],'Registre_Maintenance'!B:B,'Registre_Maintenance'!C:C,"Pas de correspondance")</f>
        <v>Pas de correspondance</v>
      </c>
      <c r="E308" s="3">
        <v>4.7222222222222221E-2</v>
      </c>
      <c r="F308" s="1" t="s">
        <v>855</v>
      </c>
      <c r="G308" s="3">
        <f>Logs[[#This Row],[Duree_Panne_Min]]/1440</f>
        <v>6.3888888888888884E-2</v>
      </c>
      <c r="H308">
        <v>92</v>
      </c>
      <c r="I308" t="str">
        <f>_xlfn.XLOOKUP(Logs[[#This Row],[Cell_ID]],'Registre_Maintenance'!B:B,'Registre_Maintenance'!D:D,"Pas de correspondance")</f>
        <v>Pas de correspondance</v>
      </c>
      <c r="J308" t="str">
        <f>_xlfn.XLOOKUP(Logs[[#This Row],[Cell_ID]],'Registre_Maintenance'!B:B,'Registre_Maintenance'!E:E,"Pas de correspondance")</f>
        <v>Pas de correspondance</v>
      </c>
      <c r="K308" t="str">
        <f>_xlfn.XLOOKUP(Logs[[#This Row],[Cell_ID]],'Registre_Maintenance'!B:B,'Registre_Maintenance'!F:F,"Pas de correspondance")</f>
        <v>Pas de correspondance</v>
      </c>
      <c r="L308" t="str">
        <f>_xlfn.XLOOKUP(Logs[[#This Row],[Cell_ID]],'Registre_Maintenance'!B:B,'Registre_Maintenance'!G:G,"Pas de correspondance")</f>
        <v>Pas de correspondance</v>
      </c>
      <c r="M308" s="1" t="s">
        <v>811</v>
      </c>
      <c r="N308" s="1" t="str">
        <f>_xlfn.XLOOKUP(Logs[[#This Row],[ID_Client]],Clients_Log!B:B,Clients_Log!E:E,"Pas de correspondance")</f>
        <v>Pas de correspondance</v>
      </c>
      <c r="O308" s="4" t="str">
        <f>IFERROR(Logs[[#This Row],[Anciennete_Mois]]/12,"")</f>
        <v/>
      </c>
      <c r="P308" s="1" t="str">
        <f>_xlfn.XLOOKUP(Logs[[#This Row],[ID_Client]],Clients_Log!B:B,Clients_Log!F:F,"Pas de correspondance")</f>
        <v>Pas de correspondance</v>
      </c>
      <c r="Q308" s="1" t="str">
        <f>IF(Logs[[#This Row],[Type_Forfait]]="Pro Monde","B2B","B2C")</f>
        <v>B2C</v>
      </c>
      <c r="R308" s="1" t="str">
        <f>_xlfn.XLOOKUP(Logs[[#This Row],[ID_Client]],Clients_Log!B:B,Clients_Log!G:G,"Pas de correspondance")</f>
        <v>Pas de correspondance</v>
      </c>
      <c r="S308" s="1" t="e">
        <f>Logs[[#This Row],[Duree_Cumulee_Panne_Min]]/1440</f>
        <v>#VALUE!</v>
      </c>
      <c r="T308" s="1" t="str">
        <f>_xlfn.XLOOKUP(Logs[[#This Row],[ID_Client]],Clients_Log!B:B,Clients_Log!H:H,"Pas de correspondance")</f>
        <v>Pas de correspondance</v>
      </c>
      <c r="U308" s="1" t="str">
        <f>_xlfn.XLOOKUP(Logs[[#This Row],[ID_Client]],Clients_Log!B:B,Clients_Log!I:I,"Pas de correspondance")</f>
        <v>Pas de correspondance</v>
      </c>
      <c r="V30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08" s="1" t="e">
        <f>Logs[[#This Row],[Facture_Mensuelle]]*Logs[[#This Row],[Remise (%)]]</f>
        <v>#VALUE!</v>
      </c>
    </row>
    <row r="309" spans="1:23" hidden="1" x14ac:dyDescent="0.25">
      <c r="A309" s="1" t="s">
        <v>1073</v>
      </c>
      <c r="B309" s="2">
        <v>45221</v>
      </c>
      <c r="C309" s="1" t="str">
        <f>_xlfn.XLOOKUP(Logs[[#This Row],[Province_RDC]],Clients_Log!D:D,Clients_Log!B:B,"Pas de correspondance")</f>
        <v>Pas de correspondance</v>
      </c>
      <c r="D309" t="str">
        <f>_xlfn.XLOOKUP(Logs[[#This Row],[Cell_ID]],'Registre_Maintenance'!B:B,'Registre_Maintenance'!C:C,"Pas de correspondance")</f>
        <v>Pas de correspondance</v>
      </c>
      <c r="E309" s="3">
        <v>0.14305555555555555</v>
      </c>
      <c r="F309" s="1" t="s">
        <v>1012</v>
      </c>
      <c r="G309" s="3">
        <f>Logs[[#This Row],[Duree_Panne_Min]]/1440</f>
        <v>2.9861111111111113E-2</v>
      </c>
      <c r="H309">
        <v>43</v>
      </c>
      <c r="I309" t="str">
        <f>_xlfn.XLOOKUP(Logs[[#This Row],[Cell_ID]],'Registre_Maintenance'!B:B,'Registre_Maintenance'!D:D,"Pas de correspondance")</f>
        <v>Pas de correspondance</v>
      </c>
      <c r="J309" t="str">
        <f>_xlfn.XLOOKUP(Logs[[#This Row],[Cell_ID]],'Registre_Maintenance'!B:B,'Registre_Maintenance'!E:E,"Pas de correspondance")</f>
        <v>Pas de correspondance</v>
      </c>
      <c r="K309" t="str">
        <f>_xlfn.XLOOKUP(Logs[[#This Row],[Cell_ID]],'Registre_Maintenance'!B:B,'Registre_Maintenance'!F:F,"Pas de correspondance")</f>
        <v>Pas de correspondance</v>
      </c>
      <c r="L309" t="str">
        <f>_xlfn.XLOOKUP(Logs[[#This Row],[Cell_ID]],'Registre_Maintenance'!B:B,'Registre_Maintenance'!G:G,"Pas de correspondance")</f>
        <v>Pas de correspondance</v>
      </c>
      <c r="M309" s="1" t="s">
        <v>806</v>
      </c>
      <c r="N309" s="1" t="str">
        <f>_xlfn.XLOOKUP(Logs[[#This Row],[ID_Client]],Clients_Log!B:B,Clients_Log!E:E,"Pas de correspondance")</f>
        <v>Pas de correspondance</v>
      </c>
      <c r="O309" s="4" t="str">
        <f>IFERROR(Logs[[#This Row],[Anciennete_Mois]]/12,"")</f>
        <v/>
      </c>
      <c r="P309" s="1" t="str">
        <f>_xlfn.XLOOKUP(Logs[[#This Row],[ID_Client]],Clients_Log!B:B,Clients_Log!F:F,"Pas de correspondance")</f>
        <v>Pas de correspondance</v>
      </c>
      <c r="Q309" s="1" t="str">
        <f>IF(Logs[[#This Row],[Type_Forfait]]="Pro Monde","B2B","B2C")</f>
        <v>B2C</v>
      </c>
      <c r="R309" s="1" t="str">
        <f>_xlfn.XLOOKUP(Logs[[#This Row],[ID_Client]],Clients_Log!B:B,Clients_Log!G:G,"Pas de correspondance")</f>
        <v>Pas de correspondance</v>
      </c>
      <c r="S309" s="1" t="e">
        <f>Logs[[#This Row],[Duree_Cumulee_Panne_Min]]/1440</f>
        <v>#VALUE!</v>
      </c>
      <c r="T309" s="1" t="str">
        <f>_xlfn.XLOOKUP(Logs[[#This Row],[ID_Client]],Clients_Log!B:B,Clients_Log!H:H,"Pas de correspondance")</f>
        <v>Pas de correspondance</v>
      </c>
      <c r="U309" s="1" t="str">
        <f>_xlfn.XLOOKUP(Logs[[#This Row],[ID_Client]],Clients_Log!B:B,Clients_Log!I:I,"Pas de correspondance")</f>
        <v>Pas de correspondance</v>
      </c>
      <c r="V30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09" s="1" t="e">
        <f>Logs[[#This Row],[Facture_Mensuelle]]*Logs[[#This Row],[Remise (%)]]</f>
        <v>#VALUE!</v>
      </c>
    </row>
    <row r="310" spans="1:23" hidden="1" x14ac:dyDescent="0.25">
      <c r="A310" s="1" t="s">
        <v>1073</v>
      </c>
      <c r="B310" s="2">
        <v>45211</v>
      </c>
      <c r="C310" s="1" t="str">
        <f>_xlfn.XLOOKUP(Logs[[#This Row],[Province_RDC]],Clients_Log!D:D,Clients_Log!B:B,"Pas de correspondance")</f>
        <v>Pas de correspondance</v>
      </c>
      <c r="D310" t="str">
        <f>_xlfn.XLOOKUP(Logs[[#This Row],[Cell_ID]],'Registre_Maintenance'!B:B,'Registre_Maintenance'!C:C,"Pas de correspondance")</f>
        <v>Pas de correspondance</v>
      </c>
      <c r="E310" s="3">
        <v>0.90833333333333333</v>
      </c>
      <c r="F310" s="1" t="s">
        <v>1074</v>
      </c>
      <c r="G310" s="3">
        <f>Logs[[#This Row],[Duree_Panne_Min]]/1440</f>
        <v>2.2222222222222223E-2</v>
      </c>
      <c r="H310">
        <v>32</v>
      </c>
      <c r="I310" t="str">
        <f>_xlfn.XLOOKUP(Logs[[#This Row],[Cell_ID]],'Registre_Maintenance'!B:B,'Registre_Maintenance'!D:D,"Pas de correspondance")</f>
        <v>Pas de correspondance</v>
      </c>
      <c r="J310" t="str">
        <f>_xlfn.XLOOKUP(Logs[[#This Row],[Cell_ID]],'Registre_Maintenance'!B:B,'Registre_Maintenance'!E:E,"Pas de correspondance")</f>
        <v>Pas de correspondance</v>
      </c>
      <c r="K310" t="str">
        <f>_xlfn.XLOOKUP(Logs[[#This Row],[Cell_ID]],'Registre_Maintenance'!B:B,'Registre_Maintenance'!F:F,"Pas de correspondance")</f>
        <v>Pas de correspondance</v>
      </c>
      <c r="L310" t="str">
        <f>_xlfn.XLOOKUP(Logs[[#This Row],[Cell_ID]],'Registre_Maintenance'!B:B,'Registre_Maintenance'!G:G,"Pas de correspondance")</f>
        <v>Pas de correspondance</v>
      </c>
      <c r="M310" s="1" t="s">
        <v>809</v>
      </c>
      <c r="N310" s="1" t="str">
        <f>_xlfn.XLOOKUP(Logs[[#This Row],[ID_Client]],Clients_Log!B:B,Clients_Log!E:E,"Pas de correspondance")</f>
        <v>Pas de correspondance</v>
      </c>
      <c r="O310" s="4" t="str">
        <f>IFERROR(Logs[[#This Row],[Anciennete_Mois]]/12,"")</f>
        <v/>
      </c>
      <c r="P310" s="1" t="str">
        <f>_xlfn.XLOOKUP(Logs[[#This Row],[ID_Client]],Clients_Log!B:B,Clients_Log!F:F,"Pas de correspondance")</f>
        <v>Pas de correspondance</v>
      </c>
      <c r="Q310" s="1" t="str">
        <f>IF(Logs[[#This Row],[Type_Forfait]]="Pro Monde","B2B","B2C")</f>
        <v>B2C</v>
      </c>
      <c r="R310" s="1" t="str">
        <f>_xlfn.XLOOKUP(Logs[[#This Row],[ID_Client]],Clients_Log!B:B,Clients_Log!G:G,"Pas de correspondance")</f>
        <v>Pas de correspondance</v>
      </c>
      <c r="S310" s="1" t="e">
        <f>Logs[[#This Row],[Duree_Cumulee_Panne_Min]]/1440</f>
        <v>#VALUE!</v>
      </c>
      <c r="T310" s="1" t="str">
        <f>_xlfn.XLOOKUP(Logs[[#This Row],[ID_Client]],Clients_Log!B:B,Clients_Log!H:H,"Pas de correspondance")</f>
        <v>Pas de correspondance</v>
      </c>
      <c r="U310" s="1" t="str">
        <f>_xlfn.XLOOKUP(Logs[[#This Row],[ID_Client]],Clients_Log!B:B,Clients_Log!I:I,"Pas de correspondance")</f>
        <v>Pas de correspondance</v>
      </c>
      <c r="V31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10" s="1" t="e">
        <f>Logs[[#This Row],[Facture_Mensuelle]]*Logs[[#This Row],[Remise (%)]]</f>
        <v>#VALUE!</v>
      </c>
    </row>
    <row r="311" spans="1:23" hidden="1" x14ac:dyDescent="0.25">
      <c r="A311" s="1" t="s">
        <v>1073</v>
      </c>
      <c r="B311" s="2">
        <v>45213</v>
      </c>
      <c r="C311" s="1" t="str">
        <f>_xlfn.XLOOKUP(Logs[[#This Row],[Province_RDC]],Clients_Log!D:D,Clients_Log!B:B,"Pas de correspondance")</f>
        <v>Pas de correspondance</v>
      </c>
      <c r="D311" t="str">
        <f>_xlfn.XLOOKUP(Logs[[#This Row],[Cell_ID]],'Registre_Maintenance'!B:B,'Registre_Maintenance'!C:C,"Pas de correspondance")</f>
        <v>Pas de correspondance</v>
      </c>
      <c r="E311" s="3">
        <v>0.9604166666666667</v>
      </c>
      <c r="F311" s="1" t="s">
        <v>1075</v>
      </c>
      <c r="G311" s="3">
        <f>Logs[[#This Row],[Duree_Panne_Min]]/1440</f>
        <v>7.1527777777777773E-2</v>
      </c>
      <c r="H311">
        <v>103</v>
      </c>
      <c r="I311" t="str">
        <f>_xlfn.XLOOKUP(Logs[[#This Row],[Cell_ID]],'Registre_Maintenance'!B:B,'Registre_Maintenance'!D:D,"Pas de correspondance")</f>
        <v>Pas de correspondance</v>
      </c>
      <c r="J311" t="str">
        <f>_xlfn.XLOOKUP(Logs[[#This Row],[Cell_ID]],'Registre_Maintenance'!B:B,'Registre_Maintenance'!E:E,"Pas de correspondance")</f>
        <v>Pas de correspondance</v>
      </c>
      <c r="K311" t="str">
        <f>_xlfn.XLOOKUP(Logs[[#This Row],[Cell_ID]],'Registre_Maintenance'!B:B,'Registre_Maintenance'!F:F,"Pas de correspondance")</f>
        <v>Pas de correspondance</v>
      </c>
      <c r="L311" t="str">
        <f>_xlfn.XLOOKUP(Logs[[#This Row],[Cell_ID]],'Registre_Maintenance'!B:B,'Registre_Maintenance'!G:G,"Pas de correspondance")</f>
        <v>Pas de correspondance</v>
      </c>
      <c r="M311" s="1" t="s">
        <v>809</v>
      </c>
      <c r="N311" s="1" t="str">
        <f>_xlfn.XLOOKUP(Logs[[#This Row],[ID_Client]],Clients_Log!B:B,Clients_Log!E:E,"Pas de correspondance")</f>
        <v>Pas de correspondance</v>
      </c>
      <c r="O311" s="4" t="str">
        <f>IFERROR(Logs[[#This Row],[Anciennete_Mois]]/12,"")</f>
        <v/>
      </c>
      <c r="P311" s="1" t="str">
        <f>_xlfn.XLOOKUP(Logs[[#This Row],[ID_Client]],Clients_Log!B:B,Clients_Log!F:F,"Pas de correspondance")</f>
        <v>Pas de correspondance</v>
      </c>
      <c r="Q311" s="1" t="str">
        <f>IF(Logs[[#This Row],[Type_Forfait]]="Pro Monde","B2B","B2C")</f>
        <v>B2C</v>
      </c>
      <c r="R311" s="1" t="str">
        <f>_xlfn.XLOOKUP(Logs[[#This Row],[ID_Client]],Clients_Log!B:B,Clients_Log!G:G,"Pas de correspondance")</f>
        <v>Pas de correspondance</v>
      </c>
      <c r="S311" s="1" t="e">
        <f>Logs[[#This Row],[Duree_Cumulee_Panne_Min]]/1440</f>
        <v>#VALUE!</v>
      </c>
      <c r="T311" s="1" t="str">
        <f>_xlfn.XLOOKUP(Logs[[#This Row],[ID_Client]],Clients_Log!B:B,Clients_Log!H:H,"Pas de correspondance")</f>
        <v>Pas de correspondance</v>
      </c>
      <c r="U311" s="1" t="str">
        <f>_xlfn.XLOOKUP(Logs[[#This Row],[ID_Client]],Clients_Log!B:B,Clients_Log!I:I,"Pas de correspondance")</f>
        <v>Pas de correspondance</v>
      </c>
      <c r="V31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11" s="1" t="e">
        <f>Logs[[#This Row],[Facture_Mensuelle]]*Logs[[#This Row],[Remise (%)]]</f>
        <v>#VALUE!</v>
      </c>
    </row>
    <row r="312" spans="1:23" hidden="1" x14ac:dyDescent="0.25">
      <c r="A312" s="1" t="s">
        <v>1073</v>
      </c>
      <c r="B312" s="2">
        <v>45209</v>
      </c>
      <c r="C312" s="1" t="str">
        <f>_xlfn.XLOOKUP(Logs[[#This Row],[Province_RDC]],Clients_Log!D:D,Clients_Log!B:B,"Pas de correspondance")</f>
        <v>Pas de correspondance</v>
      </c>
      <c r="D312" t="str">
        <f>_xlfn.XLOOKUP(Logs[[#This Row],[Cell_ID]],'Registre_Maintenance'!B:B,'Registre_Maintenance'!C:C,"Pas de correspondance")</f>
        <v>Pas de correspondance</v>
      </c>
      <c r="E312" s="3">
        <v>0.46250000000000002</v>
      </c>
      <c r="F312" s="1" t="s">
        <v>1072</v>
      </c>
      <c r="G312" s="3">
        <f>Logs[[#This Row],[Duree_Panne_Min]]/1440</f>
        <v>7.0833333333333331E-2</v>
      </c>
      <c r="H312">
        <v>102</v>
      </c>
      <c r="I312" t="str">
        <f>_xlfn.XLOOKUP(Logs[[#This Row],[Cell_ID]],'Registre_Maintenance'!B:B,'Registre_Maintenance'!D:D,"Pas de correspondance")</f>
        <v>Pas de correspondance</v>
      </c>
      <c r="J312" t="str">
        <f>_xlfn.XLOOKUP(Logs[[#This Row],[Cell_ID]],'Registre_Maintenance'!B:B,'Registre_Maintenance'!E:E,"Pas de correspondance")</f>
        <v>Pas de correspondance</v>
      </c>
      <c r="K312" t="str">
        <f>_xlfn.XLOOKUP(Logs[[#This Row],[Cell_ID]],'Registre_Maintenance'!B:B,'Registre_Maintenance'!F:F,"Pas de correspondance")</f>
        <v>Pas de correspondance</v>
      </c>
      <c r="L312" t="str">
        <f>_xlfn.XLOOKUP(Logs[[#This Row],[Cell_ID]],'Registre_Maintenance'!B:B,'Registre_Maintenance'!G:G,"Pas de correspondance")</f>
        <v>Pas de correspondance</v>
      </c>
      <c r="M312" s="1" t="s">
        <v>811</v>
      </c>
      <c r="N312" s="1" t="str">
        <f>_xlfn.XLOOKUP(Logs[[#This Row],[ID_Client]],Clients_Log!B:B,Clients_Log!E:E,"Pas de correspondance")</f>
        <v>Pas de correspondance</v>
      </c>
      <c r="O312" s="4" t="str">
        <f>IFERROR(Logs[[#This Row],[Anciennete_Mois]]/12,"")</f>
        <v/>
      </c>
      <c r="P312" s="1" t="str">
        <f>_xlfn.XLOOKUP(Logs[[#This Row],[ID_Client]],Clients_Log!B:B,Clients_Log!F:F,"Pas de correspondance")</f>
        <v>Pas de correspondance</v>
      </c>
      <c r="Q312" s="1" t="str">
        <f>IF(Logs[[#This Row],[Type_Forfait]]="Pro Monde","B2B","B2C")</f>
        <v>B2C</v>
      </c>
      <c r="R312" s="1" t="str">
        <f>_xlfn.XLOOKUP(Logs[[#This Row],[ID_Client]],Clients_Log!B:B,Clients_Log!G:G,"Pas de correspondance")</f>
        <v>Pas de correspondance</v>
      </c>
      <c r="S312" s="1" t="e">
        <f>Logs[[#This Row],[Duree_Cumulee_Panne_Min]]/1440</f>
        <v>#VALUE!</v>
      </c>
      <c r="T312" s="1" t="str">
        <f>_xlfn.XLOOKUP(Logs[[#This Row],[ID_Client]],Clients_Log!B:B,Clients_Log!H:H,"Pas de correspondance")</f>
        <v>Pas de correspondance</v>
      </c>
      <c r="U312" s="1" t="str">
        <f>_xlfn.XLOOKUP(Logs[[#This Row],[ID_Client]],Clients_Log!B:B,Clients_Log!I:I,"Pas de correspondance")</f>
        <v>Pas de correspondance</v>
      </c>
      <c r="V31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12" s="1" t="e">
        <f>Logs[[#This Row],[Facture_Mensuelle]]*Logs[[#This Row],[Remise (%)]]</f>
        <v>#VALUE!</v>
      </c>
    </row>
    <row r="313" spans="1:23" x14ac:dyDescent="0.25">
      <c r="A313" s="1" t="s">
        <v>1073</v>
      </c>
      <c r="B313" s="2">
        <v>45218</v>
      </c>
      <c r="C313" s="1" t="str">
        <f>_xlfn.XLOOKUP(Logs[[#This Row],[Province_RDC]],Clients_Log!D:D,Clients_Log!B:B,"Pas de correspondance")</f>
        <v>CLI-01855</v>
      </c>
      <c r="D313" t="str">
        <f>_xlfn.XLOOKUP(Logs[[#This Row],[Cell_ID]],'Registre_Maintenance'!B:B,'Registre_Maintenance'!C:C,"Pas de correspondance")</f>
        <v>Sud-Kivu</v>
      </c>
      <c r="E313" s="3">
        <v>0.67569444444444449</v>
      </c>
      <c r="F313" s="1" t="s">
        <v>962</v>
      </c>
      <c r="G313" s="3">
        <f>Logs[[#This Row],[Duree_Panne_Min]]/1440</f>
        <v>2.5694444444444443E-2</v>
      </c>
      <c r="H313">
        <v>37</v>
      </c>
      <c r="I313">
        <f>_xlfn.XLOOKUP(Logs[[#This Row],[Cell_ID]],'Registre_Maintenance'!B:B,'Registre_Maintenance'!D:D,"Pas de correspondance")</f>
        <v>-2.9651529999999999</v>
      </c>
      <c r="J313">
        <f>_xlfn.XLOOKUP(Logs[[#This Row],[Cell_ID]],'Registre_Maintenance'!B:B,'Registre_Maintenance'!E:E,"Pas de correspondance")</f>
        <v>29.79908</v>
      </c>
      <c r="K313" t="str">
        <f>_xlfn.XLOOKUP(Logs[[#This Row],[Cell_ID]],'Registre_Maintenance'!B:B,'Registre_Maintenance'!F:F,"Pas de correspondance")</f>
        <v>4G</v>
      </c>
      <c r="L313" t="str">
        <f>_xlfn.XLOOKUP(Logs[[#This Row],[Cell_ID]],'Registre_Maintenance'!B:B,'Registre_Maintenance'!G:G,"Pas de correspondance")</f>
        <v>Ericsson</v>
      </c>
      <c r="M313" s="1" t="s">
        <v>811</v>
      </c>
      <c r="N313" s="1">
        <f>_xlfn.XLOOKUP(Logs[[#This Row],[ID_Client]],Clients_Log!B:B,Clients_Log!E:E,"Pas de correspondance")</f>
        <v>101</v>
      </c>
      <c r="O313" s="4">
        <f>IFERROR(Logs[[#This Row],[Anciennete_Mois]]/12,"")</f>
        <v>8.4166666666666661</v>
      </c>
      <c r="P313" s="1" t="str">
        <f>_xlfn.XLOOKUP(Logs[[#This Row],[ID_Client]],Clients_Log!B:B,Clients_Log!F:F,"Pas de correspondance")</f>
        <v>Illimité 50Go</v>
      </c>
      <c r="Q313" s="1" t="str">
        <f>IF(Logs[[#This Row],[Type_Forfait]]="Pro Monde","B2B","B2C")</f>
        <v>B2C</v>
      </c>
      <c r="R313" s="1">
        <f>_xlfn.XLOOKUP(Logs[[#This Row],[ID_Client]],Clients_Log!B:B,Clients_Log!G:G,"Pas de correspondance")</f>
        <v>358</v>
      </c>
      <c r="S313" s="3">
        <f>Logs[[#This Row],[Duree_Cumulee_Panne_Min]]/1440</f>
        <v>0.24861111111111112</v>
      </c>
      <c r="T313" s="1">
        <f>_xlfn.XLOOKUP(Logs[[#This Row],[ID_Client]],Clients_Log!B:B,Clients_Log!H:H,"Pas de correspondance")</f>
        <v>29.24</v>
      </c>
      <c r="U313" s="1">
        <f>_xlfn.XLOOKUP(Logs[[#This Row],[ID_Client]],Clients_Log!B:B,Clients_Log!I:I,"Pas de correspondance")</f>
        <v>3</v>
      </c>
      <c r="V31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13" s="1">
        <f>Logs[[#This Row],[Facture_Mensuelle]]*Logs[[#This Row],[Remise (%)]]</f>
        <v>13.157999999999999</v>
      </c>
    </row>
    <row r="314" spans="1:23" hidden="1" x14ac:dyDescent="0.25">
      <c r="A314" s="1" t="s">
        <v>1073</v>
      </c>
      <c r="B314" s="2">
        <v>45204</v>
      </c>
      <c r="C314" s="1" t="str">
        <f>_xlfn.XLOOKUP(Logs[[#This Row],[Province_RDC]],Clients_Log!D:D,Clients_Log!B:B,"Pas de correspondance")</f>
        <v>Pas de correspondance</v>
      </c>
      <c r="D314" t="str">
        <f>_xlfn.XLOOKUP(Logs[[#This Row],[Cell_ID]],'Registre_Maintenance'!B:B,'Registre_Maintenance'!C:C,"Pas de correspondance")</f>
        <v>Pas de correspondance</v>
      </c>
      <c r="E314" s="3">
        <v>0.89583333333333337</v>
      </c>
      <c r="F314" s="1" t="s">
        <v>1076</v>
      </c>
      <c r="G314" s="3">
        <f>Logs[[#This Row],[Duree_Panne_Min]]/1440</f>
        <v>2.9166666666666667E-2</v>
      </c>
      <c r="H314">
        <v>42</v>
      </c>
      <c r="I314" t="str">
        <f>_xlfn.XLOOKUP(Logs[[#This Row],[Cell_ID]],'Registre_Maintenance'!B:B,'Registre_Maintenance'!D:D,"Pas de correspondance")</f>
        <v>Pas de correspondance</v>
      </c>
      <c r="J314" t="str">
        <f>_xlfn.XLOOKUP(Logs[[#This Row],[Cell_ID]],'Registre_Maintenance'!B:B,'Registre_Maintenance'!E:E,"Pas de correspondance")</f>
        <v>Pas de correspondance</v>
      </c>
      <c r="K314" t="str">
        <f>_xlfn.XLOOKUP(Logs[[#This Row],[Cell_ID]],'Registre_Maintenance'!B:B,'Registre_Maintenance'!F:F,"Pas de correspondance")</f>
        <v>Pas de correspondance</v>
      </c>
      <c r="L314" t="str">
        <f>_xlfn.XLOOKUP(Logs[[#This Row],[Cell_ID]],'Registre_Maintenance'!B:B,'Registre_Maintenance'!G:G,"Pas de correspondance")</f>
        <v>Pas de correspondance</v>
      </c>
      <c r="M314" s="1" t="s">
        <v>809</v>
      </c>
      <c r="N314" s="1" t="str">
        <f>_xlfn.XLOOKUP(Logs[[#This Row],[ID_Client]],Clients_Log!B:B,Clients_Log!E:E,"Pas de correspondance")</f>
        <v>Pas de correspondance</v>
      </c>
      <c r="O314" s="4" t="str">
        <f>IFERROR(Logs[[#This Row],[Anciennete_Mois]]/12,"")</f>
        <v/>
      </c>
      <c r="P314" s="1" t="str">
        <f>_xlfn.XLOOKUP(Logs[[#This Row],[ID_Client]],Clients_Log!B:B,Clients_Log!F:F,"Pas de correspondance")</f>
        <v>Pas de correspondance</v>
      </c>
      <c r="Q314" s="1" t="str">
        <f>IF(Logs[[#This Row],[Type_Forfait]]="Pro Monde","B2B","B2C")</f>
        <v>B2C</v>
      </c>
      <c r="R314" s="1" t="str">
        <f>_xlfn.XLOOKUP(Logs[[#This Row],[ID_Client]],Clients_Log!B:B,Clients_Log!G:G,"Pas de correspondance")</f>
        <v>Pas de correspondance</v>
      </c>
      <c r="S314" s="1" t="e">
        <f>Logs[[#This Row],[Duree_Cumulee_Panne_Min]]/1440</f>
        <v>#VALUE!</v>
      </c>
      <c r="T314" s="1" t="str">
        <f>_xlfn.XLOOKUP(Logs[[#This Row],[ID_Client]],Clients_Log!B:B,Clients_Log!H:H,"Pas de correspondance")</f>
        <v>Pas de correspondance</v>
      </c>
      <c r="U314" s="1" t="str">
        <f>_xlfn.XLOOKUP(Logs[[#This Row],[ID_Client]],Clients_Log!B:B,Clients_Log!I:I,"Pas de correspondance")</f>
        <v>Pas de correspondance</v>
      </c>
      <c r="V31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14" s="1" t="e">
        <f>Logs[[#This Row],[Facture_Mensuelle]]*Logs[[#This Row],[Remise (%)]]</f>
        <v>#VALUE!</v>
      </c>
    </row>
    <row r="315" spans="1:23" x14ac:dyDescent="0.25">
      <c r="A315" s="1" t="s">
        <v>1073</v>
      </c>
      <c r="B315" s="2">
        <v>45207</v>
      </c>
      <c r="C315" s="1" t="str">
        <f>_xlfn.XLOOKUP(Logs[[#This Row],[Province_RDC]],Clients_Log!D:D,Clients_Log!B:B,"Pas de correspondance")</f>
        <v>CLI-01233</v>
      </c>
      <c r="D315" t="str">
        <f>_xlfn.XLOOKUP(Logs[[#This Row],[Cell_ID]],'Registre_Maintenance'!B:B,'Registre_Maintenance'!C:C,"Pas de correspondance")</f>
        <v>Kongo-Central</v>
      </c>
      <c r="E315" s="3">
        <v>0.14027777777777778</v>
      </c>
      <c r="F315" s="1" t="s">
        <v>1077</v>
      </c>
      <c r="G315" s="3">
        <f>Logs[[#This Row],[Duree_Panne_Min]]/1440</f>
        <v>3.1944444444444442E-2</v>
      </c>
      <c r="H315">
        <v>46</v>
      </c>
      <c r="I315">
        <f>_xlfn.XLOOKUP(Logs[[#This Row],[Cell_ID]],'Registre_Maintenance'!B:B,'Registre_Maintenance'!D:D,"Pas de correspondance")</f>
        <v>-12.112399999999999</v>
      </c>
      <c r="J315">
        <f>_xlfn.XLOOKUP(Logs[[#This Row],[Cell_ID]],'Registre_Maintenance'!B:B,'Registre_Maintenance'!E:E,"Pas de correspondance")</f>
        <v>15.872226</v>
      </c>
      <c r="K315" t="str">
        <f>_xlfn.XLOOKUP(Logs[[#This Row],[Cell_ID]],'Registre_Maintenance'!B:B,'Registre_Maintenance'!F:F,"Pas de correspondance")</f>
        <v>4G</v>
      </c>
      <c r="L315" t="str">
        <f>_xlfn.XLOOKUP(Logs[[#This Row],[Cell_ID]],'Registre_Maintenance'!B:B,'Registre_Maintenance'!G:G,"Pas de correspondance")</f>
        <v>Nokia</v>
      </c>
      <c r="M315" s="1" t="s">
        <v>809</v>
      </c>
      <c r="N315" s="1">
        <f>_xlfn.XLOOKUP(Logs[[#This Row],[ID_Client]],Clients_Log!B:B,Clients_Log!E:E,"Pas de correspondance")</f>
        <v>101</v>
      </c>
      <c r="O315" s="4">
        <f>IFERROR(Logs[[#This Row],[Anciennete_Mois]]/12,"")</f>
        <v>8.4166666666666661</v>
      </c>
      <c r="P315" s="1" t="str">
        <f>_xlfn.XLOOKUP(Logs[[#This Row],[ID_Client]],Clients_Log!B:B,Clients_Log!F:F,"Pas de correspondance")</f>
        <v>Pro Monde</v>
      </c>
      <c r="Q315" s="1" t="str">
        <f>IF(Logs[[#This Row],[Type_Forfait]]="Pro Monde","B2B","B2C")</f>
        <v>B2B</v>
      </c>
      <c r="R315" s="1">
        <f>_xlfn.XLOOKUP(Logs[[#This Row],[ID_Client]],Clients_Log!B:B,Clients_Log!G:G,"Pas de correspondance")</f>
        <v>333</v>
      </c>
      <c r="S315" s="3">
        <f>Logs[[#This Row],[Duree_Cumulee_Panne_Min]]/1440</f>
        <v>0.23125000000000001</v>
      </c>
      <c r="T315" s="1">
        <f>_xlfn.XLOOKUP(Logs[[#This Row],[ID_Client]],Clients_Log!B:B,Clients_Log!H:H,"Pas de correspondance")</f>
        <v>74.319999999999993</v>
      </c>
      <c r="U315" s="1">
        <f>_xlfn.XLOOKUP(Logs[[#This Row],[ID_Client]],Clients_Log!B:B,Clients_Log!I:I,"Pas de correspondance")</f>
        <v>1</v>
      </c>
      <c r="V31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15" s="1">
        <f>Logs[[#This Row],[Facture_Mensuelle]]*Logs[[#This Row],[Remise (%)]]</f>
        <v>33.443999999999996</v>
      </c>
    </row>
    <row r="316" spans="1:23" hidden="1" x14ac:dyDescent="0.25">
      <c r="A316" s="1" t="s">
        <v>1073</v>
      </c>
      <c r="B316" s="2">
        <v>45227</v>
      </c>
      <c r="C316" s="1" t="str">
        <f>_xlfn.XLOOKUP(Logs[[#This Row],[Province_RDC]],Clients_Log!D:D,Clients_Log!B:B,"Pas de correspondance")</f>
        <v>Pas de correspondance</v>
      </c>
      <c r="D316" t="str">
        <f>_xlfn.XLOOKUP(Logs[[#This Row],[Cell_ID]],'Registre_Maintenance'!B:B,'Registre_Maintenance'!C:C,"Pas de correspondance")</f>
        <v>Pas de correspondance</v>
      </c>
      <c r="E316" s="3">
        <v>0.72430555555555554</v>
      </c>
      <c r="F316" s="1" t="s">
        <v>1066</v>
      </c>
      <c r="G316" s="3">
        <f>Logs[[#This Row],[Duree_Panne_Min]]/1440</f>
        <v>1.3888888888888888E-2</v>
      </c>
      <c r="H316">
        <v>20</v>
      </c>
      <c r="I316" t="str">
        <f>_xlfn.XLOOKUP(Logs[[#This Row],[Cell_ID]],'Registre_Maintenance'!B:B,'Registre_Maintenance'!D:D,"Pas de correspondance")</f>
        <v>Pas de correspondance</v>
      </c>
      <c r="J316" t="str">
        <f>_xlfn.XLOOKUP(Logs[[#This Row],[Cell_ID]],'Registre_Maintenance'!B:B,'Registre_Maintenance'!E:E,"Pas de correspondance")</f>
        <v>Pas de correspondance</v>
      </c>
      <c r="K316" t="str">
        <f>_xlfn.XLOOKUP(Logs[[#This Row],[Cell_ID]],'Registre_Maintenance'!B:B,'Registre_Maintenance'!F:F,"Pas de correspondance")</f>
        <v>Pas de correspondance</v>
      </c>
      <c r="L316" t="str">
        <f>_xlfn.XLOOKUP(Logs[[#This Row],[Cell_ID]],'Registre_Maintenance'!B:B,'Registre_Maintenance'!G:G,"Pas de correspondance")</f>
        <v>Pas de correspondance</v>
      </c>
      <c r="M316" s="1" t="s">
        <v>806</v>
      </c>
      <c r="N316" s="1" t="str">
        <f>_xlfn.XLOOKUP(Logs[[#This Row],[ID_Client]],Clients_Log!B:B,Clients_Log!E:E,"Pas de correspondance")</f>
        <v>Pas de correspondance</v>
      </c>
      <c r="O316" s="4" t="str">
        <f>IFERROR(Logs[[#This Row],[Anciennete_Mois]]/12,"")</f>
        <v/>
      </c>
      <c r="P316" s="1" t="str">
        <f>_xlfn.XLOOKUP(Logs[[#This Row],[ID_Client]],Clients_Log!B:B,Clients_Log!F:F,"Pas de correspondance")</f>
        <v>Pas de correspondance</v>
      </c>
      <c r="Q316" s="1" t="str">
        <f>IF(Logs[[#This Row],[Type_Forfait]]="Pro Monde","B2B","B2C")</f>
        <v>B2C</v>
      </c>
      <c r="R316" s="1" t="str">
        <f>_xlfn.XLOOKUP(Logs[[#This Row],[ID_Client]],Clients_Log!B:B,Clients_Log!G:G,"Pas de correspondance")</f>
        <v>Pas de correspondance</v>
      </c>
      <c r="S316" s="1" t="e">
        <f>Logs[[#This Row],[Duree_Cumulee_Panne_Min]]/1440</f>
        <v>#VALUE!</v>
      </c>
      <c r="T316" s="1" t="str">
        <f>_xlfn.XLOOKUP(Logs[[#This Row],[ID_Client]],Clients_Log!B:B,Clients_Log!H:H,"Pas de correspondance")</f>
        <v>Pas de correspondance</v>
      </c>
      <c r="U316" s="1" t="str">
        <f>_xlfn.XLOOKUP(Logs[[#This Row],[ID_Client]],Clients_Log!B:B,Clients_Log!I:I,"Pas de correspondance")</f>
        <v>Pas de correspondance</v>
      </c>
      <c r="V31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16" s="1" t="e">
        <f>Logs[[#This Row],[Facture_Mensuelle]]*Logs[[#This Row],[Remise (%)]]</f>
        <v>#VALUE!</v>
      </c>
    </row>
    <row r="317" spans="1:23" hidden="1" x14ac:dyDescent="0.25">
      <c r="A317" s="1" t="s">
        <v>1073</v>
      </c>
      <c r="B317" s="2">
        <v>45203</v>
      </c>
      <c r="C317" s="1" t="str">
        <f>_xlfn.XLOOKUP(Logs[[#This Row],[Province_RDC]],Clients_Log!D:D,Clients_Log!B:B,"Pas de correspondance")</f>
        <v>Pas de correspondance</v>
      </c>
      <c r="D317" t="str">
        <f>_xlfn.XLOOKUP(Logs[[#This Row],[Cell_ID]],'Registre_Maintenance'!B:B,'Registre_Maintenance'!C:C,"Pas de correspondance")</f>
        <v>Pas de correspondance</v>
      </c>
      <c r="E317" s="3">
        <v>0.35833333333333334</v>
      </c>
      <c r="F317" s="1" t="s">
        <v>1078</v>
      </c>
      <c r="G317" s="3">
        <f>Logs[[#This Row],[Duree_Panne_Min]]/1440</f>
        <v>3.472222222222222E-3</v>
      </c>
      <c r="H317">
        <v>5</v>
      </c>
      <c r="I317" t="str">
        <f>_xlfn.XLOOKUP(Logs[[#This Row],[Cell_ID]],'Registre_Maintenance'!B:B,'Registre_Maintenance'!D:D,"Pas de correspondance")</f>
        <v>Pas de correspondance</v>
      </c>
      <c r="J317" t="str">
        <f>_xlfn.XLOOKUP(Logs[[#This Row],[Cell_ID]],'Registre_Maintenance'!B:B,'Registre_Maintenance'!E:E,"Pas de correspondance")</f>
        <v>Pas de correspondance</v>
      </c>
      <c r="K317" t="str">
        <f>_xlfn.XLOOKUP(Logs[[#This Row],[Cell_ID]],'Registre_Maintenance'!B:B,'Registre_Maintenance'!F:F,"Pas de correspondance")</f>
        <v>Pas de correspondance</v>
      </c>
      <c r="L317" t="str">
        <f>_xlfn.XLOOKUP(Logs[[#This Row],[Cell_ID]],'Registre_Maintenance'!B:B,'Registre_Maintenance'!G:G,"Pas de correspondance")</f>
        <v>Pas de correspondance</v>
      </c>
      <c r="M317" s="1" t="s">
        <v>806</v>
      </c>
      <c r="N317" s="1" t="str">
        <f>_xlfn.XLOOKUP(Logs[[#This Row],[ID_Client]],Clients_Log!B:B,Clients_Log!E:E,"Pas de correspondance")</f>
        <v>Pas de correspondance</v>
      </c>
      <c r="O317" s="4" t="str">
        <f>IFERROR(Logs[[#This Row],[Anciennete_Mois]]/12,"")</f>
        <v/>
      </c>
      <c r="P317" s="1" t="str">
        <f>_xlfn.XLOOKUP(Logs[[#This Row],[ID_Client]],Clients_Log!B:B,Clients_Log!F:F,"Pas de correspondance")</f>
        <v>Pas de correspondance</v>
      </c>
      <c r="Q317" s="1" t="str">
        <f>IF(Logs[[#This Row],[Type_Forfait]]="Pro Monde","B2B","B2C")</f>
        <v>B2C</v>
      </c>
      <c r="R317" s="1" t="str">
        <f>_xlfn.XLOOKUP(Logs[[#This Row],[ID_Client]],Clients_Log!B:B,Clients_Log!G:G,"Pas de correspondance")</f>
        <v>Pas de correspondance</v>
      </c>
      <c r="S317" s="1" t="e">
        <f>Logs[[#This Row],[Duree_Cumulee_Panne_Min]]/1440</f>
        <v>#VALUE!</v>
      </c>
      <c r="T317" s="1" t="str">
        <f>_xlfn.XLOOKUP(Logs[[#This Row],[ID_Client]],Clients_Log!B:B,Clients_Log!H:H,"Pas de correspondance")</f>
        <v>Pas de correspondance</v>
      </c>
      <c r="U317" s="1" t="str">
        <f>_xlfn.XLOOKUP(Logs[[#This Row],[ID_Client]],Clients_Log!B:B,Clients_Log!I:I,"Pas de correspondance")</f>
        <v>Pas de correspondance</v>
      </c>
      <c r="V31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17" s="1" t="e">
        <f>Logs[[#This Row],[Facture_Mensuelle]]*Logs[[#This Row],[Remise (%)]]</f>
        <v>#VALUE!</v>
      </c>
    </row>
    <row r="318" spans="1:23" x14ac:dyDescent="0.25">
      <c r="A318" s="1" t="s">
        <v>1073</v>
      </c>
      <c r="B318" s="2">
        <v>45207</v>
      </c>
      <c r="C318" s="1" t="str">
        <f>_xlfn.XLOOKUP(Logs[[#This Row],[Province_RDC]],Clients_Log!D:D,Clients_Log!B:B,"Pas de correspondance")</f>
        <v>CLI-01147</v>
      </c>
      <c r="D318" t="str">
        <f>_xlfn.XLOOKUP(Logs[[#This Row],[Cell_ID]],'Registre_Maintenance'!B:B,'Registre_Maintenance'!C:C,"Pas de correspondance")</f>
        <v>Ituri</v>
      </c>
      <c r="E318" s="3">
        <v>0.57916666666666672</v>
      </c>
      <c r="F318" s="1" t="s">
        <v>1079</v>
      </c>
      <c r="G318" s="3">
        <f>Logs[[#This Row],[Duree_Panne_Min]]/1440</f>
        <v>4.7222222222222221E-2</v>
      </c>
      <c r="H318">
        <v>68</v>
      </c>
      <c r="I318">
        <f>_xlfn.XLOOKUP(Logs[[#This Row],[Cell_ID]],'Registre_Maintenance'!B:B,'Registre_Maintenance'!D:D,"Pas de correspondance")</f>
        <v>-3.7720639999999999</v>
      </c>
      <c r="J318">
        <f>_xlfn.XLOOKUP(Logs[[#This Row],[Cell_ID]],'Registre_Maintenance'!B:B,'Registre_Maintenance'!E:E,"Pas de correspondance")</f>
        <v>16.006277999999998</v>
      </c>
      <c r="K318" t="str">
        <f>_xlfn.XLOOKUP(Logs[[#This Row],[Cell_ID]],'Registre_Maintenance'!B:B,'Registre_Maintenance'!F:F,"Pas de correspondance")</f>
        <v>5G</v>
      </c>
      <c r="L318" t="str">
        <f>_xlfn.XLOOKUP(Logs[[#This Row],[Cell_ID]],'Registre_Maintenance'!B:B,'Registre_Maintenance'!G:G,"Pas de correspondance")</f>
        <v>ZTE</v>
      </c>
      <c r="M318" s="1" t="s">
        <v>806</v>
      </c>
      <c r="N318" s="1">
        <f>_xlfn.XLOOKUP(Logs[[#This Row],[ID_Client]],Clients_Log!B:B,Clients_Log!E:E,"Pas de correspondance")</f>
        <v>29</v>
      </c>
      <c r="O318" s="4">
        <f>IFERROR(Logs[[#This Row],[Anciennete_Mois]]/12,"")</f>
        <v>2.4166666666666665</v>
      </c>
      <c r="P318" s="1" t="str">
        <f>_xlfn.XLOOKUP(Logs[[#This Row],[ID_Client]],Clients_Log!B:B,Clients_Log!F:F,"Pas de correspondance")</f>
        <v>Premium 5G 150Go</v>
      </c>
      <c r="Q318" s="1" t="str">
        <f>IF(Logs[[#This Row],[Type_Forfait]]="Pro Monde","B2B","B2C")</f>
        <v>B2C</v>
      </c>
      <c r="R318" s="1">
        <f>_xlfn.XLOOKUP(Logs[[#This Row],[ID_Client]],Clients_Log!B:B,Clients_Log!G:G,"Pas de correspondance")</f>
        <v>214</v>
      </c>
      <c r="S318" s="3">
        <f>Logs[[#This Row],[Duree_Cumulee_Panne_Min]]/1440</f>
        <v>0.14861111111111111</v>
      </c>
      <c r="T318" s="1">
        <f>_xlfn.XLOOKUP(Logs[[#This Row],[ID_Client]],Clients_Log!B:B,Clients_Log!H:H,"Pas de correspondance")</f>
        <v>74.7</v>
      </c>
      <c r="U318" s="1">
        <f>_xlfn.XLOOKUP(Logs[[#This Row],[ID_Client]],Clients_Log!B:B,Clients_Log!I:I,"Pas de correspondance")</f>
        <v>3</v>
      </c>
      <c r="V31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18" s="1">
        <f>Logs[[#This Row],[Facture_Mensuelle]]*Logs[[#This Row],[Remise (%)]]</f>
        <v>33.615000000000002</v>
      </c>
    </row>
    <row r="319" spans="1:23" hidden="1" x14ac:dyDescent="0.25">
      <c r="A319" s="1" t="s">
        <v>1073</v>
      </c>
      <c r="B319" s="2">
        <v>45217</v>
      </c>
      <c r="C319" s="1" t="str">
        <f>_xlfn.XLOOKUP(Logs[[#This Row],[Province_RDC]],Clients_Log!D:D,Clients_Log!B:B,"Pas de correspondance")</f>
        <v>Pas de correspondance</v>
      </c>
      <c r="D319" t="str">
        <f>_xlfn.XLOOKUP(Logs[[#This Row],[Cell_ID]],'Registre_Maintenance'!B:B,'Registre_Maintenance'!C:C,"Pas de correspondance")</f>
        <v>Pas de correspondance</v>
      </c>
      <c r="E319" s="3">
        <v>0.81874999999999998</v>
      </c>
      <c r="F319" s="1" t="s">
        <v>944</v>
      </c>
      <c r="G319" s="3">
        <f>Logs[[#This Row],[Duree_Panne_Min]]/1440</f>
        <v>6.9444444444444448E-2</v>
      </c>
      <c r="H319">
        <v>100</v>
      </c>
      <c r="I319" t="str">
        <f>_xlfn.XLOOKUP(Logs[[#This Row],[Cell_ID]],'Registre_Maintenance'!B:B,'Registre_Maintenance'!D:D,"Pas de correspondance")</f>
        <v>Pas de correspondance</v>
      </c>
      <c r="J319" t="str">
        <f>_xlfn.XLOOKUP(Logs[[#This Row],[Cell_ID]],'Registre_Maintenance'!B:B,'Registre_Maintenance'!E:E,"Pas de correspondance")</f>
        <v>Pas de correspondance</v>
      </c>
      <c r="K319" t="str">
        <f>_xlfn.XLOOKUP(Logs[[#This Row],[Cell_ID]],'Registre_Maintenance'!B:B,'Registre_Maintenance'!F:F,"Pas de correspondance")</f>
        <v>Pas de correspondance</v>
      </c>
      <c r="L319" t="str">
        <f>_xlfn.XLOOKUP(Logs[[#This Row],[Cell_ID]],'Registre_Maintenance'!B:B,'Registre_Maintenance'!G:G,"Pas de correspondance")</f>
        <v>Pas de correspondance</v>
      </c>
      <c r="M319" s="1" t="s">
        <v>806</v>
      </c>
      <c r="N319" s="1" t="str">
        <f>_xlfn.XLOOKUP(Logs[[#This Row],[ID_Client]],Clients_Log!B:B,Clients_Log!E:E,"Pas de correspondance")</f>
        <v>Pas de correspondance</v>
      </c>
      <c r="O319" s="4" t="str">
        <f>IFERROR(Logs[[#This Row],[Anciennete_Mois]]/12,"")</f>
        <v/>
      </c>
      <c r="P319" s="1" t="str">
        <f>_xlfn.XLOOKUP(Logs[[#This Row],[ID_Client]],Clients_Log!B:B,Clients_Log!F:F,"Pas de correspondance")</f>
        <v>Pas de correspondance</v>
      </c>
      <c r="Q319" s="1" t="str">
        <f>IF(Logs[[#This Row],[Type_Forfait]]="Pro Monde","B2B","B2C")</f>
        <v>B2C</v>
      </c>
      <c r="R319" s="1" t="str">
        <f>_xlfn.XLOOKUP(Logs[[#This Row],[ID_Client]],Clients_Log!B:B,Clients_Log!G:G,"Pas de correspondance")</f>
        <v>Pas de correspondance</v>
      </c>
      <c r="S319" s="1" t="e">
        <f>Logs[[#This Row],[Duree_Cumulee_Panne_Min]]/1440</f>
        <v>#VALUE!</v>
      </c>
      <c r="T319" s="1" t="str">
        <f>_xlfn.XLOOKUP(Logs[[#This Row],[ID_Client]],Clients_Log!B:B,Clients_Log!H:H,"Pas de correspondance")</f>
        <v>Pas de correspondance</v>
      </c>
      <c r="U319" s="1" t="str">
        <f>_xlfn.XLOOKUP(Logs[[#This Row],[ID_Client]],Clients_Log!B:B,Clients_Log!I:I,"Pas de correspondance")</f>
        <v>Pas de correspondance</v>
      </c>
      <c r="V31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19" s="1" t="e">
        <f>Logs[[#This Row],[Facture_Mensuelle]]*Logs[[#This Row],[Remise (%)]]</f>
        <v>#VALUE!</v>
      </c>
    </row>
    <row r="320" spans="1:23" hidden="1" x14ac:dyDescent="0.25">
      <c r="A320" s="1" t="s">
        <v>1073</v>
      </c>
      <c r="B320" s="2">
        <v>45221</v>
      </c>
      <c r="C320" s="1" t="str">
        <f>_xlfn.XLOOKUP(Logs[[#This Row],[Province_RDC]],Clients_Log!D:D,Clients_Log!B:B,"Pas de correspondance")</f>
        <v>Pas de correspondance</v>
      </c>
      <c r="D320" t="str">
        <f>_xlfn.XLOOKUP(Logs[[#This Row],[Cell_ID]],'Registre_Maintenance'!B:B,'Registre_Maintenance'!C:C,"Pas de correspondance")</f>
        <v>Pas de correspondance</v>
      </c>
      <c r="E320" s="3">
        <v>0.85763888888888884</v>
      </c>
      <c r="F320" s="1" t="s">
        <v>1080</v>
      </c>
      <c r="G320" s="3">
        <f>Logs[[#This Row],[Duree_Panne_Min]]/1440</f>
        <v>4.1666666666666664E-2</v>
      </c>
      <c r="H320">
        <v>60</v>
      </c>
      <c r="I320" t="str">
        <f>_xlfn.XLOOKUP(Logs[[#This Row],[Cell_ID]],'Registre_Maintenance'!B:B,'Registre_Maintenance'!D:D,"Pas de correspondance")</f>
        <v>Pas de correspondance</v>
      </c>
      <c r="J320" t="str">
        <f>_xlfn.XLOOKUP(Logs[[#This Row],[Cell_ID]],'Registre_Maintenance'!B:B,'Registre_Maintenance'!E:E,"Pas de correspondance")</f>
        <v>Pas de correspondance</v>
      </c>
      <c r="K320" t="str">
        <f>_xlfn.XLOOKUP(Logs[[#This Row],[Cell_ID]],'Registre_Maintenance'!B:B,'Registre_Maintenance'!F:F,"Pas de correspondance")</f>
        <v>Pas de correspondance</v>
      </c>
      <c r="L320" t="str">
        <f>_xlfn.XLOOKUP(Logs[[#This Row],[Cell_ID]],'Registre_Maintenance'!B:B,'Registre_Maintenance'!G:G,"Pas de correspondance")</f>
        <v>Pas de correspondance</v>
      </c>
      <c r="M320" s="1" t="s">
        <v>811</v>
      </c>
      <c r="N320" s="1" t="str">
        <f>_xlfn.XLOOKUP(Logs[[#This Row],[ID_Client]],Clients_Log!B:B,Clients_Log!E:E,"Pas de correspondance")</f>
        <v>Pas de correspondance</v>
      </c>
      <c r="O320" s="4" t="str">
        <f>IFERROR(Logs[[#This Row],[Anciennete_Mois]]/12,"")</f>
        <v/>
      </c>
      <c r="P320" s="1" t="str">
        <f>_xlfn.XLOOKUP(Logs[[#This Row],[ID_Client]],Clients_Log!B:B,Clients_Log!F:F,"Pas de correspondance")</f>
        <v>Pas de correspondance</v>
      </c>
      <c r="Q320" s="1" t="str">
        <f>IF(Logs[[#This Row],[Type_Forfait]]="Pro Monde","B2B","B2C")</f>
        <v>B2C</v>
      </c>
      <c r="R320" s="1" t="str">
        <f>_xlfn.XLOOKUP(Logs[[#This Row],[ID_Client]],Clients_Log!B:B,Clients_Log!G:G,"Pas de correspondance")</f>
        <v>Pas de correspondance</v>
      </c>
      <c r="S320" s="1" t="e">
        <f>Logs[[#This Row],[Duree_Cumulee_Panne_Min]]/1440</f>
        <v>#VALUE!</v>
      </c>
      <c r="T320" s="1" t="str">
        <f>_xlfn.XLOOKUP(Logs[[#This Row],[ID_Client]],Clients_Log!B:B,Clients_Log!H:H,"Pas de correspondance")</f>
        <v>Pas de correspondance</v>
      </c>
      <c r="U320" s="1" t="str">
        <f>_xlfn.XLOOKUP(Logs[[#This Row],[ID_Client]],Clients_Log!B:B,Clients_Log!I:I,"Pas de correspondance")</f>
        <v>Pas de correspondance</v>
      </c>
      <c r="V32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20" s="1" t="e">
        <f>Logs[[#This Row],[Facture_Mensuelle]]*Logs[[#This Row],[Remise (%)]]</f>
        <v>#VALUE!</v>
      </c>
    </row>
    <row r="321" spans="1:23" hidden="1" x14ac:dyDescent="0.25">
      <c r="A321" s="1" t="s">
        <v>1073</v>
      </c>
      <c r="B321" s="2">
        <v>45200</v>
      </c>
      <c r="C321" s="1" t="str">
        <f>_xlfn.XLOOKUP(Logs[[#This Row],[Province_RDC]],Clients_Log!D:D,Clients_Log!B:B,"Pas de correspondance")</f>
        <v>Pas de correspondance</v>
      </c>
      <c r="D321" t="str">
        <f>_xlfn.XLOOKUP(Logs[[#This Row],[Cell_ID]],'Registre_Maintenance'!B:B,'Registre_Maintenance'!C:C,"Pas de correspondance")</f>
        <v>Pas de correspondance</v>
      </c>
      <c r="E321" s="3">
        <v>0.83263888888888893</v>
      </c>
      <c r="F321" s="1" t="s">
        <v>1081</v>
      </c>
      <c r="G321" s="3">
        <f>Logs[[#This Row],[Duree_Panne_Min]]/1440</f>
        <v>1.8749999999999999E-2</v>
      </c>
      <c r="H321">
        <v>27</v>
      </c>
      <c r="I321" t="str">
        <f>_xlfn.XLOOKUP(Logs[[#This Row],[Cell_ID]],'Registre_Maintenance'!B:B,'Registre_Maintenance'!D:D,"Pas de correspondance")</f>
        <v>Pas de correspondance</v>
      </c>
      <c r="J321" t="str">
        <f>_xlfn.XLOOKUP(Logs[[#This Row],[Cell_ID]],'Registre_Maintenance'!B:B,'Registre_Maintenance'!E:E,"Pas de correspondance")</f>
        <v>Pas de correspondance</v>
      </c>
      <c r="K321" t="str">
        <f>_xlfn.XLOOKUP(Logs[[#This Row],[Cell_ID]],'Registre_Maintenance'!B:B,'Registre_Maintenance'!F:F,"Pas de correspondance")</f>
        <v>Pas de correspondance</v>
      </c>
      <c r="L321" t="str">
        <f>_xlfn.XLOOKUP(Logs[[#This Row],[Cell_ID]],'Registre_Maintenance'!B:B,'Registre_Maintenance'!G:G,"Pas de correspondance")</f>
        <v>Pas de correspondance</v>
      </c>
      <c r="M321" s="1" t="s">
        <v>806</v>
      </c>
      <c r="N321" s="1" t="str">
        <f>_xlfn.XLOOKUP(Logs[[#This Row],[ID_Client]],Clients_Log!B:B,Clients_Log!E:E,"Pas de correspondance")</f>
        <v>Pas de correspondance</v>
      </c>
      <c r="O321" s="4" t="str">
        <f>IFERROR(Logs[[#This Row],[Anciennete_Mois]]/12,"")</f>
        <v/>
      </c>
      <c r="P321" s="1" t="str">
        <f>_xlfn.XLOOKUP(Logs[[#This Row],[ID_Client]],Clients_Log!B:B,Clients_Log!F:F,"Pas de correspondance")</f>
        <v>Pas de correspondance</v>
      </c>
      <c r="Q321" s="1" t="str">
        <f>IF(Logs[[#This Row],[Type_Forfait]]="Pro Monde","B2B","B2C")</f>
        <v>B2C</v>
      </c>
      <c r="R321" s="1" t="str">
        <f>_xlfn.XLOOKUP(Logs[[#This Row],[ID_Client]],Clients_Log!B:B,Clients_Log!G:G,"Pas de correspondance")</f>
        <v>Pas de correspondance</v>
      </c>
      <c r="S321" s="1" t="e">
        <f>Logs[[#This Row],[Duree_Cumulee_Panne_Min]]/1440</f>
        <v>#VALUE!</v>
      </c>
      <c r="T321" s="1" t="str">
        <f>_xlfn.XLOOKUP(Logs[[#This Row],[ID_Client]],Clients_Log!B:B,Clients_Log!H:H,"Pas de correspondance")</f>
        <v>Pas de correspondance</v>
      </c>
      <c r="U321" s="1" t="str">
        <f>_xlfn.XLOOKUP(Logs[[#This Row],[ID_Client]],Clients_Log!B:B,Clients_Log!I:I,"Pas de correspondance")</f>
        <v>Pas de correspondance</v>
      </c>
      <c r="V32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21" s="1" t="e">
        <f>Logs[[#This Row],[Facture_Mensuelle]]*Logs[[#This Row],[Remise (%)]]</f>
        <v>#VALUE!</v>
      </c>
    </row>
    <row r="322" spans="1:23" x14ac:dyDescent="0.25">
      <c r="A322" s="1" t="s">
        <v>1073</v>
      </c>
      <c r="B322" s="2">
        <v>45221</v>
      </c>
      <c r="C322" s="1" t="str">
        <f>_xlfn.XLOOKUP(Logs[[#This Row],[Province_RDC]],Clients_Log!D:D,Clients_Log!B:B,"Pas de correspondance")</f>
        <v>CLI-01855</v>
      </c>
      <c r="D322" t="str">
        <f>_xlfn.XLOOKUP(Logs[[#This Row],[Cell_ID]],'Registre_Maintenance'!B:B,'Registre_Maintenance'!C:C,"Pas de correspondance")</f>
        <v>Sud-Kivu</v>
      </c>
      <c r="E322" s="3">
        <v>0.92847222222222225</v>
      </c>
      <c r="F322" s="1" t="s">
        <v>846</v>
      </c>
      <c r="G322" s="3">
        <f>Logs[[#This Row],[Duree_Panne_Min]]/1440</f>
        <v>1.4583333333333334E-2</v>
      </c>
      <c r="H322">
        <v>21</v>
      </c>
      <c r="I322">
        <f>_xlfn.XLOOKUP(Logs[[#This Row],[Cell_ID]],'Registre_Maintenance'!B:B,'Registre_Maintenance'!D:D,"Pas de correspondance")</f>
        <v>4.2493650000000001</v>
      </c>
      <c r="J322">
        <f>_xlfn.XLOOKUP(Logs[[#This Row],[Cell_ID]],'Registre_Maintenance'!B:B,'Registre_Maintenance'!E:E,"Pas de correspondance")</f>
        <v>28.355039999999999</v>
      </c>
      <c r="K322" t="str">
        <f>_xlfn.XLOOKUP(Logs[[#This Row],[Cell_ID]],'Registre_Maintenance'!B:B,'Registre_Maintenance'!F:F,"Pas de correspondance")</f>
        <v>3G</v>
      </c>
      <c r="L322" t="str">
        <f>_xlfn.XLOOKUP(Logs[[#This Row],[Cell_ID]],'Registre_Maintenance'!B:B,'Registre_Maintenance'!G:G,"Pas de correspondance")</f>
        <v>ZTE</v>
      </c>
      <c r="M322" s="1" t="s">
        <v>806</v>
      </c>
      <c r="N322" s="1">
        <f>_xlfn.XLOOKUP(Logs[[#This Row],[ID_Client]],Clients_Log!B:B,Clients_Log!E:E,"Pas de correspondance")</f>
        <v>101</v>
      </c>
      <c r="O322" s="4">
        <f>IFERROR(Logs[[#This Row],[Anciennete_Mois]]/12,"")</f>
        <v>8.4166666666666661</v>
      </c>
      <c r="P322" s="1" t="str">
        <f>_xlfn.XLOOKUP(Logs[[#This Row],[ID_Client]],Clients_Log!B:B,Clients_Log!F:F,"Pas de correspondance")</f>
        <v>Illimité 50Go</v>
      </c>
      <c r="Q322" s="1" t="str">
        <f>IF(Logs[[#This Row],[Type_Forfait]]="Pro Monde","B2B","B2C")</f>
        <v>B2C</v>
      </c>
      <c r="R322" s="1">
        <f>_xlfn.XLOOKUP(Logs[[#This Row],[ID_Client]],Clients_Log!B:B,Clients_Log!G:G,"Pas de correspondance")</f>
        <v>358</v>
      </c>
      <c r="S322" s="3">
        <f>Logs[[#This Row],[Duree_Cumulee_Panne_Min]]/1440</f>
        <v>0.24861111111111112</v>
      </c>
      <c r="T322" s="1">
        <f>_xlfn.XLOOKUP(Logs[[#This Row],[ID_Client]],Clients_Log!B:B,Clients_Log!H:H,"Pas de correspondance")</f>
        <v>29.24</v>
      </c>
      <c r="U322" s="1">
        <f>_xlfn.XLOOKUP(Logs[[#This Row],[ID_Client]],Clients_Log!B:B,Clients_Log!I:I,"Pas de correspondance")</f>
        <v>3</v>
      </c>
      <c r="V32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22" s="1">
        <f>Logs[[#This Row],[Facture_Mensuelle]]*Logs[[#This Row],[Remise (%)]]</f>
        <v>13.157999999999999</v>
      </c>
    </row>
    <row r="323" spans="1:23" hidden="1" x14ac:dyDescent="0.25">
      <c r="A323" s="1" t="s">
        <v>1073</v>
      </c>
      <c r="B323" s="2">
        <v>45200</v>
      </c>
      <c r="C323" s="1" t="str">
        <f>_xlfn.XLOOKUP(Logs[[#This Row],[Province_RDC]],Clients_Log!D:D,Clients_Log!B:B,"Pas de correspondance")</f>
        <v>Pas de correspondance</v>
      </c>
      <c r="D323" t="str">
        <f>_xlfn.XLOOKUP(Logs[[#This Row],[Cell_ID]],'Registre_Maintenance'!B:B,'Registre_Maintenance'!C:C,"Pas de correspondance")</f>
        <v>Pas de correspondance</v>
      </c>
      <c r="E323" s="3">
        <v>0.22013888888888888</v>
      </c>
      <c r="F323" s="1" t="s">
        <v>1082</v>
      </c>
      <c r="G323" s="3">
        <f>Logs[[#This Row],[Duree_Panne_Min]]/1440</f>
        <v>3.6805555555555557E-2</v>
      </c>
      <c r="H323">
        <v>53</v>
      </c>
      <c r="I323" t="str">
        <f>_xlfn.XLOOKUP(Logs[[#This Row],[Cell_ID]],'Registre_Maintenance'!B:B,'Registre_Maintenance'!D:D,"Pas de correspondance")</f>
        <v>Pas de correspondance</v>
      </c>
      <c r="J323" t="str">
        <f>_xlfn.XLOOKUP(Logs[[#This Row],[Cell_ID]],'Registre_Maintenance'!B:B,'Registre_Maintenance'!E:E,"Pas de correspondance")</f>
        <v>Pas de correspondance</v>
      </c>
      <c r="K323" t="str">
        <f>_xlfn.XLOOKUP(Logs[[#This Row],[Cell_ID]],'Registre_Maintenance'!B:B,'Registre_Maintenance'!F:F,"Pas de correspondance")</f>
        <v>Pas de correspondance</v>
      </c>
      <c r="L323" t="str">
        <f>_xlfn.XLOOKUP(Logs[[#This Row],[Cell_ID]],'Registre_Maintenance'!B:B,'Registre_Maintenance'!G:G,"Pas de correspondance")</f>
        <v>Pas de correspondance</v>
      </c>
      <c r="M323" s="1" t="s">
        <v>809</v>
      </c>
      <c r="N323" s="1" t="str">
        <f>_xlfn.XLOOKUP(Logs[[#This Row],[ID_Client]],Clients_Log!B:B,Clients_Log!E:E,"Pas de correspondance")</f>
        <v>Pas de correspondance</v>
      </c>
      <c r="O323" s="4" t="str">
        <f>IFERROR(Logs[[#This Row],[Anciennete_Mois]]/12,"")</f>
        <v/>
      </c>
      <c r="P323" s="1" t="str">
        <f>_xlfn.XLOOKUP(Logs[[#This Row],[ID_Client]],Clients_Log!B:B,Clients_Log!F:F,"Pas de correspondance")</f>
        <v>Pas de correspondance</v>
      </c>
      <c r="Q323" s="1" t="str">
        <f>IF(Logs[[#This Row],[Type_Forfait]]="Pro Monde","B2B","B2C")</f>
        <v>B2C</v>
      </c>
      <c r="R323" s="1" t="str">
        <f>_xlfn.XLOOKUP(Logs[[#This Row],[ID_Client]],Clients_Log!B:B,Clients_Log!G:G,"Pas de correspondance")</f>
        <v>Pas de correspondance</v>
      </c>
      <c r="S323" s="1" t="e">
        <f>Logs[[#This Row],[Duree_Cumulee_Panne_Min]]/1440</f>
        <v>#VALUE!</v>
      </c>
      <c r="T323" s="1" t="str">
        <f>_xlfn.XLOOKUP(Logs[[#This Row],[ID_Client]],Clients_Log!B:B,Clients_Log!H:H,"Pas de correspondance")</f>
        <v>Pas de correspondance</v>
      </c>
      <c r="U323" s="1" t="str">
        <f>_xlfn.XLOOKUP(Logs[[#This Row],[ID_Client]],Clients_Log!B:B,Clients_Log!I:I,"Pas de correspondance")</f>
        <v>Pas de correspondance</v>
      </c>
      <c r="V32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23" s="1" t="e">
        <f>Logs[[#This Row],[Facture_Mensuelle]]*Logs[[#This Row],[Remise (%)]]</f>
        <v>#VALUE!</v>
      </c>
    </row>
    <row r="324" spans="1:23" x14ac:dyDescent="0.25">
      <c r="A324" s="1" t="s">
        <v>1073</v>
      </c>
      <c r="B324" s="2">
        <v>45222</v>
      </c>
      <c r="C324" s="1" t="str">
        <f>_xlfn.XLOOKUP(Logs[[#This Row],[Province_RDC]],Clients_Log!D:D,Clients_Log!B:B,"Pas de correspondance")</f>
        <v>CLI-01170</v>
      </c>
      <c r="D324" t="str">
        <f>_xlfn.XLOOKUP(Logs[[#This Row],[Cell_ID]],'Registre_Maintenance'!B:B,'Registre_Maintenance'!C:C,"Pas de correspondance")</f>
        <v>Nord-Ubangi</v>
      </c>
      <c r="E324" s="3">
        <v>0.4152777777777778</v>
      </c>
      <c r="F324" s="1" t="s">
        <v>1083</v>
      </c>
      <c r="G324" s="3">
        <f>Logs[[#This Row],[Duree_Panne_Min]]/1440</f>
        <v>5.0694444444444445E-2</v>
      </c>
      <c r="H324">
        <v>73</v>
      </c>
      <c r="I324">
        <f>_xlfn.XLOOKUP(Logs[[#This Row],[Cell_ID]],'Registre_Maintenance'!B:B,'Registre_Maintenance'!D:D,"Pas de correspondance")</f>
        <v>-4.8128659999999996</v>
      </c>
      <c r="J324">
        <f>_xlfn.XLOOKUP(Logs[[#This Row],[Cell_ID]],'Registre_Maintenance'!B:B,'Registre_Maintenance'!E:E,"Pas de correspondance")</f>
        <v>18.559304999999998</v>
      </c>
      <c r="K324" t="str">
        <f>_xlfn.XLOOKUP(Logs[[#This Row],[Cell_ID]],'Registre_Maintenance'!B:B,'Registre_Maintenance'!F:F,"Pas de correspondance")</f>
        <v>5G</v>
      </c>
      <c r="L324" t="str">
        <f>_xlfn.XLOOKUP(Logs[[#This Row],[Cell_ID]],'Registre_Maintenance'!B:B,'Registre_Maintenance'!G:G,"Pas de correspondance")</f>
        <v>ZTE</v>
      </c>
      <c r="M324" s="1" t="s">
        <v>806</v>
      </c>
      <c r="N324" s="1">
        <f>_xlfn.XLOOKUP(Logs[[#This Row],[ID_Client]],Clients_Log!B:B,Clients_Log!E:E,"Pas de correspondance")</f>
        <v>98</v>
      </c>
      <c r="O324" s="4">
        <f>IFERROR(Logs[[#This Row],[Anciennete_Mois]]/12,"")</f>
        <v>8.1666666666666661</v>
      </c>
      <c r="P324" s="1" t="str">
        <f>_xlfn.XLOOKUP(Logs[[#This Row],[ID_Client]],Clients_Log!B:B,Clients_Log!F:F,"Pas de correspondance")</f>
        <v>Pro Monde</v>
      </c>
      <c r="Q324" s="1" t="str">
        <f>IF(Logs[[#This Row],[Type_Forfait]]="Pro Monde","B2B","B2C")</f>
        <v>B2B</v>
      </c>
      <c r="R324" s="1">
        <f>_xlfn.XLOOKUP(Logs[[#This Row],[ID_Client]],Clients_Log!B:B,Clients_Log!G:G,"Pas de correspondance")</f>
        <v>482</v>
      </c>
      <c r="S324" s="3">
        <f>Logs[[#This Row],[Duree_Cumulee_Panne_Min]]/1440</f>
        <v>0.3347222222222222</v>
      </c>
      <c r="T324" s="1">
        <f>_xlfn.XLOOKUP(Logs[[#This Row],[ID_Client]],Clients_Log!B:B,Clients_Log!H:H,"Pas de correspondance")</f>
        <v>55.04</v>
      </c>
      <c r="U324" s="1">
        <f>_xlfn.XLOOKUP(Logs[[#This Row],[ID_Client]],Clients_Log!B:B,Clients_Log!I:I,"Pas de correspondance")</f>
        <v>5</v>
      </c>
      <c r="V32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24" s="1">
        <f>Logs[[#This Row],[Facture_Mensuelle]]*Logs[[#This Row],[Remise (%)]]</f>
        <v>24.768000000000001</v>
      </c>
    </row>
    <row r="325" spans="1:23" x14ac:dyDescent="0.25">
      <c r="A325" s="1" t="s">
        <v>1073</v>
      </c>
      <c r="B325" s="2">
        <v>45210</v>
      </c>
      <c r="C325" s="1" t="str">
        <f>_xlfn.XLOOKUP(Logs[[#This Row],[Province_RDC]],Clients_Log!D:D,Clients_Log!B:B,"Pas de correspondance")</f>
        <v>CLI-01325</v>
      </c>
      <c r="D325" t="str">
        <f>_xlfn.XLOOKUP(Logs[[#This Row],[Cell_ID]],'Registre_Maintenance'!B:B,'Registre_Maintenance'!C:C,"Pas de correspondance")</f>
        <v>Haut-Lomami</v>
      </c>
      <c r="E325" s="3">
        <v>0.45833333333333331</v>
      </c>
      <c r="F325" s="1" t="s">
        <v>994</v>
      </c>
      <c r="G325" s="3">
        <f>Logs[[#This Row],[Duree_Panne_Min]]/1440</f>
        <v>6.5972222222222224E-2</v>
      </c>
      <c r="H325">
        <v>95</v>
      </c>
      <c r="I325">
        <f>_xlfn.XLOOKUP(Logs[[#This Row],[Cell_ID]],'Registre_Maintenance'!B:B,'Registre_Maintenance'!D:D,"Pas de correspondance")</f>
        <v>-12.112682</v>
      </c>
      <c r="J325">
        <f>_xlfn.XLOOKUP(Logs[[#This Row],[Cell_ID]],'Registre_Maintenance'!B:B,'Registre_Maintenance'!E:E,"Pas de correspondance")</f>
        <v>19.972052000000001</v>
      </c>
      <c r="K325" t="str">
        <f>_xlfn.XLOOKUP(Logs[[#This Row],[Cell_ID]],'Registre_Maintenance'!B:B,'Registre_Maintenance'!F:F,"Pas de correspondance")</f>
        <v>4G</v>
      </c>
      <c r="L325" t="str">
        <f>_xlfn.XLOOKUP(Logs[[#This Row],[Cell_ID]],'Registre_Maintenance'!B:B,'Registre_Maintenance'!G:G,"Pas de correspondance")</f>
        <v>Huawei</v>
      </c>
      <c r="M325" s="1" t="s">
        <v>809</v>
      </c>
      <c r="N325" s="1">
        <f>_xlfn.XLOOKUP(Logs[[#This Row],[ID_Client]],Clients_Log!B:B,Clients_Log!E:E,"Pas de correspondance")</f>
        <v>44</v>
      </c>
      <c r="O325" s="4">
        <f>IFERROR(Logs[[#This Row],[Anciennete_Mois]]/12,"")</f>
        <v>3.6666666666666665</v>
      </c>
      <c r="P325" s="1" t="str">
        <f>_xlfn.XLOOKUP(Logs[[#This Row],[ID_Client]],Clients_Log!B:B,Clients_Log!F:F,"Pas de correspondance")</f>
        <v>Bloqué 5Go</v>
      </c>
      <c r="Q325" s="1" t="str">
        <f>IF(Logs[[#This Row],[Type_Forfait]]="Pro Monde","B2B","B2C")</f>
        <v>B2C</v>
      </c>
      <c r="R325" s="1">
        <f>_xlfn.XLOOKUP(Logs[[#This Row],[ID_Client]],Clients_Log!B:B,Clients_Log!G:G,"Pas de correspondance")</f>
        <v>348</v>
      </c>
      <c r="S325" s="3">
        <f>Logs[[#This Row],[Duree_Cumulee_Panne_Min]]/1440</f>
        <v>0.24166666666666667</v>
      </c>
      <c r="T325" s="1">
        <f>_xlfn.XLOOKUP(Logs[[#This Row],[ID_Client]],Clients_Log!B:B,Clients_Log!H:H,"Pas de correspondance")</f>
        <v>58.67</v>
      </c>
      <c r="U325" s="1">
        <f>_xlfn.XLOOKUP(Logs[[#This Row],[ID_Client]],Clients_Log!B:B,Clients_Log!I:I,"Pas de correspondance")</f>
        <v>0</v>
      </c>
      <c r="V32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25" s="1">
        <f>Logs[[#This Row],[Facture_Mensuelle]]*Logs[[#This Row],[Remise (%)]]</f>
        <v>26.401500000000002</v>
      </c>
    </row>
    <row r="326" spans="1:23" x14ac:dyDescent="0.25">
      <c r="A326" s="1" t="s">
        <v>1073</v>
      </c>
      <c r="B326" s="2">
        <v>45205</v>
      </c>
      <c r="C326" s="1" t="str">
        <f>_xlfn.XLOOKUP(Logs[[#This Row],[Province_RDC]],Clients_Log!D:D,Clients_Log!B:B,"Pas de correspondance")</f>
        <v>CLI-00530</v>
      </c>
      <c r="D326" t="str">
        <f>_xlfn.XLOOKUP(Logs[[#This Row],[Cell_ID]],'Registre_Maintenance'!B:B,'Registre_Maintenance'!C:C,"Pas de correspondance")</f>
        <v>Sankuru</v>
      </c>
      <c r="E326" s="3">
        <v>0.19166666666666668</v>
      </c>
      <c r="F326" s="1" t="s">
        <v>1084</v>
      </c>
      <c r="G326" s="3">
        <f>Logs[[#This Row],[Duree_Panne_Min]]/1440</f>
        <v>2.361111111111111E-2</v>
      </c>
      <c r="H326">
        <v>34</v>
      </c>
      <c r="I326">
        <f>_xlfn.XLOOKUP(Logs[[#This Row],[Cell_ID]],'Registre_Maintenance'!B:B,'Registre_Maintenance'!D:D,"Pas de correspondance")</f>
        <v>-4.7886769999999999</v>
      </c>
      <c r="J326">
        <f>_xlfn.XLOOKUP(Logs[[#This Row],[Cell_ID]],'Registre_Maintenance'!B:B,'Registre_Maintenance'!E:E,"Pas de correspondance")</f>
        <v>23.600221999999999</v>
      </c>
      <c r="K326" t="str">
        <f>_xlfn.XLOOKUP(Logs[[#This Row],[Cell_ID]],'Registre_Maintenance'!B:B,'Registre_Maintenance'!F:F,"Pas de correspondance")</f>
        <v>3G</v>
      </c>
      <c r="L326" t="str">
        <f>_xlfn.XLOOKUP(Logs[[#This Row],[Cell_ID]],'Registre_Maintenance'!B:B,'Registre_Maintenance'!G:G,"Pas de correspondance")</f>
        <v>ZTE</v>
      </c>
      <c r="M326" s="1" t="s">
        <v>806</v>
      </c>
      <c r="N326" s="1">
        <f>_xlfn.XLOOKUP(Logs[[#This Row],[ID_Client]],Clients_Log!B:B,Clients_Log!E:E,"Pas de correspondance")</f>
        <v>35</v>
      </c>
      <c r="O326" s="4">
        <f>IFERROR(Logs[[#This Row],[Anciennete_Mois]]/12,"")</f>
        <v>2.9166666666666665</v>
      </c>
      <c r="P326" s="1" t="str">
        <f>_xlfn.XLOOKUP(Logs[[#This Row],[ID_Client]],Clients_Log!B:B,Clients_Log!F:F,"Pas de correspondance")</f>
        <v>Pro Monde</v>
      </c>
      <c r="Q326" s="1" t="str">
        <f>IF(Logs[[#This Row],[Type_Forfait]]="Pro Monde","B2B","B2C")</f>
        <v>B2B</v>
      </c>
      <c r="R326" s="1">
        <f>_xlfn.XLOOKUP(Logs[[#This Row],[ID_Client]],Clients_Log!B:B,Clients_Log!G:G,"Pas de correspondance")</f>
        <v>465</v>
      </c>
      <c r="S326" s="3">
        <f>Logs[[#This Row],[Duree_Cumulee_Panne_Min]]/1440</f>
        <v>0.32291666666666669</v>
      </c>
      <c r="T326" s="1">
        <f>_xlfn.XLOOKUP(Logs[[#This Row],[ID_Client]],Clients_Log!B:B,Clients_Log!H:H,"Pas de correspondance")</f>
        <v>58.59</v>
      </c>
      <c r="U326" s="1">
        <f>_xlfn.XLOOKUP(Logs[[#This Row],[ID_Client]],Clients_Log!B:B,Clients_Log!I:I,"Pas de correspondance")</f>
        <v>5</v>
      </c>
      <c r="V32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26" s="1">
        <f>Logs[[#This Row],[Facture_Mensuelle]]*Logs[[#This Row],[Remise (%)]]</f>
        <v>26.365500000000001</v>
      </c>
    </row>
    <row r="327" spans="1:23" hidden="1" x14ac:dyDescent="0.25">
      <c r="A327" s="1" t="s">
        <v>1073</v>
      </c>
      <c r="B327" s="2">
        <v>45221</v>
      </c>
      <c r="C327" s="1" t="str">
        <f>_xlfn.XLOOKUP(Logs[[#This Row],[Province_RDC]],Clients_Log!D:D,Clients_Log!B:B,"Pas de correspondance")</f>
        <v>Pas de correspondance</v>
      </c>
      <c r="D327" t="str">
        <f>_xlfn.XLOOKUP(Logs[[#This Row],[Cell_ID]],'Registre_Maintenance'!B:B,'Registre_Maintenance'!C:C,"Pas de correspondance")</f>
        <v>Pas de correspondance</v>
      </c>
      <c r="E327" s="3">
        <v>0.50277777777777777</v>
      </c>
      <c r="F327" s="1" t="s">
        <v>1085</v>
      </c>
      <c r="G327" s="3">
        <f>Logs[[#This Row],[Duree_Panne_Min]]/1440</f>
        <v>4.791666666666667E-2</v>
      </c>
      <c r="H327">
        <v>69</v>
      </c>
      <c r="I327" t="str">
        <f>_xlfn.XLOOKUP(Logs[[#This Row],[Cell_ID]],'Registre_Maintenance'!B:B,'Registre_Maintenance'!D:D,"Pas de correspondance")</f>
        <v>Pas de correspondance</v>
      </c>
      <c r="J327" t="str">
        <f>_xlfn.XLOOKUP(Logs[[#This Row],[Cell_ID]],'Registre_Maintenance'!B:B,'Registre_Maintenance'!E:E,"Pas de correspondance")</f>
        <v>Pas de correspondance</v>
      </c>
      <c r="K327" t="str">
        <f>_xlfn.XLOOKUP(Logs[[#This Row],[Cell_ID]],'Registre_Maintenance'!B:B,'Registre_Maintenance'!F:F,"Pas de correspondance")</f>
        <v>Pas de correspondance</v>
      </c>
      <c r="L327" t="str">
        <f>_xlfn.XLOOKUP(Logs[[#This Row],[Cell_ID]],'Registre_Maintenance'!B:B,'Registre_Maintenance'!G:G,"Pas de correspondance")</f>
        <v>Pas de correspondance</v>
      </c>
      <c r="M327" s="1" t="s">
        <v>806</v>
      </c>
      <c r="N327" s="1" t="str">
        <f>_xlfn.XLOOKUP(Logs[[#This Row],[ID_Client]],Clients_Log!B:B,Clients_Log!E:E,"Pas de correspondance")</f>
        <v>Pas de correspondance</v>
      </c>
      <c r="O327" s="4" t="str">
        <f>IFERROR(Logs[[#This Row],[Anciennete_Mois]]/12,"")</f>
        <v/>
      </c>
      <c r="P327" s="1" t="str">
        <f>_xlfn.XLOOKUP(Logs[[#This Row],[ID_Client]],Clients_Log!B:B,Clients_Log!F:F,"Pas de correspondance")</f>
        <v>Pas de correspondance</v>
      </c>
      <c r="Q327" s="1" t="str">
        <f>IF(Logs[[#This Row],[Type_Forfait]]="Pro Monde","B2B","B2C")</f>
        <v>B2C</v>
      </c>
      <c r="R327" s="1" t="str">
        <f>_xlfn.XLOOKUP(Logs[[#This Row],[ID_Client]],Clients_Log!B:B,Clients_Log!G:G,"Pas de correspondance")</f>
        <v>Pas de correspondance</v>
      </c>
      <c r="S327" s="1" t="e">
        <f>Logs[[#This Row],[Duree_Cumulee_Panne_Min]]/1440</f>
        <v>#VALUE!</v>
      </c>
      <c r="T327" s="1" t="str">
        <f>_xlfn.XLOOKUP(Logs[[#This Row],[ID_Client]],Clients_Log!B:B,Clients_Log!H:H,"Pas de correspondance")</f>
        <v>Pas de correspondance</v>
      </c>
      <c r="U327" s="1" t="str">
        <f>_xlfn.XLOOKUP(Logs[[#This Row],[ID_Client]],Clients_Log!B:B,Clients_Log!I:I,"Pas de correspondance")</f>
        <v>Pas de correspondance</v>
      </c>
      <c r="V32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27" s="1" t="e">
        <f>Logs[[#This Row],[Facture_Mensuelle]]*Logs[[#This Row],[Remise (%)]]</f>
        <v>#VALUE!</v>
      </c>
    </row>
    <row r="328" spans="1:23" x14ac:dyDescent="0.25">
      <c r="A328" s="1" t="s">
        <v>1073</v>
      </c>
      <c r="B328" s="2">
        <v>45204</v>
      </c>
      <c r="C328" s="1" t="str">
        <f>_xlfn.XLOOKUP(Logs[[#This Row],[Province_RDC]],Clients_Log!D:D,Clients_Log!B:B,"Pas de correspondance")</f>
        <v>CLI-00439</v>
      </c>
      <c r="D328" t="str">
        <f>_xlfn.XLOOKUP(Logs[[#This Row],[Cell_ID]],'Registre_Maintenance'!B:B,'Registre_Maintenance'!C:C,"Pas de correspondance")</f>
        <v>Haut-Uele</v>
      </c>
      <c r="E328" s="3">
        <v>0.98611111111111116</v>
      </c>
      <c r="F328" s="1" t="s">
        <v>1086</v>
      </c>
      <c r="G328" s="3">
        <f>Logs[[#This Row],[Duree_Panne_Min]]/1440</f>
        <v>5.2777777777777778E-2</v>
      </c>
      <c r="H328">
        <v>76</v>
      </c>
      <c r="I328">
        <f>_xlfn.XLOOKUP(Logs[[#This Row],[Cell_ID]],'Registre_Maintenance'!B:B,'Registre_Maintenance'!D:D,"Pas de correspondance")</f>
        <v>-4.869434</v>
      </c>
      <c r="J328">
        <f>_xlfn.XLOOKUP(Logs[[#This Row],[Cell_ID]],'Registre_Maintenance'!B:B,'Registre_Maintenance'!E:E,"Pas de correspondance")</f>
        <v>22.326522000000001</v>
      </c>
      <c r="K328" t="str">
        <f>_xlfn.XLOOKUP(Logs[[#This Row],[Cell_ID]],'Registre_Maintenance'!B:B,'Registre_Maintenance'!F:F,"Pas de correspondance")</f>
        <v>5G</v>
      </c>
      <c r="L328" t="str">
        <f>_xlfn.XLOOKUP(Logs[[#This Row],[Cell_ID]],'Registre_Maintenance'!B:B,'Registre_Maintenance'!G:G,"Pas de correspondance")</f>
        <v>Ericsson</v>
      </c>
      <c r="M328" s="1" t="s">
        <v>809</v>
      </c>
      <c r="N328" s="1">
        <f>_xlfn.XLOOKUP(Logs[[#This Row],[ID_Client]],Clients_Log!B:B,Clients_Log!E:E,"Pas de correspondance")</f>
        <v>40</v>
      </c>
      <c r="O328" s="4">
        <f>IFERROR(Logs[[#This Row],[Anciennete_Mois]]/12,"")</f>
        <v>3.3333333333333335</v>
      </c>
      <c r="P328" s="1" t="str">
        <f>_xlfn.XLOOKUP(Logs[[#This Row],[ID_Client]],Clients_Log!B:B,Clients_Log!F:F,"Pas de correspondance")</f>
        <v>Premium 5G 150Go</v>
      </c>
      <c r="Q328" s="1" t="str">
        <f>IF(Logs[[#This Row],[Type_Forfait]]="Pro Monde","B2B","B2C")</f>
        <v>B2C</v>
      </c>
      <c r="R328" s="1">
        <f>_xlfn.XLOOKUP(Logs[[#This Row],[ID_Client]],Clients_Log!B:B,Clients_Log!G:G,"Pas de correspondance")</f>
        <v>345</v>
      </c>
      <c r="S328" s="3">
        <f>Logs[[#This Row],[Duree_Cumulee_Panne_Min]]/1440</f>
        <v>0.23958333333333334</v>
      </c>
      <c r="T328" s="1">
        <f>_xlfn.XLOOKUP(Logs[[#This Row],[ID_Client]],Clients_Log!B:B,Clients_Log!H:H,"Pas de correspondance")</f>
        <v>89.55</v>
      </c>
      <c r="U328" s="1">
        <f>_xlfn.XLOOKUP(Logs[[#This Row],[ID_Client]],Clients_Log!B:B,Clients_Log!I:I,"Pas de correspondance")</f>
        <v>3</v>
      </c>
      <c r="V32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28" s="1">
        <f>Logs[[#This Row],[Facture_Mensuelle]]*Logs[[#This Row],[Remise (%)]]</f>
        <v>40.297499999999999</v>
      </c>
    </row>
    <row r="329" spans="1:23" hidden="1" x14ac:dyDescent="0.25">
      <c r="A329" s="1" t="s">
        <v>1073</v>
      </c>
      <c r="B329" s="2">
        <v>45200</v>
      </c>
      <c r="C329" s="1" t="str">
        <f>_xlfn.XLOOKUP(Logs[[#This Row],[Province_RDC]],Clients_Log!D:D,Clients_Log!B:B,"Pas de correspondance")</f>
        <v>Pas de correspondance</v>
      </c>
      <c r="D329" t="str">
        <f>_xlfn.XLOOKUP(Logs[[#This Row],[Cell_ID]],'Registre_Maintenance'!B:B,'Registre_Maintenance'!C:C,"Pas de correspondance")</f>
        <v>Pas de correspondance</v>
      </c>
      <c r="E329" s="3">
        <v>0.11597222222222223</v>
      </c>
      <c r="F329" s="1" t="s">
        <v>821</v>
      </c>
      <c r="G329" s="3">
        <f>Logs[[#This Row],[Duree_Panne_Min]]/1440</f>
        <v>7.7083333333333337E-2</v>
      </c>
      <c r="H329">
        <v>111</v>
      </c>
      <c r="I329" t="str">
        <f>_xlfn.XLOOKUP(Logs[[#This Row],[Cell_ID]],'Registre_Maintenance'!B:B,'Registre_Maintenance'!D:D,"Pas de correspondance")</f>
        <v>Pas de correspondance</v>
      </c>
      <c r="J329" t="str">
        <f>_xlfn.XLOOKUP(Logs[[#This Row],[Cell_ID]],'Registre_Maintenance'!B:B,'Registre_Maintenance'!E:E,"Pas de correspondance")</f>
        <v>Pas de correspondance</v>
      </c>
      <c r="K329" t="str">
        <f>_xlfn.XLOOKUP(Logs[[#This Row],[Cell_ID]],'Registre_Maintenance'!B:B,'Registre_Maintenance'!F:F,"Pas de correspondance")</f>
        <v>Pas de correspondance</v>
      </c>
      <c r="L329" t="str">
        <f>_xlfn.XLOOKUP(Logs[[#This Row],[Cell_ID]],'Registre_Maintenance'!B:B,'Registre_Maintenance'!G:G,"Pas de correspondance")</f>
        <v>Pas de correspondance</v>
      </c>
      <c r="M329" s="1" t="s">
        <v>811</v>
      </c>
      <c r="N329" s="1" t="str">
        <f>_xlfn.XLOOKUP(Logs[[#This Row],[ID_Client]],Clients_Log!B:B,Clients_Log!E:E,"Pas de correspondance")</f>
        <v>Pas de correspondance</v>
      </c>
      <c r="O329" s="4" t="str">
        <f>IFERROR(Logs[[#This Row],[Anciennete_Mois]]/12,"")</f>
        <v/>
      </c>
      <c r="P329" s="1" t="str">
        <f>_xlfn.XLOOKUP(Logs[[#This Row],[ID_Client]],Clients_Log!B:B,Clients_Log!F:F,"Pas de correspondance")</f>
        <v>Pas de correspondance</v>
      </c>
      <c r="Q329" s="1" t="str">
        <f>IF(Logs[[#This Row],[Type_Forfait]]="Pro Monde","B2B","B2C")</f>
        <v>B2C</v>
      </c>
      <c r="R329" s="1" t="str">
        <f>_xlfn.XLOOKUP(Logs[[#This Row],[ID_Client]],Clients_Log!B:B,Clients_Log!G:G,"Pas de correspondance")</f>
        <v>Pas de correspondance</v>
      </c>
      <c r="S329" s="1" t="e">
        <f>Logs[[#This Row],[Duree_Cumulee_Panne_Min]]/1440</f>
        <v>#VALUE!</v>
      </c>
      <c r="T329" s="1" t="str">
        <f>_xlfn.XLOOKUP(Logs[[#This Row],[ID_Client]],Clients_Log!B:B,Clients_Log!H:H,"Pas de correspondance")</f>
        <v>Pas de correspondance</v>
      </c>
      <c r="U329" s="1" t="str">
        <f>_xlfn.XLOOKUP(Logs[[#This Row],[ID_Client]],Clients_Log!B:B,Clients_Log!I:I,"Pas de correspondance")</f>
        <v>Pas de correspondance</v>
      </c>
      <c r="V32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29" s="1" t="e">
        <f>Logs[[#This Row],[Facture_Mensuelle]]*Logs[[#This Row],[Remise (%)]]</f>
        <v>#VALUE!</v>
      </c>
    </row>
    <row r="330" spans="1:23" x14ac:dyDescent="0.25">
      <c r="A330" s="1" t="s">
        <v>1073</v>
      </c>
      <c r="B330" s="2">
        <v>45216</v>
      </c>
      <c r="C330" s="1" t="str">
        <f>_xlfn.XLOOKUP(Logs[[#This Row],[Province_RDC]],Clients_Log!D:D,Clients_Log!B:B,"Pas de correspondance")</f>
        <v>CLI-00185</v>
      </c>
      <c r="D330" t="str">
        <f>_xlfn.XLOOKUP(Logs[[#This Row],[Cell_ID]],'Registre_Maintenance'!B:B,'Registre_Maintenance'!C:C,"Pas de correspondance")</f>
        <v>Maniema</v>
      </c>
      <c r="E330" s="3">
        <v>0.26666666666666666</v>
      </c>
      <c r="F330" s="1" t="s">
        <v>964</v>
      </c>
      <c r="G330" s="3">
        <f>Logs[[#This Row],[Duree_Panne_Min]]/1440</f>
        <v>6.25E-2</v>
      </c>
      <c r="H330">
        <v>90</v>
      </c>
      <c r="I330">
        <f>_xlfn.XLOOKUP(Logs[[#This Row],[Cell_ID]],'Registre_Maintenance'!B:B,'Registre_Maintenance'!D:D,"Pas de correspondance")</f>
        <v>-2.3743210000000001</v>
      </c>
      <c r="J330">
        <f>_xlfn.XLOOKUP(Logs[[#This Row],[Cell_ID]],'Registre_Maintenance'!B:B,'Registre_Maintenance'!E:E,"Pas de correspondance")</f>
        <v>22.399491000000001</v>
      </c>
      <c r="K330" t="str">
        <f>_xlfn.XLOOKUP(Logs[[#This Row],[Cell_ID]],'Registre_Maintenance'!B:B,'Registre_Maintenance'!F:F,"Pas de correspondance")</f>
        <v>5G</v>
      </c>
      <c r="L330" t="str">
        <f>_xlfn.XLOOKUP(Logs[[#This Row],[Cell_ID]],'Registre_Maintenance'!B:B,'Registre_Maintenance'!G:G,"Pas de correspondance")</f>
        <v>Ericsson</v>
      </c>
      <c r="M330" s="1" t="s">
        <v>811</v>
      </c>
      <c r="N330" s="1">
        <f>_xlfn.XLOOKUP(Logs[[#This Row],[ID_Client]],Clients_Log!B:B,Clients_Log!E:E,"Pas de correspondance")</f>
        <v>81</v>
      </c>
      <c r="O330" s="4">
        <f>IFERROR(Logs[[#This Row],[Anciennete_Mois]]/12,"")</f>
        <v>6.75</v>
      </c>
      <c r="P330" s="1" t="str">
        <f>_xlfn.XLOOKUP(Logs[[#This Row],[ID_Client]],Clients_Log!B:B,Clients_Log!F:F,"Pas de correspondance")</f>
        <v>Pro Monde</v>
      </c>
      <c r="Q330" s="1" t="str">
        <f>IF(Logs[[#This Row],[Type_Forfait]]="Pro Monde","B2B","B2C")</f>
        <v>B2B</v>
      </c>
      <c r="R330" s="1">
        <f>_xlfn.XLOOKUP(Logs[[#This Row],[ID_Client]],Clients_Log!B:B,Clients_Log!G:G,"Pas de correspondance")</f>
        <v>154</v>
      </c>
      <c r="S330" s="3">
        <f>Logs[[#This Row],[Duree_Cumulee_Panne_Min]]/1440</f>
        <v>0.10694444444444444</v>
      </c>
      <c r="T330" s="1">
        <f>_xlfn.XLOOKUP(Logs[[#This Row],[ID_Client]],Clients_Log!B:B,Clients_Log!H:H,"Pas de correspondance")</f>
        <v>19.47</v>
      </c>
      <c r="U330" s="1">
        <f>_xlfn.XLOOKUP(Logs[[#This Row],[ID_Client]],Clients_Log!B:B,Clients_Log!I:I,"Pas de correspondance")</f>
        <v>3</v>
      </c>
      <c r="V33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330" s="1">
        <f>Logs[[#This Row],[Facture_Mensuelle]]*Logs[[#This Row],[Remise (%)]]</f>
        <v>1.9470000000000001</v>
      </c>
    </row>
    <row r="331" spans="1:23" hidden="1" x14ac:dyDescent="0.25">
      <c r="A331" s="1" t="s">
        <v>1073</v>
      </c>
      <c r="B331" s="2">
        <v>45213</v>
      </c>
      <c r="C331" s="1" t="str">
        <f>_xlfn.XLOOKUP(Logs[[#This Row],[Province_RDC]],Clients_Log!D:D,Clients_Log!B:B,"Pas de correspondance")</f>
        <v>Pas de correspondance</v>
      </c>
      <c r="D331" t="str">
        <f>_xlfn.XLOOKUP(Logs[[#This Row],[Cell_ID]],'Registre_Maintenance'!B:B,'Registre_Maintenance'!C:C,"Pas de correspondance")</f>
        <v>Pas de correspondance</v>
      </c>
      <c r="E331" s="3">
        <v>0.59791666666666665</v>
      </c>
      <c r="F331" s="1" t="s">
        <v>1087</v>
      </c>
      <c r="G331" s="3">
        <f>Logs[[#This Row],[Duree_Panne_Min]]/1440</f>
        <v>7.4999999999999997E-2</v>
      </c>
      <c r="H331">
        <v>108</v>
      </c>
      <c r="I331" t="str">
        <f>_xlfn.XLOOKUP(Logs[[#This Row],[Cell_ID]],'Registre_Maintenance'!B:B,'Registre_Maintenance'!D:D,"Pas de correspondance")</f>
        <v>Pas de correspondance</v>
      </c>
      <c r="J331" t="str">
        <f>_xlfn.XLOOKUP(Logs[[#This Row],[Cell_ID]],'Registre_Maintenance'!B:B,'Registre_Maintenance'!E:E,"Pas de correspondance")</f>
        <v>Pas de correspondance</v>
      </c>
      <c r="K331" t="str">
        <f>_xlfn.XLOOKUP(Logs[[#This Row],[Cell_ID]],'Registre_Maintenance'!B:B,'Registre_Maintenance'!F:F,"Pas de correspondance")</f>
        <v>Pas de correspondance</v>
      </c>
      <c r="L331" t="str">
        <f>_xlfn.XLOOKUP(Logs[[#This Row],[Cell_ID]],'Registre_Maintenance'!B:B,'Registre_Maintenance'!G:G,"Pas de correspondance")</f>
        <v>Pas de correspondance</v>
      </c>
      <c r="M331" s="1" t="s">
        <v>809</v>
      </c>
      <c r="N331" s="1" t="str">
        <f>_xlfn.XLOOKUP(Logs[[#This Row],[ID_Client]],Clients_Log!B:B,Clients_Log!E:E,"Pas de correspondance")</f>
        <v>Pas de correspondance</v>
      </c>
      <c r="O331" s="4" t="str">
        <f>IFERROR(Logs[[#This Row],[Anciennete_Mois]]/12,"")</f>
        <v/>
      </c>
      <c r="P331" s="1" t="str">
        <f>_xlfn.XLOOKUP(Logs[[#This Row],[ID_Client]],Clients_Log!B:B,Clients_Log!F:F,"Pas de correspondance")</f>
        <v>Pas de correspondance</v>
      </c>
      <c r="Q331" s="1" t="str">
        <f>IF(Logs[[#This Row],[Type_Forfait]]="Pro Monde","B2B","B2C")</f>
        <v>B2C</v>
      </c>
      <c r="R331" s="1" t="str">
        <f>_xlfn.XLOOKUP(Logs[[#This Row],[ID_Client]],Clients_Log!B:B,Clients_Log!G:G,"Pas de correspondance")</f>
        <v>Pas de correspondance</v>
      </c>
      <c r="S331" s="1" t="e">
        <f>Logs[[#This Row],[Duree_Cumulee_Panne_Min]]/1440</f>
        <v>#VALUE!</v>
      </c>
      <c r="T331" s="1" t="str">
        <f>_xlfn.XLOOKUP(Logs[[#This Row],[ID_Client]],Clients_Log!B:B,Clients_Log!H:H,"Pas de correspondance")</f>
        <v>Pas de correspondance</v>
      </c>
      <c r="U331" s="1" t="str">
        <f>_xlfn.XLOOKUP(Logs[[#This Row],[ID_Client]],Clients_Log!B:B,Clients_Log!I:I,"Pas de correspondance")</f>
        <v>Pas de correspondance</v>
      </c>
      <c r="V33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31" s="1" t="e">
        <f>Logs[[#This Row],[Facture_Mensuelle]]*Logs[[#This Row],[Remise (%)]]</f>
        <v>#VALUE!</v>
      </c>
    </row>
    <row r="332" spans="1:23" x14ac:dyDescent="0.25">
      <c r="A332" s="1" t="s">
        <v>1073</v>
      </c>
      <c r="B332" s="2">
        <v>45205</v>
      </c>
      <c r="C332" s="1" t="str">
        <f>_xlfn.XLOOKUP(Logs[[#This Row],[Province_RDC]],Clients_Log!D:D,Clients_Log!B:B,"Pas de correspondance")</f>
        <v>CLI-01325</v>
      </c>
      <c r="D332" t="str">
        <f>_xlfn.XLOOKUP(Logs[[#This Row],[Cell_ID]],'Registre_Maintenance'!B:B,'Registre_Maintenance'!C:C,"Pas de correspondance")</f>
        <v>Haut-Lomami</v>
      </c>
      <c r="E332" s="3">
        <v>0.47152777777777777</v>
      </c>
      <c r="F332" s="1" t="s">
        <v>1088</v>
      </c>
      <c r="G332" s="3">
        <f>Logs[[#This Row],[Duree_Panne_Min]]/1440</f>
        <v>3.4722222222222224E-2</v>
      </c>
      <c r="H332">
        <v>50</v>
      </c>
      <c r="I332">
        <f>_xlfn.XLOOKUP(Logs[[#This Row],[Cell_ID]],'Registre_Maintenance'!B:B,'Registre_Maintenance'!D:D,"Pas de correspondance")</f>
        <v>2.628638</v>
      </c>
      <c r="J332">
        <f>_xlfn.XLOOKUP(Logs[[#This Row],[Cell_ID]],'Registre_Maintenance'!B:B,'Registre_Maintenance'!E:E,"Pas de correspondance")</f>
        <v>28.420582</v>
      </c>
      <c r="K332" t="str">
        <f>_xlfn.XLOOKUP(Logs[[#This Row],[Cell_ID]],'Registre_Maintenance'!B:B,'Registre_Maintenance'!F:F,"Pas de correspondance")</f>
        <v>4G</v>
      </c>
      <c r="L332" t="str">
        <f>_xlfn.XLOOKUP(Logs[[#This Row],[Cell_ID]],'Registre_Maintenance'!B:B,'Registre_Maintenance'!G:G,"Pas de correspondance")</f>
        <v>Huawei</v>
      </c>
      <c r="M332" s="1" t="s">
        <v>809</v>
      </c>
      <c r="N332" s="1">
        <f>_xlfn.XLOOKUP(Logs[[#This Row],[ID_Client]],Clients_Log!B:B,Clients_Log!E:E,"Pas de correspondance")</f>
        <v>44</v>
      </c>
      <c r="O332" s="4">
        <f>IFERROR(Logs[[#This Row],[Anciennete_Mois]]/12,"")</f>
        <v>3.6666666666666665</v>
      </c>
      <c r="P332" s="1" t="str">
        <f>_xlfn.XLOOKUP(Logs[[#This Row],[ID_Client]],Clients_Log!B:B,Clients_Log!F:F,"Pas de correspondance")</f>
        <v>Bloqué 5Go</v>
      </c>
      <c r="Q332" s="1" t="str">
        <f>IF(Logs[[#This Row],[Type_Forfait]]="Pro Monde","B2B","B2C")</f>
        <v>B2C</v>
      </c>
      <c r="R332" s="1">
        <f>_xlfn.XLOOKUP(Logs[[#This Row],[ID_Client]],Clients_Log!B:B,Clients_Log!G:G,"Pas de correspondance")</f>
        <v>348</v>
      </c>
      <c r="S332" s="3">
        <f>Logs[[#This Row],[Duree_Cumulee_Panne_Min]]/1440</f>
        <v>0.24166666666666667</v>
      </c>
      <c r="T332" s="1">
        <f>_xlfn.XLOOKUP(Logs[[#This Row],[ID_Client]],Clients_Log!B:B,Clients_Log!H:H,"Pas de correspondance")</f>
        <v>58.67</v>
      </c>
      <c r="U332" s="1">
        <f>_xlfn.XLOOKUP(Logs[[#This Row],[ID_Client]],Clients_Log!B:B,Clients_Log!I:I,"Pas de correspondance")</f>
        <v>0</v>
      </c>
      <c r="V33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32" s="1">
        <f>Logs[[#This Row],[Facture_Mensuelle]]*Logs[[#This Row],[Remise (%)]]</f>
        <v>26.401500000000002</v>
      </c>
    </row>
    <row r="333" spans="1:23" x14ac:dyDescent="0.25">
      <c r="A333" s="1" t="s">
        <v>1073</v>
      </c>
      <c r="B333" s="2">
        <v>45223</v>
      </c>
      <c r="C333" s="1" t="str">
        <f>_xlfn.XLOOKUP(Logs[[#This Row],[Province_RDC]],Clients_Log!D:D,Clients_Log!B:B,"Pas de correspondance")</f>
        <v>CLI-00894</v>
      </c>
      <c r="D333" t="str">
        <f>_xlfn.XLOOKUP(Logs[[#This Row],[Cell_ID]],'Registre_Maintenance'!B:B,'Registre_Maintenance'!C:C,"Pas de correspondance")</f>
        <v>Tshuapa</v>
      </c>
      <c r="E333" s="3">
        <v>0.45069444444444445</v>
      </c>
      <c r="F333" s="1" t="s">
        <v>1089</v>
      </c>
      <c r="G333" s="3">
        <f>Logs[[#This Row],[Duree_Panne_Min]]/1440</f>
        <v>9.7222222222222224E-3</v>
      </c>
      <c r="H333">
        <v>14</v>
      </c>
      <c r="I333">
        <f>_xlfn.XLOOKUP(Logs[[#This Row],[Cell_ID]],'Registre_Maintenance'!B:B,'Registre_Maintenance'!D:D,"Pas de correspondance")</f>
        <v>-2.571777</v>
      </c>
      <c r="J333">
        <f>_xlfn.XLOOKUP(Logs[[#This Row],[Cell_ID]],'Registre_Maintenance'!B:B,'Registre_Maintenance'!E:E,"Pas de correspondance")</f>
        <v>12.120642</v>
      </c>
      <c r="K333" t="str">
        <f>_xlfn.XLOOKUP(Logs[[#This Row],[Cell_ID]],'Registre_Maintenance'!B:B,'Registre_Maintenance'!F:F,"Pas de correspondance")</f>
        <v>3G</v>
      </c>
      <c r="L333" t="str">
        <f>_xlfn.XLOOKUP(Logs[[#This Row],[Cell_ID]],'Registre_Maintenance'!B:B,'Registre_Maintenance'!G:G,"Pas de correspondance")</f>
        <v>Huawei</v>
      </c>
      <c r="M333" s="1" t="s">
        <v>811</v>
      </c>
      <c r="N333" s="1">
        <f>_xlfn.XLOOKUP(Logs[[#This Row],[ID_Client]],Clients_Log!B:B,Clients_Log!E:E,"Pas de correspondance")</f>
        <v>63</v>
      </c>
      <c r="O333" s="4">
        <f>IFERROR(Logs[[#This Row],[Anciennete_Mois]]/12,"")</f>
        <v>5.25</v>
      </c>
      <c r="P333" s="1" t="str">
        <f>_xlfn.XLOOKUP(Logs[[#This Row],[ID_Client]],Clients_Log!B:B,Clients_Log!F:F,"Pas de correspondance")</f>
        <v>Pro Monde</v>
      </c>
      <c r="Q333" s="1" t="str">
        <f>IF(Logs[[#This Row],[Type_Forfait]]="Pro Monde","B2B","B2C")</f>
        <v>B2B</v>
      </c>
      <c r="R333" s="1">
        <f>_xlfn.XLOOKUP(Logs[[#This Row],[ID_Client]],Clients_Log!B:B,Clients_Log!G:G,"Pas de correspondance")</f>
        <v>205</v>
      </c>
      <c r="S333" s="3">
        <f>Logs[[#This Row],[Duree_Cumulee_Panne_Min]]/1440</f>
        <v>0.1423611111111111</v>
      </c>
      <c r="T333" s="1">
        <f>_xlfn.XLOOKUP(Logs[[#This Row],[ID_Client]],Clients_Log!B:B,Clients_Log!H:H,"Pas de correspondance")</f>
        <v>89.19</v>
      </c>
      <c r="U333" s="1">
        <f>_xlfn.XLOOKUP(Logs[[#This Row],[ID_Client]],Clients_Log!B:B,Clients_Log!I:I,"Pas de correspondance")</f>
        <v>0</v>
      </c>
      <c r="V33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333" s="1">
        <f>Logs[[#This Row],[Facture_Mensuelle]]*Logs[[#This Row],[Remise (%)]]</f>
        <v>8.9190000000000005</v>
      </c>
    </row>
    <row r="334" spans="1:23" hidden="1" x14ac:dyDescent="0.25">
      <c r="A334" s="1" t="s">
        <v>1073</v>
      </c>
      <c r="B334" s="2">
        <v>45230</v>
      </c>
      <c r="C334" s="1" t="str">
        <f>_xlfn.XLOOKUP(Logs[[#This Row],[Province_RDC]],Clients_Log!D:D,Clients_Log!B:B,"Pas de correspondance")</f>
        <v>Pas de correspondance</v>
      </c>
      <c r="D334" t="str">
        <f>_xlfn.XLOOKUP(Logs[[#This Row],[Cell_ID]],'Registre_Maintenance'!B:B,'Registre_Maintenance'!C:C,"Pas de correspondance")</f>
        <v>Pas de correspondance</v>
      </c>
      <c r="E334" s="3">
        <v>0.77638888888888891</v>
      </c>
      <c r="F334" s="1" t="s">
        <v>1090</v>
      </c>
      <c r="G334" s="3">
        <f>Logs[[#This Row],[Duree_Panne_Min]]/1440</f>
        <v>3.8194444444444448E-2</v>
      </c>
      <c r="H334">
        <v>55</v>
      </c>
      <c r="I334" t="str">
        <f>_xlfn.XLOOKUP(Logs[[#This Row],[Cell_ID]],'Registre_Maintenance'!B:B,'Registre_Maintenance'!D:D,"Pas de correspondance")</f>
        <v>Pas de correspondance</v>
      </c>
      <c r="J334" t="str">
        <f>_xlfn.XLOOKUP(Logs[[#This Row],[Cell_ID]],'Registre_Maintenance'!B:B,'Registre_Maintenance'!E:E,"Pas de correspondance")</f>
        <v>Pas de correspondance</v>
      </c>
      <c r="K334" t="str">
        <f>_xlfn.XLOOKUP(Logs[[#This Row],[Cell_ID]],'Registre_Maintenance'!B:B,'Registre_Maintenance'!F:F,"Pas de correspondance")</f>
        <v>Pas de correspondance</v>
      </c>
      <c r="L334" t="str">
        <f>_xlfn.XLOOKUP(Logs[[#This Row],[Cell_ID]],'Registre_Maintenance'!B:B,'Registre_Maintenance'!G:G,"Pas de correspondance")</f>
        <v>Pas de correspondance</v>
      </c>
      <c r="M334" s="1" t="s">
        <v>809</v>
      </c>
      <c r="N334" s="1" t="str">
        <f>_xlfn.XLOOKUP(Logs[[#This Row],[ID_Client]],Clients_Log!B:B,Clients_Log!E:E,"Pas de correspondance")</f>
        <v>Pas de correspondance</v>
      </c>
      <c r="O334" s="4" t="str">
        <f>IFERROR(Logs[[#This Row],[Anciennete_Mois]]/12,"")</f>
        <v/>
      </c>
      <c r="P334" s="1" t="str">
        <f>_xlfn.XLOOKUP(Logs[[#This Row],[ID_Client]],Clients_Log!B:B,Clients_Log!F:F,"Pas de correspondance")</f>
        <v>Pas de correspondance</v>
      </c>
      <c r="Q334" s="1" t="str">
        <f>IF(Logs[[#This Row],[Type_Forfait]]="Pro Monde","B2B","B2C")</f>
        <v>B2C</v>
      </c>
      <c r="R334" s="1" t="str">
        <f>_xlfn.XLOOKUP(Logs[[#This Row],[ID_Client]],Clients_Log!B:B,Clients_Log!G:G,"Pas de correspondance")</f>
        <v>Pas de correspondance</v>
      </c>
      <c r="S334" s="1" t="e">
        <f>Logs[[#This Row],[Duree_Cumulee_Panne_Min]]/1440</f>
        <v>#VALUE!</v>
      </c>
      <c r="T334" s="1" t="str">
        <f>_xlfn.XLOOKUP(Logs[[#This Row],[ID_Client]],Clients_Log!B:B,Clients_Log!H:H,"Pas de correspondance")</f>
        <v>Pas de correspondance</v>
      </c>
      <c r="U334" s="1" t="str">
        <f>_xlfn.XLOOKUP(Logs[[#This Row],[ID_Client]],Clients_Log!B:B,Clients_Log!I:I,"Pas de correspondance")</f>
        <v>Pas de correspondance</v>
      </c>
      <c r="V33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34" s="1" t="e">
        <f>Logs[[#This Row],[Facture_Mensuelle]]*Logs[[#This Row],[Remise (%)]]</f>
        <v>#VALUE!</v>
      </c>
    </row>
    <row r="335" spans="1:23" hidden="1" x14ac:dyDescent="0.25">
      <c r="A335" s="1" t="s">
        <v>1073</v>
      </c>
      <c r="B335" s="2">
        <v>45202</v>
      </c>
      <c r="C335" s="1" t="str">
        <f>_xlfn.XLOOKUP(Logs[[#This Row],[Province_RDC]],Clients_Log!D:D,Clients_Log!B:B,"Pas de correspondance")</f>
        <v>Pas de correspondance</v>
      </c>
      <c r="D335" t="str">
        <f>_xlfn.XLOOKUP(Logs[[#This Row],[Cell_ID]],'Registre_Maintenance'!B:B,'Registre_Maintenance'!C:C,"Pas de correspondance")</f>
        <v>Pas de correspondance</v>
      </c>
      <c r="E335" s="3">
        <v>4.791666666666667E-2</v>
      </c>
      <c r="F335" s="1" t="s">
        <v>1091</v>
      </c>
      <c r="G335" s="3">
        <f>Logs[[#This Row],[Duree_Panne_Min]]/1440</f>
        <v>7.9861111111111105E-2</v>
      </c>
      <c r="H335">
        <v>115</v>
      </c>
      <c r="I335" t="str">
        <f>_xlfn.XLOOKUP(Logs[[#This Row],[Cell_ID]],'Registre_Maintenance'!B:B,'Registre_Maintenance'!D:D,"Pas de correspondance")</f>
        <v>Pas de correspondance</v>
      </c>
      <c r="J335" t="str">
        <f>_xlfn.XLOOKUP(Logs[[#This Row],[Cell_ID]],'Registre_Maintenance'!B:B,'Registre_Maintenance'!E:E,"Pas de correspondance")</f>
        <v>Pas de correspondance</v>
      </c>
      <c r="K335" t="str">
        <f>_xlfn.XLOOKUP(Logs[[#This Row],[Cell_ID]],'Registre_Maintenance'!B:B,'Registre_Maintenance'!F:F,"Pas de correspondance")</f>
        <v>Pas de correspondance</v>
      </c>
      <c r="L335" t="str">
        <f>_xlfn.XLOOKUP(Logs[[#This Row],[Cell_ID]],'Registre_Maintenance'!B:B,'Registre_Maintenance'!G:G,"Pas de correspondance")</f>
        <v>Pas de correspondance</v>
      </c>
      <c r="M335" s="1" t="s">
        <v>809</v>
      </c>
      <c r="N335" s="1" t="str">
        <f>_xlfn.XLOOKUP(Logs[[#This Row],[ID_Client]],Clients_Log!B:B,Clients_Log!E:E,"Pas de correspondance")</f>
        <v>Pas de correspondance</v>
      </c>
      <c r="O335" s="4" t="str">
        <f>IFERROR(Logs[[#This Row],[Anciennete_Mois]]/12,"")</f>
        <v/>
      </c>
      <c r="P335" s="1" t="str">
        <f>_xlfn.XLOOKUP(Logs[[#This Row],[ID_Client]],Clients_Log!B:B,Clients_Log!F:F,"Pas de correspondance")</f>
        <v>Pas de correspondance</v>
      </c>
      <c r="Q335" s="1" t="str">
        <f>IF(Logs[[#This Row],[Type_Forfait]]="Pro Monde","B2B","B2C")</f>
        <v>B2C</v>
      </c>
      <c r="R335" s="1" t="str">
        <f>_xlfn.XLOOKUP(Logs[[#This Row],[ID_Client]],Clients_Log!B:B,Clients_Log!G:G,"Pas de correspondance")</f>
        <v>Pas de correspondance</v>
      </c>
      <c r="S335" s="1" t="e">
        <f>Logs[[#This Row],[Duree_Cumulee_Panne_Min]]/1440</f>
        <v>#VALUE!</v>
      </c>
      <c r="T335" s="1" t="str">
        <f>_xlfn.XLOOKUP(Logs[[#This Row],[ID_Client]],Clients_Log!B:B,Clients_Log!H:H,"Pas de correspondance")</f>
        <v>Pas de correspondance</v>
      </c>
      <c r="U335" s="1" t="str">
        <f>_xlfn.XLOOKUP(Logs[[#This Row],[ID_Client]],Clients_Log!B:B,Clients_Log!I:I,"Pas de correspondance")</f>
        <v>Pas de correspondance</v>
      </c>
      <c r="V33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35" s="1" t="e">
        <f>Logs[[#This Row],[Facture_Mensuelle]]*Logs[[#This Row],[Remise (%)]]</f>
        <v>#VALUE!</v>
      </c>
    </row>
    <row r="336" spans="1:23" hidden="1" x14ac:dyDescent="0.25">
      <c r="A336" s="1" t="s">
        <v>1073</v>
      </c>
      <c r="B336" s="2">
        <v>45205</v>
      </c>
      <c r="C336" s="1" t="str">
        <f>_xlfn.XLOOKUP(Logs[[#This Row],[Province_RDC]],Clients_Log!D:D,Clients_Log!B:B,"Pas de correspondance")</f>
        <v>Pas de correspondance</v>
      </c>
      <c r="D336" t="str">
        <f>_xlfn.XLOOKUP(Logs[[#This Row],[Cell_ID]],'Registre_Maintenance'!B:B,'Registre_Maintenance'!C:C,"Pas de correspondance")</f>
        <v>Pas de correspondance</v>
      </c>
      <c r="E336" s="3">
        <v>0.79374999999999996</v>
      </c>
      <c r="F336" s="1" t="s">
        <v>1092</v>
      </c>
      <c r="G336" s="3">
        <f>Logs[[#This Row],[Duree_Panne_Min]]/1440</f>
        <v>6.8750000000000006E-2</v>
      </c>
      <c r="H336">
        <v>99</v>
      </c>
      <c r="I336" t="str">
        <f>_xlfn.XLOOKUP(Logs[[#This Row],[Cell_ID]],'Registre_Maintenance'!B:B,'Registre_Maintenance'!D:D,"Pas de correspondance")</f>
        <v>Pas de correspondance</v>
      </c>
      <c r="J336" t="str">
        <f>_xlfn.XLOOKUP(Logs[[#This Row],[Cell_ID]],'Registre_Maintenance'!B:B,'Registre_Maintenance'!E:E,"Pas de correspondance")</f>
        <v>Pas de correspondance</v>
      </c>
      <c r="K336" t="str">
        <f>_xlfn.XLOOKUP(Logs[[#This Row],[Cell_ID]],'Registre_Maintenance'!B:B,'Registre_Maintenance'!F:F,"Pas de correspondance")</f>
        <v>Pas de correspondance</v>
      </c>
      <c r="L336" t="str">
        <f>_xlfn.XLOOKUP(Logs[[#This Row],[Cell_ID]],'Registre_Maintenance'!B:B,'Registre_Maintenance'!G:G,"Pas de correspondance")</f>
        <v>Pas de correspondance</v>
      </c>
      <c r="M336" s="1" t="s">
        <v>809</v>
      </c>
      <c r="N336" s="1" t="str">
        <f>_xlfn.XLOOKUP(Logs[[#This Row],[ID_Client]],Clients_Log!B:B,Clients_Log!E:E,"Pas de correspondance")</f>
        <v>Pas de correspondance</v>
      </c>
      <c r="O336" s="4" t="str">
        <f>IFERROR(Logs[[#This Row],[Anciennete_Mois]]/12,"")</f>
        <v/>
      </c>
      <c r="P336" s="1" t="str">
        <f>_xlfn.XLOOKUP(Logs[[#This Row],[ID_Client]],Clients_Log!B:B,Clients_Log!F:F,"Pas de correspondance")</f>
        <v>Pas de correspondance</v>
      </c>
      <c r="Q336" s="1" t="str">
        <f>IF(Logs[[#This Row],[Type_Forfait]]="Pro Monde","B2B","B2C")</f>
        <v>B2C</v>
      </c>
      <c r="R336" s="1" t="str">
        <f>_xlfn.XLOOKUP(Logs[[#This Row],[ID_Client]],Clients_Log!B:B,Clients_Log!G:G,"Pas de correspondance")</f>
        <v>Pas de correspondance</v>
      </c>
      <c r="S336" s="1" t="e">
        <f>Logs[[#This Row],[Duree_Cumulee_Panne_Min]]/1440</f>
        <v>#VALUE!</v>
      </c>
      <c r="T336" s="1" t="str">
        <f>_xlfn.XLOOKUP(Logs[[#This Row],[ID_Client]],Clients_Log!B:B,Clients_Log!H:H,"Pas de correspondance")</f>
        <v>Pas de correspondance</v>
      </c>
      <c r="U336" s="1" t="str">
        <f>_xlfn.XLOOKUP(Logs[[#This Row],[ID_Client]],Clients_Log!B:B,Clients_Log!I:I,"Pas de correspondance")</f>
        <v>Pas de correspondance</v>
      </c>
      <c r="V33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36" s="1" t="e">
        <f>Logs[[#This Row],[Facture_Mensuelle]]*Logs[[#This Row],[Remise (%)]]</f>
        <v>#VALUE!</v>
      </c>
    </row>
    <row r="337" spans="1:23" hidden="1" x14ac:dyDescent="0.25">
      <c r="A337" s="1" t="s">
        <v>1073</v>
      </c>
      <c r="B337" s="2">
        <v>45214</v>
      </c>
      <c r="C337" s="1" t="str">
        <f>_xlfn.XLOOKUP(Logs[[#This Row],[Province_RDC]],Clients_Log!D:D,Clients_Log!B:B,"Pas de correspondance")</f>
        <v>Pas de correspondance</v>
      </c>
      <c r="D337" t="str">
        <f>_xlfn.XLOOKUP(Logs[[#This Row],[Cell_ID]],'Registre_Maintenance'!B:B,'Registre_Maintenance'!C:C,"Pas de correspondance")</f>
        <v>Pas de correspondance</v>
      </c>
      <c r="E337" s="3">
        <v>0.89375000000000004</v>
      </c>
      <c r="F337" s="1" t="s">
        <v>1093</v>
      </c>
      <c r="G337" s="3">
        <f>Logs[[#This Row],[Duree_Panne_Min]]/1440</f>
        <v>4.1666666666666664E-2</v>
      </c>
      <c r="H337">
        <v>60</v>
      </c>
      <c r="I337" t="str">
        <f>_xlfn.XLOOKUP(Logs[[#This Row],[Cell_ID]],'Registre_Maintenance'!B:B,'Registre_Maintenance'!D:D,"Pas de correspondance")</f>
        <v>Pas de correspondance</v>
      </c>
      <c r="J337" t="str">
        <f>_xlfn.XLOOKUP(Logs[[#This Row],[Cell_ID]],'Registre_Maintenance'!B:B,'Registre_Maintenance'!E:E,"Pas de correspondance")</f>
        <v>Pas de correspondance</v>
      </c>
      <c r="K337" t="str">
        <f>_xlfn.XLOOKUP(Logs[[#This Row],[Cell_ID]],'Registre_Maintenance'!B:B,'Registre_Maintenance'!F:F,"Pas de correspondance")</f>
        <v>Pas de correspondance</v>
      </c>
      <c r="L337" t="str">
        <f>_xlfn.XLOOKUP(Logs[[#This Row],[Cell_ID]],'Registre_Maintenance'!B:B,'Registre_Maintenance'!G:G,"Pas de correspondance")</f>
        <v>Pas de correspondance</v>
      </c>
      <c r="M337" s="1" t="s">
        <v>809</v>
      </c>
      <c r="N337" s="1" t="str">
        <f>_xlfn.XLOOKUP(Logs[[#This Row],[ID_Client]],Clients_Log!B:B,Clients_Log!E:E,"Pas de correspondance")</f>
        <v>Pas de correspondance</v>
      </c>
      <c r="O337" s="4" t="str">
        <f>IFERROR(Logs[[#This Row],[Anciennete_Mois]]/12,"")</f>
        <v/>
      </c>
      <c r="P337" s="1" t="str">
        <f>_xlfn.XLOOKUP(Logs[[#This Row],[ID_Client]],Clients_Log!B:B,Clients_Log!F:F,"Pas de correspondance")</f>
        <v>Pas de correspondance</v>
      </c>
      <c r="Q337" s="1" t="str">
        <f>IF(Logs[[#This Row],[Type_Forfait]]="Pro Monde","B2B","B2C")</f>
        <v>B2C</v>
      </c>
      <c r="R337" s="1" t="str">
        <f>_xlfn.XLOOKUP(Logs[[#This Row],[ID_Client]],Clients_Log!B:B,Clients_Log!G:G,"Pas de correspondance")</f>
        <v>Pas de correspondance</v>
      </c>
      <c r="S337" s="1" t="e">
        <f>Logs[[#This Row],[Duree_Cumulee_Panne_Min]]/1440</f>
        <v>#VALUE!</v>
      </c>
      <c r="T337" s="1" t="str">
        <f>_xlfn.XLOOKUP(Logs[[#This Row],[ID_Client]],Clients_Log!B:B,Clients_Log!H:H,"Pas de correspondance")</f>
        <v>Pas de correspondance</v>
      </c>
      <c r="U337" s="1" t="str">
        <f>_xlfn.XLOOKUP(Logs[[#This Row],[ID_Client]],Clients_Log!B:B,Clients_Log!I:I,"Pas de correspondance")</f>
        <v>Pas de correspondance</v>
      </c>
      <c r="V33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37" s="1" t="e">
        <f>Logs[[#This Row],[Facture_Mensuelle]]*Logs[[#This Row],[Remise (%)]]</f>
        <v>#VALUE!</v>
      </c>
    </row>
    <row r="338" spans="1:23" hidden="1" x14ac:dyDescent="0.25">
      <c r="A338" s="1" t="s">
        <v>1073</v>
      </c>
      <c r="B338" s="2">
        <v>45215</v>
      </c>
      <c r="C338" s="1" t="str">
        <f>_xlfn.XLOOKUP(Logs[[#This Row],[Province_RDC]],Clients_Log!D:D,Clients_Log!B:B,"Pas de correspondance")</f>
        <v>Pas de correspondance</v>
      </c>
      <c r="D338" t="str">
        <f>_xlfn.XLOOKUP(Logs[[#This Row],[Cell_ID]],'Registre_Maintenance'!B:B,'Registre_Maintenance'!C:C,"Pas de correspondance")</f>
        <v>Pas de correspondance</v>
      </c>
      <c r="E338" s="3">
        <v>0.81111111111111112</v>
      </c>
      <c r="F338" s="1" t="s">
        <v>973</v>
      </c>
      <c r="G338" s="3">
        <f>Logs[[#This Row],[Duree_Panne_Min]]/1440</f>
        <v>4.8611111111111112E-3</v>
      </c>
      <c r="H338">
        <v>7</v>
      </c>
      <c r="I338" t="str">
        <f>_xlfn.XLOOKUP(Logs[[#This Row],[Cell_ID]],'Registre_Maintenance'!B:B,'Registre_Maintenance'!D:D,"Pas de correspondance")</f>
        <v>Pas de correspondance</v>
      </c>
      <c r="J338" t="str">
        <f>_xlfn.XLOOKUP(Logs[[#This Row],[Cell_ID]],'Registre_Maintenance'!B:B,'Registre_Maintenance'!E:E,"Pas de correspondance")</f>
        <v>Pas de correspondance</v>
      </c>
      <c r="K338" t="str">
        <f>_xlfn.XLOOKUP(Logs[[#This Row],[Cell_ID]],'Registre_Maintenance'!B:B,'Registre_Maintenance'!F:F,"Pas de correspondance")</f>
        <v>Pas de correspondance</v>
      </c>
      <c r="L338" t="str">
        <f>_xlfn.XLOOKUP(Logs[[#This Row],[Cell_ID]],'Registre_Maintenance'!B:B,'Registre_Maintenance'!G:G,"Pas de correspondance")</f>
        <v>Pas de correspondance</v>
      </c>
      <c r="M338" s="1" t="s">
        <v>811</v>
      </c>
      <c r="N338" s="1" t="str">
        <f>_xlfn.XLOOKUP(Logs[[#This Row],[ID_Client]],Clients_Log!B:B,Clients_Log!E:E,"Pas de correspondance")</f>
        <v>Pas de correspondance</v>
      </c>
      <c r="O338" s="4" t="str">
        <f>IFERROR(Logs[[#This Row],[Anciennete_Mois]]/12,"")</f>
        <v/>
      </c>
      <c r="P338" s="1" t="str">
        <f>_xlfn.XLOOKUP(Logs[[#This Row],[ID_Client]],Clients_Log!B:B,Clients_Log!F:F,"Pas de correspondance")</f>
        <v>Pas de correspondance</v>
      </c>
      <c r="Q338" s="1" t="str">
        <f>IF(Logs[[#This Row],[Type_Forfait]]="Pro Monde","B2B","B2C")</f>
        <v>B2C</v>
      </c>
      <c r="R338" s="1" t="str">
        <f>_xlfn.XLOOKUP(Logs[[#This Row],[ID_Client]],Clients_Log!B:B,Clients_Log!G:G,"Pas de correspondance")</f>
        <v>Pas de correspondance</v>
      </c>
      <c r="S338" s="1" t="e">
        <f>Logs[[#This Row],[Duree_Cumulee_Panne_Min]]/1440</f>
        <v>#VALUE!</v>
      </c>
      <c r="T338" s="1" t="str">
        <f>_xlfn.XLOOKUP(Logs[[#This Row],[ID_Client]],Clients_Log!B:B,Clients_Log!H:H,"Pas de correspondance")</f>
        <v>Pas de correspondance</v>
      </c>
      <c r="U338" s="1" t="str">
        <f>_xlfn.XLOOKUP(Logs[[#This Row],[ID_Client]],Clients_Log!B:B,Clients_Log!I:I,"Pas de correspondance")</f>
        <v>Pas de correspondance</v>
      </c>
      <c r="V33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38" s="1" t="e">
        <f>Logs[[#This Row],[Facture_Mensuelle]]*Logs[[#This Row],[Remise (%)]]</f>
        <v>#VALUE!</v>
      </c>
    </row>
    <row r="339" spans="1:23" hidden="1" x14ac:dyDescent="0.25">
      <c r="A339" s="1" t="s">
        <v>1073</v>
      </c>
      <c r="B339" s="2">
        <v>45213</v>
      </c>
      <c r="C339" s="1" t="str">
        <f>_xlfn.XLOOKUP(Logs[[#This Row],[Province_RDC]],Clients_Log!D:D,Clients_Log!B:B,"Pas de correspondance")</f>
        <v>Pas de correspondance</v>
      </c>
      <c r="D339" t="str">
        <f>_xlfn.XLOOKUP(Logs[[#This Row],[Cell_ID]],'Registre_Maintenance'!B:B,'Registre_Maintenance'!C:C,"Pas de correspondance")</f>
        <v>Pas de correspondance</v>
      </c>
      <c r="E339" s="3">
        <v>0.34236111111111112</v>
      </c>
      <c r="F339" s="1" t="s">
        <v>1094</v>
      </c>
      <c r="G339" s="3">
        <f>Logs[[#This Row],[Duree_Panne_Min]]/1440</f>
        <v>4.3749999999999997E-2</v>
      </c>
      <c r="H339">
        <v>63</v>
      </c>
      <c r="I339" t="str">
        <f>_xlfn.XLOOKUP(Logs[[#This Row],[Cell_ID]],'Registre_Maintenance'!B:B,'Registre_Maintenance'!D:D,"Pas de correspondance")</f>
        <v>Pas de correspondance</v>
      </c>
      <c r="J339" t="str">
        <f>_xlfn.XLOOKUP(Logs[[#This Row],[Cell_ID]],'Registre_Maintenance'!B:B,'Registre_Maintenance'!E:E,"Pas de correspondance")</f>
        <v>Pas de correspondance</v>
      </c>
      <c r="K339" t="str">
        <f>_xlfn.XLOOKUP(Logs[[#This Row],[Cell_ID]],'Registre_Maintenance'!B:B,'Registre_Maintenance'!F:F,"Pas de correspondance")</f>
        <v>Pas de correspondance</v>
      </c>
      <c r="L339" t="str">
        <f>_xlfn.XLOOKUP(Logs[[#This Row],[Cell_ID]],'Registre_Maintenance'!B:B,'Registre_Maintenance'!G:G,"Pas de correspondance")</f>
        <v>Pas de correspondance</v>
      </c>
      <c r="M339" s="1" t="s">
        <v>809</v>
      </c>
      <c r="N339" s="1" t="str">
        <f>_xlfn.XLOOKUP(Logs[[#This Row],[ID_Client]],Clients_Log!B:B,Clients_Log!E:E,"Pas de correspondance")</f>
        <v>Pas de correspondance</v>
      </c>
      <c r="O339" s="4" t="str">
        <f>IFERROR(Logs[[#This Row],[Anciennete_Mois]]/12,"")</f>
        <v/>
      </c>
      <c r="P339" s="1" t="str">
        <f>_xlfn.XLOOKUP(Logs[[#This Row],[ID_Client]],Clients_Log!B:B,Clients_Log!F:F,"Pas de correspondance")</f>
        <v>Pas de correspondance</v>
      </c>
      <c r="Q339" s="1" t="str">
        <f>IF(Logs[[#This Row],[Type_Forfait]]="Pro Monde","B2B","B2C")</f>
        <v>B2C</v>
      </c>
      <c r="R339" s="1" t="str">
        <f>_xlfn.XLOOKUP(Logs[[#This Row],[ID_Client]],Clients_Log!B:B,Clients_Log!G:G,"Pas de correspondance")</f>
        <v>Pas de correspondance</v>
      </c>
      <c r="S339" s="1" t="e">
        <f>Logs[[#This Row],[Duree_Cumulee_Panne_Min]]/1440</f>
        <v>#VALUE!</v>
      </c>
      <c r="T339" s="1" t="str">
        <f>_xlfn.XLOOKUP(Logs[[#This Row],[ID_Client]],Clients_Log!B:B,Clients_Log!H:H,"Pas de correspondance")</f>
        <v>Pas de correspondance</v>
      </c>
      <c r="U339" s="1" t="str">
        <f>_xlfn.XLOOKUP(Logs[[#This Row],[ID_Client]],Clients_Log!B:B,Clients_Log!I:I,"Pas de correspondance")</f>
        <v>Pas de correspondance</v>
      </c>
      <c r="V33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39" s="1" t="e">
        <f>Logs[[#This Row],[Facture_Mensuelle]]*Logs[[#This Row],[Remise (%)]]</f>
        <v>#VALUE!</v>
      </c>
    </row>
    <row r="340" spans="1:23" hidden="1" x14ac:dyDescent="0.25">
      <c r="A340" s="1" t="s">
        <v>1073</v>
      </c>
      <c r="B340" s="2">
        <v>45224</v>
      </c>
      <c r="C340" s="1" t="str">
        <f>_xlfn.XLOOKUP(Logs[[#This Row],[Province_RDC]],Clients_Log!D:D,Clients_Log!B:B,"Pas de correspondance")</f>
        <v>Pas de correspondance</v>
      </c>
      <c r="D340" t="str">
        <f>_xlfn.XLOOKUP(Logs[[#This Row],[Cell_ID]],'Registre_Maintenance'!B:B,'Registre_Maintenance'!C:C,"Pas de correspondance")</f>
        <v>Pas de correspondance</v>
      </c>
      <c r="E340" s="3">
        <v>0.67152777777777772</v>
      </c>
      <c r="F340" s="1" t="s">
        <v>961</v>
      </c>
      <c r="G340" s="3">
        <f>Logs[[#This Row],[Duree_Panne_Min]]/1440</f>
        <v>9.7222222222222224E-3</v>
      </c>
      <c r="H340">
        <v>14</v>
      </c>
      <c r="I340" t="str">
        <f>_xlfn.XLOOKUP(Logs[[#This Row],[Cell_ID]],'Registre_Maintenance'!B:B,'Registre_Maintenance'!D:D,"Pas de correspondance")</f>
        <v>Pas de correspondance</v>
      </c>
      <c r="J340" t="str">
        <f>_xlfn.XLOOKUP(Logs[[#This Row],[Cell_ID]],'Registre_Maintenance'!B:B,'Registre_Maintenance'!E:E,"Pas de correspondance")</f>
        <v>Pas de correspondance</v>
      </c>
      <c r="K340" t="str">
        <f>_xlfn.XLOOKUP(Logs[[#This Row],[Cell_ID]],'Registre_Maintenance'!B:B,'Registre_Maintenance'!F:F,"Pas de correspondance")</f>
        <v>Pas de correspondance</v>
      </c>
      <c r="L340" t="str">
        <f>_xlfn.XLOOKUP(Logs[[#This Row],[Cell_ID]],'Registre_Maintenance'!B:B,'Registre_Maintenance'!G:G,"Pas de correspondance")</f>
        <v>Pas de correspondance</v>
      </c>
      <c r="M340" s="1" t="s">
        <v>811</v>
      </c>
      <c r="N340" s="1" t="str">
        <f>_xlfn.XLOOKUP(Logs[[#This Row],[ID_Client]],Clients_Log!B:B,Clients_Log!E:E,"Pas de correspondance")</f>
        <v>Pas de correspondance</v>
      </c>
      <c r="O340" s="4" t="str">
        <f>IFERROR(Logs[[#This Row],[Anciennete_Mois]]/12,"")</f>
        <v/>
      </c>
      <c r="P340" s="1" t="str">
        <f>_xlfn.XLOOKUP(Logs[[#This Row],[ID_Client]],Clients_Log!B:B,Clients_Log!F:F,"Pas de correspondance")</f>
        <v>Pas de correspondance</v>
      </c>
      <c r="Q340" s="1" t="str">
        <f>IF(Logs[[#This Row],[Type_Forfait]]="Pro Monde","B2B","B2C")</f>
        <v>B2C</v>
      </c>
      <c r="R340" s="1" t="str">
        <f>_xlfn.XLOOKUP(Logs[[#This Row],[ID_Client]],Clients_Log!B:B,Clients_Log!G:G,"Pas de correspondance")</f>
        <v>Pas de correspondance</v>
      </c>
      <c r="S340" s="1" t="e">
        <f>Logs[[#This Row],[Duree_Cumulee_Panne_Min]]/1440</f>
        <v>#VALUE!</v>
      </c>
      <c r="T340" s="1" t="str">
        <f>_xlfn.XLOOKUP(Logs[[#This Row],[ID_Client]],Clients_Log!B:B,Clients_Log!H:H,"Pas de correspondance")</f>
        <v>Pas de correspondance</v>
      </c>
      <c r="U340" s="1" t="str">
        <f>_xlfn.XLOOKUP(Logs[[#This Row],[ID_Client]],Clients_Log!B:B,Clients_Log!I:I,"Pas de correspondance")</f>
        <v>Pas de correspondance</v>
      </c>
      <c r="V34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40" s="1" t="e">
        <f>Logs[[#This Row],[Facture_Mensuelle]]*Logs[[#This Row],[Remise (%)]]</f>
        <v>#VALUE!</v>
      </c>
    </row>
    <row r="341" spans="1:23" hidden="1" x14ac:dyDescent="0.25">
      <c r="A341" s="1" t="s">
        <v>1073</v>
      </c>
      <c r="B341" s="2">
        <v>45211</v>
      </c>
      <c r="C341" s="1" t="str">
        <f>_xlfn.XLOOKUP(Logs[[#This Row],[Province_RDC]],Clients_Log!D:D,Clients_Log!B:B,"Pas de correspondance")</f>
        <v>Pas de correspondance</v>
      </c>
      <c r="D341" t="str">
        <f>_xlfn.XLOOKUP(Logs[[#This Row],[Cell_ID]],'Registre_Maintenance'!B:B,'Registre_Maintenance'!C:C,"Pas de correspondance")</f>
        <v>Pas de correspondance</v>
      </c>
      <c r="E341" s="3">
        <v>0.54652777777777772</v>
      </c>
      <c r="F341" s="1" t="s">
        <v>868</v>
      </c>
      <c r="G341" s="3">
        <f>Logs[[#This Row],[Duree_Panne_Min]]/1440</f>
        <v>7.9861111111111105E-2</v>
      </c>
      <c r="H341">
        <v>115</v>
      </c>
      <c r="I341" t="str">
        <f>_xlfn.XLOOKUP(Logs[[#This Row],[Cell_ID]],'Registre_Maintenance'!B:B,'Registre_Maintenance'!D:D,"Pas de correspondance")</f>
        <v>Pas de correspondance</v>
      </c>
      <c r="J341" t="str">
        <f>_xlfn.XLOOKUP(Logs[[#This Row],[Cell_ID]],'Registre_Maintenance'!B:B,'Registre_Maintenance'!E:E,"Pas de correspondance")</f>
        <v>Pas de correspondance</v>
      </c>
      <c r="K341" t="str">
        <f>_xlfn.XLOOKUP(Logs[[#This Row],[Cell_ID]],'Registre_Maintenance'!B:B,'Registre_Maintenance'!F:F,"Pas de correspondance")</f>
        <v>Pas de correspondance</v>
      </c>
      <c r="L341" t="str">
        <f>_xlfn.XLOOKUP(Logs[[#This Row],[Cell_ID]],'Registre_Maintenance'!B:B,'Registre_Maintenance'!G:G,"Pas de correspondance")</f>
        <v>Pas de correspondance</v>
      </c>
      <c r="M341" s="1" t="s">
        <v>806</v>
      </c>
      <c r="N341" s="1" t="str">
        <f>_xlfn.XLOOKUP(Logs[[#This Row],[ID_Client]],Clients_Log!B:B,Clients_Log!E:E,"Pas de correspondance")</f>
        <v>Pas de correspondance</v>
      </c>
      <c r="O341" s="4" t="str">
        <f>IFERROR(Logs[[#This Row],[Anciennete_Mois]]/12,"")</f>
        <v/>
      </c>
      <c r="P341" s="1" t="str">
        <f>_xlfn.XLOOKUP(Logs[[#This Row],[ID_Client]],Clients_Log!B:B,Clients_Log!F:F,"Pas de correspondance")</f>
        <v>Pas de correspondance</v>
      </c>
      <c r="Q341" s="1" t="str">
        <f>IF(Logs[[#This Row],[Type_Forfait]]="Pro Monde","B2B","B2C")</f>
        <v>B2C</v>
      </c>
      <c r="R341" s="1" t="str">
        <f>_xlfn.XLOOKUP(Logs[[#This Row],[ID_Client]],Clients_Log!B:B,Clients_Log!G:G,"Pas de correspondance")</f>
        <v>Pas de correspondance</v>
      </c>
      <c r="S341" s="1" t="e">
        <f>Logs[[#This Row],[Duree_Cumulee_Panne_Min]]/1440</f>
        <v>#VALUE!</v>
      </c>
      <c r="T341" s="1" t="str">
        <f>_xlfn.XLOOKUP(Logs[[#This Row],[ID_Client]],Clients_Log!B:B,Clients_Log!H:H,"Pas de correspondance")</f>
        <v>Pas de correspondance</v>
      </c>
      <c r="U341" s="1" t="str">
        <f>_xlfn.XLOOKUP(Logs[[#This Row],[ID_Client]],Clients_Log!B:B,Clients_Log!I:I,"Pas de correspondance")</f>
        <v>Pas de correspondance</v>
      </c>
      <c r="V34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41" s="1" t="e">
        <f>Logs[[#This Row],[Facture_Mensuelle]]*Logs[[#This Row],[Remise (%)]]</f>
        <v>#VALUE!</v>
      </c>
    </row>
    <row r="342" spans="1:23" hidden="1" x14ac:dyDescent="0.25">
      <c r="A342" s="1" t="s">
        <v>1073</v>
      </c>
      <c r="B342" s="2">
        <v>45209</v>
      </c>
      <c r="C342" s="1" t="str">
        <f>_xlfn.XLOOKUP(Logs[[#This Row],[Province_RDC]],Clients_Log!D:D,Clients_Log!B:B,"Pas de correspondance")</f>
        <v>Pas de correspondance</v>
      </c>
      <c r="D342" t="str">
        <f>_xlfn.XLOOKUP(Logs[[#This Row],[Cell_ID]],'Registre_Maintenance'!B:B,'Registre_Maintenance'!C:C,"Pas de correspondance")</f>
        <v>Pas de correspondance</v>
      </c>
      <c r="E342" s="3">
        <v>0.90486111111111112</v>
      </c>
      <c r="F342" s="1" t="s">
        <v>833</v>
      </c>
      <c r="G342" s="3">
        <f>Logs[[#This Row],[Duree_Panne_Min]]/1440</f>
        <v>3.125E-2</v>
      </c>
      <c r="H342">
        <v>45</v>
      </c>
      <c r="I342" t="str">
        <f>_xlfn.XLOOKUP(Logs[[#This Row],[Cell_ID]],'Registre_Maintenance'!B:B,'Registre_Maintenance'!D:D,"Pas de correspondance")</f>
        <v>Pas de correspondance</v>
      </c>
      <c r="J342" t="str">
        <f>_xlfn.XLOOKUP(Logs[[#This Row],[Cell_ID]],'Registre_Maintenance'!B:B,'Registre_Maintenance'!E:E,"Pas de correspondance")</f>
        <v>Pas de correspondance</v>
      </c>
      <c r="K342" t="str">
        <f>_xlfn.XLOOKUP(Logs[[#This Row],[Cell_ID]],'Registre_Maintenance'!B:B,'Registre_Maintenance'!F:F,"Pas de correspondance")</f>
        <v>Pas de correspondance</v>
      </c>
      <c r="L342" t="str">
        <f>_xlfn.XLOOKUP(Logs[[#This Row],[Cell_ID]],'Registre_Maintenance'!B:B,'Registre_Maintenance'!G:G,"Pas de correspondance")</f>
        <v>Pas de correspondance</v>
      </c>
      <c r="M342" s="1" t="s">
        <v>811</v>
      </c>
      <c r="N342" s="1" t="str">
        <f>_xlfn.XLOOKUP(Logs[[#This Row],[ID_Client]],Clients_Log!B:B,Clients_Log!E:E,"Pas de correspondance")</f>
        <v>Pas de correspondance</v>
      </c>
      <c r="O342" s="4" t="str">
        <f>IFERROR(Logs[[#This Row],[Anciennete_Mois]]/12,"")</f>
        <v/>
      </c>
      <c r="P342" s="1" t="str">
        <f>_xlfn.XLOOKUP(Logs[[#This Row],[ID_Client]],Clients_Log!B:B,Clients_Log!F:F,"Pas de correspondance")</f>
        <v>Pas de correspondance</v>
      </c>
      <c r="Q342" s="1" t="str">
        <f>IF(Logs[[#This Row],[Type_Forfait]]="Pro Monde","B2B","B2C")</f>
        <v>B2C</v>
      </c>
      <c r="R342" s="1" t="str">
        <f>_xlfn.XLOOKUP(Logs[[#This Row],[ID_Client]],Clients_Log!B:B,Clients_Log!G:G,"Pas de correspondance")</f>
        <v>Pas de correspondance</v>
      </c>
      <c r="S342" s="1" t="e">
        <f>Logs[[#This Row],[Duree_Cumulee_Panne_Min]]/1440</f>
        <v>#VALUE!</v>
      </c>
      <c r="T342" s="1" t="str">
        <f>_xlfn.XLOOKUP(Logs[[#This Row],[ID_Client]],Clients_Log!B:B,Clients_Log!H:H,"Pas de correspondance")</f>
        <v>Pas de correspondance</v>
      </c>
      <c r="U342" s="1" t="str">
        <f>_xlfn.XLOOKUP(Logs[[#This Row],[ID_Client]],Clients_Log!B:B,Clients_Log!I:I,"Pas de correspondance")</f>
        <v>Pas de correspondance</v>
      </c>
      <c r="V34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42" s="1" t="e">
        <f>Logs[[#This Row],[Facture_Mensuelle]]*Logs[[#This Row],[Remise (%)]]</f>
        <v>#VALUE!</v>
      </c>
    </row>
    <row r="343" spans="1:23" hidden="1" x14ac:dyDescent="0.25">
      <c r="A343" s="1" t="s">
        <v>1073</v>
      </c>
      <c r="B343" s="2">
        <v>45218</v>
      </c>
      <c r="C343" s="1" t="str">
        <f>_xlfn.XLOOKUP(Logs[[#This Row],[Province_RDC]],Clients_Log!D:D,Clients_Log!B:B,"Pas de correspondance")</f>
        <v>Pas de correspondance</v>
      </c>
      <c r="D343" t="str">
        <f>_xlfn.XLOOKUP(Logs[[#This Row],[Cell_ID]],'Registre_Maintenance'!B:B,'Registre_Maintenance'!C:C,"Pas de correspondance")</f>
        <v>Pas de correspondance</v>
      </c>
      <c r="E343" s="3">
        <v>0.6479166666666667</v>
      </c>
      <c r="F343" s="1" t="s">
        <v>1095</v>
      </c>
      <c r="G343" s="3">
        <f>Logs[[#This Row],[Duree_Panne_Min]]/1440</f>
        <v>5.4166666666666669E-2</v>
      </c>
      <c r="H343">
        <v>78</v>
      </c>
      <c r="I343" t="str">
        <f>_xlfn.XLOOKUP(Logs[[#This Row],[Cell_ID]],'Registre_Maintenance'!B:B,'Registre_Maintenance'!D:D,"Pas de correspondance")</f>
        <v>Pas de correspondance</v>
      </c>
      <c r="J343" t="str">
        <f>_xlfn.XLOOKUP(Logs[[#This Row],[Cell_ID]],'Registre_Maintenance'!B:B,'Registre_Maintenance'!E:E,"Pas de correspondance")</f>
        <v>Pas de correspondance</v>
      </c>
      <c r="K343" t="str">
        <f>_xlfn.XLOOKUP(Logs[[#This Row],[Cell_ID]],'Registre_Maintenance'!B:B,'Registre_Maintenance'!F:F,"Pas de correspondance")</f>
        <v>Pas de correspondance</v>
      </c>
      <c r="L343" t="str">
        <f>_xlfn.XLOOKUP(Logs[[#This Row],[Cell_ID]],'Registre_Maintenance'!B:B,'Registre_Maintenance'!G:G,"Pas de correspondance")</f>
        <v>Pas de correspondance</v>
      </c>
      <c r="M343" s="1" t="s">
        <v>806</v>
      </c>
      <c r="N343" s="1" t="str">
        <f>_xlfn.XLOOKUP(Logs[[#This Row],[ID_Client]],Clients_Log!B:B,Clients_Log!E:E,"Pas de correspondance")</f>
        <v>Pas de correspondance</v>
      </c>
      <c r="O343" s="4" t="str">
        <f>IFERROR(Logs[[#This Row],[Anciennete_Mois]]/12,"")</f>
        <v/>
      </c>
      <c r="P343" s="1" t="str">
        <f>_xlfn.XLOOKUP(Logs[[#This Row],[ID_Client]],Clients_Log!B:B,Clients_Log!F:F,"Pas de correspondance")</f>
        <v>Pas de correspondance</v>
      </c>
      <c r="Q343" s="1" t="str">
        <f>IF(Logs[[#This Row],[Type_Forfait]]="Pro Monde","B2B","B2C")</f>
        <v>B2C</v>
      </c>
      <c r="R343" s="1" t="str">
        <f>_xlfn.XLOOKUP(Logs[[#This Row],[ID_Client]],Clients_Log!B:B,Clients_Log!G:G,"Pas de correspondance")</f>
        <v>Pas de correspondance</v>
      </c>
      <c r="S343" s="1" t="e">
        <f>Logs[[#This Row],[Duree_Cumulee_Panne_Min]]/1440</f>
        <v>#VALUE!</v>
      </c>
      <c r="T343" s="1" t="str">
        <f>_xlfn.XLOOKUP(Logs[[#This Row],[ID_Client]],Clients_Log!B:B,Clients_Log!H:H,"Pas de correspondance")</f>
        <v>Pas de correspondance</v>
      </c>
      <c r="U343" s="1" t="str">
        <f>_xlfn.XLOOKUP(Logs[[#This Row],[ID_Client]],Clients_Log!B:B,Clients_Log!I:I,"Pas de correspondance")</f>
        <v>Pas de correspondance</v>
      </c>
      <c r="V34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43" s="1" t="e">
        <f>Logs[[#This Row],[Facture_Mensuelle]]*Logs[[#This Row],[Remise (%)]]</f>
        <v>#VALUE!</v>
      </c>
    </row>
    <row r="344" spans="1:23" x14ac:dyDescent="0.25">
      <c r="A344" s="1" t="s">
        <v>1073</v>
      </c>
      <c r="B344" s="2">
        <v>45221</v>
      </c>
      <c r="C344" s="1" t="str">
        <f>_xlfn.XLOOKUP(Logs[[#This Row],[Province_RDC]],Clients_Log!D:D,Clients_Log!B:B,"Pas de correspondance")</f>
        <v>CLI-00185</v>
      </c>
      <c r="D344" t="str">
        <f>_xlfn.XLOOKUP(Logs[[#This Row],[Cell_ID]],'Registre_Maintenance'!B:B,'Registre_Maintenance'!C:C,"Pas de correspondance")</f>
        <v>Maniema</v>
      </c>
      <c r="E344" s="3">
        <v>0.37638888888888888</v>
      </c>
      <c r="F344" s="1" t="s">
        <v>1096</v>
      </c>
      <c r="G344" s="3">
        <f>Logs[[#This Row],[Duree_Panne_Min]]/1440</f>
        <v>4.0972222222222222E-2</v>
      </c>
      <c r="H344">
        <v>59</v>
      </c>
      <c r="I344">
        <f>_xlfn.XLOOKUP(Logs[[#This Row],[Cell_ID]],'Registre_Maintenance'!B:B,'Registre_Maintenance'!D:D,"Pas de correspondance")</f>
        <v>-8.4824669999999998</v>
      </c>
      <c r="J344">
        <f>_xlfn.XLOOKUP(Logs[[#This Row],[Cell_ID]],'Registre_Maintenance'!B:B,'Registre_Maintenance'!E:E,"Pas de correspondance")</f>
        <v>21.897777999999999</v>
      </c>
      <c r="K344" t="str">
        <f>_xlfn.XLOOKUP(Logs[[#This Row],[Cell_ID]],'Registre_Maintenance'!B:B,'Registre_Maintenance'!F:F,"Pas de correspondance")</f>
        <v>5G</v>
      </c>
      <c r="L344" t="str">
        <f>_xlfn.XLOOKUP(Logs[[#This Row],[Cell_ID]],'Registre_Maintenance'!B:B,'Registre_Maintenance'!G:G,"Pas de correspondance")</f>
        <v>Ericsson</v>
      </c>
      <c r="M344" s="1" t="s">
        <v>811</v>
      </c>
      <c r="N344" s="1">
        <f>_xlfn.XLOOKUP(Logs[[#This Row],[ID_Client]],Clients_Log!B:B,Clients_Log!E:E,"Pas de correspondance")</f>
        <v>81</v>
      </c>
      <c r="O344" s="4">
        <f>IFERROR(Logs[[#This Row],[Anciennete_Mois]]/12,"")</f>
        <v>6.75</v>
      </c>
      <c r="P344" s="1" t="str">
        <f>_xlfn.XLOOKUP(Logs[[#This Row],[ID_Client]],Clients_Log!B:B,Clients_Log!F:F,"Pas de correspondance")</f>
        <v>Pro Monde</v>
      </c>
      <c r="Q344" s="1" t="str">
        <f>IF(Logs[[#This Row],[Type_Forfait]]="Pro Monde","B2B","B2C")</f>
        <v>B2B</v>
      </c>
      <c r="R344" s="1">
        <f>_xlfn.XLOOKUP(Logs[[#This Row],[ID_Client]],Clients_Log!B:B,Clients_Log!G:G,"Pas de correspondance")</f>
        <v>154</v>
      </c>
      <c r="S344" s="3">
        <f>Logs[[#This Row],[Duree_Cumulee_Panne_Min]]/1440</f>
        <v>0.10694444444444444</v>
      </c>
      <c r="T344" s="1">
        <f>_xlfn.XLOOKUP(Logs[[#This Row],[ID_Client]],Clients_Log!B:B,Clients_Log!H:H,"Pas de correspondance")</f>
        <v>19.47</v>
      </c>
      <c r="U344" s="1">
        <f>_xlfn.XLOOKUP(Logs[[#This Row],[ID_Client]],Clients_Log!B:B,Clients_Log!I:I,"Pas de correspondance")</f>
        <v>3</v>
      </c>
      <c r="V34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344" s="1">
        <f>Logs[[#This Row],[Facture_Mensuelle]]*Logs[[#This Row],[Remise (%)]]</f>
        <v>1.9470000000000001</v>
      </c>
    </row>
    <row r="345" spans="1:23" x14ac:dyDescent="0.25">
      <c r="A345" s="1" t="s">
        <v>1073</v>
      </c>
      <c r="B345" s="2">
        <v>45207</v>
      </c>
      <c r="C345" s="1" t="str">
        <f>_xlfn.XLOOKUP(Logs[[#This Row],[Province_RDC]],Clients_Log!D:D,Clients_Log!B:B,"Pas de correspondance")</f>
        <v>CLI-00076</v>
      </c>
      <c r="D345" t="str">
        <f>_xlfn.XLOOKUP(Logs[[#This Row],[Cell_ID]],'Registre_Maintenance'!B:B,'Registre_Maintenance'!C:C,"Pas de correspondance")</f>
        <v>Haut-Katanga</v>
      </c>
      <c r="E345" s="3">
        <v>0.52638888888888891</v>
      </c>
      <c r="F345" s="1" t="s">
        <v>1097</v>
      </c>
      <c r="G345" s="3">
        <f>Logs[[#This Row],[Duree_Panne_Min]]/1440</f>
        <v>5.4166666666666669E-2</v>
      </c>
      <c r="H345">
        <v>78</v>
      </c>
      <c r="I345">
        <f>_xlfn.XLOOKUP(Logs[[#This Row],[Cell_ID]],'Registre_Maintenance'!B:B,'Registre_Maintenance'!D:D,"Pas de correspondance")</f>
        <v>-9.4229749999999992</v>
      </c>
      <c r="J345">
        <f>_xlfn.XLOOKUP(Logs[[#This Row],[Cell_ID]],'Registre_Maintenance'!B:B,'Registre_Maintenance'!E:E,"Pas de correspondance")</f>
        <v>29.375005999999999</v>
      </c>
      <c r="K345" t="str">
        <f>_xlfn.XLOOKUP(Logs[[#This Row],[Cell_ID]],'Registre_Maintenance'!B:B,'Registre_Maintenance'!F:F,"Pas de correspondance")</f>
        <v>3G</v>
      </c>
      <c r="L345" t="str">
        <f>_xlfn.XLOOKUP(Logs[[#This Row],[Cell_ID]],'Registre_Maintenance'!B:B,'Registre_Maintenance'!G:G,"Pas de correspondance")</f>
        <v>Ericsson</v>
      </c>
      <c r="M345" s="1" t="s">
        <v>811</v>
      </c>
      <c r="N345" s="1">
        <f>_xlfn.XLOOKUP(Logs[[#This Row],[ID_Client]],Clients_Log!B:B,Clients_Log!E:E,"Pas de correspondance")</f>
        <v>46</v>
      </c>
      <c r="O345" s="4">
        <f>IFERROR(Logs[[#This Row],[Anciennete_Mois]]/12,"")</f>
        <v>3.8333333333333335</v>
      </c>
      <c r="P345" s="1" t="str">
        <f>_xlfn.XLOOKUP(Logs[[#This Row],[ID_Client]],Clients_Log!B:B,Clients_Log!F:F,"Pas de correspondance")</f>
        <v>Premium 5G 150Go</v>
      </c>
      <c r="Q345" s="1" t="str">
        <f>IF(Logs[[#This Row],[Type_Forfait]]="Pro Monde","B2B","B2C")</f>
        <v>B2C</v>
      </c>
      <c r="R345" s="1">
        <f>_xlfn.XLOOKUP(Logs[[#This Row],[ID_Client]],Clients_Log!B:B,Clients_Log!G:G,"Pas de correspondance")</f>
        <v>283</v>
      </c>
      <c r="S345" s="3">
        <f>Logs[[#This Row],[Duree_Cumulee_Panne_Min]]/1440</f>
        <v>0.19652777777777777</v>
      </c>
      <c r="T345" s="1">
        <f>_xlfn.XLOOKUP(Logs[[#This Row],[ID_Client]],Clients_Log!B:B,Clients_Log!H:H,"Pas de correspondance")</f>
        <v>56.05</v>
      </c>
      <c r="U345" s="1">
        <f>_xlfn.XLOOKUP(Logs[[#This Row],[ID_Client]],Clients_Log!B:B,Clients_Log!I:I,"Pas de correspondance")</f>
        <v>1</v>
      </c>
      <c r="V34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45" s="1">
        <f>Logs[[#This Row],[Facture_Mensuelle]]*Logs[[#This Row],[Remise (%)]]</f>
        <v>25.2225</v>
      </c>
    </row>
    <row r="346" spans="1:23" x14ac:dyDescent="0.25">
      <c r="A346" s="1" t="s">
        <v>1073</v>
      </c>
      <c r="B346" s="2">
        <v>45201</v>
      </c>
      <c r="C346" s="1" t="str">
        <f>_xlfn.XLOOKUP(Logs[[#This Row],[Province_RDC]],Clients_Log!D:D,Clients_Log!B:B,"Pas de correspondance")</f>
        <v>CLI-01170</v>
      </c>
      <c r="D346" t="str">
        <f>_xlfn.XLOOKUP(Logs[[#This Row],[Cell_ID]],'Registre_Maintenance'!B:B,'Registre_Maintenance'!C:C,"Pas de correspondance")</f>
        <v>Nord-Ubangi</v>
      </c>
      <c r="E346" s="3">
        <v>9.0277777777777769E-3</v>
      </c>
      <c r="F346" s="1" t="s">
        <v>1064</v>
      </c>
      <c r="G346" s="3">
        <f>Logs[[#This Row],[Duree_Panne_Min]]/1440</f>
        <v>3.888888888888889E-2</v>
      </c>
      <c r="H346">
        <v>56</v>
      </c>
      <c r="I346">
        <f>_xlfn.XLOOKUP(Logs[[#This Row],[Cell_ID]],'Registre_Maintenance'!B:B,'Registre_Maintenance'!D:D,"Pas de correspondance")</f>
        <v>-7.7839049999999999</v>
      </c>
      <c r="J346">
        <f>_xlfn.XLOOKUP(Logs[[#This Row],[Cell_ID]],'Registre_Maintenance'!B:B,'Registre_Maintenance'!E:E,"Pas de correspondance")</f>
        <v>14.114281999999999</v>
      </c>
      <c r="K346" t="str">
        <f>_xlfn.XLOOKUP(Logs[[#This Row],[Cell_ID]],'Registre_Maintenance'!B:B,'Registre_Maintenance'!F:F,"Pas de correspondance")</f>
        <v>3G</v>
      </c>
      <c r="L346" t="str">
        <f>_xlfn.XLOOKUP(Logs[[#This Row],[Cell_ID]],'Registre_Maintenance'!B:B,'Registre_Maintenance'!G:G,"Pas de correspondance")</f>
        <v>ZTE</v>
      </c>
      <c r="M346" s="1" t="s">
        <v>809</v>
      </c>
      <c r="N346" s="1">
        <f>_xlfn.XLOOKUP(Logs[[#This Row],[ID_Client]],Clients_Log!B:B,Clients_Log!E:E,"Pas de correspondance")</f>
        <v>98</v>
      </c>
      <c r="O346" s="4">
        <f>IFERROR(Logs[[#This Row],[Anciennete_Mois]]/12,"")</f>
        <v>8.1666666666666661</v>
      </c>
      <c r="P346" s="1" t="str">
        <f>_xlfn.XLOOKUP(Logs[[#This Row],[ID_Client]],Clients_Log!B:B,Clients_Log!F:F,"Pas de correspondance")</f>
        <v>Pro Monde</v>
      </c>
      <c r="Q346" s="1" t="str">
        <f>IF(Logs[[#This Row],[Type_Forfait]]="Pro Monde","B2B","B2C")</f>
        <v>B2B</v>
      </c>
      <c r="R346" s="1">
        <f>_xlfn.XLOOKUP(Logs[[#This Row],[ID_Client]],Clients_Log!B:B,Clients_Log!G:G,"Pas de correspondance")</f>
        <v>482</v>
      </c>
      <c r="S346" s="3">
        <f>Logs[[#This Row],[Duree_Cumulee_Panne_Min]]/1440</f>
        <v>0.3347222222222222</v>
      </c>
      <c r="T346" s="1">
        <f>_xlfn.XLOOKUP(Logs[[#This Row],[ID_Client]],Clients_Log!B:B,Clients_Log!H:H,"Pas de correspondance")</f>
        <v>55.04</v>
      </c>
      <c r="U346" s="1">
        <f>_xlfn.XLOOKUP(Logs[[#This Row],[ID_Client]],Clients_Log!B:B,Clients_Log!I:I,"Pas de correspondance")</f>
        <v>5</v>
      </c>
      <c r="V34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46" s="1">
        <f>Logs[[#This Row],[Facture_Mensuelle]]*Logs[[#This Row],[Remise (%)]]</f>
        <v>24.768000000000001</v>
      </c>
    </row>
    <row r="347" spans="1:23" x14ac:dyDescent="0.25">
      <c r="A347" s="1" t="s">
        <v>1098</v>
      </c>
      <c r="B347" s="2">
        <v>45201</v>
      </c>
      <c r="C347" s="1" t="str">
        <f>_xlfn.XLOOKUP(Logs[[#This Row],[Province_RDC]],Clients_Log!D:D,Clients_Log!B:B,"Pas de correspondance")</f>
        <v>CLI-00076</v>
      </c>
      <c r="D347" t="str">
        <f>_xlfn.XLOOKUP(Logs[[#This Row],[Cell_ID]],'Registre_Maintenance'!B:B,'Registre_Maintenance'!C:C,"Pas de correspondance")</f>
        <v>Haut-Katanga</v>
      </c>
      <c r="E347" s="3">
        <v>5.7638888888888892E-2</v>
      </c>
      <c r="F347" s="1" t="s">
        <v>1099</v>
      </c>
      <c r="G347" s="3">
        <f>Logs[[#This Row],[Duree_Panne_Min]]/1440</f>
        <v>7.1527777777777773E-2</v>
      </c>
      <c r="H347">
        <v>103</v>
      </c>
      <c r="I347">
        <f>_xlfn.XLOOKUP(Logs[[#This Row],[Cell_ID]],'Registre_Maintenance'!B:B,'Registre_Maintenance'!D:D,"Pas de correspondance")</f>
        <v>-11.594525000000001</v>
      </c>
      <c r="J347">
        <f>_xlfn.XLOOKUP(Logs[[#This Row],[Cell_ID]],'Registre_Maintenance'!B:B,'Registre_Maintenance'!E:E,"Pas de correspondance")</f>
        <v>29.744895</v>
      </c>
      <c r="K347" t="str">
        <f>_xlfn.XLOOKUP(Logs[[#This Row],[Cell_ID]],'Registre_Maintenance'!B:B,'Registre_Maintenance'!F:F,"Pas de correspondance")</f>
        <v>3G</v>
      </c>
      <c r="L347" t="str">
        <f>_xlfn.XLOOKUP(Logs[[#This Row],[Cell_ID]],'Registre_Maintenance'!B:B,'Registre_Maintenance'!G:G,"Pas de correspondance")</f>
        <v>ZTE</v>
      </c>
      <c r="M347" s="1" t="s">
        <v>806</v>
      </c>
      <c r="N347" s="1">
        <f>_xlfn.XLOOKUP(Logs[[#This Row],[ID_Client]],Clients_Log!B:B,Clients_Log!E:E,"Pas de correspondance")</f>
        <v>46</v>
      </c>
      <c r="O347" s="4">
        <f>IFERROR(Logs[[#This Row],[Anciennete_Mois]]/12,"")</f>
        <v>3.8333333333333335</v>
      </c>
      <c r="P347" s="1" t="str">
        <f>_xlfn.XLOOKUP(Logs[[#This Row],[ID_Client]],Clients_Log!B:B,Clients_Log!F:F,"Pas de correspondance")</f>
        <v>Premium 5G 150Go</v>
      </c>
      <c r="Q347" s="1" t="str">
        <f>IF(Logs[[#This Row],[Type_Forfait]]="Pro Monde","B2B","B2C")</f>
        <v>B2C</v>
      </c>
      <c r="R347" s="1">
        <f>_xlfn.XLOOKUP(Logs[[#This Row],[ID_Client]],Clients_Log!B:B,Clients_Log!G:G,"Pas de correspondance")</f>
        <v>283</v>
      </c>
      <c r="S347" s="3">
        <f>Logs[[#This Row],[Duree_Cumulee_Panne_Min]]/1440</f>
        <v>0.19652777777777777</v>
      </c>
      <c r="T347" s="1">
        <f>_xlfn.XLOOKUP(Logs[[#This Row],[ID_Client]],Clients_Log!B:B,Clients_Log!H:H,"Pas de correspondance")</f>
        <v>56.05</v>
      </c>
      <c r="U347" s="1">
        <f>_xlfn.XLOOKUP(Logs[[#This Row],[ID_Client]],Clients_Log!B:B,Clients_Log!I:I,"Pas de correspondance")</f>
        <v>1</v>
      </c>
      <c r="V34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47" s="1">
        <f>Logs[[#This Row],[Facture_Mensuelle]]*Logs[[#This Row],[Remise (%)]]</f>
        <v>25.2225</v>
      </c>
    </row>
    <row r="348" spans="1:23" x14ac:dyDescent="0.25">
      <c r="A348" s="1" t="s">
        <v>1098</v>
      </c>
      <c r="B348" s="2">
        <v>45226</v>
      </c>
      <c r="C348" s="1" t="str">
        <f>_xlfn.XLOOKUP(Logs[[#This Row],[Province_RDC]],Clients_Log!D:D,Clients_Log!B:B,"Pas de correspondance")</f>
        <v>CLI-00865</v>
      </c>
      <c r="D348" t="str">
        <f>_xlfn.XLOOKUP(Logs[[#This Row],[Cell_ID]],'Registre_Maintenance'!B:B,'Registre_Maintenance'!C:C,"Pas de correspondance")</f>
        <v>Mongala</v>
      </c>
      <c r="E348" s="3">
        <v>0.37777777777777777</v>
      </c>
      <c r="F348" s="1" t="s">
        <v>1100</v>
      </c>
      <c r="G348" s="3">
        <f>Logs[[#This Row],[Duree_Panne_Min]]/1440</f>
        <v>5.1388888888888887E-2</v>
      </c>
      <c r="H348">
        <v>74</v>
      </c>
      <c r="I348">
        <f>_xlfn.XLOOKUP(Logs[[#This Row],[Cell_ID]],'Registre_Maintenance'!B:B,'Registre_Maintenance'!D:D,"Pas de correspondance")</f>
        <v>4.6809229999999999</v>
      </c>
      <c r="J348">
        <f>_xlfn.XLOOKUP(Logs[[#This Row],[Cell_ID]],'Registre_Maintenance'!B:B,'Registre_Maintenance'!E:E,"Pas de correspondance")</f>
        <v>28.934242000000001</v>
      </c>
      <c r="K348" t="str">
        <f>_xlfn.XLOOKUP(Logs[[#This Row],[Cell_ID]],'Registre_Maintenance'!B:B,'Registre_Maintenance'!F:F,"Pas de correspondance")</f>
        <v>5G</v>
      </c>
      <c r="L348" t="str">
        <f>_xlfn.XLOOKUP(Logs[[#This Row],[Cell_ID]],'Registre_Maintenance'!B:B,'Registre_Maintenance'!G:G,"Pas de correspondance")</f>
        <v>Nokia</v>
      </c>
      <c r="M348" s="1" t="s">
        <v>811</v>
      </c>
      <c r="N348" s="1">
        <f>_xlfn.XLOOKUP(Logs[[#This Row],[ID_Client]],Clients_Log!B:B,Clients_Log!E:E,"Pas de correspondance")</f>
        <v>34</v>
      </c>
      <c r="O348" s="4">
        <f>IFERROR(Logs[[#This Row],[Anciennete_Mois]]/12,"")</f>
        <v>2.8333333333333335</v>
      </c>
      <c r="P348" s="1" t="str">
        <f>_xlfn.XLOOKUP(Logs[[#This Row],[ID_Client]],Clients_Log!B:B,Clients_Log!F:F,"Pas de correspondance")</f>
        <v>Pro Monde</v>
      </c>
      <c r="Q348" s="1" t="str">
        <f>IF(Logs[[#This Row],[Type_Forfait]]="Pro Monde","B2B","B2C")</f>
        <v>B2B</v>
      </c>
      <c r="R348" s="1">
        <f>_xlfn.XLOOKUP(Logs[[#This Row],[ID_Client]],Clients_Log!B:B,Clients_Log!G:G,"Pas de correspondance")</f>
        <v>453</v>
      </c>
      <c r="S348" s="3">
        <f>Logs[[#This Row],[Duree_Cumulee_Panne_Min]]/1440</f>
        <v>0.31458333333333333</v>
      </c>
      <c r="T348" s="1">
        <f>_xlfn.XLOOKUP(Logs[[#This Row],[ID_Client]],Clients_Log!B:B,Clients_Log!H:H,"Pas de correspondance")</f>
        <v>56.84</v>
      </c>
      <c r="U348" s="1">
        <f>_xlfn.XLOOKUP(Logs[[#This Row],[ID_Client]],Clients_Log!B:B,Clients_Log!I:I,"Pas de correspondance")</f>
        <v>0</v>
      </c>
      <c r="V34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48" s="1">
        <f>Logs[[#This Row],[Facture_Mensuelle]]*Logs[[#This Row],[Remise (%)]]</f>
        <v>25.578000000000003</v>
      </c>
    </row>
    <row r="349" spans="1:23" hidden="1" x14ac:dyDescent="0.25">
      <c r="A349" s="1" t="s">
        <v>1098</v>
      </c>
      <c r="B349" s="2">
        <v>45220</v>
      </c>
      <c r="C349" s="1" t="str">
        <f>_xlfn.XLOOKUP(Logs[[#This Row],[Province_RDC]],Clients_Log!D:D,Clients_Log!B:B,"Pas de correspondance")</f>
        <v>Pas de correspondance</v>
      </c>
      <c r="D349" t="str">
        <f>_xlfn.XLOOKUP(Logs[[#This Row],[Cell_ID]],'Registre_Maintenance'!B:B,'Registre_Maintenance'!C:C,"Pas de correspondance")</f>
        <v>Pas de correspondance</v>
      </c>
      <c r="E349" s="3">
        <v>0.11041666666666666</v>
      </c>
      <c r="F349" s="1" t="s">
        <v>1101</v>
      </c>
      <c r="G349" s="3">
        <f>Logs[[#This Row],[Duree_Panne_Min]]/1440</f>
        <v>7.7083333333333337E-2</v>
      </c>
      <c r="H349">
        <v>111</v>
      </c>
      <c r="I349" t="str">
        <f>_xlfn.XLOOKUP(Logs[[#This Row],[Cell_ID]],'Registre_Maintenance'!B:B,'Registre_Maintenance'!D:D,"Pas de correspondance")</f>
        <v>Pas de correspondance</v>
      </c>
      <c r="J349" t="str">
        <f>_xlfn.XLOOKUP(Logs[[#This Row],[Cell_ID]],'Registre_Maintenance'!B:B,'Registre_Maintenance'!E:E,"Pas de correspondance")</f>
        <v>Pas de correspondance</v>
      </c>
      <c r="K349" t="str">
        <f>_xlfn.XLOOKUP(Logs[[#This Row],[Cell_ID]],'Registre_Maintenance'!B:B,'Registre_Maintenance'!F:F,"Pas de correspondance")</f>
        <v>Pas de correspondance</v>
      </c>
      <c r="L349" t="str">
        <f>_xlfn.XLOOKUP(Logs[[#This Row],[Cell_ID]],'Registre_Maintenance'!B:B,'Registre_Maintenance'!G:G,"Pas de correspondance")</f>
        <v>Pas de correspondance</v>
      </c>
      <c r="M349" s="1" t="s">
        <v>811</v>
      </c>
      <c r="N349" s="1" t="str">
        <f>_xlfn.XLOOKUP(Logs[[#This Row],[ID_Client]],Clients_Log!B:B,Clients_Log!E:E,"Pas de correspondance")</f>
        <v>Pas de correspondance</v>
      </c>
      <c r="O349" s="4" t="str">
        <f>IFERROR(Logs[[#This Row],[Anciennete_Mois]]/12,"")</f>
        <v/>
      </c>
      <c r="P349" s="1" t="str">
        <f>_xlfn.XLOOKUP(Logs[[#This Row],[ID_Client]],Clients_Log!B:B,Clients_Log!F:F,"Pas de correspondance")</f>
        <v>Pas de correspondance</v>
      </c>
      <c r="Q349" s="1" t="str">
        <f>IF(Logs[[#This Row],[Type_Forfait]]="Pro Monde","B2B","B2C")</f>
        <v>B2C</v>
      </c>
      <c r="R349" s="1" t="str">
        <f>_xlfn.XLOOKUP(Logs[[#This Row],[ID_Client]],Clients_Log!B:B,Clients_Log!G:G,"Pas de correspondance")</f>
        <v>Pas de correspondance</v>
      </c>
      <c r="S349" s="1" t="e">
        <f>Logs[[#This Row],[Duree_Cumulee_Panne_Min]]/1440</f>
        <v>#VALUE!</v>
      </c>
      <c r="T349" s="1" t="str">
        <f>_xlfn.XLOOKUP(Logs[[#This Row],[ID_Client]],Clients_Log!B:B,Clients_Log!H:H,"Pas de correspondance")</f>
        <v>Pas de correspondance</v>
      </c>
      <c r="U349" s="1" t="str">
        <f>_xlfn.XLOOKUP(Logs[[#This Row],[ID_Client]],Clients_Log!B:B,Clients_Log!I:I,"Pas de correspondance")</f>
        <v>Pas de correspondance</v>
      </c>
      <c r="V34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49" s="1" t="e">
        <f>Logs[[#This Row],[Facture_Mensuelle]]*Logs[[#This Row],[Remise (%)]]</f>
        <v>#VALUE!</v>
      </c>
    </row>
    <row r="350" spans="1:23" x14ac:dyDescent="0.25">
      <c r="A350" s="1" t="s">
        <v>1098</v>
      </c>
      <c r="B350" s="2">
        <v>45219</v>
      </c>
      <c r="C350" s="1" t="str">
        <f>_xlfn.XLOOKUP(Logs[[#This Row],[Province_RDC]],Clients_Log!D:D,Clients_Log!B:B,"Pas de correspondance")</f>
        <v>CLI-01233</v>
      </c>
      <c r="D350" t="str">
        <f>_xlfn.XLOOKUP(Logs[[#This Row],[Cell_ID]],'Registre_Maintenance'!B:B,'Registre_Maintenance'!C:C,"Pas de correspondance")</f>
        <v>Kongo-Central</v>
      </c>
      <c r="E350" s="3">
        <v>0.68333333333333335</v>
      </c>
      <c r="F350" s="1" t="s">
        <v>1102</v>
      </c>
      <c r="G350" s="3">
        <f>Logs[[#This Row],[Duree_Panne_Min]]/1440</f>
        <v>6.8750000000000006E-2</v>
      </c>
      <c r="H350">
        <v>99</v>
      </c>
      <c r="I350">
        <f>_xlfn.XLOOKUP(Logs[[#This Row],[Cell_ID]],'Registre_Maintenance'!B:B,'Registre_Maintenance'!D:D,"Pas de correspondance")</f>
        <v>-9.5840350000000001</v>
      </c>
      <c r="J350">
        <f>_xlfn.XLOOKUP(Logs[[#This Row],[Cell_ID]],'Registre_Maintenance'!B:B,'Registre_Maintenance'!E:E,"Pas de correspondance")</f>
        <v>15.966024000000001</v>
      </c>
      <c r="K350" t="str">
        <f>_xlfn.XLOOKUP(Logs[[#This Row],[Cell_ID]],'Registre_Maintenance'!B:B,'Registre_Maintenance'!F:F,"Pas de correspondance")</f>
        <v>5G</v>
      </c>
      <c r="L350" t="str">
        <f>_xlfn.XLOOKUP(Logs[[#This Row],[Cell_ID]],'Registre_Maintenance'!B:B,'Registre_Maintenance'!G:G,"Pas de correspondance")</f>
        <v>Nokia</v>
      </c>
      <c r="M350" s="1" t="s">
        <v>809</v>
      </c>
      <c r="N350" s="1">
        <f>_xlfn.XLOOKUP(Logs[[#This Row],[ID_Client]],Clients_Log!B:B,Clients_Log!E:E,"Pas de correspondance")</f>
        <v>101</v>
      </c>
      <c r="O350" s="4">
        <f>IFERROR(Logs[[#This Row],[Anciennete_Mois]]/12,"")</f>
        <v>8.4166666666666661</v>
      </c>
      <c r="P350" s="1" t="str">
        <f>_xlfn.XLOOKUP(Logs[[#This Row],[ID_Client]],Clients_Log!B:B,Clients_Log!F:F,"Pas de correspondance")</f>
        <v>Pro Monde</v>
      </c>
      <c r="Q350" s="1" t="str">
        <f>IF(Logs[[#This Row],[Type_Forfait]]="Pro Monde","B2B","B2C")</f>
        <v>B2B</v>
      </c>
      <c r="R350" s="1">
        <f>_xlfn.XLOOKUP(Logs[[#This Row],[ID_Client]],Clients_Log!B:B,Clients_Log!G:G,"Pas de correspondance")</f>
        <v>333</v>
      </c>
      <c r="S350" s="3">
        <f>Logs[[#This Row],[Duree_Cumulee_Panne_Min]]/1440</f>
        <v>0.23125000000000001</v>
      </c>
      <c r="T350" s="1">
        <f>_xlfn.XLOOKUP(Logs[[#This Row],[ID_Client]],Clients_Log!B:B,Clients_Log!H:H,"Pas de correspondance")</f>
        <v>74.319999999999993</v>
      </c>
      <c r="U350" s="1">
        <f>_xlfn.XLOOKUP(Logs[[#This Row],[ID_Client]],Clients_Log!B:B,Clients_Log!I:I,"Pas de correspondance")</f>
        <v>1</v>
      </c>
      <c r="V35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50" s="1">
        <f>Logs[[#This Row],[Facture_Mensuelle]]*Logs[[#This Row],[Remise (%)]]</f>
        <v>33.443999999999996</v>
      </c>
    </row>
    <row r="351" spans="1:23" x14ac:dyDescent="0.25">
      <c r="A351" s="1" t="s">
        <v>1098</v>
      </c>
      <c r="B351" s="2">
        <v>45214</v>
      </c>
      <c r="C351" s="1" t="str">
        <f>_xlfn.XLOOKUP(Logs[[#This Row],[Province_RDC]],Clients_Log!D:D,Clients_Log!B:B,"Pas de correspondance")</f>
        <v>CLI-00280</v>
      </c>
      <c r="D351" t="str">
        <f>_xlfn.XLOOKUP(Logs[[#This Row],[Cell_ID]],'Registre_Maintenance'!B:B,'Registre_Maintenance'!C:C,"Pas de correspondance")</f>
        <v>Sud-Ubangi</v>
      </c>
      <c r="E351" s="3">
        <v>0.77430555555555558</v>
      </c>
      <c r="F351" s="1" t="s">
        <v>884</v>
      </c>
      <c r="G351" s="3">
        <f>Logs[[#This Row],[Duree_Panne_Min]]/1440</f>
        <v>8.1944444444444445E-2</v>
      </c>
      <c r="H351">
        <v>118</v>
      </c>
      <c r="I351">
        <f>_xlfn.XLOOKUP(Logs[[#This Row],[Cell_ID]],'Registre_Maintenance'!B:B,'Registre_Maintenance'!D:D,"Pas de correspondance")</f>
        <v>-10.914952</v>
      </c>
      <c r="J351">
        <f>_xlfn.XLOOKUP(Logs[[#This Row],[Cell_ID]],'Registre_Maintenance'!B:B,'Registre_Maintenance'!E:E,"Pas de correspondance")</f>
        <v>26.409648000000001</v>
      </c>
      <c r="K351" t="str">
        <f>_xlfn.XLOOKUP(Logs[[#This Row],[Cell_ID]],'Registre_Maintenance'!B:B,'Registre_Maintenance'!F:F,"Pas de correspondance")</f>
        <v>4G</v>
      </c>
      <c r="L351" t="str">
        <f>_xlfn.XLOOKUP(Logs[[#This Row],[Cell_ID]],'Registre_Maintenance'!B:B,'Registre_Maintenance'!G:G,"Pas de correspondance")</f>
        <v>Huawei</v>
      </c>
      <c r="M351" s="1" t="s">
        <v>806</v>
      </c>
      <c r="N351" s="1">
        <f>_xlfn.XLOOKUP(Logs[[#This Row],[ID_Client]],Clients_Log!B:B,Clients_Log!E:E,"Pas de correspondance")</f>
        <v>113</v>
      </c>
      <c r="O351" s="4">
        <f>IFERROR(Logs[[#This Row],[Anciennete_Mois]]/12,"")</f>
        <v>9.4166666666666661</v>
      </c>
      <c r="P351" s="1" t="str">
        <f>_xlfn.XLOOKUP(Logs[[#This Row],[ID_Client]],Clients_Log!B:B,Clients_Log!F:F,"Pas de correspondance")</f>
        <v>Illimité 50Go</v>
      </c>
      <c r="Q351" s="1" t="str">
        <f>IF(Logs[[#This Row],[Type_Forfait]]="Pro Monde","B2B","B2C")</f>
        <v>B2C</v>
      </c>
      <c r="R351" s="1">
        <f>_xlfn.XLOOKUP(Logs[[#This Row],[ID_Client]],Clients_Log!B:B,Clients_Log!G:G,"Pas de correspondance")</f>
        <v>380</v>
      </c>
      <c r="S351" s="3">
        <f>Logs[[#This Row],[Duree_Cumulee_Panne_Min]]/1440</f>
        <v>0.2638888888888889</v>
      </c>
      <c r="T351" s="1">
        <f>_xlfn.XLOOKUP(Logs[[#This Row],[ID_Client]],Clients_Log!B:B,Clients_Log!H:H,"Pas de correspondance")</f>
        <v>12.11</v>
      </c>
      <c r="U351" s="1">
        <f>_xlfn.XLOOKUP(Logs[[#This Row],[ID_Client]],Clients_Log!B:B,Clients_Log!I:I,"Pas de correspondance")</f>
        <v>0</v>
      </c>
      <c r="V35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51" s="1">
        <f>Logs[[#This Row],[Facture_Mensuelle]]*Logs[[#This Row],[Remise (%)]]</f>
        <v>5.4494999999999996</v>
      </c>
    </row>
    <row r="352" spans="1:23" x14ac:dyDescent="0.25">
      <c r="A352" s="1" t="s">
        <v>1098</v>
      </c>
      <c r="B352" s="2">
        <v>45230</v>
      </c>
      <c r="C352" s="1" t="str">
        <f>_xlfn.XLOOKUP(Logs[[#This Row],[Province_RDC]],Clients_Log!D:D,Clients_Log!B:B,"Pas de correspondance")</f>
        <v>CLI-01147</v>
      </c>
      <c r="D352" t="str">
        <f>_xlfn.XLOOKUP(Logs[[#This Row],[Cell_ID]],'Registre_Maintenance'!B:B,'Registre_Maintenance'!C:C,"Pas de correspondance")</f>
        <v>Ituri</v>
      </c>
      <c r="E352" s="3">
        <v>0.99791666666666667</v>
      </c>
      <c r="F352" s="1" t="s">
        <v>1103</v>
      </c>
      <c r="G352" s="3">
        <f>Logs[[#This Row],[Duree_Panne_Min]]/1440</f>
        <v>0.05</v>
      </c>
      <c r="H352">
        <v>72</v>
      </c>
      <c r="I352">
        <f>_xlfn.XLOOKUP(Logs[[#This Row],[Cell_ID]],'Registre_Maintenance'!B:B,'Registre_Maintenance'!D:D,"Pas de correspondance")</f>
        <v>-1.9120569999999999</v>
      </c>
      <c r="J352">
        <f>_xlfn.XLOOKUP(Logs[[#This Row],[Cell_ID]],'Registre_Maintenance'!B:B,'Registre_Maintenance'!E:E,"Pas de correspondance")</f>
        <v>15.236072999999999</v>
      </c>
      <c r="K352" t="str">
        <f>_xlfn.XLOOKUP(Logs[[#This Row],[Cell_ID]],'Registre_Maintenance'!B:B,'Registre_Maintenance'!F:F,"Pas de correspondance")</f>
        <v>5G</v>
      </c>
      <c r="L352" t="str">
        <f>_xlfn.XLOOKUP(Logs[[#This Row],[Cell_ID]],'Registre_Maintenance'!B:B,'Registre_Maintenance'!G:G,"Pas de correspondance")</f>
        <v>Huawei</v>
      </c>
      <c r="M352" s="1" t="s">
        <v>811</v>
      </c>
      <c r="N352" s="1">
        <f>_xlfn.XLOOKUP(Logs[[#This Row],[ID_Client]],Clients_Log!B:B,Clients_Log!E:E,"Pas de correspondance")</f>
        <v>29</v>
      </c>
      <c r="O352" s="4">
        <f>IFERROR(Logs[[#This Row],[Anciennete_Mois]]/12,"")</f>
        <v>2.4166666666666665</v>
      </c>
      <c r="P352" s="1" t="str">
        <f>_xlfn.XLOOKUP(Logs[[#This Row],[ID_Client]],Clients_Log!B:B,Clients_Log!F:F,"Pas de correspondance")</f>
        <v>Premium 5G 150Go</v>
      </c>
      <c r="Q352" s="1" t="str">
        <f>IF(Logs[[#This Row],[Type_Forfait]]="Pro Monde","B2B","B2C")</f>
        <v>B2C</v>
      </c>
      <c r="R352" s="1">
        <f>_xlfn.XLOOKUP(Logs[[#This Row],[ID_Client]],Clients_Log!B:B,Clients_Log!G:G,"Pas de correspondance")</f>
        <v>214</v>
      </c>
      <c r="S352" s="3">
        <f>Logs[[#This Row],[Duree_Cumulee_Panne_Min]]/1440</f>
        <v>0.14861111111111111</v>
      </c>
      <c r="T352" s="1">
        <f>_xlfn.XLOOKUP(Logs[[#This Row],[ID_Client]],Clients_Log!B:B,Clients_Log!H:H,"Pas de correspondance")</f>
        <v>74.7</v>
      </c>
      <c r="U352" s="1">
        <f>_xlfn.XLOOKUP(Logs[[#This Row],[ID_Client]],Clients_Log!B:B,Clients_Log!I:I,"Pas de correspondance")</f>
        <v>3</v>
      </c>
      <c r="V35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52" s="1">
        <f>Logs[[#This Row],[Facture_Mensuelle]]*Logs[[#This Row],[Remise (%)]]</f>
        <v>33.615000000000002</v>
      </c>
    </row>
    <row r="353" spans="1:23" hidden="1" x14ac:dyDescent="0.25">
      <c r="A353" s="1" t="s">
        <v>1098</v>
      </c>
      <c r="B353" s="2">
        <v>45201</v>
      </c>
      <c r="C353" s="1" t="str">
        <f>_xlfn.XLOOKUP(Logs[[#This Row],[Province_RDC]],Clients_Log!D:D,Clients_Log!B:B,"Pas de correspondance")</f>
        <v>Pas de correspondance</v>
      </c>
      <c r="D353" t="str">
        <f>_xlfn.XLOOKUP(Logs[[#This Row],[Cell_ID]],'Registre_Maintenance'!B:B,'Registre_Maintenance'!C:C,"Pas de correspondance")</f>
        <v>Pas de correspondance</v>
      </c>
      <c r="E353" s="3">
        <v>0.62361111111111112</v>
      </c>
      <c r="F353" s="1" t="s">
        <v>1104</v>
      </c>
      <c r="G353" s="3">
        <f>Logs[[#This Row],[Duree_Panne_Min]]/1440</f>
        <v>6.2500000000000003E-3</v>
      </c>
      <c r="H353">
        <v>9</v>
      </c>
      <c r="I353" t="str">
        <f>_xlfn.XLOOKUP(Logs[[#This Row],[Cell_ID]],'Registre_Maintenance'!B:B,'Registre_Maintenance'!D:D,"Pas de correspondance")</f>
        <v>Pas de correspondance</v>
      </c>
      <c r="J353" t="str">
        <f>_xlfn.XLOOKUP(Logs[[#This Row],[Cell_ID]],'Registre_Maintenance'!B:B,'Registre_Maintenance'!E:E,"Pas de correspondance")</f>
        <v>Pas de correspondance</v>
      </c>
      <c r="K353" t="str">
        <f>_xlfn.XLOOKUP(Logs[[#This Row],[Cell_ID]],'Registre_Maintenance'!B:B,'Registre_Maintenance'!F:F,"Pas de correspondance")</f>
        <v>Pas de correspondance</v>
      </c>
      <c r="L353" t="str">
        <f>_xlfn.XLOOKUP(Logs[[#This Row],[Cell_ID]],'Registre_Maintenance'!B:B,'Registre_Maintenance'!G:G,"Pas de correspondance")</f>
        <v>Pas de correspondance</v>
      </c>
      <c r="M353" s="1" t="s">
        <v>806</v>
      </c>
      <c r="N353" s="1" t="str">
        <f>_xlfn.XLOOKUP(Logs[[#This Row],[ID_Client]],Clients_Log!B:B,Clients_Log!E:E,"Pas de correspondance")</f>
        <v>Pas de correspondance</v>
      </c>
      <c r="O353" s="4" t="str">
        <f>IFERROR(Logs[[#This Row],[Anciennete_Mois]]/12,"")</f>
        <v/>
      </c>
      <c r="P353" s="1" t="str">
        <f>_xlfn.XLOOKUP(Logs[[#This Row],[ID_Client]],Clients_Log!B:B,Clients_Log!F:F,"Pas de correspondance")</f>
        <v>Pas de correspondance</v>
      </c>
      <c r="Q353" s="1" t="str">
        <f>IF(Logs[[#This Row],[Type_Forfait]]="Pro Monde","B2B","B2C")</f>
        <v>B2C</v>
      </c>
      <c r="R353" s="1" t="str">
        <f>_xlfn.XLOOKUP(Logs[[#This Row],[ID_Client]],Clients_Log!B:B,Clients_Log!G:G,"Pas de correspondance")</f>
        <v>Pas de correspondance</v>
      </c>
      <c r="S353" s="1" t="e">
        <f>Logs[[#This Row],[Duree_Cumulee_Panne_Min]]/1440</f>
        <v>#VALUE!</v>
      </c>
      <c r="T353" s="1" t="str">
        <f>_xlfn.XLOOKUP(Logs[[#This Row],[ID_Client]],Clients_Log!B:B,Clients_Log!H:H,"Pas de correspondance")</f>
        <v>Pas de correspondance</v>
      </c>
      <c r="U353" s="1" t="str">
        <f>_xlfn.XLOOKUP(Logs[[#This Row],[ID_Client]],Clients_Log!B:B,Clients_Log!I:I,"Pas de correspondance")</f>
        <v>Pas de correspondance</v>
      </c>
      <c r="V35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53" s="1" t="e">
        <f>Logs[[#This Row],[Facture_Mensuelle]]*Logs[[#This Row],[Remise (%)]]</f>
        <v>#VALUE!</v>
      </c>
    </row>
    <row r="354" spans="1:23" hidden="1" x14ac:dyDescent="0.25">
      <c r="A354" s="1" t="s">
        <v>1098</v>
      </c>
      <c r="B354" s="2">
        <v>45225</v>
      </c>
      <c r="C354" s="1" t="str">
        <f>_xlfn.XLOOKUP(Logs[[#This Row],[Province_RDC]],Clients_Log!D:D,Clients_Log!B:B,"Pas de correspondance")</f>
        <v>Pas de correspondance</v>
      </c>
      <c r="D354" t="str">
        <f>_xlfn.XLOOKUP(Logs[[#This Row],[Cell_ID]],'Registre_Maintenance'!B:B,'Registre_Maintenance'!C:C,"Pas de correspondance")</f>
        <v>Pas de correspondance</v>
      </c>
      <c r="E354" s="3">
        <v>0.77847222222222223</v>
      </c>
      <c r="F354" s="1" t="s">
        <v>1105</v>
      </c>
      <c r="G354" s="3">
        <f>Logs[[#This Row],[Duree_Panne_Min]]/1440</f>
        <v>6.1805555555555558E-2</v>
      </c>
      <c r="H354">
        <v>89</v>
      </c>
      <c r="I354" t="str">
        <f>_xlfn.XLOOKUP(Logs[[#This Row],[Cell_ID]],'Registre_Maintenance'!B:B,'Registre_Maintenance'!D:D,"Pas de correspondance")</f>
        <v>Pas de correspondance</v>
      </c>
      <c r="J354" t="str">
        <f>_xlfn.XLOOKUP(Logs[[#This Row],[Cell_ID]],'Registre_Maintenance'!B:B,'Registre_Maintenance'!E:E,"Pas de correspondance")</f>
        <v>Pas de correspondance</v>
      </c>
      <c r="K354" t="str">
        <f>_xlfn.XLOOKUP(Logs[[#This Row],[Cell_ID]],'Registre_Maintenance'!B:B,'Registre_Maintenance'!F:F,"Pas de correspondance")</f>
        <v>Pas de correspondance</v>
      </c>
      <c r="L354" t="str">
        <f>_xlfn.XLOOKUP(Logs[[#This Row],[Cell_ID]],'Registre_Maintenance'!B:B,'Registre_Maintenance'!G:G,"Pas de correspondance")</f>
        <v>Pas de correspondance</v>
      </c>
      <c r="M354" s="1" t="s">
        <v>806</v>
      </c>
      <c r="N354" s="1" t="str">
        <f>_xlfn.XLOOKUP(Logs[[#This Row],[ID_Client]],Clients_Log!B:B,Clients_Log!E:E,"Pas de correspondance")</f>
        <v>Pas de correspondance</v>
      </c>
      <c r="O354" s="4" t="str">
        <f>IFERROR(Logs[[#This Row],[Anciennete_Mois]]/12,"")</f>
        <v/>
      </c>
      <c r="P354" s="1" t="str">
        <f>_xlfn.XLOOKUP(Logs[[#This Row],[ID_Client]],Clients_Log!B:B,Clients_Log!F:F,"Pas de correspondance")</f>
        <v>Pas de correspondance</v>
      </c>
      <c r="Q354" s="1" t="str">
        <f>IF(Logs[[#This Row],[Type_Forfait]]="Pro Monde","B2B","B2C")</f>
        <v>B2C</v>
      </c>
      <c r="R354" s="1" t="str">
        <f>_xlfn.XLOOKUP(Logs[[#This Row],[ID_Client]],Clients_Log!B:B,Clients_Log!G:G,"Pas de correspondance")</f>
        <v>Pas de correspondance</v>
      </c>
      <c r="S354" s="1" t="e">
        <f>Logs[[#This Row],[Duree_Cumulee_Panne_Min]]/1440</f>
        <v>#VALUE!</v>
      </c>
      <c r="T354" s="1" t="str">
        <f>_xlfn.XLOOKUP(Logs[[#This Row],[ID_Client]],Clients_Log!B:B,Clients_Log!H:H,"Pas de correspondance")</f>
        <v>Pas de correspondance</v>
      </c>
      <c r="U354" s="1" t="str">
        <f>_xlfn.XLOOKUP(Logs[[#This Row],[ID_Client]],Clients_Log!B:B,Clients_Log!I:I,"Pas de correspondance")</f>
        <v>Pas de correspondance</v>
      </c>
      <c r="V35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54" s="1" t="e">
        <f>Logs[[#This Row],[Facture_Mensuelle]]*Logs[[#This Row],[Remise (%)]]</f>
        <v>#VALUE!</v>
      </c>
    </row>
    <row r="355" spans="1:23" x14ac:dyDescent="0.25">
      <c r="A355" s="1" t="s">
        <v>1098</v>
      </c>
      <c r="B355" s="2">
        <v>45206</v>
      </c>
      <c r="C355" s="1" t="str">
        <f>_xlfn.XLOOKUP(Logs[[#This Row],[Province_RDC]],Clients_Log!D:D,Clients_Log!B:B,"Pas de correspondance")</f>
        <v>CLI-01325</v>
      </c>
      <c r="D355" t="str">
        <f>_xlfn.XLOOKUP(Logs[[#This Row],[Cell_ID]],'Registre_Maintenance'!B:B,'Registre_Maintenance'!C:C,"Pas de correspondance")</f>
        <v>Haut-Lomami</v>
      </c>
      <c r="E355" s="3">
        <v>0.44305555555555554</v>
      </c>
      <c r="F355" s="1" t="s">
        <v>1106</v>
      </c>
      <c r="G355" s="3">
        <f>Logs[[#This Row],[Duree_Panne_Min]]/1440</f>
        <v>3.3333333333333333E-2</v>
      </c>
      <c r="H355">
        <v>48</v>
      </c>
      <c r="I355">
        <f>_xlfn.XLOOKUP(Logs[[#This Row],[Cell_ID]],'Registre_Maintenance'!B:B,'Registre_Maintenance'!D:D,"Pas de correspondance")</f>
        <v>0.16327700000000001</v>
      </c>
      <c r="J355">
        <f>_xlfn.XLOOKUP(Logs[[#This Row],[Cell_ID]],'Registre_Maintenance'!B:B,'Registre_Maintenance'!E:E,"Pas de correspondance")</f>
        <v>14.871577</v>
      </c>
      <c r="K355" t="str">
        <f>_xlfn.XLOOKUP(Logs[[#This Row],[Cell_ID]],'Registre_Maintenance'!B:B,'Registre_Maintenance'!F:F,"Pas de correspondance")</f>
        <v>4G</v>
      </c>
      <c r="L355" t="str">
        <f>_xlfn.XLOOKUP(Logs[[#This Row],[Cell_ID]],'Registre_Maintenance'!B:B,'Registre_Maintenance'!G:G,"Pas de correspondance")</f>
        <v>Huawei</v>
      </c>
      <c r="M355" s="1" t="s">
        <v>811</v>
      </c>
      <c r="N355" s="1">
        <f>_xlfn.XLOOKUP(Logs[[#This Row],[ID_Client]],Clients_Log!B:B,Clients_Log!E:E,"Pas de correspondance")</f>
        <v>44</v>
      </c>
      <c r="O355" s="4">
        <f>IFERROR(Logs[[#This Row],[Anciennete_Mois]]/12,"")</f>
        <v>3.6666666666666665</v>
      </c>
      <c r="P355" s="1" t="str">
        <f>_xlfn.XLOOKUP(Logs[[#This Row],[ID_Client]],Clients_Log!B:B,Clients_Log!F:F,"Pas de correspondance")</f>
        <v>Bloqué 5Go</v>
      </c>
      <c r="Q355" s="1" t="str">
        <f>IF(Logs[[#This Row],[Type_Forfait]]="Pro Monde","B2B","B2C")</f>
        <v>B2C</v>
      </c>
      <c r="R355" s="1">
        <f>_xlfn.XLOOKUP(Logs[[#This Row],[ID_Client]],Clients_Log!B:B,Clients_Log!G:G,"Pas de correspondance")</f>
        <v>348</v>
      </c>
      <c r="S355" s="3">
        <f>Logs[[#This Row],[Duree_Cumulee_Panne_Min]]/1440</f>
        <v>0.24166666666666667</v>
      </c>
      <c r="T355" s="1">
        <f>_xlfn.XLOOKUP(Logs[[#This Row],[ID_Client]],Clients_Log!B:B,Clients_Log!H:H,"Pas de correspondance")</f>
        <v>58.67</v>
      </c>
      <c r="U355" s="1">
        <f>_xlfn.XLOOKUP(Logs[[#This Row],[ID_Client]],Clients_Log!B:B,Clients_Log!I:I,"Pas de correspondance")</f>
        <v>0</v>
      </c>
      <c r="V35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55" s="1">
        <f>Logs[[#This Row],[Facture_Mensuelle]]*Logs[[#This Row],[Remise (%)]]</f>
        <v>26.401500000000002</v>
      </c>
    </row>
    <row r="356" spans="1:23" x14ac:dyDescent="0.25">
      <c r="A356" s="1" t="s">
        <v>1098</v>
      </c>
      <c r="B356" s="2">
        <v>45215</v>
      </c>
      <c r="C356" s="1" t="str">
        <f>_xlfn.XLOOKUP(Logs[[#This Row],[Province_RDC]],Clients_Log!D:D,Clients_Log!B:B,"Pas de correspondance")</f>
        <v>CLI-00837</v>
      </c>
      <c r="D356" t="str">
        <f>_xlfn.XLOOKUP(Logs[[#This Row],[Cell_ID]],'Registre_Maintenance'!B:B,'Registre_Maintenance'!C:C,"Pas de correspondance")</f>
        <v>Nord-Kivu</v>
      </c>
      <c r="E356" s="3">
        <v>0.67291666666666672</v>
      </c>
      <c r="F356" s="1" t="s">
        <v>852</v>
      </c>
      <c r="G356" s="3">
        <f>Logs[[#This Row],[Duree_Panne_Min]]/1440</f>
        <v>8.1250000000000003E-2</v>
      </c>
      <c r="H356">
        <v>117</v>
      </c>
      <c r="I356">
        <f>_xlfn.XLOOKUP(Logs[[#This Row],[Cell_ID]],'Registre_Maintenance'!B:B,'Registre_Maintenance'!D:D,"Pas de correspondance")</f>
        <v>-11.866133</v>
      </c>
      <c r="J356">
        <f>_xlfn.XLOOKUP(Logs[[#This Row],[Cell_ID]],'Registre_Maintenance'!B:B,'Registre_Maintenance'!E:E,"Pas de correspondance")</f>
        <v>27.068932</v>
      </c>
      <c r="K356" t="str">
        <f>_xlfn.XLOOKUP(Logs[[#This Row],[Cell_ID]],'Registre_Maintenance'!B:B,'Registre_Maintenance'!F:F,"Pas de correspondance")</f>
        <v>3G</v>
      </c>
      <c r="L356" t="str">
        <f>_xlfn.XLOOKUP(Logs[[#This Row],[Cell_ID]],'Registre_Maintenance'!B:B,'Registre_Maintenance'!G:G,"Pas de correspondance")</f>
        <v>Huawei</v>
      </c>
      <c r="M356" s="1" t="s">
        <v>811</v>
      </c>
      <c r="N356" s="1">
        <f>_xlfn.XLOOKUP(Logs[[#This Row],[ID_Client]],Clients_Log!B:B,Clients_Log!E:E,"Pas de correspondance")</f>
        <v>16</v>
      </c>
      <c r="O356" s="4">
        <f>IFERROR(Logs[[#This Row],[Anciennete_Mois]]/12,"")</f>
        <v>1.3333333333333333</v>
      </c>
      <c r="P356" s="1" t="str">
        <f>_xlfn.XLOOKUP(Logs[[#This Row],[ID_Client]],Clients_Log!B:B,Clients_Log!F:F,"Pas de correspondance")</f>
        <v>Bloqué 5Go</v>
      </c>
      <c r="Q356" s="1" t="str">
        <f>IF(Logs[[#This Row],[Type_Forfait]]="Pro Monde","B2B","B2C")</f>
        <v>B2C</v>
      </c>
      <c r="R356" s="1">
        <f>_xlfn.XLOOKUP(Logs[[#This Row],[ID_Client]],Clients_Log!B:B,Clients_Log!G:G,"Pas de correspondance")</f>
        <v>390</v>
      </c>
      <c r="S356" s="3">
        <f>Logs[[#This Row],[Duree_Cumulee_Panne_Min]]/1440</f>
        <v>0.27083333333333331</v>
      </c>
      <c r="T356" s="1">
        <f>_xlfn.XLOOKUP(Logs[[#This Row],[ID_Client]],Clients_Log!B:B,Clients_Log!H:H,"Pas de correspondance")</f>
        <v>98.17</v>
      </c>
      <c r="U356" s="1">
        <f>_xlfn.XLOOKUP(Logs[[#This Row],[ID_Client]],Clients_Log!B:B,Clients_Log!I:I,"Pas de correspondance")</f>
        <v>5</v>
      </c>
      <c r="V35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56" s="1">
        <f>Logs[[#This Row],[Facture_Mensuelle]]*Logs[[#This Row],[Remise (%)]]</f>
        <v>44.176500000000004</v>
      </c>
    </row>
    <row r="357" spans="1:23" hidden="1" x14ac:dyDescent="0.25">
      <c r="A357" s="1" t="s">
        <v>1098</v>
      </c>
      <c r="B357" s="2">
        <v>45230</v>
      </c>
      <c r="C357" s="1" t="str">
        <f>_xlfn.XLOOKUP(Logs[[#This Row],[Province_RDC]],Clients_Log!D:D,Clients_Log!B:B,"Pas de correspondance")</f>
        <v>Pas de correspondance</v>
      </c>
      <c r="D357" t="str">
        <f>_xlfn.XLOOKUP(Logs[[#This Row],[Cell_ID]],'Registre_Maintenance'!B:B,'Registre_Maintenance'!C:C,"Pas de correspondance")</f>
        <v>Pas de correspondance</v>
      </c>
      <c r="E357" s="3">
        <v>6.1111111111111109E-2</v>
      </c>
      <c r="F357" s="1" t="s">
        <v>1107</v>
      </c>
      <c r="G357" s="3">
        <f>Logs[[#This Row],[Duree_Panne_Min]]/1440</f>
        <v>7.1527777777777773E-2</v>
      </c>
      <c r="H357">
        <v>103</v>
      </c>
      <c r="I357" t="str">
        <f>_xlfn.XLOOKUP(Logs[[#This Row],[Cell_ID]],'Registre_Maintenance'!B:B,'Registre_Maintenance'!D:D,"Pas de correspondance")</f>
        <v>Pas de correspondance</v>
      </c>
      <c r="J357" t="str">
        <f>_xlfn.XLOOKUP(Logs[[#This Row],[Cell_ID]],'Registre_Maintenance'!B:B,'Registre_Maintenance'!E:E,"Pas de correspondance")</f>
        <v>Pas de correspondance</v>
      </c>
      <c r="K357" t="str">
        <f>_xlfn.XLOOKUP(Logs[[#This Row],[Cell_ID]],'Registre_Maintenance'!B:B,'Registre_Maintenance'!F:F,"Pas de correspondance")</f>
        <v>Pas de correspondance</v>
      </c>
      <c r="L357" t="str">
        <f>_xlfn.XLOOKUP(Logs[[#This Row],[Cell_ID]],'Registre_Maintenance'!B:B,'Registre_Maintenance'!G:G,"Pas de correspondance")</f>
        <v>Pas de correspondance</v>
      </c>
      <c r="M357" s="1" t="s">
        <v>806</v>
      </c>
      <c r="N357" s="1" t="str">
        <f>_xlfn.XLOOKUP(Logs[[#This Row],[ID_Client]],Clients_Log!B:B,Clients_Log!E:E,"Pas de correspondance")</f>
        <v>Pas de correspondance</v>
      </c>
      <c r="O357" s="4" t="str">
        <f>IFERROR(Logs[[#This Row],[Anciennete_Mois]]/12,"")</f>
        <v/>
      </c>
      <c r="P357" s="1" t="str">
        <f>_xlfn.XLOOKUP(Logs[[#This Row],[ID_Client]],Clients_Log!B:B,Clients_Log!F:F,"Pas de correspondance")</f>
        <v>Pas de correspondance</v>
      </c>
      <c r="Q357" s="1" t="str">
        <f>IF(Logs[[#This Row],[Type_Forfait]]="Pro Monde","B2B","B2C")</f>
        <v>B2C</v>
      </c>
      <c r="R357" s="1" t="str">
        <f>_xlfn.XLOOKUP(Logs[[#This Row],[ID_Client]],Clients_Log!B:B,Clients_Log!G:G,"Pas de correspondance")</f>
        <v>Pas de correspondance</v>
      </c>
      <c r="S357" s="1" t="e">
        <f>Logs[[#This Row],[Duree_Cumulee_Panne_Min]]/1440</f>
        <v>#VALUE!</v>
      </c>
      <c r="T357" s="1" t="str">
        <f>_xlfn.XLOOKUP(Logs[[#This Row],[ID_Client]],Clients_Log!B:B,Clients_Log!H:H,"Pas de correspondance")</f>
        <v>Pas de correspondance</v>
      </c>
      <c r="U357" s="1" t="str">
        <f>_xlfn.XLOOKUP(Logs[[#This Row],[ID_Client]],Clients_Log!B:B,Clients_Log!I:I,"Pas de correspondance")</f>
        <v>Pas de correspondance</v>
      </c>
      <c r="V35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57" s="1" t="e">
        <f>Logs[[#This Row],[Facture_Mensuelle]]*Logs[[#This Row],[Remise (%)]]</f>
        <v>#VALUE!</v>
      </c>
    </row>
    <row r="358" spans="1:23" hidden="1" x14ac:dyDescent="0.25">
      <c r="A358" s="1" t="s">
        <v>1098</v>
      </c>
      <c r="B358" s="2">
        <v>45203</v>
      </c>
      <c r="C358" s="1" t="str">
        <f>_xlfn.XLOOKUP(Logs[[#This Row],[Province_RDC]],Clients_Log!D:D,Clients_Log!B:B,"Pas de correspondance")</f>
        <v>Pas de correspondance</v>
      </c>
      <c r="D358" t="str">
        <f>_xlfn.XLOOKUP(Logs[[#This Row],[Cell_ID]],'Registre_Maintenance'!B:B,'Registre_Maintenance'!C:C,"Pas de correspondance")</f>
        <v>Pas de correspondance</v>
      </c>
      <c r="E358" s="3">
        <v>0.44791666666666669</v>
      </c>
      <c r="F358" s="1" t="s">
        <v>1025</v>
      </c>
      <c r="G358" s="3">
        <f>Logs[[#This Row],[Duree_Panne_Min]]/1440</f>
        <v>5.8333333333333334E-2</v>
      </c>
      <c r="H358">
        <v>84</v>
      </c>
      <c r="I358" t="str">
        <f>_xlfn.XLOOKUP(Logs[[#This Row],[Cell_ID]],'Registre_Maintenance'!B:B,'Registre_Maintenance'!D:D,"Pas de correspondance")</f>
        <v>Pas de correspondance</v>
      </c>
      <c r="J358" t="str">
        <f>_xlfn.XLOOKUP(Logs[[#This Row],[Cell_ID]],'Registre_Maintenance'!B:B,'Registre_Maintenance'!E:E,"Pas de correspondance")</f>
        <v>Pas de correspondance</v>
      </c>
      <c r="K358" t="str">
        <f>_xlfn.XLOOKUP(Logs[[#This Row],[Cell_ID]],'Registre_Maintenance'!B:B,'Registre_Maintenance'!F:F,"Pas de correspondance")</f>
        <v>Pas de correspondance</v>
      </c>
      <c r="L358" t="str">
        <f>_xlfn.XLOOKUP(Logs[[#This Row],[Cell_ID]],'Registre_Maintenance'!B:B,'Registre_Maintenance'!G:G,"Pas de correspondance")</f>
        <v>Pas de correspondance</v>
      </c>
      <c r="M358" s="1" t="s">
        <v>811</v>
      </c>
      <c r="N358" s="1" t="str">
        <f>_xlfn.XLOOKUP(Logs[[#This Row],[ID_Client]],Clients_Log!B:B,Clients_Log!E:E,"Pas de correspondance")</f>
        <v>Pas de correspondance</v>
      </c>
      <c r="O358" s="4" t="str">
        <f>IFERROR(Logs[[#This Row],[Anciennete_Mois]]/12,"")</f>
        <v/>
      </c>
      <c r="P358" s="1" t="str">
        <f>_xlfn.XLOOKUP(Logs[[#This Row],[ID_Client]],Clients_Log!B:B,Clients_Log!F:F,"Pas de correspondance")</f>
        <v>Pas de correspondance</v>
      </c>
      <c r="Q358" s="1" t="str">
        <f>IF(Logs[[#This Row],[Type_Forfait]]="Pro Monde","B2B","B2C")</f>
        <v>B2C</v>
      </c>
      <c r="R358" s="1" t="str">
        <f>_xlfn.XLOOKUP(Logs[[#This Row],[ID_Client]],Clients_Log!B:B,Clients_Log!G:G,"Pas de correspondance")</f>
        <v>Pas de correspondance</v>
      </c>
      <c r="S358" s="1" t="e">
        <f>Logs[[#This Row],[Duree_Cumulee_Panne_Min]]/1440</f>
        <v>#VALUE!</v>
      </c>
      <c r="T358" s="1" t="str">
        <f>_xlfn.XLOOKUP(Logs[[#This Row],[ID_Client]],Clients_Log!B:B,Clients_Log!H:H,"Pas de correspondance")</f>
        <v>Pas de correspondance</v>
      </c>
      <c r="U358" s="1" t="str">
        <f>_xlfn.XLOOKUP(Logs[[#This Row],[ID_Client]],Clients_Log!B:B,Clients_Log!I:I,"Pas de correspondance")</f>
        <v>Pas de correspondance</v>
      </c>
      <c r="V35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58" s="1" t="e">
        <f>Logs[[#This Row],[Facture_Mensuelle]]*Logs[[#This Row],[Remise (%)]]</f>
        <v>#VALUE!</v>
      </c>
    </row>
    <row r="359" spans="1:23" hidden="1" x14ac:dyDescent="0.25">
      <c r="A359" s="1" t="s">
        <v>1098</v>
      </c>
      <c r="B359" s="2">
        <v>45202</v>
      </c>
      <c r="C359" s="1" t="str">
        <f>_xlfn.XLOOKUP(Logs[[#This Row],[Province_RDC]],Clients_Log!D:D,Clients_Log!B:B,"Pas de correspondance")</f>
        <v>Pas de correspondance</v>
      </c>
      <c r="D359" t="str">
        <f>_xlfn.XLOOKUP(Logs[[#This Row],[Cell_ID]],'Registre_Maintenance'!B:B,'Registre_Maintenance'!C:C,"Pas de correspondance")</f>
        <v>Pas de correspondance</v>
      </c>
      <c r="E359" s="3">
        <v>0.69513888888888886</v>
      </c>
      <c r="F359" s="1" t="s">
        <v>1108</v>
      </c>
      <c r="G359" s="3">
        <f>Logs[[#This Row],[Duree_Panne_Min]]/1440</f>
        <v>1.4583333333333334E-2</v>
      </c>
      <c r="H359">
        <v>21</v>
      </c>
      <c r="I359" t="str">
        <f>_xlfn.XLOOKUP(Logs[[#This Row],[Cell_ID]],'Registre_Maintenance'!B:B,'Registre_Maintenance'!D:D,"Pas de correspondance")</f>
        <v>Pas de correspondance</v>
      </c>
      <c r="J359" t="str">
        <f>_xlfn.XLOOKUP(Logs[[#This Row],[Cell_ID]],'Registre_Maintenance'!B:B,'Registre_Maintenance'!E:E,"Pas de correspondance")</f>
        <v>Pas de correspondance</v>
      </c>
      <c r="K359" t="str">
        <f>_xlfn.XLOOKUP(Logs[[#This Row],[Cell_ID]],'Registre_Maintenance'!B:B,'Registre_Maintenance'!F:F,"Pas de correspondance")</f>
        <v>Pas de correspondance</v>
      </c>
      <c r="L359" t="str">
        <f>_xlfn.XLOOKUP(Logs[[#This Row],[Cell_ID]],'Registre_Maintenance'!B:B,'Registre_Maintenance'!G:G,"Pas de correspondance")</f>
        <v>Pas de correspondance</v>
      </c>
      <c r="M359" s="1" t="s">
        <v>806</v>
      </c>
      <c r="N359" s="1" t="str">
        <f>_xlfn.XLOOKUP(Logs[[#This Row],[ID_Client]],Clients_Log!B:B,Clients_Log!E:E,"Pas de correspondance")</f>
        <v>Pas de correspondance</v>
      </c>
      <c r="O359" s="4" t="str">
        <f>IFERROR(Logs[[#This Row],[Anciennete_Mois]]/12,"")</f>
        <v/>
      </c>
      <c r="P359" s="1" t="str">
        <f>_xlfn.XLOOKUP(Logs[[#This Row],[ID_Client]],Clients_Log!B:B,Clients_Log!F:F,"Pas de correspondance")</f>
        <v>Pas de correspondance</v>
      </c>
      <c r="Q359" s="1" t="str">
        <f>IF(Logs[[#This Row],[Type_Forfait]]="Pro Monde","B2B","B2C")</f>
        <v>B2C</v>
      </c>
      <c r="R359" s="1" t="str">
        <f>_xlfn.XLOOKUP(Logs[[#This Row],[ID_Client]],Clients_Log!B:B,Clients_Log!G:G,"Pas de correspondance")</f>
        <v>Pas de correspondance</v>
      </c>
      <c r="S359" s="1" t="e">
        <f>Logs[[#This Row],[Duree_Cumulee_Panne_Min]]/1440</f>
        <v>#VALUE!</v>
      </c>
      <c r="T359" s="1" t="str">
        <f>_xlfn.XLOOKUP(Logs[[#This Row],[ID_Client]],Clients_Log!B:B,Clients_Log!H:H,"Pas de correspondance")</f>
        <v>Pas de correspondance</v>
      </c>
      <c r="U359" s="1" t="str">
        <f>_xlfn.XLOOKUP(Logs[[#This Row],[ID_Client]],Clients_Log!B:B,Clients_Log!I:I,"Pas de correspondance")</f>
        <v>Pas de correspondance</v>
      </c>
      <c r="V35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59" s="1" t="e">
        <f>Logs[[#This Row],[Facture_Mensuelle]]*Logs[[#This Row],[Remise (%)]]</f>
        <v>#VALUE!</v>
      </c>
    </row>
    <row r="360" spans="1:23" x14ac:dyDescent="0.25">
      <c r="A360" s="1" t="s">
        <v>1098</v>
      </c>
      <c r="B360" s="2">
        <v>45205</v>
      </c>
      <c r="C360" s="1" t="str">
        <f>_xlfn.XLOOKUP(Logs[[#This Row],[Province_RDC]],Clients_Log!D:D,Clients_Log!B:B,"Pas de correspondance")</f>
        <v>CLI-00559</v>
      </c>
      <c r="D360" t="str">
        <f>_xlfn.XLOOKUP(Logs[[#This Row],[Cell_ID]],'Registre_Maintenance'!B:B,'Registre_Maintenance'!C:C,"Pas de correspondance")</f>
        <v>Kasaï</v>
      </c>
      <c r="E360" s="3">
        <v>5.2083333333333336E-2</v>
      </c>
      <c r="F360" s="1" t="s">
        <v>1109</v>
      </c>
      <c r="G360" s="3">
        <f>Logs[[#This Row],[Duree_Panne_Min]]/1440</f>
        <v>5.6250000000000001E-2</v>
      </c>
      <c r="H360">
        <v>81</v>
      </c>
      <c r="I360">
        <f>_xlfn.XLOOKUP(Logs[[#This Row],[Cell_ID]],'Registre_Maintenance'!B:B,'Registre_Maintenance'!D:D,"Pas de correspondance")</f>
        <v>1.5802860000000001</v>
      </c>
      <c r="J360">
        <f>_xlfn.XLOOKUP(Logs[[#This Row],[Cell_ID]],'Registre_Maintenance'!B:B,'Registre_Maintenance'!E:E,"Pas de correspondance")</f>
        <v>20.99053</v>
      </c>
      <c r="K360" t="str">
        <f>_xlfn.XLOOKUP(Logs[[#This Row],[Cell_ID]],'Registre_Maintenance'!B:B,'Registre_Maintenance'!F:F,"Pas de correspondance")</f>
        <v>4G</v>
      </c>
      <c r="L360" t="str">
        <f>_xlfn.XLOOKUP(Logs[[#This Row],[Cell_ID]],'Registre_Maintenance'!B:B,'Registre_Maintenance'!G:G,"Pas de correspondance")</f>
        <v>ZTE</v>
      </c>
      <c r="M360" s="1" t="s">
        <v>811</v>
      </c>
      <c r="N360" s="1">
        <f>_xlfn.XLOOKUP(Logs[[#This Row],[ID_Client]],Clients_Log!B:B,Clients_Log!E:E,"Pas de correspondance")</f>
        <v>99</v>
      </c>
      <c r="O360" s="4">
        <f>IFERROR(Logs[[#This Row],[Anciennete_Mois]]/12,"")</f>
        <v>8.25</v>
      </c>
      <c r="P360" s="1" t="str">
        <f>_xlfn.XLOOKUP(Logs[[#This Row],[ID_Client]],Clients_Log!B:B,Clients_Log!F:F,"Pas de correspondance")</f>
        <v>Bloqué 5Go</v>
      </c>
      <c r="Q360" s="1" t="str">
        <f>IF(Logs[[#This Row],[Type_Forfait]]="Pro Monde","B2B","B2C")</f>
        <v>B2C</v>
      </c>
      <c r="R360" s="1">
        <f>_xlfn.XLOOKUP(Logs[[#This Row],[ID_Client]],Clients_Log!B:B,Clients_Log!G:G,"Pas de correspondance")</f>
        <v>369</v>
      </c>
      <c r="S360" s="3">
        <f>Logs[[#This Row],[Duree_Cumulee_Panne_Min]]/1440</f>
        <v>0.25624999999999998</v>
      </c>
      <c r="T360" s="1">
        <f>_xlfn.XLOOKUP(Logs[[#This Row],[ID_Client]],Clients_Log!B:B,Clients_Log!H:H,"Pas de correspondance")</f>
        <v>67.209999999999994</v>
      </c>
      <c r="U360" s="1">
        <f>_xlfn.XLOOKUP(Logs[[#This Row],[ID_Client]],Clients_Log!B:B,Clients_Log!I:I,"Pas de correspondance")</f>
        <v>3</v>
      </c>
      <c r="V36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60" s="1">
        <f>Logs[[#This Row],[Facture_Mensuelle]]*Logs[[#This Row],[Remise (%)]]</f>
        <v>30.244499999999999</v>
      </c>
    </row>
    <row r="361" spans="1:23" hidden="1" x14ac:dyDescent="0.25">
      <c r="A361" s="1" t="s">
        <v>1098</v>
      </c>
      <c r="B361" s="2">
        <v>45222</v>
      </c>
      <c r="C361" s="1" t="str">
        <f>_xlfn.XLOOKUP(Logs[[#This Row],[Province_RDC]],Clients_Log!D:D,Clients_Log!B:B,"Pas de correspondance")</f>
        <v>Pas de correspondance</v>
      </c>
      <c r="D361" t="str">
        <f>_xlfn.XLOOKUP(Logs[[#This Row],[Cell_ID]],'Registre_Maintenance'!B:B,'Registre_Maintenance'!C:C,"Pas de correspondance")</f>
        <v>Pas de correspondance</v>
      </c>
      <c r="E361" s="3">
        <v>0.60277777777777775</v>
      </c>
      <c r="F361" s="1" t="s">
        <v>1110</v>
      </c>
      <c r="G361" s="3">
        <f>Logs[[#This Row],[Duree_Panne_Min]]/1440</f>
        <v>3.6805555555555557E-2</v>
      </c>
      <c r="H361">
        <v>53</v>
      </c>
      <c r="I361" t="str">
        <f>_xlfn.XLOOKUP(Logs[[#This Row],[Cell_ID]],'Registre_Maintenance'!B:B,'Registre_Maintenance'!D:D,"Pas de correspondance")</f>
        <v>Pas de correspondance</v>
      </c>
      <c r="J361" t="str">
        <f>_xlfn.XLOOKUP(Logs[[#This Row],[Cell_ID]],'Registre_Maintenance'!B:B,'Registre_Maintenance'!E:E,"Pas de correspondance")</f>
        <v>Pas de correspondance</v>
      </c>
      <c r="K361" t="str">
        <f>_xlfn.XLOOKUP(Logs[[#This Row],[Cell_ID]],'Registre_Maintenance'!B:B,'Registre_Maintenance'!F:F,"Pas de correspondance")</f>
        <v>Pas de correspondance</v>
      </c>
      <c r="L361" t="str">
        <f>_xlfn.XLOOKUP(Logs[[#This Row],[Cell_ID]],'Registre_Maintenance'!B:B,'Registre_Maintenance'!G:G,"Pas de correspondance")</f>
        <v>Pas de correspondance</v>
      </c>
      <c r="M361" s="1" t="s">
        <v>809</v>
      </c>
      <c r="N361" s="1" t="str">
        <f>_xlfn.XLOOKUP(Logs[[#This Row],[ID_Client]],Clients_Log!B:B,Clients_Log!E:E,"Pas de correspondance")</f>
        <v>Pas de correspondance</v>
      </c>
      <c r="O361" s="4" t="str">
        <f>IFERROR(Logs[[#This Row],[Anciennete_Mois]]/12,"")</f>
        <v/>
      </c>
      <c r="P361" s="1" t="str">
        <f>_xlfn.XLOOKUP(Logs[[#This Row],[ID_Client]],Clients_Log!B:B,Clients_Log!F:F,"Pas de correspondance")</f>
        <v>Pas de correspondance</v>
      </c>
      <c r="Q361" s="1" t="str">
        <f>IF(Logs[[#This Row],[Type_Forfait]]="Pro Monde","B2B","B2C")</f>
        <v>B2C</v>
      </c>
      <c r="R361" s="1" t="str">
        <f>_xlfn.XLOOKUP(Logs[[#This Row],[ID_Client]],Clients_Log!B:B,Clients_Log!G:G,"Pas de correspondance")</f>
        <v>Pas de correspondance</v>
      </c>
      <c r="S361" s="1" t="e">
        <f>Logs[[#This Row],[Duree_Cumulee_Panne_Min]]/1440</f>
        <v>#VALUE!</v>
      </c>
      <c r="T361" s="1" t="str">
        <f>_xlfn.XLOOKUP(Logs[[#This Row],[ID_Client]],Clients_Log!B:B,Clients_Log!H:H,"Pas de correspondance")</f>
        <v>Pas de correspondance</v>
      </c>
      <c r="U361" s="1" t="str">
        <f>_xlfn.XLOOKUP(Logs[[#This Row],[ID_Client]],Clients_Log!B:B,Clients_Log!I:I,"Pas de correspondance")</f>
        <v>Pas de correspondance</v>
      </c>
      <c r="V36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61" s="1" t="e">
        <f>Logs[[#This Row],[Facture_Mensuelle]]*Logs[[#This Row],[Remise (%)]]</f>
        <v>#VALUE!</v>
      </c>
    </row>
    <row r="362" spans="1:23" x14ac:dyDescent="0.25">
      <c r="A362" s="1" t="s">
        <v>1098</v>
      </c>
      <c r="B362" s="2">
        <v>45216</v>
      </c>
      <c r="C362" s="1" t="str">
        <f>_xlfn.XLOOKUP(Logs[[#This Row],[Province_RDC]],Clients_Log!D:D,Clients_Log!B:B,"Pas de correspondance")</f>
        <v>CLI-00439</v>
      </c>
      <c r="D362" t="str">
        <f>_xlfn.XLOOKUP(Logs[[#This Row],[Cell_ID]],'Registre_Maintenance'!B:B,'Registre_Maintenance'!C:C,"Pas de correspondance")</f>
        <v>Haut-Uele</v>
      </c>
      <c r="E362" s="3">
        <v>0.69374999999999998</v>
      </c>
      <c r="F362" s="1" t="s">
        <v>925</v>
      </c>
      <c r="G362" s="3">
        <f>Logs[[#This Row],[Duree_Panne_Min]]/1440</f>
        <v>1.6666666666666666E-2</v>
      </c>
      <c r="H362">
        <v>24</v>
      </c>
      <c r="I362">
        <f>_xlfn.XLOOKUP(Logs[[#This Row],[Cell_ID]],'Registre_Maintenance'!B:B,'Registre_Maintenance'!D:D,"Pas de correspondance")</f>
        <v>-12.100756000000001</v>
      </c>
      <c r="J362">
        <f>_xlfn.XLOOKUP(Logs[[#This Row],[Cell_ID]],'Registre_Maintenance'!B:B,'Registre_Maintenance'!E:E,"Pas de correspondance")</f>
        <v>21.938649999999999</v>
      </c>
      <c r="K362" t="str">
        <f>_xlfn.XLOOKUP(Logs[[#This Row],[Cell_ID]],'Registre_Maintenance'!B:B,'Registre_Maintenance'!F:F,"Pas de correspondance")</f>
        <v>4G</v>
      </c>
      <c r="L362" t="str">
        <f>_xlfn.XLOOKUP(Logs[[#This Row],[Cell_ID]],'Registre_Maintenance'!B:B,'Registre_Maintenance'!G:G,"Pas de correspondance")</f>
        <v>Huawei</v>
      </c>
      <c r="M362" s="1" t="s">
        <v>811</v>
      </c>
      <c r="N362" s="1">
        <f>_xlfn.XLOOKUP(Logs[[#This Row],[ID_Client]],Clients_Log!B:B,Clients_Log!E:E,"Pas de correspondance")</f>
        <v>40</v>
      </c>
      <c r="O362" s="4">
        <f>IFERROR(Logs[[#This Row],[Anciennete_Mois]]/12,"")</f>
        <v>3.3333333333333335</v>
      </c>
      <c r="P362" s="1" t="str">
        <f>_xlfn.XLOOKUP(Logs[[#This Row],[ID_Client]],Clients_Log!B:B,Clients_Log!F:F,"Pas de correspondance")</f>
        <v>Premium 5G 150Go</v>
      </c>
      <c r="Q362" s="1" t="str">
        <f>IF(Logs[[#This Row],[Type_Forfait]]="Pro Monde","B2B","B2C")</f>
        <v>B2C</v>
      </c>
      <c r="R362" s="1">
        <f>_xlfn.XLOOKUP(Logs[[#This Row],[ID_Client]],Clients_Log!B:B,Clients_Log!G:G,"Pas de correspondance")</f>
        <v>345</v>
      </c>
      <c r="S362" s="3">
        <f>Logs[[#This Row],[Duree_Cumulee_Panne_Min]]/1440</f>
        <v>0.23958333333333334</v>
      </c>
      <c r="T362" s="1">
        <f>_xlfn.XLOOKUP(Logs[[#This Row],[ID_Client]],Clients_Log!B:B,Clients_Log!H:H,"Pas de correspondance")</f>
        <v>89.55</v>
      </c>
      <c r="U362" s="1">
        <f>_xlfn.XLOOKUP(Logs[[#This Row],[ID_Client]],Clients_Log!B:B,Clients_Log!I:I,"Pas de correspondance")</f>
        <v>3</v>
      </c>
      <c r="V36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62" s="1">
        <f>Logs[[#This Row],[Facture_Mensuelle]]*Logs[[#This Row],[Remise (%)]]</f>
        <v>40.297499999999999</v>
      </c>
    </row>
    <row r="363" spans="1:23" hidden="1" x14ac:dyDescent="0.25">
      <c r="A363" s="1" t="s">
        <v>1098</v>
      </c>
      <c r="B363" s="2">
        <v>45205</v>
      </c>
      <c r="C363" s="1" t="str">
        <f>_xlfn.XLOOKUP(Logs[[#This Row],[Province_RDC]],Clients_Log!D:D,Clients_Log!B:B,"Pas de correspondance")</f>
        <v>Pas de correspondance</v>
      </c>
      <c r="D363" t="str">
        <f>_xlfn.XLOOKUP(Logs[[#This Row],[Cell_ID]],'Registre_Maintenance'!B:B,'Registre_Maintenance'!C:C,"Pas de correspondance")</f>
        <v>Pas de correspondance</v>
      </c>
      <c r="E363" s="3">
        <v>0.47430555555555554</v>
      </c>
      <c r="F363" s="1" t="s">
        <v>1111</v>
      </c>
      <c r="G363" s="3">
        <f>Logs[[#This Row],[Duree_Panne_Min]]/1440</f>
        <v>1.7361111111111112E-2</v>
      </c>
      <c r="H363">
        <v>25</v>
      </c>
      <c r="I363" t="str">
        <f>_xlfn.XLOOKUP(Logs[[#This Row],[Cell_ID]],'Registre_Maintenance'!B:B,'Registre_Maintenance'!D:D,"Pas de correspondance")</f>
        <v>Pas de correspondance</v>
      </c>
      <c r="J363" t="str">
        <f>_xlfn.XLOOKUP(Logs[[#This Row],[Cell_ID]],'Registre_Maintenance'!B:B,'Registre_Maintenance'!E:E,"Pas de correspondance")</f>
        <v>Pas de correspondance</v>
      </c>
      <c r="K363" t="str">
        <f>_xlfn.XLOOKUP(Logs[[#This Row],[Cell_ID]],'Registre_Maintenance'!B:B,'Registre_Maintenance'!F:F,"Pas de correspondance")</f>
        <v>Pas de correspondance</v>
      </c>
      <c r="L363" t="str">
        <f>_xlfn.XLOOKUP(Logs[[#This Row],[Cell_ID]],'Registre_Maintenance'!B:B,'Registre_Maintenance'!G:G,"Pas de correspondance")</f>
        <v>Pas de correspondance</v>
      </c>
      <c r="M363" s="1" t="s">
        <v>806</v>
      </c>
      <c r="N363" s="1" t="str">
        <f>_xlfn.XLOOKUP(Logs[[#This Row],[ID_Client]],Clients_Log!B:B,Clients_Log!E:E,"Pas de correspondance")</f>
        <v>Pas de correspondance</v>
      </c>
      <c r="O363" s="4" t="str">
        <f>IFERROR(Logs[[#This Row],[Anciennete_Mois]]/12,"")</f>
        <v/>
      </c>
      <c r="P363" s="1" t="str">
        <f>_xlfn.XLOOKUP(Logs[[#This Row],[ID_Client]],Clients_Log!B:B,Clients_Log!F:F,"Pas de correspondance")</f>
        <v>Pas de correspondance</v>
      </c>
      <c r="Q363" s="1" t="str">
        <f>IF(Logs[[#This Row],[Type_Forfait]]="Pro Monde","B2B","B2C")</f>
        <v>B2C</v>
      </c>
      <c r="R363" s="1" t="str">
        <f>_xlfn.XLOOKUP(Logs[[#This Row],[ID_Client]],Clients_Log!B:B,Clients_Log!G:G,"Pas de correspondance")</f>
        <v>Pas de correspondance</v>
      </c>
      <c r="S363" s="1" t="e">
        <f>Logs[[#This Row],[Duree_Cumulee_Panne_Min]]/1440</f>
        <v>#VALUE!</v>
      </c>
      <c r="T363" s="1" t="str">
        <f>_xlfn.XLOOKUP(Logs[[#This Row],[ID_Client]],Clients_Log!B:B,Clients_Log!H:H,"Pas de correspondance")</f>
        <v>Pas de correspondance</v>
      </c>
      <c r="U363" s="1" t="str">
        <f>_xlfn.XLOOKUP(Logs[[#This Row],[ID_Client]],Clients_Log!B:B,Clients_Log!I:I,"Pas de correspondance")</f>
        <v>Pas de correspondance</v>
      </c>
      <c r="V36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63" s="1" t="e">
        <f>Logs[[#This Row],[Facture_Mensuelle]]*Logs[[#This Row],[Remise (%)]]</f>
        <v>#VALUE!</v>
      </c>
    </row>
    <row r="364" spans="1:23" x14ac:dyDescent="0.25">
      <c r="A364" s="1" t="s">
        <v>1098</v>
      </c>
      <c r="B364" s="2">
        <v>45229</v>
      </c>
      <c r="C364" s="1" t="str">
        <f>_xlfn.XLOOKUP(Logs[[#This Row],[Province_RDC]],Clients_Log!D:D,Clients_Log!B:B,"Pas de correspondance")</f>
        <v>CLI-01005</v>
      </c>
      <c r="D364" t="str">
        <f>_xlfn.XLOOKUP(Logs[[#This Row],[Cell_ID]],'Registre_Maintenance'!B:B,'Registre_Maintenance'!C:C,"Pas de correspondance")</f>
        <v>Lualaba</v>
      </c>
      <c r="E364" s="3">
        <v>0.39166666666666666</v>
      </c>
      <c r="F364" s="1" t="s">
        <v>1112</v>
      </c>
      <c r="G364" s="3">
        <f>Logs[[#This Row],[Duree_Panne_Min]]/1440</f>
        <v>1.9444444444444445E-2</v>
      </c>
      <c r="H364">
        <v>28</v>
      </c>
      <c r="I364">
        <f>_xlfn.XLOOKUP(Logs[[#This Row],[Cell_ID]],'Registre_Maintenance'!B:B,'Registre_Maintenance'!D:D,"Pas de correspondance")</f>
        <v>-10.967288</v>
      </c>
      <c r="J364">
        <f>_xlfn.XLOOKUP(Logs[[#This Row],[Cell_ID]],'Registre_Maintenance'!B:B,'Registre_Maintenance'!E:E,"Pas de correspondance")</f>
        <v>17.617781000000001</v>
      </c>
      <c r="K364" t="str">
        <f>_xlfn.XLOOKUP(Logs[[#This Row],[Cell_ID]],'Registre_Maintenance'!B:B,'Registre_Maintenance'!F:F,"Pas de correspondance")</f>
        <v>4G</v>
      </c>
      <c r="L364" t="str">
        <f>_xlfn.XLOOKUP(Logs[[#This Row],[Cell_ID]],'Registre_Maintenance'!B:B,'Registre_Maintenance'!G:G,"Pas de correspondance")</f>
        <v>Ericsson</v>
      </c>
      <c r="M364" s="1" t="s">
        <v>811</v>
      </c>
      <c r="N364" s="1">
        <f>_xlfn.XLOOKUP(Logs[[#This Row],[ID_Client]],Clients_Log!B:B,Clients_Log!E:E,"Pas de correspondance")</f>
        <v>80</v>
      </c>
      <c r="O364" s="4">
        <f>IFERROR(Logs[[#This Row],[Anciennete_Mois]]/12,"")</f>
        <v>6.666666666666667</v>
      </c>
      <c r="P364" s="1" t="str">
        <f>_xlfn.XLOOKUP(Logs[[#This Row],[ID_Client]],Clients_Log!B:B,Clients_Log!F:F,"Pas de correspondance")</f>
        <v>Illimité 50Go</v>
      </c>
      <c r="Q364" s="1" t="str">
        <f>IF(Logs[[#This Row],[Type_Forfait]]="Pro Monde","B2B","B2C")</f>
        <v>B2C</v>
      </c>
      <c r="R364" s="1">
        <f>_xlfn.XLOOKUP(Logs[[#This Row],[ID_Client]],Clients_Log!B:B,Clients_Log!G:G,"Pas de correspondance")</f>
        <v>155</v>
      </c>
      <c r="S364" s="3">
        <f>Logs[[#This Row],[Duree_Cumulee_Panne_Min]]/1440</f>
        <v>0.1076388888888889</v>
      </c>
      <c r="T364" s="1">
        <f>_xlfn.XLOOKUP(Logs[[#This Row],[ID_Client]],Clients_Log!B:B,Clients_Log!H:H,"Pas de correspondance")</f>
        <v>28.96</v>
      </c>
      <c r="U364" s="1">
        <f>_xlfn.XLOOKUP(Logs[[#This Row],[ID_Client]],Clients_Log!B:B,Clients_Log!I:I,"Pas de correspondance")</f>
        <v>2</v>
      </c>
      <c r="V36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364" s="1">
        <f>Logs[[#This Row],[Facture_Mensuelle]]*Logs[[#This Row],[Remise (%)]]</f>
        <v>0</v>
      </c>
    </row>
    <row r="365" spans="1:23" hidden="1" x14ac:dyDescent="0.25">
      <c r="A365" s="1" t="s">
        <v>1098</v>
      </c>
      <c r="B365" s="2">
        <v>45213</v>
      </c>
      <c r="C365" s="1" t="str">
        <f>_xlfn.XLOOKUP(Logs[[#This Row],[Province_RDC]],Clients_Log!D:D,Clients_Log!B:B,"Pas de correspondance")</f>
        <v>Pas de correspondance</v>
      </c>
      <c r="D365" t="str">
        <f>_xlfn.XLOOKUP(Logs[[#This Row],[Cell_ID]],'Registre_Maintenance'!B:B,'Registre_Maintenance'!C:C,"Pas de correspondance")</f>
        <v>Pas de correspondance</v>
      </c>
      <c r="E365" s="3">
        <v>0.4465277777777778</v>
      </c>
      <c r="F365" s="1" t="s">
        <v>1113</v>
      </c>
      <c r="G365" s="3">
        <f>Logs[[#This Row],[Duree_Panne_Min]]/1440</f>
        <v>7.7083333333333337E-2</v>
      </c>
      <c r="H365">
        <v>111</v>
      </c>
      <c r="I365" t="str">
        <f>_xlfn.XLOOKUP(Logs[[#This Row],[Cell_ID]],'Registre_Maintenance'!B:B,'Registre_Maintenance'!D:D,"Pas de correspondance")</f>
        <v>Pas de correspondance</v>
      </c>
      <c r="J365" t="str">
        <f>_xlfn.XLOOKUP(Logs[[#This Row],[Cell_ID]],'Registre_Maintenance'!B:B,'Registre_Maintenance'!E:E,"Pas de correspondance")</f>
        <v>Pas de correspondance</v>
      </c>
      <c r="K365" t="str">
        <f>_xlfn.XLOOKUP(Logs[[#This Row],[Cell_ID]],'Registre_Maintenance'!B:B,'Registre_Maintenance'!F:F,"Pas de correspondance")</f>
        <v>Pas de correspondance</v>
      </c>
      <c r="L365" t="str">
        <f>_xlfn.XLOOKUP(Logs[[#This Row],[Cell_ID]],'Registre_Maintenance'!B:B,'Registre_Maintenance'!G:G,"Pas de correspondance")</f>
        <v>Pas de correspondance</v>
      </c>
      <c r="M365" s="1" t="s">
        <v>806</v>
      </c>
      <c r="N365" s="1" t="str">
        <f>_xlfn.XLOOKUP(Logs[[#This Row],[ID_Client]],Clients_Log!B:B,Clients_Log!E:E,"Pas de correspondance")</f>
        <v>Pas de correspondance</v>
      </c>
      <c r="O365" s="4" t="str">
        <f>IFERROR(Logs[[#This Row],[Anciennete_Mois]]/12,"")</f>
        <v/>
      </c>
      <c r="P365" s="1" t="str">
        <f>_xlfn.XLOOKUP(Logs[[#This Row],[ID_Client]],Clients_Log!B:B,Clients_Log!F:F,"Pas de correspondance")</f>
        <v>Pas de correspondance</v>
      </c>
      <c r="Q365" s="1" t="str">
        <f>IF(Logs[[#This Row],[Type_Forfait]]="Pro Monde","B2B","B2C")</f>
        <v>B2C</v>
      </c>
      <c r="R365" s="1" t="str">
        <f>_xlfn.XLOOKUP(Logs[[#This Row],[ID_Client]],Clients_Log!B:B,Clients_Log!G:G,"Pas de correspondance")</f>
        <v>Pas de correspondance</v>
      </c>
      <c r="S365" s="1" t="e">
        <f>Logs[[#This Row],[Duree_Cumulee_Panne_Min]]/1440</f>
        <v>#VALUE!</v>
      </c>
      <c r="T365" s="1" t="str">
        <f>_xlfn.XLOOKUP(Logs[[#This Row],[ID_Client]],Clients_Log!B:B,Clients_Log!H:H,"Pas de correspondance")</f>
        <v>Pas de correspondance</v>
      </c>
      <c r="U365" s="1" t="str">
        <f>_xlfn.XLOOKUP(Logs[[#This Row],[ID_Client]],Clients_Log!B:B,Clients_Log!I:I,"Pas de correspondance")</f>
        <v>Pas de correspondance</v>
      </c>
      <c r="V36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65" s="1" t="e">
        <f>Logs[[#This Row],[Facture_Mensuelle]]*Logs[[#This Row],[Remise (%)]]</f>
        <v>#VALUE!</v>
      </c>
    </row>
    <row r="366" spans="1:23" hidden="1" x14ac:dyDescent="0.25">
      <c r="A366" s="1" t="s">
        <v>1098</v>
      </c>
      <c r="B366" s="2">
        <v>45219</v>
      </c>
      <c r="C366" s="1" t="str">
        <f>_xlfn.XLOOKUP(Logs[[#This Row],[Province_RDC]],Clients_Log!D:D,Clients_Log!B:B,"Pas de correspondance")</f>
        <v>Pas de correspondance</v>
      </c>
      <c r="D366" t="str">
        <f>_xlfn.XLOOKUP(Logs[[#This Row],[Cell_ID]],'Registre_Maintenance'!B:B,'Registre_Maintenance'!C:C,"Pas de correspondance")</f>
        <v>Pas de correspondance</v>
      </c>
      <c r="E366" s="3">
        <v>7.6388888888888895E-2</v>
      </c>
      <c r="F366" s="1" t="s">
        <v>1114</v>
      </c>
      <c r="G366" s="3">
        <f>Logs[[#This Row],[Duree_Panne_Min]]/1440</f>
        <v>6.458333333333334E-2</v>
      </c>
      <c r="H366">
        <v>93</v>
      </c>
      <c r="I366" t="str">
        <f>_xlfn.XLOOKUP(Logs[[#This Row],[Cell_ID]],'Registre_Maintenance'!B:B,'Registre_Maintenance'!D:D,"Pas de correspondance")</f>
        <v>Pas de correspondance</v>
      </c>
      <c r="J366" t="str">
        <f>_xlfn.XLOOKUP(Logs[[#This Row],[Cell_ID]],'Registre_Maintenance'!B:B,'Registre_Maintenance'!E:E,"Pas de correspondance")</f>
        <v>Pas de correspondance</v>
      </c>
      <c r="K366" t="str">
        <f>_xlfn.XLOOKUP(Logs[[#This Row],[Cell_ID]],'Registre_Maintenance'!B:B,'Registre_Maintenance'!F:F,"Pas de correspondance")</f>
        <v>Pas de correspondance</v>
      </c>
      <c r="L366" t="str">
        <f>_xlfn.XLOOKUP(Logs[[#This Row],[Cell_ID]],'Registre_Maintenance'!B:B,'Registre_Maintenance'!G:G,"Pas de correspondance")</f>
        <v>Pas de correspondance</v>
      </c>
      <c r="M366" s="1" t="s">
        <v>811</v>
      </c>
      <c r="N366" s="1" t="str">
        <f>_xlfn.XLOOKUP(Logs[[#This Row],[ID_Client]],Clients_Log!B:B,Clients_Log!E:E,"Pas de correspondance")</f>
        <v>Pas de correspondance</v>
      </c>
      <c r="O366" s="4" t="str">
        <f>IFERROR(Logs[[#This Row],[Anciennete_Mois]]/12,"")</f>
        <v/>
      </c>
      <c r="P366" s="1" t="str">
        <f>_xlfn.XLOOKUP(Logs[[#This Row],[ID_Client]],Clients_Log!B:B,Clients_Log!F:F,"Pas de correspondance")</f>
        <v>Pas de correspondance</v>
      </c>
      <c r="Q366" s="1" t="str">
        <f>IF(Logs[[#This Row],[Type_Forfait]]="Pro Monde","B2B","B2C")</f>
        <v>B2C</v>
      </c>
      <c r="R366" s="1" t="str">
        <f>_xlfn.XLOOKUP(Logs[[#This Row],[ID_Client]],Clients_Log!B:B,Clients_Log!G:G,"Pas de correspondance")</f>
        <v>Pas de correspondance</v>
      </c>
      <c r="S366" s="1" t="e">
        <f>Logs[[#This Row],[Duree_Cumulee_Panne_Min]]/1440</f>
        <v>#VALUE!</v>
      </c>
      <c r="T366" s="1" t="str">
        <f>_xlfn.XLOOKUP(Logs[[#This Row],[ID_Client]],Clients_Log!B:B,Clients_Log!H:H,"Pas de correspondance")</f>
        <v>Pas de correspondance</v>
      </c>
      <c r="U366" s="1" t="str">
        <f>_xlfn.XLOOKUP(Logs[[#This Row],[ID_Client]],Clients_Log!B:B,Clients_Log!I:I,"Pas de correspondance")</f>
        <v>Pas de correspondance</v>
      </c>
      <c r="V36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66" s="1" t="e">
        <f>Logs[[#This Row],[Facture_Mensuelle]]*Logs[[#This Row],[Remise (%)]]</f>
        <v>#VALUE!</v>
      </c>
    </row>
    <row r="367" spans="1:23" x14ac:dyDescent="0.25">
      <c r="A367" s="1" t="s">
        <v>1098</v>
      </c>
      <c r="B367" s="2">
        <v>45220</v>
      </c>
      <c r="C367" s="1" t="str">
        <f>_xlfn.XLOOKUP(Logs[[#This Row],[Province_RDC]],Clients_Log!D:D,Clients_Log!B:B,"Pas de correspondance")</f>
        <v>CLI-01233</v>
      </c>
      <c r="D367" t="str">
        <f>_xlfn.XLOOKUP(Logs[[#This Row],[Cell_ID]],'Registre_Maintenance'!B:B,'Registre_Maintenance'!C:C,"Pas de correspondance")</f>
        <v>Kongo-Central</v>
      </c>
      <c r="E367" s="3">
        <v>0.84791666666666665</v>
      </c>
      <c r="F367" s="1" t="s">
        <v>1077</v>
      </c>
      <c r="G367" s="3">
        <f>Logs[[#This Row],[Duree_Panne_Min]]/1440</f>
        <v>7.1527777777777773E-2</v>
      </c>
      <c r="H367">
        <v>103</v>
      </c>
      <c r="I367">
        <f>_xlfn.XLOOKUP(Logs[[#This Row],[Cell_ID]],'Registre_Maintenance'!B:B,'Registre_Maintenance'!D:D,"Pas de correspondance")</f>
        <v>-12.112399999999999</v>
      </c>
      <c r="J367">
        <f>_xlfn.XLOOKUP(Logs[[#This Row],[Cell_ID]],'Registre_Maintenance'!B:B,'Registre_Maintenance'!E:E,"Pas de correspondance")</f>
        <v>15.872226</v>
      </c>
      <c r="K367" t="str">
        <f>_xlfn.XLOOKUP(Logs[[#This Row],[Cell_ID]],'Registre_Maintenance'!B:B,'Registre_Maintenance'!F:F,"Pas de correspondance")</f>
        <v>4G</v>
      </c>
      <c r="L367" t="str">
        <f>_xlfn.XLOOKUP(Logs[[#This Row],[Cell_ID]],'Registre_Maintenance'!B:B,'Registre_Maintenance'!G:G,"Pas de correspondance")</f>
        <v>Nokia</v>
      </c>
      <c r="M367" s="1" t="s">
        <v>806</v>
      </c>
      <c r="N367" s="1">
        <f>_xlfn.XLOOKUP(Logs[[#This Row],[ID_Client]],Clients_Log!B:B,Clients_Log!E:E,"Pas de correspondance")</f>
        <v>101</v>
      </c>
      <c r="O367" s="4">
        <f>IFERROR(Logs[[#This Row],[Anciennete_Mois]]/12,"")</f>
        <v>8.4166666666666661</v>
      </c>
      <c r="P367" s="1" t="str">
        <f>_xlfn.XLOOKUP(Logs[[#This Row],[ID_Client]],Clients_Log!B:B,Clients_Log!F:F,"Pas de correspondance")</f>
        <v>Pro Monde</v>
      </c>
      <c r="Q367" s="1" t="str">
        <f>IF(Logs[[#This Row],[Type_Forfait]]="Pro Monde","B2B","B2C")</f>
        <v>B2B</v>
      </c>
      <c r="R367" s="1">
        <f>_xlfn.XLOOKUP(Logs[[#This Row],[ID_Client]],Clients_Log!B:B,Clients_Log!G:G,"Pas de correspondance")</f>
        <v>333</v>
      </c>
      <c r="S367" s="3">
        <f>Logs[[#This Row],[Duree_Cumulee_Panne_Min]]/1440</f>
        <v>0.23125000000000001</v>
      </c>
      <c r="T367" s="1">
        <f>_xlfn.XLOOKUP(Logs[[#This Row],[ID_Client]],Clients_Log!B:B,Clients_Log!H:H,"Pas de correspondance")</f>
        <v>74.319999999999993</v>
      </c>
      <c r="U367" s="1">
        <f>_xlfn.XLOOKUP(Logs[[#This Row],[ID_Client]],Clients_Log!B:B,Clients_Log!I:I,"Pas de correspondance")</f>
        <v>1</v>
      </c>
      <c r="V36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67" s="1">
        <f>Logs[[#This Row],[Facture_Mensuelle]]*Logs[[#This Row],[Remise (%)]]</f>
        <v>33.443999999999996</v>
      </c>
    </row>
    <row r="368" spans="1:23" x14ac:dyDescent="0.25">
      <c r="A368" s="1" t="s">
        <v>1098</v>
      </c>
      <c r="B368" s="2">
        <v>45202</v>
      </c>
      <c r="C368" s="1" t="str">
        <f>_xlfn.XLOOKUP(Logs[[#This Row],[Province_RDC]],Clients_Log!D:D,Clients_Log!B:B,"Pas de correspondance")</f>
        <v>CLI-00280</v>
      </c>
      <c r="D368" t="str">
        <f>_xlfn.XLOOKUP(Logs[[#This Row],[Cell_ID]],'Registre_Maintenance'!B:B,'Registre_Maintenance'!C:C,"Pas de correspondance")</f>
        <v>Sud-Ubangi</v>
      </c>
      <c r="E368" s="3">
        <v>0.42083333333333334</v>
      </c>
      <c r="F368" s="1" t="s">
        <v>831</v>
      </c>
      <c r="G368" s="3">
        <f>Logs[[#This Row],[Duree_Panne_Min]]/1440</f>
        <v>5.8333333333333334E-2</v>
      </c>
      <c r="H368">
        <v>84</v>
      </c>
      <c r="I368">
        <f>_xlfn.XLOOKUP(Logs[[#This Row],[Cell_ID]],'Registre_Maintenance'!B:B,'Registre_Maintenance'!D:D,"Pas de correspondance")</f>
        <v>-10.56448</v>
      </c>
      <c r="J368">
        <f>_xlfn.XLOOKUP(Logs[[#This Row],[Cell_ID]],'Registre_Maintenance'!B:B,'Registre_Maintenance'!E:E,"Pas de correspondance")</f>
        <v>19.792876</v>
      </c>
      <c r="K368" t="str">
        <f>_xlfn.XLOOKUP(Logs[[#This Row],[Cell_ID]],'Registre_Maintenance'!B:B,'Registre_Maintenance'!F:F,"Pas de correspondance")</f>
        <v>5G</v>
      </c>
      <c r="L368" t="str">
        <f>_xlfn.XLOOKUP(Logs[[#This Row],[Cell_ID]],'Registre_Maintenance'!B:B,'Registre_Maintenance'!G:G,"Pas de correspondance")</f>
        <v>Ericsson</v>
      </c>
      <c r="M368" s="1" t="s">
        <v>806</v>
      </c>
      <c r="N368" s="1">
        <f>_xlfn.XLOOKUP(Logs[[#This Row],[ID_Client]],Clients_Log!B:B,Clients_Log!E:E,"Pas de correspondance")</f>
        <v>113</v>
      </c>
      <c r="O368" s="4">
        <f>IFERROR(Logs[[#This Row],[Anciennete_Mois]]/12,"")</f>
        <v>9.4166666666666661</v>
      </c>
      <c r="P368" s="1" t="str">
        <f>_xlfn.XLOOKUP(Logs[[#This Row],[ID_Client]],Clients_Log!B:B,Clients_Log!F:F,"Pas de correspondance")</f>
        <v>Illimité 50Go</v>
      </c>
      <c r="Q368" s="1" t="str">
        <f>IF(Logs[[#This Row],[Type_Forfait]]="Pro Monde","B2B","B2C")</f>
        <v>B2C</v>
      </c>
      <c r="R368" s="1">
        <f>_xlfn.XLOOKUP(Logs[[#This Row],[ID_Client]],Clients_Log!B:B,Clients_Log!G:G,"Pas de correspondance")</f>
        <v>380</v>
      </c>
      <c r="S368" s="3">
        <f>Logs[[#This Row],[Duree_Cumulee_Panne_Min]]/1440</f>
        <v>0.2638888888888889</v>
      </c>
      <c r="T368" s="1">
        <f>_xlfn.XLOOKUP(Logs[[#This Row],[ID_Client]],Clients_Log!B:B,Clients_Log!H:H,"Pas de correspondance")</f>
        <v>12.11</v>
      </c>
      <c r="U368" s="1">
        <f>_xlfn.XLOOKUP(Logs[[#This Row],[ID_Client]],Clients_Log!B:B,Clients_Log!I:I,"Pas de correspondance")</f>
        <v>0</v>
      </c>
      <c r="V36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68" s="1">
        <f>Logs[[#This Row],[Facture_Mensuelle]]*Logs[[#This Row],[Remise (%)]]</f>
        <v>5.4494999999999996</v>
      </c>
    </row>
    <row r="369" spans="1:23" x14ac:dyDescent="0.25">
      <c r="A369" s="1" t="s">
        <v>1098</v>
      </c>
      <c r="B369" s="2">
        <v>45217</v>
      </c>
      <c r="C369" s="1" t="str">
        <f>_xlfn.XLOOKUP(Logs[[#This Row],[Province_RDC]],Clients_Log!D:D,Clients_Log!B:B,"Pas de correspondance")</f>
        <v>CLI-00865</v>
      </c>
      <c r="D369" t="str">
        <f>_xlfn.XLOOKUP(Logs[[#This Row],[Cell_ID]],'Registre_Maintenance'!B:B,'Registre_Maintenance'!C:C,"Pas de correspondance")</f>
        <v>Mongala</v>
      </c>
      <c r="E369" s="3">
        <v>0.89166666666666672</v>
      </c>
      <c r="F369" s="1" t="s">
        <v>1115</v>
      </c>
      <c r="G369" s="3">
        <f>Logs[[#This Row],[Duree_Panne_Min]]/1440</f>
        <v>7.4999999999999997E-2</v>
      </c>
      <c r="H369">
        <v>108</v>
      </c>
      <c r="I369">
        <f>_xlfn.XLOOKUP(Logs[[#This Row],[Cell_ID]],'Registre_Maintenance'!B:B,'Registre_Maintenance'!D:D,"Pas de correspondance")</f>
        <v>-5.3762689999999997</v>
      </c>
      <c r="J369">
        <f>_xlfn.XLOOKUP(Logs[[#This Row],[Cell_ID]],'Registre_Maintenance'!B:B,'Registre_Maintenance'!E:E,"Pas de correspondance")</f>
        <v>28.189575999999999</v>
      </c>
      <c r="K369" t="str">
        <f>_xlfn.XLOOKUP(Logs[[#This Row],[Cell_ID]],'Registre_Maintenance'!B:B,'Registre_Maintenance'!F:F,"Pas de correspondance")</f>
        <v>5G</v>
      </c>
      <c r="L369" t="str">
        <f>_xlfn.XLOOKUP(Logs[[#This Row],[Cell_ID]],'Registre_Maintenance'!B:B,'Registre_Maintenance'!G:G,"Pas de correspondance")</f>
        <v>Huawei</v>
      </c>
      <c r="M369" s="1" t="s">
        <v>811</v>
      </c>
      <c r="N369" s="1">
        <f>_xlfn.XLOOKUP(Logs[[#This Row],[ID_Client]],Clients_Log!B:B,Clients_Log!E:E,"Pas de correspondance")</f>
        <v>34</v>
      </c>
      <c r="O369" s="4">
        <f>IFERROR(Logs[[#This Row],[Anciennete_Mois]]/12,"")</f>
        <v>2.8333333333333335</v>
      </c>
      <c r="P369" s="1" t="str">
        <f>_xlfn.XLOOKUP(Logs[[#This Row],[ID_Client]],Clients_Log!B:B,Clients_Log!F:F,"Pas de correspondance")</f>
        <v>Pro Monde</v>
      </c>
      <c r="Q369" s="1" t="str">
        <f>IF(Logs[[#This Row],[Type_Forfait]]="Pro Monde","B2B","B2C")</f>
        <v>B2B</v>
      </c>
      <c r="R369" s="1">
        <f>_xlfn.XLOOKUP(Logs[[#This Row],[ID_Client]],Clients_Log!B:B,Clients_Log!G:G,"Pas de correspondance")</f>
        <v>453</v>
      </c>
      <c r="S369" s="3">
        <f>Logs[[#This Row],[Duree_Cumulee_Panne_Min]]/1440</f>
        <v>0.31458333333333333</v>
      </c>
      <c r="T369" s="1">
        <f>_xlfn.XLOOKUP(Logs[[#This Row],[ID_Client]],Clients_Log!B:B,Clients_Log!H:H,"Pas de correspondance")</f>
        <v>56.84</v>
      </c>
      <c r="U369" s="1">
        <f>_xlfn.XLOOKUP(Logs[[#This Row],[ID_Client]],Clients_Log!B:B,Clients_Log!I:I,"Pas de correspondance")</f>
        <v>0</v>
      </c>
      <c r="V36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69" s="1">
        <f>Logs[[#This Row],[Facture_Mensuelle]]*Logs[[#This Row],[Remise (%)]]</f>
        <v>25.578000000000003</v>
      </c>
    </row>
    <row r="370" spans="1:23" hidden="1" x14ac:dyDescent="0.25">
      <c r="A370" s="1" t="s">
        <v>1098</v>
      </c>
      <c r="B370" s="2">
        <v>45209</v>
      </c>
      <c r="C370" s="1" t="str">
        <f>_xlfn.XLOOKUP(Logs[[#This Row],[Province_RDC]],Clients_Log!D:D,Clients_Log!B:B,"Pas de correspondance")</f>
        <v>Pas de correspondance</v>
      </c>
      <c r="D370" t="str">
        <f>_xlfn.XLOOKUP(Logs[[#This Row],[Cell_ID]],'Registre_Maintenance'!B:B,'Registre_Maintenance'!C:C,"Pas de correspondance")</f>
        <v>Pas de correspondance</v>
      </c>
      <c r="E370" s="3">
        <v>0.36527777777777776</v>
      </c>
      <c r="F370" s="1" t="s">
        <v>1116</v>
      </c>
      <c r="G370" s="3">
        <f>Logs[[#This Row],[Duree_Panne_Min]]/1440</f>
        <v>8.3333333333333329E-2</v>
      </c>
      <c r="H370">
        <v>120</v>
      </c>
      <c r="I370" t="str">
        <f>_xlfn.XLOOKUP(Logs[[#This Row],[Cell_ID]],'Registre_Maintenance'!B:B,'Registre_Maintenance'!D:D,"Pas de correspondance")</f>
        <v>Pas de correspondance</v>
      </c>
      <c r="J370" t="str">
        <f>_xlfn.XLOOKUP(Logs[[#This Row],[Cell_ID]],'Registre_Maintenance'!B:B,'Registre_Maintenance'!E:E,"Pas de correspondance")</f>
        <v>Pas de correspondance</v>
      </c>
      <c r="K370" t="str">
        <f>_xlfn.XLOOKUP(Logs[[#This Row],[Cell_ID]],'Registre_Maintenance'!B:B,'Registre_Maintenance'!F:F,"Pas de correspondance")</f>
        <v>Pas de correspondance</v>
      </c>
      <c r="L370" t="str">
        <f>_xlfn.XLOOKUP(Logs[[#This Row],[Cell_ID]],'Registre_Maintenance'!B:B,'Registre_Maintenance'!G:G,"Pas de correspondance")</f>
        <v>Pas de correspondance</v>
      </c>
      <c r="M370" s="1" t="s">
        <v>806</v>
      </c>
      <c r="N370" s="1" t="str">
        <f>_xlfn.XLOOKUP(Logs[[#This Row],[ID_Client]],Clients_Log!B:B,Clients_Log!E:E,"Pas de correspondance")</f>
        <v>Pas de correspondance</v>
      </c>
      <c r="O370" s="4" t="str">
        <f>IFERROR(Logs[[#This Row],[Anciennete_Mois]]/12,"")</f>
        <v/>
      </c>
      <c r="P370" s="1" t="str">
        <f>_xlfn.XLOOKUP(Logs[[#This Row],[ID_Client]],Clients_Log!B:B,Clients_Log!F:F,"Pas de correspondance")</f>
        <v>Pas de correspondance</v>
      </c>
      <c r="Q370" s="1" t="str">
        <f>IF(Logs[[#This Row],[Type_Forfait]]="Pro Monde","B2B","B2C")</f>
        <v>B2C</v>
      </c>
      <c r="R370" s="1" t="str">
        <f>_xlfn.XLOOKUP(Logs[[#This Row],[ID_Client]],Clients_Log!B:B,Clients_Log!G:G,"Pas de correspondance")</f>
        <v>Pas de correspondance</v>
      </c>
      <c r="S370" s="1" t="e">
        <f>Logs[[#This Row],[Duree_Cumulee_Panne_Min]]/1440</f>
        <v>#VALUE!</v>
      </c>
      <c r="T370" s="1" t="str">
        <f>_xlfn.XLOOKUP(Logs[[#This Row],[ID_Client]],Clients_Log!B:B,Clients_Log!H:H,"Pas de correspondance")</f>
        <v>Pas de correspondance</v>
      </c>
      <c r="U370" s="1" t="str">
        <f>_xlfn.XLOOKUP(Logs[[#This Row],[ID_Client]],Clients_Log!B:B,Clients_Log!I:I,"Pas de correspondance")</f>
        <v>Pas de correspondance</v>
      </c>
      <c r="V37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70" s="1" t="e">
        <f>Logs[[#This Row],[Facture_Mensuelle]]*Logs[[#This Row],[Remise (%)]]</f>
        <v>#VALUE!</v>
      </c>
    </row>
    <row r="371" spans="1:23" x14ac:dyDescent="0.25">
      <c r="A371" s="1" t="s">
        <v>1098</v>
      </c>
      <c r="B371" s="2">
        <v>45227</v>
      </c>
      <c r="C371" s="1" t="str">
        <f>_xlfn.XLOOKUP(Logs[[#This Row],[Province_RDC]],Clients_Log!D:D,Clients_Log!B:B,"Pas de correspondance")</f>
        <v>CLI-01147</v>
      </c>
      <c r="D371" t="str">
        <f>_xlfn.XLOOKUP(Logs[[#This Row],[Cell_ID]],'Registre_Maintenance'!B:B,'Registre_Maintenance'!C:C,"Pas de correspondance")</f>
        <v>Ituri</v>
      </c>
      <c r="E371" s="3">
        <v>0.91527777777777775</v>
      </c>
      <c r="F371" s="1" t="s">
        <v>1079</v>
      </c>
      <c r="G371" s="3">
        <f>Logs[[#This Row],[Duree_Panne_Min]]/1440</f>
        <v>1.8055555555555554E-2</v>
      </c>
      <c r="H371">
        <v>26</v>
      </c>
      <c r="I371">
        <f>_xlfn.XLOOKUP(Logs[[#This Row],[Cell_ID]],'Registre_Maintenance'!B:B,'Registre_Maintenance'!D:D,"Pas de correspondance")</f>
        <v>-3.7720639999999999</v>
      </c>
      <c r="J371">
        <f>_xlfn.XLOOKUP(Logs[[#This Row],[Cell_ID]],'Registre_Maintenance'!B:B,'Registre_Maintenance'!E:E,"Pas de correspondance")</f>
        <v>16.006277999999998</v>
      </c>
      <c r="K371" t="str">
        <f>_xlfn.XLOOKUP(Logs[[#This Row],[Cell_ID]],'Registre_Maintenance'!B:B,'Registre_Maintenance'!F:F,"Pas de correspondance")</f>
        <v>5G</v>
      </c>
      <c r="L371" t="str">
        <f>_xlfn.XLOOKUP(Logs[[#This Row],[Cell_ID]],'Registre_Maintenance'!B:B,'Registre_Maintenance'!G:G,"Pas de correspondance")</f>
        <v>ZTE</v>
      </c>
      <c r="M371" s="1" t="s">
        <v>809</v>
      </c>
      <c r="N371" s="1">
        <f>_xlfn.XLOOKUP(Logs[[#This Row],[ID_Client]],Clients_Log!B:B,Clients_Log!E:E,"Pas de correspondance")</f>
        <v>29</v>
      </c>
      <c r="O371" s="4">
        <f>IFERROR(Logs[[#This Row],[Anciennete_Mois]]/12,"")</f>
        <v>2.4166666666666665</v>
      </c>
      <c r="P371" s="1" t="str">
        <f>_xlfn.XLOOKUP(Logs[[#This Row],[ID_Client]],Clients_Log!B:B,Clients_Log!F:F,"Pas de correspondance")</f>
        <v>Premium 5G 150Go</v>
      </c>
      <c r="Q371" s="1" t="str">
        <f>IF(Logs[[#This Row],[Type_Forfait]]="Pro Monde","B2B","B2C")</f>
        <v>B2C</v>
      </c>
      <c r="R371" s="1">
        <f>_xlfn.XLOOKUP(Logs[[#This Row],[ID_Client]],Clients_Log!B:B,Clients_Log!G:G,"Pas de correspondance")</f>
        <v>214</v>
      </c>
      <c r="S371" s="3">
        <f>Logs[[#This Row],[Duree_Cumulee_Panne_Min]]/1440</f>
        <v>0.14861111111111111</v>
      </c>
      <c r="T371" s="1">
        <f>_xlfn.XLOOKUP(Logs[[#This Row],[ID_Client]],Clients_Log!B:B,Clients_Log!H:H,"Pas de correspondance")</f>
        <v>74.7</v>
      </c>
      <c r="U371" s="1">
        <f>_xlfn.XLOOKUP(Logs[[#This Row],[ID_Client]],Clients_Log!B:B,Clients_Log!I:I,"Pas de correspondance")</f>
        <v>3</v>
      </c>
      <c r="V37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71" s="1">
        <f>Logs[[#This Row],[Facture_Mensuelle]]*Logs[[#This Row],[Remise (%)]]</f>
        <v>33.615000000000002</v>
      </c>
    </row>
    <row r="372" spans="1:23" hidden="1" x14ac:dyDescent="0.25">
      <c r="A372" s="1" t="s">
        <v>1098</v>
      </c>
      <c r="B372" s="2">
        <v>45219</v>
      </c>
      <c r="C372" s="1" t="str">
        <f>_xlfn.XLOOKUP(Logs[[#This Row],[Province_RDC]],Clients_Log!D:D,Clients_Log!B:B,"Pas de correspondance")</f>
        <v>Pas de correspondance</v>
      </c>
      <c r="D372" t="str">
        <f>_xlfn.XLOOKUP(Logs[[#This Row],[Cell_ID]],'Registre_Maintenance'!B:B,'Registre_Maintenance'!C:C,"Pas de correspondance")</f>
        <v>Pas de correspondance</v>
      </c>
      <c r="E372" s="3">
        <v>0.18124999999999999</v>
      </c>
      <c r="F372" s="1" t="s">
        <v>1069</v>
      </c>
      <c r="G372" s="3">
        <f>Logs[[#This Row],[Duree_Panne_Min]]/1440</f>
        <v>6.7361111111111108E-2</v>
      </c>
      <c r="H372">
        <v>97</v>
      </c>
      <c r="I372" t="str">
        <f>_xlfn.XLOOKUP(Logs[[#This Row],[Cell_ID]],'Registre_Maintenance'!B:B,'Registre_Maintenance'!D:D,"Pas de correspondance")</f>
        <v>Pas de correspondance</v>
      </c>
      <c r="J372" t="str">
        <f>_xlfn.XLOOKUP(Logs[[#This Row],[Cell_ID]],'Registre_Maintenance'!B:B,'Registre_Maintenance'!E:E,"Pas de correspondance")</f>
        <v>Pas de correspondance</v>
      </c>
      <c r="K372" t="str">
        <f>_xlfn.XLOOKUP(Logs[[#This Row],[Cell_ID]],'Registre_Maintenance'!B:B,'Registre_Maintenance'!F:F,"Pas de correspondance")</f>
        <v>Pas de correspondance</v>
      </c>
      <c r="L372" t="str">
        <f>_xlfn.XLOOKUP(Logs[[#This Row],[Cell_ID]],'Registre_Maintenance'!B:B,'Registre_Maintenance'!G:G,"Pas de correspondance")</f>
        <v>Pas de correspondance</v>
      </c>
      <c r="M372" s="1" t="s">
        <v>809</v>
      </c>
      <c r="N372" s="1" t="str">
        <f>_xlfn.XLOOKUP(Logs[[#This Row],[ID_Client]],Clients_Log!B:B,Clients_Log!E:E,"Pas de correspondance")</f>
        <v>Pas de correspondance</v>
      </c>
      <c r="O372" s="4" t="str">
        <f>IFERROR(Logs[[#This Row],[Anciennete_Mois]]/12,"")</f>
        <v/>
      </c>
      <c r="P372" s="1" t="str">
        <f>_xlfn.XLOOKUP(Logs[[#This Row],[ID_Client]],Clients_Log!B:B,Clients_Log!F:F,"Pas de correspondance")</f>
        <v>Pas de correspondance</v>
      </c>
      <c r="Q372" s="1" t="str">
        <f>IF(Logs[[#This Row],[Type_Forfait]]="Pro Monde","B2B","B2C")</f>
        <v>B2C</v>
      </c>
      <c r="R372" s="1" t="str">
        <f>_xlfn.XLOOKUP(Logs[[#This Row],[ID_Client]],Clients_Log!B:B,Clients_Log!G:G,"Pas de correspondance")</f>
        <v>Pas de correspondance</v>
      </c>
      <c r="S372" s="1" t="e">
        <f>Logs[[#This Row],[Duree_Cumulee_Panne_Min]]/1440</f>
        <v>#VALUE!</v>
      </c>
      <c r="T372" s="1" t="str">
        <f>_xlfn.XLOOKUP(Logs[[#This Row],[ID_Client]],Clients_Log!B:B,Clients_Log!H:H,"Pas de correspondance")</f>
        <v>Pas de correspondance</v>
      </c>
      <c r="U372" s="1" t="str">
        <f>_xlfn.XLOOKUP(Logs[[#This Row],[ID_Client]],Clients_Log!B:B,Clients_Log!I:I,"Pas de correspondance")</f>
        <v>Pas de correspondance</v>
      </c>
      <c r="V37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72" s="1" t="e">
        <f>Logs[[#This Row],[Facture_Mensuelle]]*Logs[[#This Row],[Remise (%)]]</f>
        <v>#VALUE!</v>
      </c>
    </row>
    <row r="373" spans="1:23" x14ac:dyDescent="0.25">
      <c r="A373" s="1" t="s">
        <v>1098</v>
      </c>
      <c r="B373" s="2">
        <v>45202</v>
      </c>
      <c r="C373" s="1" t="str">
        <f>_xlfn.XLOOKUP(Logs[[#This Row],[Province_RDC]],Clients_Log!D:D,Clients_Log!B:B,"Pas de correspondance")</f>
        <v>CLI-01618</v>
      </c>
      <c r="D373" t="str">
        <f>_xlfn.XLOOKUP(Logs[[#This Row],[Cell_ID]],'Registre_Maintenance'!B:B,'Registre_Maintenance'!C:C,"Pas de correspondance")</f>
        <v>Tanganyika</v>
      </c>
      <c r="E373" s="3">
        <v>0.77916666666666667</v>
      </c>
      <c r="F373" s="1" t="s">
        <v>1117</v>
      </c>
      <c r="G373" s="3">
        <f>Logs[[#This Row],[Duree_Panne_Min]]/1440</f>
        <v>4.2361111111111113E-2</v>
      </c>
      <c r="H373">
        <v>61</v>
      </c>
      <c r="I373">
        <f>_xlfn.XLOOKUP(Logs[[#This Row],[Cell_ID]],'Registre_Maintenance'!B:B,'Registre_Maintenance'!D:D,"Pas de correspondance")</f>
        <v>-12.229338</v>
      </c>
      <c r="J373">
        <f>_xlfn.XLOOKUP(Logs[[#This Row],[Cell_ID]],'Registre_Maintenance'!B:B,'Registre_Maintenance'!E:E,"Pas de correspondance")</f>
        <v>29.587834999999998</v>
      </c>
      <c r="K373" t="str">
        <f>_xlfn.XLOOKUP(Logs[[#This Row],[Cell_ID]],'Registre_Maintenance'!B:B,'Registre_Maintenance'!F:F,"Pas de correspondance")</f>
        <v>4G</v>
      </c>
      <c r="L373" t="str">
        <f>_xlfn.XLOOKUP(Logs[[#This Row],[Cell_ID]],'Registre_Maintenance'!B:B,'Registre_Maintenance'!G:G,"Pas de correspondance")</f>
        <v>Nokia</v>
      </c>
      <c r="M373" s="1" t="s">
        <v>811</v>
      </c>
      <c r="N373" s="1">
        <f>_xlfn.XLOOKUP(Logs[[#This Row],[ID_Client]],Clients_Log!B:B,Clients_Log!E:E,"Pas de correspondance")</f>
        <v>115</v>
      </c>
      <c r="O373" s="4">
        <f>IFERROR(Logs[[#This Row],[Anciennete_Mois]]/12,"")</f>
        <v>9.5833333333333339</v>
      </c>
      <c r="P373" s="1" t="str">
        <f>_xlfn.XLOOKUP(Logs[[#This Row],[ID_Client]],Clients_Log!B:B,Clients_Log!F:F,"Pas de correspondance")</f>
        <v>Bloqué 5Go</v>
      </c>
      <c r="Q373" s="1" t="str">
        <f>IF(Logs[[#This Row],[Type_Forfait]]="Pro Monde","B2B","B2C")</f>
        <v>B2C</v>
      </c>
      <c r="R373" s="1">
        <f>_xlfn.XLOOKUP(Logs[[#This Row],[ID_Client]],Clients_Log!B:B,Clients_Log!G:G,"Pas de correspondance")</f>
        <v>176</v>
      </c>
      <c r="S373" s="3">
        <f>Logs[[#This Row],[Duree_Cumulee_Panne_Min]]/1440</f>
        <v>0.12222222222222222</v>
      </c>
      <c r="T373" s="1">
        <f>_xlfn.XLOOKUP(Logs[[#This Row],[ID_Client]],Clients_Log!B:B,Clients_Log!H:H,"Pas de correspondance")</f>
        <v>33.28</v>
      </c>
      <c r="U373" s="1">
        <f>_xlfn.XLOOKUP(Logs[[#This Row],[ID_Client]],Clients_Log!B:B,Clients_Log!I:I,"Pas de correspondance")</f>
        <v>4</v>
      </c>
      <c r="V37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373" s="1">
        <f>Logs[[#This Row],[Facture_Mensuelle]]*Logs[[#This Row],[Remise (%)]]</f>
        <v>0</v>
      </c>
    </row>
    <row r="374" spans="1:23" x14ac:dyDescent="0.25">
      <c r="A374" s="1" t="s">
        <v>1098</v>
      </c>
      <c r="B374" s="2">
        <v>45204</v>
      </c>
      <c r="C374" s="1" t="str">
        <f>_xlfn.XLOOKUP(Logs[[#This Row],[Province_RDC]],Clients_Log!D:D,Clients_Log!B:B,"Pas de correspondance")</f>
        <v>CLI-00837</v>
      </c>
      <c r="D374" t="str">
        <f>_xlfn.XLOOKUP(Logs[[#This Row],[Cell_ID]],'Registre_Maintenance'!B:B,'Registre_Maintenance'!C:C,"Pas de correspondance")</f>
        <v>Nord-Kivu</v>
      </c>
      <c r="E374" s="3">
        <v>0.47152777777777777</v>
      </c>
      <c r="F374" s="1" t="s">
        <v>1118</v>
      </c>
      <c r="G374" s="3">
        <f>Logs[[#This Row],[Duree_Panne_Min]]/1440</f>
        <v>6.9444444444444441E-3</v>
      </c>
      <c r="H374">
        <v>10</v>
      </c>
      <c r="I374">
        <f>_xlfn.XLOOKUP(Logs[[#This Row],[Cell_ID]],'Registre_Maintenance'!B:B,'Registre_Maintenance'!D:D,"Pas de correspondance")</f>
        <v>4.9455159999999996</v>
      </c>
      <c r="J374">
        <f>_xlfn.XLOOKUP(Logs[[#This Row],[Cell_ID]],'Registre_Maintenance'!B:B,'Registre_Maintenance'!E:E,"Pas de correspondance")</f>
        <v>23.647746000000001</v>
      </c>
      <c r="K374" t="str">
        <f>_xlfn.XLOOKUP(Logs[[#This Row],[Cell_ID]],'Registre_Maintenance'!B:B,'Registre_Maintenance'!F:F,"Pas de correspondance")</f>
        <v>5G</v>
      </c>
      <c r="L374" t="str">
        <f>_xlfn.XLOOKUP(Logs[[#This Row],[Cell_ID]],'Registre_Maintenance'!B:B,'Registre_Maintenance'!G:G,"Pas de correspondance")</f>
        <v>Huawei</v>
      </c>
      <c r="M374" s="1" t="s">
        <v>806</v>
      </c>
      <c r="N374" s="1">
        <f>_xlfn.XLOOKUP(Logs[[#This Row],[ID_Client]],Clients_Log!B:B,Clients_Log!E:E,"Pas de correspondance")</f>
        <v>16</v>
      </c>
      <c r="O374" s="4">
        <f>IFERROR(Logs[[#This Row],[Anciennete_Mois]]/12,"")</f>
        <v>1.3333333333333333</v>
      </c>
      <c r="P374" s="1" t="str">
        <f>_xlfn.XLOOKUP(Logs[[#This Row],[ID_Client]],Clients_Log!B:B,Clients_Log!F:F,"Pas de correspondance")</f>
        <v>Bloqué 5Go</v>
      </c>
      <c r="Q374" s="1" t="str">
        <f>IF(Logs[[#This Row],[Type_Forfait]]="Pro Monde","B2B","B2C")</f>
        <v>B2C</v>
      </c>
      <c r="R374" s="1">
        <f>_xlfn.XLOOKUP(Logs[[#This Row],[ID_Client]],Clients_Log!B:B,Clients_Log!G:G,"Pas de correspondance")</f>
        <v>390</v>
      </c>
      <c r="S374" s="3">
        <f>Logs[[#This Row],[Duree_Cumulee_Panne_Min]]/1440</f>
        <v>0.27083333333333331</v>
      </c>
      <c r="T374" s="1">
        <f>_xlfn.XLOOKUP(Logs[[#This Row],[ID_Client]],Clients_Log!B:B,Clients_Log!H:H,"Pas de correspondance")</f>
        <v>98.17</v>
      </c>
      <c r="U374" s="1">
        <f>_xlfn.XLOOKUP(Logs[[#This Row],[ID_Client]],Clients_Log!B:B,Clients_Log!I:I,"Pas de correspondance")</f>
        <v>5</v>
      </c>
      <c r="V37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74" s="1">
        <f>Logs[[#This Row],[Facture_Mensuelle]]*Logs[[#This Row],[Remise (%)]]</f>
        <v>44.176500000000004</v>
      </c>
    </row>
    <row r="375" spans="1:23" hidden="1" x14ac:dyDescent="0.25">
      <c r="A375" s="1" t="s">
        <v>1098</v>
      </c>
      <c r="B375" s="2">
        <v>45230</v>
      </c>
      <c r="C375" s="1" t="str">
        <f>_xlfn.XLOOKUP(Logs[[#This Row],[Province_RDC]],Clients_Log!D:D,Clients_Log!B:B,"Pas de correspondance")</f>
        <v>Pas de correspondance</v>
      </c>
      <c r="D375" t="str">
        <f>_xlfn.XLOOKUP(Logs[[#This Row],[Cell_ID]],'Registre_Maintenance'!B:B,'Registre_Maintenance'!C:C,"Pas de correspondance")</f>
        <v>Pas de correspondance</v>
      </c>
      <c r="E375" s="3">
        <v>0.86388888888888893</v>
      </c>
      <c r="F375" s="1" t="s">
        <v>1119</v>
      </c>
      <c r="G375" s="3">
        <f>Logs[[#This Row],[Duree_Panne_Min]]/1440</f>
        <v>3.9583333333333331E-2</v>
      </c>
      <c r="H375">
        <v>57</v>
      </c>
      <c r="I375" t="str">
        <f>_xlfn.XLOOKUP(Logs[[#This Row],[Cell_ID]],'Registre_Maintenance'!B:B,'Registre_Maintenance'!D:D,"Pas de correspondance")</f>
        <v>Pas de correspondance</v>
      </c>
      <c r="J375" t="str">
        <f>_xlfn.XLOOKUP(Logs[[#This Row],[Cell_ID]],'Registre_Maintenance'!B:B,'Registre_Maintenance'!E:E,"Pas de correspondance")</f>
        <v>Pas de correspondance</v>
      </c>
      <c r="K375" t="str">
        <f>_xlfn.XLOOKUP(Logs[[#This Row],[Cell_ID]],'Registre_Maintenance'!B:B,'Registre_Maintenance'!F:F,"Pas de correspondance")</f>
        <v>Pas de correspondance</v>
      </c>
      <c r="L375" t="str">
        <f>_xlfn.XLOOKUP(Logs[[#This Row],[Cell_ID]],'Registre_Maintenance'!B:B,'Registre_Maintenance'!G:G,"Pas de correspondance")</f>
        <v>Pas de correspondance</v>
      </c>
      <c r="M375" s="1" t="s">
        <v>806</v>
      </c>
      <c r="N375" s="1" t="str">
        <f>_xlfn.XLOOKUP(Logs[[#This Row],[ID_Client]],Clients_Log!B:B,Clients_Log!E:E,"Pas de correspondance")</f>
        <v>Pas de correspondance</v>
      </c>
      <c r="O375" s="4" t="str">
        <f>IFERROR(Logs[[#This Row],[Anciennete_Mois]]/12,"")</f>
        <v/>
      </c>
      <c r="P375" s="1" t="str">
        <f>_xlfn.XLOOKUP(Logs[[#This Row],[ID_Client]],Clients_Log!B:B,Clients_Log!F:F,"Pas de correspondance")</f>
        <v>Pas de correspondance</v>
      </c>
      <c r="Q375" s="1" t="str">
        <f>IF(Logs[[#This Row],[Type_Forfait]]="Pro Monde","B2B","B2C")</f>
        <v>B2C</v>
      </c>
      <c r="R375" s="1" t="str">
        <f>_xlfn.XLOOKUP(Logs[[#This Row],[ID_Client]],Clients_Log!B:B,Clients_Log!G:G,"Pas de correspondance")</f>
        <v>Pas de correspondance</v>
      </c>
      <c r="S375" s="1" t="e">
        <f>Logs[[#This Row],[Duree_Cumulee_Panne_Min]]/1440</f>
        <v>#VALUE!</v>
      </c>
      <c r="T375" s="1" t="str">
        <f>_xlfn.XLOOKUP(Logs[[#This Row],[ID_Client]],Clients_Log!B:B,Clients_Log!H:H,"Pas de correspondance")</f>
        <v>Pas de correspondance</v>
      </c>
      <c r="U375" s="1" t="str">
        <f>_xlfn.XLOOKUP(Logs[[#This Row],[ID_Client]],Clients_Log!B:B,Clients_Log!I:I,"Pas de correspondance")</f>
        <v>Pas de correspondance</v>
      </c>
      <c r="V37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75" s="1" t="e">
        <f>Logs[[#This Row],[Facture_Mensuelle]]*Logs[[#This Row],[Remise (%)]]</f>
        <v>#VALUE!</v>
      </c>
    </row>
    <row r="376" spans="1:23" x14ac:dyDescent="0.25">
      <c r="A376" s="1" t="s">
        <v>1098</v>
      </c>
      <c r="B376" s="2">
        <v>45221</v>
      </c>
      <c r="C376" s="1" t="str">
        <f>_xlfn.XLOOKUP(Logs[[#This Row],[Province_RDC]],Clients_Log!D:D,Clients_Log!B:B,"Pas de correspondance")</f>
        <v>CLI-00865</v>
      </c>
      <c r="D376" t="str">
        <f>_xlfn.XLOOKUP(Logs[[#This Row],[Cell_ID]],'Registre_Maintenance'!B:B,'Registre_Maintenance'!C:C,"Pas de correspondance")</f>
        <v>Mongala</v>
      </c>
      <c r="E376" s="3">
        <v>0.50555555555555554</v>
      </c>
      <c r="F376" s="1" t="s">
        <v>1120</v>
      </c>
      <c r="G376" s="3">
        <f>Logs[[#This Row],[Duree_Panne_Min]]/1440</f>
        <v>3.5416666666666666E-2</v>
      </c>
      <c r="H376">
        <v>51</v>
      </c>
      <c r="I376">
        <f>_xlfn.XLOOKUP(Logs[[#This Row],[Cell_ID]],'Registre_Maintenance'!B:B,'Registre_Maintenance'!D:D,"Pas de correspondance")</f>
        <v>-1.231033</v>
      </c>
      <c r="J376">
        <f>_xlfn.XLOOKUP(Logs[[#This Row],[Cell_ID]],'Registre_Maintenance'!B:B,'Registre_Maintenance'!E:E,"Pas de correspondance")</f>
        <v>28.851388</v>
      </c>
      <c r="K376" t="str">
        <f>_xlfn.XLOOKUP(Logs[[#This Row],[Cell_ID]],'Registre_Maintenance'!B:B,'Registre_Maintenance'!F:F,"Pas de correspondance")</f>
        <v>3G</v>
      </c>
      <c r="L376" t="str">
        <f>_xlfn.XLOOKUP(Logs[[#This Row],[Cell_ID]],'Registre_Maintenance'!B:B,'Registre_Maintenance'!G:G,"Pas de correspondance")</f>
        <v>Ericsson</v>
      </c>
      <c r="M376" s="1" t="s">
        <v>806</v>
      </c>
      <c r="N376" s="1">
        <f>_xlfn.XLOOKUP(Logs[[#This Row],[ID_Client]],Clients_Log!B:B,Clients_Log!E:E,"Pas de correspondance")</f>
        <v>34</v>
      </c>
      <c r="O376" s="4">
        <f>IFERROR(Logs[[#This Row],[Anciennete_Mois]]/12,"")</f>
        <v>2.8333333333333335</v>
      </c>
      <c r="P376" s="1" t="str">
        <f>_xlfn.XLOOKUP(Logs[[#This Row],[ID_Client]],Clients_Log!B:B,Clients_Log!F:F,"Pas de correspondance")</f>
        <v>Pro Monde</v>
      </c>
      <c r="Q376" s="1" t="str">
        <f>IF(Logs[[#This Row],[Type_Forfait]]="Pro Monde","B2B","B2C")</f>
        <v>B2B</v>
      </c>
      <c r="R376" s="1">
        <f>_xlfn.XLOOKUP(Logs[[#This Row],[ID_Client]],Clients_Log!B:B,Clients_Log!G:G,"Pas de correspondance")</f>
        <v>453</v>
      </c>
      <c r="S376" s="3">
        <f>Logs[[#This Row],[Duree_Cumulee_Panne_Min]]/1440</f>
        <v>0.31458333333333333</v>
      </c>
      <c r="T376" s="1">
        <f>_xlfn.XLOOKUP(Logs[[#This Row],[ID_Client]],Clients_Log!B:B,Clients_Log!H:H,"Pas de correspondance")</f>
        <v>56.84</v>
      </c>
      <c r="U376" s="1">
        <f>_xlfn.XLOOKUP(Logs[[#This Row],[ID_Client]],Clients_Log!B:B,Clients_Log!I:I,"Pas de correspondance")</f>
        <v>0</v>
      </c>
      <c r="V37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76" s="1">
        <f>Logs[[#This Row],[Facture_Mensuelle]]*Logs[[#This Row],[Remise (%)]]</f>
        <v>25.578000000000003</v>
      </c>
    </row>
    <row r="377" spans="1:23" hidden="1" x14ac:dyDescent="0.25">
      <c r="A377" s="1" t="s">
        <v>1098</v>
      </c>
      <c r="B377" s="2">
        <v>45219</v>
      </c>
      <c r="C377" s="1" t="str">
        <f>_xlfn.XLOOKUP(Logs[[#This Row],[Province_RDC]],Clients_Log!D:D,Clients_Log!B:B,"Pas de correspondance")</f>
        <v>Pas de correspondance</v>
      </c>
      <c r="D377" t="str">
        <f>_xlfn.XLOOKUP(Logs[[#This Row],[Cell_ID]],'Registre_Maintenance'!B:B,'Registre_Maintenance'!C:C,"Pas de correspondance")</f>
        <v>Pas de correspondance</v>
      </c>
      <c r="E377" s="3">
        <v>0.92013888888888884</v>
      </c>
      <c r="F377" s="1" t="s">
        <v>1121</v>
      </c>
      <c r="G377" s="3">
        <f>Logs[[#This Row],[Duree_Panne_Min]]/1440</f>
        <v>6.3194444444444442E-2</v>
      </c>
      <c r="H377">
        <v>91</v>
      </c>
      <c r="I377" t="str">
        <f>_xlfn.XLOOKUP(Logs[[#This Row],[Cell_ID]],'Registre_Maintenance'!B:B,'Registre_Maintenance'!D:D,"Pas de correspondance")</f>
        <v>Pas de correspondance</v>
      </c>
      <c r="J377" t="str">
        <f>_xlfn.XLOOKUP(Logs[[#This Row],[Cell_ID]],'Registre_Maintenance'!B:B,'Registre_Maintenance'!E:E,"Pas de correspondance")</f>
        <v>Pas de correspondance</v>
      </c>
      <c r="K377" t="str">
        <f>_xlfn.XLOOKUP(Logs[[#This Row],[Cell_ID]],'Registre_Maintenance'!B:B,'Registre_Maintenance'!F:F,"Pas de correspondance")</f>
        <v>Pas de correspondance</v>
      </c>
      <c r="L377" t="str">
        <f>_xlfn.XLOOKUP(Logs[[#This Row],[Cell_ID]],'Registre_Maintenance'!B:B,'Registre_Maintenance'!G:G,"Pas de correspondance")</f>
        <v>Pas de correspondance</v>
      </c>
      <c r="M377" s="1" t="s">
        <v>811</v>
      </c>
      <c r="N377" s="1" t="str">
        <f>_xlfn.XLOOKUP(Logs[[#This Row],[ID_Client]],Clients_Log!B:B,Clients_Log!E:E,"Pas de correspondance")</f>
        <v>Pas de correspondance</v>
      </c>
      <c r="O377" s="4" t="str">
        <f>IFERROR(Logs[[#This Row],[Anciennete_Mois]]/12,"")</f>
        <v/>
      </c>
      <c r="P377" s="1" t="str">
        <f>_xlfn.XLOOKUP(Logs[[#This Row],[ID_Client]],Clients_Log!B:B,Clients_Log!F:F,"Pas de correspondance")</f>
        <v>Pas de correspondance</v>
      </c>
      <c r="Q377" s="1" t="str">
        <f>IF(Logs[[#This Row],[Type_Forfait]]="Pro Monde","B2B","B2C")</f>
        <v>B2C</v>
      </c>
      <c r="R377" s="1" t="str">
        <f>_xlfn.XLOOKUP(Logs[[#This Row],[ID_Client]],Clients_Log!B:B,Clients_Log!G:G,"Pas de correspondance")</f>
        <v>Pas de correspondance</v>
      </c>
      <c r="S377" s="1" t="e">
        <f>Logs[[#This Row],[Duree_Cumulee_Panne_Min]]/1440</f>
        <v>#VALUE!</v>
      </c>
      <c r="T377" s="1" t="str">
        <f>_xlfn.XLOOKUP(Logs[[#This Row],[ID_Client]],Clients_Log!B:B,Clients_Log!H:H,"Pas de correspondance")</f>
        <v>Pas de correspondance</v>
      </c>
      <c r="U377" s="1" t="str">
        <f>_xlfn.XLOOKUP(Logs[[#This Row],[ID_Client]],Clients_Log!B:B,Clients_Log!I:I,"Pas de correspondance")</f>
        <v>Pas de correspondance</v>
      </c>
      <c r="V37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77" s="1" t="e">
        <f>Logs[[#This Row],[Facture_Mensuelle]]*Logs[[#This Row],[Remise (%)]]</f>
        <v>#VALUE!</v>
      </c>
    </row>
    <row r="378" spans="1:23" hidden="1" x14ac:dyDescent="0.25">
      <c r="A378" s="1" t="s">
        <v>1098</v>
      </c>
      <c r="B378" s="2">
        <v>45209</v>
      </c>
      <c r="C378" s="1" t="str">
        <f>_xlfn.XLOOKUP(Logs[[#This Row],[Province_RDC]],Clients_Log!D:D,Clients_Log!B:B,"Pas de correspondance")</f>
        <v>Pas de correspondance</v>
      </c>
      <c r="D378" t="str">
        <f>_xlfn.XLOOKUP(Logs[[#This Row],[Cell_ID]],'Registre_Maintenance'!B:B,'Registre_Maintenance'!C:C,"Pas de correspondance")</f>
        <v>Pas de correspondance</v>
      </c>
      <c r="E378" s="3">
        <v>0.72499999999999998</v>
      </c>
      <c r="F378" s="1" t="s">
        <v>1122</v>
      </c>
      <c r="G378" s="3">
        <f>Logs[[#This Row],[Duree_Panne_Min]]/1440</f>
        <v>6.7361111111111108E-2</v>
      </c>
      <c r="H378">
        <v>97</v>
      </c>
      <c r="I378" t="str">
        <f>_xlfn.XLOOKUP(Logs[[#This Row],[Cell_ID]],'Registre_Maintenance'!B:B,'Registre_Maintenance'!D:D,"Pas de correspondance")</f>
        <v>Pas de correspondance</v>
      </c>
      <c r="J378" t="str">
        <f>_xlfn.XLOOKUP(Logs[[#This Row],[Cell_ID]],'Registre_Maintenance'!B:B,'Registre_Maintenance'!E:E,"Pas de correspondance")</f>
        <v>Pas de correspondance</v>
      </c>
      <c r="K378" t="str">
        <f>_xlfn.XLOOKUP(Logs[[#This Row],[Cell_ID]],'Registre_Maintenance'!B:B,'Registre_Maintenance'!F:F,"Pas de correspondance")</f>
        <v>Pas de correspondance</v>
      </c>
      <c r="L378" t="str">
        <f>_xlfn.XLOOKUP(Logs[[#This Row],[Cell_ID]],'Registre_Maintenance'!B:B,'Registre_Maintenance'!G:G,"Pas de correspondance")</f>
        <v>Pas de correspondance</v>
      </c>
      <c r="M378" s="1" t="s">
        <v>811</v>
      </c>
      <c r="N378" s="1" t="str">
        <f>_xlfn.XLOOKUP(Logs[[#This Row],[ID_Client]],Clients_Log!B:B,Clients_Log!E:E,"Pas de correspondance")</f>
        <v>Pas de correspondance</v>
      </c>
      <c r="O378" s="4" t="str">
        <f>IFERROR(Logs[[#This Row],[Anciennete_Mois]]/12,"")</f>
        <v/>
      </c>
      <c r="P378" s="1" t="str">
        <f>_xlfn.XLOOKUP(Logs[[#This Row],[ID_Client]],Clients_Log!B:B,Clients_Log!F:F,"Pas de correspondance")</f>
        <v>Pas de correspondance</v>
      </c>
      <c r="Q378" s="1" t="str">
        <f>IF(Logs[[#This Row],[Type_Forfait]]="Pro Monde","B2B","B2C")</f>
        <v>B2C</v>
      </c>
      <c r="R378" s="1" t="str">
        <f>_xlfn.XLOOKUP(Logs[[#This Row],[ID_Client]],Clients_Log!B:B,Clients_Log!G:G,"Pas de correspondance")</f>
        <v>Pas de correspondance</v>
      </c>
      <c r="S378" s="1" t="e">
        <f>Logs[[#This Row],[Duree_Cumulee_Panne_Min]]/1440</f>
        <v>#VALUE!</v>
      </c>
      <c r="T378" s="1" t="str">
        <f>_xlfn.XLOOKUP(Logs[[#This Row],[ID_Client]],Clients_Log!B:B,Clients_Log!H:H,"Pas de correspondance")</f>
        <v>Pas de correspondance</v>
      </c>
      <c r="U378" s="1" t="str">
        <f>_xlfn.XLOOKUP(Logs[[#This Row],[ID_Client]],Clients_Log!B:B,Clients_Log!I:I,"Pas de correspondance")</f>
        <v>Pas de correspondance</v>
      </c>
      <c r="V37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78" s="1" t="e">
        <f>Logs[[#This Row],[Facture_Mensuelle]]*Logs[[#This Row],[Remise (%)]]</f>
        <v>#VALUE!</v>
      </c>
    </row>
    <row r="379" spans="1:23" hidden="1" x14ac:dyDescent="0.25">
      <c r="A379" s="1" t="s">
        <v>1098</v>
      </c>
      <c r="B379" s="2">
        <v>45220</v>
      </c>
      <c r="C379" s="1" t="str">
        <f>_xlfn.XLOOKUP(Logs[[#This Row],[Province_RDC]],Clients_Log!D:D,Clients_Log!B:B,"Pas de correspondance")</f>
        <v>Pas de correspondance</v>
      </c>
      <c r="D379" t="str">
        <f>_xlfn.XLOOKUP(Logs[[#This Row],[Cell_ID]],'Registre_Maintenance'!B:B,'Registre_Maintenance'!C:C,"Pas de correspondance")</f>
        <v>Pas de correspondance</v>
      </c>
      <c r="E379" s="3">
        <v>0.45277777777777778</v>
      </c>
      <c r="F379" s="1" t="s">
        <v>1123</v>
      </c>
      <c r="G379" s="3">
        <f>Logs[[#This Row],[Duree_Panne_Min]]/1440</f>
        <v>2.4305555555555556E-2</v>
      </c>
      <c r="H379">
        <v>35</v>
      </c>
      <c r="I379" t="str">
        <f>_xlfn.XLOOKUP(Logs[[#This Row],[Cell_ID]],'Registre_Maintenance'!B:B,'Registre_Maintenance'!D:D,"Pas de correspondance")</f>
        <v>Pas de correspondance</v>
      </c>
      <c r="J379" t="str">
        <f>_xlfn.XLOOKUP(Logs[[#This Row],[Cell_ID]],'Registre_Maintenance'!B:B,'Registre_Maintenance'!E:E,"Pas de correspondance")</f>
        <v>Pas de correspondance</v>
      </c>
      <c r="K379" t="str">
        <f>_xlfn.XLOOKUP(Logs[[#This Row],[Cell_ID]],'Registre_Maintenance'!B:B,'Registre_Maintenance'!F:F,"Pas de correspondance")</f>
        <v>Pas de correspondance</v>
      </c>
      <c r="L379" t="str">
        <f>_xlfn.XLOOKUP(Logs[[#This Row],[Cell_ID]],'Registre_Maintenance'!B:B,'Registre_Maintenance'!G:G,"Pas de correspondance")</f>
        <v>Pas de correspondance</v>
      </c>
      <c r="M379" s="1" t="s">
        <v>809</v>
      </c>
      <c r="N379" s="1" t="str">
        <f>_xlfn.XLOOKUP(Logs[[#This Row],[ID_Client]],Clients_Log!B:B,Clients_Log!E:E,"Pas de correspondance")</f>
        <v>Pas de correspondance</v>
      </c>
      <c r="O379" s="4" t="str">
        <f>IFERROR(Logs[[#This Row],[Anciennete_Mois]]/12,"")</f>
        <v/>
      </c>
      <c r="P379" s="1" t="str">
        <f>_xlfn.XLOOKUP(Logs[[#This Row],[ID_Client]],Clients_Log!B:B,Clients_Log!F:F,"Pas de correspondance")</f>
        <v>Pas de correspondance</v>
      </c>
      <c r="Q379" s="1" t="str">
        <f>IF(Logs[[#This Row],[Type_Forfait]]="Pro Monde","B2B","B2C")</f>
        <v>B2C</v>
      </c>
      <c r="R379" s="1" t="str">
        <f>_xlfn.XLOOKUP(Logs[[#This Row],[ID_Client]],Clients_Log!B:B,Clients_Log!G:G,"Pas de correspondance")</f>
        <v>Pas de correspondance</v>
      </c>
      <c r="S379" s="1" t="e">
        <f>Logs[[#This Row],[Duree_Cumulee_Panne_Min]]/1440</f>
        <v>#VALUE!</v>
      </c>
      <c r="T379" s="1" t="str">
        <f>_xlfn.XLOOKUP(Logs[[#This Row],[ID_Client]],Clients_Log!B:B,Clients_Log!H:H,"Pas de correspondance")</f>
        <v>Pas de correspondance</v>
      </c>
      <c r="U379" s="1" t="str">
        <f>_xlfn.XLOOKUP(Logs[[#This Row],[ID_Client]],Clients_Log!B:B,Clients_Log!I:I,"Pas de correspondance")</f>
        <v>Pas de correspondance</v>
      </c>
      <c r="V37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79" s="1" t="e">
        <f>Logs[[#This Row],[Facture_Mensuelle]]*Logs[[#This Row],[Remise (%)]]</f>
        <v>#VALUE!</v>
      </c>
    </row>
    <row r="380" spans="1:23" hidden="1" x14ac:dyDescent="0.25">
      <c r="A380" s="1" t="s">
        <v>1098</v>
      </c>
      <c r="B380" s="2">
        <v>45204</v>
      </c>
      <c r="C380" s="1" t="str">
        <f>_xlfn.XLOOKUP(Logs[[#This Row],[Province_RDC]],Clients_Log!D:D,Clients_Log!B:B,"Pas de correspondance")</f>
        <v>Pas de correspondance</v>
      </c>
      <c r="D380" t="str">
        <f>_xlfn.XLOOKUP(Logs[[#This Row],[Cell_ID]],'Registre_Maintenance'!B:B,'Registre_Maintenance'!C:C,"Pas de correspondance")</f>
        <v>Pas de correspondance</v>
      </c>
      <c r="E380" s="3">
        <v>0.90555555555555556</v>
      </c>
      <c r="F380" s="1" t="s">
        <v>1124</v>
      </c>
      <c r="G380" s="3">
        <f>Logs[[#This Row],[Duree_Panne_Min]]/1440</f>
        <v>4.2361111111111113E-2</v>
      </c>
      <c r="H380">
        <v>61</v>
      </c>
      <c r="I380" t="str">
        <f>_xlfn.XLOOKUP(Logs[[#This Row],[Cell_ID]],'Registre_Maintenance'!B:B,'Registre_Maintenance'!D:D,"Pas de correspondance")</f>
        <v>Pas de correspondance</v>
      </c>
      <c r="J380" t="str">
        <f>_xlfn.XLOOKUP(Logs[[#This Row],[Cell_ID]],'Registre_Maintenance'!B:B,'Registre_Maintenance'!E:E,"Pas de correspondance")</f>
        <v>Pas de correspondance</v>
      </c>
      <c r="K380" t="str">
        <f>_xlfn.XLOOKUP(Logs[[#This Row],[Cell_ID]],'Registre_Maintenance'!B:B,'Registre_Maintenance'!F:F,"Pas de correspondance")</f>
        <v>Pas de correspondance</v>
      </c>
      <c r="L380" t="str">
        <f>_xlfn.XLOOKUP(Logs[[#This Row],[Cell_ID]],'Registre_Maintenance'!B:B,'Registre_Maintenance'!G:G,"Pas de correspondance")</f>
        <v>Pas de correspondance</v>
      </c>
      <c r="M380" s="1" t="s">
        <v>806</v>
      </c>
      <c r="N380" s="1" t="str">
        <f>_xlfn.XLOOKUP(Logs[[#This Row],[ID_Client]],Clients_Log!B:B,Clients_Log!E:E,"Pas de correspondance")</f>
        <v>Pas de correspondance</v>
      </c>
      <c r="O380" s="4" t="str">
        <f>IFERROR(Logs[[#This Row],[Anciennete_Mois]]/12,"")</f>
        <v/>
      </c>
      <c r="P380" s="1" t="str">
        <f>_xlfn.XLOOKUP(Logs[[#This Row],[ID_Client]],Clients_Log!B:B,Clients_Log!F:F,"Pas de correspondance")</f>
        <v>Pas de correspondance</v>
      </c>
      <c r="Q380" s="1" t="str">
        <f>IF(Logs[[#This Row],[Type_Forfait]]="Pro Monde","B2B","B2C")</f>
        <v>B2C</v>
      </c>
      <c r="R380" s="1" t="str">
        <f>_xlfn.XLOOKUP(Logs[[#This Row],[ID_Client]],Clients_Log!B:B,Clients_Log!G:G,"Pas de correspondance")</f>
        <v>Pas de correspondance</v>
      </c>
      <c r="S380" s="1" t="e">
        <f>Logs[[#This Row],[Duree_Cumulee_Panne_Min]]/1440</f>
        <v>#VALUE!</v>
      </c>
      <c r="T380" s="1" t="str">
        <f>_xlfn.XLOOKUP(Logs[[#This Row],[ID_Client]],Clients_Log!B:B,Clients_Log!H:H,"Pas de correspondance")</f>
        <v>Pas de correspondance</v>
      </c>
      <c r="U380" s="1" t="str">
        <f>_xlfn.XLOOKUP(Logs[[#This Row],[ID_Client]],Clients_Log!B:B,Clients_Log!I:I,"Pas de correspondance")</f>
        <v>Pas de correspondance</v>
      </c>
      <c r="V38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80" s="1" t="e">
        <f>Logs[[#This Row],[Facture_Mensuelle]]*Logs[[#This Row],[Remise (%)]]</f>
        <v>#VALUE!</v>
      </c>
    </row>
    <row r="381" spans="1:23" hidden="1" x14ac:dyDescent="0.25">
      <c r="A381" s="1" t="s">
        <v>1098</v>
      </c>
      <c r="B381" s="2">
        <v>45226</v>
      </c>
      <c r="C381" s="1" t="str">
        <f>_xlfn.XLOOKUP(Logs[[#This Row],[Province_RDC]],Clients_Log!D:D,Clients_Log!B:B,"Pas de correspondance")</f>
        <v>Pas de correspondance</v>
      </c>
      <c r="D381" t="str">
        <f>_xlfn.XLOOKUP(Logs[[#This Row],[Cell_ID]],'Registre_Maintenance'!B:B,'Registre_Maintenance'!C:C,"Pas de correspondance")</f>
        <v>Pas de correspondance</v>
      </c>
      <c r="E381" s="3">
        <v>0.98819444444444449</v>
      </c>
      <c r="F381" s="1" t="s">
        <v>1125</v>
      </c>
      <c r="G381" s="3">
        <f>Logs[[#This Row],[Duree_Panne_Min]]/1440</f>
        <v>5.7638888888888892E-2</v>
      </c>
      <c r="H381">
        <v>83</v>
      </c>
      <c r="I381" t="str">
        <f>_xlfn.XLOOKUP(Logs[[#This Row],[Cell_ID]],'Registre_Maintenance'!B:B,'Registre_Maintenance'!D:D,"Pas de correspondance")</f>
        <v>Pas de correspondance</v>
      </c>
      <c r="J381" t="str">
        <f>_xlfn.XLOOKUP(Logs[[#This Row],[Cell_ID]],'Registre_Maintenance'!B:B,'Registre_Maintenance'!E:E,"Pas de correspondance")</f>
        <v>Pas de correspondance</v>
      </c>
      <c r="K381" t="str">
        <f>_xlfn.XLOOKUP(Logs[[#This Row],[Cell_ID]],'Registre_Maintenance'!B:B,'Registre_Maintenance'!F:F,"Pas de correspondance")</f>
        <v>Pas de correspondance</v>
      </c>
      <c r="L381" t="str">
        <f>_xlfn.XLOOKUP(Logs[[#This Row],[Cell_ID]],'Registre_Maintenance'!B:B,'Registre_Maintenance'!G:G,"Pas de correspondance")</f>
        <v>Pas de correspondance</v>
      </c>
      <c r="M381" s="1" t="s">
        <v>809</v>
      </c>
      <c r="N381" s="1" t="str">
        <f>_xlfn.XLOOKUP(Logs[[#This Row],[ID_Client]],Clients_Log!B:B,Clients_Log!E:E,"Pas de correspondance")</f>
        <v>Pas de correspondance</v>
      </c>
      <c r="O381" s="4" t="str">
        <f>IFERROR(Logs[[#This Row],[Anciennete_Mois]]/12,"")</f>
        <v/>
      </c>
      <c r="P381" s="1" t="str">
        <f>_xlfn.XLOOKUP(Logs[[#This Row],[ID_Client]],Clients_Log!B:B,Clients_Log!F:F,"Pas de correspondance")</f>
        <v>Pas de correspondance</v>
      </c>
      <c r="Q381" s="1" t="str">
        <f>IF(Logs[[#This Row],[Type_Forfait]]="Pro Monde","B2B","B2C")</f>
        <v>B2C</v>
      </c>
      <c r="R381" s="1" t="str">
        <f>_xlfn.XLOOKUP(Logs[[#This Row],[ID_Client]],Clients_Log!B:B,Clients_Log!G:G,"Pas de correspondance")</f>
        <v>Pas de correspondance</v>
      </c>
      <c r="S381" s="1" t="e">
        <f>Logs[[#This Row],[Duree_Cumulee_Panne_Min]]/1440</f>
        <v>#VALUE!</v>
      </c>
      <c r="T381" s="1" t="str">
        <f>_xlfn.XLOOKUP(Logs[[#This Row],[ID_Client]],Clients_Log!B:B,Clients_Log!H:H,"Pas de correspondance")</f>
        <v>Pas de correspondance</v>
      </c>
      <c r="U381" s="1" t="str">
        <f>_xlfn.XLOOKUP(Logs[[#This Row],[ID_Client]],Clients_Log!B:B,Clients_Log!I:I,"Pas de correspondance")</f>
        <v>Pas de correspondance</v>
      </c>
      <c r="V38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81" s="1" t="e">
        <f>Logs[[#This Row],[Facture_Mensuelle]]*Logs[[#This Row],[Remise (%)]]</f>
        <v>#VALUE!</v>
      </c>
    </row>
    <row r="382" spans="1:23" x14ac:dyDescent="0.25">
      <c r="A382" s="1" t="s">
        <v>1098</v>
      </c>
      <c r="B382" s="2">
        <v>45229</v>
      </c>
      <c r="C382" s="1" t="str">
        <f>_xlfn.XLOOKUP(Logs[[#This Row],[Province_RDC]],Clients_Log!D:D,Clients_Log!B:B,"Pas de correspondance")</f>
        <v>CLI-01325</v>
      </c>
      <c r="D382" t="str">
        <f>_xlfn.XLOOKUP(Logs[[#This Row],[Cell_ID]],'Registre_Maintenance'!B:B,'Registre_Maintenance'!C:C,"Pas de correspondance")</f>
        <v>Haut-Lomami</v>
      </c>
      <c r="E382" s="3">
        <v>0.67013888888888884</v>
      </c>
      <c r="F382" s="1" t="s">
        <v>1126</v>
      </c>
      <c r="G382" s="3">
        <f>Logs[[#This Row],[Duree_Panne_Min]]/1440</f>
        <v>2.8472222222222222E-2</v>
      </c>
      <c r="H382">
        <v>41</v>
      </c>
      <c r="I382">
        <f>_xlfn.XLOOKUP(Logs[[#This Row],[Cell_ID]],'Registre_Maintenance'!B:B,'Registre_Maintenance'!D:D,"Pas de correspondance")</f>
        <v>-7.1785899999999998</v>
      </c>
      <c r="J382">
        <f>_xlfn.XLOOKUP(Logs[[#This Row],[Cell_ID]],'Registre_Maintenance'!B:B,'Registre_Maintenance'!E:E,"Pas de correspondance")</f>
        <v>24.4404</v>
      </c>
      <c r="K382" t="str">
        <f>_xlfn.XLOOKUP(Logs[[#This Row],[Cell_ID]],'Registre_Maintenance'!B:B,'Registre_Maintenance'!F:F,"Pas de correspondance")</f>
        <v>4G</v>
      </c>
      <c r="L382" t="str">
        <f>_xlfn.XLOOKUP(Logs[[#This Row],[Cell_ID]],'Registre_Maintenance'!B:B,'Registre_Maintenance'!G:G,"Pas de correspondance")</f>
        <v>Nokia</v>
      </c>
      <c r="M382" s="1" t="s">
        <v>811</v>
      </c>
      <c r="N382" s="1">
        <f>_xlfn.XLOOKUP(Logs[[#This Row],[ID_Client]],Clients_Log!B:B,Clients_Log!E:E,"Pas de correspondance")</f>
        <v>44</v>
      </c>
      <c r="O382" s="4">
        <f>IFERROR(Logs[[#This Row],[Anciennete_Mois]]/12,"")</f>
        <v>3.6666666666666665</v>
      </c>
      <c r="P382" s="1" t="str">
        <f>_xlfn.XLOOKUP(Logs[[#This Row],[ID_Client]],Clients_Log!B:B,Clients_Log!F:F,"Pas de correspondance")</f>
        <v>Bloqué 5Go</v>
      </c>
      <c r="Q382" s="1" t="str">
        <f>IF(Logs[[#This Row],[Type_Forfait]]="Pro Monde","B2B","B2C")</f>
        <v>B2C</v>
      </c>
      <c r="R382" s="1">
        <f>_xlfn.XLOOKUP(Logs[[#This Row],[ID_Client]],Clients_Log!B:B,Clients_Log!G:G,"Pas de correspondance")</f>
        <v>348</v>
      </c>
      <c r="S382" s="3">
        <f>Logs[[#This Row],[Duree_Cumulee_Panne_Min]]/1440</f>
        <v>0.24166666666666667</v>
      </c>
      <c r="T382" s="1">
        <f>_xlfn.XLOOKUP(Logs[[#This Row],[ID_Client]],Clients_Log!B:B,Clients_Log!H:H,"Pas de correspondance")</f>
        <v>58.67</v>
      </c>
      <c r="U382" s="1">
        <f>_xlfn.XLOOKUP(Logs[[#This Row],[ID_Client]],Clients_Log!B:B,Clients_Log!I:I,"Pas de correspondance")</f>
        <v>0</v>
      </c>
      <c r="V38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82" s="1">
        <f>Logs[[#This Row],[Facture_Mensuelle]]*Logs[[#This Row],[Remise (%)]]</f>
        <v>26.401500000000002</v>
      </c>
    </row>
    <row r="383" spans="1:23" x14ac:dyDescent="0.25">
      <c r="A383" s="1" t="s">
        <v>1098</v>
      </c>
      <c r="B383" s="2">
        <v>45220</v>
      </c>
      <c r="C383" s="1" t="str">
        <f>_xlfn.XLOOKUP(Logs[[#This Row],[Province_RDC]],Clients_Log!D:D,Clients_Log!B:B,"Pas de correspondance")</f>
        <v>CLI-00414</v>
      </c>
      <c r="D383" t="str">
        <f>_xlfn.XLOOKUP(Logs[[#This Row],[Cell_ID]],'Registre_Maintenance'!B:B,'Registre_Maintenance'!C:C,"Pas de correspondance")</f>
        <v>Bas-Uele</v>
      </c>
      <c r="E383" s="3">
        <v>0.89375000000000004</v>
      </c>
      <c r="F383" s="1" t="s">
        <v>1127</v>
      </c>
      <c r="G383" s="3">
        <f>Logs[[#This Row],[Duree_Panne_Min]]/1440</f>
        <v>7.013888888888889E-2</v>
      </c>
      <c r="H383">
        <v>101</v>
      </c>
      <c r="I383">
        <f>_xlfn.XLOOKUP(Logs[[#This Row],[Cell_ID]],'Registre_Maintenance'!B:B,'Registre_Maintenance'!D:D,"Pas de correspondance")</f>
        <v>-2.2876210000000001</v>
      </c>
      <c r="J383">
        <f>_xlfn.XLOOKUP(Logs[[#This Row],[Cell_ID]],'Registre_Maintenance'!B:B,'Registre_Maintenance'!E:E,"Pas de correspondance")</f>
        <v>27.582545</v>
      </c>
      <c r="K383" t="str">
        <f>_xlfn.XLOOKUP(Logs[[#This Row],[Cell_ID]],'Registre_Maintenance'!B:B,'Registre_Maintenance'!F:F,"Pas de correspondance")</f>
        <v>4G</v>
      </c>
      <c r="L383" t="str">
        <f>_xlfn.XLOOKUP(Logs[[#This Row],[Cell_ID]],'Registre_Maintenance'!B:B,'Registre_Maintenance'!G:G,"Pas de correspondance")</f>
        <v>Huawei</v>
      </c>
      <c r="M383" s="1" t="s">
        <v>811</v>
      </c>
      <c r="N383" s="1">
        <f>_xlfn.XLOOKUP(Logs[[#This Row],[ID_Client]],Clients_Log!B:B,Clients_Log!E:E,"Pas de correspondance")</f>
        <v>99</v>
      </c>
      <c r="O383" s="4">
        <f>IFERROR(Logs[[#This Row],[Anciennete_Mois]]/12,"")</f>
        <v>8.25</v>
      </c>
      <c r="P383" s="1" t="str">
        <f>_xlfn.XLOOKUP(Logs[[#This Row],[ID_Client]],Clients_Log!B:B,Clients_Log!F:F,"Pas de correspondance")</f>
        <v>Premium 5G 150Go</v>
      </c>
      <c r="Q383" s="1" t="str">
        <f>IF(Logs[[#This Row],[Type_Forfait]]="Pro Monde","B2B","B2C")</f>
        <v>B2C</v>
      </c>
      <c r="R383" s="1">
        <f>_xlfn.XLOOKUP(Logs[[#This Row],[ID_Client]],Clients_Log!B:B,Clients_Log!G:G,"Pas de correspondance")</f>
        <v>447</v>
      </c>
      <c r="S383" s="3">
        <f>Logs[[#This Row],[Duree_Cumulee_Panne_Min]]/1440</f>
        <v>0.31041666666666667</v>
      </c>
      <c r="T383" s="1">
        <f>_xlfn.XLOOKUP(Logs[[#This Row],[ID_Client]],Clients_Log!B:B,Clients_Log!H:H,"Pas de correspondance")</f>
        <v>38.1</v>
      </c>
      <c r="U383" s="1">
        <f>_xlfn.XLOOKUP(Logs[[#This Row],[ID_Client]],Clients_Log!B:B,Clients_Log!I:I,"Pas de correspondance")</f>
        <v>3</v>
      </c>
      <c r="V38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83" s="1">
        <f>Logs[[#This Row],[Facture_Mensuelle]]*Logs[[#This Row],[Remise (%)]]</f>
        <v>17.145</v>
      </c>
    </row>
    <row r="384" spans="1:23" hidden="1" x14ac:dyDescent="0.25">
      <c r="A384" s="1" t="s">
        <v>1098</v>
      </c>
      <c r="B384" s="2">
        <v>45216</v>
      </c>
      <c r="C384" s="1" t="str">
        <f>_xlfn.XLOOKUP(Logs[[#This Row],[Province_RDC]],Clients_Log!D:D,Clients_Log!B:B,"Pas de correspondance")</f>
        <v>Pas de correspondance</v>
      </c>
      <c r="D384" t="str">
        <f>_xlfn.XLOOKUP(Logs[[#This Row],[Cell_ID]],'Registre_Maintenance'!B:B,'Registre_Maintenance'!C:C,"Pas de correspondance")</f>
        <v>Pas de correspondance</v>
      </c>
      <c r="E384" s="3">
        <v>0.45902777777777776</v>
      </c>
      <c r="F384" s="1" t="s">
        <v>954</v>
      </c>
      <c r="G384" s="3">
        <f>Logs[[#This Row],[Duree_Panne_Min]]/1440</f>
        <v>6.9444444444444448E-2</v>
      </c>
      <c r="H384">
        <v>100</v>
      </c>
      <c r="I384" t="str">
        <f>_xlfn.XLOOKUP(Logs[[#This Row],[Cell_ID]],'Registre_Maintenance'!B:B,'Registre_Maintenance'!D:D,"Pas de correspondance")</f>
        <v>Pas de correspondance</v>
      </c>
      <c r="J384" t="str">
        <f>_xlfn.XLOOKUP(Logs[[#This Row],[Cell_ID]],'Registre_Maintenance'!B:B,'Registre_Maintenance'!E:E,"Pas de correspondance")</f>
        <v>Pas de correspondance</v>
      </c>
      <c r="K384" t="str">
        <f>_xlfn.XLOOKUP(Logs[[#This Row],[Cell_ID]],'Registre_Maintenance'!B:B,'Registre_Maintenance'!F:F,"Pas de correspondance")</f>
        <v>Pas de correspondance</v>
      </c>
      <c r="L384" t="str">
        <f>_xlfn.XLOOKUP(Logs[[#This Row],[Cell_ID]],'Registre_Maintenance'!B:B,'Registre_Maintenance'!G:G,"Pas de correspondance")</f>
        <v>Pas de correspondance</v>
      </c>
      <c r="M384" s="1" t="s">
        <v>809</v>
      </c>
      <c r="N384" s="1" t="str">
        <f>_xlfn.XLOOKUP(Logs[[#This Row],[ID_Client]],Clients_Log!B:B,Clients_Log!E:E,"Pas de correspondance")</f>
        <v>Pas de correspondance</v>
      </c>
      <c r="O384" s="4" t="str">
        <f>IFERROR(Logs[[#This Row],[Anciennete_Mois]]/12,"")</f>
        <v/>
      </c>
      <c r="P384" s="1" t="str">
        <f>_xlfn.XLOOKUP(Logs[[#This Row],[ID_Client]],Clients_Log!B:B,Clients_Log!F:F,"Pas de correspondance")</f>
        <v>Pas de correspondance</v>
      </c>
      <c r="Q384" s="1" t="str">
        <f>IF(Logs[[#This Row],[Type_Forfait]]="Pro Monde","B2B","B2C")</f>
        <v>B2C</v>
      </c>
      <c r="R384" s="1" t="str">
        <f>_xlfn.XLOOKUP(Logs[[#This Row],[ID_Client]],Clients_Log!B:B,Clients_Log!G:G,"Pas de correspondance")</f>
        <v>Pas de correspondance</v>
      </c>
      <c r="S384" s="1" t="e">
        <f>Logs[[#This Row],[Duree_Cumulee_Panne_Min]]/1440</f>
        <v>#VALUE!</v>
      </c>
      <c r="T384" s="1" t="str">
        <f>_xlfn.XLOOKUP(Logs[[#This Row],[ID_Client]],Clients_Log!B:B,Clients_Log!H:H,"Pas de correspondance")</f>
        <v>Pas de correspondance</v>
      </c>
      <c r="U384" s="1" t="str">
        <f>_xlfn.XLOOKUP(Logs[[#This Row],[ID_Client]],Clients_Log!B:B,Clients_Log!I:I,"Pas de correspondance")</f>
        <v>Pas de correspondance</v>
      </c>
      <c r="V38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84" s="1" t="e">
        <f>Logs[[#This Row],[Facture_Mensuelle]]*Logs[[#This Row],[Remise (%)]]</f>
        <v>#VALUE!</v>
      </c>
    </row>
    <row r="385" spans="1:23" hidden="1" x14ac:dyDescent="0.25">
      <c r="A385" s="1" t="s">
        <v>1098</v>
      </c>
      <c r="B385" s="2">
        <v>45211</v>
      </c>
      <c r="C385" s="1" t="str">
        <f>_xlfn.XLOOKUP(Logs[[#This Row],[Province_RDC]],Clients_Log!D:D,Clients_Log!B:B,"Pas de correspondance")</f>
        <v>Pas de correspondance</v>
      </c>
      <c r="D385" t="str">
        <f>_xlfn.XLOOKUP(Logs[[#This Row],[Cell_ID]],'Registre_Maintenance'!B:B,'Registre_Maintenance'!C:C,"Pas de correspondance")</f>
        <v>Pas de correspondance</v>
      </c>
      <c r="E385" s="3">
        <v>0.38263888888888886</v>
      </c>
      <c r="F385" s="1" t="s">
        <v>861</v>
      </c>
      <c r="G385" s="3">
        <f>Logs[[#This Row],[Duree_Panne_Min]]/1440</f>
        <v>7.2916666666666671E-2</v>
      </c>
      <c r="H385">
        <v>105</v>
      </c>
      <c r="I385" t="str">
        <f>_xlfn.XLOOKUP(Logs[[#This Row],[Cell_ID]],'Registre_Maintenance'!B:B,'Registre_Maintenance'!D:D,"Pas de correspondance")</f>
        <v>Pas de correspondance</v>
      </c>
      <c r="J385" t="str">
        <f>_xlfn.XLOOKUP(Logs[[#This Row],[Cell_ID]],'Registre_Maintenance'!B:B,'Registre_Maintenance'!E:E,"Pas de correspondance")</f>
        <v>Pas de correspondance</v>
      </c>
      <c r="K385" t="str">
        <f>_xlfn.XLOOKUP(Logs[[#This Row],[Cell_ID]],'Registre_Maintenance'!B:B,'Registre_Maintenance'!F:F,"Pas de correspondance")</f>
        <v>Pas de correspondance</v>
      </c>
      <c r="L385" t="str">
        <f>_xlfn.XLOOKUP(Logs[[#This Row],[Cell_ID]],'Registre_Maintenance'!B:B,'Registre_Maintenance'!G:G,"Pas de correspondance")</f>
        <v>Pas de correspondance</v>
      </c>
      <c r="M385" s="1" t="s">
        <v>806</v>
      </c>
      <c r="N385" s="1" t="str">
        <f>_xlfn.XLOOKUP(Logs[[#This Row],[ID_Client]],Clients_Log!B:B,Clients_Log!E:E,"Pas de correspondance")</f>
        <v>Pas de correspondance</v>
      </c>
      <c r="O385" s="4" t="str">
        <f>IFERROR(Logs[[#This Row],[Anciennete_Mois]]/12,"")</f>
        <v/>
      </c>
      <c r="P385" s="1" t="str">
        <f>_xlfn.XLOOKUP(Logs[[#This Row],[ID_Client]],Clients_Log!B:B,Clients_Log!F:F,"Pas de correspondance")</f>
        <v>Pas de correspondance</v>
      </c>
      <c r="Q385" s="1" t="str">
        <f>IF(Logs[[#This Row],[Type_Forfait]]="Pro Monde","B2B","B2C")</f>
        <v>B2C</v>
      </c>
      <c r="R385" s="1" t="str">
        <f>_xlfn.XLOOKUP(Logs[[#This Row],[ID_Client]],Clients_Log!B:B,Clients_Log!G:G,"Pas de correspondance")</f>
        <v>Pas de correspondance</v>
      </c>
      <c r="S385" s="1" t="e">
        <f>Logs[[#This Row],[Duree_Cumulee_Panne_Min]]/1440</f>
        <v>#VALUE!</v>
      </c>
      <c r="T385" s="1" t="str">
        <f>_xlfn.XLOOKUP(Logs[[#This Row],[ID_Client]],Clients_Log!B:B,Clients_Log!H:H,"Pas de correspondance")</f>
        <v>Pas de correspondance</v>
      </c>
      <c r="U385" s="1" t="str">
        <f>_xlfn.XLOOKUP(Logs[[#This Row],[ID_Client]],Clients_Log!B:B,Clients_Log!I:I,"Pas de correspondance")</f>
        <v>Pas de correspondance</v>
      </c>
      <c r="V38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85" s="1" t="e">
        <f>Logs[[#This Row],[Facture_Mensuelle]]*Logs[[#This Row],[Remise (%)]]</f>
        <v>#VALUE!</v>
      </c>
    </row>
    <row r="386" spans="1:23" x14ac:dyDescent="0.25">
      <c r="A386" s="1" t="s">
        <v>1098</v>
      </c>
      <c r="B386" s="2">
        <v>45230</v>
      </c>
      <c r="C386" s="1" t="str">
        <f>_xlfn.XLOOKUP(Logs[[#This Row],[Province_RDC]],Clients_Log!D:D,Clients_Log!B:B,"Pas de correspondance")</f>
        <v>CLI-00865</v>
      </c>
      <c r="D386" t="str">
        <f>_xlfn.XLOOKUP(Logs[[#This Row],[Cell_ID]],'Registre_Maintenance'!B:B,'Registre_Maintenance'!C:C,"Pas de correspondance")</f>
        <v>Mongala</v>
      </c>
      <c r="E386" s="3">
        <v>0.26458333333333334</v>
      </c>
      <c r="F386" s="1" t="s">
        <v>1128</v>
      </c>
      <c r="G386" s="3">
        <f>Logs[[#This Row],[Duree_Panne_Min]]/1440</f>
        <v>4.3055555555555555E-2</v>
      </c>
      <c r="H386">
        <v>62</v>
      </c>
      <c r="I386">
        <f>_xlfn.XLOOKUP(Logs[[#This Row],[Cell_ID]],'Registre_Maintenance'!B:B,'Registre_Maintenance'!D:D,"Pas de correspondance")</f>
        <v>3.6344850000000002</v>
      </c>
      <c r="J386">
        <f>_xlfn.XLOOKUP(Logs[[#This Row],[Cell_ID]],'Registre_Maintenance'!B:B,'Registre_Maintenance'!E:E,"Pas de correspondance")</f>
        <v>12.158348999999999</v>
      </c>
      <c r="K386" t="str">
        <f>_xlfn.XLOOKUP(Logs[[#This Row],[Cell_ID]],'Registre_Maintenance'!B:B,'Registre_Maintenance'!F:F,"Pas de correspondance")</f>
        <v>5G</v>
      </c>
      <c r="L386" t="str">
        <f>_xlfn.XLOOKUP(Logs[[#This Row],[Cell_ID]],'Registre_Maintenance'!B:B,'Registre_Maintenance'!G:G,"Pas de correspondance")</f>
        <v>Ericsson</v>
      </c>
      <c r="M386" s="1" t="s">
        <v>806</v>
      </c>
      <c r="N386" s="1">
        <f>_xlfn.XLOOKUP(Logs[[#This Row],[ID_Client]],Clients_Log!B:B,Clients_Log!E:E,"Pas de correspondance")</f>
        <v>34</v>
      </c>
      <c r="O386" s="4">
        <f>IFERROR(Logs[[#This Row],[Anciennete_Mois]]/12,"")</f>
        <v>2.8333333333333335</v>
      </c>
      <c r="P386" s="1" t="str">
        <f>_xlfn.XLOOKUP(Logs[[#This Row],[ID_Client]],Clients_Log!B:B,Clients_Log!F:F,"Pas de correspondance")</f>
        <v>Pro Monde</v>
      </c>
      <c r="Q386" s="1" t="str">
        <f>IF(Logs[[#This Row],[Type_Forfait]]="Pro Monde","B2B","B2C")</f>
        <v>B2B</v>
      </c>
      <c r="R386" s="1">
        <f>_xlfn.XLOOKUP(Logs[[#This Row],[ID_Client]],Clients_Log!B:B,Clients_Log!G:G,"Pas de correspondance")</f>
        <v>453</v>
      </c>
      <c r="S386" s="3">
        <f>Logs[[#This Row],[Duree_Cumulee_Panne_Min]]/1440</f>
        <v>0.31458333333333333</v>
      </c>
      <c r="T386" s="1">
        <f>_xlfn.XLOOKUP(Logs[[#This Row],[ID_Client]],Clients_Log!B:B,Clients_Log!H:H,"Pas de correspondance")</f>
        <v>56.84</v>
      </c>
      <c r="U386" s="1">
        <f>_xlfn.XLOOKUP(Logs[[#This Row],[ID_Client]],Clients_Log!B:B,Clients_Log!I:I,"Pas de correspondance")</f>
        <v>0</v>
      </c>
      <c r="V38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86" s="1">
        <f>Logs[[#This Row],[Facture_Mensuelle]]*Logs[[#This Row],[Remise (%)]]</f>
        <v>25.578000000000003</v>
      </c>
    </row>
    <row r="387" spans="1:23" x14ac:dyDescent="0.25">
      <c r="A387" s="1" t="s">
        <v>1098</v>
      </c>
      <c r="B387" s="2">
        <v>45230</v>
      </c>
      <c r="C387" s="1" t="str">
        <f>_xlfn.XLOOKUP(Logs[[#This Row],[Province_RDC]],Clients_Log!D:D,Clients_Log!B:B,"Pas de correspondance")</f>
        <v>CLI-01837</v>
      </c>
      <c r="D387" t="str">
        <f>_xlfn.XLOOKUP(Logs[[#This Row],[Cell_ID]],'Registre_Maintenance'!B:B,'Registre_Maintenance'!C:C,"Pas de correspondance")</f>
        <v>Kasaï-Oriental</v>
      </c>
      <c r="E387" s="3">
        <v>0.6333333333333333</v>
      </c>
      <c r="F387" s="1" t="s">
        <v>1129</v>
      </c>
      <c r="G387" s="3">
        <f>Logs[[#This Row],[Duree_Panne_Min]]/1440</f>
        <v>2.361111111111111E-2</v>
      </c>
      <c r="H387">
        <v>34</v>
      </c>
      <c r="I387">
        <f>_xlfn.XLOOKUP(Logs[[#This Row],[Cell_ID]],'Registre_Maintenance'!B:B,'Registre_Maintenance'!D:D,"Pas de correspondance")</f>
        <v>2.486888</v>
      </c>
      <c r="J387">
        <f>_xlfn.XLOOKUP(Logs[[#This Row],[Cell_ID]],'Registre_Maintenance'!B:B,'Registre_Maintenance'!E:E,"Pas de correspondance")</f>
        <v>23.798074</v>
      </c>
      <c r="K387" t="str">
        <f>_xlfn.XLOOKUP(Logs[[#This Row],[Cell_ID]],'Registre_Maintenance'!B:B,'Registre_Maintenance'!F:F,"Pas de correspondance")</f>
        <v>5G</v>
      </c>
      <c r="L387" t="str">
        <f>_xlfn.XLOOKUP(Logs[[#This Row],[Cell_ID]],'Registre_Maintenance'!B:B,'Registre_Maintenance'!G:G,"Pas de correspondance")</f>
        <v>ZTE</v>
      </c>
      <c r="M387" s="1" t="s">
        <v>806</v>
      </c>
      <c r="N387" s="1">
        <f>_xlfn.XLOOKUP(Logs[[#This Row],[ID_Client]],Clients_Log!B:B,Clients_Log!E:E,"Pas de correspondance")</f>
        <v>97</v>
      </c>
      <c r="O387" s="4">
        <f>IFERROR(Logs[[#This Row],[Anciennete_Mois]]/12,"")</f>
        <v>8.0833333333333339</v>
      </c>
      <c r="P387" s="1" t="str">
        <f>_xlfn.XLOOKUP(Logs[[#This Row],[ID_Client]],Clients_Log!B:B,Clients_Log!F:F,"Pas de correspondance")</f>
        <v>Pro Monde</v>
      </c>
      <c r="Q387" s="1" t="str">
        <f>IF(Logs[[#This Row],[Type_Forfait]]="Pro Monde","B2B","B2C")</f>
        <v>B2B</v>
      </c>
      <c r="R387" s="1">
        <f>_xlfn.XLOOKUP(Logs[[#This Row],[ID_Client]],Clients_Log!B:B,Clients_Log!G:G,"Pas de correspondance")</f>
        <v>319</v>
      </c>
      <c r="S387" s="3">
        <f>Logs[[#This Row],[Duree_Cumulee_Panne_Min]]/1440</f>
        <v>0.22152777777777777</v>
      </c>
      <c r="T387" s="1">
        <f>_xlfn.XLOOKUP(Logs[[#This Row],[ID_Client]],Clients_Log!B:B,Clients_Log!H:H,"Pas de correspondance")</f>
        <v>31.25</v>
      </c>
      <c r="U387" s="1">
        <f>_xlfn.XLOOKUP(Logs[[#This Row],[ID_Client]],Clients_Log!B:B,Clients_Log!I:I,"Pas de correspondance")</f>
        <v>1</v>
      </c>
      <c r="V38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87" s="1">
        <f>Logs[[#This Row],[Facture_Mensuelle]]*Logs[[#This Row],[Remise (%)]]</f>
        <v>14.0625</v>
      </c>
    </row>
    <row r="388" spans="1:23" hidden="1" x14ac:dyDescent="0.25">
      <c r="A388" s="1" t="s">
        <v>1098</v>
      </c>
      <c r="B388" s="2">
        <v>45207</v>
      </c>
      <c r="C388" s="1" t="str">
        <f>_xlfn.XLOOKUP(Logs[[#This Row],[Province_RDC]],Clients_Log!D:D,Clients_Log!B:B,"Pas de correspondance")</f>
        <v>Pas de correspondance</v>
      </c>
      <c r="D388" t="str">
        <f>_xlfn.XLOOKUP(Logs[[#This Row],[Cell_ID]],'Registre_Maintenance'!B:B,'Registre_Maintenance'!C:C,"Pas de correspondance")</f>
        <v>Pas de correspondance</v>
      </c>
      <c r="E388" s="3">
        <v>0.17291666666666666</v>
      </c>
      <c r="F388" s="1" t="s">
        <v>1130</v>
      </c>
      <c r="G388" s="3">
        <f>Logs[[#This Row],[Duree_Panne_Min]]/1440</f>
        <v>5.0694444444444445E-2</v>
      </c>
      <c r="H388">
        <v>73</v>
      </c>
      <c r="I388" t="str">
        <f>_xlfn.XLOOKUP(Logs[[#This Row],[Cell_ID]],'Registre_Maintenance'!B:B,'Registre_Maintenance'!D:D,"Pas de correspondance")</f>
        <v>Pas de correspondance</v>
      </c>
      <c r="J388" t="str">
        <f>_xlfn.XLOOKUP(Logs[[#This Row],[Cell_ID]],'Registre_Maintenance'!B:B,'Registre_Maintenance'!E:E,"Pas de correspondance")</f>
        <v>Pas de correspondance</v>
      </c>
      <c r="K388" t="str">
        <f>_xlfn.XLOOKUP(Logs[[#This Row],[Cell_ID]],'Registre_Maintenance'!B:B,'Registre_Maintenance'!F:F,"Pas de correspondance")</f>
        <v>Pas de correspondance</v>
      </c>
      <c r="L388" t="str">
        <f>_xlfn.XLOOKUP(Logs[[#This Row],[Cell_ID]],'Registre_Maintenance'!B:B,'Registre_Maintenance'!G:G,"Pas de correspondance")</f>
        <v>Pas de correspondance</v>
      </c>
      <c r="M388" s="1" t="s">
        <v>811</v>
      </c>
      <c r="N388" s="1" t="str">
        <f>_xlfn.XLOOKUP(Logs[[#This Row],[ID_Client]],Clients_Log!B:B,Clients_Log!E:E,"Pas de correspondance")</f>
        <v>Pas de correspondance</v>
      </c>
      <c r="O388" s="4" t="str">
        <f>IFERROR(Logs[[#This Row],[Anciennete_Mois]]/12,"")</f>
        <v/>
      </c>
      <c r="P388" s="1" t="str">
        <f>_xlfn.XLOOKUP(Logs[[#This Row],[ID_Client]],Clients_Log!B:B,Clients_Log!F:F,"Pas de correspondance")</f>
        <v>Pas de correspondance</v>
      </c>
      <c r="Q388" s="1" t="str">
        <f>IF(Logs[[#This Row],[Type_Forfait]]="Pro Monde","B2B","B2C")</f>
        <v>B2C</v>
      </c>
      <c r="R388" s="1" t="str">
        <f>_xlfn.XLOOKUP(Logs[[#This Row],[ID_Client]],Clients_Log!B:B,Clients_Log!G:G,"Pas de correspondance")</f>
        <v>Pas de correspondance</v>
      </c>
      <c r="S388" s="1" t="e">
        <f>Logs[[#This Row],[Duree_Cumulee_Panne_Min]]/1440</f>
        <v>#VALUE!</v>
      </c>
      <c r="T388" s="1" t="str">
        <f>_xlfn.XLOOKUP(Logs[[#This Row],[ID_Client]],Clients_Log!B:B,Clients_Log!H:H,"Pas de correspondance")</f>
        <v>Pas de correspondance</v>
      </c>
      <c r="U388" s="1" t="str">
        <f>_xlfn.XLOOKUP(Logs[[#This Row],[ID_Client]],Clients_Log!B:B,Clients_Log!I:I,"Pas de correspondance")</f>
        <v>Pas de correspondance</v>
      </c>
      <c r="V38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88" s="1" t="e">
        <f>Logs[[#This Row],[Facture_Mensuelle]]*Logs[[#This Row],[Remise (%)]]</f>
        <v>#VALUE!</v>
      </c>
    </row>
    <row r="389" spans="1:23" x14ac:dyDescent="0.25">
      <c r="A389" s="1" t="s">
        <v>1098</v>
      </c>
      <c r="B389" s="2">
        <v>45202</v>
      </c>
      <c r="C389" s="1" t="str">
        <f>_xlfn.XLOOKUP(Logs[[#This Row],[Province_RDC]],Clients_Log!D:D,Clients_Log!B:B,"Pas de correspondance")</f>
        <v>CLI-00414</v>
      </c>
      <c r="D389" t="str">
        <f>_xlfn.XLOOKUP(Logs[[#This Row],[Cell_ID]],'Registre_Maintenance'!B:B,'Registre_Maintenance'!C:C,"Pas de correspondance")</f>
        <v>Bas-Uele</v>
      </c>
      <c r="E389" s="3">
        <v>0.41249999999999998</v>
      </c>
      <c r="F389" s="1" t="s">
        <v>1131</v>
      </c>
      <c r="G389" s="3">
        <f>Logs[[#This Row],[Duree_Panne_Min]]/1440</f>
        <v>2.4305555555555556E-2</v>
      </c>
      <c r="H389">
        <v>35</v>
      </c>
      <c r="I389">
        <f>_xlfn.XLOOKUP(Logs[[#This Row],[Cell_ID]],'Registre_Maintenance'!B:B,'Registre_Maintenance'!D:D,"Pas de correspondance")</f>
        <v>-6.4197189999999997</v>
      </c>
      <c r="J389">
        <f>_xlfn.XLOOKUP(Logs[[#This Row],[Cell_ID]],'Registre_Maintenance'!B:B,'Registre_Maintenance'!E:E,"Pas de correspondance")</f>
        <v>22.287264</v>
      </c>
      <c r="K389" t="str">
        <f>_xlfn.XLOOKUP(Logs[[#This Row],[Cell_ID]],'Registre_Maintenance'!B:B,'Registre_Maintenance'!F:F,"Pas de correspondance")</f>
        <v>3G</v>
      </c>
      <c r="L389" t="str">
        <f>_xlfn.XLOOKUP(Logs[[#This Row],[Cell_ID]],'Registre_Maintenance'!B:B,'Registre_Maintenance'!G:G,"Pas de correspondance")</f>
        <v>Ericsson</v>
      </c>
      <c r="M389" s="1" t="s">
        <v>806</v>
      </c>
      <c r="N389" s="1">
        <f>_xlfn.XLOOKUP(Logs[[#This Row],[ID_Client]],Clients_Log!B:B,Clients_Log!E:E,"Pas de correspondance")</f>
        <v>99</v>
      </c>
      <c r="O389" s="4">
        <f>IFERROR(Logs[[#This Row],[Anciennete_Mois]]/12,"")</f>
        <v>8.25</v>
      </c>
      <c r="P389" s="1" t="str">
        <f>_xlfn.XLOOKUP(Logs[[#This Row],[ID_Client]],Clients_Log!B:B,Clients_Log!F:F,"Pas de correspondance")</f>
        <v>Premium 5G 150Go</v>
      </c>
      <c r="Q389" s="1" t="str">
        <f>IF(Logs[[#This Row],[Type_Forfait]]="Pro Monde","B2B","B2C")</f>
        <v>B2C</v>
      </c>
      <c r="R389" s="1">
        <f>_xlfn.XLOOKUP(Logs[[#This Row],[ID_Client]],Clients_Log!B:B,Clients_Log!G:G,"Pas de correspondance")</f>
        <v>447</v>
      </c>
      <c r="S389" s="3">
        <f>Logs[[#This Row],[Duree_Cumulee_Panne_Min]]/1440</f>
        <v>0.31041666666666667</v>
      </c>
      <c r="T389" s="1">
        <f>_xlfn.XLOOKUP(Logs[[#This Row],[ID_Client]],Clients_Log!B:B,Clients_Log!H:H,"Pas de correspondance")</f>
        <v>38.1</v>
      </c>
      <c r="U389" s="1">
        <f>_xlfn.XLOOKUP(Logs[[#This Row],[ID_Client]],Clients_Log!B:B,Clients_Log!I:I,"Pas de correspondance")</f>
        <v>3</v>
      </c>
      <c r="V38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89" s="1">
        <f>Logs[[#This Row],[Facture_Mensuelle]]*Logs[[#This Row],[Remise (%)]]</f>
        <v>17.145</v>
      </c>
    </row>
    <row r="390" spans="1:23" x14ac:dyDescent="0.25">
      <c r="A390" s="1" t="s">
        <v>1098</v>
      </c>
      <c r="B390" s="2">
        <v>45225</v>
      </c>
      <c r="C390" s="1" t="str">
        <f>_xlfn.XLOOKUP(Logs[[#This Row],[Province_RDC]],Clients_Log!D:D,Clients_Log!B:B,"Pas de correspondance")</f>
        <v>CLI-01855</v>
      </c>
      <c r="D390" t="str">
        <f>_xlfn.XLOOKUP(Logs[[#This Row],[Cell_ID]],'Registre_Maintenance'!B:B,'Registre_Maintenance'!C:C,"Pas de correspondance")</f>
        <v>Sud-Kivu</v>
      </c>
      <c r="E390" s="3">
        <v>0.14722222222222223</v>
      </c>
      <c r="F390" s="1" t="s">
        <v>1132</v>
      </c>
      <c r="G390" s="3">
        <f>Logs[[#This Row],[Duree_Panne_Min]]/1440</f>
        <v>3.0555555555555555E-2</v>
      </c>
      <c r="H390">
        <v>44</v>
      </c>
      <c r="I390">
        <f>_xlfn.XLOOKUP(Logs[[#This Row],[Cell_ID]],'Registre_Maintenance'!B:B,'Registre_Maintenance'!D:D,"Pas de correspondance")</f>
        <v>4.2904629999999999</v>
      </c>
      <c r="J390">
        <f>_xlfn.XLOOKUP(Logs[[#This Row],[Cell_ID]],'Registre_Maintenance'!B:B,'Registre_Maintenance'!E:E,"Pas de correspondance")</f>
        <v>26.354195000000001</v>
      </c>
      <c r="K390" t="str">
        <f>_xlfn.XLOOKUP(Logs[[#This Row],[Cell_ID]],'Registre_Maintenance'!B:B,'Registre_Maintenance'!F:F,"Pas de correspondance")</f>
        <v>3G</v>
      </c>
      <c r="L390" t="str">
        <f>_xlfn.XLOOKUP(Logs[[#This Row],[Cell_ID]],'Registre_Maintenance'!B:B,'Registre_Maintenance'!G:G,"Pas de correspondance")</f>
        <v>Ericsson</v>
      </c>
      <c r="M390" s="1" t="s">
        <v>806</v>
      </c>
      <c r="N390" s="1">
        <f>_xlfn.XLOOKUP(Logs[[#This Row],[ID_Client]],Clients_Log!B:B,Clients_Log!E:E,"Pas de correspondance")</f>
        <v>101</v>
      </c>
      <c r="O390" s="4">
        <f>IFERROR(Logs[[#This Row],[Anciennete_Mois]]/12,"")</f>
        <v>8.4166666666666661</v>
      </c>
      <c r="P390" s="1" t="str">
        <f>_xlfn.XLOOKUP(Logs[[#This Row],[ID_Client]],Clients_Log!B:B,Clients_Log!F:F,"Pas de correspondance")</f>
        <v>Illimité 50Go</v>
      </c>
      <c r="Q390" s="1" t="str">
        <f>IF(Logs[[#This Row],[Type_Forfait]]="Pro Monde","B2B","B2C")</f>
        <v>B2C</v>
      </c>
      <c r="R390" s="1">
        <f>_xlfn.XLOOKUP(Logs[[#This Row],[ID_Client]],Clients_Log!B:B,Clients_Log!G:G,"Pas de correspondance")</f>
        <v>358</v>
      </c>
      <c r="S390" s="3">
        <f>Logs[[#This Row],[Duree_Cumulee_Panne_Min]]/1440</f>
        <v>0.24861111111111112</v>
      </c>
      <c r="T390" s="1">
        <f>_xlfn.XLOOKUP(Logs[[#This Row],[ID_Client]],Clients_Log!B:B,Clients_Log!H:H,"Pas de correspondance")</f>
        <v>29.24</v>
      </c>
      <c r="U390" s="1">
        <f>_xlfn.XLOOKUP(Logs[[#This Row],[ID_Client]],Clients_Log!B:B,Clients_Log!I:I,"Pas de correspondance")</f>
        <v>3</v>
      </c>
      <c r="V39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90" s="1">
        <f>Logs[[#This Row],[Facture_Mensuelle]]*Logs[[#This Row],[Remise (%)]]</f>
        <v>13.157999999999999</v>
      </c>
    </row>
    <row r="391" spans="1:23" hidden="1" x14ac:dyDescent="0.25">
      <c r="A391" s="1" t="s">
        <v>1133</v>
      </c>
      <c r="B391" s="2">
        <v>45207</v>
      </c>
      <c r="C391" s="1" t="str">
        <f>_xlfn.XLOOKUP(Logs[[#This Row],[Province_RDC]],Clients_Log!D:D,Clients_Log!B:B,"Pas de correspondance")</f>
        <v>Pas de correspondance</v>
      </c>
      <c r="D391" t="str">
        <f>_xlfn.XLOOKUP(Logs[[#This Row],[Cell_ID]],'Registre_Maintenance'!B:B,'Registre_Maintenance'!C:C,"Pas de correspondance")</f>
        <v>Pas de correspondance</v>
      </c>
      <c r="E391" s="3">
        <v>0.37986111111111109</v>
      </c>
      <c r="F391" s="1" t="s">
        <v>1055</v>
      </c>
      <c r="G391" s="3">
        <f>Logs[[#This Row],[Duree_Panne_Min]]/1440</f>
        <v>8.1944444444444445E-2</v>
      </c>
      <c r="H391">
        <v>118</v>
      </c>
      <c r="I391" t="str">
        <f>_xlfn.XLOOKUP(Logs[[#This Row],[Cell_ID]],'Registre_Maintenance'!B:B,'Registre_Maintenance'!D:D,"Pas de correspondance")</f>
        <v>Pas de correspondance</v>
      </c>
      <c r="J391" t="str">
        <f>_xlfn.XLOOKUP(Logs[[#This Row],[Cell_ID]],'Registre_Maintenance'!B:B,'Registre_Maintenance'!E:E,"Pas de correspondance")</f>
        <v>Pas de correspondance</v>
      </c>
      <c r="K391" t="str">
        <f>_xlfn.XLOOKUP(Logs[[#This Row],[Cell_ID]],'Registre_Maintenance'!B:B,'Registre_Maintenance'!F:F,"Pas de correspondance")</f>
        <v>Pas de correspondance</v>
      </c>
      <c r="L391" t="str">
        <f>_xlfn.XLOOKUP(Logs[[#This Row],[Cell_ID]],'Registre_Maintenance'!B:B,'Registre_Maintenance'!G:G,"Pas de correspondance")</f>
        <v>Pas de correspondance</v>
      </c>
      <c r="M391" s="1" t="s">
        <v>811</v>
      </c>
      <c r="N391" s="1" t="str">
        <f>_xlfn.XLOOKUP(Logs[[#This Row],[ID_Client]],Clients_Log!B:B,Clients_Log!E:E,"Pas de correspondance")</f>
        <v>Pas de correspondance</v>
      </c>
      <c r="O391" s="4" t="str">
        <f>IFERROR(Logs[[#This Row],[Anciennete_Mois]]/12,"")</f>
        <v/>
      </c>
      <c r="P391" s="1" t="str">
        <f>_xlfn.XLOOKUP(Logs[[#This Row],[ID_Client]],Clients_Log!B:B,Clients_Log!F:F,"Pas de correspondance")</f>
        <v>Pas de correspondance</v>
      </c>
      <c r="Q391" s="1" t="str">
        <f>IF(Logs[[#This Row],[Type_Forfait]]="Pro Monde","B2B","B2C")</f>
        <v>B2C</v>
      </c>
      <c r="R391" s="1" t="str">
        <f>_xlfn.XLOOKUP(Logs[[#This Row],[ID_Client]],Clients_Log!B:B,Clients_Log!G:G,"Pas de correspondance")</f>
        <v>Pas de correspondance</v>
      </c>
      <c r="S391" s="1" t="e">
        <f>Logs[[#This Row],[Duree_Cumulee_Panne_Min]]/1440</f>
        <v>#VALUE!</v>
      </c>
      <c r="T391" s="1" t="str">
        <f>_xlfn.XLOOKUP(Logs[[#This Row],[ID_Client]],Clients_Log!B:B,Clients_Log!H:H,"Pas de correspondance")</f>
        <v>Pas de correspondance</v>
      </c>
      <c r="U391" s="1" t="str">
        <f>_xlfn.XLOOKUP(Logs[[#This Row],[ID_Client]],Clients_Log!B:B,Clients_Log!I:I,"Pas de correspondance")</f>
        <v>Pas de correspondance</v>
      </c>
      <c r="V39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91" s="1" t="e">
        <f>Logs[[#This Row],[Facture_Mensuelle]]*Logs[[#This Row],[Remise (%)]]</f>
        <v>#VALUE!</v>
      </c>
    </row>
    <row r="392" spans="1:23" hidden="1" x14ac:dyDescent="0.25">
      <c r="A392" s="1" t="s">
        <v>1133</v>
      </c>
      <c r="B392" s="2">
        <v>45201</v>
      </c>
      <c r="C392" s="1" t="str">
        <f>_xlfn.XLOOKUP(Logs[[#This Row],[Province_RDC]],Clients_Log!D:D,Clients_Log!B:B,"Pas de correspondance")</f>
        <v>Pas de correspondance</v>
      </c>
      <c r="D392" t="str">
        <f>_xlfn.XLOOKUP(Logs[[#This Row],[Cell_ID]],'Registre_Maintenance'!B:B,'Registre_Maintenance'!C:C,"Pas de correspondance")</f>
        <v>Pas de correspondance</v>
      </c>
      <c r="E392" s="3">
        <v>0.30972222222222223</v>
      </c>
      <c r="F392" s="1" t="s">
        <v>1134</v>
      </c>
      <c r="G392" s="3">
        <f>Logs[[#This Row],[Duree_Panne_Min]]/1440</f>
        <v>3.888888888888889E-2</v>
      </c>
      <c r="H392">
        <v>56</v>
      </c>
      <c r="I392" t="str">
        <f>_xlfn.XLOOKUP(Logs[[#This Row],[Cell_ID]],'Registre_Maintenance'!B:B,'Registre_Maintenance'!D:D,"Pas de correspondance")</f>
        <v>Pas de correspondance</v>
      </c>
      <c r="J392" t="str">
        <f>_xlfn.XLOOKUP(Logs[[#This Row],[Cell_ID]],'Registre_Maintenance'!B:B,'Registre_Maintenance'!E:E,"Pas de correspondance")</f>
        <v>Pas de correspondance</v>
      </c>
      <c r="K392" t="str">
        <f>_xlfn.XLOOKUP(Logs[[#This Row],[Cell_ID]],'Registre_Maintenance'!B:B,'Registre_Maintenance'!F:F,"Pas de correspondance")</f>
        <v>Pas de correspondance</v>
      </c>
      <c r="L392" t="str">
        <f>_xlfn.XLOOKUP(Logs[[#This Row],[Cell_ID]],'Registre_Maintenance'!B:B,'Registre_Maintenance'!G:G,"Pas de correspondance")</f>
        <v>Pas de correspondance</v>
      </c>
      <c r="M392" s="1" t="s">
        <v>811</v>
      </c>
      <c r="N392" s="1" t="str">
        <f>_xlfn.XLOOKUP(Logs[[#This Row],[ID_Client]],Clients_Log!B:B,Clients_Log!E:E,"Pas de correspondance")</f>
        <v>Pas de correspondance</v>
      </c>
      <c r="O392" s="4" t="str">
        <f>IFERROR(Logs[[#This Row],[Anciennete_Mois]]/12,"")</f>
        <v/>
      </c>
      <c r="P392" s="1" t="str">
        <f>_xlfn.XLOOKUP(Logs[[#This Row],[ID_Client]],Clients_Log!B:B,Clients_Log!F:F,"Pas de correspondance")</f>
        <v>Pas de correspondance</v>
      </c>
      <c r="Q392" s="1" t="str">
        <f>IF(Logs[[#This Row],[Type_Forfait]]="Pro Monde","B2B","B2C")</f>
        <v>B2C</v>
      </c>
      <c r="R392" s="1" t="str">
        <f>_xlfn.XLOOKUP(Logs[[#This Row],[ID_Client]],Clients_Log!B:B,Clients_Log!G:G,"Pas de correspondance")</f>
        <v>Pas de correspondance</v>
      </c>
      <c r="S392" s="1" t="e">
        <f>Logs[[#This Row],[Duree_Cumulee_Panne_Min]]/1440</f>
        <v>#VALUE!</v>
      </c>
      <c r="T392" s="1" t="str">
        <f>_xlfn.XLOOKUP(Logs[[#This Row],[ID_Client]],Clients_Log!B:B,Clients_Log!H:H,"Pas de correspondance")</f>
        <v>Pas de correspondance</v>
      </c>
      <c r="U392" s="1" t="str">
        <f>_xlfn.XLOOKUP(Logs[[#This Row],[ID_Client]],Clients_Log!B:B,Clients_Log!I:I,"Pas de correspondance")</f>
        <v>Pas de correspondance</v>
      </c>
      <c r="V39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92" s="1" t="e">
        <f>Logs[[#This Row],[Facture_Mensuelle]]*Logs[[#This Row],[Remise (%)]]</f>
        <v>#VALUE!</v>
      </c>
    </row>
    <row r="393" spans="1:23" x14ac:dyDescent="0.25">
      <c r="A393" s="1" t="s">
        <v>1133</v>
      </c>
      <c r="B393" s="2">
        <v>45220</v>
      </c>
      <c r="C393" s="1" t="str">
        <f>_xlfn.XLOOKUP(Logs[[#This Row],[Province_RDC]],Clients_Log!D:D,Clients_Log!B:B,"Pas de correspondance")</f>
        <v>CLI-00996</v>
      </c>
      <c r="D393" t="str">
        <f>_xlfn.XLOOKUP(Logs[[#This Row],[Cell_ID]],'Registre_Maintenance'!B:B,'Registre_Maintenance'!C:C,"Pas de correspondance")</f>
        <v>Kwilu</v>
      </c>
      <c r="E393" s="3">
        <v>0.81180555555555556</v>
      </c>
      <c r="F393" s="1" t="s">
        <v>1135</v>
      </c>
      <c r="G393" s="3">
        <f>Logs[[#This Row],[Duree_Panne_Min]]/1440</f>
        <v>6.9444444444444448E-2</v>
      </c>
      <c r="H393">
        <v>100</v>
      </c>
      <c r="I393">
        <f>_xlfn.XLOOKUP(Logs[[#This Row],[Cell_ID]],'Registre_Maintenance'!B:B,'Registre_Maintenance'!D:D,"Pas de correspondance")</f>
        <v>-0.98830399999999996</v>
      </c>
      <c r="J393">
        <f>_xlfn.XLOOKUP(Logs[[#This Row],[Cell_ID]],'Registre_Maintenance'!B:B,'Registre_Maintenance'!E:E,"Pas de correspondance")</f>
        <v>28.099966999999999</v>
      </c>
      <c r="K393" t="str">
        <f>_xlfn.XLOOKUP(Logs[[#This Row],[Cell_ID]],'Registre_Maintenance'!B:B,'Registre_Maintenance'!F:F,"Pas de correspondance")</f>
        <v>3G</v>
      </c>
      <c r="L393" t="str">
        <f>_xlfn.XLOOKUP(Logs[[#This Row],[Cell_ID]],'Registre_Maintenance'!B:B,'Registre_Maintenance'!G:G,"Pas de correspondance")</f>
        <v>Huawei</v>
      </c>
      <c r="M393" s="1" t="s">
        <v>811</v>
      </c>
      <c r="N393" s="1">
        <f>_xlfn.XLOOKUP(Logs[[#This Row],[ID_Client]],Clients_Log!B:B,Clients_Log!E:E,"Pas de correspondance")</f>
        <v>119</v>
      </c>
      <c r="O393" s="4">
        <f>IFERROR(Logs[[#This Row],[Anciennete_Mois]]/12,"")</f>
        <v>9.9166666666666661</v>
      </c>
      <c r="P393" s="1" t="str">
        <f>_xlfn.XLOOKUP(Logs[[#This Row],[ID_Client]],Clients_Log!B:B,Clients_Log!F:F,"Pas de correspondance")</f>
        <v>Illimité 50Go</v>
      </c>
      <c r="Q393" s="1" t="str">
        <f>IF(Logs[[#This Row],[Type_Forfait]]="Pro Monde","B2B","B2C")</f>
        <v>B2C</v>
      </c>
      <c r="R393" s="1">
        <f>_xlfn.XLOOKUP(Logs[[#This Row],[ID_Client]],Clients_Log!B:B,Clients_Log!G:G,"Pas de correspondance")</f>
        <v>228</v>
      </c>
      <c r="S393" s="3">
        <f>Logs[[#This Row],[Duree_Cumulee_Panne_Min]]/1440</f>
        <v>0.15833333333333333</v>
      </c>
      <c r="T393" s="1">
        <f>_xlfn.XLOOKUP(Logs[[#This Row],[ID_Client]],Clients_Log!B:B,Clients_Log!H:H,"Pas de correspondance")</f>
        <v>94.72</v>
      </c>
      <c r="U393" s="1">
        <f>_xlfn.XLOOKUP(Logs[[#This Row],[ID_Client]],Clients_Log!B:B,Clients_Log!I:I,"Pas de correspondance")</f>
        <v>3</v>
      </c>
      <c r="V39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393" s="1">
        <f>Logs[[#This Row],[Facture_Mensuelle]]*Logs[[#This Row],[Remise (%)]]</f>
        <v>0</v>
      </c>
    </row>
    <row r="394" spans="1:23" x14ac:dyDescent="0.25">
      <c r="A394" s="1" t="s">
        <v>1133</v>
      </c>
      <c r="B394" s="2">
        <v>45202</v>
      </c>
      <c r="C394" s="1" t="str">
        <f>_xlfn.XLOOKUP(Logs[[#This Row],[Province_RDC]],Clients_Log!D:D,Clients_Log!B:B,"Pas de correspondance")</f>
        <v>CLI-00837</v>
      </c>
      <c r="D394" t="str">
        <f>_xlfn.XLOOKUP(Logs[[#This Row],[Cell_ID]],'Registre_Maintenance'!B:B,'Registre_Maintenance'!C:C,"Pas de correspondance")</f>
        <v>Nord-Kivu</v>
      </c>
      <c r="E394" s="3">
        <v>0.16180555555555556</v>
      </c>
      <c r="F394" s="1" t="s">
        <v>1136</v>
      </c>
      <c r="G394" s="3">
        <f>Logs[[#This Row],[Duree_Panne_Min]]/1440</f>
        <v>4.2361111111111113E-2</v>
      </c>
      <c r="H394">
        <v>61</v>
      </c>
      <c r="I394">
        <f>_xlfn.XLOOKUP(Logs[[#This Row],[Cell_ID]],'Registre_Maintenance'!B:B,'Registre_Maintenance'!D:D,"Pas de correspondance")</f>
        <v>-6.5529849999999996</v>
      </c>
      <c r="J394">
        <f>_xlfn.XLOOKUP(Logs[[#This Row],[Cell_ID]],'Registre_Maintenance'!B:B,'Registre_Maintenance'!E:E,"Pas de correspondance")</f>
        <v>21.990606</v>
      </c>
      <c r="K394" t="str">
        <f>_xlfn.XLOOKUP(Logs[[#This Row],[Cell_ID]],'Registre_Maintenance'!B:B,'Registre_Maintenance'!F:F,"Pas de correspondance")</f>
        <v>3G</v>
      </c>
      <c r="L394" t="str">
        <f>_xlfn.XLOOKUP(Logs[[#This Row],[Cell_ID]],'Registre_Maintenance'!B:B,'Registre_Maintenance'!G:G,"Pas de correspondance")</f>
        <v>Huawei</v>
      </c>
      <c r="M394" s="1" t="s">
        <v>809</v>
      </c>
      <c r="N394" s="1">
        <f>_xlfn.XLOOKUP(Logs[[#This Row],[ID_Client]],Clients_Log!B:B,Clients_Log!E:E,"Pas de correspondance")</f>
        <v>16</v>
      </c>
      <c r="O394" s="4">
        <f>IFERROR(Logs[[#This Row],[Anciennete_Mois]]/12,"")</f>
        <v>1.3333333333333333</v>
      </c>
      <c r="P394" s="1" t="str">
        <f>_xlfn.XLOOKUP(Logs[[#This Row],[ID_Client]],Clients_Log!B:B,Clients_Log!F:F,"Pas de correspondance")</f>
        <v>Bloqué 5Go</v>
      </c>
      <c r="Q394" s="1" t="str">
        <f>IF(Logs[[#This Row],[Type_Forfait]]="Pro Monde","B2B","B2C")</f>
        <v>B2C</v>
      </c>
      <c r="R394" s="1">
        <f>_xlfn.XLOOKUP(Logs[[#This Row],[ID_Client]],Clients_Log!B:B,Clients_Log!G:G,"Pas de correspondance")</f>
        <v>390</v>
      </c>
      <c r="S394" s="3">
        <f>Logs[[#This Row],[Duree_Cumulee_Panne_Min]]/1440</f>
        <v>0.27083333333333331</v>
      </c>
      <c r="T394" s="1">
        <f>_xlfn.XLOOKUP(Logs[[#This Row],[ID_Client]],Clients_Log!B:B,Clients_Log!H:H,"Pas de correspondance")</f>
        <v>98.17</v>
      </c>
      <c r="U394" s="1">
        <f>_xlfn.XLOOKUP(Logs[[#This Row],[ID_Client]],Clients_Log!B:B,Clients_Log!I:I,"Pas de correspondance")</f>
        <v>5</v>
      </c>
      <c r="V39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94" s="1">
        <f>Logs[[#This Row],[Facture_Mensuelle]]*Logs[[#This Row],[Remise (%)]]</f>
        <v>44.176500000000004</v>
      </c>
    </row>
    <row r="395" spans="1:23" x14ac:dyDescent="0.25">
      <c r="A395" s="1" t="s">
        <v>1133</v>
      </c>
      <c r="B395" s="2">
        <v>45228</v>
      </c>
      <c r="C395" s="1" t="str">
        <f>_xlfn.XLOOKUP(Logs[[#This Row],[Province_RDC]],Clients_Log!D:D,Clients_Log!B:B,"Pas de correspondance")</f>
        <v>CLI-01855</v>
      </c>
      <c r="D395" t="str">
        <f>_xlfn.XLOOKUP(Logs[[#This Row],[Cell_ID]],'Registre_Maintenance'!B:B,'Registre_Maintenance'!C:C,"Pas de correspondance")</f>
        <v>Sud-Kivu</v>
      </c>
      <c r="E395" s="3">
        <v>0.65138888888888891</v>
      </c>
      <c r="F395" s="1" t="s">
        <v>1137</v>
      </c>
      <c r="G395" s="3">
        <f>Logs[[#This Row],[Duree_Panne_Min]]/1440</f>
        <v>8.2638888888888887E-2</v>
      </c>
      <c r="H395">
        <v>119</v>
      </c>
      <c r="I395">
        <f>_xlfn.XLOOKUP(Logs[[#This Row],[Cell_ID]],'Registre_Maintenance'!B:B,'Registre_Maintenance'!D:D,"Pas de correspondance")</f>
        <v>2.453036</v>
      </c>
      <c r="J395">
        <f>_xlfn.XLOOKUP(Logs[[#This Row],[Cell_ID]],'Registre_Maintenance'!B:B,'Registre_Maintenance'!E:E,"Pas de correspondance")</f>
        <v>20.555484</v>
      </c>
      <c r="K395" t="str">
        <f>_xlfn.XLOOKUP(Logs[[#This Row],[Cell_ID]],'Registre_Maintenance'!B:B,'Registre_Maintenance'!F:F,"Pas de correspondance")</f>
        <v>5G</v>
      </c>
      <c r="L395" t="str">
        <f>_xlfn.XLOOKUP(Logs[[#This Row],[Cell_ID]],'Registre_Maintenance'!B:B,'Registre_Maintenance'!G:G,"Pas de correspondance")</f>
        <v>Ericsson</v>
      </c>
      <c r="M395" s="1" t="s">
        <v>806</v>
      </c>
      <c r="N395" s="1">
        <f>_xlfn.XLOOKUP(Logs[[#This Row],[ID_Client]],Clients_Log!B:B,Clients_Log!E:E,"Pas de correspondance")</f>
        <v>101</v>
      </c>
      <c r="O395" s="4">
        <f>IFERROR(Logs[[#This Row],[Anciennete_Mois]]/12,"")</f>
        <v>8.4166666666666661</v>
      </c>
      <c r="P395" s="1" t="str">
        <f>_xlfn.XLOOKUP(Logs[[#This Row],[ID_Client]],Clients_Log!B:B,Clients_Log!F:F,"Pas de correspondance")</f>
        <v>Illimité 50Go</v>
      </c>
      <c r="Q395" s="1" t="str">
        <f>IF(Logs[[#This Row],[Type_Forfait]]="Pro Monde","B2B","B2C")</f>
        <v>B2C</v>
      </c>
      <c r="R395" s="1">
        <f>_xlfn.XLOOKUP(Logs[[#This Row],[ID_Client]],Clients_Log!B:B,Clients_Log!G:G,"Pas de correspondance")</f>
        <v>358</v>
      </c>
      <c r="S395" s="3">
        <f>Logs[[#This Row],[Duree_Cumulee_Panne_Min]]/1440</f>
        <v>0.24861111111111112</v>
      </c>
      <c r="T395" s="1">
        <f>_xlfn.XLOOKUP(Logs[[#This Row],[ID_Client]],Clients_Log!B:B,Clients_Log!H:H,"Pas de correspondance")</f>
        <v>29.24</v>
      </c>
      <c r="U395" s="1">
        <f>_xlfn.XLOOKUP(Logs[[#This Row],[ID_Client]],Clients_Log!B:B,Clients_Log!I:I,"Pas de correspondance")</f>
        <v>3</v>
      </c>
      <c r="V39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95" s="1">
        <f>Logs[[#This Row],[Facture_Mensuelle]]*Logs[[#This Row],[Remise (%)]]</f>
        <v>13.157999999999999</v>
      </c>
    </row>
    <row r="396" spans="1:23" hidden="1" x14ac:dyDescent="0.25">
      <c r="A396" s="1" t="s">
        <v>1133</v>
      </c>
      <c r="B396" s="2">
        <v>45217</v>
      </c>
      <c r="C396" s="1" t="str">
        <f>_xlfn.XLOOKUP(Logs[[#This Row],[Province_RDC]],Clients_Log!D:D,Clients_Log!B:B,"Pas de correspondance")</f>
        <v>Pas de correspondance</v>
      </c>
      <c r="D396" t="str">
        <f>_xlfn.XLOOKUP(Logs[[#This Row],[Cell_ID]],'Registre_Maintenance'!B:B,'Registre_Maintenance'!C:C,"Pas de correspondance")</f>
        <v>Pas de correspondance</v>
      </c>
      <c r="E396" s="3">
        <v>2.7777777777777776E-2</v>
      </c>
      <c r="F396" s="1" t="s">
        <v>987</v>
      </c>
      <c r="G396" s="3">
        <f>Logs[[#This Row],[Duree_Panne_Min]]/1440</f>
        <v>3.7499999999999999E-2</v>
      </c>
      <c r="H396">
        <v>54</v>
      </c>
      <c r="I396" t="str">
        <f>_xlfn.XLOOKUP(Logs[[#This Row],[Cell_ID]],'Registre_Maintenance'!B:B,'Registre_Maintenance'!D:D,"Pas de correspondance")</f>
        <v>Pas de correspondance</v>
      </c>
      <c r="J396" t="str">
        <f>_xlfn.XLOOKUP(Logs[[#This Row],[Cell_ID]],'Registre_Maintenance'!B:B,'Registre_Maintenance'!E:E,"Pas de correspondance")</f>
        <v>Pas de correspondance</v>
      </c>
      <c r="K396" t="str">
        <f>_xlfn.XLOOKUP(Logs[[#This Row],[Cell_ID]],'Registre_Maintenance'!B:B,'Registre_Maintenance'!F:F,"Pas de correspondance")</f>
        <v>Pas de correspondance</v>
      </c>
      <c r="L396" t="str">
        <f>_xlfn.XLOOKUP(Logs[[#This Row],[Cell_ID]],'Registre_Maintenance'!B:B,'Registre_Maintenance'!G:G,"Pas de correspondance")</f>
        <v>Pas de correspondance</v>
      </c>
      <c r="M396" s="1" t="s">
        <v>809</v>
      </c>
      <c r="N396" s="1" t="str">
        <f>_xlfn.XLOOKUP(Logs[[#This Row],[ID_Client]],Clients_Log!B:B,Clients_Log!E:E,"Pas de correspondance")</f>
        <v>Pas de correspondance</v>
      </c>
      <c r="O396" s="4" t="str">
        <f>IFERROR(Logs[[#This Row],[Anciennete_Mois]]/12,"")</f>
        <v/>
      </c>
      <c r="P396" s="1" t="str">
        <f>_xlfn.XLOOKUP(Logs[[#This Row],[ID_Client]],Clients_Log!B:B,Clients_Log!F:F,"Pas de correspondance")</f>
        <v>Pas de correspondance</v>
      </c>
      <c r="Q396" s="1" t="str">
        <f>IF(Logs[[#This Row],[Type_Forfait]]="Pro Monde","B2B","B2C")</f>
        <v>B2C</v>
      </c>
      <c r="R396" s="1" t="str">
        <f>_xlfn.XLOOKUP(Logs[[#This Row],[ID_Client]],Clients_Log!B:B,Clients_Log!G:G,"Pas de correspondance")</f>
        <v>Pas de correspondance</v>
      </c>
      <c r="S396" s="1" t="e">
        <f>Logs[[#This Row],[Duree_Cumulee_Panne_Min]]/1440</f>
        <v>#VALUE!</v>
      </c>
      <c r="T396" s="1" t="str">
        <f>_xlfn.XLOOKUP(Logs[[#This Row],[ID_Client]],Clients_Log!B:B,Clients_Log!H:H,"Pas de correspondance")</f>
        <v>Pas de correspondance</v>
      </c>
      <c r="U396" s="1" t="str">
        <f>_xlfn.XLOOKUP(Logs[[#This Row],[ID_Client]],Clients_Log!B:B,Clients_Log!I:I,"Pas de correspondance")</f>
        <v>Pas de correspondance</v>
      </c>
      <c r="V39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396" s="1" t="e">
        <f>Logs[[#This Row],[Facture_Mensuelle]]*Logs[[#This Row],[Remise (%)]]</f>
        <v>#VALUE!</v>
      </c>
    </row>
    <row r="397" spans="1:23" x14ac:dyDescent="0.25">
      <c r="A397" s="1" t="s">
        <v>1133</v>
      </c>
      <c r="B397" s="2">
        <v>45216</v>
      </c>
      <c r="C397" s="1" t="str">
        <f>_xlfn.XLOOKUP(Logs[[#This Row],[Province_RDC]],Clients_Log!D:D,Clients_Log!B:B,"Pas de correspondance")</f>
        <v>CLI-01147</v>
      </c>
      <c r="D397" t="str">
        <f>_xlfn.XLOOKUP(Logs[[#This Row],[Cell_ID]],'Registre_Maintenance'!B:B,'Registre_Maintenance'!C:C,"Pas de correspondance")</f>
        <v>Ituri</v>
      </c>
      <c r="E397" s="3">
        <v>0.76041666666666663</v>
      </c>
      <c r="F397" s="1" t="s">
        <v>1138</v>
      </c>
      <c r="G397" s="3">
        <f>Logs[[#This Row],[Duree_Panne_Min]]/1440</f>
        <v>3.3333333333333333E-2</v>
      </c>
      <c r="H397">
        <v>48</v>
      </c>
      <c r="I397">
        <f>_xlfn.XLOOKUP(Logs[[#This Row],[Cell_ID]],'Registre_Maintenance'!B:B,'Registre_Maintenance'!D:D,"Pas de correspondance")</f>
        <v>-11.002602</v>
      </c>
      <c r="J397">
        <f>_xlfn.XLOOKUP(Logs[[#This Row],[Cell_ID]],'Registre_Maintenance'!B:B,'Registre_Maintenance'!E:E,"Pas de correspondance")</f>
        <v>23.918247999999998</v>
      </c>
      <c r="K397" t="str">
        <f>_xlfn.XLOOKUP(Logs[[#This Row],[Cell_ID]],'Registre_Maintenance'!B:B,'Registre_Maintenance'!F:F,"Pas de correspondance")</f>
        <v>5G</v>
      </c>
      <c r="L397" t="str">
        <f>_xlfn.XLOOKUP(Logs[[#This Row],[Cell_ID]],'Registre_Maintenance'!B:B,'Registre_Maintenance'!G:G,"Pas de correspondance")</f>
        <v>ZTE</v>
      </c>
      <c r="M397" s="1" t="s">
        <v>806</v>
      </c>
      <c r="N397" s="1">
        <f>_xlfn.XLOOKUP(Logs[[#This Row],[ID_Client]],Clients_Log!B:B,Clients_Log!E:E,"Pas de correspondance")</f>
        <v>29</v>
      </c>
      <c r="O397" s="4">
        <f>IFERROR(Logs[[#This Row],[Anciennete_Mois]]/12,"")</f>
        <v>2.4166666666666665</v>
      </c>
      <c r="P397" s="1" t="str">
        <f>_xlfn.XLOOKUP(Logs[[#This Row],[ID_Client]],Clients_Log!B:B,Clients_Log!F:F,"Pas de correspondance")</f>
        <v>Premium 5G 150Go</v>
      </c>
      <c r="Q397" s="1" t="str">
        <f>IF(Logs[[#This Row],[Type_Forfait]]="Pro Monde","B2B","B2C")</f>
        <v>B2C</v>
      </c>
      <c r="R397" s="1">
        <f>_xlfn.XLOOKUP(Logs[[#This Row],[ID_Client]],Clients_Log!B:B,Clients_Log!G:G,"Pas de correspondance")</f>
        <v>214</v>
      </c>
      <c r="S397" s="3">
        <f>Logs[[#This Row],[Duree_Cumulee_Panne_Min]]/1440</f>
        <v>0.14861111111111111</v>
      </c>
      <c r="T397" s="1">
        <f>_xlfn.XLOOKUP(Logs[[#This Row],[ID_Client]],Clients_Log!B:B,Clients_Log!H:H,"Pas de correspondance")</f>
        <v>74.7</v>
      </c>
      <c r="U397" s="1">
        <f>_xlfn.XLOOKUP(Logs[[#This Row],[ID_Client]],Clients_Log!B:B,Clients_Log!I:I,"Pas de correspondance")</f>
        <v>3</v>
      </c>
      <c r="V39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97" s="1">
        <f>Logs[[#This Row],[Facture_Mensuelle]]*Logs[[#This Row],[Remise (%)]]</f>
        <v>33.615000000000002</v>
      </c>
    </row>
    <row r="398" spans="1:23" x14ac:dyDescent="0.25">
      <c r="A398" s="1" t="s">
        <v>1133</v>
      </c>
      <c r="B398" s="2">
        <v>45222</v>
      </c>
      <c r="C398" s="1" t="str">
        <f>_xlfn.XLOOKUP(Logs[[#This Row],[Province_RDC]],Clients_Log!D:D,Clients_Log!B:B,"Pas de correspondance")</f>
        <v>CLI-00611</v>
      </c>
      <c r="D398" t="str">
        <f>_xlfn.XLOOKUP(Logs[[#This Row],[Cell_ID]],'Registre_Maintenance'!B:B,'Registre_Maintenance'!C:C,"Pas de correspondance")</f>
        <v>Kinshasa</v>
      </c>
      <c r="E398" s="3">
        <v>0.17916666666666667</v>
      </c>
      <c r="F398" s="1" t="s">
        <v>1139</v>
      </c>
      <c r="G398" s="3">
        <f>Logs[[#This Row],[Duree_Panne_Min]]/1440</f>
        <v>1.9444444444444445E-2</v>
      </c>
      <c r="H398">
        <v>28</v>
      </c>
      <c r="I398">
        <f>_xlfn.XLOOKUP(Logs[[#This Row],[Cell_ID]],'Registre_Maintenance'!B:B,'Registre_Maintenance'!D:D,"Pas de correspondance")</f>
        <v>-0.90854400000000002</v>
      </c>
      <c r="J398">
        <f>_xlfn.XLOOKUP(Logs[[#This Row],[Cell_ID]],'Registre_Maintenance'!B:B,'Registre_Maintenance'!E:E,"Pas de correspondance")</f>
        <v>17.154896999999998</v>
      </c>
      <c r="K398" t="str">
        <f>_xlfn.XLOOKUP(Logs[[#This Row],[Cell_ID]],'Registre_Maintenance'!B:B,'Registre_Maintenance'!F:F,"Pas de correspondance")</f>
        <v>3G</v>
      </c>
      <c r="L398" t="str">
        <f>_xlfn.XLOOKUP(Logs[[#This Row],[Cell_ID]],'Registre_Maintenance'!B:B,'Registre_Maintenance'!G:G,"Pas de correspondance")</f>
        <v>Huawei</v>
      </c>
      <c r="M398" s="1" t="s">
        <v>809</v>
      </c>
      <c r="N398" s="1">
        <f>_xlfn.XLOOKUP(Logs[[#This Row],[ID_Client]],Clients_Log!B:B,Clients_Log!E:E,"Pas de correspondance")</f>
        <v>79</v>
      </c>
      <c r="O398" s="4">
        <f>IFERROR(Logs[[#This Row],[Anciennete_Mois]]/12,"")</f>
        <v>6.583333333333333</v>
      </c>
      <c r="P398" s="1" t="str">
        <f>_xlfn.XLOOKUP(Logs[[#This Row],[ID_Client]],Clients_Log!B:B,Clients_Log!F:F,"Pas de correspondance")</f>
        <v>Premium 5G 150Go</v>
      </c>
      <c r="Q398" s="1" t="str">
        <f>IF(Logs[[#This Row],[Type_Forfait]]="Pro Monde","B2B","B2C")</f>
        <v>B2C</v>
      </c>
      <c r="R398" s="1">
        <f>_xlfn.XLOOKUP(Logs[[#This Row],[ID_Client]],Clients_Log!B:B,Clients_Log!G:G,"Pas de correspondance")</f>
        <v>226</v>
      </c>
      <c r="S398" s="3">
        <f>Logs[[#This Row],[Duree_Cumulee_Panne_Min]]/1440</f>
        <v>0.15694444444444444</v>
      </c>
      <c r="T398" s="1">
        <f>_xlfn.XLOOKUP(Logs[[#This Row],[ID_Client]],Clients_Log!B:B,Clients_Log!H:H,"Pas de correspondance")</f>
        <v>94.38</v>
      </c>
      <c r="U398" s="1">
        <f>_xlfn.XLOOKUP(Logs[[#This Row],[ID_Client]],Clients_Log!B:B,Clients_Log!I:I,"Pas de correspondance")</f>
        <v>3</v>
      </c>
      <c r="V39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398" s="1">
        <f>Logs[[#This Row],[Facture_Mensuelle]]*Logs[[#This Row],[Remise (%)]]</f>
        <v>0</v>
      </c>
    </row>
    <row r="399" spans="1:23" x14ac:dyDescent="0.25">
      <c r="A399" s="1" t="s">
        <v>1133</v>
      </c>
      <c r="B399" s="2">
        <v>45213</v>
      </c>
      <c r="C399" s="1" t="str">
        <f>_xlfn.XLOOKUP(Logs[[#This Row],[Province_RDC]],Clients_Log!D:D,Clients_Log!B:B,"Pas de correspondance")</f>
        <v>CLI-00569</v>
      </c>
      <c r="D399" t="str">
        <f>_xlfn.XLOOKUP(Logs[[#This Row],[Cell_ID]],'Registre_Maintenance'!B:B,'Registre_Maintenance'!C:C,"Pas de correspondance")</f>
        <v>Kwango</v>
      </c>
      <c r="E399" s="3">
        <v>2.7083333333333334E-2</v>
      </c>
      <c r="F399" s="1" t="s">
        <v>1140</v>
      </c>
      <c r="G399" s="3">
        <f>Logs[[#This Row],[Duree_Panne_Min]]/1440</f>
        <v>4.7222222222222221E-2</v>
      </c>
      <c r="H399">
        <v>68</v>
      </c>
      <c r="I399">
        <f>_xlfn.XLOOKUP(Logs[[#This Row],[Cell_ID]],'Registre_Maintenance'!B:B,'Registre_Maintenance'!D:D,"Pas de correspondance")</f>
        <v>-8.1210620000000002</v>
      </c>
      <c r="J399">
        <f>_xlfn.XLOOKUP(Logs[[#This Row],[Cell_ID]],'Registre_Maintenance'!B:B,'Registre_Maintenance'!E:E,"Pas de correspondance")</f>
        <v>21.094390000000001</v>
      </c>
      <c r="K399" t="str">
        <f>_xlfn.XLOOKUP(Logs[[#This Row],[Cell_ID]],'Registre_Maintenance'!B:B,'Registre_Maintenance'!F:F,"Pas de correspondance")</f>
        <v>5G</v>
      </c>
      <c r="L399" t="str">
        <f>_xlfn.XLOOKUP(Logs[[#This Row],[Cell_ID]],'Registre_Maintenance'!B:B,'Registre_Maintenance'!G:G,"Pas de correspondance")</f>
        <v>ZTE</v>
      </c>
      <c r="M399" s="1" t="s">
        <v>811</v>
      </c>
      <c r="N399" s="1">
        <f>_xlfn.XLOOKUP(Logs[[#This Row],[ID_Client]],Clients_Log!B:B,Clients_Log!E:E,"Pas de correspondance")</f>
        <v>110</v>
      </c>
      <c r="O399" s="4">
        <f>IFERROR(Logs[[#This Row],[Anciennete_Mois]]/12,"")</f>
        <v>9.1666666666666661</v>
      </c>
      <c r="P399" s="1" t="str">
        <f>_xlfn.XLOOKUP(Logs[[#This Row],[ID_Client]],Clients_Log!B:B,Clients_Log!F:F,"Pas de correspondance")</f>
        <v>Pro Monde</v>
      </c>
      <c r="Q399" s="1" t="str">
        <f>IF(Logs[[#This Row],[Type_Forfait]]="Pro Monde","B2B","B2C")</f>
        <v>B2B</v>
      </c>
      <c r="R399" s="1">
        <f>_xlfn.XLOOKUP(Logs[[#This Row],[ID_Client]],Clients_Log!B:B,Clients_Log!G:G,"Pas de correspondance")</f>
        <v>423</v>
      </c>
      <c r="S399" s="3">
        <f>Logs[[#This Row],[Duree_Cumulee_Panne_Min]]/1440</f>
        <v>0.29375000000000001</v>
      </c>
      <c r="T399" s="1">
        <f>_xlfn.XLOOKUP(Logs[[#This Row],[ID_Client]],Clients_Log!B:B,Clients_Log!H:H,"Pas de correspondance")</f>
        <v>37.35</v>
      </c>
      <c r="U399" s="1">
        <f>_xlfn.XLOOKUP(Logs[[#This Row],[ID_Client]],Clients_Log!B:B,Clients_Log!I:I,"Pas de correspondance")</f>
        <v>4</v>
      </c>
      <c r="V39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399" s="1">
        <f>Logs[[#This Row],[Facture_Mensuelle]]*Logs[[#This Row],[Remise (%)]]</f>
        <v>16.807500000000001</v>
      </c>
    </row>
    <row r="400" spans="1:23" x14ac:dyDescent="0.25">
      <c r="A400" s="1" t="s">
        <v>1133</v>
      </c>
      <c r="B400" s="2">
        <v>45211</v>
      </c>
      <c r="C400" s="1" t="str">
        <f>_xlfn.XLOOKUP(Logs[[#This Row],[Province_RDC]],Clients_Log!D:D,Clients_Log!B:B,"Pas de correspondance")</f>
        <v>CLI-01005</v>
      </c>
      <c r="D400" t="str">
        <f>_xlfn.XLOOKUP(Logs[[#This Row],[Cell_ID]],'Registre_Maintenance'!B:B,'Registre_Maintenance'!C:C,"Pas de correspondance")</f>
        <v>Lualaba</v>
      </c>
      <c r="E400" s="3">
        <v>0.31666666666666665</v>
      </c>
      <c r="F400" s="1" t="s">
        <v>1141</v>
      </c>
      <c r="G400" s="3">
        <f>Logs[[#This Row],[Duree_Panne_Min]]/1440</f>
        <v>6.458333333333334E-2</v>
      </c>
      <c r="H400">
        <v>93</v>
      </c>
      <c r="I400">
        <f>_xlfn.XLOOKUP(Logs[[#This Row],[Cell_ID]],'Registre_Maintenance'!B:B,'Registre_Maintenance'!D:D,"Pas de correspondance")</f>
        <v>1.286548</v>
      </c>
      <c r="J400">
        <f>_xlfn.XLOOKUP(Logs[[#This Row],[Cell_ID]],'Registre_Maintenance'!B:B,'Registre_Maintenance'!E:E,"Pas de correspondance")</f>
        <v>29.823702999999998</v>
      </c>
      <c r="K400" t="str">
        <f>_xlfn.XLOOKUP(Logs[[#This Row],[Cell_ID]],'Registre_Maintenance'!B:B,'Registre_Maintenance'!F:F,"Pas de correspondance")</f>
        <v>4G</v>
      </c>
      <c r="L400" t="str">
        <f>_xlfn.XLOOKUP(Logs[[#This Row],[Cell_ID]],'Registre_Maintenance'!B:B,'Registre_Maintenance'!G:G,"Pas de correspondance")</f>
        <v>ZTE</v>
      </c>
      <c r="M400" s="1" t="s">
        <v>811</v>
      </c>
      <c r="N400" s="1">
        <f>_xlfn.XLOOKUP(Logs[[#This Row],[ID_Client]],Clients_Log!B:B,Clients_Log!E:E,"Pas de correspondance")</f>
        <v>80</v>
      </c>
      <c r="O400" s="4">
        <f>IFERROR(Logs[[#This Row],[Anciennete_Mois]]/12,"")</f>
        <v>6.666666666666667</v>
      </c>
      <c r="P400" s="1" t="str">
        <f>_xlfn.XLOOKUP(Logs[[#This Row],[ID_Client]],Clients_Log!B:B,Clients_Log!F:F,"Pas de correspondance")</f>
        <v>Illimité 50Go</v>
      </c>
      <c r="Q400" s="1" t="str">
        <f>IF(Logs[[#This Row],[Type_Forfait]]="Pro Monde","B2B","B2C")</f>
        <v>B2C</v>
      </c>
      <c r="R400" s="1">
        <f>_xlfn.XLOOKUP(Logs[[#This Row],[ID_Client]],Clients_Log!B:B,Clients_Log!G:G,"Pas de correspondance")</f>
        <v>155</v>
      </c>
      <c r="S400" s="3">
        <f>Logs[[#This Row],[Duree_Cumulee_Panne_Min]]/1440</f>
        <v>0.1076388888888889</v>
      </c>
      <c r="T400" s="1">
        <f>_xlfn.XLOOKUP(Logs[[#This Row],[ID_Client]],Clients_Log!B:B,Clients_Log!H:H,"Pas de correspondance")</f>
        <v>28.96</v>
      </c>
      <c r="U400" s="1">
        <f>_xlfn.XLOOKUP(Logs[[#This Row],[ID_Client]],Clients_Log!B:B,Clients_Log!I:I,"Pas de correspondance")</f>
        <v>2</v>
      </c>
      <c r="V40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400" s="1">
        <f>Logs[[#This Row],[Facture_Mensuelle]]*Logs[[#This Row],[Remise (%)]]</f>
        <v>0</v>
      </c>
    </row>
    <row r="401" spans="1:23" hidden="1" x14ac:dyDescent="0.25">
      <c r="A401" s="1" t="s">
        <v>1133</v>
      </c>
      <c r="B401" s="2">
        <v>45213</v>
      </c>
      <c r="C401" s="1" t="str">
        <f>_xlfn.XLOOKUP(Logs[[#This Row],[Province_RDC]],Clients_Log!D:D,Clients_Log!B:B,"Pas de correspondance")</f>
        <v>Pas de correspondance</v>
      </c>
      <c r="D401" t="str">
        <f>_xlfn.XLOOKUP(Logs[[#This Row],[Cell_ID]],'Registre_Maintenance'!B:B,'Registre_Maintenance'!C:C,"Pas de correspondance")</f>
        <v>Pas de correspondance</v>
      </c>
      <c r="E401" s="3">
        <v>0.23749999999999999</v>
      </c>
      <c r="F401" s="1" t="s">
        <v>930</v>
      </c>
      <c r="G401" s="3">
        <f>Logs[[#This Row],[Duree_Panne_Min]]/1440</f>
        <v>4.7222222222222221E-2</v>
      </c>
      <c r="H401">
        <v>68</v>
      </c>
      <c r="I401" t="str">
        <f>_xlfn.XLOOKUP(Logs[[#This Row],[Cell_ID]],'Registre_Maintenance'!B:B,'Registre_Maintenance'!D:D,"Pas de correspondance")</f>
        <v>Pas de correspondance</v>
      </c>
      <c r="J401" t="str">
        <f>_xlfn.XLOOKUP(Logs[[#This Row],[Cell_ID]],'Registre_Maintenance'!B:B,'Registre_Maintenance'!E:E,"Pas de correspondance")</f>
        <v>Pas de correspondance</v>
      </c>
      <c r="K401" t="str">
        <f>_xlfn.XLOOKUP(Logs[[#This Row],[Cell_ID]],'Registre_Maintenance'!B:B,'Registre_Maintenance'!F:F,"Pas de correspondance")</f>
        <v>Pas de correspondance</v>
      </c>
      <c r="L401" t="str">
        <f>_xlfn.XLOOKUP(Logs[[#This Row],[Cell_ID]],'Registre_Maintenance'!B:B,'Registre_Maintenance'!G:G,"Pas de correspondance")</f>
        <v>Pas de correspondance</v>
      </c>
      <c r="M401" s="1" t="s">
        <v>811</v>
      </c>
      <c r="N401" s="1" t="str">
        <f>_xlfn.XLOOKUP(Logs[[#This Row],[ID_Client]],Clients_Log!B:B,Clients_Log!E:E,"Pas de correspondance")</f>
        <v>Pas de correspondance</v>
      </c>
      <c r="O401" s="4" t="str">
        <f>IFERROR(Logs[[#This Row],[Anciennete_Mois]]/12,"")</f>
        <v/>
      </c>
      <c r="P401" s="1" t="str">
        <f>_xlfn.XLOOKUP(Logs[[#This Row],[ID_Client]],Clients_Log!B:B,Clients_Log!F:F,"Pas de correspondance")</f>
        <v>Pas de correspondance</v>
      </c>
      <c r="Q401" s="1" t="str">
        <f>IF(Logs[[#This Row],[Type_Forfait]]="Pro Monde","B2B","B2C")</f>
        <v>B2C</v>
      </c>
      <c r="R401" s="1" t="str">
        <f>_xlfn.XLOOKUP(Logs[[#This Row],[ID_Client]],Clients_Log!B:B,Clients_Log!G:G,"Pas de correspondance")</f>
        <v>Pas de correspondance</v>
      </c>
      <c r="S401" s="1" t="e">
        <f>Logs[[#This Row],[Duree_Cumulee_Panne_Min]]/1440</f>
        <v>#VALUE!</v>
      </c>
      <c r="T401" s="1" t="str">
        <f>_xlfn.XLOOKUP(Logs[[#This Row],[ID_Client]],Clients_Log!B:B,Clients_Log!H:H,"Pas de correspondance")</f>
        <v>Pas de correspondance</v>
      </c>
      <c r="U401" s="1" t="str">
        <f>_xlfn.XLOOKUP(Logs[[#This Row],[ID_Client]],Clients_Log!B:B,Clients_Log!I:I,"Pas de correspondance")</f>
        <v>Pas de correspondance</v>
      </c>
      <c r="V40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01" s="1" t="e">
        <f>Logs[[#This Row],[Facture_Mensuelle]]*Logs[[#This Row],[Remise (%)]]</f>
        <v>#VALUE!</v>
      </c>
    </row>
    <row r="402" spans="1:23" hidden="1" x14ac:dyDescent="0.25">
      <c r="A402" s="1" t="s">
        <v>1133</v>
      </c>
      <c r="B402" s="2">
        <v>45221</v>
      </c>
      <c r="C402" s="1" t="str">
        <f>_xlfn.XLOOKUP(Logs[[#This Row],[Province_RDC]],Clients_Log!D:D,Clients_Log!B:B,"Pas de correspondance")</f>
        <v>Pas de correspondance</v>
      </c>
      <c r="D402" t="str">
        <f>_xlfn.XLOOKUP(Logs[[#This Row],[Cell_ID]],'Registre_Maintenance'!B:B,'Registre_Maintenance'!C:C,"Pas de correspondance")</f>
        <v>Pas de correspondance</v>
      </c>
      <c r="E402" s="3">
        <v>0.10625</v>
      </c>
      <c r="F402" s="1" t="s">
        <v>826</v>
      </c>
      <c r="G402" s="3">
        <f>Logs[[#This Row],[Duree_Panne_Min]]/1440</f>
        <v>3.6111111111111108E-2</v>
      </c>
      <c r="H402">
        <v>52</v>
      </c>
      <c r="I402" t="str">
        <f>_xlfn.XLOOKUP(Logs[[#This Row],[Cell_ID]],'Registre_Maintenance'!B:B,'Registre_Maintenance'!D:D,"Pas de correspondance")</f>
        <v>Pas de correspondance</v>
      </c>
      <c r="J402" t="str">
        <f>_xlfn.XLOOKUP(Logs[[#This Row],[Cell_ID]],'Registre_Maintenance'!B:B,'Registre_Maintenance'!E:E,"Pas de correspondance")</f>
        <v>Pas de correspondance</v>
      </c>
      <c r="K402" t="str">
        <f>_xlfn.XLOOKUP(Logs[[#This Row],[Cell_ID]],'Registre_Maintenance'!B:B,'Registre_Maintenance'!F:F,"Pas de correspondance")</f>
        <v>Pas de correspondance</v>
      </c>
      <c r="L402" t="str">
        <f>_xlfn.XLOOKUP(Logs[[#This Row],[Cell_ID]],'Registre_Maintenance'!B:B,'Registre_Maintenance'!G:G,"Pas de correspondance")</f>
        <v>Pas de correspondance</v>
      </c>
      <c r="M402" s="1" t="s">
        <v>811</v>
      </c>
      <c r="N402" s="1" t="str">
        <f>_xlfn.XLOOKUP(Logs[[#This Row],[ID_Client]],Clients_Log!B:B,Clients_Log!E:E,"Pas de correspondance")</f>
        <v>Pas de correspondance</v>
      </c>
      <c r="O402" s="4" t="str">
        <f>IFERROR(Logs[[#This Row],[Anciennete_Mois]]/12,"")</f>
        <v/>
      </c>
      <c r="P402" s="1" t="str">
        <f>_xlfn.XLOOKUP(Logs[[#This Row],[ID_Client]],Clients_Log!B:B,Clients_Log!F:F,"Pas de correspondance")</f>
        <v>Pas de correspondance</v>
      </c>
      <c r="Q402" s="1" t="str">
        <f>IF(Logs[[#This Row],[Type_Forfait]]="Pro Monde","B2B","B2C")</f>
        <v>B2C</v>
      </c>
      <c r="R402" s="1" t="str">
        <f>_xlfn.XLOOKUP(Logs[[#This Row],[ID_Client]],Clients_Log!B:B,Clients_Log!G:G,"Pas de correspondance")</f>
        <v>Pas de correspondance</v>
      </c>
      <c r="S402" s="1" t="e">
        <f>Logs[[#This Row],[Duree_Cumulee_Panne_Min]]/1440</f>
        <v>#VALUE!</v>
      </c>
      <c r="T402" s="1" t="str">
        <f>_xlfn.XLOOKUP(Logs[[#This Row],[ID_Client]],Clients_Log!B:B,Clients_Log!H:H,"Pas de correspondance")</f>
        <v>Pas de correspondance</v>
      </c>
      <c r="U402" s="1" t="str">
        <f>_xlfn.XLOOKUP(Logs[[#This Row],[ID_Client]],Clients_Log!B:B,Clients_Log!I:I,"Pas de correspondance")</f>
        <v>Pas de correspondance</v>
      </c>
      <c r="V40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02" s="1" t="e">
        <f>Logs[[#This Row],[Facture_Mensuelle]]*Logs[[#This Row],[Remise (%)]]</f>
        <v>#VALUE!</v>
      </c>
    </row>
    <row r="403" spans="1:23" x14ac:dyDescent="0.25">
      <c r="A403" s="1" t="s">
        <v>1133</v>
      </c>
      <c r="B403" s="2">
        <v>45211</v>
      </c>
      <c r="C403" s="1" t="str">
        <f>_xlfn.XLOOKUP(Logs[[#This Row],[Province_RDC]],Clients_Log!D:D,Clients_Log!B:B,"Pas de correspondance")</f>
        <v>CLI-00559</v>
      </c>
      <c r="D403" t="str">
        <f>_xlfn.XLOOKUP(Logs[[#This Row],[Cell_ID]],'Registre_Maintenance'!B:B,'Registre_Maintenance'!C:C,"Pas de correspondance")</f>
        <v>Kasaï</v>
      </c>
      <c r="E403" s="3">
        <v>0.10625</v>
      </c>
      <c r="F403" s="1" t="s">
        <v>1142</v>
      </c>
      <c r="G403" s="3">
        <f>Logs[[#This Row],[Duree_Panne_Min]]/1440</f>
        <v>7.4305555555555555E-2</v>
      </c>
      <c r="H403">
        <v>107</v>
      </c>
      <c r="I403">
        <f>_xlfn.XLOOKUP(Logs[[#This Row],[Cell_ID]],'Registre_Maintenance'!B:B,'Registre_Maintenance'!D:D,"Pas de correspondance")</f>
        <v>-5.125</v>
      </c>
      <c r="J403">
        <f>_xlfn.XLOOKUP(Logs[[#This Row],[Cell_ID]],'Registre_Maintenance'!B:B,'Registre_Maintenance'!E:E,"Pas de correspondance")</f>
        <v>23.513119</v>
      </c>
      <c r="K403" t="str">
        <f>_xlfn.XLOOKUP(Logs[[#This Row],[Cell_ID]],'Registre_Maintenance'!B:B,'Registre_Maintenance'!F:F,"Pas de correspondance")</f>
        <v>5G</v>
      </c>
      <c r="L403" t="str">
        <f>_xlfn.XLOOKUP(Logs[[#This Row],[Cell_ID]],'Registre_Maintenance'!B:B,'Registre_Maintenance'!G:G,"Pas de correspondance")</f>
        <v>Huawei</v>
      </c>
      <c r="M403" s="1" t="s">
        <v>806</v>
      </c>
      <c r="N403" s="1">
        <f>_xlfn.XLOOKUP(Logs[[#This Row],[ID_Client]],Clients_Log!B:B,Clients_Log!E:E,"Pas de correspondance")</f>
        <v>99</v>
      </c>
      <c r="O403" s="4">
        <f>IFERROR(Logs[[#This Row],[Anciennete_Mois]]/12,"")</f>
        <v>8.25</v>
      </c>
      <c r="P403" s="1" t="str">
        <f>_xlfn.XLOOKUP(Logs[[#This Row],[ID_Client]],Clients_Log!B:B,Clients_Log!F:F,"Pas de correspondance")</f>
        <v>Bloqué 5Go</v>
      </c>
      <c r="Q403" s="1" t="str">
        <f>IF(Logs[[#This Row],[Type_Forfait]]="Pro Monde","B2B","B2C")</f>
        <v>B2C</v>
      </c>
      <c r="R403" s="1">
        <f>_xlfn.XLOOKUP(Logs[[#This Row],[ID_Client]],Clients_Log!B:B,Clients_Log!G:G,"Pas de correspondance")</f>
        <v>369</v>
      </c>
      <c r="S403" s="3">
        <f>Logs[[#This Row],[Duree_Cumulee_Panne_Min]]/1440</f>
        <v>0.25624999999999998</v>
      </c>
      <c r="T403" s="1">
        <f>_xlfn.XLOOKUP(Logs[[#This Row],[ID_Client]],Clients_Log!B:B,Clients_Log!H:H,"Pas de correspondance")</f>
        <v>67.209999999999994</v>
      </c>
      <c r="U403" s="1">
        <f>_xlfn.XLOOKUP(Logs[[#This Row],[ID_Client]],Clients_Log!B:B,Clients_Log!I:I,"Pas de correspondance")</f>
        <v>3</v>
      </c>
      <c r="V40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03" s="1">
        <f>Logs[[#This Row],[Facture_Mensuelle]]*Logs[[#This Row],[Remise (%)]]</f>
        <v>30.244499999999999</v>
      </c>
    </row>
    <row r="404" spans="1:23" hidden="1" x14ac:dyDescent="0.25">
      <c r="A404" s="1" t="s">
        <v>1133</v>
      </c>
      <c r="B404" s="2">
        <v>45217</v>
      </c>
      <c r="C404" s="1" t="str">
        <f>_xlfn.XLOOKUP(Logs[[#This Row],[Province_RDC]],Clients_Log!D:D,Clients_Log!B:B,"Pas de correspondance")</f>
        <v>Pas de correspondance</v>
      </c>
      <c r="D404" t="str">
        <f>_xlfn.XLOOKUP(Logs[[#This Row],[Cell_ID]],'Registre_Maintenance'!B:B,'Registre_Maintenance'!C:C,"Pas de correspondance")</f>
        <v>Pas de correspondance</v>
      </c>
      <c r="E404" s="3">
        <v>0.70138888888888884</v>
      </c>
      <c r="F404" s="1" t="s">
        <v>944</v>
      </c>
      <c r="G404" s="3">
        <f>Logs[[#This Row],[Duree_Panne_Min]]/1440</f>
        <v>4.9305555555555554E-2</v>
      </c>
      <c r="H404">
        <v>71</v>
      </c>
      <c r="I404" t="str">
        <f>_xlfn.XLOOKUP(Logs[[#This Row],[Cell_ID]],'Registre_Maintenance'!B:B,'Registre_Maintenance'!D:D,"Pas de correspondance")</f>
        <v>Pas de correspondance</v>
      </c>
      <c r="J404" t="str">
        <f>_xlfn.XLOOKUP(Logs[[#This Row],[Cell_ID]],'Registre_Maintenance'!B:B,'Registre_Maintenance'!E:E,"Pas de correspondance")</f>
        <v>Pas de correspondance</v>
      </c>
      <c r="K404" t="str">
        <f>_xlfn.XLOOKUP(Logs[[#This Row],[Cell_ID]],'Registre_Maintenance'!B:B,'Registre_Maintenance'!F:F,"Pas de correspondance")</f>
        <v>Pas de correspondance</v>
      </c>
      <c r="L404" t="str">
        <f>_xlfn.XLOOKUP(Logs[[#This Row],[Cell_ID]],'Registre_Maintenance'!B:B,'Registre_Maintenance'!G:G,"Pas de correspondance")</f>
        <v>Pas de correspondance</v>
      </c>
      <c r="M404" s="1" t="s">
        <v>809</v>
      </c>
      <c r="N404" s="1" t="str">
        <f>_xlfn.XLOOKUP(Logs[[#This Row],[ID_Client]],Clients_Log!B:B,Clients_Log!E:E,"Pas de correspondance")</f>
        <v>Pas de correspondance</v>
      </c>
      <c r="O404" s="4" t="str">
        <f>IFERROR(Logs[[#This Row],[Anciennete_Mois]]/12,"")</f>
        <v/>
      </c>
      <c r="P404" s="1" t="str">
        <f>_xlfn.XLOOKUP(Logs[[#This Row],[ID_Client]],Clients_Log!B:B,Clients_Log!F:F,"Pas de correspondance")</f>
        <v>Pas de correspondance</v>
      </c>
      <c r="Q404" s="1" t="str">
        <f>IF(Logs[[#This Row],[Type_Forfait]]="Pro Monde","B2B","B2C")</f>
        <v>B2C</v>
      </c>
      <c r="R404" s="1" t="str">
        <f>_xlfn.XLOOKUP(Logs[[#This Row],[ID_Client]],Clients_Log!B:B,Clients_Log!G:G,"Pas de correspondance")</f>
        <v>Pas de correspondance</v>
      </c>
      <c r="S404" s="1" t="e">
        <f>Logs[[#This Row],[Duree_Cumulee_Panne_Min]]/1440</f>
        <v>#VALUE!</v>
      </c>
      <c r="T404" s="1" t="str">
        <f>_xlfn.XLOOKUP(Logs[[#This Row],[ID_Client]],Clients_Log!B:B,Clients_Log!H:H,"Pas de correspondance")</f>
        <v>Pas de correspondance</v>
      </c>
      <c r="U404" s="1" t="str">
        <f>_xlfn.XLOOKUP(Logs[[#This Row],[ID_Client]],Clients_Log!B:B,Clients_Log!I:I,"Pas de correspondance")</f>
        <v>Pas de correspondance</v>
      </c>
      <c r="V40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04" s="1" t="e">
        <f>Logs[[#This Row],[Facture_Mensuelle]]*Logs[[#This Row],[Remise (%)]]</f>
        <v>#VALUE!</v>
      </c>
    </row>
    <row r="405" spans="1:23" x14ac:dyDescent="0.25">
      <c r="A405" s="1" t="s">
        <v>1133</v>
      </c>
      <c r="B405" s="2">
        <v>45216</v>
      </c>
      <c r="C405" s="1" t="str">
        <f>_xlfn.XLOOKUP(Logs[[#This Row],[Province_RDC]],Clients_Log!D:D,Clients_Log!B:B,"Pas de correspondance")</f>
        <v>CLI-01147</v>
      </c>
      <c r="D405" t="str">
        <f>_xlfn.XLOOKUP(Logs[[#This Row],[Cell_ID]],'Registre_Maintenance'!B:B,'Registre_Maintenance'!C:C,"Pas de correspondance")</f>
        <v>Ituri</v>
      </c>
      <c r="E405" s="3">
        <v>0.70902777777777781</v>
      </c>
      <c r="F405" s="1" t="s">
        <v>1143</v>
      </c>
      <c r="G405" s="3">
        <f>Logs[[#This Row],[Duree_Panne_Min]]/1440</f>
        <v>2.7083333333333334E-2</v>
      </c>
      <c r="H405">
        <v>39</v>
      </c>
      <c r="I405">
        <f>_xlfn.XLOOKUP(Logs[[#This Row],[Cell_ID]],'Registre_Maintenance'!B:B,'Registre_Maintenance'!D:D,"Pas de correspondance")</f>
        <v>-0.34051900000000002</v>
      </c>
      <c r="J405">
        <f>_xlfn.XLOOKUP(Logs[[#This Row],[Cell_ID]],'Registre_Maintenance'!B:B,'Registre_Maintenance'!E:E,"Pas de correspondance")</f>
        <v>17.079799000000001</v>
      </c>
      <c r="K405" t="str">
        <f>_xlfn.XLOOKUP(Logs[[#This Row],[Cell_ID]],'Registre_Maintenance'!B:B,'Registre_Maintenance'!F:F,"Pas de correspondance")</f>
        <v>5G</v>
      </c>
      <c r="L405" t="str">
        <f>_xlfn.XLOOKUP(Logs[[#This Row],[Cell_ID]],'Registre_Maintenance'!B:B,'Registre_Maintenance'!G:G,"Pas de correspondance")</f>
        <v>Ericsson</v>
      </c>
      <c r="M405" s="1" t="s">
        <v>806</v>
      </c>
      <c r="N405" s="1">
        <f>_xlfn.XLOOKUP(Logs[[#This Row],[ID_Client]],Clients_Log!B:B,Clients_Log!E:E,"Pas de correspondance")</f>
        <v>29</v>
      </c>
      <c r="O405" s="4">
        <f>IFERROR(Logs[[#This Row],[Anciennete_Mois]]/12,"")</f>
        <v>2.4166666666666665</v>
      </c>
      <c r="P405" s="1" t="str">
        <f>_xlfn.XLOOKUP(Logs[[#This Row],[ID_Client]],Clients_Log!B:B,Clients_Log!F:F,"Pas de correspondance")</f>
        <v>Premium 5G 150Go</v>
      </c>
      <c r="Q405" s="1" t="str">
        <f>IF(Logs[[#This Row],[Type_Forfait]]="Pro Monde","B2B","B2C")</f>
        <v>B2C</v>
      </c>
      <c r="R405" s="1">
        <f>_xlfn.XLOOKUP(Logs[[#This Row],[ID_Client]],Clients_Log!B:B,Clients_Log!G:G,"Pas de correspondance")</f>
        <v>214</v>
      </c>
      <c r="S405" s="3">
        <f>Logs[[#This Row],[Duree_Cumulee_Panne_Min]]/1440</f>
        <v>0.14861111111111111</v>
      </c>
      <c r="T405" s="1">
        <f>_xlfn.XLOOKUP(Logs[[#This Row],[ID_Client]],Clients_Log!B:B,Clients_Log!H:H,"Pas de correspondance")</f>
        <v>74.7</v>
      </c>
      <c r="U405" s="1">
        <f>_xlfn.XLOOKUP(Logs[[#This Row],[ID_Client]],Clients_Log!B:B,Clients_Log!I:I,"Pas de correspondance")</f>
        <v>3</v>
      </c>
      <c r="V40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05" s="1">
        <f>Logs[[#This Row],[Facture_Mensuelle]]*Logs[[#This Row],[Remise (%)]]</f>
        <v>33.615000000000002</v>
      </c>
    </row>
    <row r="406" spans="1:23" hidden="1" x14ac:dyDescent="0.25">
      <c r="A406" s="1" t="s">
        <v>1133</v>
      </c>
      <c r="B406" s="2">
        <v>45212</v>
      </c>
      <c r="C406" s="1" t="str">
        <f>_xlfn.XLOOKUP(Logs[[#This Row],[Province_RDC]],Clients_Log!D:D,Clients_Log!B:B,"Pas de correspondance")</f>
        <v>Pas de correspondance</v>
      </c>
      <c r="D406" t="str">
        <f>_xlfn.XLOOKUP(Logs[[#This Row],[Cell_ID]],'Registre_Maintenance'!B:B,'Registre_Maintenance'!C:C,"Pas de correspondance")</f>
        <v>Pas de correspondance</v>
      </c>
      <c r="E406" s="3">
        <v>0.62638888888888888</v>
      </c>
      <c r="F406" s="1" t="s">
        <v>1144</v>
      </c>
      <c r="G406" s="3">
        <f>Logs[[#This Row],[Duree_Panne_Min]]/1440</f>
        <v>7.4305555555555555E-2</v>
      </c>
      <c r="H406">
        <v>107</v>
      </c>
      <c r="I406" t="str">
        <f>_xlfn.XLOOKUP(Logs[[#This Row],[Cell_ID]],'Registre_Maintenance'!B:B,'Registre_Maintenance'!D:D,"Pas de correspondance")</f>
        <v>Pas de correspondance</v>
      </c>
      <c r="J406" t="str">
        <f>_xlfn.XLOOKUP(Logs[[#This Row],[Cell_ID]],'Registre_Maintenance'!B:B,'Registre_Maintenance'!E:E,"Pas de correspondance")</f>
        <v>Pas de correspondance</v>
      </c>
      <c r="K406" t="str">
        <f>_xlfn.XLOOKUP(Logs[[#This Row],[Cell_ID]],'Registre_Maintenance'!B:B,'Registre_Maintenance'!F:F,"Pas de correspondance")</f>
        <v>Pas de correspondance</v>
      </c>
      <c r="L406" t="str">
        <f>_xlfn.XLOOKUP(Logs[[#This Row],[Cell_ID]],'Registre_Maintenance'!B:B,'Registre_Maintenance'!G:G,"Pas de correspondance")</f>
        <v>Pas de correspondance</v>
      </c>
      <c r="M406" s="1" t="s">
        <v>809</v>
      </c>
      <c r="N406" s="1" t="str">
        <f>_xlfn.XLOOKUP(Logs[[#This Row],[ID_Client]],Clients_Log!B:B,Clients_Log!E:E,"Pas de correspondance")</f>
        <v>Pas de correspondance</v>
      </c>
      <c r="O406" s="4" t="str">
        <f>IFERROR(Logs[[#This Row],[Anciennete_Mois]]/12,"")</f>
        <v/>
      </c>
      <c r="P406" s="1" t="str">
        <f>_xlfn.XLOOKUP(Logs[[#This Row],[ID_Client]],Clients_Log!B:B,Clients_Log!F:F,"Pas de correspondance")</f>
        <v>Pas de correspondance</v>
      </c>
      <c r="Q406" s="1" t="str">
        <f>IF(Logs[[#This Row],[Type_Forfait]]="Pro Monde","B2B","B2C")</f>
        <v>B2C</v>
      </c>
      <c r="R406" s="1" t="str">
        <f>_xlfn.XLOOKUP(Logs[[#This Row],[ID_Client]],Clients_Log!B:B,Clients_Log!G:G,"Pas de correspondance")</f>
        <v>Pas de correspondance</v>
      </c>
      <c r="S406" s="1" t="e">
        <f>Logs[[#This Row],[Duree_Cumulee_Panne_Min]]/1440</f>
        <v>#VALUE!</v>
      </c>
      <c r="T406" s="1" t="str">
        <f>_xlfn.XLOOKUP(Logs[[#This Row],[ID_Client]],Clients_Log!B:B,Clients_Log!H:H,"Pas de correspondance")</f>
        <v>Pas de correspondance</v>
      </c>
      <c r="U406" s="1" t="str">
        <f>_xlfn.XLOOKUP(Logs[[#This Row],[ID_Client]],Clients_Log!B:B,Clients_Log!I:I,"Pas de correspondance")</f>
        <v>Pas de correspondance</v>
      </c>
      <c r="V40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06" s="1" t="e">
        <f>Logs[[#This Row],[Facture_Mensuelle]]*Logs[[#This Row],[Remise (%)]]</f>
        <v>#VALUE!</v>
      </c>
    </row>
    <row r="407" spans="1:23" hidden="1" x14ac:dyDescent="0.25">
      <c r="A407" s="1" t="s">
        <v>1133</v>
      </c>
      <c r="B407" s="2">
        <v>45220</v>
      </c>
      <c r="C407" s="1" t="str">
        <f>_xlfn.XLOOKUP(Logs[[#This Row],[Province_RDC]],Clients_Log!D:D,Clients_Log!B:B,"Pas de correspondance")</f>
        <v>Pas de correspondance</v>
      </c>
      <c r="D407" t="str">
        <f>_xlfn.XLOOKUP(Logs[[#This Row],[Cell_ID]],'Registre_Maintenance'!B:B,'Registre_Maintenance'!C:C,"Pas de correspondance")</f>
        <v>Pas de correspondance</v>
      </c>
      <c r="E407" s="3">
        <v>0.51597222222222228</v>
      </c>
      <c r="F407" s="1" t="s">
        <v>1145</v>
      </c>
      <c r="G407" s="3">
        <f>Logs[[#This Row],[Duree_Panne_Min]]/1440</f>
        <v>1.0416666666666666E-2</v>
      </c>
      <c r="H407">
        <v>15</v>
      </c>
      <c r="I407" t="str">
        <f>_xlfn.XLOOKUP(Logs[[#This Row],[Cell_ID]],'Registre_Maintenance'!B:B,'Registre_Maintenance'!D:D,"Pas de correspondance")</f>
        <v>Pas de correspondance</v>
      </c>
      <c r="J407" t="str">
        <f>_xlfn.XLOOKUP(Logs[[#This Row],[Cell_ID]],'Registre_Maintenance'!B:B,'Registre_Maintenance'!E:E,"Pas de correspondance")</f>
        <v>Pas de correspondance</v>
      </c>
      <c r="K407" t="str">
        <f>_xlfn.XLOOKUP(Logs[[#This Row],[Cell_ID]],'Registre_Maintenance'!B:B,'Registre_Maintenance'!F:F,"Pas de correspondance")</f>
        <v>Pas de correspondance</v>
      </c>
      <c r="L407" t="str">
        <f>_xlfn.XLOOKUP(Logs[[#This Row],[Cell_ID]],'Registre_Maintenance'!B:B,'Registre_Maintenance'!G:G,"Pas de correspondance")</f>
        <v>Pas de correspondance</v>
      </c>
      <c r="M407" s="1" t="s">
        <v>811</v>
      </c>
      <c r="N407" s="1" t="str">
        <f>_xlfn.XLOOKUP(Logs[[#This Row],[ID_Client]],Clients_Log!B:B,Clients_Log!E:E,"Pas de correspondance")</f>
        <v>Pas de correspondance</v>
      </c>
      <c r="O407" s="4" t="str">
        <f>IFERROR(Logs[[#This Row],[Anciennete_Mois]]/12,"")</f>
        <v/>
      </c>
      <c r="P407" s="1" t="str">
        <f>_xlfn.XLOOKUP(Logs[[#This Row],[ID_Client]],Clients_Log!B:B,Clients_Log!F:F,"Pas de correspondance")</f>
        <v>Pas de correspondance</v>
      </c>
      <c r="Q407" s="1" t="str">
        <f>IF(Logs[[#This Row],[Type_Forfait]]="Pro Monde","B2B","B2C")</f>
        <v>B2C</v>
      </c>
      <c r="R407" s="1" t="str">
        <f>_xlfn.XLOOKUP(Logs[[#This Row],[ID_Client]],Clients_Log!B:B,Clients_Log!G:G,"Pas de correspondance")</f>
        <v>Pas de correspondance</v>
      </c>
      <c r="S407" s="1" t="e">
        <f>Logs[[#This Row],[Duree_Cumulee_Panne_Min]]/1440</f>
        <v>#VALUE!</v>
      </c>
      <c r="T407" s="1" t="str">
        <f>_xlfn.XLOOKUP(Logs[[#This Row],[ID_Client]],Clients_Log!B:B,Clients_Log!H:H,"Pas de correspondance")</f>
        <v>Pas de correspondance</v>
      </c>
      <c r="U407" s="1" t="str">
        <f>_xlfn.XLOOKUP(Logs[[#This Row],[ID_Client]],Clients_Log!B:B,Clients_Log!I:I,"Pas de correspondance")</f>
        <v>Pas de correspondance</v>
      </c>
      <c r="V40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07" s="1" t="e">
        <f>Logs[[#This Row],[Facture_Mensuelle]]*Logs[[#This Row],[Remise (%)]]</f>
        <v>#VALUE!</v>
      </c>
    </row>
    <row r="408" spans="1:23" x14ac:dyDescent="0.25">
      <c r="A408" s="1" t="s">
        <v>1133</v>
      </c>
      <c r="B408" s="2">
        <v>45208</v>
      </c>
      <c r="C408" s="1" t="str">
        <f>_xlfn.XLOOKUP(Logs[[#This Row],[Province_RDC]],Clients_Log!D:D,Clients_Log!B:B,"Pas de correspondance")</f>
        <v>CLI-00837</v>
      </c>
      <c r="D408" t="str">
        <f>_xlfn.XLOOKUP(Logs[[#This Row],[Cell_ID]],'Registre_Maintenance'!B:B,'Registre_Maintenance'!C:C,"Pas de correspondance")</f>
        <v>Nord-Kivu</v>
      </c>
      <c r="E408" s="3">
        <v>0.95902777777777781</v>
      </c>
      <c r="F408" s="1" t="s">
        <v>871</v>
      </c>
      <c r="G408" s="3">
        <f>Logs[[#This Row],[Duree_Panne_Min]]/1440</f>
        <v>6.805555555555555E-2</v>
      </c>
      <c r="H408">
        <v>98</v>
      </c>
      <c r="I408">
        <f>_xlfn.XLOOKUP(Logs[[#This Row],[Cell_ID]],'Registre_Maintenance'!B:B,'Registre_Maintenance'!D:D,"Pas de correspondance")</f>
        <v>0.82868600000000003</v>
      </c>
      <c r="J408">
        <f>_xlfn.XLOOKUP(Logs[[#This Row],[Cell_ID]],'Registre_Maintenance'!B:B,'Registre_Maintenance'!E:E,"Pas de correspondance")</f>
        <v>26.958843999999999</v>
      </c>
      <c r="K408" t="str">
        <f>_xlfn.XLOOKUP(Logs[[#This Row],[Cell_ID]],'Registre_Maintenance'!B:B,'Registre_Maintenance'!F:F,"Pas de correspondance")</f>
        <v>5G</v>
      </c>
      <c r="L408" t="str">
        <f>_xlfn.XLOOKUP(Logs[[#This Row],[Cell_ID]],'Registre_Maintenance'!B:B,'Registre_Maintenance'!G:G,"Pas de correspondance")</f>
        <v>ZTE</v>
      </c>
      <c r="M408" s="1" t="s">
        <v>811</v>
      </c>
      <c r="N408" s="1">
        <f>_xlfn.XLOOKUP(Logs[[#This Row],[ID_Client]],Clients_Log!B:B,Clients_Log!E:E,"Pas de correspondance")</f>
        <v>16</v>
      </c>
      <c r="O408" s="4">
        <f>IFERROR(Logs[[#This Row],[Anciennete_Mois]]/12,"")</f>
        <v>1.3333333333333333</v>
      </c>
      <c r="P408" s="1" t="str">
        <f>_xlfn.XLOOKUP(Logs[[#This Row],[ID_Client]],Clients_Log!B:B,Clients_Log!F:F,"Pas de correspondance")</f>
        <v>Bloqué 5Go</v>
      </c>
      <c r="Q408" s="1" t="str">
        <f>IF(Logs[[#This Row],[Type_Forfait]]="Pro Monde","B2B","B2C")</f>
        <v>B2C</v>
      </c>
      <c r="R408" s="1">
        <f>_xlfn.XLOOKUP(Logs[[#This Row],[ID_Client]],Clients_Log!B:B,Clients_Log!G:G,"Pas de correspondance")</f>
        <v>390</v>
      </c>
      <c r="S408" s="3">
        <f>Logs[[#This Row],[Duree_Cumulee_Panne_Min]]/1440</f>
        <v>0.27083333333333331</v>
      </c>
      <c r="T408" s="1">
        <f>_xlfn.XLOOKUP(Logs[[#This Row],[ID_Client]],Clients_Log!B:B,Clients_Log!H:H,"Pas de correspondance")</f>
        <v>98.17</v>
      </c>
      <c r="U408" s="1">
        <f>_xlfn.XLOOKUP(Logs[[#This Row],[ID_Client]],Clients_Log!B:B,Clients_Log!I:I,"Pas de correspondance")</f>
        <v>5</v>
      </c>
      <c r="V40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08" s="1">
        <f>Logs[[#This Row],[Facture_Mensuelle]]*Logs[[#This Row],[Remise (%)]]</f>
        <v>44.176500000000004</v>
      </c>
    </row>
    <row r="409" spans="1:23" x14ac:dyDescent="0.25">
      <c r="A409" s="1" t="s">
        <v>1133</v>
      </c>
      <c r="B409" s="2">
        <v>45211</v>
      </c>
      <c r="C409" s="1" t="str">
        <f>_xlfn.XLOOKUP(Logs[[#This Row],[Province_RDC]],Clients_Log!D:D,Clients_Log!B:B,"Pas de correspondance")</f>
        <v>CLI-00280</v>
      </c>
      <c r="D409" t="str">
        <f>_xlfn.XLOOKUP(Logs[[#This Row],[Cell_ID]],'Registre_Maintenance'!B:B,'Registre_Maintenance'!C:C,"Pas de correspondance")</f>
        <v>Sud-Ubangi</v>
      </c>
      <c r="E409" s="3">
        <v>9.8611111111111108E-2</v>
      </c>
      <c r="F409" s="1" t="s">
        <v>1146</v>
      </c>
      <c r="G409" s="3">
        <f>Logs[[#This Row],[Duree_Panne_Min]]/1440</f>
        <v>4.0972222222222222E-2</v>
      </c>
      <c r="H409">
        <v>59</v>
      </c>
      <c r="I409">
        <f>_xlfn.XLOOKUP(Logs[[#This Row],[Cell_ID]],'Registre_Maintenance'!B:B,'Registre_Maintenance'!D:D,"Pas de correspondance")</f>
        <v>-11.387295999999999</v>
      </c>
      <c r="J409">
        <f>_xlfn.XLOOKUP(Logs[[#This Row],[Cell_ID]],'Registre_Maintenance'!B:B,'Registre_Maintenance'!E:E,"Pas de correspondance")</f>
        <v>19.384257999999999</v>
      </c>
      <c r="K409" t="str">
        <f>_xlfn.XLOOKUP(Logs[[#This Row],[Cell_ID]],'Registre_Maintenance'!B:B,'Registre_Maintenance'!F:F,"Pas de correspondance")</f>
        <v>3G</v>
      </c>
      <c r="L409" t="str">
        <f>_xlfn.XLOOKUP(Logs[[#This Row],[Cell_ID]],'Registre_Maintenance'!B:B,'Registre_Maintenance'!G:G,"Pas de correspondance")</f>
        <v>Huawei</v>
      </c>
      <c r="M409" s="1" t="s">
        <v>811</v>
      </c>
      <c r="N409" s="1">
        <f>_xlfn.XLOOKUP(Logs[[#This Row],[ID_Client]],Clients_Log!B:B,Clients_Log!E:E,"Pas de correspondance")</f>
        <v>113</v>
      </c>
      <c r="O409" s="4">
        <f>IFERROR(Logs[[#This Row],[Anciennete_Mois]]/12,"")</f>
        <v>9.4166666666666661</v>
      </c>
      <c r="P409" s="1" t="str">
        <f>_xlfn.XLOOKUP(Logs[[#This Row],[ID_Client]],Clients_Log!B:B,Clients_Log!F:F,"Pas de correspondance")</f>
        <v>Illimité 50Go</v>
      </c>
      <c r="Q409" s="1" t="str">
        <f>IF(Logs[[#This Row],[Type_Forfait]]="Pro Monde","B2B","B2C")</f>
        <v>B2C</v>
      </c>
      <c r="R409" s="1">
        <f>_xlfn.XLOOKUP(Logs[[#This Row],[ID_Client]],Clients_Log!B:B,Clients_Log!G:G,"Pas de correspondance")</f>
        <v>380</v>
      </c>
      <c r="S409" s="3">
        <f>Logs[[#This Row],[Duree_Cumulee_Panne_Min]]/1440</f>
        <v>0.2638888888888889</v>
      </c>
      <c r="T409" s="1">
        <f>_xlfn.XLOOKUP(Logs[[#This Row],[ID_Client]],Clients_Log!B:B,Clients_Log!H:H,"Pas de correspondance")</f>
        <v>12.11</v>
      </c>
      <c r="U409" s="1">
        <f>_xlfn.XLOOKUP(Logs[[#This Row],[ID_Client]],Clients_Log!B:B,Clients_Log!I:I,"Pas de correspondance")</f>
        <v>0</v>
      </c>
      <c r="V40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09" s="1">
        <f>Logs[[#This Row],[Facture_Mensuelle]]*Logs[[#This Row],[Remise (%)]]</f>
        <v>5.4494999999999996</v>
      </c>
    </row>
    <row r="410" spans="1:23" x14ac:dyDescent="0.25">
      <c r="A410" s="1" t="s">
        <v>1133</v>
      </c>
      <c r="B410" s="2">
        <v>45207</v>
      </c>
      <c r="C410" s="1" t="str">
        <f>_xlfn.XLOOKUP(Logs[[#This Row],[Province_RDC]],Clients_Log!D:D,Clients_Log!B:B,"Pas de correspondance")</f>
        <v>CLI-00569</v>
      </c>
      <c r="D410" t="str">
        <f>_xlfn.XLOOKUP(Logs[[#This Row],[Cell_ID]],'Registre_Maintenance'!B:B,'Registre_Maintenance'!C:C,"Pas de correspondance")</f>
        <v>Kwango</v>
      </c>
      <c r="E410" s="3">
        <v>0.98750000000000004</v>
      </c>
      <c r="F410" s="1" t="s">
        <v>1147</v>
      </c>
      <c r="G410" s="3">
        <f>Logs[[#This Row],[Duree_Panne_Min]]/1440</f>
        <v>1.0416666666666666E-2</v>
      </c>
      <c r="H410">
        <v>15</v>
      </c>
      <c r="I410">
        <f>_xlfn.XLOOKUP(Logs[[#This Row],[Cell_ID]],'Registre_Maintenance'!B:B,'Registre_Maintenance'!D:D,"Pas de correspondance")</f>
        <v>-9.0798120000000004</v>
      </c>
      <c r="J410">
        <f>_xlfn.XLOOKUP(Logs[[#This Row],[Cell_ID]],'Registre_Maintenance'!B:B,'Registre_Maintenance'!E:E,"Pas de correspondance")</f>
        <v>14.945484</v>
      </c>
      <c r="K410" t="str">
        <f>_xlfn.XLOOKUP(Logs[[#This Row],[Cell_ID]],'Registre_Maintenance'!B:B,'Registre_Maintenance'!F:F,"Pas de correspondance")</f>
        <v>5G</v>
      </c>
      <c r="L410" t="str">
        <f>_xlfn.XLOOKUP(Logs[[#This Row],[Cell_ID]],'Registre_Maintenance'!B:B,'Registre_Maintenance'!G:G,"Pas de correspondance")</f>
        <v>Ericsson</v>
      </c>
      <c r="M410" s="1" t="s">
        <v>809</v>
      </c>
      <c r="N410" s="1">
        <f>_xlfn.XLOOKUP(Logs[[#This Row],[ID_Client]],Clients_Log!B:B,Clients_Log!E:E,"Pas de correspondance")</f>
        <v>110</v>
      </c>
      <c r="O410" s="4">
        <f>IFERROR(Logs[[#This Row],[Anciennete_Mois]]/12,"")</f>
        <v>9.1666666666666661</v>
      </c>
      <c r="P410" s="1" t="str">
        <f>_xlfn.XLOOKUP(Logs[[#This Row],[ID_Client]],Clients_Log!B:B,Clients_Log!F:F,"Pas de correspondance")</f>
        <v>Pro Monde</v>
      </c>
      <c r="Q410" s="1" t="str">
        <f>IF(Logs[[#This Row],[Type_Forfait]]="Pro Monde","B2B","B2C")</f>
        <v>B2B</v>
      </c>
      <c r="R410" s="1">
        <f>_xlfn.XLOOKUP(Logs[[#This Row],[ID_Client]],Clients_Log!B:B,Clients_Log!G:G,"Pas de correspondance")</f>
        <v>423</v>
      </c>
      <c r="S410" s="3">
        <f>Logs[[#This Row],[Duree_Cumulee_Panne_Min]]/1440</f>
        <v>0.29375000000000001</v>
      </c>
      <c r="T410" s="1">
        <f>_xlfn.XLOOKUP(Logs[[#This Row],[ID_Client]],Clients_Log!B:B,Clients_Log!H:H,"Pas de correspondance")</f>
        <v>37.35</v>
      </c>
      <c r="U410" s="1">
        <f>_xlfn.XLOOKUP(Logs[[#This Row],[ID_Client]],Clients_Log!B:B,Clients_Log!I:I,"Pas de correspondance")</f>
        <v>4</v>
      </c>
      <c r="V41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10" s="1">
        <f>Logs[[#This Row],[Facture_Mensuelle]]*Logs[[#This Row],[Remise (%)]]</f>
        <v>16.807500000000001</v>
      </c>
    </row>
    <row r="411" spans="1:23" hidden="1" x14ac:dyDescent="0.25">
      <c r="A411" s="1" t="s">
        <v>1133</v>
      </c>
      <c r="B411" s="2">
        <v>45220</v>
      </c>
      <c r="C411" s="1" t="str">
        <f>_xlfn.XLOOKUP(Logs[[#This Row],[Province_RDC]],Clients_Log!D:D,Clients_Log!B:B,"Pas de correspondance")</f>
        <v>Pas de correspondance</v>
      </c>
      <c r="D411" t="str">
        <f>_xlfn.XLOOKUP(Logs[[#This Row],[Cell_ID]],'Registre_Maintenance'!B:B,'Registre_Maintenance'!C:C,"Pas de correspondance")</f>
        <v>Pas de correspondance</v>
      </c>
      <c r="E411" s="3">
        <v>0.15902777777777777</v>
      </c>
      <c r="F411" s="1" t="s">
        <v>1148</v>
      </c>
      <c r="G411" s="3">
        <f>Logs[[#This Row],[Duree_Panne_Min]]/1440</f>
        <v>4.1666666666666664E-2</v>
      </c>
      <c r="H411">
        <v>60</v>
      </c>
      <c r="I411" t="str">
        <f>_xlfn.XLOOKUP(Logs[[#This Row],[Cell_ID]],'Registre_Maintenance'!B:B,'Registre_Maintenance'!D:D,"Pas de correspondance")</f>
        <v>Pas de correspondance</v>
      </c>
      <c r="J411" t="str">
        <f>_xlfn.XLOOKUP(Logs[[#This Row],[Cell_ID]],'Registre_Maintenance'!B:B,'Registre_Maintenance'!E:E,"Pas de correspondance")</f>
        <v>Pas de correspondance</v>
      </c>
      <c r="K411" t="str">
        <f>_xlfn.XLOOKUP(Logs[[#This Row],[Cell_ID]],'Registre_Maintenance'!B:B,'Registre_Maintenance'!F:F,"Pas de correspondance")</f>
        <v>Pas de correspondance</v>
      </c>
      <c r="L411" t="str">
        <f>_xlfn.XLOOKUP(Logs[[#This Row],[Cell_ID]],'Registre_Maintenance'!B:B,'Registre_Maintenance'!G:G,"Pas de correspondance")</f>
        <v>Pas de correspondance</v>
      </c>
      <c r="M411" s="1" t="s">
        <v>811</v>
      </c>
      <c r="N411" s="1" t="str">
        <f>_xlfn.XLOOKUP(Logs[[#This Row],[ID_Client]],Clients_Log!B:B,Clients_Log!E:E,"Pas de correspondance")</f>
        <v>Pas de correspondance</v>
      </c>
      <c r="O411" s="4" t="str">
        <f>IFERROR(Logs[[#This Row],[Anciennete_Mois]]/12,"")</f>
        <v/>
      </c>
      <c r="P411" s="1" t="str">
        <f>_xlfn.XLOOKUP(Logs[[#This Row],[ID_Client]],Clients_Log!B:B,Clients_Log!F:F,"Pas de correspondance")</f>
        <v>Pas de correspondance</v>
      </c>
      <c r="Q411" s="1" t="str">
        <f>IF(Logs[[#This Row],[Type_Forfait]]="Pro Monde","B2B","B2C")</f>
        <v>B2C</v>
      </c>
      <c r="R411" s="1" t="str">
        <f>_xlfn.XLOOKUP(Logs[[#This Row],[ID_Client]],Clients_Log!B:B,Clients_Log!G:G,"Pas de correspondance")</f>
        <v>Pas de correspondance</v>
      </c>
      <c r="S411" s="1" t="e">
        <f>Logs[[#This Row],[Duree_Cumulee_Panne_Min]]/1440</f>
        <v>#VALUE!</v>
      </c>
      <c r="T411" s="1" t="str">
        <f>_xlfn.XLOOKUP(Logs[[#This Row],[ID_Client]],Clients_Log!B:B,Clients_Log!H:H,"Pas de correspondance")</f>
        <v>Pas de correspondance</v>
      </c>
      <c r="U411" s="1" t="str">
        <f>_xlfn.XLOOKUP(Logs[[#This Row],[ID_Client]],Clients_Log!B:B,Clients_Log!I:I,"Pas de correspondance")</f>
        <v>Pas de correspondance</v>
      </c>
      <c r="V41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11" s="1" t="e">
        <f>Logs[[#This Row],[Facture_Mensuelle]]*Logs[[#This Row],[Remise (%)]]</f>
        <v>#VALUE!</v>
      </c>
    </row>
    <row r="412" spans="1:23" x14ac:dyDescent="0.25">
      <c r="A412" s="1" t="s">
        <v>1133</v>
      </c>
      <c r="B412" s="2">
        <v>45218</v>
      </c>
      <c r="C412" s="1" t="str">
        <f>_xlfn.XLOOKUP(Logs[[#This Row],[Province_RDC]],Clients_Log!D:D,Clients_Log!B:B,"Pas de correspondance")</f>
        <v>CLI-01147</v>
      </c>
      <c r="D412" t="str">
        <f>_xlfn.XLOOKUP(Logs[[#This Row],[Cell_ID]],'Registre_Maintenance'!B:B,'Registre_Maintenance'!C:C,"Pas de correspondance")</f>
        <v>Ituri</v>
      </c>
      <c r="E412" s="3">
        <v>0.9916666666666667</v>
      </c>
      <c r="F412" s="1" t="s">
        <v>1079</v>
      </c>
      <c r="G412" s="3">
        <f>Logs[[#This Row],[Duree_Panne_Min]]/1440</f>
        <v>5.6944444444444443E-2</v>
      </c>
      <c r="H412">
        <v>82</v>
      </c>
      <c r="I412">
        <f>_xlfn.XLOOKUP(Logs[[#This Row],[Cell_ID]],'Registre_Maintenance'!B:B,'Registre_Maintenance'!D:D,"Pas de correspondance")</f>
        <v>-3.7720639999999999</v>
      </c>
      <c r="J412">
        <f>_xlfn.XLOOKUP(Logs[[#This Row],[Cell_ID]],'Registre_Maintenance'!B:B,'Registre_Maintenance'!E:E,"Pas de correspondance")</f>
        <v>16.006277999999998</v>
      </c>
      <c r="K412" t="str">
        <f>_xlfn.XLOOKUP(Logs[[#This Row],[Cell_ID]],'Registre_Maintenance'!B:B,'Registre_Maintenance'!F:F,"Pas de correspondance")</f>
        <v>5G</v>
      </c>
      <c r="L412" t="str">
        <f>_xlfn.XLOOKUP(Logs[[#This Row],[Cell_ID]],'Registre_Maintenance'!B:B,'Registre_Maintenance'!G:G,"Pas de correspondance")</f>
        <v>ZTE</v>
      </c>
      <c r="M412" s="1" t="s">
        <v>806</v>
      </c>
      <c r="N412" s="1">
        <f>_xlfn.XLOOKUP(Logs[[#This Row],[ID_Client]],Clients_Log!B:B,Clients_Log!E:E,"Pas de correspondance")</f>
        <v>29</v>
      </c>
      <c r="O412" s="4">
        <f>IFERROR(Logs[[#This Row],[Anciennete_Mois]]/12,"")</f>
        <v>2.4166666666666665</v>
      </c>
      <c r="P412" s="1" t="str">
        <f>_xlfn.XLOOKUP(Logs[[#This Row],[ID_Client]],Clients_Log!B:B,Clients_Log!F:F,"Pas de correspondance")</f>
        <v>Premium 5G 150Go</v>
      </c>
      <c r="Q412" s="1" t="str">
        <f>IF(Logs[[#This Row],[Type_Forfait]]="Pro Monde","B2B","B2C")</f>
        <v>B2C</v>
      </c>
      <c r="R412" s="1">
        <f>_xlfn.XLOOKUP(Logs[[#This Row],[ID_Client]],Clients_Log!B:B,Clients_Log!G:G,"Pas de correspondance")</f>
        <v>214</v>
      </c>
      <c r="S412" s="3">
        <f>Logs[[#This Row],[Duree_Cumulee_Panne_Min]]/1440</f>
        <v>0.14861111111111111</v>
      </c>
      <c r="T412" s="1">
        <f>_xlfn.XLOOKUP(Logs[[#This Row],[ID_Client]],Clients_Log!B:B,Clients_Log!H:H,"Pas de correspondance")</f>
        <v>74.7</v>
      </c>
      <c r="U412" s="1">
        <f>_xlfn.XLOOKUP(Logs[[#This Row],[ID_Client]],Clients_Log!B:B,Clients_Log!I:I,"Pas de correspondance")</f>
        <v>3</v>
      </c>
      <c r="V41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12" s="1">
        <f>Logs[[#This Row],[Facture_Mensuelle]]*Logs[[#This Row],[Remise (%)]]</f>
        <v>33.615000000000002</v>
      </c>
    </row>
    <row r="413" spans="1:23" x14ac:dyDescent="0.25">
      <c r="A413" s="1" t="s">
        <v>1133</v>
      </c>
      <c r="B413" s="2">
        <v>45210</v>
      </c>
      <c r="C413" s="1" t="str">
        <f>_xlfn.XLOOKUP(Logs[[#This Row],[Province_RDC]],Clients_Log!D:D,Clients_Log!B:B,"Pas de correspondance")</f>
        <v>CLI-01618</v>
      </c>
      <c r="D413" t="str">
        <f>_xlfn.XLOOKUP(Logs[[#This Row],[Cell_ID]],'Registre_Maintenance'!B:B,'Registre_Maintenance'!C:C,"Pas de correspondance")</f>
        <v>Tanganyika</v>
      </c>
      <c r="E413" s="3">
        <v>0.16805555555555557</v>
      </c>
      <c r="F413" s="1" t="s">
        <v>1149</v>
      </c>
      <c r="G413" s="3">
        <f>Logs[[#This Row],[Duree_Panne_Min]]/1440</f>
        <v>7.6388888888888895E-2</v>
      </c>
      <c r="H413">
        <v>110</v>
      </c>
      <c r="I413">
        <f>_xlfn.XLOOKUP(Logs[[#This Row],[Cell_ID]],'Registre_Maintenance'!B:B,'Registre_Maintenance'!D:D,"Pas de correspondance")</f>
        <v>-9.9565739999999998</v>
      </c>
      <c r="J413">
        <f>_xlfn.XLOOKUP(Logs[[#This Row],[Cell_ID]],'Registre_Maintenance'!B:B,'Registre_Maintenance'!E:E,"Pas de correspondance")</f>
        <v>21.017202000000001</v>
      </c>
      <c r="K413" t="str">
        <f>_xlfn.XLOOKUP(Logs[[#This Row],[Cell_ID]],'Registre_Maintenance'!B:B,'Registre_Maintenance'!F:F,"Pas de correspondance")</f>
        <v>4G</v>
      </c>
      <c r="L413" t="str">
        <f>_xlfn.XLOOKUP(Logs[[#This Row],[Cell_ID]],'Registre_Maintenance'!B:B,'Registre_Maintenance'!G:G,"Pas de correspondance")</f>
        <v>Huawei</v>
      </c>
      <c r="M413" s="1" t="s">
        <v>806</v>
      </c>
      <c r="N413" s="1">
        <f>_xlfn.XLOOKUP(Logs[[#This Row],[ID_Client]],Clients_Log!B:B,Clients_Log!E:E,"Pas de correspondance")</f>
        <v>115</v>
      </c>
      <c r="O413" s="4">
        <f>IFERROR(Logs[[#This Row],[Anciennete_Mois]]/12,"")</f>
        <v>9.5833333333333339</v>
      </c>
      <c r="P413" s="1" t="str">
        <f>_xlfn.XLOOKUP(Logs[[#This Row],[ID_Client]],Clients_Log!B:B,Clients_Log!F:F,"Pas de correspondance")</f>
        <v>Bloqué 5Go</v>
      </c>
      <c r="Q413" s="1" t="str">
        <f>IF(Logs[[#This Row],[Type_Forfait]]="Pro Monde","B2B","B2C")</f>
        <v>B2C</v>
      </c>
      <c r="R413" s="1">
        <f>_xlfn.XLOOKUP(Logs[[#This Row],[ID_Client]],Clients_Log!B:B,Clients_Log!G:G,"Pas de correspondance")</f>
        <v>176</v>
      </c>
      <c r="S413" s="3">
        <f>Logs[[#This Row],[Duree_Cumulee_Panne_Min]]/1440</f>
        <v>0.12222222222222222</v>
      </c>
      <c r="T413" s="1">
        <f>_xlfn.XLOOKUP(Logs[[#This Row],[ID_Client]],Clients_Log!B:B,Clients_Log!H:H,"Pas de correspondance")</f>
        <v>33.28</v>
      </c>
      <c r="U413" s="1">
        <f>_xlfn.XLOOKUP(Logs[[#This Row],[ID_Client]],Clients_Log!B:B,Clients_Log!I:I,"Pas de correspondance")</f>
        <v>4</v>
      </c>
      <c r="V41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413" s="1">
        <f>Logs[[#This Row],[Facture_Mensuelle]]*Logs[[#This Row],[Remise (%)]]</f>
        <v>0</v>
      </c>
    </row>
    <row r="414" spans="1:23" hidden="1" x14ac:dyDescent="0.25">
      <c r="A414" s="1" t="s">
        <v>1133</v>
      </c>
      <c r="B414" s="2">
        <v>45211</v>
      </c>
      <c r="C414" s="1" t="str">
        <f>_xlfn.XLOOKUP(Logs[[#This Row],[Province_RDC]],Clients_Log!D:D,Clients_Log!B:B,"Pas de correspondance")</f>
        <v>Pas de correspondance</v>
      </c>
      <c r="D414" t="str">
        <f>_xlfn.XLOOKUP(Logs[[#This Row],[Cell_ID]],'Registre_Maintenance'!B:B,'Registre_Maintenance'!C:C,"Pas de correspondance")</f>
        <v>Pas de correspondance</v>
      </c>
      <c r="E414" s="3">
        <v>0.72291666666666665</v>
      </c>
      <c r="F414" s="1" t="s">
        <v>1150</v>
      </c>
      <c r="G414" s="3">
        <f>Logs[[#This Row],[Duree_Panne_Min]]/1440</f>
        <v>1.9444444444444445E-2</v>
      </c>
      <c r="H414">
        <v>28</v>
      </c>
      <c r="I414" t="str">
        <f>_xlfn.XLOOKUP(Logs[[#This Row],[Cell_ID]],'Registre_Maintenance'!B:B,'Registre_Maintenance'!D:D,"Pas de correspondance")</f>
        <v>Pas de correspondance</v>
      </c>
      <c r="J414" t="str">
        <f>_xlfn.XLOOKUP(Logs[[#This Row],[Cell_ID]],'Registre_Maintenance'!B:B,'Registre_Maintenance'!E:E,"Pas de correspondance")</f>
        <v>Pas de correspondance</v>
      </c>
      <c r="K414" t="str">
        <f>_xlfn.XLOOKUP(Logs[[#This Row],[Cell_ID]],'Registre_Maintenance'!B:B,'Registre_Maintenance'!F:F,"Pas de correspondance")</f>
        <v>Pas de correspondance</v>
      </c>
      <c r="L414" t="str">
        <f>_xlfn.XLOOKUP(Logs[[#This Row],[Cell_ID]],'Registre_Maintenance'!B:B,'Registre_Maintenance'!G:G,"Pas de correspondance")</f>
        <v>Pas de correspondance</v>
      </c>
      <c r="M414" s="1" t="s">
        <v>806</v>
      </c>
      <c r="N414" s="1" t="str">
        <f>_xlfn.XLOOKUP(Logs[[#This Row],[ID_Client]],Clients_Log!B:B,Clients_Log!E:E,"Pas de correspondance")</f>
        <v>Pas de correspondance</v>
      </c>
      <c r="O414" s="4" t="str">
        <f>IFERROR(Logs[[#This Row],[Anciennete_Mois]]/12,"")</f>
        <v/>
      </c>
      <c r="P414" s="1" t="str">
        <f>_xlfn.XLOOKUP(Logs[[#This Row],[ID_Client]],Clients_Log!B:B,Clients_Log!F:F,"Pas de correspondance")</f>
        <v>Pas de correspondance</v>
      </c>
      <c r="Q414" s="1" t="str">
        <f>IF(Logs[[#This Row],[Type_Forfait]]="Pro Monde","B2B","B2C")</f>
        <v>B2C</v>
      </c>
      <c r="R414" s="1" t="str">
        <f>_xlfn.XLOOKUP(Logs[[#This Row],[ID_Client]],Clients_Log!B:B,Clients_Log!G:G,"Pas de correspondance")</f>
        <v>Pas de correspondance</v>
      </c>
      <c r="S414" s="1" t="e">
        <f>Logs[[#This Row],[Duree_Cumulee_Panne_Min]]/1440</f>
        <v>#VALUE!</v>
      </c>
      <c r="T414" s="1" t="str">
        <f>_xlfn.XLOOKUP(Logs[[#This Row],[ID_Client]],Clients_Log!B:B,Clients_Log!H:H,"Pas de correspondance")</f>
        <v>Pas de correspondance</v>
      </c>
      <c r="U414" s="1" t="str">
        <f>_xlfn.XLOOKUP(Logs[[#This Row],[ID_Client]],Clients_Log!B:B,Clients_Log!I:I,"Pas de correspondance")</f>
        <v>Pas de correspondance</v>
      </c>
      <c r="V41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14" s="1" t="e">
        <f>Logs[[#This Row],[Facture_Mensuelle]]*Logs[[#This Row],[Remise (%)]]</f>
        <v>#VALUE!</v>
      </c>
    </row>
    <row r="415" spans="1:23" x14ac:dyDescent="0.25">
      <c r="A415" s="1" t="s">
        <v>1133</v>
      </c>
      <c r="B415" s="2">
        <v>45226</v>
      </c>
      <c r="C415" s="1" t="str">
        <f>_xlfn.XLOOKUP(Logs[[#This Row],[Province_RDC]],Clients_Log!D:D,Clients_Log!B:B,"Pas de correspondance")</f>
        <v>CLI-00611</v>
      </c>
      <c r="D415" t="str">
        <f>_xlfn.XLOOKUP(Logs[[#This Row],[Cell_ID]],'Registre_Maintenance'!B:B,'Registre_Maintenance'!C:C,"Pas de correspondance")</f>
        <v>Kinshasa</v>
      </c>
      <c r="E415" s="3">
        <v>0.84097222222222223</v>
      </c>
      <c r="F415" s="1" t="s">
        <v>1151</v>
      </c>
      <c r="G415" s="3">
        <f>Logs[[#This Row],[Duree_Panne_Min]]/1440</f>
        <v>5.1388888888888887E-2</v>
      </c>
      <c r="H415">
        <v>74</v>
      </c>
      <c r="I415">
        <f>_xlfn.XLOOKUP(Logs[[#This Row],[Cell_ID]],'Registre_Maintenance'!B:B,'Registre_Maintenance'!D:D,"Pas de correspondance")</f>
        <v>-11.389362</v>
      </c>
      <c r="J415">
        <f>_xlfn.XLOOKUP(Logs[[#This Row],[Cell_ID]],'Registre_Maintenance'!B:B,'Registre_Maintenance'!E:E,"Pas de correspondance")</f>
        <v>22.240174</v>
      </c>
      <c r="K415" t="str">
        <f>_xlfn.XLOOKUP(Logs[[#This Row],[Cell_ID]],'Registre_Maintenance'!B:B,'Registre_Maintenance'!F:F,"Pas de correspondance")</f>
        <v>5G</v>
      </c>
      <c r="L415" t="str">
        <f>_xlfn.XLOOKUP(Logs[[#This Row],[Cell_ID]],'Registre_Maintenance'!B:B,'Registre_Maintenance'!G:G,"Pas de correspondance")</f>
        <v>ZTE</v>
      </c>
      <c r="M415" s="1" t="s">
        <v>809</v>
      </c>
      <c r="N415" s="1">
        <f>_xlfn.XLOOKUP(Logs[[#This Row],[ID_Client]],Clients_Log!B:B,Clients_Log!E:E,"Pas de correspondance")</f>
        <v>79</v>
      </c>
      <c r="O415" s="4">
        <f>IFERROR(Logs[[#This Row],[Anciennete_Mois]]/12,"")</f>
        <v>6.583333333333333</v>
      </c>
      <c r="P415" s="1" t="str">
        <f>_xlfn.XLOOKUP(Logs[[#This Row],[ID_Client]],Clients_Log!B:B,Clients_Log!F:F,"Pas de correspondance")</f>
        <v>Premium 5G 150Go</v>
      </c>
      <c r="Q415" s="1" t="str">
        <f>IF(Logs[[#This Row],[Type_Forfait]]="Pro Monde","B2B","B2C")</f>
        <v>B2C</v>
      </c>
      <c r="R415" s="1">
        <f>_xlfn.XLOOKUP(Logs[[#This Row],[ID_Client]],Clients_Log!B:B,Clients_Log!G:G,"Pas de correspondance")</f>
        <v>226</v>
      </c>
      <c r="S415" s="3">
        <f>Logs[[#This Row],[Duree_Cumulee_Panne_Min]]/1440</f>
        <v>0.15694444444444444</v>
      </c>
      <c r="T415" s="1">
        <f>_xlfn.XLOOKUP(Logs[[#This Row],[ID_Client]],Clients_Log!B:B,Clients_Log!H:H,"Pas de correspondance")</f>
        <v>94.38</v>
      </c>
      <c r="U415" s="1">
        <f>_xlfn.XLOOKUP(Logs[[#This Row],[ID_Client]],Clients_Log!B:B,Clients_Log!I:I,"Pas de correspondance")</f>
        <v>3</v>
      </c>
      <c r="V41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415" s="1">
        <f>Logs[[#This Row],[Facture_Mensuelle]]*Logs[[#This Row],[Remise (%)]]</f>
        <v>0</v>
      </c>
    </row>
    <row r="416" spans="1:23" hidden="1" x14ac:dyDescent="0.25">
      <c r="A416" s="1" t="s">
        <v>1133</v>
      </c>
      <c r="B416" s="2">
        <v>45226</v>
      </c>
      <c r="C416" s="1" t="str">
        <f>_xlfn.XLOOKUP(Logs[[#This Row],[Province_RDC]],Clients_Log!D:D,Clients_Log!B:B,"Pas de correspondance")</f>
        <v>Pas de correspondance</v>
      </c>
      <c r="D416" t="str">
        <f>_xlfn.XLOOKUP(Logs[[#This Row],[Cell_ID]],'Registre_Maintenance'!B:B,'Registre_Maintenance'!C:C,"Pas de correspondance")</f>
        <v>Pas de correspondance</v>
      </c>
      <c r="E416" s="3">
        <v>0.89513888888888893</v>
      </c>
      <c r="F416" s="1" t="s">
        <v>1152</v>
      </c>
      <c r="G416" s="3">
        <f>Logs[[#This Row],[Duree_Panne_Min]]/1440</f>
        <v>2.9166666666666667E-2</v>
      </c>
      <c r="H416">
        <v>42</v>
      </c>
      <c r="I416" t="str">
        <f>_xlfn.XLOOKUP(Logs[[#This Row],[Cell_ID]],'Registre_Maintenance'!B:B,'Registre_Maintenance'!D:D,"Pas de correspondance")</f>
        <v>Pas de correspondance</v>
      </c>
      <c r="J416" t="str">
        <f>_xlfn.XLOOKUP(Logs[[#This Row],[Cell_ID]],'Registre_Maintenance'!B:B,'Registre_Maintenance'!E:E,"Pas de correspondance")</f>
        <v>Pas de correspondance</v>
      </c>
      <c r="K416" t="str">
        <f>_xlfn.XLOOKUP(Logs[[#This Row],[Cell_ID]],'Registre_Maintenance'!B:B,'Registre_Maintenance'!F:F,"Pas de correspondance")</f>
        <v>Pas de correspondance</v>
      </c>
      <c r="L416" t="str">
        <f>_xlfn.XLOOKUP(Logs[[#This Row],[Cell_ID]],'Registre_Maintenance'!B:B,'Registre_Maintenance'!G:G,"Pas de correspondance")</f>
        <v>Pas de correspondance</v>
      </c>
      <c r="M416" s="1" t="s">
        <v>806</v>
      </c>
      <c r="N416" s="1" t="str">
        <f>_xlfn.XLOOKUP(Logs[[#This Row],[ID_Client]],Clients_Log!B:B,Clients_Log!E:E,"Pas de correspondance")</f>
        <v>Pas de correspondance</v>
      </c>
      <c r="O416" s="4" t="str">
        <f>IFERROR(Logs[[#This Row],[Anciennete_Mois]]/12,"")</f>
        <v/>
      </c>
      <c r="P416" s="1" t="str">
        <f>_xlfn.XLOOKUP(Logs[[#This Row],[ID_Client]],Clients_Log!B:B,Clients_Log!F:F,"Pas de correspondance")</f>
        <v>Pas de correspondance</v>
      </c>
      <c r="Q416" s="1" t="str">
        <f>IF(Logs[[#This Row],[Type_Forfait]]="Pro Monde","B2B","B2C")</f>
        <v>B2C</v>
      </c>
      <c r="R416" s="1" t="str">
        <f>_xlfn.XLOOKUP(Logs[[#This Row],[ID_Client]],Clients_Log!B:B,Clients_Log!G:G,"Pas de correspondance")</f>
        <v>Pas de correspondance</v>
      </c>
      <c r="S416" s="1" t="e">
        <f>Logs[[#This Row],[Duree_Cumulee_Panne_Min]]/1440</f>
        <v>#VALUE!</v>
      </c>
      <c r="T416" s="1" t="str">
        <f>_xlfn.XLOOKUP(Logs[[#This Row],[ID_Client]],Clients_Log!B:B,Clients_Log!H:H,"Pas de correspondance")</f>
        <v>Pas de correspondance</v>
      </c>
      <c r="U416" s="1" t="str">
        <f>_xlfn.XLOOKUP(Logs[[#This Row],[ID_Client]],Clients_Log!B:B,Clients_Log!I:I,"Pas de correspondance")</f>
        <v>Pas de correspondance</v>
      </c>
      <c r="V41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16" s="1" t="e">
        <f>Logs[[#This Row],[Facture_Mensuelle]]*Logs[[#This Row],[Remise (%)]]</f>
        <v>#VALUE!</v>
      </c>
    </row>
    <row r="417" spans="1:23" x14ac:dyDescent="0.25">
      <c r="A417" s="1" t="s">
        <v>1133</v>
      </c>
      <c r="B417" s="2">
        <v>45222</v>
      </c>
      <c r="C417" s="1" t="str">
        <f>_xlfn.XLOOKUP(Logs[[#This Row],[Province_RDC]],Clients_Log!D:D,Clients_Log!B:B,"Pas de correspondance")</f>
        <v>CLI-00131</v>
      </c>
      <c r="D417" t="str">
        <f>_xlfn.XLOOKUP(Logs[[#This Row],[Cell_ID]],'Registre_Maintenance'!B:B,'Registre_Maintenance'!C:C,"Pas de correspondance")</f>
        <v>Lomami</v>
      </c>
      <c r="E417" s="3">
        <v>0.65277777777777779</v>
      </c>
      <c r="F417" s="1" t="s">
        <v>1153</v>
      </c>
      <c r="G417" s="3">
        <f>Logs[[#This Row],[Duree_Panne_Min]]/1440</f>
        <v>3.1944444444444442E-2</v>
      </c>
      <c r="H417">
        <v>46</v>
      </c>
      <c r="I417">
        <f>_xlfn.XLOOKUP(Logs[[#This Row],[Cell_ID]],'Registre_Maintenance'!B:B,'Registre_Maintenance'!D:D,"Pas de correspondance")</f>
        <v>-11.266565999999999</v>
      </c>
      <c r="J417">
        <f>_xlfn.XLOOKUP(Logs[[#This Row],[Cell_ID]],'Registre_Maintenance'!B:B,'Registre_Maintenance'!E:E,"Pas de correspondance")</f>
        <v>26.245055000000001</v>
      </c>
      <c r="K417" t="str">
        <f>_xlfn.XLOOKUP(Logs[[#This Row],[Cell_ID]],'Registre_Maintenance'!B:B,'Registre_Maintenance'!F:F,"Pas de correspondance")</f>
        <v>3G</v>
      </c>
      <c r="L417" t="str">
        <f>_xlfn.XLOOKUP(Logs[[#This Row],[Cell_ID]],'Registre_Maintenance'!B:B,'Registre_Maintenance'!G:G,"Pas de correspondance")</f>
        <v>Ericsson</v>
      </c>
      <c r="M417" s="1" t="s">
        <v>811</v>
      </c>
      <c r="N417" s="1">
        <f>_xlfn.XLOOKUP(Logs[[#This Row],[ID_Client]],Clients_Log!B:B,Clients_Log!E:E,"Pas de correspondance")</f>
        <v>101</v>
      </c>
      <c r="O417" s="4">
        <f>IFERROR(Logs[[#This Row],[Anciennete_Mois]]/12,"")</f>
        <v>8.4166666666666661</v>
      </c>
      <c r="P417" s="1" t="str">
        <f>_xlfn.XLOOKUP(Logs[[#This Row],[ID_Client]],Clients_Log!B:B,Clients_Log!F:F,"Pas de correspondance")</f>
        <v>Pro Monde</v>
      </c>
      <c r="Q417" s="1" t="str">
        <f>IF(Logs[[#This Row],[Type_Forfait]]="Pro Monde","B2B","B2C")</f>
        <v>B2B</v>
      </c>
      <c r="R417" s="1">
        <f>_xlfn.XLOOKUP(Logs[[#This Row],[ID_Client]],Clients_Log!B:B,Clients_Log!G:G,"Pas de correspondance")</f>
        <v>176</v>
      </c>
      <c r="S417" s="3">
        <f>Logs[[#This Row],[Duree_Cumulee_Panne_Min]]/1440</f>
        <v>0.12222222222222222</v>
      </c>
      <c r="T417" s="1">
        <f>_xlfn.XLOOKUP(Logs[[#This Row],[ID_Client]],Clients_Log!B:B,Clients_Log!H:H,"Pas de correspondance")</f>
        <v>86</v>
      </c>
      <c r="U417" s="1">
        <f>_xlfn.XLOOKUP(Logs[[#This Row],[ID_Client]],Clients_Log!B:B,Clients_Log!I:I,"Pas de correspondance")</f>
        <v>3</v>
      </c>
      <c r="V41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417" s="1">
        <f>Logs[[#This Row],[Facture_Mensuelle]]*Logs[[#This Row],[Remise (%)]]</f>
        <v>8.6</v>
      </c>
    </row>
    <row r="418" spans="1:23" x14ac:dyDescent="0.25">
      <c r="A418" s="1" t="s">
        <v>1133</v>
      </c>
      <c r="B418" s="2">
        <v>45205</v>
      </c>
      <c r="C418" s="1" t="str">
        <f>_xlfn.XLOOKUP(Logs[[#This Row],[Province_RDC]],Clients_Log!D:D,Clients_Log!B:B,"Pas de correspondance")</f>
        <v>CLI-00559</v>
      </c>
      <c r="D418" t="str">
        <f>_xlfn.XLOOKUP(Logs[[#This Row],[Cell_ID]],'Registre_Maintenance'!B:B,'Registre_Maintenance'!C:C,"Pas de correspondance")</f>
        <v>Kasaï</v>
      </c>
      <c r="E418" s="3">
        <v>0.16944444444444445</v>
      </c>
      <c r="F418" s="1" t="s">
        <v>1154</v>
      </c>
      <c r="G418" s="3">
        <f>Logs[[#This Row],[Duree_Panne_Min]]/1440</f>
        <v>1.2500000000000001E-2</v>
      </c>
      <c r="H418">
        <v>18</v>
      </c>
      <c r="I418">
        <f>_xlfn.XLOOKUP(Logs[[#This Row],[Cell_ID]],'Registre_Maintenance'!B:B,'Registre_Maintenance'!D:D,"Pas de correspondance")</f>
        <v>4.8689660000000003</v>
      </c>
      <c r="J418">
        <f>_xlfn.XLOOKUP(Logs[[#This Row],[Cell_ID]],'Registre_Maintenance'!B:B,'Registre_Maintenance'!E:E,"Pas de correspondance")</f>
        <v>25.112373000000002</v>
      </c>
      <c r="K418" t="str">
        <f>_xlfn.XLOOKUP(Logs[[#This Row],[Cell_ID]],'Registre_Maintenance'!B:B,'Registre_Maintenance'!F:F,"Pas de correspondance")</f>
        <v>3G</v>
      </c>
      <c r="L418" t="str">
        <f>_xlfn.XLOOKUP(Logs[[#This Row],[Cell_ID]],'Registre_Maintenance'!B:B,'Registre_Maintenance'!G:G,"Pas de correspondance")</f>
        <v>Huawei</v>
      </c>
      <c r="M418" s="1" t="s">
        <v>809</v>
      </c>
      <c r="N418" s="1">
        <f>_xlfn.XLOOKUP(Logs[[#This Row],[ID_Client]],Clients_Log!B:B,Clients_Log!E:E,"Pas de correspondance")</f>
        <v>99</v>
      </c>
      <c r="O418" s="4">
        <f>IFERROR(Logs[[#This Row],[Anciennete_Mois]]/12,"")</f>
        <v>8.25</v>
      </c>
      <c r="P418" s="1" t="str">
        <f>_xlfn.XLOOKUP(Logs[[#This Row],[ID_Client]],Clients_Log!B:B,Clients_Log!F:F,"Pas de correspondance")</f>
        <v>Bloqué 5Go</v>
      </c>
      <c r="Q418" s="1" t="str">
        <f>IF(Logs[[#This Row],[Type_Forfait]]="Pro Monde","B2B","B2C")</f>
        <v>B2C</v>
      </c>
      <c r="R418" s="1">
        <f>_xlfn.XLOOKUP(Logs[[#This Row],[ID_Client]],Clients_Log!B:B,Clients_Log!G:G,"Pas de correspondance")</f>
        <v>369</v>
      </c>
      <c r="S418" s="3">
        <f>Logs[[#This Row],[Duree_Cumulee_Panne_Min]]/1440</f>
        <v>0.25624999999999998</v>
      </c>
      <c r="T418" s="1">
        <f>_xlfn.XLOOKUP(Logs[[#This Row],[ID_Client]],Clients_Log!B:B,Clients_Log!H:H,"Pas de correspondance")</f>
        <v>67.209999999999994</v>
      </c>
      <c r="U418" s="1">
        <f>_xlfn.XLOOKUP(Logs[[#This Row],[ID_Client]],Clients_Log!B:B,Clients_Log!I:I,"Pas de correspondance")</f>
        <v>3</v>
      </c>
      <c r="V41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18" s="1">
        <f>Logs[[#This Row],[Facture_Mensuelle]]*Logs[[#This Row],[Remise (%)]]</f>
        <v>30.244499999999999</v>
      </c>
    </row>
    <row r="419" spans="1:23" x14ac:dyDescent="0.25">
      <c r="A419" s="1" t="s">
        <v>1133</v>
      </c>
      <c r="B419" s="2">
        <v>45222</v>
      </c>
      <c r="C419" s="1" t="str">
        <f>_xlfn.XLOOKUP(Logs[[#This Row],[Province_RDC]],Clients_Log!D:D,Clients_Log!B:B,"Pas de correspondance")</f>
        <v>CLI-00643</v>
      </c>
      <c r="D419" t="str">
        <f>_xlfn.XLOOKUP(Logs[[#This Row],[Cell_ID]],'Registre_Maintenance'!B:B,'Registre_Maintenance'!C:C,"Pas de correspondance")</f>
        <v>Equateur</v>
      </c>
      <c r="E419" s="3">
        <v>0.58472222222222225</v>
      </c>
      <c r="F419" s="1" t="s">
        <v>1155</v>
      </c>
      <c r="G419" s="3">
        <f>Logs[[#This Row],[Duree_Panne_Min]]/1440</f>
        <v>1.0416666666666666E-2</v>
      </c>
      <c r="H419">
        <v>15</v>
      </c>
      <c r="I419">
        <f>_xlfn.XLOOKUP(Logs[[#This Row],[Cell_ID]],'Registre_Maintenance'!B:B,'Registre_Maintenance'!D:D,"Pas de correspondance")</f>
        <v>-9.1215879999999991</v>
      </c>
      <c r="J419">
        <f>_xlfn.XLOOKUP(Logs[[#This Row],[Cell_ID]],'Registre_Maintenance'!B:B,'Registre_Maintenance'!E:E,"Pas de correspondance")</f>
        <v>16.457916999999998</v>
      </c>
      <c r="K419" t="str">
        <f>_xlfn.XLOOKUP(Logs[[#This Row],[Cell_ID]],'Registre_Maintenance'!B:B,'Registre_Maintenance'!F:F,"Pas de correspondance")</f>
        <v>4G</v>
      </c>
      <c r="L419" t="str">
        <f>_xlfn.XLOOKUP(Logs[[#This Row],[Cell_ID]],'Registre_Maintenance'!B:B,'Registre_Maintenance'!G:G,"Pas de correspondance")</f>
        <v>Nokia</v>
      </c>
      <c r="M419" s="1" t="s">
        <v>811</v>
      </c>
      <c r="N419" s="1">
        <f>_xlfn.XLOOKUP(Logs[[#This Row],[ID_Client]],Clients_Log!B:B,Clients_Log!E:E,"Pas de correspondance")</f>
        <v>14</v>
      </c>
      <c r="O419" s="4">
        <f>IFERROR(Logs[[#This Row],[Anciennete_Mois]]/12,"")</f>
        <v>1.1666666666666667</v>
      </c>
      <c r="P419" s="1" t="str">
        <f>_xlfn.XLOOKUP(Logs[[#This Row],[ID_Client]],Clients_Log!B:B,Clients_Log!F:F,"Pas de correspondance")</f>
        <v>Pro Monde</v>
      </c>
      <c r="Q419" s="1" t="str">
        <f>IF(Logs[[#This Row],[Type_Forfait]]="Pro Monde","B2B","B2C")</f>
        <v>B2B</v>
      </c>
      <c r="R419" s="1">
        <f>_xlfn.XLOOKUP(Logs[[#This Row],[ID_Client]],Clients_Log!B:B,Clients_Log!G:G,"Pas de correspondance")</f>
        <v>316</v>
      </c>
      <c r="S419" s="3">
        <f>Logs[[#This Row],[Duree_Cumulee_Panne_Min]]/1440</f>
        <v>0.21944444444444444</v>
      </c>
      <c r="T419" s="1">
        <f>_xlfn.XLOOKUP(Logs[[#This Row],[ID_Client]],Clients_Log!B:B,Clients_Log!H:H,"Pas de correspondance")</f>
        <v>62.34</v>
      </c>
      <c r="U419" s="1">
        <f>_xlfn.XLOOKUP(Logs[[#This Row],[ID_Client]],Clients_Log!B:B,Clients_Log!I:I,"Pas de correspondance")</f>
        <v>4</v>
      </c>
      <c r="V41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19" s="1">
        <f>Logs[[#This Row],[Facture_Mensuelle]]*Logs[[#This Row],[Remise (%)]]</f>
        <v>28.053000000000001</v>
      </c>
    </row>
    <row r="420" spans="1:23" hidden="1" x14ac:dyDescent="0.25">
      <c r="A420" s="1" t="s">
        <v>1133</v>
      </c>
      <c r="B420" s="2">
        <v>45209</v>
      </c>
      <c r="C420" s="1" t="str">
        <f>_xlfn.XLOOKUP(Logs[[#This Row],[Province_RDC]],Clients_Log!D:D,Clients_Log!B:B,"Pas de correspondance")</f>
        <v>Pas de correspondance</v>
      </c>
      <c r="D420" t="str">
        <f>_xlfn.XLOOKUP(Logs[[#This Row],[Cell_ID]],'Registre_Maintenance'!B:B,'Registre_Maintenance'!C:C,"Pas de correspondance")</f>
        <v>Pas de correspondance</v>
      </c>
      <c r="E420" s="3">
        <v>0.25138888888888888</v>
      </c>
      <c r="F420" s="1" t="s">
        <v>1060</v>
      </c>
      <c r="G420" s="3">
        <f>Logs[[#This Row],[Duree_Panne_Min]]/1440</f>
        <v>3.1944444444444442E-2</v>
      </c>
      <c r="H420">
        <v>46</v>
      </c>
      <c r="I420" t="str">
        <f>_xlfn.XLOOKUP(Logs[[#This Row],[Cell_ID]],'Registre_Maintenance'!B:B,'Registre_Maintenance'!D:D,"Pas de correspondance")</f>
        <v>Pas de correspondance</v>
      </c>
      <c r="J420" t="str">
        <f>_xlfn.XLOOKUP(Logs[[#This Row],[Cell_ID]],'Registre_Maintenance'!B:B,'Registre_Maintenance'!E:E,"Pas de correspondance")</f>
        <v>Pas de correspondance</v>
      </c>
      <c r="K420" t="str">
        <f>_xlfn.XLOOKUP(Logs[[#This Row],[Cell_ID]],'Registre_Maintenance'!B:B,'Registre_Maintenance'!F:F,"Pas de correspondance")</f>
        <v>Pas de correspondance</v>
      </c>
      <c r="L420" t="str">
        <f>_xlfn.XLOOKUP(Logs[[#This Row],[Cell_ID]],'Registre_Maintenance'!B:B,'Registre_Maintenance'!G:G,"Pas de correspondance")</f>
        <v>Pas de correspondance</v>
      </c>
      <c r="M420" s="1" t="s">
        <v>809</v>
      </c>
      <c r="N420" s="1" t="str">
        <f>_xlfn.XLOOKUP(Logs[[#This Row],[ID_Client]],Clients_Log!B:B,Clients_Log!E:E,"Pas de correspondance")</f>
        <v>Pas de correspondance</v>
      </c>
      <c r="O420" s="4" t="str">
        <f>IFERROR(Logs[[#This Row],[Anciennete_Mois]]/12,"")</f>
        <v/>
      </c>
      <c r="P420" s="1" t="str">
        <f>_xlfn.XLOOKUP(Logs[[#This Row],[ID_Client]],Clients_Log!B:B,Clients_Log!F:F,"Pas de correspondance")</f>
        <v>Pas de correspondance</v>
      </c>
      <c r="Q420" s="1" t="str">
        <f>IF(Logs[[#This Row],[Type_Forfait]]="Pro Monde","B2B","B2C")</f>
        <v>B2C</v>
      </c>
      <c r="R420" s="1" t="str">
        <f>_xlfn.XLOOKUP(Logs[[#This Row],[ID_Client]],Clients_Log!B:B,Clients_Log!G:G,"Pas de correspondance")</f>
        <v>Pas de correspondance</v>
      </c>
      <c r="S420" s="1" t="e">
        <f>Logs[[#This Row],[Duree_Cumulee_Panne_Min]]/1440</f>
        <v>#VALUE!</v>
      </c>
      <c r="T420" s="1" t="str">
        <f>_xlfn.XLOOKUP(Logs[[#This Row],[ID_Client]],Clients_Log!B:B,Clients_Log!H:H,"Pas de correspondance")</f>
        <v>Pas de correspondance</v>
      </c>
      <c r="U420" s="1" t="str">
        <f>_xlfn.XLOOKUP(Logs[[#This Row],[ID_Client]],Clients_Log!B:B,Clients_Log!I:I,"Pas de correspondance")</f>
        <v>Pas de correspondance</v>
      </c>
      <c r="V42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20" s="1" t="e">
        <f>Logs[[#This Row],[Facture_Mensuelle]]*Logs[[#This Row],[Remise (%)]]</f>
        <v>#VALUE!</v>
      </c>
    </row>
    <row r="421" spans="1:23" x14ac:dyDescent="0.25">
      <c r="A421" s="1" t="s">
        <v>1133</v>
      </c>
      <c r="B421" s="2">
        <v>45225</v>
      </c>
      <c r="C421" s="1" t="str">
        <f>_xlfn.XLOOKUP(Logs[[#This Row],[Province_RDC]],Clients_Log!D:D,Clients_Log!B:B,"Pas de correspondance")</f>
        <v>CLI-01325</v>
      </c>
      <c r="D421" t="str">
        <f>_xlfn.XLOOKUP(Logs[[#This Row],[Cell_ID]],'Registre_Maintenance'!B:B,'Registre_Maintenance'!C:C,"Pas de correspondance")</f>
        <v>Haut-Lomami</v>
      </c>
      <c r="E421" s="3">
        <v>0.28888888888888886</v>
      </c>
      <c r="F421" s="1" t="s">
        <v>1106</v>
      </c>
      <c r="G421" s="3">
        <f>Logs[[#This Row],[Duree_Panne_Min]]/1440</f>
        <v>6.1805555555555558E-2</v>
      </c>
      <c r="H421">
        <v>89</v>
      </c>
      <c r="I421">
        <f>_xlfn.XLOOKUP(Logs[[#This Row],[Cell_ID]],'Registre_Maintenance'!B:B,'Registre_Maintenance'!D:D,"Pas de correspondance")</f>
        <v>0.16327700000000001</v>
      </c>
      <c r="J421">
        <f>_xlfn.XLOOKUP(Logs[[#This Row],[Cell_ID]],'Registre_Maintenance'!B:B,'Registre_Maintenance'!E:E,"Pas de correspondance")</f>
        <v>14.871577</v>
      </c>
      <c r="K421" t="str">
        <f>_xlfn.XLOOKUP(Logs[[#This Row],[Cell_ID]],'Registre_Maintenance'!B:B,'Registre_Maintenance'!F:F,"Pas de correspondance")</f>
        <v>4G</v>
      </c>
      <c r="L421" t="str">
        <f>_xlfn.XLOOKUP(Logs[[#This Row],[Cell_ID]],'Registre_Maintenance'!B:B,'Registre_Maintenance'!G:G,"Pas de correspondance")</f>
        <v>Huawei</v>
      </c>
      <c r="M421" s="1" t="s">
        <v>806</v>
      </c>
      <c r="N421" s="1">
        <f>_xlfn.XLOOKUP(Logs[[#This Row],[ID_Client]],Clients_Log!B:B,Clients_Log!E:E,"Pas de correspondance")</f>
        <v>44</v>
      </c>
      <c r="O421" s="4">
        <f>IFERROR(Logs[[#This Row],[Anciennete_Mois]]/12,"")</f>
        <v>3.6666666666666665</v>
      </c>
      <c r="P421" s="1" t="str">
        <f>_xlfn.XLOOKUP(Logs[[#This Row],[ID_Client]],Clients_Log!B:B,Clients_Log!F:F,"Pas de correspondance")</f>
        <v>Bloqué 5Go</v>
      </c>
      <c r="Q421" s="1" t="str">
        <f>IF(Logs[[#This Row],[Type_Forfait]]="Pro Monde","B2B","B2C")</f>
        <v>B2C</v>
      </c>
      <c r="R421" s="1">
        <f>_xlfn.XLOOKUP(Logs[[#This Row],[ID_Client]],Clients_Log!B:B,Clients_Log!G:G,"Pas de correspondance")</f>
        <v>348</v>
      </c>
      <c r="S421" s="3">
        <f>Logs[[#This Row],[Duree_Cumulee_Panne_Min]]/1440</f>
        <v>0.24166666666666667</v>
      </c>
      <c r="T421" s="1">
        <f>_xlfn.XLOOKUP(Logs[[#This Row],[ID_Client]],Clients_Log!B:B,Clients_Log!H:H,"Pas de correspondance")</f>
        <v>58.67</v>
      </c>
      <c r="U421" s="1">
        <f>_xlfn.XLOOKUP(Logs[[#This Row],[ID_Client]],Clients_Log!B:B,Clients_Log!I:I,"Pas de correspondance")</f>
        <v>0</v>
      </c>
      <c r="V42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21" s="1">
        <f>Logs[[#This Row],[Facture_Mensuelle]]*Logs[[#This Row],[Remise (%)]]</f>
        <v>26.401500000000002</v>
      </c>
    </row>
    <row r="422" spans="1:23" hidden="1" x14ac:dyDescent="0.25">
      <c r="A422" s="1" t="s">
        <v>1133</v>
      </c>
      <c r="B422" s="2">
        <v>45201</v>
      </c>
      <c r="C422" s="1" t="str">
        <f>_xlfn.XLOOKUP(Logs[[#This Row],[Province_RDC]],Clients_Log!D:D,Clients_Log!B:B,"Pas de correspondance")</f>
        <v>Pas de correspondance</v>
      </c>
      <c r="D422" t="str">
        <f>_xlfn.XLOOKUP(Logs[[#This Row],[Cell_ID]],'Registre_Maintenance'!B:B,'Registre_Maintenance'!C:C,"Pas de correspondance")</f>
        <v>Pas de correspondance</v>
      </c>
      <c r="E422" s="3">
        <v>0.45763888888888887</v>
      </c>
      <c r="F422" s="1" t="s">
        <v>1156</v>
      </c>
      <c r="G422" s="3">
        <f>Logs[[#This Row],[Duree_Panne_Min]]/1440</f>
        <v>2.9166666666666667E-2</v>
      </c>
      <c r="H422">
        <v>42</v>
      </c>
      <c r="I422" t="str">
        <f>_xlfn.XLOOKUP(Logs[[#This Row],[Cell_ID]],'Registre_Maintenance'!B:B,'Registre_Maintenance'!D:D,"Pas de correspondance")</f>
        <v>Pas de correspondance</v>
      </c>
      <c r="J422" t="str">
        <f>_xlfn.XLOOKUP(Logs[[#This Row],[Cell_ID]],'Registre_Maintenance'!B:B,'Registre_Maintenance'!E:E,"Pas de correspondance")</f>
        <v>Pas de correspondance</v>
      </c>
      <c r="K422" t="str">
        <f>_xlfn.XLOOKUP(Logs[[#This Row],[Cell_ID]],'Registre_Maintenance'!B:B,'Registre_Maintenance'!F:F,"Pas de correspondance")</f>
        <v>Pas de correspondance</v>
      </c>
      <c r="L422" t="str">
        <f>_xlfn.XLOOKUP(Logs[[#This Row],[Cell_ID]],'Registre_Maintenance'!B:B,'Registre_Maintenance'!G:G,"Pas de correspondance")</f>
        <v>Pas de correspondance</v>
      </c>
      <c r="M422" s="1" t="s">
        <v>811</v>
      </c>
      <c r="N422" s="1" t="str">
        <f>_xlfn.XLOOKUP(Logs[[#This Row],[ID_Client]],Clients_Log!B:B,Clients_Log!E:E,"Pas de correspondance")</f>
        <v>Pas de correspondance</v>
      </c>
      <c r="O422" s="4" t="str">
        <f>IFERROR(Logs[[#This Row],[Anciennete_Mois]]/12,"")</f>
        <v/>
      </c>
      <c r="P422" s="1" t="str">
        <f>_xlfn.XLOOKUP(Logs[[#This Row],[ID_Client]],Clients_Log!B:B,Clients_Log!F:F,"Pas de correspondance")</f>
        <v>Pas de correspondance</v>
      </c>
      <c r="Q422" s="1" t="str">
        <f>IF(Logs[[#This Row],[Type_Forfait]]="Pro Monde","B2B","B2C")</f>
        <v>B2C</v>
      </c>
      <c r="R422" s="1" t="str">
        <f>_xlfn.XLOOKUP(Logs[[#This Row],[ID_Client]],Clients_Log!B:B,Clients_Log!G:G,"Pas de correspondance")</f>
        <v>Pas de correspondance</v>
      </c>
      <c r="S422" s="1" t="e">
        <f>Logs[[#This Row],[Duree_Cumulee_Panne_Min]]/1440</f>
        <v>#VALUE!</v>
      </c>
      <c r="T422" s="1" t="str">
        <f>_xlfn.XLOOKUP(Logs[[#This Row],[ID_Client]],Clients_Log!B:B,Clients_Log!H:H,"Pas de correspondance")</f>
        <v>Pas de correspondance</v>
      </c>
      <c r="U422" s="1" t="str">
        <f>_xlfn.XLOOKUP(Logs[[#This Row],[ID_Client]],Clients_Log!B:B,Clients_Log!I:I,"Pas de correspondance")</f>
        <v>Pas de correspondance</v>
      </c>
      <c r="V42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22" s="1" t="e">
        <f>Logs[[#This Row],[Facture_Mensuelle]]*Logs[[#This Row],[Remise (%)]]</f>
        <v>#VALUE!</v>
      </c>
    </row>
    <row r="423" spans="1:23" hidden="1" x14ac:dyDescent="0.25">
      <c r="A423" s="1" t="s">
        <v>1133</v>
      </c>
      <c r="B423" s="2">
        <v>45209</v>
      </c>
      <c r="C423" s="1" t="str">
        <f>_xlfn.XLOOKUP(Logs[[#This Row],[Province_RDC]],Clients_Log!D:D,Clients_Log!B:B,"Pas de correspondance")</f>
        <v>Pas de correspondance</v>
      </c>
      <c r="D423" t="str">
        <f>_xlfn.XLOOKUP(Logs[[#This Row],[Cell_ID]],'Registre_Maintenance'!B:B,'Registre_Maintenance'!C:C,"Pas de correspondance")</f>
        <v>Pas de correspondance</v>
      </c>
      <c r="E423" s="3">
        <v>0.68402777777777779</v>
      </c>
      <c r="F423" s="1" t="s">
        <v>1005</v>
      </c>
      <c r="G423" s="3">
        <f>Logs[[#This Row],[Duree_Panne_Min]]/1440</f>
        <v>3.0555555555555555E-2</v>
      </c>
      <c r="H423">
        <v>44</v>
      </c>
      <c r="I423" t="str">
        <f>_xlfn.XLOOKUP(Logs[[#This Row],[Cell_ID]],'Registre_Maintenance'!B:B,'Registre_Maintenance'!D:D,"Pas de correspondance")</f>
        <v>Pas de correspondance</v>
      </c>
      <c r="J423" t="str">
        <f>_xlfn.XLOOKUP(Logs[[#This Row],[Cell_ID]],'Registre_Maintenance'!B:B,'Registre_Maintenance'!E:E,"Pas de correspondance")</f>
        <v>Pas de correspondance</v>
      </c>
      <c r="K423" t="str">
        <f>_xlfn.XLOOKUP(Logs[[#This Row],[Cell_ID]],'Registre_Maintenance'!B:B,'Registre_Maintenance'!F:F,"Pas de correspondance")</f>
        <v>Pas de correspondance</v>
      </c>
      <c r="L423" t="str">
        <f>_xlfn.XLOOKUP(Logs[[#This Row],[Cell_ID]],'Registre_Maintenance'!B:B,'Registre_Maintenance'!G:G,"Pas de correspondance")</f>
        <v>Pas de correspondance</v>
      </c>
      <c r="M423" s="1" t="s">
        <v>811</v>
      </c>
      <c r="N423" s="1" t="str">
        <f>_xlfn.XLOOKUP(Logs[[#This Row],[ID_Client]],Clients_Log!B:B,Clients_Log!E:E,"Pas de correspondance")</f>
        <v>Pas de correspondance</v>
      </c>
      <c r="O423" s="4" t="str">
        <f>IFERROR(Logs[[#This Row],[Anciennete_Mois]]/12,"")</f>
        <v/>
      </c>
      <c r="P423" s="1" t="str">
        <f>_xlfn.XLOOKUP(Logs[[#This Row],[ID_Client]],Clients_Log!B:B,Clients_Log!F:F,"Pas de correspondance")</f>
        <v>Pas de correspondance</v>
      </c>
      <c r="Q423" s="1" t="str">
        <f>IF(Logs[[#This Row],[Type_Forfait]]="Pro Monde","B2B","B2C")</f>
        <v>B2C</v>
      </c>
      <c r="R423" s="1" t="str">
        <f>_xlfn.XLOOKUP(Logs[[#This Row],[ID_Client]],Clients_Log!B:B,Clients_Log!G:G,"Pas de correspondance")</f>
        <v>Pas de correspondance</v>
      </c>
      <c r="S423" s="1" t="e">
        <f>Logs[[#This Row],[Duree_Cumulee_Panne_Min]]/1440</f>
        <v>#VALUE!</v>
      </c>
      <c r="T423" s="1" t="str">
        <f>_xlfn.XLOOKUP(Logs[[#This Row],[ID_Client]],Clients_Log!B:B,Clients_Log!H:H,"Pas de correspondance")</f>
        <v>Pas de correspondance</v>
      </c>
      <c r="U423" s="1" t="str">
        <f>_xlfn.XLOOKUP(Logs[[#This Row],[ID_Client]],Clients_Log!B:B,Clients_Log!I:I,"Pas de correspondance")</f>
        <v>Pas de correspondance</v>
      </c>
      <c r="V42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23" s="1" t="e">
        <f>Logs[[#This Row],[Facture_Mensuelle]]*Logs[[#This Row],[Remise (%)]]</f>
        <v>#VALUE!</v>
      </c>
    </row>
    <row r="424" spans="1:23" hidden="1" x14ac:dyDescent="0.25">
      <c r="A424" s="1" t="s">
        <v>1133</v>
      </c>
      <c r="B424" s="2">
        <v>45226</v>
      </c>
      <c r="C424" s="1" t="str">
        <f>_xlfn.XLOOKUP(Logs[[#This Row],[Province_RDC]],Clients_Log!D:D,Clients_Log!B:B,"Pas de correspondance")</f>
        <v>Pas de correspondance</v>
      </c>
      <c r="D424" t="str">
        <f>_xlfn.XLOOKUP(Logs[[#This Row],[Cell_ID]],'Registre_Maintenance'!B:B,'Registre_Maintenance'!C:C,"Pas de correspondance")</f>
        <v>Pas de correspondance</v>
      </c>
      <c r="E424" s="3">
        <v>0.72916666666666663</v>
      </c>
      <c r="F424" s="1" t="s">
        <v>1157</v>
      </c>
      <c r="G424" s="3">
        <f>Logs[[#This Row],[Duree_Panne_Min]]/1440</f>
        <v>4.3055555555555555E-2</v>
      </c>
      <c r="H424">
        <v>62</v>
      </c>
      <c r="I424" t="str">
        <f>_xlfn.XLOOKUP(Logs[[#This Row],[Cell_ID]],'Registre_Maintenance'!B:B,'Registre_Maintenance'!D:D,"Pas de correspondance")</f>
        <v>Pas de correspondance</v>
      </c>
      <c r="J424" t="str">
        <f>_xlfn.XLOOKUP(Logs[[#This Row],[Cell_ID]],'Registre_Maintenance'!B:B,'Registre_Maintenance'!E:E,"Pas de correspondance")</f>
        <v>Pas de correspondance</v>
      </c>
      <c r="K424" t="str">
        <f>_xlfn.XLOOKUP(Logs[[#This Row],[Cell_ID]],'Registre_Maintenance'!B:B,'Registre_Maintenance'!F:F,"Pas de correspondance")</f>
        <v>Pas de correspondance</v>
      </c>
      <c r="L424" t="str">
        <f>_xlfn.XLOOKUP(Logs[[#This Row],[Cell_ID]],'Registre_Maintenance'!B:B,'Registre_Maintenance'!G:G,"Pas de correspondance")</f>
        <v>Pas de correspondance</v>
      </c>
      <c r="M424" s="1" t="s">
        <v>809</v>
      </c>
      <c r="N424" s="1" t="str">
        <f>_xlfn.XLOOKUP(Logs[[#This Row],[ID_Client]],Clients_Log!B:B,Clients_Log!E:E,"Pas de correspondance")</f>
        <v>Pas de correspondance</v>
      </c>
      <c r="O424" s="4" t="str">
        <f>IFERROR(Logs[[#This Row],[Anciennete_Mois]]/12,"")</f>
        <v/>
      </c>
      <c r="P424" s="1" t="str">
        <f>_xlfn.XLOOKUP(Logs[[#This Row],[ID_Client]],Clients_Log!B:B,Clients_Log!F:F,"Pas de correspondance")</f>
        <v>Pas de correspondance</v>
      </c>
      <c r="Q424" s="1" t="str">
        <f>IF(Logs[[#This Row],[Type_Forfait]]="Pro Monde","B2B","B2C")</f>
        <v>B2C</v>
      </c>
      <c r="R424" s="1" t="str">
        <f>_xlfn.XLOOKUP(Logs[[#This Row],[ID_Client]],Clients_Log!B:B,Clients_Log!G:G,"Pas de correspondance")</f>
        <v>Pas de correspondance</v>
      </c>
      <c r="S424" s="1" t="e">
        <f>Logs[[#This Row],[Duree_Cumulee_Panne_Min]]/1440</f>
        <v>#VALUE!</v>
      </c>
      <c r="T424" s="1" t="str">
        <f>_xlfn.XLOOKUP(Logs[[#This Row],[ID_Client]],Clients_Log!B:B,Clients_Log!H:H,"Pas de correspondance")</f>
        <v>Pas de correspondance</v>
      </c>
      <c r="U424" s="1" t="str">
        <f>_xlfn.XLOOKUP(Logs[[#This Row],[ID_Client]],Clients_Log!B:B,Clients_Log!I:I,"Pas de correspondance")</f>
        <v>Pas de correspondance</v>
      </c>
      <c r="V42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24" s="1" t="e">
        <f>Logs[[#This Row],[Facture_Mensuelle]]*Logs[[#This Row],[Remise (%)]]</f>
        <v>#VALUE!</v>
      </c>
    </row>
    <row r="425" spans="1:23" hidden="1" x14ac:dyDescent="0.25">
      <c r="A425" s="1" t="s">
        <v>1133</v>
      </c>
      <c r="B425" s="2">
        <v>45208</v>
      </c>
      <c r="C425" s="1" t="str">
        <f>_xlfn.XLOOKUP(Logs[[#This Row],[Province_RDC]],Clients_Log!D:D,Clients_Log!B:B,"Pas de correspondance")</f>
        <v>Pas de correspondance</v>
      </c>
      <c r="D425" t="str">
        <f>_xlfn.XLOOKUP(Logs[[#This Row],[Cell_ID]],'Registre_Maintenance'!B:B,'Registre_Maintenance'!C:C,"Pas de correspondance")</f>
        <v>Pas de correspondance</v>
      </c>
      <c r="E425" s="3">
        <v>7.4999999999999997E-2</v>
      </c>
      <c r="F425" s="1" t="s">
        <v>1062</v>
      </c>
      <c r="G425" s="3">
        <f>Logs[[#This Row],[Duree_Panne_Min]]/1440</f>
        <v>5.6944444444444443E-2</v>
      </c>
      <c r="H425">
        <v>82</v>
      </c>
      <c r="I425" t="str">
        <f>_xlfn.XLOOKUP(Logs[[#This Row],[Cell_ID]],'Registre_Maintenance'!B:B,'Registre_Maintenance'!D:D,"Pas de correspondance")</f>
        <v>Pas de correspondance</v>
      </c>
      <c r="J425" t="str">
        <f>_xlfn.XLOOKUP(Logs[[#This Row],[Cell_ID]],'Registre_Maintenance'!B:B,'Registre_Maintenance'!E:E,"Pas de correspondance")</f>
        <v>Pas de correspondance</v>
      </c>
      <c r="K425" t="str">
        <f>_xlfn.XLOOKUP(Logs[[#This Row],[Cell_ID]],'Registre_Maintenance'!B:B,'Registre_Maintenance'!F:F,"Pas de correspondance")</f>
        <v>Pas de correspondance</v>
      </c>
      <c r="L425" t="str">
        <f>_xlfn.XLOOKUP(Logs[[#This Row],[Cell_ID]],'Registre_Maintenance'!B:B,'Registre_Maintenance'!G:G,"Pas de correspondance")</f>
        <v>Pas de correspondance</v>
      </c>
      <c r="M425" s="1" t="s">
        <v>811</v>
      </c>
      <c r="N425" s="1" t="str">
        <f>_xlfn.XLOOKUP(Logs[[#This Row],[ID_Client]],Clients_Log!B:B,Clients_Log!E:E,"Pas de correspondance")</f>
        <v>Pas de correspondance</v>
      </c>
      <c r="O425" s="4" t="str">
        <f>IFERROR(Logs[[#This Row],[Anciennete_Mois]]/12,"")</f>
        <v/>
      </c>
      <c r="P425" s="1" t="str">
        <f>_xlfn.XLOOKUP(Logs[[#This Row],[ID_Client]],Clients_Log!B:B,Clients_Log!F:F,"Pas de correspondance")</f>
        <v>Pas de correspondance</v>
      </c>
      <c r="Q425" s="1" t="str">
        <f>IF(Logs[[#This Row],[Type_Forfait]]="Pro Monde","B2B","B2C")</f>
        <v>B2C</v>
      </c>
      <c r="R425" s="1" t="str">
        <f>_xlfn.XLOOKUP(Logs[[#This Row],[ID_Client]],Clients_Log!B:B,Clients_Log!G:G,"Pas de correspondance")</f>
        <v>Pas de correspondance</v>
      </c>
      <c r="S425" s="1" t="e">
        <f>Logs[[#This Row],[Duree_Cumulee_Panne_Min]]/1440</f>
        <v>#VALUE!</v>
      </c>
      <c r="T425" s="1" t="str">
        <f>_xlfn.XLOOKUP(Logs[[#This Row],[ID_Client]],Clients_Log!B:B,Clients_Log!H:H,"Pas de correspondance")</f>
        <v>Pas de correspondance</v>
      </c>
      <c r="U425" s="1" t="str">
        <f>_xlfn.XLOOKUP(Logs[[#This Row],[ID_Client]],Clients_Log!B:B,Clients_Log!I:I,"Pas de correspondance")</f>
        <v>Pas de correspondance</v>
      </c>
      <c r="V42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25" s="1" t="e">
        <f>Logs[[#This Row],[Facture_Mensuelle]]*Logs[[#This Row],[Remise (%)]]</f>
        <v>#VALUE!</v>
      </c>
    </row>
    <row r="426" spans="1:23" hidden="1" x14ac:dyDescent="0.25">
      <c r="A426" s="1" t="s">
        <v>1133</v>
      </c>
      <c r="B426" s="2">
        <v>45220</v>
      </c>
      <c r="C426" s="1" t="str">
        <f>_xlfn.XLOOKUP(Logs[[#This Row],[Province_RDC]],Clients_Log!D:D,Clients_Log!B:B,"Pas de correspondance")</f>
        <v>Pas de correspondance</v>
      </c>
      <c r="D426" t="str">
        <f>_xlfn.XLOOKUP(Logs[[#This Row],[Cell_ID]],'Registre_Maintenance'!B:B,'Registre_Maintenance'!C:C,"Pas de correspondance")</f>
        <v>Pas de correspondance</v>
      </c>
      <c r="E426" s="3">
        <v>0.26250000000000001</v>
      </c>
      <c r="F426" s="1" t="s">
        <v>1158</v>
      </c>
      <c r="G426" s="3">
        <f>Logs[[#This Row],[Duree_Panne_Min]]/1440</f>
        <v>6.6666666666666666E-2</v>
      </c>
      <c r="H426">
        <v>96</v>
      </c>
      <c r="I426" t="str">
        <f>_xlfn.XLOOKUP(Logs[[#This Row],[Cell_ID]],'Registre_Maintenance'!B:B,'Registre_Maintenance'!D:D,"Pas de correspondance")</f>
        <v>Pas de correspondance</v>
      </c>
      <c r="J426" t="str">
        <f>_xlfn.XLOOKUP(Logs[[#This Row],[Cell_ID]],'Registre_Maintenance'!B:B,'Registre_Maintenance'!E:E,"Pas de correspondance")</f>
        <v>Pas de correspondance</v>
      </c>
      <c r="K426" t="str">
        <f>_xlfn.XLOOKUP(Logs[[#This Row],[Cell_ID]],'Registre_Maintenance'!B:B,'Registre_Maintenance'!F:F,"Pas de correspondance")</f>
        <v>Pas de correspondance</v>
      </c>
      <c r="L426" t="str">
        <f>_xlfn.XLOOKUP(Logs[[#This Row],[Cell_ID]],'Registre_Maintenance'!B:B,'Registre_Maintenance'!G:G,"Pas de correspondance")</f>
        <v>Pas de correspondance</v>
      </c>
      <c r="M426" s="1" t="s">
        <v>806</v>
      </c>
      <c r="N426" s="1" t="str">
        <f>_xlfn.XLOOKUP(Logs[[#This Row],[ID_Client]],Clients_Log!B:B,Clients_Log!E:E,"Pas de correspondance")</f>
        <v>Pas de correspondance</v>
      </c>
      <c r="O426" s="4" t="str">
        <f>IFERROR(Logs[[#This Row],[Anciennete_Mois]]/12,"")</f>
        <v/>
      </c>
      <c r="P426" s="1" t="str">
        <f>_xlfn.XLOOKUP(Logs[[#This Row],[ID_Client]],Clients_Log!B:B,Clients_Log!F:F,"Pas de correspondance")</f>
        <v>Pas de correspondance</v>
      </c>
      <c r="Q426" s="1" t="str">
        <f>IF(Logs[[#This Row],[Type_Forfait]]="Pro Monde","B2B","B2C")</f>
        <v>B2C</v>
      </c>
      <c r="R426" s="1" t="str">
        <f>_xlfn.XLOOKUP(Logs[[#This Row],[ID_Client]],Clients_Log!B:B,Clients_Log!G:G,"Pas de correspondance")</f>
        <v>Pas de correspondance</v>
      </c>
      <c r="S426" s="1" t="e">
        <f>Logs[[#This Row],[Duree_Cumulee_Panne_Min]]/1440</f>
        <v>#VALUE!</v>
      </c>
      <c r="T426" s="1" t="str">
        <f>_xlfn.XLOOKUP(Logs[[#This Row],[ID_Client]],Clients_Log!B:B,Clients_Log!H:H,"Pas de correspondance")</f>
        <v>Pas de correspondance</v>
      </c>
      <c r="U426" s="1" t="str">
        <f>_xlfn.XLOOKUP(Logs[[#This Row],[ID_Client]],Clients_Log!B:B,Clients_Log!I:I,"Pas de correspondance")</f>
        <v>Pas de correspondance</v>
      </c>
      <c r="V42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26" s="1" t="e">
        <f>Logs[[#This Row],[Facture_Mensuelle]]*Logs[[#This Row],[Remise (%)]]</f>
        <v>#VALUE!</v>
      </c>
    </row>
    <row r="427" spans="1:23" hidden="1" x14ac:dyDescent="0.25">
      <c r="A427" s="1" t="s">
        <v>1133</v>
      </c>
      <c r="B427" s="2">
        <v>45211</v>
      </c>
      <c r="C427" s="1" t="str">
        <f>_xlfn.XLOOKUP(Logs[[#This Row],[Province_RDC]],Clients_Log!D:D,Clients_Log!B:B,"Pas de correspondance")</f>
        <v>Pas de correspondance</v>
      </c>
      <c r="D427" t="str">
        <f>_xlfn.XLOOKUP(Logs[[#This Row],[Cell_ID]],'Registre_Maintenance'!B:B,'Registre_Maintenance'!C:C,"Pas de correspondance")</f>
        <v>Pas de correspondance</v>
      </c>
      <c r="E427" s="3">
        <v>7.9861111111111105E-2</v>
      </c>
      <c r="F427" s="1" t="s">
        <v>1159</v>
      </c>
      <c r="G427" s="3">
        <f>Logs[[#This Row],[Duree_Panne_Min]]/1440</f>
        <v>4.0972222222222222E-2</v>
      </c>
      <c r="H427">
        <v>59</v>
      </c>
      <c r="I427" t="str">
        <f>_xlfn.XLOOKUP(Logs[[#This Row],[Cell_ID]],'Registre_Maintenance'!B:B,'Registre_Maintenance'!D:D,"Pas de correspondance")</f>
        <v>Pas de correspondance</v>
      </c>
      <c r="J427" t="str">
        <f>_xlfn.XLOOKUP(Logs[[#This Row],[Cell_ID]],'Registre_Maintenance'!B:B,'Registre_Maintenance'!E:E,"Pas de correspondance")</f>
        <v>Pas de correspondance</v>
      </c>
      <c r="K427" t="str">
        <f>_xlfn.XLOOKUP(Logs[[#This Row],[Cell_ID]],'Registre_Maintenance'!B:B,'Registre_Maintenance'!F:F,"Pas de correspondance")</f>
        <v>Pas de correspondance</v>
      </c>
      <c r="L427" t="str">
        <f>_xlfn.XLOOKUP(Logs[[#This Row],[Cell_ID]],'Registre_Maintenance'!B:B,'Registre_Maintenance'!G:G,"Pas de correspondance")</f>
        <v>Pas de correspondance</v>
      </c>
      <c r="M427" s="1" t="s">
        <v>809</v>
      </c>
      <c r="N427" s="1" t="str">
        <f>_xlfn.XLOOKUP(Logs[[#This Row],[ID_Client]],Clients_Log!B:B,Clients_Log!E:E,"Pas de correspondance")</f>
        <v>Pas de correspondance</v>
      </c>
      <c r="O427" s="4" t="str">
        <f>IFERROR(Logs[[#This Row],[Anciennete_Mois]]/12,"")</f>
        <v/>
      </c>
      <c r="P427" s="1" t="str">
        <f>_xlfn.XLOOKUP(Logs[[#This Row],[ID_Client]],Clients_Log!B:B,Clients_Log!F:F,"Pas de correspondance")</f>
        <v>Pas de correspondance</v>
      </c>
      <c r="Q427" s="1" t="str">
        <f>IF(Logs[[#This Row],[Type_Forfait]]="Pro Monde","B2B","B2C")</f>
        <v>B2C</v>
      </c>
      <c r="R427" s="1" t="str">
        <f>_xlfn.XLOOKUP(Logs[[#This Row],[ID_Client]],Clients_Log!B:B,Clients_Log!G:G,"Pas de correspondance")</f>
        <v>Pas de correspondance</v>
      </c>
      <c r="S427" s="1" t="e">
        <f>Logs[[#This Row],[Duree_Cumulee_Panne_Min]]/1440</f>
        <v>#VALUE!</v>
      </c>
      <c r="T427" s="1" t="str">
        <f>_xlfn.XLOOKUP(Logs[[#This Row],[ID_Client]],Clients_Log!B:B,Clients_Log!H:H,"Pas de correspondance")</f>
        <v>Pas de correspondance</v>
      </c>
      <c r="U427" s="1" t="str">
        <f>_xlfn.XLOOKUP(Logs[[#This Row],[ID_Client]],Clients_Log!B:B,Clients_Log!I:I,"Pas de correspondance")</f>
        <v>Pas de correspondance</v>
      </c>
      <c r="V42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27" s="1" t="e">
        <f>Logs[[#This Row],[Facture_Mensuelle]]*Logs[[#This Row],[Remise (%)]]</f>
        <v>#VALUE!</v>
      </c>
    </row>
    <row r="428" spans="1:23" hidden="1" x14ac:dyDescent="0.25">
      <c r="A428" s="1" t="s">
        <v>1133</v>
      </c>
      <c r="B428" s="2">
        <v>45220</v>
      </c>
      <c r="C428" s="1" t="str">
        <f>_xlfn.XLOOKUP(Logs[[#This Row],[Province_RDC]],Clients_Log!D:D,Clients_Log!B:B,"Pas de correspondance")</f>
        <v>Pas de correspondance</v>
      </c>
      <c r="D428" t="str">
        <f>_xlfn.XLOOKUP(Logs[[#This Row],[Cell_ID]],'Registre_Maintenance'!B:B,'Registre_Maintenance'!C:C,"Pas de correspondance")</f>
        <v>Pas de correspondance</v>
      </c>
      <c r="E428" s="3">
        <v>0.4284722222222222</v>
      </c>
      <c r="F428" s="1" t="s">
        <v>833</v>
      </c>
      <c r="G428" s="3">
        <f>Logs[[#This Row],[Duree_Panne_Min]]/1440</f>
        <v>1.8055555555555554E-2</v>
      </c>
      <c r="H428">
        <v>26</v>
      </c>
      <c r="I428" t="str">
        <f>_xlfn.XLOOKUP(Logs[[#This Row],[Cell_ID]],'Registre_Maintenance'!B:B,'Registre_Maintenance'!D:D,"Pas de correspondance")</f>
        <v>Pas de correspondance</v>
      </c>
      <c r="J428" t="str">
        <f>_xlfn.XLOOKUP(Logs[[#This Row],[Cell_ID]],'Registre_Maintenance'!B:B,'Registre_Maintenance'!E:E,"Pas de correspondance")</f>
        <v>Pas de correspondance</v>
      </c>
      <c r="K428" t="str">
        <f>_xlfn.XLOOKUP(Logs[[#This Row],[Cell_ID]],'Registre_Maintenance'!B:B,'Registre_Maintenance'!F:F,"Pas de correspondance")</f>
        <v>Pas de correspondance</v>
      </c>
      <c r="L428" t="str">
        <f>_xlfn.XLOOKUP(Logs[[#This Row],[Cell_ID]],'Registre_Maintenance'!B:B,'Registre_Maintenance'!G:G,"Pas de correspondance")</f>
        <v>Pas de correspondance</v>
      </c>
      <c r="M428" s="1" t="s">
        <v>811</v>
      </c>
      <c r="N428" s="1" t="str">
        <f>_xlfn.XLOOKUP(Logs[[#This Row],[ID_Client]],Clients_Log!B:B,Clients_Log!E:E,"Pas de correspondance")</f>
        <v>Pas de correspondance</v>
      </c>
      <c r="O428" s="4" t="str">
        <f>IFERROR(Logs[[#This Row],[Anciennete_Mois]]/12,"")</f>
        <v/>
      </c>
      <c r="P428" s="1" t="str">
        <f>_xlfn.XLOOKUP(Logs[[#This Row],[ID_Client]],Clients_Log!B:B,Clients_Log!F:F,"Pas de correspondance")</f>
        <v>Pas de correspondance</v>
      </c>
      <c r="Q428" s="1" t="str">
        <f>IF(Logs[[#This Row],[Type_Forfait]]="Pro Monde","B2B","B2C")</f>
        <v>B2C</v>
      </c>
      <c r="R428" s="1" t="str">
        <f>_xlfn.XLOOKUP(Logs[[#This Row],[ID_Client]],Clients_Log!B:B,Clients_Log!G:G,"Pas de correspondance")</f>
        <v>Pas de correspondance</v>
      </c>
      <c r="S428" s="1" t="e">
        <f>Logs[[#This Row],[Duree_Cumulee_Panne_Min]]/1440</f>
        <v>#VALUE!</v>
      </c>
      <c r="T428" s="1" t="str">
        <f>_xlfn.XLOOKUP(Logs[[#This Row],[ID_Client]],Clients_Log!B:B,Clients_Log!H:H,"Pas de correspondance")</f>
        <v>Pas de correspondance</v>
      </c>
      <c r="U428" s="1" t="str">
        <f>_xlfn.XLOOKUP(Logs[[#This Row],[ID_Client]],Clients_Log!B:B,Clients_Log!I:I,"Pas de correspondance")</f>
        <v>Pas de correspondance</v>
      </c>
      <c r="V42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28" s="1" t="e">
        <f>Logs[[#This Row],[Facture_Mensuelle]]*Logs[[#This Row],[Remise (%)]]</f>
        <v>#VALUE!</v>
      </c>
    </row>
    <row r="429" spans="1:23" hidden="1" x14ac:dyDescent="0.25">
      <c r="A429" s="1" t="s">
        <v>1133</v>
      </c>
      <c r="B429" s="2">
        <v>45203</v>
      </c>
      <c r="C429" s="1" t="str">
        <f>_xlfn.XLOOKUP(Logs[[#This Row],[Province_RDC]],Clients_Log!D:D,Clients_Log!B:B,"Pas de correspondance")</f>
        <v>Pas de correspondance</v>
      </c>
      <c r="D429" t="str">
        <f>_xlfn.XLOOKUP(Logs[[#This Row],[Cell_ID]],'Registre_Maintenance'!B:B,'Registre_Maintenance'!C:C,"Pas de correspondance")</f>
        <v>Pas de correspondance</v>
      </c>
      <c r="E429" s="3">
        <v>0.47708333333333336</v>
      </c>
      <c r="F429" s="1" t="s">
        <v>1160</v>
      </c>
      <c r="G429" s="3">
        <f>Logs[[#This Row],[Duree_Panne_Min]]/1440</f>
        <v>6.458333333333334E-2</v>
      </c>
      <c r="H429">
        <v>93</v>
      </c>
      <c r="I429" t="str">
        <f>_xlfn.XLOOKUP(Logs[[#This Row],[Cell_ID]],'Registre_Maintenance'!B:B,'Registre_Maintenance'!D:D,"Pas de correspondance")</f>
        <v>Pas de correspondance</v>
      </c>
      <c r="J429" t="str">
        <f>_xlfn.XLOOKUP(Logs[[#This Row],[Cell_ID]],'Registre_Maintenance'!B:B,'Registre_Maintenance'!E:E,"Pas de correspondance")</f>
        <v>Pas de correspondance</v>
      </c>
      <c r="K429" t="str">
        <f>_xlfn.XLOOKUP(Logs[[#This Row],[Cell_ID]],'Registre_Maintenance'!B:B,'Registre_Maintenance'!F:F,"Pas de correspondance")</f>
        <v>Pas de correspondance</v>
      </c>
      <c r="L429" t="str">
        <f>_xlfn.XLOOKUP(Logs[[#This Row],[Cell_ID]],'Registre_Maintenance'!B:B,'Registre_Maintenance'!G:G,"Pas de correspondance")</f>
        <v>Pas de correspondance</v>
      </c>
      <c r="M429" s="1" t="s">
        <v>809</v>
      </c>
      <c r="N429" s="1" t="str">
        <f>_xlfn.XLOOKUP(Logs[[#This Row],[ID_Client]],Clients_Log!B:B,Clients_Log!E:E,"Pas de correspondance")</f>
        <v>Pas de correspondance</v>
      </c>
      <c r="O429" s="4" t="str">
        <f>IFERROR(Logs[[#This Row],[Anciennete_Mois]]/12,"")</f>
        <v/>
      </c>
      <c r="P429" s="1" t="str">
        <f>_xlfn.XLOOKUP(Logs[[#This Row],[ID_Client]],Clients_Log!B:B,Clients_Log!F:F,"Pas de correspondance")</f>
        <v>Pas de correspondance</v>
      </c>
      <c r="Q429" s="1" t="str">
        <f>IF(Logs[[#This Row],[Type_Forfait]]="Pro Monde","B2B","B2C")</f>
        <v>B2C</v>
      </c>
      <c r="R429" s="1" t="str">
        <f>_xlfn.XLOOKUP(Logs[[#This Row],[ID_Client]],Clients_Log!B:B,Clients_Log!G:G,"Pas de correspondance")</f>
        <v>Pas de correspondance</v>
      </c>
      <c r="S429" s="1" t="e">
        <f>Logs[[#This Row],[Duree_Cumulee_Panne_Min]]/1440</f>
        <v>#VALUE!</v>
      </c>
      <c r="T429" s="1" t="str">
        <f>_xlfn.XLOOKUP(Logs[[#This Row],[ID_Client]],Clients_Log!B:B,Clients_Log!H:H,"Pas de correspondance")</f>
        <v>Pas de correspondance</v>
      </c>
      <c r="U429" s="1" t="str">
        <f>_xlfn.XLOOKUP(Logs[[#This Row],[ID_Client]],Clients_Log!B:B,Clients_Log!I:I,"Pas de correspondance")</f>
        <v>Pas de correspondance</v>
      </c>
      <c r="V42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29" s="1" t="e">
        <f>Logs[[#This Row],[Facture_Mensuelle]]*Logs[[#This Row],[Remise (%)]]</f>
        <v>#VALUE!</v>
      </c>
    </row>
    <row r="430" spans="1:23" hidden="1" x14ac:dyDescent="0.25">
      <c r="A430" s="1" t="s">
        <v>1161</v>
      </c>
      <c r="B430" s="2">
        <v>45202</v>
      </c>
      <c r="C430" s="1" t="str">
        <f>_xlfn.XLOOKUP(Logs[[#This Row],[Province_RDC]],Clients_Log!D:D,Clients_Log!B:B,"Pas de correspondance")</f>
        <v>Pas de correspondance</v>
      </c>
      <c r="D430" t="str">
        <f>_xlfn.XLOOKUP(Logs[[#This Row],[Cell_ID]],'Registre_Maintenance'!B:B,'Registre_Maintenance'!C:C,"Pas de correspondance")</f>
        <v>Pas de correspondance</v>
      </c>
      <c r="E430" s="3">
        <v>0.91249999999999998</v>
      </c>
      <c r="F430" s="1" t="s">
        <v>1162</v>
      </c>
      <c r="G430" s="3">
        <f>Logs[[#This Row],[Duree_Panne_Min]]/1440</f>
        <v>4.7222222222222221E-2</v>
      </c>
      <c r="H430">
        <v>68</v>
      </c>
      <c r="I430" t="str">
        <f>_xlfn.XLOOKUP(Logs[[#This Row],[Cell_ID]],'Registre_Maintenance'!B:B,'Registre_Maintenance'!D:D,"Pas de correspondance")</f>
        <v>Pas de correspondance</v>
      </c>
      <c r="J430" t="str">
        <f>_xlfn.XLOOKUP(Logs[[#This Row],[Cell_ID]],'Registre_Maintenance'!B:B,'Registre_Maintenance'!E:E,"Pas de correspondance")</f>
        <v>Pas de correspondance</v>
      </c>
      <c r="K430" t="str">
        <f>_xlfn.XLOOKUP(Logs[[#This Row],[Cell_ID]],'Registre_Maintenance'!B:B,'Registre_Maintenance'!F:F,"Pas de correspondance")</f>
        <v>Pas de correspondance</v>
      </c>
      <c r="L430" t="str">
        <f>_xlfn.XLOOKUP(Logs[[#This Row],[Cell_ID]],'Registre_Maintenance'!B:B,'Registre_Maintenance'!G:G,"Pas de correspondance")</f>
        <v>Pas de correspondance</v>
      </c>
      <c r="M430" s="1" t="s">
        <v>811</v>
      </c>
      <c r="N430" s="1" t="str">
        <f>_xlfn.XLOOKUP(Logs[[#This Row],[ID_Client]],Clients_Log!B:B,Clients_Log!E:E,"Pas de correspondance")</f>
        <v>Pas de correspondance</v>
      </c>
      <c r="O430" s="4" t="str">
        <f>IFERROR(Logs[[#This Row],[Anciennete_Mois]]/12,"")</f>
        <v/>
      </c>
      <c r="P430" s="1" t="str">
        <f>_xlfn.XLOOKUP(Logs[[#This Row],[ID_Client]],Clients_Log!B:B,Clients_Log!F:F,"Pas de correspondance")</f>
        <v>Pas de correspondance</v>
      </c>
      <c r="Q430" s="1" t="str">
        <f>IF(Logs[[#This Row],[Type_Forfait]]="Pro Monde","B2B","B2C")</f>
        <v>B2C</v>
      </c>
      <c r="R430" s="1" t="str">
        <f>_xlfn.XLOOKUP(Logs[[#This Row],[ID_Client]],Clients_Log!B:B,Clients_Log!G:G,"Pas de correspondance")</f>
        <v>Pas de correspondance</v>
      </c>
      <c r="S430" s="1" t="e">
        <f>Logs[[#This Row],[Duree_Cumulee_Panne_Min]]/1440</f>
        <v>#VALUE!</v>
      </c>
      <c r="T430" s="1" t="str">
        <f>_xlfn.XLOOKUP(Logs[[#This Row],[ID_Client]],Clients_Log!B:B,Clients_Log!H:H,"Pas de correspondance")</f>
        <v>Pas de correspondance</v>
      </c>
      <c r="U430" s="1" t="str">
        <f>_xlfn.XLOOKUP(Logs[[#This Row],[ID_Client]],Clients_Log!B:B,Clients_Log!I:I,"Pas de correspondance")</f>
        <v>Pas de correspondance</v>
      </c>
      <c r="V43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30" s="1" t="e">
        <f>Logs[[#This Row],[Facture_Mensuelle]]*Logs[[#This Row],[Remise (%)]]</f>
        <v>#VALUE!</v>
      </c>
    </row>
    <row r="431" spans="1:23" hidden="1" x14ac:dyDescent="0.25">
      <c r="A431" s="1" t="s">
        <v>1161</v>
      </c>
      <c r="B431" s="2">
        <v>45210</v>
      </c>
      <c r="C431" s="1" t="str">
        <f>_xlfn.XLOOKUP(Logs[[#This Row],[Province_RDC]],Clients_Log!D:D,Clients_Log!B:B,"Pas de correspondance")</f>
        <v>Pas de correspondance</v>
      </c>
      <c r="D431" t="str">
        <f>_xlfn.XLOOKUP(Logs[[#This Row],[Cell_ID]],'Registre_Maintenance'!B:B,'Registre_Maintenance'!C:C,"Pas de correspondance")</f>
        <v>Pas de correspondance</v>
      </c>
      <c r="E431" s="3">
        <v>0.89027777777777772</v>
      </c>
      <c r="F431" s="1" t="s">
        <v>1000</v>
      </c>
      <c r="G431" s="3">
        <f>Logs[[#This Row],[Duree_Panne_Min]]/1440</f>
        <v>8.1944444444444445E-2</v>
      </c>
      <c r="H431">
        <v>118</v>
      </c>
      <c r="I431" t="str">
        <f>_xlfn.XLOOKUP(Logs[[#This Row],[Cell_ID]],'Registre_Maintenance'!B:B,'Registre_Maintenance'!D:D,"Pas de correspondance")</f>
        <v>Pas de correspondance</v>
      </c>
      <c r="J431" t="str">
        <f>_xlfn.XLOOKUP(Logs[[#This Row],[Cell_ID]],'Registre_Maintenance'!B:B,'Registre_Maintenance'!E:E,"Pas de correspondance")</f>
        <v>Pas de correspondance</v>
      </c>
      <c r="K431" t="str">
        <f>_xlfn.XLOOKUP(Logs[[#This Row],[Cell_ID]],'Registre_Maintenance'!B:B,'Registre_Maintenance'!F:F,"Pas de correspondance")</f>
        <v>Pas de correspondance</v>
      </c>
      <c r="L431" t="str">
        <f>_xlfn.XLOOKUP(Logs[[#This Row],[Cell_ID]],'Registre_Maintenance'!B:B,'Registre_Maintenance'!G:G,"Pas de correspondance")</f>
        <v>Pas de correspondance</v>
      </c>
      <c r="M431" s="1" t="s">
        <v>806</v>
      </c>
      <c r="N431" s="1" t="str">
        <f>_xlfn.XLOOKUP(Logs[[#This Row],[ID_Client]],Clients_Log!B:B,Clients_Log!E:E,"Pas de correspondance")</f>
        <v>Pas de correspondance</v>
      </c>
      <c r="O431" s="4" t="str">
        <f>IFERROR(Logs[[#This Row],[Anciennete_Mois]]/12,"")</f>
        <v/>
      </c>
      <c r="P431" s="1" t="str">
        <f>_xlfn.XLOOKUP(Logs[[#This Row],[ID_Client]],Clients_Log!B:B,Clients_Log!F:F,"Pas de correspondance")</f>
        <v>Pas de correspondance</v>
      </c>
      <c r="Q431" s="1" t="str">
        <f>IF(Logs[[#This Row],[Type_Forfait]]="Pro Monde","B2B","B2C")</f>
        <v>B2C</v>
      </c>
      <c r="R431" s="1" t="str">
        <f>_xlfn.XLOOKUP(Logs[[#This Row],[ID_Client]],Clients_Log!B:B,Clients_Log!G:G,"Pas de correspondance")</f>
        <v>Pas de correspondance</v>
      </c>
      <c r="S431" s="1" t="e">
        <f>Logs[[#This Row],[Duree_Cumulee_Panne_Min]]/1440</f>
        <v>#VALUE!</v>
      </c>
      <c r="T431" s="1" t="str">
        <f>_xlfn.XLOOKUP(Logs[[#This Row],[ID_Client]],Clients_Log!B:B,Clients_Log!H:H,"Pas de correspondance")</f>
        <v>Pas de correspondance</v>
      </c>
      <c r="U431" s="1" t="str">
        <f>_xlfn.XLOOKUP(Logs[[#This Row],[ID_Client]],Clients_Log!B:B,Clients_Log!I:I,"Pas de correspondance")</f>
        <v>Pas de correspondance</v>
      </c>
      <c r="V43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31" s="1" t="e">
        <f>Logs[[#This Row],[Facture_Mensuelle]]*Logs[[#This Row],[Remise (%)]]</f>
        <v>#VALUE!</v>
      </c>
    </row>
    <row r="432" spans="1:23" hidden="1" x14ac:dyDescent="0.25">
      <c r="A432" s="1" t="s">
        <v>1161</v>
      </c>
      <c r="B432" s="2">
        <v>45222</v>
      </c>
      <c r="C432" s="1" t="str">
        <f>_xlfn.XLOOKUP(Logs[[#This Row],[Province_RDC]],Clients_Log!D:D,Clients_Log!B:B,"Pas de correspondance")</f>
        <v>Pas de correspondance</v>
      </c>
      <c r="D432" t="str">
        <f>_xlfn.XLOOKUP(Logs[[#This Row],[Cell_ID]],'Registre_Maintenance'!B:B,'Registre_Maintenance'!C:C,"Pas de correspondance")</f>
        <v>Pas de correspondance</v>
      </c>
      <c r="E432" s="3">
        <v>0.1076388888888889</v>
      </c>
      <c r="F432" s="1" t="s">
        <v>919</v>
      </c>
      <c r="G432" s="3">
        <f>Logs[[#This Row],[Duree_Panne_Min]]/1440</f>
        <v>5.9027777777777776E-2</v>
      </c>
      <c r="H432">
        <v>85</v>
      </c>
      <c r="I432" t="str">
        <f>_xlfn.XLOOKUP(Logs[[#This Row],[Cell_ID]],'Registre_Maintenance'!B:B,'Registre_Maintenance'!D:D,"Pas de correspondance")</f>
        <v>Pas de correspondance</v>
      </c>
      <c r="J432" t="str">
        <f>_xlfn.XLOOKUP(Logs[[#This Row],[Cell_ID]],'Registre_Maintenance'!B:B,'Registre_Maintenance'!E:E,"Pas de correspondance")</f>
        <v>Pas de correspondance</v>
      </c>
      <c r="K432" t="str">
        <f>_xlfn.XLOOKUP(Logs[[#This Row],[Cell_ID]],'Registre_Maintenance'!B:B,'Registre_Maintenance'!F:F,"Pas de correspondance")</f>
        <v>Pas de correspondance</v>
      </c>
      <c r="L432" t="str">
        <f>_xlfn.XLOOKUP(Logs[[#This Row],[Cell_ID]],'Registre_Maintenance'!B:B,'Registre_Maintenance'!G:G,"Pas de correspondance")</f>
        <v>Pas de correspondance</v>
      </c>
      <c r="M432" s="1" t="s">
        <v>806</v>
      </c>
      <c r="N432" s="1" t="str">
        <f>_xlfn.XLOOKUP(Logs[[#This Row],[ID_Client]],Clients_Log!B:B,Clients_Log!E:E,"Pas de correspondance")</f>
        <v>Pas de correspondance</v>
      </c>
      <c r="O432" s="4" t="str">
        <f>IFERROR(Logs[[#This Row],[Anciennete_Mois]]/12,"")</f>
        <v/>
      </c>
      <c r="P432" s="1" t="str">
        <f>_xlfn.XLOOKUP(Logs[[#This Row],[ID_Client]],Clients_Log!B:B,Clients_Log!F:F,"Pas de correspondance")</f>
        <v>Pas de correspondance</v>
      </c>
      <c r="Q432" s="1" t="str">
        <f>IF(Logs[[#This Row],[Type_Forfait]]="Pro Monde","B2B","B2C")</f>
        <v>B2C</v>
      </c>
      <c r="R432" s="1" t="str">
        <f>_xlfn.XLOOKUP(Logs[[#This Row],[ID_Client]],Clients_Log!B:B,Clients_Log!G:G,"Pas de correspondance")</f>
        <v>Pas de correspondance</v>
      </c>
      <c r="S432" s="1" t="e">
        <f>Logs[[#This Row],[Duree_Cumulee_Panne_Min]]/1440</f>
        <v>#VALUE!</v>
      </c>
      <c r="T432" s="1" t="str">
        <f>_xlfn.XLOOKUP(Logs[[#This Row],[ID_Client]],Clients_Log!B:B,Clients_Log!H:H,"Pas de correspondance")</f>
        <v>Pas de correspondance</v>
      </c>
      <c r="U432" s="1" t="str">
        <f>_xlfn.XLOOKUP(Logs[[#This Row],[ID_Client]],Clients_Log!B:B,Clients_Log!I:I,"Pas de correspondance")</f>
        <v>Pas de correspondance</v>
      </c>
      <c r="V43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32" s="1" t="e">
        <f>Logs[[#This Row],[Facture_Mensuelle]]*Logs[[#This Row],[Remise (%)]]</f>
        <v>#VALUE!</v>
      </c>
    </row>
    <row r="433" spans="1:23" hidden="1" x14ac:dyDescent="0.25">
      <c r="A433" s="1" t="s">
        <v>1161</v>
      </c>
      <c r="B433" s="2">
        <v>45217</v>
      </c>
      <c r="C433" s="1" t="str">
        <f>_xlfn.XLOOKUP(Logs[[#This Row],[Province_RDC]],Clients_Log!D:D,Clients_Log!B:B,"Pas de correspondance")</f>
        <v>Pas de correspondance</v>
      </c>
      <c r="D433" t="str">
        <f>_xlfn.XLOOKUP(Logs[[#This Row],[Cell_ID]],'Registre_Maintenance'!B:B,'Registre_Maintenance'!C:C,"Pas de correspondance")</f>
        <v>Pas de correspondance</v>
      </c>
      <c r="E433" s="3">
        <v>0.41458333333333336</v>
      </c>
      <c r="F433" s="1" t="s">
        <v>922</v>
      </c>
      <c r="G433" s="3">
        <f>Logs[[#This Row],[Duree_Panne_Min]]/1440</f>
        <v>5.1388888888888887E-2</v>
      </c>
      <c r="H433">
        <v>74</v>
      </c>
      <c r="I433" t="str">
        <f>_xlfn.XLOOKUP(Logs[[#This Row],[Cell_ID]],'Registre_Maintenance'!B:B,'Registre_Maintenance'!D:D,"Pas de correspondance")</f>
        <v>Pas de correspondance</v>
      </c>
      <c r="J433" t="str">
        <f>_xlfn.XLOOKUP(Logs[[#This Row],[Cell_ID]],'Registre_Maintenance'!B:B,'Registre_Maintenance'!E:E,"Pas de correspondance")</f>
        <v>Pas de correspondance</v>
      </c>
      <c r="K433" t="str">
        <f>_xlfn.XLOOKUP(Logs[[#This Row],[Cell_ID]],'Registre_Maintenance'!B:B,'Registre_Maintenance'!F:F,"Pas de correspondance")</f>
        <v>Pas de correspondance</v>
      </c>
      <c r="L433" t="str">
        <f>_xlfn.XLOOKUP(Logs[[#This Row],[Cell_ID]],'Registre_Maintenance'!B:B,'Registre_Maintenance'!G:G,"Pas de correspondance")</f>
        <v>Pas de correspondance</v>
      </c>
      <c r="M433" s="1" t="s">
        <v>811</v>
      </c>
      <c r="N433" s="1" t="str">
        <f>_xlfn.XLOOKUP(Logs[[#This Row],[ID_Client]],Clients_Log!B:B,Clients_Log!E:E,"Pas de correspondance")</f>
        <v>Pas de correspondance</v>
      </c>
      <c r="O433" s="4" t="str">
        <f>IFERROR(Logs[[#This Row],[Anciennete_Mois]]/12,"")</f>
        <v/>
      </c>
      <c r="P433" s="1" t="str">
        <f>_xlfn.XLOOKUP(Logs[[#This Row],[ID_Client]],Clients_Log!B:B,Clients_Log!F:F,"Pas de correspondance")</f>
        <v>Pas de correspondance</v>
      </c>
      <c r="Q433" s="1" t="str">
        <f>IF(Logs[[#This Row],[Type_Forfait]]="Pro Monde","B2B","B2C")</f>
        <v>B2C</v>
      </c>
      <c r="R433" s="1" t="str">
        <f>_xlfn.XLOOKUP(Logs[[#This Row],[ID_Client]],Clients_Log!B:B,Clients_Log!G:G,"Pas de correspondance")</f>
        <v>Pas de correspondance</v>
      </c>
      <c r="S433" s="1" t="e">
        <f>Logs[[#This Row],[Duree_Cumulee_Panne_Min]]/1440</f>
        <v>#VALUE!</v>
      </c>
      <c r="T433" s="1" t="str">
        <f>_xlfn.XLOOKUP(Logs[[#This Row],[ID_Client]],Clients_Log!B:B,Clients_Log!H:H,"Pas de correspondance")</f>
        <v>Pas de correspondance</v>
      </c>
      <c r="U433" s="1" t="str">
        <f>_xlfn.XLOOKUP(Logs[[#This Row],[ID_Client]],Clients_Log!B:B,Clients_Log!I:I,"Pas de correspondance")</f>
        <v>Pas de correspondance</v>
      </c>
      <c r="V43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33" s="1" t="e">
        <f>Logs[[#This Row],[Facture_Mensuelle]]*Logs[[#This Row],[Remise (%)]]</f>
        <v>#VALUE!</v>
      </c>
    </row>
    <row r="434" spans="1:23" hidden="1" x14ac:dyDescent="0.25">
      <c r="A434" s="1" t="s">
        <v>1161</v>
      </c>
      <c r="B434" s="2">
        <v>45209</v>
      </c>
      <c r="C434" s="1" t="str">
        <f>_xlfn.XLOOKUP(Logs[[#This Row],[Province_RDC]],Clients_Log!D:D,Clients_Log!B:B,"Pas de correspondance")</f>
        <v>Pas de correspondance</v>
      </c>
      <c r="D434" t="str">
        <f>_xlfn.XLOOKUP(Logs[[#This Row],[Cell_ID]],'Registre_Maintenance'!B:B,'Registre_Maintenance'!C:C,"Pas de correspondance")</f>
        <v>Pas de correspondance</v>
      </c>
      <c r="E434" s="3">
        <v>0.23958333333333334</v>
      </c>
      <c r="F434" s="1" t="s">
        <v>1163</v>
      </c>
      <c r="G434" s="3">
        <f>Logs[[#This Row],[Duree_Panne_Min]]/1440</f>
        <v>2.9166666666666667E-2</v>
      </c>
      <c r="H434">
        <v>42</v>
      </c>
      <c r="I434" t="str">
        <f>_xlfn.XLOOKUP(Logs[[#This Row],[Cell_ID]],'Registre_Maintenance'!B:B,'Registre_Maintenance'!D:D,"Pas de correspondance")</f>
        <v>Pas de correspondance</v>
      </c>
      <c r="J434" t="str">
        <f>_xlfn.XLOOKUP(Logs[[#This Row],[Cell_ID]],'Registre_Maintenance'!B:B,'Registre_Maintenance'!E:E,"Pas de correspondance")</f>
        <v>Pas de correspondance</v>
      </c>
      <c r="K434" t="str">
        <f>_xlfn.XLOOKUP(Logs[[#This Row],[Cell_ID]],'Registre_Maintenance'!B:B,'Registre_Maintenance'!F:F,"Pas de correspondance")</f>
        <v>Pas de correspondance</v>
      </c>
      <c r="L434" t="str">
        <f>_xlfn.XLOOKUP(Logs[[#This Row],[Cell_ID]],'Registre_Maintenance'!B:B,'Registre_Maintenance'!G:G,"Pas de correspondance")</f>
        <v>Pas de correspondance</v>
      </c>
      <c r="M434" s="1" t="s">
        <v>811</v>
      </c>
      <c r="N434" s="1" t="str">
        <f>_xlfn.XLOOKUP(Logs[[#This Row],[ID_Client]],Clients_Log!B:B,Clients_Log!E:E,"Pas de correspondance")</f>
        <v>Pas de correspondance</v>
      </c>
      <c r="O434" s="4" t="str">
        <f>IFERROR(Logs[[#This Row],[Anciennete_Mois]]/12,"")</f>
        <v/>
      </c>
      <c r="P434" s="1" t="str">
        <f>_xlfn.XLOOKUP(Logs[[#This Row],[ID_Client]],Clients_Log!B:B,Clients_Log!F:F,"Pas de correspondance")</f>
        <v>Pas de correspondance</v>
      </c>
      <c r="Q434" s="1" t="str">
        <f>IF(Logs[[#This Row],[Type_Forfait]]="Pro Monde","B2B","B2C")</f>
        <v>B2C</v>
      </c>
      <c r="R434" s="1" t="str">
        <f>_xlfn.XLOOKUP(Logs[[#This Row],[ID_Client]],Clients_Log!B:B,Clients_Log!G:G,"Pas de correspondance")</f>
        <v>Pas de correspondance</v>
      </c>
      <c r="S434" s="1" t="e">
        <f>Logs[[#This Row],[Duree_Cumulee_Panne_Min]]/1440</f>
        <v>#VALUE!</v>
      </c>
      <c r="T434" s="1" t="str">
        <f>_xlfn.XLOOKUP(Logs[[#This Row],[ID_Client]],Clients_Log!B:B,Clients_Log!H:H,"Pas de correspondance")</f>
        <v>Pas de correspondance</v>
      </c>
      <c r="U434" s="1" t="str">
        <f>_xlfn.XLOOKUP(Logs[[#This Row],[ID_Client]],Clients_Log!B:B,Clients_Log!I:I,"Pas de correspondance")</f>
        <v>Pas de correspondance</v>
      </c>
      <c r="V43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34" s="1" t="e">
        <f>Logs[[#This Row],[Facture_Mensuelle]]*Logs[[#This Row],[Remise (%)]]</f>
        <v>#VALUE!</v>
      </c>
    </row>
    <row r="435" spans="1:23" hidden="1" x14ac:dyDescent="0.25">
      <c r="A435" s="1" t="s">
        <v>1161</v>
      </c>
      <c r="B435" s="2">
        <v>45222</v>
      </c>
      <c r="C435" s="1" t="str">
        <f>_xlfn.XLOOKUP(Logs[[#This Row],[Province_RDC]],Clients_Log!D:D,Clients_Log!B:B,"Pas de correspondance")</f>
        <v>Pas de correspondance</v>
      </c>
      <c r="D435" t="str">
        <f>_xlfn.XLOOKUP(Logs[[#This Row],[Cell_ID]],'Registre_Maintenance'!B:B,'Registre_Maintenance'!C:C,"Pas de correspondance")</f>
        <v>Pas de correspondance</v>
      </c>
      <c r="E435" s="3">
        <v>0.94444444444444442</v>
      </c>
      <c r="F435" s="1" t="s">
        <v>1020</v>
      </c>
      <c r="G435" s="3">
        <f>Logs[[#This Row],[Duree_Panne_Min]]/1440</f>
        <v>6.0416666666666667E-2</v>
      </c>
      <c r="H435">
        <v>87</v>
      </c>
      <c r="I435" t="str">
        <f>_xlfn.XLOOKUP(Logs[[#This Row],[Cell_ID]],'Registre_Maintenance'!B:B,'Registre_Maintenance'!D:D,"Pas de correspondance")</f>
        <v>Pas de correspondance</v>
      </c>
      <c r="J435" t="str">
        <f>_xlfn.XLOOKUP(Logs[[#This Row],[Cell_ID]],'Registre_Maintenance'!B:B,'Registre_Maintenance'!E:E,"Pas de correspondance")</f>
        <v>Pas de correspondance</v>
      </c>
      <c r="K435" t="str">
        <f>_xlfn.XLOOKUP(Logs[[#This Row],[Cell_ID]],'Registre_Maintenance'!B:B,'Registre_Maintenance'!F:F,"Pas de correspondance")</f>
        <v>Pas de correspondance</v>
      </c>
      <c r="L435" t="str">
        <f>_xlfn.XLOOKUP(Logs[[#This Row],[Cell_ID]],'Registre_Maintenance'!B:B,'Registre_Maintenance'!G:G,"Pas de correspondance")</f>
        <v>Pas de correspondance</v>
      </c>
      <c r="M435" s="1" t="s">
        <v>809</v>
      </c>
      <c r="N435" s="1" t="str">
        <f>_xlfn.XLOOKUP(Logs[[#This Row],[ID_Client]],Clients_Log!B:B,Clients_Log!E:E,"Pas de correspondance")</f>
        <v>Pas de correspondance</v>
      </c>
      <c r="O435" s="4" t="str">
        <f>IFERROR(Logs[[#This Row],[Anciennete_Mois]]/12,"")</f>
        <v/>
      </c>
      <c r="P435" s="1" t="str">
        <f>_xlfn.XLOOKUP(Logs[[#This Row],[ID_Client]],Clients_Log!B:B,Clients_Log!F:F,"Pas de correspondance")</f>
        <v>Pas de correspondance</v>
      </c>
      <c r="Q435" s="1" t="str">
        <f>IF(Logs[[#This Row],[Type_Forfait]]="Pro Monde","B2B","B2C")</f>
        <v>B2C</v>
      </c>
      <c r="R435" s="1" t="str">
        <f>_xlfn.XLOOKUP(Logs[[#This Row],[ID_Client]],Clients_Log!B:B,Clients_Log!G:G,"Pas de correspondance")</f>
        <v>Pas de correspondance</v>
      </c>
      <c r="S435" s="1" t="e">
        <f>Logs[[#This Row],[Duree_Cumulee_Panne_Min]]/1440</f>
        <v>#VALUE!</v>
      </c>
      <c r="T435" s="1" t="str">
        <f>_xlfn.XLOOKUP(Logs[[#This Row],[ID_Client]],Clients_Log!B:B,Clients_Log!H:H,"Pas de correspondance")</f>
        <v>Pas de correspondance</v>
      </c>
      <c r="U435" s="1" t="str">
        <f>_xlfn.XLOOKUP(Logs[[#This Row],[ID_Client]],Clients_Log!B:B,Clients_Log!I:I,"Pas de correspondance")</f>
        <v>Pas de correspondance</v>
      </c>
      <c r="V43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35" s="1" t="e">
        <f>Logs[[#This Row],[Facture_Mensuelle]]*Logs[[#This Row],[Remise (%)]]</f>
        <v>#VALUE!</v>
      </c>
    </row>
    <row r="436" spans="1:23" hidden="1" x14ac:dyDescent="0.25">
      <c r="A436" s="1" t="s">
        <v>1161</v>
      </c>
      <c r="B436" s="2">
        <v>45205</v>
      </c>
      <c r="C436" s="1" t="str">
        <f>_xlfn.XLOOKUP(Logs[[#This Row],[Province_RDC]],Clients_Log!D:D,Clients_Log!B:B,"Pas de correspondance")</f>
        <v>Pas de correspondance</v>
      </c>
      <c r="D436" t="str">
        <f>_xlfn.XLOOKUP(Logs[[#This Row],[Cell_ID]],'Registre_Maintenance'!B:B,'Registre_Maintenance'!C:C,"Pas de correspondance")</f>
        <v>Pas de correspondance</v>
      </c>
      <c r="E436" s="3">
        <v>0.48055555555555557</v>
      </c>
      <c r="F436" s="1" t="s">
        <v>1164</v>
      </c>
      <c r="G436" s="3">
        <f>Logs[[#This Row],[Duree_Panne_Min]]/1440</f>
        <v>2.9861111111111113E-2</v>
      </c>
      <c r="H436">
        <v>43</v>
      </c>
      <c r="I436" t="str">
        <f>_xlfn.XLOOKUP(Logs[[#This Row],[Cell_ID]],'Registre_Maintenance'!B:B,'Registre_Maintenance'!D:D,"Pas de correspondance")</f>
        <v>Pas de correspondance</v>
      </c>
      <c r="J436" t="str">
        <f>_xlfn.XLOOKUP(Logs[[#This Row],[Cell_ID]],'Registre_Maintenance'!B:B,'Registre_Maintenance'!E:E,"Pas de correspondance")</f>
        <v>Pas de correspondance</v>
      </c>
      <c r="K436" t="str">
        <f>_xlfn.XLOOKUP(Logs[[#This Row],[Cell_ID]],'Registre_Maintenance'!B:B,'Registre_Maintenance'!F:F,"Pas de correspondance")</f>
        <v>Pas de correspondance</v>
      </c>
      <c r="L436" t="str">
        <f>_xlfn.XLOOKUP(Logs[[#This Row],[Cell_ID]],'Registre_Maintenance'!B:B,'Registre_Maintenance'!G:G,"Pas de correspondance")</f>
        <v>Pas de correspondance</v>
      </c>
      <c r="M436" s="1" t="s">
        <v>809</v>
      </c>
      <c r="N436" s="1" t="str">
        <f>_xlfn.XLOOKUP(Logs[[#This Row],[ID_Client]],Clients_Log!B:B,Clients_Log!E:E,"Pas de correspondance")</f>
        <v>Pas de correspondance</v>
      </c>
      <c r="O436" s="4" t="str">
        <f>IFERROR(Logs[[#This Row],[Anciennete_Mois]]/12,"")</f>
        <v/>
      </c>
      <c r="P436" s="1" t="str">
        <f>_xlfn.XLOOKUP(Logs[[#This Row],[ID_Client]],Clients_Log!B:B,Clients_Log!F:F,"Pas de correspondance")</f>
        <v>Pas de correspondance</v>
      </c>
      <c r="Q436" s="1" t="str">
        <f>IF(Logs[[#This Row],[Type_Forfait]]="Pro Monde","B2B","B2C")</f>
        <v>B2C</v>
      </c>
      <c r="R436" s="1" t="str">
        <f>_xlfn.XLOOKUP(Logs[[#This Row],[ID_Client]],Clients_Log!B:B,Clients_Log!G:G,"Pas de correspondance")</f>
        <v>Pas de correspondance</v>
      </c>
      <c r="S436" s="1" t="e">
        <f>Logs[[#This Row],[Duree_Cumulee_Panne_Min]]/1440</f>
        <v>#VALUE!</v>
      </c>
      <c r="T436" s="1" t="str">
        <f>_xlfn.XLOOKUP(Logs[[#This Row],[ID_Client]],Clients_Log!B:B,Clients_Log!H:H,"Pas de correspondance")</f>
        <v>Pas de correspondance</v>
      </c>
      <c r="U436" s="1" t="str">
        <f>_xlfn.XLOOKUP(Logs[[#This Row],[ID_Client]],Clients_Log!B:B,Clients_Log!I:I,"Pas de correspondance")</f>
        <v>Pas de correspondance</v>
      </c>
      <c r="V43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36" s="1" t="e">
        <f>Logs[[#This Row],[Facture_Mensuelle]]*Logs[[#This Row],[Remise (%)]]</f>
        <v>#VALUE!</v>
      </c>
    </row>
    <row r="437" spans="1:23" x14ac:dyDescent="0.25">
      <c r="A437" s="1" t="s">
        <v>1161</v>
      </c>
      <c r="B437" s="2">
        <v>45207</v>
      </c>
      <c r="C437" s="1" t="str">
        <f>_xlfn.XLOOKUP(Logs[[#This Row],[Province_RDC]],Clients_Log!D:D,Clients_Log!B:B,"Pas de correspondance")</f>
        <v>CLI-01837</v>
      </c>
      <c r="D437" t="str">
        <f>_xlfn.XLOOKUP(Logs[[#This Row],[Cell_ID]],'Registre_Maintenance'!B:B,'Registre_Maintenance'!C:C,"Pas de correspondance")</f>
        <v>Kasaï-Oriental</v>
      </c>
      <c r="E437" s="3">
        <v>0.13333333333333333</v>
      </c>
      <c r="F437" s="1" t="s">
        <v>1165</v>
      </c>
      <c r="G437" s="3">
        <f>Logs[[#This Row],[Duree_Panne_Min]]/1440</f>
        <v>4.583333333333333E-2</v>
      </c>
      <c r="H437">
        <v>66</v>
      </c>
      <c r="I437">
        <f>_xlfn.XLOOKUP(Logs[[#This Row],[Cell_ID]],'Registre_Maintenance'!B:B,'Registre_Maintenance'!D:D,"Pas de correspondance")</f>
        <v>-5.4073029999999997</v>
      </c>
      <c r="J437">
        <f>_xlfn.XLOOKUP(Logs[[#This Row],[Cell_ID]],'Registre_Maintenance'!B:B,'Registre_Maintenance'!E:E,"Pas de correspondance")</f>
        <v>29.762294000000001</v>
      </c>
      <c r="K437" t="str">
        <f>_xlfn.XLOOKUP(Logs[[#This Row],[Cell_ID]],'Registre_Maintenance'!B:B,'Registre_Maintenance'!F:F,"Pas de correspondance")</f>
        <v>3G</v>
      </c>
      <c r="L437" t="str">
        <f>_xlfn.XLOOKUP(Logs[[#This Row],[Cell_ID]],'Registre_Maintenance'!B:B,'Registre_Maintenance'!G:G,"Pas de correspondance")</f>
        <v>Ericsson</v>
      </c>
      <c r="M437" s="1" t="s">
        <v>809</v>
      </c>
      <c r="N437" s="1">
        <f>_xlfn.XLOOKUP(Logs[[#This Row],[ID_Client]],Clients_Log!B:B,Clients_Log!E:E,"Pas de correspondance")</f>
        <v>97</v>
      </c>
      <c r="O437" s="4">
        <f>IFERROR(Logs[[#This Row],[Anciennete_Mois]]/12,"")</f>
        <v>8.0833333333333339</v>
      </c>
      <c r="P437" s="1" t="str">
        <f>_xlfn.XLOOKUP(Logs[[#This Row],[ID_Client]],Clients_Log!B:B,Clients_Log!F:F,"Pas de correspondance")</f>
        <v>Pro Monde</v>
      </c>
      <c r="Q437" s="1" t="str">
        <f>IF(Logs[[#This Row],[Type_Forfait]]="Pro Monde","B2B","B2C")</f>
        <v>B2B</v>
      </c>
      <c r="R437" s="1">
        <f>_xlfn.XLOOKUP(Logs[[#This Row],[ID_Client]],Clients_Log!B:B,Clients_Log!G:G,"Pas de correspondance")</f>
        <v>319</v>
      </c>
      <c r="S437" s="3">
        <f>Logs[[#This Row],[Duree_Cumulee_Panne_Min]]/1440</f>
        <v>0.22152777777777777</v>
      </c>
      <c r="T437" s="1">
        <f>_xlfn.XLOOKUP(Logs[[#This Row],[ID_Client]],Clients_Log!B:B,Clients_Log!H:H,"Pas de correspondance")</f>
        <v>31.25</v>
      </c>
      <c r="U437" s="1">
        <f>_xlfn.XLOOKUP(Logs[[#This Row],[ID_Client]],Clients_Log!B:B,Clients_Log!I:I,"Pas de correspondance")</f>
        <v>1</v>
      </c>
      <c r="V43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37" s="1">
        <f>Logs[[#This Row],[Facture_Mensuelle]]*Logs[[#This Row],[Remise (%)]]</f>
        <v>14.0625</v>
      </c>
    </row>
    <row r="438" spans="1:23" hidden="1" x14ac:dyDescent="0.25">
      <c r="A438" s="1" t="s">
        <v>1161</v>
      </c>
      <c r="B438" s="2">
        <v>45225</v>
      </c>
      <c r="C438" s="1" t="str">
        <f>_xlfn.XLOOKUP(Logs[[#This Row],[Province_RDC]],Clients_Log!D:D,Clients_Log!B:B,"Pas de correspondance")</f>
        <v>Pas de correspondance</v>
      </c>
      <c r="D438" t="str">
        <f>_xlfn.XLOOKUP(Logs[[#This Row],[Cell_ID]],'Registre_Maintenance'!B:B,'Registre_Maintenance'!C:C,"Pas de correspondance")</f>
        <v>Pas de correspondance</v>
      </c>
      <c r="E438" s="3">
        <v>0.17708333333333334</v>
      </c>
      <c r="F438" s="1" t="s">
        <v>1166</v>
      </c>
      <c r="G438" s="3">
        <f>Logs[[#This Row],[Duree_Panne_Min]]/1440</f>
        <v>2.5000000000000001E-2</v>
      </c>
      <c r="H438">
        <v>36</v>
      </c>
      <c r="I438" t="str">
        <f>_xlfn.XLOOKUP(Logs[[#This Row],[Cell_ID]],'Registre_Maintenance'!B:B,'Registre_Maintenance'!D:D,"Pas de correspondance")</f>
        <v>Pas de correspondance</v>
      </c>
      <c r="J438" t="str">
        <f>_xlfn.XLOOKUP(Logs[[#This Row],[Cell_ID]],'Registre_Maintenance'!B:B,'Registre_Maintenance'!E:E,"Pas de correspondance")</f>
        <v>Pas de correspondance</v>
      </c>
      <c r="K438" t="str">
        <f>_xlfn.XLOOKUP(Logs[[#This Row],[Cell_ID]],'Registre_Maintenance'!B:B,'Registre_Maintenance'!F:F,"Pas de correspondance")</f>
        <v>Pas de correspondance</v>
      </c>
      <c r="L438" t="str">
        <f>_xlfn.XLOOKUP(Logs[[#This Row],[Cell_ID]],'Registre_Maintenance'!B:B,'Registre_Maintenance'!G:G,"Pas de correspondance")</f>
        <v>Pas de correspondance</v>
      </c>
      <c r="M438" s="1" t="s">
        <v>811</v>
      </c>
      <c r="N438" s="1" t="str">
        <f>_xlfn.XLOOKUP(Logs[[#This Row],[ID_Client]],Clients_Log!B:B,Clients_Log!E:E,"Pas de correspondance")</f>
        <v>Pas de correspondance</v>
      </c>
      <c r="O438" s="4" t="str">
        <f>IFERROR(Logs[[#This Row],[Anciennete_Mois]]/12,"")</f>
        <v/>
      </c>
      <c r="P438" s="1" t="str">
        <f>_xlfn.XLOOKUP(Logs[[#This Row],[ID_Client]],Clients_Log!B:B,Clients_Log!F:F,"Pas de correspondance")</f>
        <v>Pas de correspondance</v>
      </c>
      <c r="Q438" s="1" t="str">
        <f>IF(Logs[[#This Row],[Type_Forfait]]="Pro Monde","B2B","B2C")</f>
        <v>B2C</v>
      </c>
      <c r="R438" s="1" t="str">
        <f>_xlfn.XLOOKUP(Logs[[#This Row],[ID_Client]],Clients_Log!B:B,Clients_Log!G:G,"Pas de correspondance")</f>
        <v>Pas de correspondance</v>
      </c>
      <c r="S438" s="1" t="e">
        <f>Logs[[#This Row],[Duree_Cumulee_Panne_Min]]/1440</f>
        <v>#VALUE!</v>
      </c>
      <c r="T438" s="1" t="str">
        <f>_xlfn.XLOOKUP(Logs[[#This Row],[ID_Client]],Clients_Log!B:B,Clients_Log!H:H,"Pas de correspondance")</f>
        <v>Pas de correspondance</v>
      </c>
      <c r="U438" s="1" t="str">
        <f>_xlfn.XLOOKUP(Logs[[#This Row],[ID_Client]],Clients_Log!B:B,Clients_Log!I:I,"Pas de correspondance")</f>
        <v>Pas de correspondance</v>
      </c>
      <c r="V43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38" s="1" t="e">
        <f>Logs[[#This Row],[Facture_Mensuelle]]*Logs[[#This Row],[Remise (%)]]</f>
        <v>#VALUE!</v>
      </c>
    </row>
    <row r="439" spans="1:23" x14ac:dyDescent="0.25">
      <c r="A439" s="1" t="s">
        <v>1161</v>
      </c>
      <c r="B439" s="2">
        <v>45225</v>
      </c>
      <c r="C439" s="1" t="str">
        <f>_xlfn.XLOOKUP(Logs[[#This Row],[Province_RDC]],Clients_Log!D:D,Clients_Log!B:B,"Pas de correspondance")</f>
        <v>CLI-00280</v>
      </c>
      <c r="D439" t="str">
        <f>_xlfn.XLOOKUP(Logs[[#This Row],[Cell_ID]],'Registre_Maintenance'!B:B,'Registre_Maintenance'!C:C,"Pas de correspondance")</f>
        <v>Sud-Ubangi</v>
      </c>
      <c r="E439" s="3">
        <v>0.62569444444444444</v>
      </c>
      <c r="F439" s="1" t="s">
        <v>1167</v>
      </c>
      <c r="G439" s="3">
        <f>Logs[[#This Row],[Duree_Panne_Min]]/1440</f>
        <v>7.4999999999999997E-2</v>
      </c>
      <c r="H439">
        <v>108</v>
      </c>
      <c r="I439">
        <f>_xlfn.XLOOKUP(Logs[[#This Row],[Cell_ID]],'Registre_Maintenance'!B:B,'Registre_Maintenance'!D:D,"Pas de correspondance")</f>
        <v>-10.611184</v>
      </c>
      <c r="J439">
        <f>_xlfn.XLOOKUP(Logs[[#This Row],[Cell_ID]],'Registre_Maintenance'!B:B,'Registre_Maintenance'!E:E,"Pas de correspondance")</f>
        <v>23.022268</v>
      </c>
      <c r="K439" t="str">
        <f>_xlfn.XLOOKUP(Logs[[#This Row],[Cell_ID]],'Registre_Maintenance'!B:B,'Registre_Maintenance'!F:F,"Pas de correspondance")</f>
        <v>5G</v>
      </c>
      <c r="L439" t="str">
        <f>_xlfn.XLOOKUP(Logs[[#This Row],[Cell_ID]],'Registre_Maintenance'!B:B,'Registre_Maintenance'!G:G,"Pas de correspondance")</f>
        <v>ZTE</v>
      </c>
      <c r="M439" s="1" t="s">
        <v>811</v>
      </c>
      <c r="N439" s="1">
        <f>_xlfn.XLOOKUP(Logs[[#This Row],[ID_Client]],Clients_Log!B:B,Clients_Log!E:E,"Pas de correspondance")</f>
        <v>113</v>
      </c>
      <c r="O439" s="4">
        <f>IFERROR(Logs[[#This Row],[Anciennete_Mois]]/12,"")</f>
        <v>9.4166666666666661</v>
      </c>
      <c r="P439" s="1" t="str">
        <f>_xlfn.XLOOKUP(Logs[[#This Row],[ID_Client]],Clients_Log!B:B,Clients_Log!F:F,"Pas de correspondance")</f>
        <v>Illimité 50Go</v>
      </c>
      <c r="Q439" s="1" t="str">
        <f>IF(Logs[[#This Row],[Type_Forfait]]="Pro Monde","B2B","B2C")</f>
        <v>B2C</v>
      </c>
      <c r="R439" s="1">
        <f>_xlfn.XLOOKUP(Logs[[#This Row],[ID_Client]],Clients_Log!B:B,Clients_Log!G:G,"Pas de correspondance")</f>
        <v>380</v>
      </c>
      <c r="S439" s="3">
        <f>Logs[[#This Row],[Duree_Cumulee_Panne_Min]]/1440</f>
        <v>0.2638888888888889</v>
      </c>
      <c r="T439" s="1">
        <f>_xlfn.XLOOKUP(Logs[[#This Row],[ID_Client]],Clients_Log!B:B,Clients_Log!H:H,"Pas de correspondance")</f>
        <v>12.11</v>
      </c>
      <c r="U439" s="1">
        <f>_xlfn.XLOOKUP(Logs[[#This Row],[ID_Client]],Clients_Log!B:B,Clients_Log!I:I,"Pas de correspondance")</f>
        <v>0</v>
      </c>
      <c r="V43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39" s="1">
        <f>Logs[[#This Row],[Facture_Mensuelle]]*Logs[[#This Row],[Remise (%)]]</f>
        <v>5.4494999999999996</v>
      </c>
    </row>
    <row r="440" spans="1:23" hidden="1" x14ac:dyDescent="0.25">
      <c r="A440" s="1" t="s">
        <v>1161</v>
      </c>
      <c r="B440" s="2">
        <v>45211</v>
      </c>
      <c r="C440" s="1" t="str">
        <f>_xlfn.XLOOKUP(Logs[[#This Row],[Province_RDC]],Clients_Log!D:D,Clients_Log!B:B,"Pas de correspondance")</f>
        <v>Pas de correspondance</v>
      </c>
      <c r="D440" t="str">
        <f>_xlfn.XLOOKUP(Logs[[#This Row],[Cell_ID]],'Registre_Maintenance'!B:B,'Registre_Maintenance'!C:C,"Pas de correspondance")</f>
        <v>Pas de correspondance</v>
      </c>
      <c r="E440" s="3">
        <v>0.73333333333333328</v>
      </c>
      <c r="F440" s="1" t="s">
        <v>1168</v>
      </c>
      <c r="G440" s="3">
        <f>Logs[[#This Row],[Duree_Panne_Min]]/1440</f>
        <v>7.4999999999999997E-2</v>
      </c>
      <c r="H440">
        <v>108</v>
      </c>
      <c r="I440" t="str">
        <f>_xlfn.XLOOKUP(Logs[[#This Row],[Cell_ID]],'Registre_Maintenance'!B:B,'Registre_Maintenance'!D:D,"Pas de correspondance")</f>
        <v>Pas de correspondance</v>
      </c>
      <c r="J440" t="str">
        <f>_xlfn.XLOOKUP(Logs[[#This Row],[Cell_ID]],'Registre_Maintenance'!B:B,'Registre_Maintenance'!E:E,"Pas de correspondance")</f>
        <v>Pas de correspondance</v>
      </c>
      <c r="K440" t="str">
        <f>_xlfn.XLOOKUP(Logs[[#This Row],[Cell_ID]],'Registre_Maintenance'!B:B,'Registre_Maintenance'!F:F,"Pas de correspondance")</f>
        <v>Pas de correspondance</v>
      </c>
      <c r="L440" t="str">
        <f>_xlfn.XLOOKUP(Logs[[#This Row],[Cell_ID]],'Registre_Maintenance'!B:B,'Registre_Maintenance'!G:G,"Pas de correspondance")</f>
        <v>Pas de correspondance</v>
      </c>
      <c r="M440" s="1" t="s">
        <v>809</v>
      </c>
      <c r="N440" s="1" t="str">
        <f>_xlfn.XLOOKUP(Logs[[#This Row],[ID_Client]],Clients_Log!B:B,Clients_Log!E:E,"Pas de correspondance")</f>
        <v>Pas de correspondance</v>
      </c>
      <c r="O440" s="4" t="str">
        <f>IFERROR(Logs[[#This Row],[Anciennete_Mois]]/12,"")</f>
        <v/>
      </c>
      <c r="P440" s="1" t="str">
        <f>_xlfn.XLOOKUP(Logs[[#This Row],[ID_Client]],Clients_Log!B:B,Clients_Log!F:F,"Pas de correspondance")</f>
        <v>Pas de correspondance</v>
      </c>
      <c r="Q440" s="1" t="str">
        <f>IF(Logs[[#This Row],[Type_Forfait]]="Pro Monde","B2B","B2C")</f>
        <v>B2C</v>
      </c>
      <c r="R440" s="1" t="str">
        <f>_xlfn.XLOOKUP(Logs[[#This Row],[ID_Client]],Clients_Log!B:B,Clients_Log!G:G,"Pas de correspondance")</f>
        <v>Pas de correspondance</v>
      </c>
      <c r="S440" s="1" t="e">
        <f>Logs[[#This Row],[Duree_Cumulee_Panne_Min]]/1440</f>
        <v>#VALUE!</v>
      </c>
      <c r="T440" s="1" t="str">
        <f>_xlfn.XLOOKUP(Logs[[#This Row],[ID_Client]],Clients_Log!B:B,Clients_Log!H:H,"Pas de correspondance")</f>
        <v>Pas de correspondance</v>
      </c>
      <c r="U440" s="1" t="str">
        <f>_xlfn.XLOOKUP(Logs[[#This Row],[ID_Client]],Clients_Log!B:B,Clients_Log!I:I,"Pas de correspondance")</f>
        <v>Pas de correspondance</v>
      </c>
      <c r="V44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40" s="1" t="e">
        <f>Logs[[#This Row],[Facture_Mensuelle]]*Logs[[#This Row],[Remise (%)]]</f>
        <v>#VALUE!</v>
      </c>
    </row>
    <row r="441" spans="1:23" x14ac:dyDescent="0.25">
      <c r="A441" s="1" t="s">
        <v>1161</v>
      </c>
      <c r="B441" s="2">
        <v>45211</v>
      </c>
      <c r="C441" s="1" t="str">
        <f>_xlfn.XLOOKUP(Logs[[#This Row],[Province_RDC]],Clients_Log!D:D,Clients_Log!B:B,"Pas de correspondance")</f>
        <v>CLI-00745</v>
      </c>
      <c r="D441" t="str">
        <f>_xlfn.XLOOKUP(Logs[[#This Row],[Cell_ID]],'Registre_Maintenance'!B:B,'Registre_Maintenance'!C:C,"Pas de correspondance")</f>
        <v>Tshopo</v>
      </c>
      <c r="E441" s="3">
        <v>0.61875000000000002</v>
      </c>
      <c r="F441" s="1" t="s">
        <v>1169</v>
      </c>
      <c r="G441" s="3">
        <f>Logs[[#This Row],[Duree_Panne_Min]]/1440</f>
        <v>6.3888888888888884E-2</v>
      </c>
      <c r="H441">
        <v>92</v>
      </c>
      <c r="I441">
        <f>_xlfn.XLOOKUP(Logs[[#This Row],[Cell_ID]],'Registre_Maintenance'!B:B,'Registre_Maintenance'!D:D,"Pas de correspondance")</f>
        <v>-0.85624699999999998</v>
      </c>
      <c r="J441">
        <f>_xlfn.XLOOKUP(Logs[[#This Row],[Cell_ID]],'Registre_Maintenance'!B:B,'Registre_Maintenance'!E:E,"Pas de correspondance")</f>
        <v>28.624870000000001</v>
      </c>
      <c r="K441" t="str">
        <f>_xlfn.XLOOKUP(Logs[[#This Row],[Cell_ID]],'Registre_Maintenance'!B:B,'Registre_Maintenance'!F:F,"Pas de correspondance")</f>
        <v>3G</v>
      </c>
      <c r="L441" t="str">
        <f>_xlfn.XLOOKUP(Logs[[#This Row],[Cell_ID]],'Registre_Maintenance'!B:B,'Registre_Maintenance'!G:G,"Pas de correspondance")</f>
        <v>Ericsson</v>
      </c>
      <c r="M441" s="1" t="s">
        <v>806</v>
      </c>
      <c r="N441" s="1">
        <f>_xlfn.XLOOKUP(Logs[[#This Row],[ID_Client]],Clients_Log!B:B,Clients_Log!E:E,"Pas de correspondance")</f>
        <v>6</v>
      </c>
      <c r="O441" s="4">
        <f>IFERROR(Logs[[#This Row],[Anciennete_Mois]]/12,"")</f>
        <v>0.5</v>
      </c>
      <c r="P441" s="1" t="str">
        <f>_xlfn.XLOOKUP(Logs[[#This Row],[ID_Client]],Clients_Log!B:B,Clients_Log!F:F,"Pas de correspondance")</f>
        <v>Premium 5G 150Go</v>
      </c>
      <c r="Q441" s="1" t="str">
        <f>IF(Logs[[#This Row],[Type_Forfait]]="Pro Monde","B2B","B2C")</f>
        <v>B2C</v>
      </c>
      <c r="R441" s="1">
        <f>_xlfn.XLOOKUP(Logs[[#This Row],[ID_Client]],Clients_Log!B:B,Clients_Log!G:G,"Pas de correspondance")</f>
        <v>207</v>
      </c>
      <c r="S441" s="3">
        <f>Logs[[#This Row],[Duree_Cumulee_Panne_Min]]/1440</f>
        <v>0.14374999999999999</v>
      </c>
      <c r="T441" s="1">
        <f>_xlfn.XLOOKUP(Logs[[#This Row],[ID_Client]],Clients_Log!B:B,Clients_Log!H:H,"Pas de correspondance")</f>
        <v>61.55</v>
      </c>
      <c r="U441" s="1">
        <f>_xlfn.XLOOKUP(Logs[[#This Row],[ID_Client]],Clients_Log!B:B,Clients_Log!I:I,"Pas de correspondance")</f>
        <v>0</v>
      </c>
      <c r="V44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41" s="1">
        <f>Logs[[#This Row],[Facture_Mensuelle]]*Logs[[#This Row],[Remise (%)]]</f>
        <v>27.697499999999998</v>
      </c>
    </row>
    <row r="442" spans="1:23" hidden="1" x14ac:dyDescent="0.25">
      <c r="A442" s="1" t="s">
        <v>1161</v>
      </c>
      <c r="B442" s="2">
        <v>45217</v>
      </c>
      <c r="C442" s="1" t="str">
        <f>_xlfn.XLOOKUP(Logs[[#This Row],[Province_RDC]],Clients_Log!D:D,Clients_Log!B:B,"Pas de correspondance")</f>
        <v>Pas de correspondance</v>
      </c>
      <c r="D442" t="str">
        <f>_xlfn.XLOOKUP(Logs[[#This Row],[Cell_ID]],'Registre_Maintenance'!B:B,'Registre_Maintenance'!C:C,"Pas de correspondance")</f>
        <v>Pas de correspondance</v>
      </c>
      <c r="E442" s="3">
        <v>0.19375000000000001</v>
      </c>
      <c r="F442" s="1" t="s">
        <v>1114</v>
      </c>
      <c r="G442" s="3">
        <f>Logs[[#This Row],[Duree_Panne_Min]]/1440</f>
        <v>3.888888888888889E-2</v>
      </c>
      <c r="H442">
        <v>56</v>
      </c>
      <c r="I442" t="str">
        <f>_xlfn.XLOOKUP(Logs[[#This Row],[Cell_ID]],'Registre_Maintenance'!B:B,'Registre_Maintenance'!D:D,"Pas de correspondance")</f>
        <v>Pas de correspondance</v>
      </c>
      <c r="J442" t="str">
        <f>_xlfn.XLOOKUP(Logs[[#This Row],[Cell_ID]],'Registre_Maintenance'!B:B,'Registre_Maintenance'!E:E,"Pas de correspondance")</f>
        <v>Pas de correspondance</v>
      </c>
      <c r="K442" t="str">
        <f>_xlfn.XLOOKUP(Logs[[#This Row],[Cell_ID]],'Registre_Maintenance'!B:B,'Registre_Maintenance'!F:F,"Pas de correspondance")</f>
        <v>Pas de correspondance</v>
      </c>
      <c r="L442" t="str">
        <f>_xlfn.XLOOKUP(Logs[[#This Row],[Cell_ID]],'Registre_Maintenance'!B:B,'Registre_Maintenance'!G:G,"Pas de correspondance")</f>
        <v>Pas de correspondance</v>
      </c>
      <c r="M442" s="1" t="s">
        <v>806</v>
      </c>
      <c r="N442" s="1" t="str">
        <f>_xlfn.XLOOKUP(Logs[[#This Row],[ID_Client]],Clients_Log!B:B,Clients_Log!E:E,"Pas de correspondance")</f>
        <v>Pas de correspondance</v>
      </c>
      <c r="O442" s="4" t="str">
        <f>IFERROR(Logs[[#This Row],[Anciennete_Mois]]/12,"")</f>
        <v/>
      </c>
      <c r="P442" s="1" t="str">
        <f>_xlfn.XLOOKUP(Logs[[#This Row],[ID_Client]],Clients_Log!B:B,Clients_Log!F:F,"Pas de correspondance")</f>
        <v>Pas de correspondance</v>
      </c>
      <c r="Q442" s="1" t="str">
        <f>IF(Logs[[#This Row],[Type_Forfait]]="Pro Monde","B2B","B2C")</f>
        <v>B2C</v>
      </c>
      <c r="R442" s="1" t="str">
        <f>_xlfn.XLOOKUP(Logs[[#This Row],[ID_Client]],Clients_Log!B:B,Clients_Log!G:G,"Pas de correspondance")</f>
        <v>Pas de correspondance</v>
      </c>
      <c r="S442" s="1" t="e">
        <f>Logs[[#This Row],[Duree_Cumulee_Panne_Min]]/1440</f>
        <v>#VALUE!</v>
      </c>
      <c r="T442" s="1" t="str">
        <f>_xlfn.XLOOKUP(Logs[[#This Row],[ID_Client]],Clients_Log!B:B,Clients_Log!H:H,"Pas de correspondance")</f>
        <v>Pas de correspondance</v>
      </c>
      <c r="U442" s="1" t="str">
        <f>_xlfn.XLOOKUP(Logs[[#This Row],[ID_Client]],Clients_Log!B:B,Clients_Log!I:I,"Pas de correspondance")</f>
        <v>Pas de correspondance</v>
      </c>
      <c r="V44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42" s="1" t="e">
        <f>Logs[[#This Row],[Facture_Mensuelle]]*Logs[[#This Row],[Remise (%)]]</f>
        <v>#VALUE!</v>
      </c>
    </row>
    <row r="443" spans="1:23" hidden="1" x14ac:dyDescent="0.25">
      <c r="A443" s="1" t="s">
        <v>1161</v>
      </c>
      <c r="B443" s="2">
        <v>45228</v>
      </c>
      <c r="C443" s="1" t="str">
        <f>_xlfn.XLOOKUP(Logs[[#This Row],[Province_RDC]],Clients_Log!D:D,Clients_Log!B:B,"Pas de correspondance")</f>
        <v>Pas de correspondance</v>
      </c>
      <c r="D443" t="str">
        <f>_xlfn.XLOOKUP(Logs[[#This Row],[Cell_ID]],'Registre_Maintenance'!B:B,'Registre_Maintenance'!C:C,"Pas de correspondance")</f>
        <v>Pas de correspondance</v>
      </c>
      <c r="E443" s="3">
        <v>8.611111111111111E-2</v>
      </c>
      <c r="F443" s="1" t="s">
        <v>1170</v>
      </c>
      <c r="G443" s="3">
        <f>Logs[[#This Row],[Duree_Panne_Min]]/1440</f>
        <v>2.9861111111111113E-2</v>
      </c>
      <c r="H443">
        <v>43</v>
      </c>
      <c r="I443" t="str">
        <f>_xlfn.XLOOKUP(Logs[[#This Row],[Cell_ID]],'Registre_Maintenance'!B:B,'Registre_Maintenance'!D:D,"Pas de correspondance")</f>
        <v>Pas de correspondance</v>
      </c>
      <c r="J443" t="str">
        <f>_xlfn.XLOOKUP(Logs[[#This Row],[Cell_ID]],'Registre_Maintenance'!B:B,'Registre_Maintenance'!E:E,"Pas de correspondance")</f>
        <v>Pas de correspondance</v>
      </c>
      <c r="K443" t="str">
        <f>_xlfn.XLOOKUP(Logs[[#This Row],[Cell_ID]],'Registre_Maintenance'!B:B,'Registre_Maintenance'!F:F,"Pas de correspondance")</f>
        <v>Pas de correspondance</v>
      </c>
      <c r="L443" t="str">
        <f>_xlfn.XLOOKUP(Logs[[#This Row],[Cell_ID]],'Registre_Maintenance'!B:B,'Registre_Maintenance'!G:G,"Pas de correspondance")</f>
        <v>Pas de correspondance</v>
      </c>
      <c r="M443" s="1" t="s">
        <v>811</v>
      </c>
      <c r="N443" s="1" t="str">
        <f>_xlfn.XLOOKUP(Logs[[#This Row],[ID_Client]],Clients_Log!B:B,Clients_Log!E:E,"Pas de correspondance")</f>
        <v>Pas de correspondance</v>
      </c>
      <c r="O443" s="4" t="str">
        <f>IFERROR(Logs[[#This Row],[Anciennete_Mois]]/12,"")</f>
        <v/>
      </c>
      <c r="P443" s="1" t="str">
        <f>_xlfn.XLOOKUP(Logs[[#This Row],[ID_Client]],Clients_Log!B:B,Clients_Log!F:F,"Pas de correspondance")</f>
        <v>Pas de correspondance</v>
      </c>
      <c r="Q443" s="1" t="str">
        <f>IF(Logs[[#This Row],[Type_Forfait]]="Pro Monde","B2B","B2C")</f>
        <v>B2C</v>
      </c>
      <c r="R443" s="1" t="str">
        <f>_xlfn.XLOOKUP(Logs[[#This Row],[ID_Client]],Clients_Log!B:B,Clients_Log!G:G,"Pas de correspondance")</f>
        <v>Pas de correspondance</v>
      </c>
      <c r="S443" s="1" t="e">
        <f>Logs[[#This Row],[Duree_Cumulee_Panne_Min]]/1440</f>
        <v>#VALUE!</v>
      </c>
      <c r="T443" s="1" t="str">
        <f>_xlfn.XLOOKUP(Logs[[#This Row],[ID_Client]],Clients_Log!B:B,Clients_Log!H:H,"Pas de correspondance")</f>
        <v>Pas de correspondance</v>
      </c>
      <c r="U443" s="1" t="str">
        <f>_xlfn.XLOOKUP(Logs[[#This Row],[ID_Client]],Clients_Log!B:B,Clients_Log!I:I,"Pas de correspondance")</f>
        <v>Pas de correspondance</v>
      </c>
      <c r="V44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43" s="1" t="e">
        <f>Logs[[#This Row],[Facture_Mensuelle]]*Logs[[#This Row],[Remise (%)]]</f>
        <v>#VALUE!</v>
      </c>
    </row>
    <row r="444" spans="1:23" x14ac:dyDescent="0.25">
      <c r="A444" s="1" t="s">
        <v>1161</v>
      </c>
      <c r="B444" s="2">
        <v>45209</v>
      </c>
      <c r="C444" s="1" t="str">
        <f>_xlfn.XLOOKUP(Logs[[#This Row],[Province_RDC]],Clients_Log!D:D,Clients_Log!B:B,"Pas de correspondance")</f>
        <v>CLI-00185</v>
      </c>
      <c r="D444" t="str">
        <f>_xlfn.XLOOKUP(Logs[[#This Row],[Cell_ID]],'Registre_Maintenance'!B:B,'Registre_Maintenance'!C:C,"Pas de correspondance")</f>
        <v>Maniema</v>
      </c>
      <c r="E444" s="3">
        <v>0.53125</v>
      </c>
      <c r="F444" s="1" t="s">
        <v>1171</v>
      </c>
      <c r="G444" s="3">
        <f>Logs[[#This Row],[Duree_Panne_Min]]/1440</f>
        <v>4.3749999999999997E-2</v>
      </c>
      <c r="H444">
        <v>63</v>
      </c>
      <c r="I444">
        <f>_xlfn.XLOOKUP(Logs[[#This Row],[Cell_ID]],'Registre_Maintenance'!B:B,'Registre_Maintenance'!D:D,"Pas de correspondance")</f>
        <v>1.727095</v>
      </c>
      <c r="J444">
        <f>_xlfn.XLOOKUP(Logs[[#This Row],[Cell_ID]],'Registre_Maintenance'!B:B,'Registre_Maintenance'!E:E,"Pas de correspondance")</f>
        <v>22.099651999999999</v>
      </c>
      <c r="K444" t="str">
        <f>_xlfn.XLOOKUP(Logs[[#This Row],[Cell_ID]],'Registre_Maintenance'!B:B,'Registre_Maintenance'!F:F,"Pas de correspondance")</f>
        <v>4G</v>
      </c>
      <c r="L444" t="str">
        <f>_xlfn.XLOOKUP(Logs[[#This Row],[Cell_ID]],'Registre_Maintenance'!B:B,'Registre_Maintenance'!G:G,"Pas de correspondance")</f>
        <v>Huawei</v>
      </c>
      <c r="M444" s="1" t="s">
        <v>806</v>
      </c>
      <c r="N444" s="1">
        <f>_xlfn.XLOOKUP(Logs[[#This Row],[ID_Client]],Clients_Log!B:B,Clients_Log!E:E,"Pas de correspondance")</f>
        <v>81</v>
      </c>
      <c r="O444" s="4">
        <f>IFERROR(Logs[[#This Row],[Anciennete_Mois]]/12,"")</f>
        <v>6.75</v>
      </c>
      <c r="P444" s="1" t="str">
        <f>_xlfn.XLOOKUP(Logs[[#This Row],[ID_Client]],Clients_Log!B:B,Clients_Log!F:F,"Pas de correspondance")</f>
        <v>Pro Monde</v>
      </c>
      <c r="Q444" s="1" t="str">
        <f>IF(Logs[[#This Row],[Type_Forfait]]="Pro Monde","B2B","B2C")</f>
        <v>B2B</v>
      </c>
      <c r="R444" s="1">
        <f>_xlfn.XLOOKUP(Logs[[#This Row],[ID_Client]],Clients_Log!B:B,Clients_Log!G:G,"Pas de correspondance")</f>
        <v>154</v>
      </c>
      <c r="S444" s="3">
        <f>Logs[[#This Row],[Duree_Cumulee_Panne_Min]]/1440</f>
        <v>0.10694444444444444</v>
      </c>
      <c r="T444" s="1">
        <f>_xlfn.XLOOKUP(Logs[[#This Row],[ID_Client]],Clients_Log!B:B,Clients_Log!H:H,"Pas de correspondance")</f>
        <v>19.47</v>
      </c>
      <c r="U444" s="1">
        <f>_xlfn.XLOOKUP(Logs[[#This Row],[ID_Client]],Clients_Log!B:B,Clients_Log!I:I,"Pas de correspondance")</f>
        <v>3</v>
      </c>
      <c r="V44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444" s="1">
        <f>Logs[[#This Row],[Facture_Mensuelle]]*Logs[[#This Row],[Remise (%)]]</f>
        <v>1.9470000000000001</v>
      </c>
    </row>
    <row r="445" spans="1:23" hidden="1" x14ac:dyDescent="0.25">
      <c r="A445" s="1" t="s">
        <v>1161</v>
      </c>
      <c r="B445" s="2">
        <v>45223</v>
      </c>
      <c r="C445" s="1" t="str">
        <f>_xlfn.XLOOKUP(Logs[[#This Row],[Province_RDC]],Clients_Log!D:D,Clients_Log!B:B,"Pas de correspondance")</f>
        <v>Pas de correspondance</v>
      </c>
      <c r="D445" t="str">
        <f>_xlfn.XLOOKUP(Logs[[#This Row],[Cell_ID]],'Registre_Maintenance'!B:B,'Registre_Maintenance'!C:C,"Pas de correspondance")</f>
        <v>Pas de correspondance</v>
      </c>
      <c r="E445" s="3">
        <v>0.6479166666666667</v>
      </c>
      <c r="F445" s="1" t="s">
        <v>1172</v>
      </c>
      <c r="G445" s="3">
        <f>Logs[[#This Row],[Duree_Panne_Min]]/1440</f>
        <v>9.7222222222222224E-3</v>
      </c>
      <c r="H445">
        <v>14</v>
      </c>
      <c r="I445" t="str">
        <f>_xlfn.XLOOKUP(Logs[[#This Row],[Cell_ID]],'Registre_Maintenance'!B:B,'Registre_Maintenance'!D:D,"Pas de correspondance")</f>
        <v>Pas de correspondance</v>
      </c>
      <c r="J445" t="str">
        <f>_xlfn.XLOOKUP(Logs[[#This Row],[Cell_ID]],'Registre_Maintenance'!B:B,'Registre_Maintenance'!E:E,"Pas de correspondance")</f>
        <v>Pas de correspondance</v>
      </c>
      <c r="K445" t="str">
        <f>_xlfn.XLOOKUP(Logs[[#This Row],[Cell_ID]],'Registre_Maintenance'!B:B,'Registre_Maintenance'!F:F,"Pas de correspondance")</f>
        <v>Pas de correspondance</v>
      </c>
      <c r="L445" t="str">
        <f>_xlfn.XLOOKUP(Logs[[#This Row],[Cell_ID]],'Registre_Maintenance'!B:B,'Registre_Maintenance'!G:G,"Pas de correspondance")</f>
        <v>Pas de correspondance</v>
      </c>
      <c r="M445" s="1" t="s">
        <v>811</v>
      </c>
      <c r="N445" s="1" t="str">
        <f>_xlfn.XLOOKUP(Logs[[#This Row],[ID_Client]],Clients_Log!B:B,Clients_Log!E:E,"Pas de correspondance")</f>
        <v>Pas de correspondance</v>
      </c>
      <c r="O445" s="4" t="str">
        <f>IFERROR(Logs[[#This Row],[Anciennete_Mois]]/12,"")</f>
        <v/>
      </c>
      <c r="P445" s="1" t="str">
        <f>_xlfn.XLOOKUP(Logs[[#This Row],[ID_Client]],Clients_Log!B:B,Clients_Log!F:F,"Pas de correspondance")</f>
        <v>Pas de correspondance</v>
      </c>
      <c r="Q445" s="1" t="str">
        <f>IF(Logs[[#This Row],[Type_Forfait]]="Pro Monde","B2B","B2C")</f>
        <v>B2C</v>
      </c>
      <c r="R445" s="1" t="str">
        <f>_xlfn.XLOOKUP(Logs[[#This Row],[ID_Client]],Clients_Log!B:B,Clients_Log!G:G,"Pas de correspondance")</f>
        <v>Pas de correspondance</v>
      </c>
      <c r="S445" s="1" t="e">
        <f>Logs[[#This Row],[Duree_Cumulee_Panne_Min]]/1440</f>
        <v>#VALUE!</v>
      </c>
      <c r="T445" s="1" t="str">
        <f>_xlfn.XLOOKUP(Logs[[#This Row],[ID_Client]],Clients_Log!B:B,Clients_Log!H:H,"Pas de correspondance")</f>
        <v>Pas de correspondance</v>
      </c>
      <c r="U445" s="1" t="str">
        <f>_xlfn.XLOOKUP(Logs[[#This Row],[ID_Client]],Clients_Log!B:B,Clients_Log!I:I,"Pas de correspondance")</f>
        <v>Pas de correspondance</v>
      </c>
      <c r="V44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45" s="1" t="e">
        <f>Logs[[#This Row],[Facture_Mensuelle]]*Logs[[#This Row],[Remise (%)]]</f>
        <v>#VALUE!</v>
      </c>
    </row>
    <row r="446" spans="1:23" hidden="1" x14ac:dyDescent="0.25">
      <c r="A446" s="1" t="s">
        <v>1161</v>
      </c>
      <c r="B446" s="2">
        <v>45213</v>
      </c>
      <c r="C446" s="1" t="str">
        <f>_xlfn.XLOOKUP(Logs[[#This Row],[Province_RDC]],Clients_Log!D:D,Clients_Log!B:B,"Pas de correspondance")</f>
        <v>Pas de correspondance</v>
      </c>
      <c r="D446" t="str">
        <f>_xlfn.XLOOKUP(Logs[[#This Row],[Cell_ID]],'Registre_Maintenance'!B:B,'Registre_Maintenance'!C:C,"Pas de correspondance")</f>
        <v>Pas de correspondance</v>
      </c>
      <c r="E446" s="3">
        <v>0.57777777777777772</v>
      </c>
      <c r="F446" s="1" t="s">
        <v>1173</v>
      </c>
      <c r="G446" s="3">
        <f>Logs[[#This Row],[Duree_Panne_Min]]/1440</f>
        <v>6.458333333333334E-2</v>
      </c>
      <c r="H446">
        <v>93</v>
      </c>
      <c r="I446" t="str">
        <f>_xlfn.XLOOKUP(Logs[[#This Row],[Cell_ID]],'Registre_Maintenance'!B:B,'Registre_Maintenance'!D:D,"Pas de correspondance")</f>
        <v>Pas de correspondance</v>
      </c>
      <c r="J446" t="str">
        <f>_xlfn.XLOOKUP(Logs[[#This Row],[Cell_ID]],'Registre_Maintenance'!B:B,'Registre_Maintenance'!E:E,"Pas de correspondance")</f>
        <v>Pas de correspondance</v>
      </c>
      <c r="K446" t="str">
        <f>_xlfn.XLOOKUP(Logs[[#This Row],[Cell_ID]],'Registre_Maintenance'!B:B,'Registre_Maintenance'!F:F,"Pas de correspondance")</f>
        <v>Pas de correspondance</v>
      </c>
      <c r="L446" t="str">
        <f>_xlfn.XLOOKUP(Logs[[#This Row],[Cell_ID]],'Registre_Maintenance'!B:B,'Registre_Maintenance'!G:G,"Pas de correspondance")</f>
        <v>Pas de correspondance</v>
      </c>
      <c r="M446" s="1" t="s">
        <v>809</v>
      </c>
      <c r="N446" s="1" t="str">
        <f>_xlfn.XLOOKUP(Logs[[#This Row],[ID_Client]],Clients_Log!B:B,Clients_Log!E:E,"Pas de correspondance")</f>
        <v>Pas de correspondance</v>
      </c>
      <c r="O446" s="4" t="str">
        <f>IFERROR(Logs[[#This Row],[Anciennete_Mois]]/12,"")</f>
        <v/>
      </c>
      <c r="P446" s="1" t="str">
        <f>_xlfn.XLOOKUP(Logs[[#This Row],[ID_Client]],Clients_Log!B:B,Clients_Log!F:F,"Pas de correspondance")</f>
        <v>Pas de correspondance</v>
      </c>
      <c r="Q446" s="1" t="str">
        <f>IF(Logs[[#This Row],[Type_Forfait]]="Pro Monde","B2B","B2C")</f>
        <v>B2C</v>
      </c>
      <c r="R446" s="1" t="str">
        <f>_xlfn.XLOOKUP(Logs[[#This Row],[ID_Client]],Clients_Log!B:B,Clients_Log!G:G,"Pas de correspondance")</f>
        <v>Pas de correspondance</v>
      </c>
      <c r="S446" s="1" t="e">
        <f>Logs[[#This Row],[Duree_Cumulee_Panne_Min]]/1440</f>
        <v>#VALUE!</v>
      </c>
      <c r="T446" s="1" t="str">
        <f>_xlfn.XLOOKUP(Logs[[#This Row],[ID_Client]],Clients_Log!B:B,Clients_Log!H:H,"Pas de correspondance")</f>
        <v>Pas de correspondance</v>
      </c>
      <c r="U446" s="1" t="str">
        <f>_xlfn.XLOOKUP(Logs[[#This Row],[ID_Client]],Clients_Log!B:B,Clients_Log!I:I,"Pas de correspondance")</f>
        <v>Pas de correspondance</v>
      </c>
      <c r="V44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46" s="1" t="e">
        <f>Logs[[#This Row],[Facture_Mensuelle]]*Logs[[#This Row],[Remise (%)]]</f>
        <v>#VALUE!</v>
      </c>
    </row>
    <row r="447" spans="1:23" x14ac:dyDescent="0.25">
      <c r="A447" s="1" t="s">
        <v>1161</v>
      </c>
      <c r="B447" s="2">
        <v>45218</v>
      </c>
      <c r="C447" s="1" t="str">
        <f>_xlfn.XLOOKUP(Logs[[#This Row],[Province_RDC]],Clients_Log!D:D,Clients_Log!B:B,"Pas de correspondance")</f>
        <v>CLI-00611</v>
      </c>
      <c r="D447" t="str">
        <f>_xlfn.XLOOKUP(Logs[[#This Row],[Cell_ID]],'Registre_Maintenance'!B:B,'Registre_Maintenance'!C:C,"Pas de correspondance")</f>
        <v>Kinshasa</v>
      </c>
      <c r="E447" s="3">
        <v>8.8888888888888892E-2</v>
      </c>
      <c r="F447" s="1" t="s">
        <v>1151</v>
      </c>
      <c r="G447" s="3">
        <f>Logs[[#This Row],[Duree_Panne_Min]]/1440</f>
        <v>8.3333333333333332E-3</v>
      </c>
      <c r="H447">
        <v>12</v>
      </c>
      <c r="I447">
        <f>_xlfn.XLOOKUP(Logs[[#This Row],[Cell_ID]],'Registre_Maintenance'!B:B,'Registre_Maintenance'!D:D,"Pas de correspondance")</f>
        <v>-11.389362</v>
      </c>
      <c r="J447">
        <f>_xlfn.XLOOKUP(Logs[[#This Row],[Cell_ID]],'Registre_Maintenance'!B:B,'Registre_Maintenance'!E:E,"Pas de correspondance")</f>
        <v>22.240174</v>
      </c>
      <c r="K447" t="str">
        <f>_xlfn.XLOOKUP(Logs[[#This Row],[Cell_ID]],'Registre_Maintenance'!B:B,'Registre_Maintenance'!F:F,"Pas de correspondance")</f>
        <v>5G</v>
      </c>
      <c r="L447" t="str">
        <f>_xlfn.XLOOKUP(Logs[[#This Row],[Cell_ID]],'Registre_Maintenance'!B:B,'Registre_Maintenance'!G:G,"Pas de correspondance")</f>
        <v>ZTE</v>
      </c>
      <c r="M447" s="1" t="s">
        <v>811</v>
      </c>
      <c r="N447" s="1">
        <f>_xlfn.XLOOKUP(Logs[[#This Row],[ID_Client]],Clients_Log!B:B,Clients_Log!E:E,"Pas de correspondance")</f>
        <v>79</v>
      </c>
      <c r="O447" s="4">
        <f>IFERROR(Logs[[#This Row],[Anciennete_Mois]]/12,"")</f>
        <v>6.583333333333333</v>
      </c>
      <c r="P447" s="1" t="str">
        <f>_xlfn.XLOOKUP(Logs[[#This Row],[ID_Client]],Clients_Log!B:B,Clients_Log!F:F,"Pas de correspondance")</f>
        <v>Premium 5G 150Go</v>
      </c>
      <c r="Q447" s="1" t="str">
        <f>IF(Logs[[#This Row],[Type_Forfait]]="Pro Monde","B2B","B2C")</f>
        <v>B2C</v>
      </c>
      <c r="R447" s="1">
        <f>_xlfn.XLOOKUP(Logs[[#This Row],[ID_Client]],Clients_Log!B:B,Clients_Log!G:G,"Pas de correspondance")</f>
        <v>226</v>
      </c>
      <c r="S447" s="3">
        <f>Logs[[#This Row],[Duree_Cumulee_Panne_Min]]/1440</f>
        <v>0.15694444444444444</v>
      </c>
      <c r="T447" s="1">
        <f>_xlfn.XLOOKUP(Logs[[#This Row],[ID_Client]],Clients_Log!B:B,Clients_Log!H:H,"Pas de correspondance")</f>
        <v>94.38</v>
      </c>
      <c r="U447" s="1">
        <f>_xlfn.XLOOKUP(Logs[[#This Row],[ID_Client]],Clients_Log!B:B,Clients_Log!I:I,"Pas de correspondance")</f>
        <v>3</v>
      </c>
      <c r="V44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447" s="1">
        <f>Logs[[#This Row],[Facture_Mensuelle]]*Logs[[#This Row],[Remise (%)]]</f>
        <v>0</v>
      </c>
    </row>
    <row r="448" spans="1:23" hidden="1" x14ac:dyDescent="0.25">
      <c r="A448" s="1" t="s">
        <v>1161</v>
      </c>
      <c r="B448" s="2">
        <v>45210</v>
      </c>
      <c r="C448" s="1" t="str">
        <f>_xlfn.XLOOKUP(Logs[[#This Row],[Province_RDC]],Clients_Log!D:D,Clients_Log!B:B,"Pas de correspondance")</f>
        <v>Pas de correspondance</v>
      </c>
      <c r="D448" t="str">
        <f>_xlfn.XLOOKUP(Logs[[#This Row],[Cell_ID]],'Registre_Maintenance'!B:B,'Registre_Maintenance'!C:C,"Pas de correspondance")</f>
        <v>Pas de correspondance</v>
      </c>
      <c r="E448" s="3">
        <v>0.83611111111111114</v>
      </c>
      <c r="F448" s="1" t="s">
        <v>1174</v>
      </c>
      <c r="G448" s="3">
        <f>Logs[[#This Row],[Duree_Panne_Min]]/1440</f>
        <v>1.7361111111111112E-2</v>
      </c>
      <c r="H448">
        <v>25</v>
      </c>
      <c r="I448" t="str">
        <f>_xlfn.XLOOKUP(Logs[[#This Row],[Cell_ID]],'Registre_Maintenance'!B:B,'Registre_Maintenance'!D:D,"Pas de correspondance")</f>
        <v>Pas de correspondance</v>
      </c>
      <c r="J448" t="str">
        <f>_xlfn.XLOOKUP(Logs[[#This Row],[Cell_ID]],'Registre_Maintenance'!B:B,'Registre_Maintenance'!E:E,"Pas de correspondance")</f>
        <v>Pas de correspondance</v>
      </c>
      <c r="K448" t="str">
        <f>_xlfn.XLOOKUP(Logs[[#This Row],[Cell_ID]],'Registre_Maintenance'!B:B,'Registre_Maintenance'!F:F,"Pas de correspondance")</f>
        <v>Pas de correspondance</v>
      </c>
      <c r="L448" t="str">
        <f>_xlfn.XLOOKUP(Logs[[#This Row],[Cell_ID]],'Registre_Maintenance'!B:B,'Registre_Maintenance'!G:G,"Pas de correspondance")</f>
        <v>Pas de correspondance</v>
      </c>
      <c r="M448" s="1" t="s">
        <v>811</v>
      </c>
      <c r="N448" s="1" t="str">
        <f>_xlfn.XLOOKUP(Logs[[#This Row],[ID_Client]],Clients_Log!B:B,Clients_Log!E:E,"Pas de correspondance")</f>
        <v>Pas de correspondance</v>
      </c>
      <c r="O448" s="4" t="str">
        <f>IFERROR(Logs[[#This Row],[Anciennete_Mois]]/12,"")</f>
        <v/>
      </c>
      <c r="P448" s="1" t="str">
        <f>_xlfn.XLOOKUP(Logs[[#This Row],[ID_Client]],Clients_Log!B:B,Clients_Log!F:F,"Pas de correspondance")</f>
        <v>Pas de correspondance</v>
      </c>
      <c r="Q448" s="1" t="str">
        <f>IF(Logs[[#This Row],[Type_Forfait]]="Pro Monde","B2B","B2C")</f>
        <v>B2C</v>
      </c>
      <c r="R448" s="1" t="str">
        <f>_xlfn.XLOOKUP(Logs[[#This Row],[ID_Client]],Clients_Log!B:B,Clients_Log!G:G,"Pas de correspondance")</f>
        <v>Pas de correspondance</v>
      </c>
      <c r="S448" s="1" t="e">
        <f>Logs[[#This Row],[Duree_Cumulee_Panne_Min]]/1440</f>
        <v>#VALUE!</v>
      </c>
      <c r="T448" s="1" t="str">
        <f>_xlfn.XLOOKUP(Logs[[#This Row],[ID_Client]],Clients_Log!B:B,Clients_Log!H:H,"Pas de correspondance")</f>
        <v>Pas de correspondance</v>
      </c>
      <c r="U448" s="1" t="str">
        <f>_xlfn.XLOOKUP(Logs[[#This Row],[ID_Client]],Clients_Log!B:B,Clients_Log!I:I,"Pas de correspondance")</f>
        <v>Pas de correspondance</v>
      </c>
      <c r="V44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48" s="1" t="e">
        <f>Logs[[#This Row],[Facture_Mensuelle]]*Logs[[#This Row],[Remise (%)]]</f>
        <v>#VALUE!</v>
      </c>
    </row>
    <row r="449" spans="1:23" hidden="1" x14ac:dyDescent="0.25">
      <c r="A449" s="1" t="s">
        <v>1161</v>
      </c>
      <c r="B449" s="2">
        <v>45214</v>
      </c>
      <c r="C449" s="1" t="str">
        <f>_xlfn.XLOOKUP(Logs[[#This Row],[Province_RDC]],Clients_Log!D:D,Clients_Log!B:B,"Pas de correspondance")</f>
        <v>Pas de correspondance</v>
      </c>
      <c r="D449" t="str">
        <f>_xlfn.XLOOKUP(Logs[[#This Row],[Cell_ID]],'Registre_Maintenance'!B:B,'Registre_Maintenance'!C:C,"Pas de correspondance")</f>
        <v>Pas de correspondance</v>
      </c>
      <c r="E449" s="3">
        <v>0.61319444444444449</v>
      </c>
      <c r="F449" s="1" t="s">
        <v>1175</v>
      </c>
      <c r="G449" s="3">
        <f>Logs[[#This Row],[Duree_Panne_Min]]/1440</f>
        <v>4.2361111111111113E-2</v>
      </c>
      <c r="H449">
        <v>61</v>
      </c>
      <c r="I449" t="str">
        <f>_xlfn.XLOOKUP(Logs[[#This Row],[Cell_ID]],'Registre_Maintenance'!B:B,'Registre_Maintenance'!D:D,"Pas de correspondance")</f>
        <v>Pas de correspondance</v>
      </c>
      <c r="J449" t="str">
        <f>_xlfn.XLOOKUP(Logs[[#This Row],[Cell_ID]],'Registre_Maintenance'!B:B,'Registre_Maintenance'!E:E,"Pas de correspondance")</f>
        <v>Pas de correspondance</v>
      </c>
      <c r="K449" t="str">
        <f>_xlfn.XLOOKUP(Logs[[#This Row],[Cell_ID]],'Registre_Maintenance'!B:B,'Registre_Maintenance'!F:F,"Pas de correspondance")</f>
        <v>Pas de correspondance</v>
      </c>
      <c r="L449" t="str">
        <f>_xlfn.XLOOKUP(Logs[[#This Row],[Cell_ID]],'Registre_Maintenance'!B:B,'Registre_Maintenance'!G:G,"Pas de correspondance")</f>
        <v>Pas de correspondance</v>
      </c>
      <c r="M449" s="1" t="s">
        <v>811</v>
      </c>
      <c r="N449" s="1" t="str">
        <f>_xlfn.XLOOKUP(Logs[[#This Row],[ID_Client]],Clients_Log!B:B,Clients_Log!E:E,"Pas de correspondance")</f>
        <v>Pas de correspondance</v>
      </c>
      <c r="O449" s="4" t="str">
        <f>IFERROR(Logs[[#This Row],[Anciennete_Mois]]/12,"")</f>
        <v/>
      </c>
      <c r="P449" s="1" t="str">
        <f>_xlfn.XLOOKUP(Logs[[#This Row],[ID_Client]],Clients_Log!B:B,Clients_Log!F:F,"Pas de correspondance")</f>
        <v>Pas de correspondance</v>
      </c>
      <c r="Q449" s="1" t="str">
        <f>IF(Logs[[#This Row],[Type_Forfait]]="Pro Monde","B2B","B2C")</f>
        <v>B2C</v>
      </c>
      <c r="R449" s="1" t="str">
        <f>_xlfn.XLOOKUP(Logs[[#This Row],[ID_Client]],Clients_Log!B:B,Clients_Log!G:G,"Pas de correspondance")</f>
        <v>Pas de correspondance</v>
      </c>
      <c r="S449" s="1" t="e">
        <f>Logs[[#This Row],[Duree_Cumulee_Panne_Min]]/1440</f>
        <v>#VALUE!</v>
      </c>
      <c r="T449" s="1" t="str">
        <f>_xlfn.XLOOKUP(Logs[[#This Row],[ID_Client]],Clients_Log!B:B,Clients_Log!H:H,"Pas de correspondance")</f>
        <v>Pas de correspondance</v>
      </c>
      <c r="U449" s="1" t="str">
        <f>_xlfn.XLOOKUP(Logs[[#This Row],[ID_Client]],Clients_Log!B:B,Clients_Log!I:I,"Pas de correspondance")</f>
        <v>Pas de correspondance</v>
      </c>
      <c r="V44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49" s="1" t="e">
        <f>Logs[[#This Row],[Facture_Mensuelle]]*Logs[[#This Row],[Remise (%)]]</f>
        <v>#VALUE!</v>
      </c>
    </row>
    <row r="450" spans="1:23" x14ac:dyDescent="0.25">
      <c r="A450" s="1" t="s">
        <v>1161</v>
      </c>
      <c r="B450" s="2">
        <v>45216</v>
      </c>
      <c r="C450" s="1" t="str">
        <f>_xlfn.XLOOKUP(Logs[[#This Row],[Province_RDC]],Clients_Log!D:D,Clients_Log!B:B,"Pas de correspondance")</f>
        <v>CLI-01325</v>
      </c>
      <c r="D450" t="str">
        <f>_xlfn.XLOOKUP(Logs[[#This Row],[Cell_ID]],'Registre_Maintenance'!B:B,'Registre_Maintenance'!C:C,"Pas de correspondance")</f>
        <v>Haut-Lomami</v>
      </c>
      <c r="E450" s="3">
        <v>0.46388888888888891</v>
      </c>
      <c r="F450" s="1" t="s">
        <v>1126</v>
      </c>
      <c r="G450" s="3">
        <f>Logs[[#This Row],[Duree_Panne_Min]]/1440</f>
        <v>4.027777777777778E-2</v>
      </c>
      <c r="H450">
        <v>58</v>
      </c>
      <c r="I450">
        <f>_xlfn.XLOOKUP(Logs[[#This Row],[Cell_ID]],'Registre_Maintenance'!B:B,'Registre_Maintenance'!D:D,"Pas de correspondance")</f>
        <v>-7.1785899999999998</v>
      </c>
      <c r="J450">
        <f>_xlfn.XLOOKUP(Logs[[#This Row],[Cell_ID]],'Registre_Maintenance'!B:B,'Registre_Maintenance'!E:E,"Pas de correspondance")</f>
        <v>24.4404</v>
      </c>
      <c r="K450" t="str">
        <f>_xlfn.XLOOKUP(Logs[[#This Row],[Cell_ID]],'Registre_Maintenance'!B:B,'Registre_Maintenance'!F:F,"Pas de correspondance")</f>
        <v>4G</v>
      </c>
      <c r="L450" t="str">
        <f>_xlfn.XLOOKUP(Logs[[#This Row],[Cell_ID]],'Registre_Maintenance'!B:B,'Registre_Maintenance'!G:G,"Pas de correspondance")</f>
        <v>Nokia</v>
      </c>
      <c r="M450" s="1" t="s">
        <v>806</v>
      </c>
      <c r="N450" s="1">
        <f>_xlfn.XLOOKUP(Logs[[#This Row],[ID_Client]],Clients_Log!B:B,Clients_Log!E:E,"Pas de correspondance")</f>
        <v>44</v>
      </c>
      <c r="O450" s="4">
        <f>IFERROR(Logs[[#This Row],[Anciennete_Mois]]/12,"")</f>
        <v>3.6666666666666665</v>
      </c>
      <c r="P450" s="1" t="str">
        <f>_xlfn.XLOOKUP(Logs[[#This Row],[ID_Client]],Clients_Log!B:B,Clients_Log!F:F,"Pas de correspondance")</f>
        <v>Bloqué 5Go</v>
      </c>
      <c r="Q450" s="1" t="str">
        <f>IF(Logs[[#This Row],[Type_Forfait]]="Pro Monde","B2B","B2C")</f>
        <v>B2C</v>
      </c>
      <c r="R450" s="1">
        <f>_xlfn.XLOOKUP(Logs[[#This Row],[ID_Client]],Clients_Log!B:B,Clients_Log!G:G,"Pas de correspondance")</f>
        <v>348</v>
      </c>
      <c r="S450" s="3">
        <f>Logs[[#This Row],[Duree_Cumulee_Panne_Min]]/1440</f>
        <v>0.24166666666666667</v>
      </c>
      <c r="T450" s="1">
        <f>_xlfn.XLOOKUP(Logs[[#This Row],[ID_Client]],Clients_Log!B:B,Clients_Log!H:H,"Pas de correspondance")</f>
        <v>58.67</v>
      </c>
      <c r="U450" s="1">
        <f>_xlfn.XLOOKUP(Logs[[#This Row],[ID_Client]],Clients_Log!B:B,Clients_Log!I:I,"Pas de correspondance")</f>
        <v>0</v>
      </c>
      <c r="V45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50" s="1">
        <f>Logs[[#This Row],[Facture_Mensuelle]]*Logs[[#This Row],[Remise (%)]]</f>
        <v>26.401500000000002</v>
      </c>
    </row>
    <row r="451" spans="1:23" x14ac:dyDescent="0.25">
      <c r="A451" s="1" t="s">
        <v>1161</v>
      </c>
      <c r="B451" s="2">
        <v>45228</v>
      </c>
      <c r="C451" s="1" t="str">
        <f>_xlfn.XLOOKUP(Logs[[#This Row],[Province_RDC]],Clients_Log!D:D,Clients_Log!B:B,"Pas de correspondance")</f>
        <v>CLI-01837</v>
      </c>
      <c r="D451" t="str">
        <f>_xlfn.XLOOKUP(Logs[[#This Row],[Cell_ID]],'Registre_Maintenance'!B:B,'Registre_Maintenance'!C:C,"Pas de correspondance")</f>
        <v>Kasaï-Oriental</v>
      </c>
      <c r="E451" s="3">
        <v>0.73611111111111116</v>
      </c>
      <c r="F451" s="1" t="s">
        <v>1176</v>
      </c>
      <c r="G451" s="3">
        <f>Logs[[#This Row],[Duree_Panne_Min]]/1440</f>
        <v>4.583333333333333E-2</v>
      </c>
      <c r="H451">
        <v>66</v>
      </c>
      <c r="I451">
        <f>_xlfn.XLOOKUP(Logs[[#This Row],[Cell_ID]],'Registre_Maintenance'!B:B,'Registre_Maintenance'!D:D,"Pas de correspondance")</f>
        <v>-4.4831099999999999</v>
      </c>
      <c r="J451">
        <f>_xlfn.XLOOKUP(Logs[[#This Row],[Cell_ID]],'Registre_Maintenance'!B:B,'Registre_Maintenance'!E:E,"Pas de correspondance")</f>
        <v>25.406548000000001</v>
      </c>
      <c r="K451" t="str">
        <f>_xlfn.XLOOKUP(Logs[[#This Row],[Cell_ID]],'Registre_Maintenance'!B:B,'Registre_Maintenance'!F:F,"Pas de correspondance")</f>
        <v>5G</v>
      </c>
      <c r="L451" t="str">
        <f>_xlfn.XLOOKUP(Logs[[#This Row],[Cell_ID]],'Registre_Maintenance'!B:B,'Registre_Maintenance'!G:G,"Pas de correspondance")</f>
        <v>Nokia</v>
      </c>
      <c r="M451" s="1" t="s">
        <v>811</v>
      </c>
      <c r="N451" s="1">
        <f>_xlfn.XLOOKUP(Logs[[#This Row],[ID_Client]],Clients_Log!B:B,Clients_Log!E:E,"Pas de correspondance")</f>
        <v>97</v>
      </c>
      <c r="O451" s="4">
        <f>IFERROR(Logs[[#This Row],[Anciennete_Mois]]/12,"")</f>
        <v>8.0833333333333339</v>
      </c>
      <c r="P451" s="1" t="str">
        <f>_xlfn.XLOOKUP(Logs[[#This Row],[ID_Client]],Clients_Log!B:B,Clients_Log!F:F,"Pas de correspondance")</f>
        <v>Pro Monde</v>
      </c>
      <c r="Q451" s="1" t="str">
        <f>IF(Logs[[#This Row],[Type_Forfait]]="Pro Monde","B2B","B2C")</f>
        <v>B2B</v>
      </c>
      <c r="R451" s="1">
        <f>_xlfn.XLOOKUP(Logs[[#This Row],[ID_Client]],Clients_Log!B:B,Clients_Log!G:G,"Pas de correspondance")</f>
        <v>319</v>
      </c>
      <c r="S451" s="3">
        <f>Logs[[#This Row],[Duree_Cumulee_Panne_Min]]/1440</f>
        <v>0.22152777777777777</v>
      </c>
      <c r="T451" s="1">
        <f>_xlfn.XLOOKUP(Logs[[#This Row],[ID_Client]],Clients_Log!B:B,Clients_Log!H:H,"Pas de correspondance")</f>
        <v>31.25</v>
      </c>
      <c r="U451" s="1">
        <f>_xlfn.XLOOKUP(Logs[[#This Row],[ID_Client]],Clients_Log!B:B,Clients_Log!I:I,"Pas de correspondance")</f>
        <v>1</v>
      </c>
      <c r="V45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51" s="1">
        <f>Logs[[#This Row],[Facture_Mensuelle]]*Logs[[#This Row],[Remise (%)]]</f>
        <v>14.0625</v>
      </c>
    </row>
    <row r="452" spans="1:23" hidden="1" x14ac:dyDescent="0.25">
      <c r="A452" s="1" t="s">
        <v>1161</v>
      </c>
      <c r="B452" s="2">
        <v>45218</v>
      </c>
      <c r="C452" s="1" t="str">
        <f>_xlfn.XLOOKUP(Logs[[#This Row],[Province_RDC]],Clients_Log!D:D,Clients_Log!B:B,"Pas de correspondance")</f>
        <v>Pas de correspondance</v>
      </c>
      <c r="D452" t="str">
        <f>_xlfn.XLOOKUP(Logs[[#This Row],[Cell_ID]],'Registre_Maintenance'!B:B,'Registre_Maintenance'!C:C,"Pas de correspondance")</f>
        <v>Pas de correspondance</v>
      </c>
      <c r="E452" s="3">
        <v>0.24236111111111111</v>
      </c>
      <c r="F452" s="1" t="s">
        <v>1014</v>
      </c>
      <c r="G452" s="3">
        <f>Logs[[#This Row],[Duree_Panne_Min]]/1440</f>
        <v>4.4444444444444446E-2</v>
      </c>
      <c r="H452">
        <v>64</v>
      </c>
      <c r="I452" t="str">
        <f>_xlfn.XLOOKUP(Logs[[#This Row],[Cell_ID]],'Registre_Maintenance'!B:B,'Registre_Maintenance'!D:D,"Pas de correspondance")</f>
        <v>Pas de correspondance</v>
      </c>
      <c r="J452" t="str">
        <f>_xlfn.XLOOKUP(Logs[[#This Row],[Cell_ID]],'Registre_Maintenance'!B:B,'Registre_Maintenance'!E:E,"Pas de correspondance")</f>
        <v>Pas de correspondance</v>
      </c>
      <c r="K452" t="str">
        <f>_xlfn.XLOOKUP(Logs[[#This Row],[Cell_ID]],'Registre_Maintenance'!B:B,'Registre_Maintenance'!F:F,"Pas de correspondance")</f>
        <v>Pas de correspondance</v>
      </c>
      <c r="L452" t="str">
        <f>_xlfn.XLOOKUP(Logs[[#This Row],[Cell_ID]],'Registre_Maintenance'!B:B,'Registre_Maintenance'!G:G,"Pas de correspondance")</f>
        <v>Pas de correspondance</v>
      </c>
      <c r="M452" s="1" t="s">
        <v>806</v>
      </c>
      <c r="N452" s="1" t="str">
        <f>_xlfn.XLOOKUP(Logs[[#This Row],[ID_Client]],Clients_Log!B:B,Clients_Log!E:E,"Pas de correspondance")</f>
        <v>Pas de correspondance</v>
      </c>
      <c r="O452" s="4" t="str">
        <f>IFERROR(Logs[[#This Row],[Anciennete_Mois]]/12,"")</f>
        <v/>
      </c>
      <c r="P452" s="1" t="str">
        <f>_xlfn.XLOOKUP(Logs[[#This Row],[ID_Client]],Clients_Log!B:B,Clients_Log!F:F,"Pas de correspondance")</f>
        <v>Pas de correspondance</v>
      </c>
      <c r="Q452" s="1" t="str">
        <f>IF(Logs[[#This Row],[Type_Forfait]]="Pro Monde","B2B","B2C")</f>
        <v>B2C</v>
      </c>
      <c r="R452" s="1" t="str">
        <f>_xlfn.XLOOKUP(Logs[[#This Row],[ID_Client]],Clients_Log!B:B,Clients_Log!G:G,"Pas de correspondance")</f>
        <v>Pas de correspondance</v>
      </c>
      <c r="S452" s="1" t="e">
        <f>Logs[[#This Row],[Duree_Cumulee_Panne_Min]]/1440</f>
        <v>#VALUE!</v>
      </c>
      <c r="T452" s="1" t="str">
        <f>_xlfn.XLOOKUP(Logs[[#This Row],[ID_Client]],Clients_Log!B:B,Clients_Log!H:H,"Pas de correspondance")</f>
        <v>Pas de correspondance</v>
      </c>
      <c r="U452" s="1" t="str">
        <f>_xlfn.XLOOKUP(Logs[[#This Row],[ID_Client]],Clients_Log!B:B,Clients_Log!I:I,"Pas de correspondance")</f>
        <v>Pas de correspondance</v>
      </c>
      <c r="V45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52" s="1" t="e">
        <f>Logs[[#This Row],[Facture_Mensuelle]]*Logs[[#This Row],[Remise (%)]]</f>
        <v>#VALUE!</v>
      </c>
    </row>
    <row r="453" spans="1:23" hidden="1" x14ac:dyDescent="0.25">
      <c r="A453" s="1" t="s">
        <v>1161</v>
      </c>
      <c r="B453" s="2">
        <v>45230</v>
      </c>
      <c r="C453" s="1" t="str">
        <f>_xlfn.XLOOKUP(Logs[[#This Row],[Province_RDC]],Clients_Log!D:D,Clients_Log!B:B,"Pas de correspondance")</f>
        <v>Pas de correspondance</v>
      </c>
      <c r="D453" t="str">
        <f>_xlfn.XLOOKUP(Logs[[#This Row],[Cell_ID]],'Registre_Maintenance'!B:B,'Registre_Maintenance'!C:C,"Pas de correspondance")</f>
        <v>Pas de correspondance</v>
      </c>
      <c r="E453" s="3">
        <v>0.18541666666666667</v>
      </c>
      <c r="F453" s="1" t="s">
        <v>1177</v>
      </c>
      <c r="G453" s="3">
        <f>Logs[[#This Row],[Duree_Panne_Min]]/1440</f>
        <v>2.1527777777777778E-2</v>
      </c>
      <c r="H453">
        <v>31</v>
      </c>
      <c r="I453" t="str">
        <f>_xlfn.XLOOKUP(Logs[[#This Row],[Cell_ID]],'Registre_Maintenance'!B:B,'Registre_Maintenance'!D:D,"Pas de correspondance")</f>
        <v>Pas de correspondance</v>
      </c>
      <c r="J453" t="str">
        <f>_xlfn.XLOOKUP(Logs[[#This Row],[Cell_ID]],'Registre_Maintenance'!B:B,'Registre_Maintenance'!E:E,"Pas de correspondance")</f>
        <v>Pas de correspondance</v>
      </c>
      <c r="K453" t="str">
        <f>_xlfn.XLOOKUP(Logs[[#This Row],[Cell_ID]],'Registre_Maintenance'!B:B,'Registre_Maintenance'!F:F,"Pas de correspondance")</f>
        <v>Pas de correspondance</v>
      </c>
      <c r="L453" t="str">
        <f>_xlfn.XLOOKUP(Logs[[#This Row],[Cell_ID]],'Registre_Maintenance'!B:B,'Registre_Maintenance'!G:G,"Pas de correspondance")</f>
        <v>Pas de correspondance</v>
      </c>
      <c r="M453" s="1" t="s">
        <v>809</v>
      </c>
      <c r="N453" s="1" t="str">
        <f>_xlfn.XLOOKUP(Logs[[#This Row],[ID_Client]],Clients_Log!B:B,Clients_Log!E:E,"Pas de correspondance")</f>
        <v>Pas de correspondance</v>
      </c>
      <c r="O453" s="4" t="str">
        <f>IFERROR(Logs[[#This Row],[Anciennete_Mois]]/12,"")</f>
        <v/>
      </c>
      <c r="P453" s="1" t="str">
        <f>_xlfn.XLOOKUP(Logs[[#This Row],[ID_Client]],Clients_Log!B:B,Clients_Log!F:F,"Pas de correspondance")</f>
        <v>Pas de correspondance</v>
      </c>
      <c r="Q453" s="1" t="str">
        <f>IF(Logs[[#This Row],[Type_Forfait]]="Pro Monde","B2B","B2C")</f>
        <v>B2C</v>
      </c>
      <c r="R453" s="1" t="str">
        <f>_xlfn.XLOOKUP(Logs[[#This Row],[ID_Client]],Clients_Log!B:B,Clients_Log!G:G,"Pas de correspondance")</f>
        <v>Pas de correspondance</v>
      </c>
      <c r="S453" s="1" t="e">
        <f>Logs[[#This Row],[Duree_Cumulee_Panne_Min]]/1440</f>
        <v>#VALUE!</v>
      </c>
      <c r="T453" s="1" t="str">
        <f>_xlfn.XLOOKUP(Logs[[#This Row],[ID_Client]],Clients_Log!B:B,Clients_Log!H:H,"Pas de correspondance")</f>
        <v>Pas de correspondance</v>
      </c>
      <c r="U453" s="1" t="str">
        <f>_xlfn.XLOOKUP(Logs[[#This Row],[ID_Client]],Clients_Log!B:B,Clients_Log!I:I,"Pas de correspondance")</f>
        <v>Pas de correspondance</v>
      </c>
      <c r="V45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53" s="1" t="e">
        <f>Logs[[#This Row],[Facture_Mensuelle]]*Logs[[#This Row],[Remise (%)]]</f>
        <v>#VALUE!</v>
      </c>
    </row>
    <row r="454" spans="1:23" hidden="1" x14ac:dyDescent="0.25">
      <c r="A454" s="1" t="s">
        <v>1161</v>
      </c>
      <c r="B454" s="2">
        <v>45216</v>
      </c>
      <c r="C454" s="1" t="str">
        <f>_xlfn.XLOOKUP(Logs[[#This Row],[Province_RDC]],Clients_Log!D:D,Clients_Log!B:B,"Pas de correspondance")</f>
        <v>Pas de correspondance</v>
      </c>
      <c r="D454" t="str">
        <f>_xlfn.XLOOKUP(Logs[[#This Row],[Cell_ID]],'Registre_Maintenance'!B:B,'Registre_Maintenance'!C:C,"Pas de correspondance")</f>
        <v>Pas de correspondance</v>
      </c>
      <c r="E454" s="3">
        <v>7.8472222222222221E-2</v>
      </c>
      <c r="F454" s="1" t="s">
        <v>1178</v>
      </c>
      <c r="G454" s="3">
        <f>Logs[[#This Row],[Duree_Panne_Min]]/1440</f>
        <v>3.3333333333333333E-2</v>
      </c>
      <c r="H454">
        <v>48</v>
      </c>
      <c r="I454" t="str">
        <f>_xlfn.XLOOKUP(Logs[[#This Row],[Cell_ID]],'Registre_Maintenance'!B:B,'Registre_Maintenance'!D:D,"Pas de correspondance")</f>
        <v>Pas de correspondance</v>
      </c>
      <c r="J454" t="str">
        <f>_xlfn.XLOOKUP(Logs[[#This Row],[Cell_ID]],'Registre_Maintenance'!B:B,'Registre_Maintenance'!E:E,"Pas de correspondance")</f>
        <v>Pas de correspondance</v>
      </c>
      <c r="K454" t="str">
        <f>_xlfn.XLOOKUP(Logs[[#This Row],[Cell_ID]],'Registre_Maintenance'!B:B,'Registre_Maintenance'!F:F,"Pas de correspondance")</f>
        <v>Pas de correspondance</v>
      </c>
      <c r="L454" t="str">
        <f>_xlfn.XLOOKUP(Logs[[#This Row],[Cell_ID]],'Registre_Maintenance'!B:B,'Registre_Maintenance'!G:G,"Pas de correspondance")</f>
        <v>Pas de correspondance</v>
      </c>
      <c r="M454" s="1" t="s">
        <v>809</v>
      </c>
      <c r="N454" s="1" t="str">
        <f>_xlfn.XLOOKUP(Logs[[#This Row],[ID_Client]],Clients_Log!B:B,Clients_Log!E:E,"Pas de correspondance")</f>
        <v>Pas de correspondance</v>
      </c>
      <c r="O454" s="4" t="str">
        <f>IFERROR(Logs[[#This Row],[Anciennete_Mois]]/12,"")</f>
        <v/>
      </c>
      <c r="P454" s="1" t="str">
        <f>_xlfn.XLOOKUP(Logs[[#This Row],[ID_Client]],Clients_Log!B:B,Clients_Log!F:F,"Pas de correspondance")</f>
        <v>Pas de correspondance</v>
      </c>
      <c r="Q454" s="1" t="str">
        <f>IF(Logs[[#This Row],[Type_Forfait]]="Pro Monde","B2B","B2C")</f>
        <v>B2C</v>
      </c>
      <c r="R454" s="1" t="str">
        <f>_xlfn.XLOOKUP(Logs[[#This Row],[ID_Client]],Clients_Log!B:B,Clients_Log!G:G,"Pas de correspondance")</f>
        <v>Pas de correspondance</v>
      </c>
      <c r="S454" s="1" t="e">
        <f>Logs[[#This Row],[Duree_Cumulee_Panne_Min]]/1440</f>
        <v>#VALUE!</v>
      </c>
      <c r="T454" s="1" t="str">
        <f>_xlfn.XLOOKUP(Logs[[#This Row],[ID_Client]],Clients_Log!B:B,Clients_Log!H:H,"Pas de correspondance")</f>
        <v>Pas de correspondance</v>
      </c>
      <c r="U454" s="1" t="str">
        <f>_xlfn.XLOOKUP(Logs[[#This Row],[ID_Client]],Clients_Log!B:B,Clients_Log!I:I,"Pas de correspondance")</f>
        <v>Pas de correspondance</v>
      </c>
      <c r="V45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54" s="1" t="e">
        <f>Logs[[#This Row],[Facture_Mensuelle]]*Logs[[#This Row],[Remise (%)]]</f>
        <v>#VALUE!</v>
      </c>
    </row>
    <row r="455" spans="1:23" hidden="1" x14ac:dyDescent="0.25">
      <c r="A455" s="1" t="s">
        <v>1161</v>
      </c>
      <c r="B455" s="2">
        <v>45203</v>
      </c>
      <c r="C455" s="1" t="str">
        <f>_xlfn.XLOOKUP(Logs[[#This Row],[Province_RDC]],Clients_Log!D:D,Clients_Log!B:B,"Pas de correspondance")</f>
        <v>Pas de correspondance</v>
      </c>
      <c r="D455" t="str">
        <f>_xlfn.XLOOKUP(Logs[[#This Row],[Cell_ID]],'Registre_Maintenance'!B:B,'Registre_Maintenance'!C:C,"Pas de correspondance")</f>
        <v>Pas de correspondance</v>
      </c>
      <c r="E455" s="3">
        <v>0.67291666666666672</v>
      </c>
      <c r="F455" s="1" t="s">
        <v>1179</v>
      </c>
      <c r="G455" s="3">
        <f>Logs[[#This Row],[Duree_Panne_Min]]/1440</f>
        <v>5.6944444444444443E-2</v>
      </c>
      <c r="H455">
        <v>82</v>
      </c>
      <c r="I455" t="str">
        <f>_xlfn.XLOOKUP(Logs[[#This Row],[Cell_ID]],'Registre_Maintenance'!B:B,'Registre_Maintenance'!D:D,"Pas de correspondance")</f>
        <v>Pas de correspondance</v>
      </c>
      <c r="J455" t="str">
        <f>_xlfn.XLOOKUP(Logs[[#This Row],[Cell_ID]],'Registre_Maintenance'!B:B,'Registre_Maintenance'!E:E,"Pas de correspondance")</f>
        <v>Pas de correspondance</v>
      </c>
      <c r="K455" t="str">
        <f>_xlfn.XLOOKUP(Logs[[#This Row],[Cell_ID]],'Registre_Maintenance'!B:B,'Registre_Maintenance'!F:F,"Pas de correspondance")</f>
        <v>Pas de correspondance</v>
      </c>
      <c r="L455" t="str">
        <f>_xlfn.XLOOKUP(Logs[[#This Row],[Cell_ID]],'Registre_Maintenance'!B:B,'Registre_Maintenance'!G:G,"Pas de correspondance")</f>
        <v>Pas de correspondance</v>
      </c>
      <c r="M455" s="1" t="s">
        <v>806</v>
      </c>
      <c r="N455" s="1" t="str">
        <f>_xlfn.XLOOKUP(Logs[[#This Row],[ID_Client]],Clients_Log!B:B,Clients_Log!E:E,"Pas de correspondance")</f>
        <v>Pas de correspondance</v>
      </c>
      <c r="O455" s="4" t="str">
        <f>IFERROR(Logs[[#This Row],[Anciennete_Mois]]/12,"")</f>
        <v/>
      </c>
      <c r="P455" s="1" t="str">
        <f>_xlfn.XLOOKUP(Logs[[#This Row],[ID_Client]],Clients_Log!B:B,Clients_Log!F:F,"Pas de correspondance")</f>
        <v>Pas de correspondance</v>
      </c>
      <c r="Q455" s="1" t="str">
        <f>IF(Logs[[#This Row],[Type_Forfait]]="Pro Monde","B2B","B2C")</f>
        <v>B2C</v>
      </c>
      <c r="R455" s="1" t="str">
        <f>_xlfn.XLOOKUP(Logs[[#This Row],[ID_Client]],Clients_Log!B:B,Clients_Log!G:G,"Pas de correspondance")</f>
        <v>Pas de correspondance</v>
      </c>
      <c r="S455" s="1" t="e">
        <f>Logs[[#This Row],[Duree_Cumulee_Panne_Min]]/1440</f>
        <v>#VALUE!</v>
      </c>
      <c r="T455" s="1" t="str">
        <f>_xlfn.XLOOKUP(Logs[[#This Row],[ID_Client]],Clients_Log!B:B,Clients_Log!H:H,"Pas de correspondance")</f>
        <v>Pas de correspondance</v>
      </c>
      <c r="U455" s="1" t="str">
        <f>_xlfn.XLOOKUP(Logs[[#This Row],[ID_Client]],Clients_Log!B:B,Clients_Log!I:I,"Pas de correspondance")</f>
        <v>Pas de correspondance</v>
      </c>
      <c r="V45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55" s="1" t="e">
        <f>Logs[[#This Row],[Facture_Mensuelle]]*Logs[[#This Row],[Remise (%)]]</f>
        <v>#VALUE!</v>
      </c>
    </row>
    <row r="456" spans="1:23" x14ac:dyDescent="0.25">
      <c r="A456" s="1" t="s">
        <v>1161</v>
      </c>
      <c r="B456" s="2">
        <v>45209</v>
      </c>
      <c r="C456" s="1" t="str">
        <f>_xlfn.XLOOKUP(Logs[[#This Row],[Province_RDC]],Clients_Log!D:D,Clients_Log!B:B,"Pas de correspondance")</f>
        <v>CLI-00611</v>
      </c>
      <c r="D456" t="str">
        <f>_xlfn.XLOOKUP(Logs[[#This Row],[Cell_ID]],'Registre_Maintenance'!B:B,'Registre_Maintenance'!C:C,"Pas de correspondance")</f>
        <v>Kinshasa</v>
      </c>
      <c r="E456" s="3">
        <v>0.21527777777777779</v>
      </c>
      <c r="F456" s="1" t="s">
        <v>1151</v>
      </c>
      <c r="G456" s="3">
        <f>Logs[[#This Row],[Duree_Panne_Min]]/1440</f>
        <v>1.5972222222222221E-2</v>
      </c>
      <c r="H456">
        <v>23</v>
      </c>
      <c r="I456">
        <f>_xlfn.XLOOKUP(Logs[[#This Row],[Cell_ID]],'Registre_Maintenance'!B:B,'Registre_Maintenance'!D:D,"Pas de correspondance")</f>
        <v>-11.389362</v>
      </c>
      <c r="J456">
        <f>_xlfn.XLOOKUP(Logs[[#This Row],[Cell_ID]],'Registre_Maintenance'!B:B,'Registre_Maintenance'!E:E,"Pas de correspondance")</f>
        <v>22.240174</v>
      </c>
      <c r="K456" t="str">
        <f>_xlfn.XLOOKUP(Logs[[#This Row],[Cell_ID]],'Registre_Maintenance'!B:B,'Registre_Maintenance'!F:F,"Pas de correspondance")</f>
        <v>5G</v>
      </c>
      <c r="L456" t="str">
        <f>_xlfn.XLOOKUP(Logs[[#This Row],[Cell_ID]],'Registre_Maintenance'!B:B,'Registre_Maintenance'!G:G,"Pas de correspondance")</f>
        <v>ZTE</v>
      </c>
      <c r="M456" s="1" t="s">
        <v>811</v>
      </c>
      <c r="N456" s="1">
        <f>_xlfn.XLOOKUP(Logs[[#This Row],[ID_Client]],Clients_Log!B:B,Clients_Log!E:E,"Pas de correspondance")</f>
        <v>79</v>
      </c>
      <c r="O456" s="4">
        <f>IFERROR(Logs[[#This Row],[Anciennete_Mois]]/12,"")</f>
        <v>6.583333333333333</v>
      </c>
      <c r="P456" s="1" t="str">
        <f>_xlfn.XLOOKUP(Logs[[#This Row],[ID_Client]],Clients_Log!B:B,Clients_Log!F:F,"Pas de correspondance")</f>
        <v>Premium 5G 150Go</v>
      </c>
      <c r="Q456" s="1" t="str">
        <f>IF(Logs[[#This Row],[Type_Forfait]]="Pro Monde","B2B","B2C")</f>
        <v>B2C</v>
      </c>
      <c r="R456" s="1">
        <f>_xlfn.XLOOKUP(Logs[[#This Row],[ID_Client]],Clients_Log!B:B,Clients_Log!G:G,"Pas de correspondance")</f>
        <v>226</v>
      </c>
      <c r="S456" s="3">
        <f>Logs[[#This Row],[Duree_Cumulee_Panne_Min]]/1440</f>
        <v>0.15694444444444444</v>
      </c>
      <c r="T456" s="1">
        <f>_xlfn.XLOOKUP(Logs[[#This Row],[ID_Client]],Clients_Log!B:B,Clients_Log!H:H,"Pas de correspondance")</f>
        <v>94.38</v>
      </c>
      <c r="U456" s="1">
        <f>_xlfn.XLOOKUP(Logs[[#This Row],[ID_Client]],Clients_Log!B:B,Clients_Log!I:I,"Pas de correspondance")</f>
        <v>3</v>
      </c>
      <c r="V45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456" s="1">
        <f>Logs[[#This Row],[Facture_Mensuelle]]*Logs[[#This Row],[Remise (%)]]</f>
        <v>0</v>
      </c>
    </row>
    <row r="457" spans="1:23" hidden="1" x14ac:dyDescent="0.25">
      <c r="A457" s="1" t="s">
        <v>1161</v>
      </c>
      <c r="B457" s="2">
        <v>45210</v>
      </c>
      <c r="C457" s="1" t="str">
        <f>_xlfn.XLOOKUP(Logs[[#This Row],[Province_RDC]],Clients_Log!D:D,Clients_Log!B:B,"Pas de correspondance")</f>
        <v>Pas de correspondance</v>
      </c>
      <c r="D457" t="str">
        <f>_xlfn.XLOOKUP(Logs[[#This Row],[Cell_ID]],'Registre_Maintenance'!B:B,'Registre_Maintenance'!C:C,"Pas de correspondance")</f>
        <v>Pas de correspondance</v>
      </c>
      <c r="E457" s="3">
        <v>0.92638888888888893</v>
      </c>
      <c r="F457" s="1" t="s">
        <v>997</v>
      </c>
      <c r="G457" s="3">
        <f>Logs[[#This Row],[Duree_Panne_Min]]/1440</f>
        <v>3.125E-2</v>
      </c>
      <c r="H457">
        <v>45</v>
      </c>
      <c r="I457" t="str">
        <f>_xlfn.XLOOKUP(Logs[[#This Row],[Cell_ID]],'Registre_Maintenance'!B:B,'Registre_Maintenance'!D:D,"Pas de correspondance")</f>
        <v>Pas de correspondance</v>
      </c>
      <c r="J457" t="str">
        <f>_xlfn.XLOOKUP(Logs[[#This Row],[Cell_ID]],'Registre_Maintenance'!B:B,'Registre_Maintenance'!E:E,"Pas de correspondance")</f>
        <v>Pas de correspondance</v>
      </c>
      <c r="K457" t="str">
        <f>_xlfn.XLOOKUP(Logs[[#This Row],[Cell_ID]],'Registre_Maintenance'!B:B,'Registre_Maintenance'!F:F,"Pas de correspondance")</f>
        <v>Pas de correspondance</v>
      </c>
      <c r="L457" t="str">
        <f>_xlfn.XLOOKUP(Logs[[#This Row],[Cell_ID]],'Registre_Maintenance'!B:B,'Registre_Maintenance'!G:G,"Pas de correspondance")</f>
        <v>Pas de correspondance</v>
      </c>
      <c r="M457" s="1" t="s">
        <v>809</v>
      </c>
      <c r="N457" s="1" t="str">
        <f>_xlfn.XLOOKUP(Logs[[#This Row],[ID_Client]],Clients_Log!B:B,Clients_Log!E:E,"Pas de correspondance")</f>
        <v>Pas de correspondance</v>
      </c>
      <c r="O457" s="4" t="str">
        <f>IFERROR(Logs[[#This Row],[Anciennete_Mois]]/12,"")</f>
        <v/>
      </c>
      <c r="P457" s="1" t="str">
        <f>_xlfn.XLOOKUP(Logs[[#This Row],[ID_Client]],Clients_Log!B:B,Clients_Log!F:F,"Pas de correspondance")</f>
        <v>Pas de correspondance</v>
      </c>
      <c r="Q457" s="1" t="str">
        <f>IF(Logs[[#This Row],[Type_Forfait]]="Pro Monde","B2B","B2C")</f>
        <v>B2C</v>
      </c>
      <c r="R457" s="1" t="str">
        <f>_xlfn.XLOOKUP(Logs[[#This Row],[ID_Client]],Clients_Log!B:B,Clients_Log!G:G,"Pas de correspondance")</f>
        <v>Pas de correspondance</v>
      </c>
      <c r="S457" s="1" t="e">
        <f>Logs[[#This Row],[Duree_Cumulee_Panne_Min]]/1440</f>
        <v>#VALUE!</v>
      </c>
      <c r="T457" s="1" t="str">
        <f>_xlfn.XLOOKUP(Logs[[#This Row],[ID_Client]],Clients_Log!B:B,Clients_Log!H:H,"Pas de correspondance")</f>
        <v>Pas de correspondance</v>
      </c>
      <c r="U457" s="1" t="str">
        <f>_xlfn.XLOOKUP(Logs[[#This Row],[ID_Client]],Clients_Log!B:B,Clients_Log!I:I,"Pas de correspondance")</f>
        <v>Pas de correspondance</v>
      </c>
      <c r="V45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57" s="1" t="e">
        <f>Logs[[#This Row],[Facture_Mensuelle]]*Logs[[#This Row],[Remise (%)]]</f>
        <v>#VALUE!</v>
      </c>
    </row>
    <row r="458" spans="1:23" hidden="1" x14ac:dyDescent="0.25">
      <c r="A458" s="1" t="s">
        <v>1161</v>
      </c>
      <c r="B458" s="2">
        <v>45211</v>
      </c>
      <c r="C458" s="1" t="str">
        <f>_xlfn.XLOOKUP(Logs[[#This Row],[Province_RDC]],Clients_Log!D:D,Clients_Log!B:B,"Pas de correspondance")</f>
        <v>Pas de correspondance</v>
      </c>
      <c r="D458" t="str">
        <f>_xlfn.XLOOKUP(Logs[[#This Row],[Cell_ID]],'Registre_Maintenance'!B:B,'Registre_Maintenance'!C:C,"Pas de correspondance")</f>
        <v>Pas de correspondance</v>
      </c>
      <c r="E458" s="3">
        <v>0.70625000000000004</v>
      </c>
      <c r="F458" s="1" t="s">
        <v>1180</v>
      </c>
      <c r="G458" s="3">
        <f>Logs[[#This Row],[Duree_Panne_Min]]/1440</f>
        <v>7.9861111111111105E-2</v>
      </c>
      <c r="H458">
        <v>115</v>
      </c>
      <c r="I458" t="str">
        <f>_xlfn.XLOOKUP(Logs[[#This Row],[Cell_ID]],'Registre_Maintenance'!B:B,'Registre_Maintenance'!D:D,"Pas de correspondance")</f>
        <v>Pas de correspondance</v>
      </c>
      <c r="J458" t="str">
        <f>_xlfn.XLOOKUP(Logs[[#This Row],[Cell_ID]],'Registre_Maintenance'!B:B,'Registre_Maintenance'!E:E,"Pas de correspondance")</f>
        <v>Pas de correspondance</v>
      </c>
      <c r="K458" t="str">
        <f>_xlfn.XLOOKUP(Logs[[#This Row],[Cell_ID]],'Registre_Maintenance'!B:B,'Registre_Maintenance'!F:F,"Pas de correspondance")</f>
        <v>Pas de correspondance</v>
      </c>
      <c r="L458" t="str">
        <f>_xlfn.XLOOKUP(Logs[[#This Row],[Cell_ID]],'Registre_Maintenance'!B:B,'Registre_Maintenance'!G:G,"Pas de correspondance")</f>
        <v>Pas de correspondance</v>
      </c>
      <c r="M458" s="1" t="s">
        <v>811</v>
      </c>
      <c r="N458" s="1" t="str">
        <f>_xlfn.XLOOKUP(Logs[[#This Row],[ID_Client]],Clients_Log!B:B,Clients_Log!E:E,"Pas de correspondance")</f>
        <v>Pas de correspondance</v>
      </c>
      <c r="O458" s="4" t="str">
        <f>IFERROR(Logs[[#This Row],[Anciennete_Mois]]/12,"")</f>
        <v/>
      </c>
      <c r="P458" s="1" t="str">
        <f>_xlfn.XLOOKUP(Logs[[#This Row],[ID_Client]],Clients_Log!B:B,Clients_Log!F:F,"Pas de correspondance")</f>
        <v>Pas de correspondance</v>
      </c>
      <c r="Q458" s="1" t="str">
        <f>IF(Logs[[#This Row],[Type_Forfait]]="Pro Monde","B2B","B2C")</f>
        <v>B2C</v>
      </c>
      <c r="R458" s="1" t="str">
        <f>_xlfn.XLOOKUP(Logs[[#This Row],[ID_Client]],Clients_Log!B:B,Clients_Log!G:G,"Pas de correspondance")</f>
        <v>Pas de correspondance</v>
      </c>
      <c r="S458" s="1" t="e">
        <f>Logs[[#This Row],[Duree_Cumulee_Panne_Min]]/1440</f>
        <v>#VALUE!</v>
      </c>
      <c r="T458" s="1" t="str">
        <f>_xlfn.XLOOKUP(Logs[[#This Row],[ID_Client]],Clients_Log!B:B,Clients_Log!H:H,"Pas de correspondance")</f>
        <v>Pas de correspondance</v>
      </c>
      <c r="U458" s="1" t="str">
        <f>_xlfn.XLOOKUP(Logs[[#This Row],[ID_Client]],Clients_Log!B:B,Clients_Log!I:I,"Pas de correspondance")</f>
        <v>Pas de correspondance</v>
      </c>
      <c r="V45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58" s="1" t="e">
        <f>Logs[[#This Row],[Facture_Mensuelle]]*Logs[[#This Row],[Remise (%)]]</f>
        <v>#VALUE!</v>
      </c>
    </row>
    <row r="459" spans="1:23" hidden="1" x14ac:dyDescent="0.25">
      <c r="A459" s="1" t="s">
        <v>1161</v>
      </c>
      <c r="B459" s="2">
        <v>45209</v>
      </c>
      <c r="C459" s="1" t="str">
        <f>_xlfn.XLOOKUP(Logs[[#This Row],[Province_RDC]],Clients_Log!D:D,Clients_Log!B:B,"Pas de correspondance")</f>
        <v>Pas de correspondance</v>
      </c>
      <c r="D459" t="str">
        <f>_xlfn.XLOOKUP(Logs[[#This Row],[Cell_ID]],'Registre_Maintenance'!B:B,'Registre_Maintenance'!C:C,"Pas de correspondance")</f>
        <v>Pas de correspondance</v>
      </c>
      <c r="E459" s="3">
        <v>9.4444444444444442E-2</v>
      </c>
      <c r="F459" s="1" t="s">
        <v>1181</v>
      </c>
      <c r="G459" s="3">
        <f>Logs[[#This Row],[Duree_Panne_Min]]/1440</f>
        <v>6.6666666666666666E-2</v>
      </c>
      <c r="H459">
        <v>96</v>
      </c>
      <c r="I459" t="str">
        <f>_xlfn.XLOOKUP(Logs[[#This Row],[Cell_ID]],'Registre_Maintenance'!B:B,'Registre_Maintenance'!D:D,"Pas de correspondance")</f>
        <v>Pas de correspondance</v>
      </c>
      <c r="J459" t="str">
        <f>_xlfn.XLOOKUP(Logs[[#This Row],[Cell_ID]],'Registre_Maintenance'!B:B,'Registre_Maintenance'!E:E,"Pas de correspondance")</f>
        <v>Pas de correspondance</v>
      </c>
      <c r="K459" t="str">
        <f>_xlfn.XLOOKUP(Logs[[#This Row],[Cell_ID]],'Registre_Maintenance'!B:B,'Registre_Maintenance'!F:F,"Pas de correspondance")</f>
        <v>Pas de correspondance</v>
      </c>
      <c r="L459" t="str">
        <f>_xlfn.XLOOKUP(Logs[[#This Row],[Cell_ID]],'Registre_Maintenance'!B:B,'Registre_Maintenance'!G:G,"Pas de correspondance")</f>
        <v>Pas de correspondance</v>
      </c>
      <c r="M459" s="1" t="s">
        <v>806</v>
      </c>
      <c r="N459" s="1" t="str">
        <f>_xlfn.XLOOKUP(Logs[[#This Row],[ID_Client]],Clients_Log!B:B,Clients_Log!E:E,"Pas de correspondance")</f>
        <v>Pas de correspondance</v>
      </c>
      <c r="O459" s="4" t="str">
        <f>IFERROR(Logs[[#This Row],[Anciennete_Mois]]/12,"")</f>
        <v/>
      </c>
      <c r="P459" s="1" t="str">
        <f>_xlfn.XLOOKUP(Logs[[#This Row],[ID_Client]],Clients_Log!B:B,Clients_Log!F:F,"Pas de correspondance")</f>
        <v>Pas de correspondance</v>
      </c>
      <c r="Q459" s="1" t="str">
        <f>IF(Logs[[#This Row],[Type_Forfait]]="Pro Monde","B2B","B2C")</f>
        <v>B2C</v>
      </c>
      <c r="R459" s="1" t="str">
        <f>_xlfn.XLOOKUP(Logs[[#This Row],[ID_Client]],Clients_Log!B:B,Clients_Log!G:G,"Pas de correspondance")</f>
        <v>Pas de correspondance</v>
      </c>
      <c r="S459" s="1" t="e">
        <f>Logs[[#This Row],[Duree_Cumulee_Panne_Min]]/1440</f>
        <v>#VALUE!</v>
      </c>
      <c r="T459" s="1" t="str">
        <f>_xlfn.XLOOKUP(Logs[[#This Row],[ID_Client]],Clients_Log!B:B,Clients_Log!H:H,"Pas de correspondance")</f>
        <v>Pas de correspondance</v>
      </c>
      <c r="U459" s="1" t="str">
        <f>_xlfn.XLOOKUP(Logs[[#This Row],[ID_Client]],Clients_Log!B:B,Clients_Log!I:I,"Pas de correspondance")</f>
        <v>Pas de correspondance</v>
      </c>
      <c r="V45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59" s="1" t="e">
        <f>Logs[[#This Row],[Facture_Mensuelle]]*Logs[[#This Row],[Remise (%)]]</f>
        <v>#VALUE!</v>
      </c>
    </row>
    <row r="460" spans="1:23" hidden="1" x14ac:dyDescent="0.25">
      <c r="A460" s="1" t="s">
        <v>1161</v>
      </c>
      <c r="B460" s="2">
        <v>45206</v>
      </c>
      <c r="C460" s="1" t="str">
        <f>_xlfn.XLOOKUP(Logs[[#This Row],[Province_RDC]],Clients_Log!D:D,Clients_Log!B:B,"Pas de correspondance")</f>
        <v>Pas de correspondance</v>
      </c>
      <c r="D460" t="str">
        <f>_xlfn.XLOOKUP(Logs[[#This Row],[Cell_ID]],'Registre_Maintenance'!B:B,'Registre_Maintenance'!C:C,"Pas de correspondance")</f>
        <v>Pas de correspondance</v>
      </c>
      <c r="E460" s="3">
        <v>0.85763888888888884</v>
      </c>
      <c r="F460" s="1" t="s">
        <v>997</v>
      </c>
      <c r="G460" s="3">
        <f>Logs[[#This Row],[Duree_Panne_Min]]/1440</f>
        <v>3.125E-2</v>
      </c>
      <c r="H460">
        <v>45</v>
      </c>
      <c r="I460" t="str">
        <f>_xlfn.XLOOKUP(Logs[[#This Row],[Cell_ID]],'Registre_Maintenance'!B:B,'Registre_Maintenance'!D:D,"Pas de correspondance")</f>
        <v>Pas de correspondance</v>
      </c>
      <c r="J460" t="str">
        <f>_xlfn.XLOOKUP(Logs[[#This Row],[Cell_ID]],'Registre_Maintenance'!B:B,'Registre_Maintenance'!E:E,"Pas de correspondance")</f>
        <v>Pas de correspondance</v>
      </c>
      <c r="K460" t="str">
        <f>_xlfn.XLOOKUP(Logs[[#This Row],[Cell_ID]],'Registre_Maintenance'!B:B,'Registre_Maintenance'!F:F,"Pas de correspondance")</f>
        <v>Pas de correspondance</v>
      </c>
      <c r="L460" t="str">
        <f>_xlfn.XLOOKUP(Logs[[#This Row],[Cell_ID]],'Registre_Maintenance'!B:B,'Registre_Maintenance'!G:G,"Pas de correspondance")</f>
        <v>Pas de correspondance</v>
      </c>
      <c r="M460" s="1" t="s">
        <v>811</v>
      </c>
      <c r="N460" s="1" t="str">
        <f>_xlfn.XLOOKUP(Logs[[#This Row],[ID_Client]],Clients_Log!B:B,Clients_Log!E:E,"Pas de correspondance")</f>
        <v>Pas de correspondance</v>
      </c>
      <c r="O460" s="4" t="str">
        <f>IFERROR(Logs[[#This Row],[Anciennete_Mois]]/12,"")</f>
        <v/>
      </c>
      <c r="P460" s="1" t="str">
        <f>_xlfn.XLOOKUP(Logs[[#This Row],[ID_Client]],Clients_Log!B:B,Clients_Log!F:F,"Pas de correspondance")</f>
        <v>Pas de correspondance</v>
      </c>
      <c r="Q460" s="1" t="str">
        <f>IF(Logs[[#This Row],[Type_Forfait]]="Pro Monde","B2B","B2C")</f>
        <v>B2C</v>
      </c>
      <c r="R460" s="1" t="str">
        <f>_xlfn.XLOOKUP(Logs[[#This Row],[ID_Client]],Clients_Log!B:B,Clients_Log!G:G,"Pas de correspondance")</f>
        <v>Pas de correspondance</v>
      </c>
      <c r="S460" s="1" t="e">
        <f>Logs[[#This Row],[Duree_Cumulee_Panne_Min]]/1440</f>
        <v>#VALUE!</v>
      </c>
      <c r="T460" s="1" t="str">
        <f>_xlfn.XLOOKUP(Logs[[#This Row],[ID_Client]],Clients_Log!B:B,Clients_Log!H:H,"Pas de correspondance")</f>
        <v>Pas de correspondance</v>
      </c>
      <c r="U460" s="1" t="str">
        <f>_xlfn.XLOOKUP(Logs[[#This Row],[ID_Client]],Clients_Log!B:B,Clients_Log!I:I,"Pas de correspondance")</f>
        <v>Pas de correspondance</v>
      </c>
      <c r="V46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60" s="1" t="e">
        <f>Logs[[#This Row],[Facture_Mensuelle]]*Logs[[#This Row],[Remise (%)]]</f>
        <v>#VALUE!</v>
      </c>
    </row>
    <row r="461" spans="1:23" hidden="1" x14ac:dyDescent="0.25">
      <c r="A461" s="1" t="s">
        <v>1161</v>
      </c>
      <c r="B461" s="2">
        <v>45208</v>
      </c>
      <c r="C461" s="1" t="str">
        <f>_xlfn.XLOOKUP(Logs[[#This Row],[Province_RDC]],Clients_Log!D:D,Clients_Log!B:B,"Pas de correspondance")</f>
        <v>Pas de correspondance</v>
      </c>
      <c r="D461" t="str">
        <f>_xlfn.XLOOKUP(Logs[[#This Row],[Cell_ID]],'Registre_Maintenance'!B:B,'Registre_Maintenance'!C:C,"Pas de correspondance")</f>
        <v>Pas de correspondance</v>
      </c>
      <c r="E461" s="3">
        <v>0.19444444444444445</v>
      </c>
      <c r="F461" s="1" t="s">
        <v>1182</v>
      </c>
      <c r="G461" s="3">
        <f>Logs[[#This Row],[Duree_Panne_Min]]/1440</f>
        <v>6.805555555555555E-2</v>
      </c>
      <c r="H461">
        <v>98</v>
      </c>
      <c r="I461" t="str">
        <f>_xlfn.XLOOKUP(Logs[[#This Row],[Cell_ID]],'Registre_Maintenance'!B:B,'Registre_Maintenance'!D:D,"Pas de correspondance")</f>
        <v>Pas de correspondance</v>
      </c>
      <c r="J461" t="str">
        <f>_xlfn.XLOOKUP(Logs[[#This Row],[Cell_ID]],'Registre_Maintenance'!B:B,'Registre_Maintenance'!E:E,"Pas de correspondance")</f>
        <v>Pas de correspondance</v>
      </c>
      <c r="K461" t="str">
        <f>_xlfn.XLOOKUP(Logs[[#This Row],[Cell_ID]],'Registre_Maintenance'!B:B,'Registre_Maintenance'!F:F,"Pas de correspondance")</f>
        <v>Pas de correspondance</v>
      </c>
      <c r="L461" t="str">
        <f>_xlfn.XLOOKUP(Logs[[#This Row],[Cell_ID]],'Registre_Maintenance'!B:B,'Registre_Maintenance'!G:G,"Pas de correspondance")</f>
        <v>Pas de correspondance</v>
      </c>
      <c r="M461" s="1" t="s">
        <v>809</v>
      </c>
      <c r="N461" s="1" t="str">
        <f>_xlfn.XLOOKUP(Logs[[#This Row],[ID_Client]],Clients_Log!B:B,Clients_Log!E:E,"Pas de correspondance")</f>
        <v>Pas de correspondance</v>
      </c>
      <c r="O461" s="4" t="str">
        <f>IFERROR(Logs[[#This Row],[Anciennete_Mois]]/12,"")</f>
        <v/>
      </c>
      <c r="P461" s="1" t="str">
        <f>_xlfn.XLOOKUP(Logs[[#This Row],[ID_Client]],Clients_Log!B:B,Clients_Log!F:F,"Pas de correspondance")</f>
        <v>Pas de correspondance</v>
      </c>
      <c r="Q461" s="1" t="str">
        <f>IF(Logs[[#This Row],[Type_Forfait]]="Pro Monde","B2B","B2C")</f>
        <v>B2C</v>
      </c>
      <c r="R461" s="1" t="str">
        <f>_xlfn.XLOOKUP(Logs[[#This Row],[ID_Client]],Clients_Log!B:B,Clients_Log!G:G,"Pas de correspondance")</f>
        <v>Pas de correspondance</v>
      </c>
      <c r="S461" s="1" t="e">
        <f>Logs[[#This Row],[Duree_Cumulee_Panne_Min]]/1440</f>
        <v>#VALUE!</v>
      </c>
      <c r="T461" s="1" t="str">
        <f>_xlfn.XLOOKUP(Logs[[#This Row],[ID_Client]],Clients_Log!B:B,Clients_Log!H:H,"Pas de correspondance")</f>
        <v>Pas de correspondance</v>
      </c>
      <c r="U461" s="1" t="str">
        <f>_xlfn.XLOOKUP(Logs[[#This Row],[ID_Client]],Clients_Log!B:B,Clients_Log!I:I,"Pas de correspondance")</f>
        <v>Pas de correspondance</v>
      </c>
      <c r="V46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61" s="1" t="e">
        <f>Logs[[#This Row],[Facture_Mensuelle]]*Logs[[#This Row],[Remise (%)]]</f>
        <v>#VALUE!</v>
      </c>
    </row>
    <row r="462" spans="1:23" hidden="1" x14ac:dyDescent="0.25">
      <c r="A462" s="1" t="s">
        <v>1161</v>
      </c>
      <c r="B462" s="2">
        <v>45209</v>
      </c>
      <c r="C462" s="1" t="str">
        <f>_xlfn.XLOOKUP(Logs[[#This Row],[Province_RDC]],Clients_Log!D:D,Clients_Log!B:B,"Pas de correspondance")</f>
        <v>Pas de correspondance</v>
      </c>
      <c r="D462" t="str">
        <f>_xlfn.XLOOKUP(Logs[[#This Row],[Cell_ID]],'Registre_Maintenance'!B:B,'Registre_Maintenance'!C:C,"Pas de correspondance")</f>
        <v>Pas de correspondance</v>
      </c>
      <c r="E462" s="3">
        <v>0.81527777777777777</v>
      </c>
      <c r="F462" s="1" t="s">
        <v>896</v>
      </c>
      <c r="G462" s="3">
        <f>Logs[[#This Row],[Duree_Panne_Min]]/1440</f>
        <v>7.9861111111111105E-2</v>
      </c>
      <c r="H462">
        <v>115</v>
      </c>
      <c r="I462" t="str">
        <f>_xlfn.XLOOKUP(Logs[[#This Row],[Cell_ID]],'Registre_Maintenance'!B:B,'Registre_Maintenance'!D:D,"Pas de correspondance")</f>
        <v>Pas de correspondance</v>
      </c>
      <c r="J462" t="str">
        <f>_xlfn.XLOOKUP(Logs[[#This Row],[Cell_ID]],'Registre_Maintenance'!B:B,'Registre_Maintenance'!E:E,"Pas de correspondance")</f>
        <v>Pas de correspondance</v>
      </c>
      <c r="K462" t="str">
        <f>_xlfn.XLOOKUP(Logs[[#This Row],[Cell_ID]],'Registre_Maintenance'!B:B,'Registre_Maintenance'!F:F,"Pas de correspondance")</f>
        <v>Pas de correspondance</v>
      </c>
      <c r="L462" t="str">
        <f>_xlfn.XLOOKUP(Logs[[#This Row],[Cell_ID]],'Registre_Maintenance'!B:B,'Registre_Maintenance'!G:G,"Pas de correspondance")</f>
        <v>Pas de correspondance</v>
      </c>
      <c r="M462" s="1" t="s">
        <v>811</v>
      </c>
      <c r="N462" s="1" t="str">
        <f>_xlfn.XLOOKUP(Logs[[#This Row],[ID_Client]],Clients_Log!B:B,Clients_Log!E:E,"Pas de correspondance")</f>
        <v>Pas de correspondance</v>
      </c>
      <c r="O462" s="4" t="str">
        <f>IFERROR(Logs[[#This Row],[Anciennete_Mois]]/12,"")</f>
        <v/>
      </c>
      <c r="P462" s="1" t="str">
        <f>_xlfn.XLOOKUP(Logs[[#This Row],[ID_Client]],Clients_Log!B:B,Clients_Log!F:F,"Pas de correspondance")</f>
        <v>Pas de correspondance</v>
      </c>
      <c r="Q462" s="1" t="str">
        <f>IF(Logs[[#This Row],[Type_Forfait]]="Pro Monde","B2B","B2C")</f>
        <v>B2C</v>
      </c>
      <c r="R462" s="1" t="str">
        <f>_xlfn.XLOOKUP(Logs[[#This Row],[ID_Client]],Clients_Log!B:B,Clients_Log!G:G,"Pas de correspondance")</f>
        <v>Pas de correspondance</v>
      </c>
      <c r="S462" s="1" t="e">
        <f>Logs[[#This Row],[Duree_Cumulee_Panne_Min]]/1440</f>
        <v>#VALUE!</v>
      </c>
      <c r="T462" s="1" t="str">
        <f>_xlfn.XLOOKUP(Logs[[#This Row],[ID_Client]],Clients_Log!B:B,Clients_Log!H:H,"Pas de correspondance")</f>
        <v>Pas de correspondance</v>
      </c>
      <c r="U462" s="1" t="str">
        <f>_xlfn.XLOOKUP(Logs[[#This Row],[ID_Client]],Clients_Log!B:B,Clients_Log!I:I,"Pas de correspondance")</f>
        <v>Pas de correspondance</v>
      </c>
      <c r="V46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62" s="1" t="e">
        <f>Logs[[#This Row],[Facture_Mensuelle]]*Logs[[#This Row],[Remise (%)]]</f>
        <v>#VALUE!</v>
      </c>
    </row>
    <row r="463" spans="1:23" hidden="1" x14ac:dyDescent="0.25">
      <c r="A463" s="1" t="s">
        <v>1161</v>
      </c>
      <c r="B463" s="2">
        <v>45202</v>
      </c>
      <c r="C463" s="1" t="str">
        <f>_xlfn.XLOOKUP(Logs[[#This Row],[Province_RDC]],Clients_Log!D:D,Clients_Log!B:B,"Pas de correspondance")</f>
        <v>Pas de correspondance</v>
      </c>
      <c r="D463" t="str">
        <f>_xlfn.XLOOKUP(Logs[[#This Row],[Cell_ID]],'Registre_Maintenance'!B:B,'Registre_Maintenance'!C:C,"Pas de correspondance")</f>
        <v>Pas de correspondance</v>
      </c>
      <c r="E463" s="3">
        <v>0.69513888888888886</v>
      </c>
      <c r="F463" s="1" t="s">
        <v>1183</v>
      </c>
      <c r="G463" s="3">
        <f>Logs[[#This Row],[Duree_Panne_Min]]/1440</f>
        <v>3.4027777777777775E-2</v>
      </c>
      <c r="H463">
        <v>49</v>
      </c>
      <c r="I463" t="str">
        <f>_xlfn.XLOOKUP(Logs[[#This Row],[Cell_ID]],'Registre_Maintenance'!B:B,'Registre_Maintenance'!D:D,"Pas de correspondance")</f>
        <v>Pas de correspondance</v>
      </c>
      <c r="J463" t="str">
        <f>_xlfn.XLOOKUP(Logs[[#This Row],[Cell_ID]],'Registre_Maintenance'!B:B,'Registre_Maintenance'!E:E,"Pas de correspondance")</f>
        <v>Pas de correspondance</v>
      </c>
      <c r="K463" t="str">
        <f>_xlfn.XLOOKUP(Logs[[#This Row],[Cell_ID]],'Registre_Maintenance'!B:B,'Registre_Maintenance'!F:F,"Pas de correspondance")</f>
        <v>Pas de correspondance</v>
      </c>
      <c r="L463" t="str">
        <f>_xlfn.XLOOKUP(Logs[[#This Row],[Cell_ID]],'Registre_Maintenance'!B:B,'Registre_Maintenance'!G:G,"Pas de correspondance")</f>
        <v>Pas de correspondance</v>
      </c>
      <c r="M463" s="1" t="s">
        <v>809</v>
      </c>
      <c r="N463" s="1" t="str">
        <f>_xlfn.XLOOKUP(Logs[[#This Row],[ID_Client]],Clients_Log!B:B,Clients_Log!E:E,"Pas de correspondance")</f>
        <v>Pas de correspondance</v>
      </c>
      <c r="O463" s="4" t="str">
        <f>IFERROR(Logs[[#This Row],[Anciennete_Mois]]/12,"")</f>
        <v/>
      </c>
      <c r="P463" s="1" t="str">
        <f>_xlfn.XLOOKUP(Logs[[#This Row],[ID_Client]],Clients_Log!B:B,Clients_Log!F:F,"Pas de correspondance")</f>
        <v>Pas de correspondance</v>
      </c>
      <c r="Q463" s="1" t="str">
        <f>IF(Logs[[#This Row],[Type_Forfait]]="Pro Monde","B2B","B2C")</f>
        <v>B2C</v>
      </c>
      <c r="R463" s="1" t="str">
        <f>_xlfn.XLOOKUP(Logs[[#This Row],[ID_Client]],Clients_Log!B:B,Clients_Log!G:G,"Pas de correspondance")</f>
        <v>Pas de correspondance</v>
      </c>
      <c r="S463" s="1" t="e">
        <f>Logs[[#This Row],[Duree_Cumulee_Panne_Min]]/1440</f>
        <v>#VALUE!</v>
      </c>
      <c r="T463" s="1" t="str">
        <f>_xlfn.XLOOKUP(Logs[[#This Row],[ID_Client]],Clients_Log!B:B,Clients_Log!H:H,"Pas de correspondance")</f>
        <v>Pas de correspondance</v>
      </c>
      <c r="U463" s="1" t="str">
        <f>_xlfn.XLOOKUP(Logs[[#This Row],[ID_Client]],Clients_Log!B:B,Clients_Log!I:I,"Pas de correspondance")</f>
        <v>Pas de correspondance</v>
      </c>
      <c r="V46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63" s="1" t="e">
        <f>Logs[[#This Row],[Facture_Mensuelle]]*Logs[[#This Row],[Remise (%)]]</f>
        <v>#VALUE!</v>
      </c>
    </row>
    <row r="464" spans="1:23" hidden="1" x14ac:dyDescent="0.25">
      <c r="A464" s="1" t="s">
        <v>1161</v>
      </c>
      <c r="B464" s="2">
        <v>45205</v>
      </c>
      <c r="C464" s="1" t="str">
        <f>_xlfn.XLOOKUP(Logs[[#This Row],[Province_RDC]],Clients_Log!D:D,Clients_Log!B:B,"Pas de correspondance")</f>
        <v>Pas de correspondance</v>
      </c>
      <c r="D464" t="str">
        <f>_xlfn.XLOOKUP(Logs[[#This Row],[Cell_ID]],'Registre_Maintenance'!B:B,'Registre_Maintenance'!C:C,"Pas de correspondance")</f>
        <v>Pas de correspondance</v>
      </c>
      <c r="E464" s="3">
        <v>0.77569444444444446</v>
      </c>
      <c r="F464" s="1" t="s">
        <v>1184</v>
      </c>
      <c r="G464" s="3">
        <f>Logs[[#This Row],[Duree_Panne_Min]]/1440</f>
        <v>3.888888888888889E-2</v>
      </c>
      <c r="H464">
        <v>56</v>
      </c>
      <c r="I464" t="str">
        <f>_xlfn.XLOOKUP(Logs[[#This Row],[Cell_ID]],'Registre_Maintenance'!B:B,'Registre_Maintenance'!D:D,"Pas de correspondance")</f>
        <v>Pas de correspondance</v>
      </c>
      <c r="J464" t="str">
        <f>_xlfn.XLOOKUP(Logs[[#This Row],[Cell_ID]],'Registre_Maintenance'!B:B,'Registre_Maintenance'!E:E,"Pas de correspondance")</f>
        <v>Pas de correspondance</v>
      </c>
      <c r="K464" t="str">
        <f>_xlfn.XLOOKUP(Logs[[#This Row],[Cell_ID]],'Registre_Maintenance'!B:B,'Registre_Maintenance'!F:F,"Pas de correspondance")</f>
        <v>Pas de correspondance</v>
      </c>
      <c r="L464" t="str">
        <f>_xlfn.XLOOKUP(Logs[[#This Row],[Cell_ID]],'Registre_Maintenance'!B:B,'Registre_Maintenance'!G:G,"Pas de correspondance")</f>
        <v>Pas de correspondance</v>
      </c>
      <c r="M464" s="1" t="s">
        <v>811</v>
      </c>
      <c r="N464" s="1" t="str">
        <f>_xlfn.XLOOKUP(Logs[[#This Row],[ID_Client]],Clients_Log!B:B,Clients_Log!E:E,"Pas de correspondance")</f>
        <v>Pas de correspondance</v>
      </c>
      <c r="O464" s="4" t="str">
        <f>IFERROR(Logs[[#This Row],[Anciennete_Mois]]/12,"")</f>
        <v/>
      </c>
      <c r="P464" s="1" t="str">
        <f>_xlfn.XLOOKUP(Logs[[#This Row],[ID_Client]],Clients_Log!B:B,Clients_Log!F:F,"Pas de correspondance")</f>
        <v>Pas de correspondance</v>
      </c>
      <c r="Q464" s="1" t="str">
        <f>IF(Logs[[#This Row],[Type_Forfait]]="Pro Monde","B2B","B2C")</f>
        <v>B2C</v>
      </c>
      <c r="R464" s="1" t="str">
        <f>_xlfn.XLOOKUP(Logs[[#This Row],[ID_Client]],Clients_Log!B:B,Clients_Log!G:G,"Pas de correspondance")</f>
        <v>Pas de correspondance</v>
      </c>
      <c r="S464" s="1" t="e">
        <f>Logs[[#This Row],[Duree_Cumulee_Panne_Min]]/1440</f>
        <v>#VALUE!</v>
      </c>
      <c r="T464" s="1" t="str">
        <f>_xlfn.XLOOKUP(Logs[[#This Row],[ID_Client]],Clients_Log!B:B,Clients_Log!H:H,"Pas de correspondance")</f>
        <v>Pas de correspondance</v>
      </c>
      <c r="U464" s="1" t="str">
        <f>_xlfn.XLOOKUP(Logs[[#This Row],[ID_Client]],Clients_Log!B:B,Clients_Log!I:I,"Pas de correspondance")</f>
        <v>Pas de correspondance</v>
      </c>
      <c r="V46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64" s="1" t="e">
        <f>Logs[[#This Row],[Facture_Mensuelle]]*Logs[[#This Row],[Remise (%)]]</f>
        <v>#VALUE!</v>
      </c>
    </row>
    <row r="465" spans="1:23" x14ac:dyDescent="0.25">
      <c r="A465" s="1" t="s">
        <v>1161</v>
      </c>
      <c r="B465" s="2">
        <v>45204</v>
      </c>
      <c r="C465" s="1" t="str">
        <f>_xlfn.XLOOKUP(Logs[[#This Row],[Province_RDC]],Clients_Log!D:D,Clients_Log!B:B,"Pas de correspondance")</f>
        <v>CLI-01233</v>
      </c>
      <c r="D465" t="str">
        <f>_xlfn.XLOOKUP(Logs[[#This Row],[Cell_ID]],'Registre_Maintenance'!B:B,'Registre_Maintenance'!C:C,"Pas de correspondance")</f>
        <v>Kongo-Central</v>
      </c>
      <c r="E465" s="3">
        <v>0.23749999999999999</v>
      </c>
      <c r="F465" s="1" t="s">
        <v>1030</v>
      </c>
      <c r="G465" s="3">
        <f>Logs[[#This Row],[Duree_Panne_Min]]/1440</f>
        <v>1.4583333333333334E-2</v>
      </c>
      <c r="H465">
        <v>21</v>
      </c>
      <c r="I465">
        <f>_xlfn.XLOOKUP(Logs[[#This Row],[Cell_ID]],'Registre_Maintenance'!B:B,'Registre_Maintenance'!D:D,"Pas de correspondance")</f>
        <v>2.975352</v>
      </c>
      <c r="J465">
        <f>_xlfn.XLOOKUP(Logs[[#This Row],[Cell_ID]],'Registre_Maintenance'!B:B,'Registre_Maintenance'!E:E,"Pas de correspondance")</f>
        <v>22.535886000000001</v>
      </c>
      <c r="K465" t="str">
        <f>_xlfn.XLOOKUP(Logs[[#This Row],[Cell_ID]],'Registre_Maintenance'!B:B,'Registre_Maintenance'!F:F,"Pas de correspondance")</f>
        <v>4G</v>
      </c>
      <c r="L465" t="str">
        <f>_xlfn.XLOOKUP(Logs[[#This Row],[Cell_ID]],'Registre_Maintenance'!B:B,'Registre_Maintenance'!G:G,"Pas de correspondance")</f>
        <v>Huawei</v>
      </c>
      <c r="M465" s="1" t="s">
        <v>809</v>
      </c>
      <c r="N465" s="1">
        <f>_xlfn.XLOOKUP(Logs[[#This Row],[ID_Client]],Clients_Log!B:B,Clients_Log!E:E,"Pas de correspondance")</f>
        <v>101</v>
      </c>
      <c r="O465" s="4">
        <f>IFERROR(Logs[[#This Row],[Anciennete_Mois]]/12,"")</f>
        <v>8.4166666666666661</v>
      </c>
      <c r="P465" s="1" t="str">
        <f>_xlfn.XLOOKUP(Logs[[#This Row],[ID_Client]],Clients_Log!B:B,Clients_Log!F:F,"Pas de correspondance")</f>
        <v>Pro Monde</v>
      </c>
      <c r="Q465" s="1" t="str">
        <f>IF(Logs[[#This Row],[Type_Forfait]]="Pro Monde","B2B","B2C")</f>
        <v>B2B</v>
      </c>
      <c r="R465" s="1">
        <f>_xlfn.XLOOKUP(Logs[[#This Row],[ID_Client]],Clients_Log!B:B,Clients_Log!G:G,"Pas de correspondance")</f>
        <v>333</v>
      </c>
      <c r="S465" s="3">
        <f>Logs[[#This Row],[Duree_Cumulee_Panne_Min]]/1440</f>
        <v>0.23125000000000001</v>
      </c>
      <c r="T465" s="1">
        <f>_xlfn.XLOOKUP(Logs[[#This Row],[ID_Client]],Clients_Log!B:B,Clients_Log!H:H,"Pas de correspondance")</f>
        <v>74.319999999999993</v>
      </c>
      <c r="U465" s="1">
        <f>_xlfn.XLOOKUP(Logs[[#This Row],[ID_Client]],Clients_Log!B:B,Clients_Log!I:I,"Pas de correspondance")</f>
        <v>1</v>
      </c>
      <c r="V46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65" s="1">
        <f>Logs[[#This Row],[Facture_Mensuelle]]*Logs[[#This Row],[Remise (%)]]</f>
        <v>33.443999999999996</v>
      </c>
    </row>
    <row r="466" spans="1:23" hidden="1" x14ac:dyDescent="0.25">
      <c r="A466" s="1" t="s">
        <v>1161</v>
      </c>
      <c r="B466" s="2">
        <v>45219</v>
      </c>
      <c r="C466" s="1" t="str">
        <f>_xlfn.XLOOKUP(Logs[[#This Row],[Province_RDC]],Clients_Log!D:D,Clients_Log!B:B,"Pas de correspondance")</f>
        <v>Pas de correspondance</v>
      </c>
      <c r="D466" t="str">
        <f>_xlfn.XLOOKUP(Logs[[#This Row],[Cell_ID]],'Registre_Maintenance'!B:B,'Registre_Maintenance'!C:C,"Pas de correspondance")</f>
        <v>Pas de correspondance</v>
      </c>
      <c r="E466" s="3">
        <v>0.99791666666666667</v>
      </c>
      <c r="F466" s="1" t="s">
        <v>881</v>
      </c>
      <c r="G466" s="3">
        <f>Logs[[#This Row],[Duree_Panne_Min]]/1440</f>
        <v>7.0833333333333331E-2</v>
      </c>
      <c r="H466">
        <v>102</v>
      </c>
      <c r="I466" t="str">
        <f>_xlfn.XLOOKUP(Logs[[#This Row],[Cell_ID]],'Registre_Maintenance'!B:B,'Registre_Maintenance'!D:D,"Pas de correspondance")</f>
        <v>Pas de correspondance</v>
      </c>
      <c r="J466" t="str">
        <f>_xlfn.XLOOKUP(Logs[[#This Row],[Cell_ID]],'Registre_Maintenance'!B:B,'Registre_Maintenance'!E:E,"Pas de correspondance")</f>
        <v>Pas de correspondance</v>
      </c>
      <c r="K466" t="str">
        <f>_xlfn.XLOOKUP(Logs[[#This Row],[Cell_ID]],'Registre_Maintenance'!B:B,'Registre_Maintenance'!F:F,"Pas de correspondance")</f>
        <v>Pas de correspondance</v>
      </c>
      <c r="L466" t="str">
        <f>_xlfn.XLOOKUP(Logs[[#This Row],[Cell_ID]],'Registre_Maintenance'!B:B,'Registre_Maintenance'!G:G,"Pas de correspondance")</f>
        <v>Pas de correspondance</v>
      </c>
      <c r="M466" s="1" t="s">
        <v>809</v>
      </c>
      <c r="N466" s="1" t="str">
        <f>_xlfn.XLOOKUP(Logs[[#This Row],[ID_Client]],Clients_Log!B:B,Clients_Log!E:E,"Pas de correspondance")</f>
        <v>Pas de correspondance</v>
      </c>
      <c r="O466" s="4" t="str">
        <f>IFERROR(Logs[[#This Row],[Anciennete_Mois]]/12,"")</f>
        <v/>
      </c>
      <c r="P466" s="1" t="str">
        <f>_xlfn.XLOOKUP(Logs[[#This Row],[ID_Client]],Clients_Log!B:B,Clients_Log!F:F,"Pas de correspondance")</f>
        <v>Pas de correspondance</v>
      </c>
      <c r="Q466" s="1" t="str">
        <f>IF(Logs[[#This Row],[Type_Forfait]]="Pro Monde","B2B","B2C")</f>
        <v>B2C</v>
      </c>
      <c r="R466" s="1" t="str">
        <f>_xlfn.XLOOKUP(Logs[[#This Row],[ID_Client]],Clients_Log!B:B,Clients_Log!G:G,"Pas de correspondance")</f>
        <v>Pas de correspondance</v>
      </c>
      <c r="S466" s="1" t="e">
        <f>Logs[[#This Row],[Duree_Cumulee_Panne_Min]]/1440</f>
        <v>#VALUE!</v>
      </c>
      <c r="T466" s="1" t="str">
        <f>_xlfn.XLOOKUP(Logs[[#This Row],[ID_Client]],Clients_Log!B:B,Clients_Log!H:H,"Pas de correspondance")</f>
        <v>Pas de correspondance</v>
      </c>
      <c r="U466" s="1" t="str">
        <f>_xlfn.XLOOKUP(Logs[[#This Row],[ID_Client]],Clients_Log!B:B,Clients_Log!I:I,"Pas de correspondance")</f>
        <v>Pas de correspondance</v>
      </c>
      <c r="V46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66" s="1" t="e">
        <f>Logs[[#This Row],[Facture_Mensuelle]]*Logs[[#This Row],[Remise (%)]]</f>
        <v>#VALUE!</v>
      </c>
    </row>
    <row r="467" spans="1:23" hidden="1" x14ac:dyDescent="0.25">
      <c r="A467" s="1" t="s">
        <v>1161</v>
      </c>
      <c r="B467" s="2">
        <v>45219</v>
      </c>
      <c r="C467" s="1" t="str">
        <f>_xlfn.XLOOKUP(Logs[[#This Row],[Province_RDC]],Clients_Log!D:D,Clients_Log!B:B,"Pas de correspondance")</f>
        <v>Pas de correspondance</v>
      </c>
      <c r="D467" t="str">
        <f>_xlfn.XLOOKUP(Logs[[#This Row],[Cell_ID]],'Registre_Maintenance'!B:B,'Registre_Maintenance'!C:C,"Pas de correspondance")</f>
        <v>Pas de correspondance</v>
      </c>
      <c r="E467" s="3">
        <v>0.45347222222222222</v>
      </c>
      <c r="F467" s="1" t="s">
        <v>1185</v>
      </c>
      <c r="G467" s="3">
        <f>Logs[[#This Row],[Duree_Panne_Min]]/1440</f>
        <v>3.6111111111111108E-2</v>
      </c>
      <c r="H467">
        <v>52</v>
      </c>
      <c r="I467" t="str">
        <f>_xlfn.XLOOKUP(Logs[[#This Row],[Cell_ID]],'Registre_Maintenance'!B:B,'Registre_Maintenance'!D:D,"Pas de correspondance")</f>
        <v>Pas de correspondance</v>
      </c>
      <c r="J467" t="str">
        <f>_xlfn.XLOOKUP(Logs[[#This Row],[Cell_ID]],'Registre_Maintenance'!B:B,'Registre_Maintenance'!E:E,"Pas de correspondance")</f>
        <v>Pas de correspondance</v>
      </c>
      <c r="K467" t="str">
        <f>_xlfn.XLOOKUP(Logs[[#This Row],[Cell_ID]],'Registre_Maintenance'!B:B,'Registre_Maintenance'!F:F,"Pas de correspondance")</f>
        <v>Pas de correspondance</v>
      </c>
      <c r="L467" t="str">
        <f>_xlfn.XLOOKUP(Logs[[#This Row],[Cell_ID]],'Registre_Maintenance'!B:B,'Registre_Maintenance'!G:G,"Pas de correspondance")</f>
        <v>Pas de correspondance</v>
      </c>
      <c r="M467" s="1" t="s">
        <v>809</v>
      </c>
      <c r="N467" s="1" t="str">
        <f>_xlfn.XLOOKUP(Logs[[#This Row],[ID_Client]],Clients_Log!B:B,Clients_Log!E:E,"Pas de correspondance")</f>
        <v>Pas de correspondance</v>
      </c>
      <c r="O467" s="4" t="str">
        <f>IFERROR(Logs[[#This Row],[Anciennete_Mois]]/12,"")</f>
        <v/>
      </c>
      <c r="P467" s="1" t="str">
        <f>_xlfn.XLOOKUP(Logs[[#This Row],[ID_Client]],Clients_Log!B:B,Clients_Log!F:F,"Pas de correspondance")</f>
        <v>Pas de correspondance</v>
      </c>
      <c r="Q467" s="1" t="str">
        <f>IF(Logs[[#This Row],[Type_Forfait]]="Pro Monde","B2B","B2C")</f>
        <v>B2C</v>
      </c>
      <c r="R467" s="1" t="str">
        <f>_xlfn.XLOOKUP(Logs[[#This Row],[ID_Client]],Clients_Log!B:B,Clients_Log!G:G,"Pas de correspondance")</f>
        <v>Pas de correspondance</v>
      </c>
      <c r="S467" s="1" t="e">
        <f>Logs[[#This Row],[Duree_Cumulee_Panne_Min]]/1440</f>
        <v>#VALUE!</v>
      </c>
      <c r="T467" s="1" t="str">
        <f>_xlfn.XLOOKUP(Logs[[#This Row],[ID_Client]],Clients_Log!B:B,Clients_Log!H:H,"Pas de correspondance")</f>
        <v>Pas de correspondance</v>
      </c>
      <c r="U467" s="1" t="str">
        <f>_xlfn.XLOOKUP(Logs[[#This Row],[ID_Client]],Clients_Log!B:B,Clients_Log!I:I,"Pas de correspondance")</f>
        <v>Pas de correspondance</v>
      </c>
      <c r="V46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67" s="1" t="e">
        <f>Logs[[#This Row],[Facture_Mensuelle]]*Logs[[#This Row],[Remise (%)]]</f>
        <v>#VALUE!</v>
      </c>
    </row>
    <row r="468" spans="1:23" hidden="1" x14ac:dyDescent="0.25">
      <c r="A468" s="1" t="s">
        <v>1161</v>
      </c>
      <c r="B468" s="2">
        <v>45229</v>
      </c>
      <c r="C468" s="1" t="str">
        <f>_xlfn.XLOOKUP(Logs[[#This Row],[Province_RDC]],Clients_Log!D:D,Clients_Log!B:B,"Pas de correspondance")</f>
        <v>Pas de correspondance</v>
      </c>
      <c r="D468" t="str">
        <f>_xlfn.XLOOKUP(Logs[[#This Row],[Cell_ID]],'Registre_Maintenance'!B:B,'Registre_Maintenance'!C:C,"Pas de correspondance")</f>
        <v>Pas de correspondance</v>
      </c>
      <c r="E468" s="3">
        <v>0.75138888888888888</v>
      </c>
      <c r="F468" s="1" t="s">
        <v>1186</v>
      </c>
      <c r="G468" s="3">
        <f>Logs[[#This Row],[Duree_Panne_Min]]/1440</f>
        <v>4.8611111111111112E-2</v>
      </c>
      <c r="H468">
        <v>70</v>
      </c>
      <c r="I468" t="str">
        <f>_xlfn.XLOOKUP(Logs[[#This Row],[Cell_ID]],'Registre_Maintenance'!B:B,'Registre_Maintenance'!D:D,"Pas de correspondance")</f>
        <v>Pas de correspondance</v>
      </c>
      <c r="J468" t="str">
        <f>_xlfn.XLOOKUP(Logs[[#This Row],[Cell_ID]],'Registre_Maintenance'!B:B,'Registre_Maintenance'!E:E,"Pas de correspondance")</f>
        <v>Pas de correspondance</v>
      </c>
      <c r="K468" t="str">
        <f>_xlfn.XLOOKUP(Logs[[#This Row],[Cell_ID]],'Registre_Maintenance'!B:B,'Registre_Maintenance'!F:F,"Pas de correspondance")</f>
        <v>Pas de correspondance</v>
      </c>
      <c r="L468" t="str">
        <f>_xlfn.XLOOKUP(Logs[[#This Row],[Cell_ID]],'Registre_Maintenance'!B:B,'Registre_Maintenance'!G:G,"Pas de correspondance")</f>
        <v>Pas de correspondance</v>
      </c>
      <c r="M468" s="1" t="s">
        <v>806</v>
      </c>
      <c r="N468" s="1" t="str">
        <f>_xlfn.XLOOKUP(Logs[[#This Row],[ID_Client]],Clients_Log!B:B,Clients_Log!E:E,"Pas de correspondance")</f>
        <v>Pas de correspondance</v>
      </c>
      <c r="O468" s="4" t="str">
        <f>IFERROR(Logs[[#This Row],[Anciennete_Mois]]/12,"")</f>
        <v/>
      </c>
      <c r="P468" s="1" t="str">
        <f>_xlfn.XLOOKUP(Logs[[#This Row],[ID_Client]],Clients_Log!B:B,Clients_Log!F:F,"Pas de correspondance")</f>
        <v>Pas de correspondance</v>
      </c>
      <c r="Q468" s="1" t="str">
        <f>IF(Logs[[#This Row],[Type_Forfait]]="Pro Monde","B2B","B2C")</f>
        <v>B2C</v>
      </c>
      <c r="R468" s="1" t="str">
        <f>_xlfn.XLOOKUP(Logs[[#This Row],[ID_Client]],Clients_Log!B:B,Clients_Log!G:G,"Pas de correspondance")</f>
        <v>Pas de correspondance</v>
      </c>
      <c r="S468" s="1" t="e">
        <f>Logs[[#This Row],[Duree_Cumulee_Panne_Min]]/1440</f>
        <v>#VALUE!</v>
      </c>
      <c r="T468" s="1" t="str">
        <f>_xlfn.XLOOKUP(Logs[[#This Row],[ID_Client]],Clients_Log!B:B,Clients_Log!H:H,"Pas de correspondance")</f>
        <v>Pas de correspondance</v>
      </c>
      <c r="U468" s="1" t="str">
        <f>_xlfn.XLOOKUP(Logs[[#This Row],[ID_Client]],Clients_Log!B:B,Clients_Log!I:I,"Pas de correspondance")</f>
        <v>Pas de correspondance</v>
      </c>
      <c r="V46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68" s="1" t="e">
        <f>Logs[[#This Row],[Facture_Mensuelle]]*Logs[[#This Row],[Remise (%)]]</f>
        <v>#VALUE!</v>
      </c>
    </row>
    <row r="469" spans="1:23" hidden="1" x14ac:dyDescent="0.25">
      <c r="A469" s="1" t="s">
        <v>1161</v>
      </c>
      <c r="B469" s="2">
        <v>45226</v>
      </c>
      <c r="C469" s="1" t="str">
        <f>_xlfn.XLOOKUP(Logs[[#This Row],[Province_RDC]],Clients_Log!D:D,Clients_Log!B:B,"Pas de correspondance")</f>
        <v>Pas de correspondance</v>
      </c>
      <c r="D469" t="str">
        <f>_xlfn.XLOOKUP(Logs[[#This Row],[Cell_ID]],'Registre_Maintenance'!B:B,'Registre_Maintenance'!C:C,"Pas de correspondance")</f>
        <v>Pas de correspondance</v>
      </c>
      <c r="E469" s="3">
        <v>3.472222222222222E-3</v>
      </c>
      <c r="F469" s="1" t="s">
        <v>1187</v>
      </c>
      <c r="G469" s="3">
        <f>Logs[[#This Row],[Duree_Panne_Min]]/1440</f>
        <v>5.2777777777777778E-2</v>
      </c>
      <c r="H469">
        <v>76</v>
      </c>
      <c r="I469" t="str">
        <f>_xlfn.XLOOKUP(Logs[[#This Row],[Cell_ID]],'Registre_Maintenance'!B:B,'Registre_Maintenance'!D:D,"Pas de correspondance")</f>
        <v>Pas de correspondance</v>
      </c>
      <c r="J469" t="str">
        <f>_xlfn.XLOOKUP(Logs[[#This Row],[Cell_ID]],'Registre_Maintenance'!B:B,'Registre_Maintenance'!E:E,"Pas de correspondance")</f>
        <v>Pas de correspondance</v>
      </c>
      <c r="K469" t="str">
        <f>_xlfn.XLOOKUP(Logs[[#This Row],[Cell_ID]],'Registre_Maintenance'!B:B,'Registre_Maintenance'!F:F,"Pas de correspondance")</f>
        <v>Pas de correspondance</v>
      </c>
      <c r="L469" t="str">
        <f>_xlfn.XLOOKUP(Logs[[#This Row],[Cell_ID]],'Registre_Maintenance'!B:B,'Registre_Maintenance'!G:G,"Pas de correspondance")</f>
        <v>Pas de correspondance</v>
      </c>
      <c r="M469" s="1" t="s">
        <v>806</v>
      </c>
      <c r="N469" s="1" t="str">
        <f>_xlfn.XLOOKUP(Logs[[#This Row],[ID_Client]],Clients_Log!B:B,Clients_Log!E:E,"Pas de correspondance")</f>
        <v>Pas de correspondance</v>
      </c>
      <c r="O469" s="4" t="str">
        <f>IFERROR(Logs[[#This Row],[Anciennete_Mois]]/12,"")</f>
        <v/>
      </c>
      <c r="P469" s="1" t="str">
        <f>_xlfn.XLOOKUP(Logs[[#This Row],[ID_Client]],Clients_Log!B:B,Clients_Log!F:F,"Pas de correspondance")</f>
        <v>Pas de correspondance</v>
      </c>
      <c r="Q469" s="1" t="str">
        <f>IF(Logs[[#This Row],[Type_Forfait]]="Pro Monde","B2B","B2C")</f>
        <v>B2C</v>
      </c>
      <c r="R469" s="1" t="str">
        <f>_xlfn.XLOOKUP(Logs[[#This Row],[ID_Client]],Clients_Log!B:B,Clients_Log!G:G,"Pas de correspondance")</f>
        <v>Pas de correspondance</v>
      </c>
      <c r="S469" s="1" t="e">
        <f>Logs[[#This Row],[Duree_Cumulee_Panne_Min]]/1440</f>
        <v>#VALUE!</v>
      </c>
      <c r="T469" s="1" t="str">
        <f>_xlfn.XLOOKUP(Logs[[#This Row],[ID_Client]],Clients_Log!B:B,Clients_Log!H:H,"Pas de correspondance")</f>
        <v>Pas de correspondance</v>
      </c>
      <c r="U469" s="1" t="str">
        <f>_xlfn.XLOOKUP(Logs[[#This Row],[ID_Client]],Clients_Log!B:B,Clients_Log!I:I,"Pas de correspondance")</f>
        <v>Pas de correspondance</v>
      </c>
      <c r="V46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69" s="1" t="e">
        <f>Logs[[#This Row],[Facture_Mensuelle]]*Logs[[#This Row],[Remise (%)]]</f>
        <v>#VALUE!</v>
      </c>
    </row>
    <row r="470" spans="1:23" x14ac:dyDescent="0.25">
      <c r="A470" s="1" t="s">
        <v>1161</v>
      </c>
      <c r="B470" s="2">
        <v>45201</v>
      </c>
      <c r="C470" s="1" t="str">
        <f>_xlfn.XLOOKUP(Logs[[#This Row],[Province_RDC]],Clients_Log!D:D,Clients_Log!B:B,"Pas de correspondance")</f>
        <v>CLI-01233</v>
      </c>
      <c r="D470" t="str">
        <f>_xlfn.XLOOKUP(Logs[[#This Row],[Cell_ID]],'Registre_Maintenance'!B:B,'Registre_Maintenance'!C:C,"Pas de correspondance")</f>
        <v>Kongo-Central</v>
      </c>
      <c r="E470" s="3">
        <v>0.86736111111111114</v>
      </c>
      <c r="F470" s="1" t="s">
        <v>1077</v>
      </c>
      <c r="G470" s="3">
        <f>Logs[[#This Row],[Duree_Panne_Min]]/1440</f>
        <v>1.2500000000000001E-2</v>
      </c>
      <c r="H470">
        <v>18</v>
      </c>
      <c r="I470">
        <f>_xlfn.XLOOKUP(Logs[[#This Row],[Cell_ID]],'Registre_Maintenance'!B:B,'Registre_Maintenance'!D:D,"Pas de correspondance")</f>
        <v>-12.112399999999999</v>
      </c>
      <c r="J470">
        <f>_xlfn.XLOOKUP(Logs[[#This Row],[Cell_ID]],'Registre_Maintenance'!B:B,'Registre_Maintenance'!E:E,"Pas de correspondance")</f>
        <v>15.872226</v>
      </c>
      <c r="K470" t="str">
        <f>_xlfn.XLOOKUP(Logs[[#This Row],[Cell_ID]],'Registre_Maintenance'!B:B,'Registre_Maintenance'!F:F,"Pas de correspondance")</f>
        <v>4G</v>
      </c>
      <c r="L470" t="str">
        <f>_xlfn.XLOOKUP(Logs[[#This Row],[Cell_ID]],'Registre_Maintenance'!B:B,'Registre_Maintenance'!G:G,"Pas de correspondance")</f>
        <v>Nokia</v>
      </c>
      <c r="M470" s="1" t="s">
        <v>806</v>
      </c>
      <c r="N470" s="1">
        <f>_xlfn.XLOOKUP(Logs[[#This Row],[ID_Client]],Clients_Log!B:B,Clients_Log!E:E,"Pas de correspondance")</f>
        <v>101</v>
      </c>
      <c r="O470" s="4">
        <f>IFERROR(Logs[[#This Row],[Anciennete_Mois]]/12,"")</f>
        <v>8.4166666666666661</v>
      </c>
      <c r="P470" s="1" t="str">
        <f>_xlfn.XLOOKUP(Logs[[#This Row],[ID_Client]],Clients_Log!B:B,Clients_Log!F:F,"Pas de correspondance")</f>
        <v>Pro Monde</v>
      </c>
      <c r="Q470" s="1" t="str">
        <f>IF(Logs[[#This Row],[Type_Forfait]]="Pro Monde","B2B","B2C")</f>
        <v>B2B</v>
      </c>
      <c r="R470" s="1">
        <f>_xlfn.XLOOKUP(Logs[[#This Row],[ID_Client]],Clients_Log!B:B,Clients_Log!G:G,"Pas de correspondance")</f>
        <v>333</v>
      </c>
      <c r="S470" s="3">
        <f>Logs[[#This Row],[Duree_Cumulee_Panne_Min]]/1440</f>
        <v>0.23125000000000001</v>
      </c>
      <c r="T470" s="1">
        <f>_xlfn.XLOOKUP(Logs[[#This Row],[ID_Client]],Clients_Log!B:B,Clients_Log!H:H,"Pas de correspondance")</f>
        <v>74.319999999999993</v>
      </c>
      <c r="U470" s="1">
        <f>_xlfn.XLOOKUP(Logs[[#This Row],[ID_Client]],Clients_Log!B:B,Clients_Log!I:I,"Pas de correspondance")</f>
        <v>1</v>
      </c>
      <c r="V47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70" s="1">
        <f>Logs[[#This Row],[Facture_Mensuelle]]*Logs[[#This Row],[Remise (%)]]</f>
        <v>33.443999999999996</v>
      </c>
    </row>
    <row r="471" spans="1:23" hidden="1" x14ac:dyDescent="0.25">
      <c r="A471" s="1" t="s">
        <v>1161</v>
      </c>
      <c r="B471" s="2">
        <v>45218</v>
      </c>
      <c r="C471" s="1" t="str">
        <f>_xlfn.XLOOKUP(Logs[[#This Row],[Province_RDC]],Clients_Log!D:D,Clients_Log!B:B,"Pas de correspondance")</f>
        <v>Pas de correspondance</v>
      </c>
      <c r="D471" t="str">
        <f>_xlfn.XLOOKUP(Logs[[#This Row],[Cell_ID]],'Registre_Maintenance'!B:B,'Registre_Maintenance'!C:C,"Pas de correspondance")</f>
        <v>Pas de correspondance</v>
      </c>
      <c r="E471" s="3">
        <v>0.36180555555555555</v>
      </c>
      <c r="F471" s="1" t="s">
        <v>850</v>
      </c>
      <c r="G471" s="3">
        <f>Logs[[#This Row],[Duree_Panne_Min]]/1440</f>
        <v>3.125E-2</v>
      </c>
      <c r="H471">
        <v>45</v>
      </c>
      <c r="I471" t="str">
        <f>_xlfn.XLOOKUP(Logs[[#This Row],[Cell_ID]],'Registre_Maintenance'!B:B,'Registre_Maintenance'!D:D,"Pas de correspondance")</f>
        <v>Pas de correspondance</v>
      </c>
      <c r="J471" t="str">
        <f>_xlfn.XLOOKUP(Logs[[#This Row],[Cell_ID]],'Registre_Maintenance'!B:B,'Registre_Maintenance'!E:E,"Pas de correspondance")</f>
        <v>Pas de correspondance</v>
      </c>
      <c r="K471" t="str">
        <f>_xlfn.XLOOKUP(Logs[[#This Row],[Cell_ID]],'Registre_Maintenance'!B:B,'Registre_Maintenance'!F:F,"Pas de correspondance")</f>
        <v>Pas de correspondance</v>
      </c>
      <c r="L471" t="str">
        <f>_xlfn.XLOOKUP(Logs[[#This Row],[Cell_ID]],'Registre_Maintenance'!B:B,'Registre_Maintenance'!G:G,"Pas de correspondance")</f>
        <v>Pas de correspondance</v>
      </c>
      <c r="M471" s="1" t="s">
        <v>811</v>
      </c>
      <c r="N471" s="1" t="str">
        <f>_xlfn.XLOOKUP(Logs[[#This Row],[ID_Client]],Clients_Log!B:B,Clients_Log!E:E,"Pas de correspondance")</f>
        <v>Pas de correspondance</v>
      </c>
      <c r="O471" s="4" t="str">
        <f>IFERROR(Logs[[#This Row],[Anciennete_Mois]]/12,"")</f>
        <v/>
      </c>
      <c r="P471" s="1" t="str">
        <f>_xlfn.XLOOKUP(Logs[[#This Row],[ID_Client]],Clients_Log!B:B,Clients_Log!F:F,"Pas de correspondance")</f>
        <v>Pas de correspondance</v>
      </c>
      <c r="Q471" s="1" t="str">
        <f>IF(Logs[[#This Row],[Type_Forfait]]="Pro Monde","B2B","B2C")</f>
        <v>B2C</v>
      </c>
      <c r="R471" s="1" t="str">
        <f>_xlfn.XLOOKUP(Logs[[#This Row],[ID_Client]],Clients_Log!B:B,Clients_Log!G:G,"Pas de correspondance")</f>
        <v>Pas de correspondance</v>
      </c>
      <c r="S471" s="1" t="e">
        <f>Logs[[#This Row],[Duree_Cumulee_Panne_Min]]/1440</f>
        <v>#VALUE!</v>
      </c>
      <c r="T471" s="1" t="str">
        <f>_xlfn.XLOOKUP(Logs[[#This Row],[ID_Client]],Clients_Log!B:B,Clients_Log!H:H,"Pas de correspondance")</f>
        <v>Pas de correspondance</v>
      </c>
      <c r="U471" s="1" t="str">
        <f>_xlfn.XLOOKUP(Logs[[#This Row],[ID_Client]],Clients_Log!B:B,Clients_Log!I:I,"Pas de correspondance")</f>
        <v>Pas de correspondance</v>
      </c>
      <c r="V47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71" s="1" t="e">
        <f>Logs[[#This Row],[Facture_Mensuelle]]*Logs[[#This Row],[Remise (%)]]</f>
        <v>#VALUE!</v>
      </c>
    </row>
    <row r="472" spans="1:23" hidden="1" x14ac:dyDescent="0.25">
      <c r="A472" s="1" t="s">
        <v>1161</v>
      </c>
      <c r="B472" s="2">
        <v>45206</v>
      </c>
      <c r="C472" s="1" t="str">
        <f>_xlfn.XLOOKUP(Logs[[#This Row],[Province_RDC]],Clients_Log!D:D,Clients_Log!B:B,"Pas de correspondance")</f>
        <v>Pas de correspondance</v>
      </c>
      <c r="D472" t="str">
        <f>_xlfn.XLOOKUP(Logs[[#This Row],[Cell_ID]],'Registre_Maintenance'!B:B,'Registre_Maintenance'!C:C,"Pas de correspondance")</f>
        <v>Pas de correspondance</v>
      </c>
      <c r="E472" s="3">
        <v>0.7680555555555556</v>
      </c>
      <c r="F472" s="1" t="s">
        <v>1188</v>
      </c>
      <c r="G472" s="3">
        <f>Logs[[#This Row],[Duree_Panne_Min]]/1440</f>
        <v>2.4305555555555556E-2</v>
      </c>
      <c r="H472">
        <v>35</v>
      </c>
      <c r="I472" t="str">
        <f>_xlfn.XLOOKUP(Logs[[#This Row],[Cell_ID]],'Registre_Maintenance'!B:B,'Registre_Maintenance'!D:D,"Pas de correspondance")</f>
        <v>Pas de correspondance</v>
      </c>
      <c r="J472" t="str">
        <f>_xlfn.XLOOKUP(Logs[[#This Row],[Cell_ID]],'Registre_Maintenance'!B:B,'Registre_Maintenance'!E:E,"Pas de correspondance")</f>
        <v>Pas de correspondance</v>
      </c>
      <c r="K472" t="str">
        <f>_xlfn.XLOOKUP(Logs[[#This Row],[Cell_ID]],'Registre_Maintenance'!B:B,'Registre_Maintenance'!F:F,"Pas de correspondance")</f>
        <v>Pas de correspondance</v>
      </c>
      <c r="L472" t="str">
        <f>_xlfn.XLOOKUP(Logs[[#This Row],[Cell_ID]],'Registre_Maintenance'!B:B,'Registre_Maintenance'!G:G,"Pas de correspondance")</f>
        <v>Pas de correspondance</v>
      </c>
      <c r="M472" s="1" t="s">
        <v>811</v>
      </c>
      <c r="N472" s="1" t="str">
        <f>_xlfn.XLOOKUP(Logs[[#This Row],[ID_Client]],Clients_Log!B:B,Clients_Log!E:E,"Pas de correspondance")</f>
        <v>Pas de correspondance</v>
      </c>
      <c r="O472" s="4" t="str">
        <f>IFERROR(Logs[[#This Row],[Anciennete_Mois]]/12,"")</f>
        <v/>
      </c>
      <c r="P472" s="1" t="str">
        <f>_xlfn.XLOOKUP(Logs[[#This Row],[ID_Client]],Clients_Log!B:B,Clients_Log!F:F,"Pas de correspondance")</f>
        <v>Pas de correspondance</v>
      </c>
      <c r="Q472" s="1" t="str">
        <f>IF(Logs[[#This Row],[Type_Forfait]]="Pro Monde","B2B","B2C")</f>
        <v>B2C</v>
      </c>
      <c r="R472" s="1" t="str">
        <f>_xlfn.XLOOKUP(Logs[[#This Row],[ID_Client]],Clients_Log!B:B,Clients_Log!G:G,"Pas de correspondance")</f>
        <v>Pas de correspondance</v>
      </c>
      <c r="S472" s="1" t="e">
        <f>Logs[[#This Row],[Duree_Cumulee_Panne_Min]]/1440</f>
        <v>#VALUE!</v>
      </c>
      <c r="T472" s="1" t="str">
        <f>_xlfn.XLOOKUP(Logs[[#This Row],[ID_Client]],Clients_Log!B:B,Clients_Log!H:H,"Pas de correspondance")</f>
        <v>Pas de correspondance</v>
      </c>
      <c r="U472" s="1" t="str">
        <f>_xlfn.XLOOKUP(Logs[[#This Row],[ID_Client]],Clients_Log!B:B,Clients_Log!I:I,"Pas de correspondance")</f>
        <v>Pas de correspondance</v>
      </c>
      <c r="V47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72" s="1" t="e">
        <f>Logs[[#This Row],[Facture_Mensuelle]]*Logs[[#This Row],[Remise (%)]]</f>
        <v>#VALUE!</v>
      </c>
    </row>
    <row r="473" spans="1:23" hidden="1" x14ac:dyDescent="0.25">
      <c r="A473" s="1" t="s">
        <v>1161</v>
      </c>
      <c r="B473" s="2">
        <v>45219</v>
      </c>
      <c r="C473" s="1" t="str">
        <f>_xlfn.XLOOKUP(Logs[[#This Row],[Province_RDC]],Clients_Log!D:D,Clients_Log!B:B,"Pas de correspondance")</f>
        <v>Pas de correspondance</v>
      </c>
      <c r="D473" t="str">
        <f>_xlfn.XLOOKUP(Logs[[#This Row],[Cell_ID]],'Registre_Maintenance'!B:B,'Registre_Maintenance'!C:C,"Pas de correspondance")</f>
        <v>Pas de correspondance</v>
      </c>
      <c r="E473" s="3">
        <v>0.83402777777777781</v>
      </c>
      <c r="F473" s="1" t="s">
        <v>1189</v>
      </c>
      <c r="G473" s="3">
        <f>Logs[[#This Row],[Duree_Panne_Min]]/1440</f>
        <v>4.4444444444444446E-2</v>
      </c>
      <c r="H473">
        <v>64</v>
      </c>
      <c r="I473" t="str">
        <f>_xlfn.XLOOKUP(Logs[[#This Row],[Cell_ID]],'Registre_Maintenance'!B:B,'Registre_Maintenance'!D:D,"Pas de correspondance")</f>
        <v>Pas de correspondance</v>
      </c>
      <c r="J473" t="str">
        <f>_xlfn.XLOOKUP(Logs[[#This Row],[Cell_ID]],'Registre_Maintenance'!B:B,'Registre_Maintenance'!E:E,"Pas de correspondance")</f>
        <v>Pas de correspondance</v>
      </c>
      <c r="K473" t="str">
        <f>_xlfn.XLOOKUP(Logs[[#This Row],[Cell_ID]],'Registre_Maintenance'!B:B,'Registre_Maintenance'!F:F,"Pas de correspondance")</f>
        <v>Pas de correspondance</v>
      </c>
      <c r="L473" t="str">
        <f>_xlfn.XLOOKUP(Logs[[#This Row],[Cell_ID]],'Registre_Maintenance'!B:B,'Registre_Maintenance'!G:G,"Pas de correspondance")</f>
        <v>Pas de correspondance</v>
      </c>
      <c r="M473" s="1" t="s">
        <v>811</v>
      </c>
      <c r="N473" s="1" t="str">
        <f>_xlfn.XLOOKUP(Logs[[#This Row],[ID_Client]],Clients_Log!B:B,Clients_Log!E:E,"Pas de correspondance")</f>
        <v>Pas de correspondance</v>
      </c>
      <c r="O473" s="4" t="str">
        <f>IFERROR(Logs[[#This Row],[Anciennete_Mois]]/12,"")</f>
        <v/>
      </c>
      <c r="P473" s="1" t="str">
        <f>_xlfn.XLOOKUP(Logs[[#This Row],[ID_Client]],Clients_Log!B:B,Clients_Log!F:F,"Pas de correspondance")</f>
        <v>Pas de correspondance</v>
      </c>
      <c r="Q473" s="1" t="str">
        <f>IF(Logs[[#This Row],[Type_Forfait]]="Pro Monde","B2B","B2C")</f>
        <v>B2C</v>
      </c>
      <c r="R473" s="1" t="str">
        <f>_xlfn.XLOOKUP(Logs[[#This Row],[ID_Client]],Clients_Log!B:B,Clients_Log!G:G,"Pas de correspondance")</f>
        <v>Pas de correspondance</v>
      </c>
      <c r="S473" s="1" t="e">
        <f>Logs[[#This Row],[Duree_Cumulee_Panne_Min]]/1440</f>
        <v>#VALUE!</v>
      </c>
      <c r="T473" s="1" t="str">
        <f>_xlfn.XLOOKUP(Logs[[#This Row],[ID_Client]],Clients_Log!B:B,Clients_Log!H:H,"Pas de correspondance")</f>
        <v>Pas de correspondance</v>
      </c>
      <c r="U473" s="1" t="str">
        <f>_xlfn.XLOOKUP(Logs[[#This Row],[ID_Client]],Clients_Log!B:B,Clients_Log!I:I,"Pas de correspondance")</f>
        <v>Pas de correspondance</v>
      </c>
      <c r="V47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73" s="1" t="e">
        <f>Logs[[#This Row],[Facture_Mensuelle]]*Logs[[#This Row],[Remise (%)]]</f>
        <v>#VALUE!</v>
      </c>
    </row>
    <row r="474" spans="1:23" hidden="1" x14ac:dyDescent="0.25">
      <c r="A474" s="1" t="s">
        <v>1190</v>
      </c>
      <c r="B474" s="2">
        <v>45201</v>
      </c>
      <c r="C474" s="1" t="str">
        <f>_xlfn.XLOOKUP(Logs[[#This Row],[Province_RDC]],Clients_Log!D:D,Clients_Log!B:B,"Pas de correspondance")</f>
        <v>Pas de correspondance</v>
      </c>
      <c r="D474" t="str">
        <f>_xlfn.XLOOKUP(Logs[[#This Row],[Cell_ID]],'Registre_Maintenance'!B:B,'Registre_Maintenance'!C:C,"Pas de correspondance")</f>
        <v>Pas de correspondance</v>
      </c>
      <c r="E474" s="3">
        <v>4.3055555555555555E-2</v>
      </c>
      <c r="F474" s="1" t="s">
        <v>1164</v>
      </c>
      <c r="G474" s="3">
        <f>Logs[[#This Row],[Duree_Panne_Min]]/1440</f>
        <v>3.125E-2</v>
      </c>
      <c r="H474">
        <v>45</v>
      </c>
      <c r="I474" t="str">
        <f>_xlfn.XLOOKUP(Logs[[#This Row],[Cell_ID]],'Registre_Maintenance'!B:B,'Registre_Maintenance'!D:D,"Pas de correspondance")</f>
        <v>Pas de correspondance</v>
      </c>
      <c r="J474" t="str">
        <f>_xlfn.XLOOKUP(Logs[[#This Row],[Cell_ID]],'Registre_Maintenance'!B:B,'Registre_Maintenance'!E:E,"Pas de correspondance")</f>
        <v>Pas de correspondance</v>
      </c>
      <c r="K474" t="str">
        <f>_xlfn.XLOOKUP(Logs[[#This Row],[Cell_ID]],'Registre_Maintenance'!B:B,'Registre_Maintenance'!F:F,"Pas de correspondance")</f>
        <v>Pas de correspondance</v>
      </c>
      <c r="L474" t="str">
        <f>_xlfn.XLOOKUP(Logs[[#This Row],[Cell_ID]],'Registre_Maintenance'!B:B,'Registre_Maintenance'!G:G,"Pas de correspondance")</f>
        <v>Pas de correspondance</v>
      </c>
      <c r="M474" s="1" t="s">
        <v>809</v>
      </c>
      <c r="N474" s="1" t="str">
        <f>_xlfn.XLOOKUP(Logs[[#This Row],[ID_Client]],Clients_Log!B:B,Clients_Log!E:E,"Pas de correspondance")</f>
        <v>Pas de correspondance</v>
      </c>
      <c r="O474" s="4" t="str">
        <f>IFERROR(Logs[[#This Row],[Anciennete_Mois]]/12,"")</f>
        <v/>
      </c>
      <c r="P474" s="1" t="str">
        <f>_xlfn.XLOOKUP(Logs[[#This Row],[ID_Client]],Clients_Log!B:B,Clients_Log!F:F,"Pas de correspondance")</f>
        <v>Pas de correspondance</v>
      </c>
      <c r="Q474" s="1" t="str">
        <f>IF(Logs[[#This Row],[Type_Forfait]]="Pro Monde","B2B","B2C")</f>
        <v>B2C</v>
      </c>
      <c r="R474" s="1" t="str">
        <f>_xlfn.XLOOKUP(Logs[[#This Row],[ID_Client]],Clients_Log!B:B,Clients_Log!G:G,"Pas de correspondance")</f>
        <v>Pas de correspondance</v>
      </c>
      <c r="S474" s="1" t="e">
        <f>Logs[[#This Row],[Duree_Cumulee_Panne_Min]]/1440</f>
        <v>#VALUE!</v>
      </c>
      <c r="T474" s="1" t="str">
        <f>_xlfn.XLOOKUP(Logs[[#This Row],[ID_Client]],Clients_Log!B:B,Clients_Log!H:H,"Pas de correspondance")</f>
        <v>Pas de correspondance</v>
      </c>
      <c r="U474" s="1" t="str">
        <f>_xlfn.XLOOKUP(Logs[[#This Row],[ID_Client]],Clients_Log!B:B,Clients_Log!I:I,"Pas de correspondance")</f>
        <v>Pas de correspondance</v>
      </c>
      <c r="V47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74" s="1" t="e">
        <f>Logs[[#This Row],[Facture_Mensuelle]]*Logs[[#This Row],[Remise (%)]]</f>
        <v>#VALUE!</v>
      </c>
    </row>
    <row r="475" spans="1:23" hidden="1" x14ac:dyDescent="0.25">
      <c r="A475" s="1" t="s">
        <v>1190</v>
      </c>
      <c r="B475" s="2">
        <v>45204</v>
      </c>
      <c r="C475" s="1" t="str">
        <f>_xlfn.XLOOKUP(Logs[[#This Row],[Province_RDC]],Clients_Log!D:D,Clients_Log!B:B,"Pas de correspondance")</f>
        <v>Pas de correspondance</v>
      </c>
      <c r="D475" t="str">
        <f>_xlfn.XLOOKUP(Logs[[#This Row],[Cell_ID]],'Registre_Maintenance'!B:B,'Registre_Maintenance'!C:C,"Pas de correspondance")</f>
        <v>Pas de correspondance</v>
      </c>
      <c r="E475" s="3">
        <v>0.93125000000000002</v>
      </c>
      <c r="F475" s="1" t="s">
        <v>1191</v>
      </c>
      <c r="G475" s="3">
        <f>Logs[[#This Row],[Duree_Panne_Min]]/1440</f>
        <v>4.583333333333333E-2</v>
      </c>
      <c r="H475">
        <v>66</v>
      </c>
      <c r="I475" t="str">
        <f>_xlfn.XLOOKUP(Logs[[#This Row],[Cell_ID]],'Registre_Maintenance'!B:B,'Registre_Maintenance'!D:D,"Pas de correspondance")</f>
        <v>Pas de correspondance</v>
      </c>
      <c r="J475" t="str">
        <f>_xlfn.XLOOKUP(Logs[[#This Row],[Cell_ID]],'Registre_Maintenance'!B:B,'Registre_Maintenance'!E:E,"Pas de correspondance")</f>
        <v>Pas de correspondance</v>
      </c>
      <c r="K475" t="str">
        <f>_xlfn.XLOOKUP(Logs[[#This Row],[Cell_ID]],'Registre_Maintenance'!B:B,'Registre_Maintenance'!F:F,"Pas de correspondance")</f>
        <v>Pas de correspondance</v>
      </c>
      <c r="L475" t="str">
        <f>_xlfn.XLOOKUP(Logs[[#This Row],[Cell_ID]],'Registre_Maintenance'!B:B,'Registre_Maintenance'!G:G,"Pas de correspondance")</f>
        <v>Pas de correspondance</v>
      </c>
      <c r="M475" s="1" t="s">
        <v>806</v>
      </c>
      <c r="N475" s="1" t="str">
        <f>_xlfn.XLOOKUP(Logs[[#This Row],[ID_Client]],Clients_Log!B:B,Clients_Log!E:E,"Pas de correspondance")</f>
        <v>Pas de correspondance</v>
      </c>
      <c r="O475" s="4" t="str">
        <f>IFERROR(Logs[[#This Row],[Anciennete_Mois]]/12,"")</f>
        <v/>
      </c>
      <c r="P475" s="1" t="str">
        <f>_xlfn.XLOOKUP(Logs[[#This Row],[ID_Client]],Clients_Log!B:B,Clients_Log!F:F,"Pas de correspondance")</f>
        <v>Pas de correspondance</v>
      </c>
      <c r="Q475" s="1" t="str">
        <f>IF(Logs[[#This Row],[Type_Forfait]]="Pro Monde","B2B","B2C")</f>
        <v>B2C</v>
      </c>
      <c r="R475" s="1" t="str">
        <f>_xlfn.XLOOKUP(Logs[[#This Row],[ID_Client]],Clients_Log!B:B,Clients_Log!G:G,"Pas de correspondance")</f>
        <v>Pas de correspondance</v>
      </c>
      <c r="S475" s="1" t="e">
        <f>Logs[[#This Row],[Duree_Cumulee_Panne_Min]]/1440</f>
        <v>#VALUE!</v>
      </c>
      <c r="T475" s="1" t="str">
        <f>_xlfn.XLOOKUP(Logs[[#This Row],[ID_Client]],Clients_Log!B:B,Clients_Log!H:H,"Pas de correspondance")</f>
        <v>Pas de correspondance</v>
      </c>
      <c r="U475" s="1" t="str">
        <f>_xlfn.XLOOKUP(Logs[[#This Row],[ID_Client]],Clients_Log!B:B,Clients_Log!I:I,"Pas de correspondance")</f>
        <v>Pas de correspondance</v>
      </c>
      <c r="V47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75" s="1" t="e">
        <f>Logs[[#This Row],[Facture_Mensuelle]]*Logs[[#This Row],[Remise (%)]]</f>
        <v>#VALUE!</v>
      </c>
    </row>
    <row r="476" spans="1:23" hidden="1" x14ac:dyDescent="0.25">
      <c r="A476" s="1" t="s">
        <v>1190</v>
      </c>
      <c r="B476" s="2">
        <v>45225</v>
      </c>
      <c r="C476" s="1" t="str">
        <f>_xlfn.XLOOKUP(Logs[[#This Row],[Province_RDC]],Clients_Log!D:D,Clients_Log!B:B,"Pas de correspondance")</f>
        <v>Pas de correspondance</v>
      </c>
      <c r="D476" t="str">
        <f>_xlfn.XLOOKUP(Logs[[#This Row],[Cell_ID]],'Registre_Maintenance'!B:B,'Registre_Maintenance'!C:C,"Pas de correspondance")</f>
        <v>Pas de correspondance</v>
      </c>
      <c r="E476" s="3">
        <v>0.6479166666666667</v>
      </c>
      <c r="F476" s="1" t="s">
        <v>1192</v>
      </c>
      <c r="G476" s="3">
        <f>Logs[[#This Row],[Duree_Panne_Min]]/1440</f>
        <v>3.4027777777777775E-2</v>
      </c>
      <c r="H476">
        <v>49</v>
      </c>
      <c r="I476" t="str">
        <f>_xlfn.XLOOKUP(Logs[[#This Row],[Cell_ID]],'Registre_Maintenance'!B:B,'Registre_Maintenance'!D:D,"Pas de correspondance")</f>
        <v>Pas de correspondance</v>
      </c>
      <c r="J476" t="str">
        <f>_xlfn.XLOOKUP(Logs[[#This Row],[Cell_ID]],'Registre_Maintenance'!B:B,'Registre_Maintenance'!E:E,"Pas de correspondance")</f>
        <v>Pas de correspondance</v>
      </c>
      <c r="K476" t="str">
        <f>_xlfn.XLOOKUP(Logs[[#This Row],[Cell_ID]],'Registre_Maintenance'!B:B,'Registre_Maintenance'!F:F,"Pas de correspondance")</f>
        <v>Pas de correspondance</v>
      </c>
      <c r="L476" t="str">
        <f>_xlfn.XLOOKUP(Logs[[#This Row],[Cell_ID]],'Registre_Maintenance'!B:B,'Registre_Maintenance'!G:G,"Pas de correspondance")</f>
        <v>Pas de correspondance</v>
      </c>
      <c r="M476" s="1" t="s">
        <v>806</v>
      </c>
      <c r="N476" s="1" t="str">
        <f>_xlfn.XLOOKUP(Logs[[#This Row],[ID_Client]],Clients_Log!B:B,Clients_Log!E:E,"Pas de correspondance")</f>
        <v>Pas de correspondance</v>
      </c>
      <c r="O476" s="4" t="str">
        <f>IFERROR(Logs[[#This Row],[Anciennete_Mois]]/12,"")</f>
        <v/>
      </c>
      <c r="P476" s="1" t="str">
        <f>_xlfn.XLOOKUP(Logs[[#This Row],[ID_Client]],Clients_Log!B:B,Clients_Log!F:F,"Pas de correspondance")</f>
        <v>Pas de correspondance</v>
      </c>
      <c r="Q476" s="1" t="str">
        <f>IF(Logs[[#This Row],[Type_Forfait]]="Pro Monde","B2B","B2C")</f>
        <v>B2C</v>
      </c>
      <c r="R476" s="1" t="str">
        <f>_xlfn.XLOOKUP(Logs[[#This Row],[ID_Client]],Clients_Log!B:B,Clients_Log!G:G,"Pas de correspondance")</f>
        <v>Pas de correspondance</v>
      </c>
      <c r="S476" s="1" t="e">
        <f>Logs[[#This Row],[Duree_Cumulee_Panne_Min]]/1440</f>
        <v>#VALUE!</v>
      </c>
      <c r="T476" s="1" t="str">
        <f>_xlfn.XLOOKUP(Logs[[#This Row],[ID_Client]],Clients_Log!B:B,Clients_Log!H:H,"Pas de correspondance")</f>
        <v>Pas de correspondance</v>
      </c>
      <c r="U476" s="1" t="str">
        <f>_xlfn.XLOOKUP(Logs[[#This Row],[ID_Client]],Clients_Log!B:B,Clients_Log!I:I,"Pas de correspondance")</f>
        <v>Pas de correspondance</v>
      </c>
      <c r="V47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76" s="1" t="e">
        <f>Logs[[#This Row],[Facture_Mensuelle]]*Logs[[#This Row],[Remise (%)]]</f>
        <v>#VALUE!</v>
      </c>
    </row>
    <row r="477" spans="1:23" hidden="1" x14ac:dyDescent="0.25">
      <c r="A477" s="1" t="s">
        <v>1190</v>
      </c>
      <c r="B477" s="2">
        <v>45214</v>
      </c>
      <c r="C477" s="1" t="str">
        <f>_xlfn.XLOOKUP(Logs[[#This Row],[Province_RDC]],Clients_Log!D:D,Clients_Log!B:B,"Pas de correspondance")</f>
        <v>Pas de correspondance</v>
      </c>
      <c r="D477" t="str">
        <f>_xlfn.XLOOKUP(Logs[[#This Row],[Cell_ID]],'Registre_Maintenance'!B:B,'Registre_Maintenance'!C:C,"Pas de correspondance")</f>
        <v>Pas de correspondance</v>
      </c>
      <c r="E477" s="3">
        <v>0.19305555555555556</v>
      </c>
      <c r="F477" s="1" t="s">
        <v>835</v>
      </c>
      <c r="G477" s="3">
        <f>Logs[[#This Row],[Duree_Panne_Min]]/1440</f>
        <v>5.2777777777777778E-2</v>
      </c>
      <c r="H477">
        <v>76</v>
      </c>
      <c r="I477" t="str">
        <f>_xlfn.XLOOKUP(Logs[[#This Row],[Cell_ID]],'Registre_Maintenance'!B:B,'Registre_Maintenance'!D:D,"Pas de correspondance")</f>
        <v>Pas de correspondance</v>
      </c>
      <c r="J477" t="str">
        <f>_xlfn.XLOOKUP(Logs[[#This Row],[Cell_ID]],'Registre_Maintenance'!B:B,'Registre_Maintenance'!E:E,"Pas de correspondance")</f>
        <v>Pas de correspondance</v>
      </c>
      <c r="K477" t="str">
        <f>_xlfn.XLOOKUP(Logs[[#This Row],[Cell_ID]],'Registre_Maintenance'!B:B,'Registre_Maintenance'!F:F,"Pas de correspondance")</f>
        <v>Pas de correspondance</v>
      </c>
      <c r="L477" t="str">
        <f>_xlfn.XLOOKUP(Logs[[#This Row],[Cell_ID]],'Registre_Maintenance'!B:B,'Registre_Maintenance'!G:G,"Pas de correspondance")</f>
        <v>Pas de correspondance</v>
      </c>
      <c r="M477" s="1" t="s">
        <v>811</v>
      </c>
      <c r="N477" s="1" t="str">
        <f>_xlfn.XLOOKUP(Logs[[#This Row],[ID_Client]],Clients_Log!B:B,Clients_Log!E:E,"Pas de correspondance")</f>
        <v>Pas de correspondance</v>
      </c>
      <c r="O477" s="4" t="str">
        <f>IFERROR(Logs[[#This Row],[Anciennete_Mois]]/12,"")</f>
        <v/>
      </c>
      <c r="P477" s="1" t="str">
        <f>_xlfn.XLOOKUP(Logs[[#This Row],[ID_Client]],Clients_Log!B:B,Clients_Log!F:F,"Pas de correspondance")</f>
        <v>Pas de correspondance</v>
      </c>
      <c r="Q477" s="1" t="str">
        <f>IF(Logs[[#This Row],[Type_Forfait]]="Pro Monde","B2B","B2C")</f>
        <v>B2C</v>
      </c>
      <c r="R477" s="1" t="str">
        <f>_xlfn.XLOOKUP(Logs[[#This Row],[ID_Client]],Clients_Log!B:B,Clients_Log!G:G,"Pas de correspondance")</f>
        <v>Pas de correspondance</v>
      </c>
      <c r="S477" s="1" t="e">
        <f>Logs[[#This Row],[Duree_Cumulee_Panne_Min]]/1440</f>
        <v>#VALUE!</v>
      </c>
      <c r="T477" s="1" t="str">
        <f>_xlfn.XLOOKUP(Logs[[#This Row],[ID_Client]],Clients_Log!B:B,Clients_Log!H:H,"Pas de correspondance")</f>
        <v>Pas de correspondance</v>
      </c>
      <c r="U477" s="1" t="str">
        <f>_xlfn.XLOOKUP(Logs[[#This Row],[ID_Client]],Clients_Log!B:B,Clients_Log!I:I,"Pas de correspondance")</f>
        <v>Pas de correspondance</v>
      </c>
      <c r="V47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77" s="1" t="e">
        <f>Logs[[#This Row],[Facture_Mensuelle]]*Logs[[#This Row],[Remise (%)]]</f>
        <v>#VALUE!</v>
      </c>
    </row>
    <row r="478" spans="1:23" hidden="1" x14ac:dyDescent="0.25">
      <c r="A478" s="1" t="s">
        <v>1190</v>
      </c>
      <c r="B478" s="2">
        <v>45228</v>
      </c>
      <c r="C478" s="1" t="str">
        <f>_xlfn.XLOOKUP(Logs[[#This Row],[Province_RDC]],Clients_Log!D:D,Clients_Log!B:B,"Pas de correspondance")</f>
        <v>Pas de correspondance</v>
      </c>
      <c r="D478" t="str">
        <f>_xlfn.XLOOKUP(Logs[[#This Row],[Cell_ID]],'Registre_Maintenance'!B:B,'Registre_Maintenance'!C:C,"Pas de correspondance")</f>
        <v>Pas de correspondance</v>
      </c>
      <c r="E478" s="3">
        <v>0.67222222222222228</v>
      </c>
      <c r="F478" s="1" t="s">
        <v>1193</v>
      </c>
      <c r="G478" s="3">
        <f>Logs[[#This Row],[Duree_Panne_Min]]/1440</f>
        <v>7.3611111111111113E-2</v>
      </c>
      <c r="H478">
        <v>106</v>
      </c>
      <c r="I478" t="str">
        <f>_xlfn.XLOOKUP(Logs[[#This Row],[Cell_ID]],'Registre_Maintenance'!B:B,'Registre_Maintenance'!D:D,"Pas de correspondance")</f>
        <v>Pas de correspondance</v>
      </c>
      <c r="J478" t="str">
        <f>_xlfn.XLOOKUP(Logs[[#This Row],[Cell_ID]],'Registre_Maintenance'!B:B,'Registre_Maintenance'!E:E,"Pas de correspondance")</f>
        <v>Pas de correspondance</v>
      </c>
      <c r="K478" t="str">
        <f>_xlfn.XLOOKUP(Logs[[#This Row],[Cell_ID]],'Registre_Maintenance'!B:B,'Registre_Maintenance'!F:F,"Pas de correspondance")</f>
        <v>Pas de correspondance</v>
      </c>
      <c r="L478" t="str">
        <f>_xlfn.XLOOKUP(Logs[[#This Row],[Cell_ID]],'Registre_Maintenance'!B:B,'Registre_Maintenance'!G:G,"Pas de correspondance")</f>
        <v>Pas de correspondance</v>
      </c>
      <c r="M478" s="1" t="s">
        <v>806</v>
      </c>
      <c r="N478" s="1" t="str">
        <f>_xlfn.XLOOKUP(Logs[[#This Row],[ID_Client]],Clients_Log!B:B,Clients_Log!E:E,"Pas de correspondance")</f>
        <v>Pas de correspondance</v>
      </c>
      <c r="O478" s="4" t="str">
        <f>IFERROR(Logs[[#This Row],[Anciennete_Mois]]/12,"")</f>
        <v/>
      </c>
      <c r="P478" s="1" t="str">
        <f>_xlfn.XLOOKUP(Logs[[#This Row],[ID_Client]],Clients_Log!B:B,Clients_Log!F:F,"Pas de correspondance")</f>
        <v>Pas de correspondance</v>
      </c>
      <c r="Q478" s="1" t="str">
        <f>IF(Logs[[#This Row],[Type_Forfait]]="Pro Monde","B2B","B2C")</f>
        <v>B2C</v>
      </c>
      <c r="R478" s="1" t="str">
        <f>_xlfn.XLOOKUP(Logs[[#This Row],[ID_Client]],Clients_Log!B:B,Clients_Log!G:G,"Pas de correspondance")</f>
        <v>Pas de correspondance</v>
      </c>
      <c r="S478" s="1" t="e">
        <f>Logs[[#This Row],[Duree_Cumulee_Panne_Min]]/1440</f>
        <v>#VALUE!</v>
      </c>
      <c r="T478" s="1" t="str">
        <f>_xlfn.XLOOKUP(Logs[[#This Row],[ID_Client]],Clients_Log!B:B,Clients_Log!H:H,"Pas de correspondance")</f>
        <v>Pas de correspondance</v>
      </c>
      <c r="U478" s="1" t="str">
        <f>_xlfn.XLOOKUP(Logs[[#This Row],[ID_Client]],Clients_Log!B:B,Clients_Log!I:I,"Pas de correspondance")</f>
        <v>Pas de correspondance</v>
      </c>
      <c r="V47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78" s="1" t="e">
        <f>Logs[[#This Row],[Facture_Mensuelle]]*Logs[[#This Row],[Remise (%)]]</f>
        <v>#VALUE!</v>
      </c>
    </row>
    <row r="479" spans="1:23" hidden="1" x14ac:dyDescent="0.25">
      <c r="A479" s="1" t="s">
        <v>1190</v>
      </c>
      <c r="B479" s="2">
        <v>45210</v>
      </c>
      <c r="C479" s="1" t="str">
        <f>_xlfn.XLOOKUP(Logs[[#This Row],[Province_RDC]],Clients_Log!D:D,Clients_Log!B:B,"Pas de correspondance")</f>
        <v>Pas de correspondance</v>
      </c>
      <c r="D479" t="str">
        <f>_xlfn.XLOOKUP(Logs[[#This Row],[Cell_ID]],'Registre_Maintenance'!B:B,'Registre_Maintenance'!C:C,"Pas de correspondance")</f>
        <v>Pas de correspondance</v>
      </c>
      <c r="E479" s="3">
        <v>0.80555555555555558</v>
      </c>
      <c r="F479" s="1" t="s">
        <v>1194</v>
      </c>
      <c r="G479" s="3">
        <f>Logs[[#This Row],[Duree_Panne_Min]]/1440</f>
        <v>6.7361111111111108E-2</v>
      </c>
      <c r="H479">
        <v>97</v>
      </c>
      <c r="I479" t="str">
        <f>_xlfn.XLOOKUP(Logs[[#This Row],[Cell_ID]],'Registre_Maintenance'!B:B,'Registre_Maintenance'!D:D,"Pas de correspondance")</f>
        <v>Pas de correspondance</v>
      </c>
      <c r="J479" t="str">
        <f>_xlfn.XLOOKUP(Logs[[#This Row],[Cell_ID]],'Registre_Maintenance'!B:B,'Registre_Maintenance'!E:E,"Pas de correspondance")</f>
        <v>Pas de correspondance</v>
      </c>
      <c r="K479" t="str">
        <f>_xlfn.XLOOKUP(Logs[[#This Row],[Cell_ID]],'Registre_Maintenance'!B:B,'Registre_Maintenance'!F:F,"Pas de correspondance")</f>
        <v>Pas de correspondance</v>
      </c>
      <c r="L479" t="str">
        <f>_xlfn.XLOOKUP(Logs[[#This Row],[Cell_ID]],'Registre_Maintenance'!B:B,'Registre_Maintenance'!G:G,"Pas de correspondance")</f>
        <v>Pas de correspondance</v>
      </c>
      <c r="M479" s="1" t="s">
        <v>806</v>
      </c>
      <c r="N479" s="1" t="str">
        <f>_xlfn.XLOOKUP(Logs[[#This Row],[ID_Client]],Clients_Log!B:B,Clients_Log!E:E,"Pas de correspondance")</f>
        <v>Pas de correspondance</v>
      </c>
      <c r="O479" s="4" t="str">
        <f>IFERROR(Logs[[#This Row],[Anciennete_Mois]]/12,"")</f>
        <v/>
      </c>
      <c r="P479" s="1" t="str">
        <f>_xlfn.XLOOKUP(Logs[[#This Row],[ID_Client]],Clients_Log!B:B,Clients_Log!F:F,"Pas de correspondance")</f>
        <v>Pas de correspondance</v>
      </c>
      <c r="Q479" s="1" t="str">
        <f>IF(Logs[[#This Row],[Type_Forfait]]="Pro Monde","B2B","B2C")</f>
        <v>B2C</v>
      </c>
      <c r="R479" s="1" t="str">
        <f>_xlfn.XLOOKUP(Logs[[#This Row],[ID_Client]],Clients_Log!B:B,Clients_Log!G:G,"Pas de correspondance")</f>
        <v>Pas de correspondance</v>
      </c>
      <c r="S479" s="1" t="e">
        <f>Logs[[#This Row],[Duree_Cumulee_Panne_Min]]/1440</f>
        <v>#VALUE!</v>
      </c>
      <c r="T479" s="1" t="str">
        <f>_xlfn.XLOOKUP(Logs[[#This Row],[ID_Client]],Clients_Log!B:B,Clients_Log!H:H,"Pas de correspondance")</f>
        <v>Pas de correspondance</v>
      </c>
      <c r="U479" s="1" t="str">
        <f>_xlfn.XLOOKUP(Logs[[#This Row],[ID_Client]],Clients_Log!B:B,Clients_Log!I:I,"Pas de correspondance")</f>
        <v>Pas de correspondance</v>
      </c>
      <c r="V47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79" s="1" t="e">
        <f>Logs[[#This Row],[Facture_Mensuelle]]*Logs[[#This Row],[Remise (%)]]</f>
        <v>#VALUE!</v>
      </c>
    </row>
    <row r="480" spans="1:23" x14ac:dyDescent="0.25">
      <c r="A480" s="1" t="s">
        <v>1190</v>
      </c>
      <c r="B480" s="2">
        <v>45205</v>
      </c>
      <c r="C480" s="1" t="str">
        <f>_xlfn.XLOOKUP(Logs[[#This Row],[Province_RDC]],Clients_Log!D:D,Clients_Log!B:B,"Pas de correspondance")</f>
        <v>CLI-00837</v>
      </c>
      <c r="D480" t="str">
        <f>_xlfn.XLOOKUP(Logs[[#This Row],[Cell_ID]],'Registre_Maintenance'!B:B,'Registre_Maintenance'!C:C,"Pas de correspondance")</f>
        <v>Nord-Kivu</v>
      </c>
      <c r="E480" s="3">
        <v>0.52708333333333335</v>
      </c>
      <c r="F480" s="1" t="s">
        <v>1195</v>
      </c>
      <c r="G480" s="3">
        <f>Logs[[#This Row],[Duree_Panne_Min]]/1440</f>
        <v>2.7777777777777776E-2</v>
      </c>
      <c r="H480">
        <v>40</v>
      </c>
      <c r="I480">
        <f>_xlfn.XLOOKUP(Logs[[#This Row],[Cell_ID]],'Registre_Maintenance'!B:B,'Registre_Maintenance'!D:D,"Pas de correspondance")</f>
        <v>-5.42171</v>
      </c>
      <c r="J480">
        <f>_xlfn.XLOOKUP(Logs[[#This Row],[Cell_ID]],'Registre_Maintenance'!B:B,'Registre_Maintenance'!E:E,"Pas de correspondance")</f>
        <v>24.202960999999998</v>
      </c>
      <c r="K480" t="str">
        <f>_xlfn.XLOOKUP(Logs[[#This Row],[Cell_ID]],'Registre_Maintenance'!B:B,'Registre_Maintenance'!F:F,"Pas de correspondance")</f>
        <v>5G</v>
      </c>
      <c r="L480" t="str">
        <f>_xlfn.XLOOKUP(Logs[[#This Row],[Cell_ID]],'Registre_Maintenance'!B:B,'Registre_Maintenance'!G:G,"Pas de correspondance")</f>
        <v>Ericsson</v>
      </c>
      <c r="M480" s="1" t="s">
        <v>811</v>
      </c>
      <c r="N480" s="1">
        <f>_xlfn.XLOOKUP(Logs[[#This Row],[ID_Client]],Clients_Log!B:B,Clients_Log!E:E,"Pas de correspondance")</f>
        <v>16</v>
      </c>
      <c r="O480" s="4">
        <f>IFERROR(Logs[[#This Row],[Anciennete_Mois]]/12,"")</f>
        <v>1.3333333333333333</v>
      </c>
      <c r="P480" s="1" t="str">
        <f>_xlfn.XLOOKUP(Logs[[#This Row],[ID_Client]],Clients_Log!B:B,Clients_Log!F:F,"Pas de correspondance")</f>
        <v>Bloqué 5Go</v>
      </c>
      <c r="Q480" s="1" t="str">
        <f>IF(Logs[[#This Row],[Type_Forfait]]="Pro Monde","B2B","B2C")</f>
        <v>B2C</v>
      </c>
      <c r="R480" s="1">
        <f>_xlfn.XLOOKUP(Logs[[#This Row],[ID_Client]],Clients_Log!B:B,Clients_Log!G:G,"Pas de correspondance")</f>
        <v>390</v>
      </c>
      <c r="S480" s="3">
        <f>Logs[[#This Row],[Duree_Cumulee_Panne_Min]]/1440</f>
        <v>0.27083333333333331</v>
      </c>
      <c r="T480" s="1">
        <f>_xlfn.XLOOKUP(Logs[[#This Row],[ID_Client]],Clients_Log!B:B,Clients_Log!H:H,"Pas de correspondance")</f>
        <v>98.17</v>
      </c>
      <c r="U480" s="1">
        <f>_xlfn.XLOOKUP(Logs[[#This Row],[ID_Client]],Clients_Log!B:B,Clients_Log!I:I,"Pas de correspondance")</f>
        <v>5</v>
      </c>
      <c r="V48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80" s="1">
        <f>Logs[[#This Row],[Facture_Mensuelle]]*Logs[[#This Row],[Remise (%)]]</f>
        <v>44.176500000000004</v>
      </c>
    </row>
    <row r="481" spans="1:23" x14ac:dyDescent="0.25">
      <c r="A481" s="1" t="s">
        <v>1190</v>
      </c>
      <c r="B481" s="2">
        <v>45223</v>
      </c>
      <c r="C481" s="1" t="str">
        <f>_xlfn.XLOOKUP(Logs[[#This Row],[Province_RDC]],Clients_Log!D:D,Clients_Log!B:B,"Pas de correspondance")</f>
        <v>CLI-00865</v>
      </c>
      <c r="D481" t="str">
        <f>_xlfn.XLOOKUP(Logs[[#This Row],[Cell_ID]],'Registre_Maintenance'!B:B,'Registre_Maintenance'!C:C,"Pas de correspondance")</f>
        <v>Mongala</v>
      </c>
      <c r="E481" s="3">
        <v>0.40069444444444446</v>
      </c>
      <c r="F481" s="1" t="s">
        <v>1120</v>
      </c>
      <c r="G481" s="3">
        <f>Logs[[#This Row],[Duree_Panne_Min]]/1440</f>
        <v>2.8472222222222222E-2</v>
      </c>
      <c r="H481">
        <v>41</v>
      </c>
      <c r="I481">
        <f>_xlfn.XLOOKUP(Logs[[#This Row],[Cell_ID]],'Registre_Maintenance'!B:B,'Registre_Maintenance'!D:D,"Pas de correspondance")</f>
        <v>-1.231033</v>
      </c>
      <c r="J481">
        <f>_xlfn.XLOOKUP(Logs[[#This Row],[Cell_ID]],'Registre_Maintenance'!B:B,'Registre_Maintenance'!E:E,"Pas de correspondance")</f>
        <v>28.851388</v>
      </c>
      <c r="K481" t="str">
        <f>_xlfn.XLOOKUP(Logs[[#This Row],[Cell_ID]],'Registre_Maintenance'!B:B,'Registre_Maintenance'!F:F,"Pas de correspondance")</f>
        <v>3G</v>
      </c>
      <c r="L481" t="str">
        <f>_xlfn.XLOOKUP(Logs[[#This Row],[Cell_ID]],'Registre_Maintenance'!B:B,'Registre_Maintenance'!G:G,"Pas de correspondance")</f>
        <v>Ericsson</v>
      </c>
      <c r="M481" s="1" t="s">
        <v>811</v>
      </c>
      <c r="N481" s="1">
        <f>_xlfn.XLOOKUP(Logs[[#This Row],[ID_Client]],Clients_Log!B:B,Clients_Log!E:E,"Pas de correspondance")</f>
        <v>34</v>
      </c>
      <c r="O481" s="4">
        <f>IFERROR(Logs[[#This Row],[Anciennete_Mois]]/12,"")</f>
        <v>2.8333333333333335</v>
      </c>
      <c r="P481" s="1" t="str">
        <f>_xlfn.XLOOKUP(Logs[[#This Row],[ID_Client]],Clients_Log!B:B,Clients_Log!F:F,"Pas de correspondance")</f>
        <v>Pro Monde</v>
      </c>
      <c r="Q481" s="1" t="str">
        <f>IF(Logs[[#This Row],[Type_Forfait]]="Pro Monde","B2B","B2C")</f>
        <v>B2B</v>
      </c>
      <c r="R481" s="1">
        <f>_xlfn.XLOOKUP(Logs[[#This Row],[ID_Client]],Clients_Log!B:B,Clients_Log!G:G,"Pas de correspondance")</f>
        <v>453</v>
      </c>
      <c r="S481" s="3">
        <f>Logs[[#This Row],[Duree_Cumulee_Panne_Min]]/1440</f>
        <v>0.31458333333333333</v>
      </c>
      <c r="T481" s="1">
        <f>_xlfn.XLOOKUP(Logs[[#This Row],[ID_Client]],Clients_Log!B:B,Clients_Log!H:H,"Pas de correspondance")</f>
        <v>56.84</v>
      </c>
      <c r="U481" s="1">
        <f>_xlfn.XLOOKUP(Logs[[#This Row],[ID_Client]],Clients_Log!B:B,Clients_Log!I:I,"Pas de correspondance")</f>
        <v>0</v>
      </c>
      <c r="V48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81" s="1">
        <f>Logs[[#This Row],[Facture_Mensuelle]]*Logs[[#This Row],[Remise (%)]]</f>
        <v>25.578000000000003</v>
      </c>
    </row>
    <row r="482" spans="1:23" x14ac:dyDescent="0.25">
      <c r="A482" s="1" t="s">
        <v>1190</v>
      </c>
      <c r="B482" s="2">
        <v>45210</v>
      </c>
      <c r="C482" s="1" t="str">
        <f>_xlfn.XLOOKUP(Logs[[#This Row],[Province_RDC]],Clients_Log!D:D,Clients_Log!B:B,"Pas de correspondance")</f>
        <v>CLI-00643</v>
      </c>
      <c r="D482" t="str">
        <f>_xlfn.XLOOKUP(Logs[[#This Row],[Cell_ID]],'Registre_Maintenance'!B:B,'Registre_Maintenance'!C:C,"Pas de correspondance")</f>
        <v>Equateur</v>
      </c>
      <c r="E482" s="3">
        <v>0.70347222222222228</v>
      </c>
      <c r="F482" s="1" t="s">
        <v>1196</v>
      </c>
      <c r="G482" s="3">
        <f>Logs[[#This Row],[Duree_Panne_Min]]/1440</f>
        <v>1.3888888888888888E-2</v>
      </c>
      <c r="H482">
        <v>20</v>
      </c>
      <c r="I482">
        <f>_xlfn.XLOOKUP(Logs[[#This Row],[Cell_ID]],'Registre_Maintenance'!B:B,'Registre_Maintenance'!D:D,"Pas de correspondance")</f>
        <v>-0.79459900000000006</v>
      </c>
      <c r="J482">
        <f>_xlfn.XLOOKUP(Logs[[#This Row],[Cell_ID]],'Registre_Maintenance'!B:B,'Registre_Maintenance'!E:E,"Pas de correspondance")</f>
        <v>26.775570999999999</v>
      </c>
      <c r="K482" t="str">
        <f>_xlfn.XLOOKUP(Logs[[#This Row],[Cell_ID]],'Registre_Maintenance'!B:B,'Registre_Maintenance'!F:F,"Pas de correspondance")</f>
        <v>5G</v>
      </c>
      <c r="L482" t="str">
        <f>_xlfn.XLOOKUP(Logs[[#This Row],[Cell_ID]],'Registre_Maintenance'!B:B,'Registre_Maintenance'!G:G,"Pas de correspondance")</f>
        <v>Huawei</v>
      </c>
      <c r="M482" s="1" t="s">
        <v>806</v>
      </c>
      <c r="N482" s="1">
        <f>_xlfn.XLOOKUP(Logs[[#This Row],[ID_Client]],Clients_Log!B:B,Clients_Log!E:E,"Pas de correspondance")</f>
        <v>14</v>
      </c>
      <c r="O482" s="4">
        <f>IFERROR(Logs[[#This Row],[Anciennete_Mois]]/12,"")</f>
        <v>1.1666666666666667</v>
      </c>
      <c r="P482" s="1" t="str">
        <f>_xlfn.XLOOKUP(Logs[[#This Row],[ID_Client]],Clients_Log!B:B,Clients_Log!F:F,"Pas de correspondance")</f>
        <v>Pro Monde</v>
      </c>
      <c r="Q482" s="1" t="str">
        <f>IF(Logs[[#This Row],[Type_Forfait]]="Pro Monde","B2B","B2C")</f>
        <v>B2B</v>
      </c>
      <c r="R482" s="1">
        <f>_xlfn.XLOOKUP(Logs[[#This Row],[ID_Client]],Clients_Log!B:B,Clients_Log!G:G,"Pas de correspondance")</f>
        <v>316</v>
      </c>
      <c r="S482" s="3">
        <f>Logs[[#This Row],[Duree_Cumulee_Panne_Min]]/1440</f>
        <v>0.21944444444444444</v>
      </c>
      <c r="T482" s="1">
        <f>_xlfn.XLOOKUP(Logs[[#This Row],[ID_Client]],Clients_Log!B:B,Clients_Log!H:H,"Pas de correspondance")</f>
        <v>62.34</v>
      </c>
      <c r="U482" s="1">
        <f>_xlfn.XLOOKUP(Logs[[#This Row],[ID_Client]],Clients_Log!B:B,Clients_Log!I:I,"Pas de correspondance")</f>
        <v>4</v>
      </c>
      <c r="V48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82" s="1">
        <f>Logs[[#This Row],[Facture_Mensuelle]]*Logs[[#This Row],[Remise (%)]]</f>
        <v>28.053000000000001</v>
      </c>
    </row>
    <row r="483" spans="1:23" x14ac:dyDescent="0.25">
      <c r="A483" s="1" t="s">
        <v>1190</v>
      </c>
      <c r="B483" s="2">
        <v>45216</v>
      </c>
      <c r="C483" s="1" t="str">
        <f>_xlfn.XLOOKUP(Logs[[#This Row],[Province_RDC]],Clients_Log!D:D,Clients_Log!B:B,"Pas de correspondance")</f>
        <v>CLI-01005</v>
      </c>
      <c r="D483" t="str">
        <f>_xlfn.XLOOKUP(Logs[[#This Row],[Cell_ID]],'Registre_Maintenance'!B:B,'Registre_Maintenance'!C:C,"Pas de correspondance")</f>
        <v>Lualaba</v>
      </c>
      <c r="E483" s="3">
        <v>0.72986111111111107</v>
      </c>
      <c r="F483" s="1" t="s">
        <v>990</v>
      </c>
      <c r="G483" s="3">
        <f>Logs[[#This Row],[Duree_Panne_Min]]/1440</f>
        <v>5.4166666666666669E-2</v>
      </c>
      <c r="H483">
        <v>78</v>
      </c>
      <c r="I483">
        <f>_xlfn.XLOOKUP(Logs[[#This Row],[Cell_ID]],'Registre_Maintenance'!B:B,'Registre_Maintenance'!D:D,"Pas de correspondance")</f>
        <v>-9.5243310000000001</v>
      </c>
      <c r="J483">
        <f>_xlfn.XLOOKUP(Logs[[#This Row],[Cell_ID]],'Registre_Maintenance'!B:B,'Registre_Maintenance'!E:E,"Pas de correspondance")</f>
        <v>30.541212000000002</v>
      </c>
      <c r="K483" t="str">
        <f>_xlfn.XLOOKUP(Logs[[#This Row],[Cell_ID]],'Registre_Maintenance'!B:B,'Registre_Maintenance'!F:F,"Pas de correspondance")</f>
        <v>3G</v>
      </c>
      <c r="L483" t="str">
        <f>_xlfn.XLOOKUP(Logs[[#This Row],[Cell_ID]],'Registre_Maintenance'!B:B,'Registre_Maintenance'!G:G,"Pas de correspondance")</f>
        <v>Ericsson</v>
      </c>
      <c r="M483" s="1" t="s">
        <v>809</v>
      </c>
      <c r="N483" s="1">
        <f>_xlfn.XLOOKUP(Logs[[#This Row],[ID_Client]],Clients_Log!B:B,Clients_Log!E:E,"Pas de correspondance")</f>
        <v>80</v>
      </c>
      <c r="O483" s="4">
        <f>IFERROR(Logs[[#This Row],[Anciennete_Mois]]/12,"")</f>
        <v>6.666666666666667</v>
      </c>
      <c r="P483" s="1" t="str">
        <f>_xlfn.XLOOKUP(Logs[[#This Row],[ID_Client]],Clients_Log!B:B,Clients_Log!F:F,"Pas de correspondance")</f>
        <v>Illimité 50Go</v>
      </c>
      <c r="Q483" s="1" t="str">
        <f>IF(Logs[[#This Row],[Type_Forfait]]="Pro Monde","B2B","B2C")</f>
        <v>B2C</v>
      </c>
      <c r="R483" s="1">
        <f>_xlfn.XLOOKUP(Logs[[#This Row],[ID_Client]],Clients_Log!B:B,Clients_Log!G:G,"Pas de correspondance")</f>
        <v>155</v>
      </c>
      <c r="S483" s="3">
        <f>Logs[[#This Row],[Duree_Cumulee_Panne_Min]]/1440</f>
        <v>0.1076388888888889</v>
      </c>
      <c r="T483" s="1">
        <f>_xlfn.XLOOKUP(Logs[[#This Row],[ID_Client]],Clients_Log!B:B,Clients_Log!H:H,"Pas de correspondance")</f>
        <v>28.96</v>
      </c>
      <c r="U483" s="1">
        <f>_xlfn.XLOOKUP(Logs[[#This Row],[ID_Client]],Clients_Log!B:B,Clients_Log!I:I,"Pas de correspondance")</f>
        <v>2</v>
      </c>
      <c r="V48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483" s="1">
        <f>Logs[[#This Row],[Facture_Mensuelle]]*Logs[[#This Row],[Remise (%)]]</f>
        <v>0</v>
      </c>
    </row>
    <row r="484" spans="1:23" x14ac:dyDescent="0.25">
      <c r="A484" s="1" t="s">
        <v>1190</v>
      </c>
      <c r="B484" s="2">
        <v>45222</v>
      </c>
      <c r="C484" s="1" t="str">
        <f>_xlfn.XLOOKUP(Logs[[#This Row],[Province_RDC]],Clients_Log!D:D,Clients_Log!B:B,"Pas de correspondance")</f>
        <v>CLI-00414</v>
      </c>
      <c r="D484" t="str">
        <f>_xlfn.XLOOKUP(Logs[[#This Row],[Cell_ID]],'Registre_Maintenance'!B:B,'Registre_Maintenance'!C:C,"Pas de correspondance")</f>
        <v>Bas-Uele</v>
      </c>
      <c r="E484" s="3">
        <v>0.7631944444444444</v>
      </c>
      <c r="F484" s="1" t="s">
        <v>975</v>
      </c>
      <c r="G484" s="3">
        <f>Logs[[#This Row],[Duree_Panne_Min]]/1440</f>
        <v>6.3194444444444442E-2</v>
      </c>
      <c r="H484">
        <v>91</v>
      </c>
      <c r="I484">
        <f>_xlfn.XLOOKUP(Logs[[#This Row],[Cell_ID]],'Registre_Maintenance'!B:B,'Registre_Maintenance'!D:D,"Pas de correspondance")</f>
        <v>-3.6945459999999999</v>
      </c>
      <c r="J484">
        <f>_xlfn.XLOOKUP(Logs[[#This Row],[Cell_ID]],'Registre_Maintenance'!B:B,'Registre_Maintenance'!E:E,"Pas de correspondance")</f>
        <v>16.809108999999999</v>
      </c>
      <c r="K484" t="str">
        <f>_xlfn.XLOOKUP(Logs[[#This Row],[Cell_ID]],'Registre_Maintenance'!B:B,'Registre_Maintenance'!F:F,"Pas de correspondance")</f>
        <v>5G</v>
      </c>
      <c r="L484" t="str">
        <f>_xlfn.XLOOKUP(Logs[[#This Row],[Cell_ID]],'Registre_Maintenance'!B:B,'Registre_Maintenance'!G:G,"Pas de correspondance")</f>
        <v>ZTE</v>
      </c>
      <c r="M484" s="1" t="s">
        <v>811</v>
      </c>
      <c r="N484" s="1">
        <f>_xlfn.XLOOKUP(Logs[[#This Row],[ID_Client]],Clients_Log!B:B,Clients_Log!E:E,"Pas de correspondance")</f>
        <v>99</v>
      </c>
      <c r="O484" s="4">
        <f>IFERROR(Logs[[#This Row],[Anciennete_Mois]]/12,"")</f>
        <v>8.25</v>
      </c>
      <c r="P484" s="1" t="str">
        <f>_xlfn.XLOOKUP(Logs[[#This Row],[ID_Client]],Clients_Log!B:B,Clients_Log!F:F,"Pas de correspondance")</f>
        <v>Premium 5G 150Go</v>
      </c>
      <c r="Q484" s="1" t="str">
        <f>IF(Logs[[#This Row],[Type_Forfait]]="Pro Monde","B2B","B2C")</f>
        <v>B2C</v>
      </c>
      <c r="R484" s="1">
        <f>_xlfn.XLOOKUP(Logs[[#This Row],[ID_Client]],Clients_Log!B:B,Clients_Log!G:G,"Pas de correspondance")</f>
        <v>447</v>
      </c>
      <c r="S484" s="3">
        <f>Logs[[#This Row],[Duree_Cumulee_Panne_Min]]/1440</f>
        <v>0.31041666666666667</v>
      </c>
      <c r="T484" s="1">
        <f>_xlfn.XLOOKUP(Logs[[#This Row],[ID_Client]],Clients_Log!B:B,Clients_Log!H:H,"Pas de correspondance")</f>
        <v>38.1</v>
      </c>
      <c r="U484" s="1">
        <f>_xlfn.XLOOKUP(Logs[[#This Row],[ID_Client]],Clients_Log!B:B,Clients_Log!I:I,"Pas de correspondance")</f>
        <v>3</v>
      </c>
      <c r="V48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84" s="1">
        <f>Logs[[#This Row],[Facture_Mensuelle]]*Logs[[#This Row],[Remise (%)]]</f>
        <v>17.145</v>
      </c>
    </row>
    <row r="485" spans="1:23" x14ac:dyDescent="0.25">
      <c r="A485" s="1" t="s">
        <v>1190</v>
      </c>
      <c r="B485" s="2">
        <v>45215</v>
      </c>
      <c r="C485" s="1" t="str">
        <f>_xlfn.XLOOKUP(Logs[[#This Row],[Province_RDC]],Clients_Log!D:D,Clients_Log!B:B,"Pas de correspondance")</f>
        <v>CLI-00060</v>
      </c>
      <c r="D485" t="str">
        <f>_xlfn.XLOOKUP(Logs[[#This Row],[Cell_ID]],'Registre_Maintenance'!B:B,'Registre_Maintenance'!C:C,"Pas de correspondance")</f>
        <v>Kasaï-Central</v>
      </c>
      <c r="E485" s="3">
        <v>1.5972222222222221E-2</v>
      </c>
      <c r="F485" s="1" t="s">
        <v>1197</v>
      </c>
      <c r="G485" s="3">
        <f>Logs[[#This Row],[Duree_Panne_Min]]/1440</f>
        <v>5.1388888888888887E-2</v>
      </c>
      <c r="H485">
        <v>74</v>
      </c>
      <c r="I485">
        <f>_xlfn.XLOOKUP(Logs[[#This Row],[Cell_ID]],'Registre_Maintenance'!B:B,'Registre_Maintenance'!D:D,"Pas de correspondance")</f>
        <v>-5.8352820000000003</v>
      </c>
      <c r="J485">
        <f>_xlfn.XLOOKUP(Logs[[#This Row],[Cell_ID]],'Registre_Maintenance'!B:B,'Registre_Maintenance'!E:E,"Pas de correspondance")</f>
        <v>26.603978000000001</v>
      </c>
      <c r="K485" t="str">
        <f>_xlfn.XLOOKUP(Logs[[#This Row],[Cell_ID]],'Registre_Maintenance'!B:B,'Registre_Maintenance'!F:F,"Pas de correspondance")</f>
        <v>4G</v>
      </c>
      <c r="L485" t="str">
        <f>_xlfn.XLOOKUP(Logs[[#This Row],[Cell_ID]],'Registre_Maintenance'!B:B,'Registre_Maintenance'!G:G,"Pas de correspondance")</f>
        <v>Huawei</v>
      </c>
      <c r="M485" s="1" t="s">
        <v>806</v>
      </c>
      <c r="N485" s="1">
        <f>_xlfn.XLOOKUP(Logs[[#This Row],[ID_Client]],Clients_Log!B:B,Clients_Log!E:E,"Pas de correspondance")</f>
        <v>72</v>
      </c>
      <c r="O485" s="4">
        <f>IFERROR(Logs[[#This Row],[Anciennete_Mois]]/12,"")</f>
        <v>6</v>
      </c>
      <c r="P485" s="1" t="str">
        <f>_xlfn.XLOOKUP(Logs[[#This Row],[ID_Client]],Clients_Log!B:B,Clients_Log!F:F,"Pas de correspondance")</f>
        <v>Pro Monde</v>
      </c>
      <c r="Q485" s="1" t="str">
        <f>IF(Logs[[#This Row],[Type_Forfait]]="Pro Monde","B2B","B2C")</f>
        <v>B2B</v>
      </c>
      <c r="R485" s="1">
        <f>_xlfn.XLOOKUP(Logs[[#This Row],[ID_Client]],Clients_Log!B:B,Clients_Log!G:G,"Pas de correspondance")</f>
        <v>160</v>
      </c>
      <c r="S485" s="3">
        <f>Logs[[#This Row],[Duree_Cumulee_Panne_Min]]/1440</f>
        <v>0.1111111111111111</v>
      </c>
      <c r="T485" s="1">
        <f>_xlfn.XLOOKUP(Logs[[#This Row],[ID_Client]],Clients_Log!B:B,Clients_Log!H:H,"Pas de correspondance")</f>
        <v>90.13</v>
      </c>
      <c r="U485" s="1">
        <f>_xlfn.XLOOKUP(Logs[[#This Row],[ID_Client]],Clients_Log!B:B,Clients_Log!I:I,"Pas de correspondance")</f>
        <v>2</v>
      </c>
      <c r="V48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485" s="1">
        <f>Logs[[#This Row],[Facture_Mensuelle]]*Logs[[#This Row],[Remise (%)]]</f>
        <v>9.0129999999999999</v>
      </c>
    </row>
    <row r="486" spans="1:23" x14ac:dyDescent="0.25">
      <c r="A486" s="1" t="s">
        <v>1190</v>
      </c>
      <c r="B486" s="2">
        <v>45210</v>
      </c>
      <c r="C486" s="1" t="str">
        <f>_xlfn.XLOOKUP(Logs[[#This Row],[Province_RDC]],Clients_Log!D:D,Clients_Log!B:B,"Pas de correspondance")</f>
        <v>CLI-00131</v>
      </c>
      <c r="D486" t="str">
        <f>_xlfn.XLOOKUP(Logs[[#This Row],[Cell_ID]],'Registre_Maintenance'!B:B,'Registre_Maintenance'!C:C,"Pas de correspondance")</f>
        <v>Lomami</v>
      </c>
      <c r="E486" s="3">
        <v>0.87986111111111109</v>
      </c>
      <c r="F486" s="1" t="s">
        <v>1198</v>
      </c>
      <c r="G486" s="3">
        <f>Logs[[#This Row],[Duree_Panne_Min]]/1440</f>
        <v>3.6805555555555557E-2</v>
      </c>
      <c r="H486">
        <v>53</v>
      </c>
      <c r="I486">
        <f>_xlfn.XLOOKUP(Logs[[#This Row],[Cell_ID]],'Registre_Maintenance'!B:B,'Registre_Maintenance'!D:D,"Pas de correspondance")</f>
        <v>-7.8770429999999996</v>
      </c>
      <c r="J486">
        <f>_xlfn.XLOOKUP(Logs[[#This Row],[Cell_ID]],'Registre_Maintenance'!B:B,'Registre_Maintenance'!E:E,"Pas de correspondance")</f>
        <v>16.357762999999998</v>
      </c>
      <c r="K486" t="str">
        <f>_xlfn.XLOOKUP(Logs[[#This Row],[Cell_ID]],'Registre_Maintenance'!B:B,'Registre_Maintenance'!F:F,"Pas de correspondance")</f>
        <v>4G</v>
      </c>
      <c r="L486" t="str">
        <f>_xlfn.XLOOKUP(Logs[[#This Row],[Cell_ID]],'Registre_Maintenance'!B:B,'Registre_Maintenance'!G:G,"Pas de correspondance")</f>
        <v>Ericsson</v>
      </c>
      <c r="M486" s="1" t="s">
        <v>806</v>
      </c>
      <c r="N486" s="1">
        <f>_xlfn.XLOOKUP(Logs[[#This Row],[ID_Client]],Clients_Log!B:B,Clients_Log!E:E,"Pas de correspondance")</f>
        <v>101</v>
      </c>
      <c r="O486" s="4">
        <f>IFERROR(Logs[[#This Row],[Anciennete_Mois]]/12,"")</f>
        <v>8.4166666666666661</v>
      </c>
      <c r="P486" s="1" t="str">
        <f>_xlfn.XLOOKUP(Logs[[#This Row],[ID_Client]],Clients_Log!B:B,Clients_Log!F:F,"Pas de correspondance")</f>
        <v>Pro Monde</v>
      </c>
      <c r="Q486" s="1" t="str">
        <f>IF(Logs[[#This Row],[Type_Forfait]]="Pro Monde","B2B","B2C")</f>
        <v>B2B</v>
      </c>
      <c r="R486" s="1">
        <f>_xlfn.XLOOKUP(Logs[[#This Row],[ID_Client]],Clients_Log!B:B,Clients_Log!G:G,"Pas de correspondance")</f>
        <v>176</v>
      </c>
      <c r="S486" s="3">
        <f>Logs[[#This Row],[Duree_Cumulee_Panne_Min]]/1440</f>
        <v>0.12222222222222222</v>
      </c>
      <c r="T486" s="1">
        <f>_xlfn.XLOOKUP(Logs[[#This Row],[ID_Client]],Clients_Log!B:B,Clients_Log!H:H,"Pas de correspondance")</f>
        <v>86</v>
      </c>
      <c r="U486" s="1">
        <f>_xlfn.XLOOKUP(Logs[[#This Row],[ID_Client]],Clients_Log!B:B,Clients_Log!I:I,"Pas de correspondance")</f>
        <v>3</v>
      </c>
      <c r="V48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486" s="1">
        <f>Logs[[#This Row],[Facture_Mensuelle]]*Logs[[#This Row],[Remise (%)]]</f>
        <v>8.6</v>
      </c>
    </row>
    <row r="487" spans="1:23" x14ac:dyDescent="0.25">
      <c r="A487" s="1" t="s">
        <v>1190</v>
      </c>
      <c r="B487" s="2">
        <v>45213</v>
      </c>
      <c r="C487" s="1" t="str">
        <f>_xlfn.XLOOKUP(Logs[[#This Row],[Province_RDC]],Clients_Log!D:D,Clients_Log!B:B,"Pas de correspondance")</f>
        <v>CLI-00643</v>
      </c>
      <c r="D487" t="str">
        <f>_xlfn.XLOOKUP(Logs[[#This Row],[Cell_ID]],'Registre_Maintenance'!B:B,'Registre_Maintenance'!C:C,"Pas de correspondance")</f>
        <v>Equateur</v>
      </c>
      <c r="E487" s="3">
        <v>0.7631944444444444</v>
      </c>
      <c r="F487" s="1" t="s">
        <v>1196</v>
      </c>
      <c r="G487" s="3">
        <f>Logs[[#This Row],[Duree_Panne_Min]]/1440</f>
        <v>8.2638888888888887E-2</v>
      </c>
      <c r="H487">
        <v>119</v>
      </c>
      <c r="I487">
        <f>_xlfn.XLOOKUP(Logs[[#This Row],[Cell_ID]],'Registre_Maintenance'!B:B,'Registre_Maintenance'!D:D,"Pas de correspondance")</f>
        <v>-0.79459900000000006</v>
      </c>
      <c r="J487">
        <f>_xlfn.XLOOKUP(Logs[[#This Row],[Cell_ID]],'Registre_Maintenance'!B:B,'Registre_Maintenance'!E:E,"Pas de correspondance")</f>
        <v>26.775570999999999</v>
      </c>
      <c r="K487" t="str">
        <f>_xlfn.XLOOKUP(Logs[[#This Row],[Cell_ID]],'Registre_Maintenance'!B:B,'Registre_Maintenance'!F:F,"Pas de correspondance")</f>
        <v>5G</v>
      </c>
      <c r="L487" t="str">
        <f>_xlfn.XLOOKUP(Logs[[#This Row],[Cell_ID]],'Registre_Maintenance'!B:B,'Registre_Maintenance'!G:G,"Pas de correspondance")</f>
        <v>Huawei</v>
      </c>
      <c r="M487" s="1" t="s">
        <v>811</v>
      </c>
      <c r="N487" s="1">
        <f>_xlfn.XLOOKUP(Logs[[#This Row],[ID_Client]],Clients_Log!B:B,Clients_Log!E:E,"Pas de correspondance")</f>
        <v>14</v>
      </c>
      <c r="O487" s="4">
        <f>IFERROR(Logs[[#This Row],[Anciennete_Mois]]/12,"")</f>
        <v>1.1666666666666667</v>
      </c>
      <c r="P487" s="1" t="str">
        <f>_xlfn.XLOOKUP(Logs[[#This Row],[ID_Client]],Clients_Log!B:B,Clients_Log!F:F,"Pas de correspondance")</f>
        <v>Pro Monde</v>
      </c>
      <c r="Q487" s="1" t="str">
        <f>IF(Logs[[#This Row],[Type_Forfait]]="Pro Monde","B2B","B2C")</f>
        <v>B2B</v>
      </c>
      <c r="R487" s="1">
        <f>_xlfn.XLOOKUP(Logs[[#This Row],[ID_Client]],Clients_Log!B:B,Clients_Log!G:G,"Pas de correspondance")</f>
        <v>316</v>
      </c>
      <c r="S487" s="3">
        <f>Logs[[#This Row],[Duree_Cumulee_Panne_Min]]/1440</f>
        <v>0.21944444444444444</v>
      </c>
      <c r="T487" s="1">
        <f>_xlfn.XLOOKUP(Logs[[#This Row],[ID_Client]],Clients_Log!B:B,Clients_Log!H:H,"Pas de correspondance")</f>
        <v>62.34</v>
      </c>
      <c r="U487" s="1">
        <f>_xlfn.XLOOKUP(Logs[[#This Row],[ID_Client]],Clients_Log!B:B,Clients_Log!I:I,"Pas de correspondance")</f>
        <v>4</v>
      </c>
      <c r="V48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87" s="1">
        <f>Logs[[#This Row],[Facture_Mensuelle]]*Logs[[#This Row],[Remise (%)]]</f>
        <v>28.053000000000001</v>
      </c>
    </row>
    <row r="488" spans="1:23" hidden="1" x14ac:dyDescent="0.25">
      <c r="A488" s="1" t="s">
        <v>1190</v>
      </c>
      <c r="B488" s="2">
        <v>45225</v>
      </c>
      <c r="C488" s="1" t="str">
        <f>_xlfn.XLOOKUP(Logs[[#This Row],[Province_RDC]],Clients_Log!D:D,Clients_Log!B:B,"Pas de correspondance")</f>
        <v>Pas de correspondance</v>
      </c>
      <c r="D488" t="str">
        <f>_xlfn.XLOOKUP(Logs[[#This Row],[Cell_ID]],'Registre_Maintenance'!B:B,'Registre_Maintenance'!C:C,"Pas de correspondance")</f>
        <v>Pas de correspondance</v>
      </c>
      <c r="E488" s="3">
        <v>0.99652777777777779</v>
      </c>
      <c r="F488" s="1" t="s">
        <v>1016</v>
      </c>
      <c r="G488" s="3">
        <f>Logs[[#This Row],[Duree_Panne_Min]]/1440</f>
        <v>3.8194444444444448E-2</v>
      </c>
      <c r="H488">
        <v>55</v>
      </c>
      <c r="I488" t="str">
        <f>_xlfn.XLOOKUP(Logs[[#This Row],[Cell_ID]],'Registre_Maintenance'!B:B,'Registre_Maintenance'!D:D,"Pas de correspondance")</f>
        <v>Pas de correspondance</v>
      </c>
      <c r="J488" t="str">
        <f>_xlfn.XLOOKUP(Logs[[#This Row],[Cell_ID]],'Registre_Maintenance'!B:B,'Registre_Maintenance'!E:E,"Pas de correspondance")</f>
        <v>Pas de correspondance</v>
      </c>
      <c r="K488" t="str">
        <f>_xlfn.XLOOKUP(Logs[[#This Row],[Cell_ID]],'Registre_Maintenance'!B:B,'Registre_Maintenance'!F:F,"Pas de correspondance")</f>
        <v>Pas de correspondance</v>
      </c>
      <c r="L488" t="str">
        <f>_xlfn.XLOOKUP(Logs[[#This Row],[Cell_ID]],'Registre_Maintenance'!B:B,'Registre_Maintenance'!G:G,"Pas de correspondance")</f>
        <v>Pas de correspondance</v>
      </c>
      <c r="M488" s="1" t="s">
        <v>809</v>
      </c>
      <c r="N488" s="1" t="str">
        <f>_xlfn.XLOOKUP(Logs[[#This Row],[ID_Client]],Clients_Log!B:B,Clients_Log!E:E,"Pas de correspondance")</f>
        <v>Pas de correspondance</v>
      </c>
      <c r="O488" s="4" t="str">
        <f>IFERROR(Logs[[#This Row],[Anciennete_Mois]]/12,"")</f>
        <v/>
      </c>
      <c r="P488" s="1" t="str">
        <f>_xlfn.XLOOKUP(Logs[[#This Row],[ID_Client]],Clients_Log!B:B,Clients_Log!F:F,"Pas de correspondance")</f>
        <v>Pas de correspondance</v>
      </c>
      <c r="Q488" s="1" t="str">
        <f>IF(Logs[[#This Row],[Type_Forfait]]="Pro Monde","B2B","B2C")</f>
        <v>B2C</v>
      </c>
      <c r="R488" s="1" t="str">
        <f>_xlfn.XLOOKUP(Logs[[#This Row],[ID_Client]],Clients_Log!B:B,Clients_Log!G:G,"Pas de correspondance")</f>
        <v>Pas de correspondance</v>
      </c>
      <c r="S488" s="1" t="e">
        <f>Logs[[#This Row],[Duree_Cumulee_Panne_Min]]/1440</f>
        <v>#VALUE!</v>
      </c>
      <c r="T488" s="1" t="str">
        <f>_xlfn.XLOOKUP(Logs[[#This Row],[ID_Client]],Clients_Log!B:B,Clients_Log!H:H,"Pas de correspondance")</f>
        <v>Pas de correspondance</v>
      </c>
      <c r="U488" s="1" t="str">
        <f>_xlfn.XLOOKUP(Logs[[#This Row],[ID_Client]],Clients_Log!B:B,Clients_Log!I:I,"Pas de correspondance")</f>
        <v>Pas de correspondance</v>
      </c>
      <c r="V48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88" s="1" t="e">
        <f>Logs[[#This Row],[Facture_Mensuelle]]*Logs[[#This Row],[Remise (%)]]</f>
        <v>#VALUE!</v>
      </c>
    </row>
    <row r="489" spans="1:23" x14ac:dyDescent="0.25">
      <c r="A489" s="1" t="s">
        <v>1190</v>
      </c>
      <c r="B489" s="2">
        <v>45222</v>
      </c>
      <c r="C489" s="1" t="str">
        <f>_xlfn.XLOOKUP(Logs[[#This Row],[Province_RDC]],Clients_Log!D:D,Clients_Log!B:B,"Pas de correspondance")</f>
        <v>CLI-00076</v>
      </c>
      <c r="D489" t="str">
        <f>_xlfn.XLOOKUP(Logs[[#This Row],[Cell_ID]],'Registre_Maintenance'!B:B,'Registre_Maintenance'!C:C,"Pas de correspondance")</f>
        <v>Haut-Katanga</v>
      </c>
      <c r="E489" s="3">
        <v>0.83402777777777781</v>
      </c>
      <c r="F489" s="1" t="s">
        <v>869</v>
      </c>
      <c r="G489" s="3">
        <f>Logs[[#This Row],[Duree_Panne_Min]]/1440</f>
        <v>7.5694444444444439E-2</v>
      </c>
      <c r="H489">
        <v>109</v>
      </c>
      <c r="I489">
        <f>_xlfn.XLOOKUP(Logs[[#This Row],[Cell_ID]],'Registre_Maintenance'!B:B,'Registre_Maintenance'!D:D,"Pas de correspondance")</f>
        <v>-2.9417719999999998</v>
      </c>
      <c r="J489">
        <f>_xlfn.XLOOKUP(Logs[[#This Row],[Cell_ID]],'Registre_Maintenance'!B:B,'Registre_Maintenance'!E:E,"Pas de correspondance")</f>
        <v>18.587305000000001</v>
      </c>
      <c r="K489" t="str">
        <f>_xlfn.XLOOKUP(Logs[[#This Row],[Cell_ID]],'Registre_Maintenance'!B:B,'Registre_Maintenance'!F:F,"Pas de correspondance")</f>
        <v>5G</v>
      </c>
      <c r="L489" t="str">
        <f>_xlfn.XLOOKUP(Logs[[#This Row],[Cell_ID]],'Registre_Maintenance'!B:B,'Registre_Maintenance'!G:G,"Pas de correspondance")</f>
        <v>Ericsson</v>
      </c>
      <c r="M489" s="1" t="s">
        <v>809</v>
      </c>
      <c r="N489" s="1">
        <f>_xlfn.XLOOKUP(Logs[[#This Row],[ID_Client]],Clients_Log!B:B,Clients_Log!E:E,"Pas de correspondance")</f>
        <v>46</v>
      </c>
      <c r="O489" s="4">
        <f>IFERROR(Logs[[#This Row],[Anciennete_Mois]]/12,"")</f>
        <v>3.8333333333333335</v>
      </c>
      <c r="P489" s="1" t="str">
        <f>_xlfn.XLOOKUP(Logs[[#This Row],[ID_Client]],Clients_Log!B:B,Clients_Log!F:F,"Pas de correspondance")</f>
        <v>Premium 5G 150Go</v>
      </c>
      <c r="Q489" s="1" t="str">
        <f>IF(Logs[[#This Row],[Type_Forfait]]="Pro Monde","B2B","B2C")</f>
        <v>B2C</v>
      </c>
      <c r="R489" s="1">
        <f>_xlfn.XLOOKUP(Logs[[#This Row],[ID_Client]],Clients_Log!B:B,Clients_Log!G:G,"Pas de correspondance")</f>
        <v>283</v>
      </c>
      <c r="S489" s="3">
        <f>Logs[[#This Row],[Duree_Cumulee_Panne_Min]]/1440</f>
        <v>0.19652777777777777</v>
      </c>
      <c r="T489" s="1">
        <f>_xlfn.XLOOKUP(Logs[[#This Row],[ID_Client]],Clients_Log!B:B,Clients_Log!H:H,"Pas de correspondance")</f>
        <v>56.05</v>
      </c>
      <c r="U489" s="1">
        <f>_xlfn.XLOOKUP(Logs[[#This Row],[ID_Client]],Clients_Log!B:B,Clients_Log!I:I,"Pas de correspondance")</f>
        <v>1</v>
      </c>
      <c r="V48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89" s="1">
        <f>Logs[[#This Row],[Facture_Mensuelle]]*Logs[[#This Row],[Remise (%)]]</f>
        <v>25.2225</v>
      </c>
    </row>
    <row r="490" spans="1:23" hidden="1" x14ac:dyDescent="0.25">
      <c r="A490" s="1" t="s">
        <v>1190</v>
      </c>
      <c r="B490" s="2">
        <v>45219</v>
      </c>
      <c r="C490" s="1" t="str">
        <f>_xlfn.XLOOKUP(Logs[[#This Row],[Province_RDC]],Clients_Log!D:D,Clients_Log!B:B,"Pas de correspondance")</f>
        <v>Pas de correspondance</v>
      </c>
      <c r="D490" t="str">
        <f>_xlfn.XLOOKUP(Logs[[#This Row],[Cell_ID]],'Registre_Maintenance'!B:B,'Registre_Maintenance'!C:C,"Pas de correspondance")</f>
        <v>Pas de correspondance</v>
      </c>
      <c r="E490" s="3">
        <v>0.63611111111111107</v>
      </c>
      <c r="F490" s="1" t="s">
        <v>1018</v>
      </c>
      <c r="G490" s="3">
        <f>Logs[[#This Row],[Duree_Panne_Min]]/1440</f>
        <v>3.4027777777777775E-2</v>
      </c>
      <c r="H490">
        <v>49</v>
      </c>
      <c r="I490" t="str">
        <f>_xlfn.XLOOKUP(Logs[[#This Row],[Cell_ID]],'Registre_Maintenance'!B:B,'Registre_Maintenance'!D:D,"Pas de correspondance")</f>
        <v>Pas de correspondance</v>
      </c>
      <c r="J490" t="str">
        <f>_xlfn.XLOOKUP(Logs[[#This Row],[Cell_ID]],'Registre_Maintenance'!B:B,'Registre_Maintenance'!E:E,"Pas de correspondance")</f>
        <v>Pas de correspondance</v>
      </c>
      <c r="K490" t="str">
        <f>_xlfn.XLOOKUP(Logs[[#This Row],[Cell_ID]],'Registre_Maintenance'!B:B,'Registre_Maintenance'!F:F,"Pas de correspondance")</f>
        <v>Pas de correspondance</v>
      </c>
      <c r="L490" t="str">
        <f>_xlfn.XLOOKUP(Logs[[#This Row],[Cell_ID]],'Registre_Maintenance'!B:B,'Registre_Maintenance'!G:G,"Pas de correspondance")</f>
        <v>Pas de correspondance</v>
      </c>
      <c r="M490" s="1" t="s">
        <v>806</v>
      </c>
      <c r="N490" s="1" t="str">
        <f>_xlfn.XLOOKUP(Logs[[#This Row],[ID_Client]],Clients_Log!B:B,Clients_Log!E:E,"Pas de correspondance")</f>
        <v>Pas de correspondance</v>
      </c>
      <c r="O490" s="4" t="str">
        <f>IFERROR(Logs[[#This Row],[Anciennete_Mois]]/12,"")</f>
        <v/>
      </c>
      <c r="P490" s="1" t="str">
        <f>_xlfn.XLOOKUP(Logs[[#This Row],[ID_Client]],Clients_Log!B:B,Clients_Log!F:F,"Pas de correspondance")</f>
        <v>Pas de correspondance</v>
      </c>
      <c r="Q490" s="1" t="str">
        <f>IF(Logs[[#This Row],[Type_Forfait]]="Pro Monde","B2B","B2C")</f>
        <v>B2C</v>
      </c>
      <c r="R490" s="1" t="str">
        <f>_xlfn.XLOOKUP(Logs[[#This Row],[ID_Client]],Clients_Log!B:B,Clients_Log!G:G,"Pas de correspondance")</f>
        <v>Pas de correspondance</v>
      </c>
      <c r="S490" s="1" t="e">
        <f>Logs[[#This Row],[Duree_Cumulee_Panne_Min]]/1440</f>
        <v>#VALUE!</v>
      </c>
      <c r="T490" s="1" t="str">
        <f>_xlfn.XLOOKUP(Logs[[#This Row],[ID_Client]],Clients_Log!B:B,Clients_Log!H:H,"Pas de correspondance")</f>
        <v>Pas de correspondance</v>
      </c>
      <c r="U490" s="1" t="str">
        <f>_xlfn.XLOOKUP(Logs[[#This Row],[ID_Client]],Clients_Log!B:B,Clients_Log!I:I,"Pas de correspondance")</f>
        <v>Pas de correspondance</v>
      </c>
      <c r="V49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90" s="1" t="e">
        <f>Logs[[#This Row],[Facture_Mensuelle]]*Logs[[#This Row],[Remise (%)]]</f>
        <v>#VALUE!</v>
      </c>
    </row>
    <row r="491" spans="1:23" x14ac:dyDescent="0.25">
      <c r="A491" s="1" t="s">
        <v>1190</v>
      </c>
      <c r="B491" s="2">
        <v>45230</v>
      </c>
      <c r="C491" s="1" t="str">
        <f>_xlfn.XLOOKUP(Logs[[#This Row],[Province_RDC]],Clients_Log!D:D,Clients_Log!B:B,"Pas de correspondance")</f>
        <v>CLI-00414</v>
      </c>
      <c r="D491" t="str">
        <f>_xlfn.XLOOKUP(Logs[[#This Row],[Cell_ID]],'Registre_Maintenance'!B:B,'Registre_Maintenance'!C:C,"Pas de correspondance")</f>
        <v>Bas-Uele</v>
      </c>
      <c r="E491" s="3">
        <v>0.86805555555555558</v>
      </c>
      <c r="F491" s="1" t="s">
        <v>1199</v>
      </c>
      <c r="G491" s="3">
        <f>Logs[[#This Row],[Duree_Panne_Min]]/1440</f>
        <v>7.1527777777777773E-2</v>
      </c>
      <c r="H491">
        <v>103</v>
      </c>
      <c r="I491">
        <f>_xlfn.XLOOKUP(Logs[[#This Row],[Cell_ID]],'Registre_Maintenance'!B:B,'Registre_Maintenance'!D:D,"Pas de correspondance")</f>
        <v>-2.8532869999999999</v>
      </c>
      <c r="J491">
        <f>_xlfn.XLOOKUP(Logs[[#This Row],[Cell_ID]],'Registre_Maintenance'!B:B,'Registre_Maintenance'!E:E,"Pas de correspondance")</f>
        <v>22.117896000000002</v>
      </c>
      <c r="K491" t="str">
        <f>_xlfn.XLOOKUP(Logs[[#This Row],[Cell_ID]],'Registre_Maintenance'!B:B,'Registre_Maintenance'!F:F,"Pas de correspondance")</f>
        <v>5G</v>
      </c>
      <c r="L491" t="str">
        <f>_xlfn.XLOOKUP(Logs[[#This Row],[Cell_ID]],'Registre_Maintenance'!B:B,'Registre_Maintenance'!G:G,"Pas de correspondance")</f>
        <v>Huawei</v>
      </c>
      <c r="M491" s="1" t="s">
        <v>811</v>
      </c>
      <c r="N491" s="1">
        <f>_xlfn.XLOOKUP(Logs[[#This Row],[ID_Client]],Clients_Log!B:B,Clients_Log!E:E,"Pas de correspondance")</f>
        <v>99</v>
      </c>
      <c r="O491" s="4">
        <f>IFERROR(Logs[[#This Row],[Anciennete_Mois]]/12,"")</f>
        <v>8.25</v>
      </c>
      <c r="P491" s="1" t="str">
        <f>_xlfn.XLOOKUP(Logs[[#This Row],[ID_Client]],Clients_Log!B:B,Clients_Log!F:F,"Pas de correspondance")</f>
        <v>Premium 5G 150Go</v>
      </c>
      <c r="Q491" s="1" t="str">
        <f>IF(Logs[[#This Row],[Type_Forfait]]="Pro Monde","B2B","B2C")</f>
        <v>B2C</v>
      </c>
      <c r="R491" s="1">
        <f>_xlfn.XLOOKUP(Logs[[#This Row],[ID_Client]],Clients_Log!B:B,Clients_Log!G:G,"Pas de correspondance")</f>
        <v>447</v>
      </c>
      <c r="S491" s="3">
        <f>Logs[[#This Row],[Duree_Cumulee_Panne_Min]]/1440</f>
        <v>0.31041666666666667</v>
      </c>
      <c r="T491" s="1">
        <f>_xlfn.XLOOKUP(Logs[[#This Row],[ID_Client]],Clients_Log!B:B,Clients_Log!H:H,"Pas de correspondance")</f>
        <v>38.1</v>
      </c>
      <c r="U491" s="1">
        <f>_xlfn.XLOOKUP(Logs[[#This Row],[ID_Client]],Clients_Log!B:B,Clients_Log!I:I,"Pas de correspondance")</f>
        <v>3</v>
      </c>
      <c r="V49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91" s="1">
        <f>Logs[[#This Row],[Facture_Mensuelle]]*Logs[[#This Row],[Remise (%)]]</f>
        <v>17.145</v>
      </c>
    </row>
    <row r="492" spans="1:23" hidden="1" x14ac:dyDescent="0.25">
      <c r="A492" s="1" t="s">
        <v>1190</v>
      </c>
      <c r="B492" s="2">
        <v>45224</v>
      </c>
      <c r="C492" s="1" t="str">
        <f>_xlfn.XLOOKUP(Logs[[#This Row],[Province_RDC]],Clients_Log!D:D,Clients_Log!B:B,"Pas de correspondance")</f>
        <v>Pas de correspondance</v>
      </c>
      <c r="D492" t="str">
        <f>_xlfn.XLOOKUP(Logs[[#This Row],[Cell_ID]],'Registre_Maintenance'!B:B,'Registre_Maintenance'!C:C,"Pas de correspondance")</f>
        <v>Pas de correspondance</v>
      </c>
      <c r="E492" s="3">
        <v>0.77500000000000002</v>
      </c>
      <c r="F492" s="1" t="s">
        <v>1200</v>
      </c>
      <c r="G492" s="3">
        <f>Logs[[#This Row],[Duree_Panne_Min]]/1440</f>
        <v>7.4305555555555555E-2</v>
      </c>
      <c r="H492">
        <v>107</v>
      </c>
      <c r="I492" t="str">
        <f>_xlfn.XLOOKUP(Logs[[#This Row],[Cell_ID]],'Registre_Maintenance'!B:B,'Registre_Maintenance'!D:D,"Pas de correspondance")</f>
        <v>Pas de correspondance</v>
      </c>
      <c r="J492" t="str">
        <f>_xlfn.XLOOKUP(Logs[[#This Row],[Cell_ID]],'Registre_Maintenance'!B:B,'Registre_Maintenance'!E:E,"Pas de correspondance")</f>
        <v>Pas de correspondance</v>
      </c>
      <c r="K492" t="str">
        <f>_xlfn.XLOOKUP(Logs[[#This Row],[Cell_ID]],'Registre_Maintenance'!B:B,'Registre_Maintenance'!F:F,"Pas de correspondance")</f>
        <v>Pas de correspondance</v>
      </c>
      <c r="L492" t="str">
        <f>_xlfn.XLOOKUP(Logs[[#This Row],[Cell_ID]],'Registre_Maintenance'!B:B,'Registre_Maintenance'!G:G,"Pas de correspondance")</f>
        <v>Pas de correspondance</v>
      </c>
      <c r="M492" s="1" t="s">
        <v>811</v>
      </c>
      <c r="N492" s="1" t="str">
        <f>_xlfn.XLOOKUP(Logs[[#This Row],[ID_Client]],Clients_Log!B:B,Clients_Log!E:E,"Pas de correspondance")</f>
        <v>Pas de correspondance</v>
      </c>
      <c r="O492" s="4" t="str">
        <f>IFERROR(Logs[[#This Row],[Anciennete_Mois]]/12,"")</f>
        <v/>
      </c>
      <c r="P492" s="1" t="str">
        <f>_xlfn.XLOOKUP(Logs[[#This Row],[ID_Client]],Clients_Log!B:B,Clients_Log!F:F,"Pas de correspondance")</f>
        <v>Pas de correspondance</v>
      </c>
      <c r="Q492" s="1" t="str">
        <f>IF(Logs[[#This Row],[Type_Forfait]]="Pro Monde","B2B","B2C")</f>
        <v>B2C</v>
      </c>
      <c r="R492" s="1" t="str">
        <f>_xlfn.XLOOKUP(Logs[[#This Row],[ID_Client]],Clients_Log!B:B,Clients_Log!G:G,"Pas de correspondance")</f>
        <v>Pas de correspondance</v>
      </c>
      <c r="S492" s="1" t="e">
        <f>Logs[[#This Row],[Duree_Cumulee_Panne_Min]]/1440</f>
        <v>#VALUE!</v>
      </c>
      <c r="T492" s="1" t="str">
        <f>_xlfn.XLOOKUP(Logs[[#This Row],[ID_Client]],Clients_Log!B:B,Clients_Log!H:H,"Pas de correspondance")</f>
        <v>Pas de correspondance</v>
      </c>
      <c r="U492" s="1" t="str">
        <f>_xlfn.XLOOKUP(Logs[[#This Row],[ID_Client]],Clients_Log!B:B,Clients_Log!I:I,"Pas de correspondance")</f>
        <v>Pas de correspondance</v>
      </c>
      <c r="V49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92" s="1" t="e">
        <f>Logs[[#This Row],[Facture_Mensuelle]]*Logs[[#This Row],[Remise (%)]]</f>
        <v>#VALUE!</v>
      </c>
    </row>
    <row r="493" spans="1:23" x14ac:dyDescent="0.25">
      <c r="A493" s="1" t="s">
        <v>1190</v>
      </c>
      <c r="B493" s="2">
        <v>45207</v>
      </c>
      <c r="C493" s="1" t="str">
        <f>_xlfn.XLOOKUP(Logs[[#This Row],[Province_RDC]],Clients_Log!D:D,Clients_Log!B:B,"Pas de correspondance")</f>
        <v>CLI-00837</v>
      </c>
      <c r="D493" t="str">
        <f>_xlfn.XLOOKUP(Logs[[#This Row],[Cell_ID]],'Registre_Maintenance'!B:B,'Registre_Maintenance'!C:C,"Pas de correspondance")</f>
        <v>Nord-Kivu</v>
      </c>
      <c r="E493" s="3">
        <v>0.9604166666666667</v>
      </c>
      <c r="F493" s="1" t="s">
        <v>974</v>
      </c>
      <c r="G493" s="3">
        <f>Logs[[#This Row],[Duree_Panne_Min]]/1440</f>
        <v>1.5972222222222221E-2</v>
      </c>
      <c r="H493">
        <v>23</v>
      </c>
      <c r="I493">
        <f>_xlfn.XLOOKUP(Logs[[#This Row],[Cell_ID]],'Registre_Maintenance'!B:B,'Registre_Maintenance'!D:D,"Pas de correspondance")</f>
        <v>-12.336202</v>
      </c>
      <c r="J493">
        <f>_xlfn.XLOOKUP(Logs[[#This Row],[Cell_ID]],'Registre_Maintenance'!B:B,'Registre_Maintenance'!E:E,"Pas de correspondance")</f>
        <v>13.693683999999999</v>
      </c>
      <c r="K493" t="str">
        <f>_xlfn.XLOOKUP(Logs[[#This Row],[Cell_ID]],'Registre_Maintenance'!B:B,'Registre_Maintenance'!F:F,"Pas de correspondance")</f>
        <v>5G</v>
      </c>
      <c r="L493" t="str">
        <f>_xlfn.XLOOKUP(Logs[[#This Row],[Cell_ID]],'Registre_Maintenance'!B:B,'Registre_Maintenance'!G:G,"Pas de correspondance")</f>
        <v>Huawei</v>
      </c>
      <c r="M493" s="1" t="s">
        <v>811</v>
      </c>
      <c r="N493" s="1">
        <f>_xlfn.XLOOKUP(Logs[[#This Row],[ID_Client]],Clients_Log!B:B,Clients_Log!E:E,"Pas de correspondance")</f>
        <v>16</v>
      </c>
      <c r="O493" s="4">
        <f>IFERROR(Logs[[#This Row],[Anciennete_Mois]]/12,"")</f>
        <v>1.3333333333333333</v>
      </c>
      <c r="P493" s="1" t="str">
        <f>_xlfn.XLOOKUP(Logs[[#This Row],[ID_Client]],Clients_Log!B:B,Clients_Log!F:F,"Pas de correspondance")</f>
        <v>Bloqué 5Go</v>
      </c>
      <c r="Q493" s="1" t="str">
        <f>IF(Logs[[#This Row],[Type_Forfait]]="Pro Monde","B2B","B2C")</f>
        <v>B2C</v>
      </c>
      <c r="R493" s="1">
        <f>_xlfn.XLOOKUP(Logs[[#This Row],[ID_Client]],Clients_Log!B:B,Clients_Log!G:G,"Pas de correspondance")</f>
        <v>390</v>
      </c>
      <c r="S493" s="3">
        <f>Logs[[#This Row],[Duree_Cumulee_Panne_Min]]/1440</f>
        <v>0.27083333333333331</v>
      </c>
      <c r="T493" s="1">
        <f>_xlfn.XLOOKUP(Logs[[#This Row],[ID_Client]],Clients_Log!B:B,Clients_Log!H:H,"Pas de correspondance")</f>
        <v>98.17</v>
      </c>
      <c r="U493" s="1">
        <f>_xlfn.XLOOKUP(Logs[[#This Row],[ID_Client]],Clients_Log!B:B,Clients_Log!I:I,"Pas de correspondance")</f>
        <v>5</v>
      </c>
      <c r="V49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93" s="1">
        <f>Logs[[#This Row],[Facture_Mensuelle]]*Logs[[#This Row],[Remise (%)]]</f>
        <v>44.176500000000004</v>
      </c>
    </row>
    <row r="494" spans="1:23" hidden="1" x14ac:dyDescent="0.25">
      <c r="A494" s="1" t="s">
        <v>1190</v>
      </c>
      <c r="B494" s="2">
        <v>45218</v>
      </c>
      <c r="C494" s="1" t="str">
        <f>_xlfn.XLOOKUP(Logs[[#This Row],[Province_RDC]],Clients_Log!D:D,Clients_Log!B:B,"Pas de correspondance")</f>
        <v>Pas de correspondance</v>
      </c>
      <c r="D494" t="str">
        <f>_xlfn.XLOOKUP(Logs[[#This Row],[Cell_ID]],'Registre_Maintenance'!B:B,'Registre_Maintenance'!C:C,"Pas de correspondance")</f>
        <v>Pas de correspondance</v>
      </c>
      <c r="E494" s="3">
        <v>0.63194444444444442</v>
      </c>
      <c r="F494" s="1" t="s">
        <v>843</v>
      </c>
      <c r="G494" s="3">
        <f>Logs[[#This Row],[Duree_Panne_Min]]/1440</f>
        <v>2.9166666666666667E-2</v>
      </c>
      <c r="H494">
        <v>42</v>
      </c>
      <c r="I494" t="str">
        <f>_xlfn.XLOOKUP(Logs[[#This Row],[Cell_ID]],'Registre_Maintenance'!B:B,'Registre_Maintenance'!D:D,"Pas de correspondance")</f>
        <v>Pas de correspondance</v>
      </c>
      <c r="J494" t="str">
        <f>_xlfn.XLOOKUP(Logs[[#This Row],[Cell_ID]],'Registre_Maintenance'!B:B,'Registre_Maintenance'!E:E,"Pas de correspondance")</f>
        <v>Pas de correspondance</v>
      </c>
      <c r="K494" t="str">
        <f>_xlfn.XLOOKUP(Logs[[#This Row],[Cell_ID]],'Registre_Maintenance'!B:B,'Registre_Maintenance'!F:F,"Pas de correspondance")</f>
        <v>Pas de correspondance</v>
      </c>
      <c r="L494" t="str">
        <f>_xlfn.XLOOKUP(Logs[[#This Row],[Cell_ID]],'Registre_Maintenance'!B:B,'Registre_Maintenance'!G:G,"Pas de correspondance")</f>
        <v>Pas de correspondance</v>
      </c>
      <c r="M494" s="1" t="s">
        <v>809</v>
      </c>
      <c r="N494" s="1" t="str">
        <f>_xlfn.XLOOKUP(Logs[[#This Row],[ID_Client]],Clients_Log!B:B,Clients_Log!E:E,"Pas de correspondance")</f>
        <v>Pas de correspondance</v>
      </c>
      <c r="O494" s="4" t="str">
        <f>IFERROR(Logs[[#This Row],[Anciennete_Mois]]/12,"")</f>
        <v/>
      </c>
      <c r="P494" s="1" t="str">
        <f>_xlfn.XLOOKUP(Logs[[#This Row],[ID_Client]],Clients_Log!B:B,Clients_Log!F:F,"Pas de correspondance")</f>
        <v>Pas de correspondance</v>
      </c>
      <c r="Q494" s="1" t="str">
        <f>IF(Logs[[#This Row],[Type_Forfait]]="Pro Monde","B2B","B2C")</f>
        <v>B2C</v>
      </c>
      <c r="R494" s="1" t="str">
        <f>_xlfn.XLOOKUP(Logs[[#This Row],[ID_Client]],Clients_Log!B:B,Clients_Log!G:G,"Pas de correspondance")</f>
        <v>Pas de correspondance</v>
      </c>
      <c r="S494" s="1" t="e">
        <f>Logs[[#This Row],[Duree_Cumulee_Panne_Min]]/1440</f>
        <v>#VALUE!</v>
      </c>
      <c r="T494" s="1" t="str">
        <f>_xlfn.XLOOKUP(Logs[[#This Row],[ID_Client]],Clients_Log!B:B,Clients_Log!H:H,"Pas de correspondance")</f>
        <v>Pas de correspondance</v>
      </c>
      <c r="U494" s="1" t="str">
        <f>_xlfn.XLOOKUP(Logs[[#This Row],[ID_Client]],Clients_Log!B:B,Clients_Log!I:I,"Pas de correspondance")</f>
        <v>Pas de correspondance</v>
      </c>
      <c r="V49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94" s="1" t="e">
        <f>Logs[[#This Row],[Facture_Mensuelle]]*Logs[[#This Row],[Remise (%)]]</f>
        <v>#VALUE!</v>
      </c>
    </row>
    <row r="495" spans="1:23" x14ac:dyDescent="0.25">
      <c r="A495" s="1" t="s">
        <v>1190</v>
      </c>
      <c r="B495" s="2">
        <v>45216</v>
      </c>
      <c r="C495" s="1" t="str">
        <f>_xlfn.XLOOKUP(Logs[[#This Row],[Province_RDC]],Clients_Log!D:D,Clients_Log!B:B,"Pas de correspondance")</f>
        <v>CLI-01837</v>
      </c>
      <c r="D495" t="str">
        <f>_xlfn.XLOOKUP(Logs[[#This Row],[Cell_ID]],'Registre_Maintenance'!B:B,'Registre_Maintenance'!C:C,"Pas de correspondance")</f>
        <v>Kasaï-Oriental</v>
      </c>
      <c r="E495" s="3">
        <v>0.86527777777777781</v>
      </c>
      <c r="F495" s="1" t="s">
        <v>1201</v>
      </c>
      <c r="G495" s="3">
        <f>Logs[[#This Row],[Duree_Panne_Min]]/1440</f>
        <v>6.9444444444444441E-3</v>
      </c>
      <c r="H495">
        <v>10</v>
      </c>
      <c r="I495">
        <f>_xlfn.XLOOKUP(Logs[[#This Row],[Cell_ID]],'Registre_Maintenance'!B:B,'Registre_Maintenance'!D:D,"Pas de correspondance")</f>
        <v>-1.648326</v>
      </c>
      <c r="J495">
        <f>_xlfn.XLOOKUP(Logs[[#This Row],[Cell_ID]],'Registre_Maintenance'!B:B,'Registre_Maintenance'!E:E,"Pas de correspondance")</f>
        <v>25.528901999999999</v>
      </c>
      <c r="K495" t="str">
        <f>_xlfn.XLOOKUP(Logs[[#This Row],[Cell_ID]],'Registre_Maintenance'!B:B,'Registre_Maintenance'!F:F,"Pas de correspondance")</f>
        <v>4G</v>
      </c>
      <c r="L495" t="str">
        <f>_xlfn.XLOOKUP(Logs[[#This Row],[Cell_ID]],'Registre_Maintenance'!B:B,'Registre_Maintenance'!G:G,"Pas de correspondance")</f>
        <v>Huawei</v>
      </c>
      <c r="M495" s="1" t="s">
        <v>809</v>
      </c>
      <c r="N495" s="1">
        <f>_xlfn.XLOOKUP(Logs[[#This Row],[ID_Client]],Clients_Log!B:B,Clients_Log!E:E,"Pas de correspondance")</f>
        <v>97</v>
      </c>
      <c r="O495" s="4">
        <f>IFERROR(Logs[[#This Row],[Anciennete_Mois]]/12,"")</f>
        <v>8.0833333333333339</v>
      </c>
      <c r="P495" s="1" t="str">
        <f>_xlfn.XLOOKUP(Logs[[#This Row],[ID_Client]],Clients_Log!B:B,Clients_Log!F:F,"Pas de correspondance")</f>
        <v>Pro Monde</v>
      </c>
      <c r="Q495" s="1" t="str">
        <f>IF(Logs[[#This Row],[Type_Forfait]]="Pro Monde","B2B","B2C")</f>
        <v>B2B</v>
      </c>
      <c r="R495" s="1">
        <f>_xlfn.XLOOKUP(Logs[[#This Row],[ID_Client]],Clients_Log!B:B,Clients_Log!G:G,"Pas de correspondance")</f>
        <v>319</v>
      </c>
      <c r="S495" s="3">
        <f>Logs[[#This Row],[Duree_Cumulee_Panne_Min]]/1440</f>
        <v>0.22152777777777777</v>
      </c>
      <c r="T495" s="1">
        <f>_xlfn.XLOOKUP(Logs[[#This Row],[ID_Client]],Clients_Log!B:B,Clients_Log!H:H,"Pas de correspondance")</f>
        <v>31.25</v>
      </c>
      <c r="U495" s="1">
        <f>_xlfn.XLOOKUP(Logs[[#This Row],[ID_Client]],Clients_Log!B:B,Clients_Log!I:I,"Pas de correspondance")</f>
        <v>1</v>
      </c>
      <c r="V49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495" s="1">
        <f>Logs[[#This Row],[Facture_Mensuelle]]*Logs[[#This Row],[Remise (%)]]</f>
        <v>14.0625</v>
      </c>
    </row>
    <row r="496" spans="1:23" hidden="1" x14ac:dyDescent="0.25">
      <c r="A496" s="1" t="s">
        <v>1190</v>
      </c>
      <c r="B496" s="2">
        <v>45219</v>
      </c>
      <c r="C496" s="1" t="str">
        <f>_xlfn.XLOOKUP(Logs[[#This Row],[Province_RDC]],Clients_Log!D:D,Clients_Log!B:B,"Pas de correspondance")</f>
        <v>Pas de correspondance</v>
      </c>
      <c r="D496" t="str">
        <f>_xlfn.XLOOKUP(Logs[[#This Row],[Cell_ID]],'Registre_Maintenance'!B:B,'Registre_Maintenance'!C:C,"Pas de correspondance")</f>
        <v>Pas de correspondance</v>
      </c>
      <c r="E496" s="3">
        <v>0.50624999999999998</v>
      </c>
      <c r="F496" s="1" t="s">
        <v>949</v>
      </c>
      <c r="G496" s="3">
        <f>Logs[[#This Row],[Duree_Panne_Min]]/1440</f>
        <v>2.8472222222222222E-2</v>
      </c>
      <c r="H496">
        <v>41</v>
      </c>
      <c r="I496" t="str">
        <f>_xlfn.XLOOKUP(Logs[[#This Row],[Cell_ID]],'Registre_Maintenance'!B:B,'Registre_Maintenance'!D:D,"Pas de correspondance")</f>
        <v>Pas de correspondance</v>
      </c>
      <c r="J496" t="str">
        <f>_xlfn.XLOOKUP(Logs[[#This Row],[Cell_ID]],'Registre_Maintenance'!B:B,'Registre_Maintenance'!E:E,"Pas de correspondance")</f>
        <v>Pas de correspondance</v>
      </c>
      <c r="K496" t="str">
        <f>_xlfn.XLOOKUP(Logs[[#This Row],[Cell_ID]],'Registre_Maintenance'!B:B,'Registre_Maintenance'!F:F,"Pas de correspondance")</f>
        <v>Pas de correspondance</v>
      </c>
      <c r="L496" t="str">
        <f>_xlfn.XLOOKUP(Logs[[#This Row],[Cell_ID]],'Registre_Maintenance'!B:B,'Registre_Maintenance'!G:G,"Pas de correspondance")</f>
        <v>Pas de correspondance</v>
      </c>
      <c r="M496" s="1" t="s">
        <v>809</v>
      </c>
      <c r="N496" s="1" t="str">
        <f>_xlfn.XLOOKUP(Logs[[#This Row],[ID_Client]],Clients_Log!B:B,Clients_Log!E:E,"Pas de correspondance")</f>
        <v>Pas de correspondance</v>
      </c>
      <c r="O496" s="4" t="str">
        <f>IFERROR(Logs[[#This Row],[Anciennete_Mois]]/12,"")</f>
        <v/>
      </c>
      <c r="P496" s="1" t="str">
        <f>_xlfn.XLOOKUP(Logs[[#This Row],[ID_Client]],Clients_Log!B:B,Clients_Log!F:F,"Pas de correspondance")</f>
        <v>Pas de correspondance</v>
      </c>
      <c r="Q496" s="1" t="str">
        <f>IF(Logs[[#This Row],[Type_Forfait]]="Pro Monde","B2B","B2C")</f>
        <v>B2C</v>
      </c>
      <c r="R496" s="1" t="str">
        <f>_xlfn.XLOOKUP(Logs[[#This Row],[ID_Client]],Clients_Log!B:B,Clients_Log!G:G,"Pas de correspondance")</f>
        <v>Pas de correspondance</v>
      </c>
      <c r="S496" s="1" t="e">
        <f>Logs[[#This Row],[Duree_Cumulee_Panne_Min]]/1440</f>
        <v>#VALUE!</v>
      </c>
      <c r="T496" s="1" t="str">
        <f>_xlfn.XLOOKUP(Logs[[#This Row],[ID_Client]],Clients_Log!B:B,Clients_Log!H:H,"Pas de correspondance")</f>
        <v>Pas de correspondance</v>
      </c>
      <c r="U496" s="1" t="str">
        <f>_xlfn.XLOOKUP(Logs[[#This Row],[ID_Client]],Clients_Log!B:B,Clients_Log!I:I,"Pas de correspondance")</f>
        <v>Pas de correspondance</v>
      </c>
      <c r="V49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96" s="1" t="e">
        <f>Logs[[#This Row],[Facture_Mensuelle]]*Logs[[#This Row],[Remise (%)]]</f>
        <v>#VALUE!</v>
      </c>
    </row>
    <row r="497" spans="1:23" hidden="1" x14ac:dyDescent="0.25">
      <c r="A497" s="1" t="s">
        <v>1190</v>
      </c>
      <c r="B497" s="2">
        <v>45226</v>
      </c>
      <c r="C497" s="1" t="str">
        <f>_xlfn.XLOOKUP(Logs[[#This Row],[Province_RDC]],Clients_Log!D:D,Clients_Log!B:B,"Pas de correspondance")</f>
        <v>Pas de correspondance</v>
      </c>
      <c r="D497" t="str">
        <f>_xlfn.XLOOKUP(Logs[[#This Row],[Cell_ID]],'Registre_Maintenance'!B:B,'Registre_Maintenance'!C:C,"Pas de correspondance")</f>
        <v>Pas de correspondance</v>
      </c>
      <c r="E497" s="3">
        <v>0.88541666666666663</v>
      </c>
      <c r="F497" s="1" t="s">
        <v>1202</v>
      </c>
      <c r="G497" s="3">
        <f>Logs[[#This Row],[Duree_Panne_Min]]/1440</f>
        <v>6.6666666666666666E-2</v>
      </c>
      <c r="H497">
        <v>96</v>
      </c>
      <c r="I497" t="str">
        <f>_xlfn.XLOOKUP(Logs[[#This Row],[Cell_ID]],'Registre_Maintenance'!B:B,'Registre_Maintenance'!D:D,"Pas de correspondance")</f>
        <v>Pas de correspondance</v>
      </c>
      <c r="J497" t="str">
        <f>_xlfn.XLOOKUP(Logs[[#This Row],[Cell_ID]],'Registre_Maintenance'!B:B,'Registre_Maintenance'!E:E,"Pas de correspondance")</f>
        <v>Pas de correspondance</v>
      </c>
      <c r="K497" t="str">
        <f>_xlfn.XLOOKUP(Logs[[#This Row],[Cell_ID]],'Registre_Maintenance'!B:B,'Registre_Maintenance'!F:F,"Pas de correspondance")</f>
        <v>Pas de correspondance</v>
      </c>
      <c r="L497" t="str">
        <f>_xlfn.XLOOKUP(Logs[[#This Row],[Cell_ID]],'Registre_Maintenance'!B:B,'Registre_Maintenance'!G:G,"Pas de correspondance")</f>
        <v>Pas de correspondance</v>
      </c>
      <c r="M497" s="1" t="s">
        <v>811</v>
      </c>
      <c r="N497" s="1" t="str">
        <f>_xlfn.XLOOKUP(Logs[[#This Row],[ID_Client]],Clients_Log!B:B,Clients_Log!E:E,"Pas de correspondance")</f>
        <v>Pas de correspondance</v>
      </c>
      <c r="O497" s="4" t="str">
        <f>IFERROR(Logs[[#This Row],[Anciennete_Mois]]/12,"")</f>
        <v/>
      </c>
      <c r="P497" s="1" t="str">
        <f>_xlfn.XLOOKUP(Logs[[#This Row],[ID_Client]],Clients_Log!B:B,Clients_Log!F:F,"Pas de correspondance")</f>
        <v>Pas de correspondance</v>
      </c>
      <c r="Q497" s="1" t="str">
        <f>IF(Logs[[#This Row],[Type_Forfait]]="Pro Monde","B2B","B2C")</f>
        <v>B2C</v>
      </c>
      <c r="R497" s="1" t="str">
        <f>_xlfn.XLOOKUP(Logs[[#This Row],[ID_Client]],Clients_Log!B:B,Clients_Log!G:G,"Pas de correspondance")</f>
        <v>Pas de correspondance</v>
      </c>
      <c r="S497" s="1" t="e">
        <f>Logs[[#This Row],[Duree_Cumulee_Panne_Min]]/1440</f>
        <v>#VALUE!</v>
      </c>
      <c r="T497" s="1" t="str">
        <f>_xlfn.XLOOKUP(Logs[[#This Row],[ID_Client]],Clients_Log!B:B,Clients_Log!H:H,"Pas de correspondance")</f>
        <v>Pas de correspondance</v>
      </c>
      <c r="U497" s="1" t="str">
        <f>_xlfn.XLOOKUP(Logs[[#This Row],[ID_Client]],Clients_Log!B:B,Clients_Log!I:I,"Pas de correspondance")</f>
        <v>Pas de correspondance</v>
      </c>
      <c r="V49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97" s="1" t="e">
        <f>Logs[[#This Row],[Facture_Mensuelle]]*Logs[[#This Row],[Remise (%)]]</f>
        <v>#VALUE!</v>
      </c>
    </row>
    <row r="498" spans="1:23" hidden="1" x14ac:dyDescent="0.25">
      <c r="A498" s="1" t="s">
        <v>1190</v>
      </c>
      <c r="B498" s="2">
        <v>45201</v>
      </c>
      <c r="C498" s="1" t="str">
        <f>_xlfn.XLOOKUP(Logs[[#This Row],[Province_RDC]],Clients_Log!D:D,Clients_Log!B:B,"Pas de correspondance")</f>
        <v>Pas de correspondance</v>
      </c>
      <c r="D498" t="str">
        <f>_xlfn.XLOOKUP(Logs[[#This Row],[Cell_ID]],'Registre_Maintenance'!B:B,'Registre_Maintenance'!C:C,"Pas de correspondance")</f>
        <v>Pas de correspondance</v>
      </c>
      <c r="E498" s="3">
        <v>0.78055555555555556</v>
      </c>
      <c r="F498" s="1" t="s">
        <v>1203</v>
      </c>
      <c r="G498" s="3">
        <f>Logs[[#This Row],[Duree_Panne_Min]]/1440</f>
        <v>1.0416666666666666E-2</v>
      </c>
      <c r="H498">
        <v>15</v>
      </c>
      <c r="I498" t="str">
        <f>_xlfn.XLOOKUP(Logs[[#This Row],[Cell_ID]],'Registre_Maintenance'!B:B,'Registre_Maintenance'!D:D,"Pas de correspondance")</f>
        <v>Pas de correspondance</v>
      </c>
      <c r="J498" t="str">
        <f>_xlfn.XLOOKUP(Logs[[#This Row],[Cell_ID]],'Registre_Maintenance'!B:B,'Registre_Maintenance'!E:E,"Pas de correspondance")</f>
        <v>Pas de correspondance</v>
      </c>
      <c r="K498" t="str">
        <f>_xlfn.XLOOKUP(Logs[[#This Row],[Cell_ID]],'Registre_Maintenance'!B:B,'Registre_Maintenance'!F:F,"Pas de correspondance")</f>
        <v>Pas de correspondance</v>
      </c>
      <c r="L498" t="str">
        <f>_xlfn.XLOOKUP(Logs[[#This Row],[Cell_ID]],'Registre_Maintenance'!B:B,'Registre_Maintenance'!G:G,"Pas de correspondance")</f>
        <v>Pas de correspondance</v>
      </c>
      <c r="M498" s="1" t="s">
        <v>806</v>
      </c>
      <c r="N498" s="1" t="str">
        <f>_xlfn.XLOOKUP(Logs[[#This Row],[ID_Client]],Clients_Log!B:B,Clients_Log!E:E,"Pas de correspondance")</f>
        <v>Pas de correspondance</v>
      </c>
      <c r="O498" s="4" t="str">
        <f>IFERROR(Logs[[#This Row],[Anciennete_Mois]]/12,"")</f>
        <v/>
      </c>
      <c r="P498" s="1" t="str">
        <f>_xlfn.XLOOKUP(Logs[[#This Row],[ID_Client]],Clients_Log!B:B,Clients_Log!F:F,"Pas de correspondance")</f>
        <v>Pas de correspondance</v>
      </c>
      <c r="Q498" s="1" t="str">
        <f>IF(Logs[[#This Row],[Type_Forfait]]="Pro Monde","B2B","B2C")</f>
        <v>B2C</v>
      </c>
      <c r="R498" s="1" t="str">
        <f>_xlfn.XLOOKUP(Logs[[#This Row],[ID_Client]],Clients_Log!B:B,Clients_Log!G:G,"Pas de correspondance")</f>
        <v>Pas de correspondance</v>
      </c>
      <c r="S498" s="1" t="e">
        <f>Logs[[#This Row],[Duree_Cumulee_Panne_Min]]/1440</f>
        <v>#VALUE!</v>
      </c>
      <c r="T498" s="1" t="str">
        <f>_xlfn.XLOOKUP(Logs[[#This Row],[ID_Client]],Clients_Log!B:B,Clients_Log!H:H,"Pas de correspondance")</f>
        <v>Pas de correspondance</v>
      </c>
      <c r="U498" s="1" t="str">
        <f>_xlfn.XLOOKUP(Logs[[#This Row],[ID_Client]],Clients_Log!B:B,Clients_Log!I:I,"Pas de correspondance")</f>
        <v>Pas de correspondance</v>
      </c>
      <c r="V49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98" s="1" t="e">
        <f>Logs[[#This Row],[Facture_Mensuelle]]*Logs[[#This Row],[Remise (%)]]</f>
        <v>#VALUE!</v>
      </c>
    </row>
    <row r="499" spans="1:23" hidden="1" x14ac:dyDescent="0.25">
      <c r="A499" s="1" t="s">
        <v>1190</v>
      </c>
      <c r="B499" s="2">
        <v>45203</v>
      </c>
      <c r="C499" s="1" t="str">
        <f>_xlfn.XLOOKUP(Logs[[#This Row],[Province_RDC]],Clients_Log!D:D,Clients_Log!B:B,"Pas de correspondance")</f>
        <v>Pas de correspondance</v>
      </c>
      <c r="D499" t="str">
        <f>_xlfn.XLOOKUP(Logs[[#This Row],[Cell_ID]],'Registre_Maintenance'!B:B,'Registre_Maintenance'!C:C,"Pas de correspondance")</f>
        <v>Pas de correspondance</v>
      </c>
      <c r="E499" s="3">
        <v>0.25069444444444444</v>
      </c>
      <c r="F499" s="1" t="s">
        <v>937</v>
      </c>
      <c r="G499" s="3">
        <f>Logs[[#This Row],[Duree_Panne_Min]]/1440</f>
        <v>3.4027777777777775E-2</v>
      </c>
      <c r="H499">
        <v>49</v>
      </c>
      <c r="I499" t="str">
        <f>_xlfn.XLOOKUP(Logs[[#This Row],[Cell_ID]],'Registre_Maintenance'!B:B,'Registre_Maintenance'!D:D,"Pas de correspondance")</f>
        <v>Pas de correspondance</v>
      </c>
      <c r="J499" t="str">
        <f>_xlfn.XLOOKUP(Logs[[#This Row],[Cell_ID]],'Registre_Maintenance'!B:B,'Registre_Maintenance'!E:E,"Pas de correspondance")</f>
        <v>Pas de correspondance</v>
      </c>
      <c r="K499" t="str">
        <f>_xlfn.XLOOKUP(Logs[[#This Row],[Cell_ID]],'Registre_Maintenance'!B:B,'Registre_Maintenance'!F:F,"Pas de correspondance")</f>
        <v>Pas de correspondance</v>
      </c>
      <c r="L499" t="str">
        <f>_xlfn.XLOOKUP(Logs[[#This Row],[Cell_ID]],'Registre_Maintenance'!B:B,'Registre_Maintenance'!G:G,"Pas de correspondance")</f>
        <v>Pas de correspondance</v>
      </c>
      <c r="M499" s="1" t="s">
        <v>809</v>
      </c>
      <c r="N499" s="1" t="str">
        <f>_xlfn.XLOOKUP(Logs[[#This Row],[ID_Client]],Clients_Log!B:B,Clients_Log!E:E,"Pas de correspondance")</f>
        <v>Pas de correspondance</v>
      </c>
      <c r="O499" s="4" t="str">
        <f>IFERROR(Logs[[#This Row],[Anciennete_Mois]]/12,"")</f>
        <v/>
      </c>
      <c r="P499" s="1" t="str">
        <f>_xlfn.XLOOKUP(Logs[[#This Row],[ID_Client]],Clients_Log!B:B,Clients_Log!F:F,"Pas de correspondance")</f>
        <v>Pas de correspondance</v>
      </c>
      <c r="Q499" s="1" t="str">
        <f>IF(Logs[[#This Row],[Type_Forfait]]="Pro Monde","B2B","B2C")</f>
        <v>B2C</v>
      </c>
      <c r="R499" s="1" t="str">
        <f>_xlfn.XLOOKUP(Logs[[#This Row],[ID_Client]],Clients_Log!B:B,Clients_Log!G:G,"Pas de correspondance")</f>
        <v>Pas de correspondance</v>
      </c>
      <c r="S499" s="1" t="e">
        <f>Logs[[#This Row],[Duree_Cumulee_Panne_Min]]/1440</f>
        <v>#VALUE!</v>
      </c>
      <c r="T499" s="1" t="str">
        <f>_xlfn.XLOOKUP(Logs[[#This Row],[ID_Client]],Clients_Log!B:B,Clients_Log!H:H,"Pas de correspondance")</f>
        <v>Pas de correspondance</v>
      </c>
      <c r="U499" s="1" t="str">
        <f>_xlfn.XLOOKUP(Logs[[#This Row],[ID_Client]],Clients_Log!B:B,Clients_Log!I:I,"Pas de correspondance")</f>
        <v>Pas de correspondance</v>
      </c>
      <c r="V49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499" s="1" t="e">
        <f>Logs[[#This Row],[Facture_Mensuelle]]*Logs[[#This Row],[Remise (%)]]</f>
        <v>#VALUE!</v>
      </c>
    </row>
    <row r="500" spans="1:23" x14ac:dyDescent="0.25">
      <c r="A500" s="1" t="s">
        <v>1190</v>
      </c>
      <c r="B500" s="2">
        <v>45214</v>
      </c>
      <c r="C500" s="1" t="str">
        <f>_xlfn.XLOOKUP(Logs[[#This Row],[Province_RDC]],Clients_Log!D:D,Clients_Log!B:B,"Pas de correspondance")</f>
        <v>CLI-01618</v>
      </c>
      <c r="D500" t="str">
        <f>_xlfn.XLOOKUP(Logs[[#This Row],[Cell_ID]],'Registre_Maintenance'!B:B,'Registre_Maintenance'!C:C,"Pas de correspondance")</f>
        <v>Tanganyika</v>
      </c>
      <c r="E500" s="3">
        <v>0.43472222222222223</v>
      </c>
      <c r="F500" s="1" t="s">
        <v>845</v>
      </c>
      <c r="G500" s="3">
        <f>Logs[[#This Row],[Duree_Panne_Min]]/1440</f>
        <v>4.2361111111111113E-2</v>
      </c>
      <c r="H500">
        <v>61</v>
      </c>
      <c r="I500">
        <f>_xlfn.XLOOKUP(Logs[[#This Row],[Cell_ID]],'Registre_Maintenance'!B:B,'Registre_Maintenance'!D:D,"Pas de correspondance")</f>
        <v>-10.776204</v>
      </c>
      <c r="J500">
        <f>_xlfn.XLOOKUP(Logs[[#This Row],[Cell_ID]],'Registre_Maintenance'!B:B,'Registre_Maintenance'!E:E,"Pas de correspondance")</f>
        <v>24.672934000000001</v>
      </c>
      <c r="K500" t="str">
        <f>_xlfn.XLOOKUP(Logs[[#This Row],[Cell_ID]],'Registre_Maintenance'!B:B,'Registre_Maintenance'!F:F,"Pas de correspondance")</f>
        <v>4G</v>
      </c>
      <c r="L500" t="str">
        <f>_xlfn.XLOOKUP(Logs[[#This Row],[Cell_ID]],'Registre_Maintenance'!B:B,'Registre_Maintenance'!G:G,"Pas de correspondance")</f>
        <v>Ericsson</v>
      </c>
      <c r="M500" s="1" t="s">
        <v>811</v>
      </c>
      <c r="N500" s="1">
        <f>_xlfn.XLOOKUP(Logs[[#This Row],[ID_Client]],Clients_Log!B:B,Clients_Log!E:E,"Pas de correspondance")</f>
        <v>115</v>
      </c>
      <c r="O500" s="4">
        <f>IFERROR(Logs[[#This Row],[Anciennete_Mois]]/12,"")</f>
        <v>9.5833333333333339</v>
      </c>
      <c r="P500" s="1" t="str">
        <f>_xlfn.XLOOKUP(Logs[[#This Row],[ID_Client]],Clients_Log!B:B,Clients_Log!F:F,"Pas de correspondance")</f>
        <v>Bloqué 5Go</v>
      </c>
      <c r="Q500" s="1" t="str">
        <f>IF(Logs[[#This Row],[Type_Forfait]]="Pro Monde","B2B","B2C")</f>
        <v>B2C</v>
      </c>
      <c r="R500" s="1">
        <f>_xlfn.XLOOKUP(Logs[[#This Row],[ID_Client]],Clients_Log!B:B,Clients_Log!G:G,"Pas de correspondance")</f>
        <v>176</v>
      </c>
      <c r="S500" s="3">
        <f>Logs[[#This Row],[Duree_Cumulee_Panne_Min]]/1440</f>
        <v>0.12222222222222222</v>
      </c>
      <c r="T500" s="1">
        <f>_xlfn.XLOOKUP(Logs[[#This Row],[ID_Client]],Clients_Log!B:B,Clients_Log!H:H,"Pas de correspondance")</f>
        <v>33.28</v>
      </c>
      <c r="U500" s="1">
        <f>_xlfn.XLOOKUP(Logs[[#This Row],[ID_Client]],Clients_Log!B:B,Clients_Log!I:I,"Pas de correspondance")</f>
        <v>4</v>
      </c>
      <c r="V50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00" s="1">
        <f>Logs[[#This Row],[Facture_Mensuelle]]*Logs[[#This Row],[Remise (%)]]</f>
        <v>0</v>
      </c>
    </row>
    <row r="501" spans="1:23" x14ac:dyDescent="0.25">
      <c r="A501" s="1" t="s">
        <v>1190</v>
      </c>
      <c r="B501" s="2">
        <v>45204</v>
      </c>
      <c r="C501" s="1" t="str">
        <f>_xlfn.XLOOKUP(Logs[[#This Row],[Province_RDC]],Clients_Log!D:D,Clients_Log!B:B,"Pas de correspondance")</f>
        <v>CLI-00060</v>
      </c>
      <c r="D501" t="str">
        <f>_xlfn.XLOOKUP(Logs[[#This Row],[Cell_ID]],'Registre_Maintenance'!B:B,'Registre_Maintenance'!C:C,"Pas de correspondance")</f>
        <v>Kasaï-Central</v>
      </c>
      <c r="E501" s="3">
        <v>0.57222222222222219</v>
      </c>
      <c r="F501" s="1" t="s">
        <v>952</v>
      </c>
      <c r="G501" s="3">
        <f>Logs[[#This Row],[Duree_Panne_Min]]/1440</f>
        <v>6.1111111111111109E-2</v>
      </c>
      <c r="H501">
        <v>88</v>
      </c>
      <c r="I501">
        <f>_xlfn.XLOOKUP(Logs[[#This Row],[Cell_ID]],'Registre_Maintenance'!B:B,'Registre_Maintenance'!D:D,"Pas de correspondance")</f>
        <v>-3.111418</v>
      </c>
      <c r="J501">
        <f>_xlfn.XLOOKUP(Logs[[#This Row],[Cell_ID]],'Registre_Maintenance'!B:B,'Registre_Maintenance'!E:E,"Pas de correspondance")</f>
        <v>14.144854</v>
      </c>
      <c r="K501" t="str">
        <f>_xlfn.XLOOKUP(Logs[[#This Row],[Cell_ID]],'Registre_Maintenance'!B:B,'Registre_Maintenance'!F:F,"Pas de correspondance")</f>
        <v>4G</v>
      </c>
      <c r="L501" t="str">
        <f>_xlfn.XLOOKUP(Logs[[#This Row],[Cell_ID]],'Registre_Maintenance'!B:B,'Registre_Maintenance'!G:G,"Pas de correspondance")</f>
        <v>ZTE</v>
      </c>
      <c r="M501" s="1" t="s">
        <v>811</v>
      </c>
      <c r="N501" s="1">
        <f>_xlfn.XLOOKUP(Logs[[#This Row],[ID_Client]],Clients_Log!B:B,Clients_Log!E:E,"Pas de correspondance")</f>
        <v>72</v>
      </c>
      <c r="O501" s="4">
        <f>IFERROR(Logs[[#This Row],[Anciennete_Mois]]/12,"")</f>
        <v>6</v>
      </c>
      <c r="P501" s="1" t="str">
        <f>_xlfn.XLOOKUP(Logs[[#This Row],[ID_Client]],Clients_Log!B:B,Clients_Log!F:F,"Pas de correspondance")</f>
        <v>Pro Monde</v>
      </c>
      <c r="Q501" s="1" t="str">
        <f>IF(Logs[[#This Row],[Type_Forfait]]="Pro Monde","B2B","B2C")</f>
        <v>B2B</v>
      </c>
      <c r="R501" s="1">
        <f>_xlfn.XLOOKUP(Logs[[#This Row],[ID_Client]],Clients_Log!B:B,Clients_Log!G:G,"Pas de correspondance")</f>
        <v>160</v>
      </c>
      <c r="S501" s="3">
        <f>Logs[[#This Row],[Duree_Cumulee_Panne_Min]]/1440</f>
        <v>0.1111111111111111</v>
      </c>
      <c r="T501" s="1">
        <f>_xlfn.XLOOKUP(Logs[[#This Row],[ID_Client]],Clients_Log!B:B,Clients_Log!H:H,"Pas de correspondance")</f>
        <v>90.13</v>
      </c>
      <c r="U501" s="1">
        <f>_xlfn.XLOOKUP(Logs[[#This Row],[ID_Client]],Clients_Log!B:B,Clients_Log!I:I,"Pas de correspondance")</f>
        <v>2</v>
      </c>
      <c r="V50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501" s="1">
        <f>Logs[[#This Row],[Facture_Mensuelle]]*Logs[[#This Row],[Remise (%)]]</f>
        <v>9.0129999999999999</v>
      </c>
    </row>
    <row r="502" spans="1:23" x14ac:dyDescent="0.25">
      <c r="A502" s="1" t="s">
        <v>1190</v>
      </c>
      <c r="B502" s="2">
        <v>45206</v>
      </c>
      <c r="C502" s="1" t="str">
        <f>_xlfn.XLOOKUP(Logs[[#This Row],[Province_RDC]],Clients_Log!D:D,Clients_Log!B:B,"Pas de correspondance")</f>
        <v>CLI-00439</v>
      </c>
      <c r="D502" t="str">
        <f>_xlfn.XLOOKUP(Logs[[#This Row],[Cell_ID]],'Registre_Maintenance'!B:B,'Registre_Maintenance'!C:C,"Pas de correspondance")</f>
        <v>Haut-Uele</v>
      </c>
      <c r="E502" s="3">
        <v>0.56388888888888888</v>
      </c>
      <c r="F502" s="1" t="s">
        <v>1204</v>
      </c>
      <c r="G502" s="3">
        <f>Logs[[#This Row],[Duree_Panne_Min]]/1440</f>
        <v>2.5694444444444443E-2</v>
      </c>
      <c r="H502">
        <v>37</v>
      </c>
      <c r="I502">
        <f>_xlfn.XLOOKUP(Logs[[#This Row],[Cell_ID]],'Registre_Maintenance'!B:B,'Registre_Maintenance'!D:D,"Pas de correspondance")</f>
        <v>0.20866199999999999</v>
      </c>
      <c r="J502">
        <f>_xlfn.XLOOKUP(Logs[[#This Row],[Cell_ID]],'Registre_Maintenance'!B:B,'Registre_Maintenance'!E:E,"Pas de correspondance")</f>
        <v>18.556439000000001</v>
      </c>
      <c r="K502" t="str">
        <f>_xlfn.XLOOKUP(Logs[[#This Row],[Cell_ID]],'Registre_Maintenance'!B:B,'Registre_Maintenance'!F:F,"Pas de correspondance")</f>
        <v>4G</v>
      </c>
      <c r="L502" t="str">
        <f>_xlfn.XLOOKUP(Logs[[#This Row],[Cell_ID]],'Registre_Maintenance'!B:B,'Registre_Maintenance'!G:G,"Pas de correspondance")</f>
        <v>Nokia</v>
      </c>
      <c r="M502" s="1" t="s">
        <v>806</v>
      </c>
      <c r="N502" s="1">
        <f>_xlfn.XLOOKUP(Logs[[#This Row],[ID_Client]],Clients_Log!B:B,Clients_Log!E:E,"Pas de correspondance")</f>
        <v>40</v>
      </c>
      <c r="O502" s="4">
        <f>IFERROR(Logs[[#This Row],[Anciennete_Mois]]/12,"")</f>
        <v>3.3333333333333335</v>
      </c>
      <c r="P502" s="1" t="str">
        <f>_xlfn.XLOOKUP(Logs[[#This Row],[ID_Client]],Clients_Log!B:B,Clients_Log!F:F,"Pas de correspondance")</f>
        <v>Premium 5G 150Go</v>
      </c>
      <c r="Q502" s="1" t="str">
        <f>IF(Logs[[#This Row],[Type_Forfait]]="Pro Monde","B2B","B2C")</f>
        <v>B2C</v>
      </c>
      <c r="R502" s="1">
        <f>_xlfn.XLOOKUP(Logs[[#This Row],[ID_Client]],Clients_Log!B:B,Clients_Log!G:G,"Pas de correspondance")</f>
        <v>345</v>
      </c>
      <c r="S502" s="3">
        <f>Logs[[#This Row],[Duree_Cumulee_Panne_Min]]/1440</f>
        <v>0.23958333333333334</v>
      </c>
      <c r="T502" s="1">
        <f>_xlfn.XLOOKUP(Logs[[#This Row],[ID_Client]],Clients_Log!B:B,Clients_Log!H:H,"Pas de correspondance")</f>
        <v>89.55</v>
      </c>
      <c r="U502" s="1">
        <f>_xlfn.XLOOKUP(Logs[[#This Row],[ID_Client]],Clients_Log!B:B,Clients_Log!I:I,"Pas de correspondance")</f>
        <v>3</v>
      </c>
      <c r="V50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02" s="1">
        <f>Logs[[#This Row],[Facture_Mensuelle]]*Logs[[#This Row],[Remise (%)]]</f>
        <v>40.297499999999999</v>
      </c>
    </row>
    <row r="503" spans="1:23" hidden="1" x14ac:dyDescent="0.25">
      <c r="A503" s="1" t="s">
        <v>1190</v>
      </c>
      <c r="B503" s="2">
        <v>45224</v>
      </c>
      <c r="C503" s="1" t="str">
        <f>_xlfn.XLOOKUP(Logs[[#This Row],[Province_RDC]],Clients_Log!D:D,Clients_Log!B:B,"Pas de correspondance")</f>
        <v>Pas de correspondance</v>
      </c>
      <c r="D503" t="str">
        <f>_xlfn.XLOOKUP(Logs[[#This Row],[Cell_ID]],'Registre_Maintenance'!B:B,'Registre_Maintenance'!C:C,"Pas de correspondance")</f>
        <v>Pas de correspondance</v>
      </c>
      <c r="E503" s="3">
        <v>0.83194444444444449</v>
      </c>
      <c r="F503" s="1" t="s">
        <v>1205</v>
      </c>
      <c r="G503" s="3">
        <f>Logs[[#This Row],[Duree_Panne_Min]]/1440</f>
        <v>6.9444444444444448E-2</v>
      </c>
      <c r="H503">
        <v>100</v>
      </c>
      <c r="I503" t="str">
        <f>_xlfn.XLOOKUP(Logs[[#This Row],[Cell_ID]],'Registre_Maintenance'!B:B,'Registre_Maintenance'!D:D,"Pas de correspondance")</f>
        <v>Pas de correspondance</v>
      </c>
      <c r="J503" t="str">
        <f>_xlfn.XLOOKUP(Logs[[#This Row],[Cell_ID]],'Registre_Maintenance'!B:B,'Registre_Maintenance'!E:E,"Pas de correspondance")</f>
        <v>Pas de correspondance</v>
      </c>
      <c r="K503" t="str">
        <f>_xlfn.XLOOKUP(Logs[[#This Row],[Cell_ID]],'Registre_Maintenance'!B:B,'Registre_Maintenance'!F:F,"Pas de correspondance")</f>
        <v>Pas de correspondance</v>
      </c>
      <c r="L503" t="str">
        <f>_xlfn.XLOOKUP(Logs[[#This Row],[Cell_ID]],'Registre_Maintenance'!B:B,'Registre_Maintenance'!G:G,"Pas de correspondance")</f>
        <v>Pas de correspondance</v>
      </c>
      <c r="M503" s="1" t="s">
        <v>806</v>
      </c>
      <c r="N503" s="1" t="str">
        <f>_xlfn.XLOOKUP(Logs[[#This Row],[ID_Client]],Clients_Log!B:B,Clients_Log!E:E,"Pas de correspondance")</f>
        <v>Pas de correspondance</v>
      </c>
      <c r="O503" s="4" t="str">
        <f>IFERROR(Logs[[#This Row],[Anciennete_Mois]]/12,"")</f>
        <v/>
      </c>
      <c r="P503" s="1" t="str">
        <f>_xlfn.XLOOKUP(Logs[[#This Row],[ID_Client]],Clients_Log!B:B,Clients_Log!F:F,"Pas de correspondance")</f>
        <v>Pas de correspondance</v>
      </c>
      <c r="Q503" s="1" t="str">
        <f>IF(Logs[[#This Row],[Type_Forfait]]="Pro Monde","B2B","B2C")</f>
        <v>B2C</v>
      </c>
      <c r="R503" s="1" t="str">
        <f>_xlfn.XLOOKUP(Logs[[#This Row],[ID_Client]],Clients_Log!B:B,Clients_Log!G:G,"Pas de correspondance")</f>
        <v>Pas de correspondance</v>
      </c>
      <c r="S503" s="1" t="e">
        <f>Logs[[#This Row],[Duree_Cumulee_Panne_Min]]/1440</f>
        <v>#VALUE!</v>
      </c>
      <c r="T503" s="1" t="str">
        <f>_xlfn.XLOOKUP(Logs[[#This Row],[ID_Client]],Clients_Log!B:B,Clients_Log!H:H,"Pas de correspondance")</f>
        <v>Pas de correspondance</v>
      </c>
      <c r="U503" s="1" t="str">
        <f>_xlfn.XLOOKUP(Logs[[#This Row],[ID_Client]],Clients_Log!B:B,Clients_Log!I:I,"Pas de correspondance")</f>
        <v>Pas de correspondance</v>
      </c>
      <c r="V50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03" s="1" t="e">
        <f>Logs[[#This Row],[Facture_Mensuelle]]*Logs[[#This Row],[Remise (%)]]</f>
        <v>#VALUE!</v>
      </c>
    </row>
    <row r="504" spans="1:23" hidden="1" x14ac:dyDescent="0.25">
      <c r="A504" s="1" t="s">
        <v>1190</v>
      </c>
      <c r="B504" s="2">
        <v>45215</v>
      </c>
      <c r="C504" s="1" t="str">
        <f>_xlfn.XLOOKUP(Logs[[#This Row],[Province_RDC]],Clients_Log!D:D,Clients_Log!B:B,"Pas de correspondance")</f>
        <v>Pas de correspondance</v>
      </c>
      <c r="D504" t="str">
        <f>_xlfn.XLOOKUP(Logs[[#This Row],[Cell_ID]],'Registre_Maintenance'!B:B,'Registre_Maintenance'!C:C,"Pas de correspondance")</f>
        <v>Pas de correspondance</v>
      </c>
      <c r="E504" s="3">
        <v>0.99027777777777781</v>
      </c>
      <c r="F504" s="1" t="s">
        <v>1116</v>
      </c>
      <c r="G504" s="3">
        <f>Logs[[#This Row],[Duree_Panne_Min]]/1440</f>
        <v>4.583333333333333E-2</v>
      </c>
      <c r="H504">
        <v>66</v>
      </c>
      <c r="I504" t="str">
        <f>_xlfn.XLOOKUP(Logs[[#This Row],[Cell_ID]],'Registre_Maintenance'!B:B,'Registre_Maintenance'!D:D,"Pas de correspondance")</f>
        <v>Pas de correspondance</v>
      </c>
      <c r="J504" t="str">
        <f>_xlfn.XLOOKUP(Logs[[#This Row],[Cell_ID]],'Registre_Maintenance'!B:B,'Registre_Maintenance'!E:E,"Pas de correspondance")</f>
        <v>Pas de correspondance</v>
      </c>
      <c r="K504" t="str">
        <f>_xlfn.XLOOKUP(Logs[[#This Row],[Cell_ID]],'Registre_Maintenance'!B:B,'Registre_Maintenance'!F:F,"Pas de correspondance")</f>
        <v>Pas de correspondance</v>
      </c>
      <c r="L504" t="str">
        <f>_xlfn.XLOOKUP(Logs[[#This Row],[Cell_ID]],'Registre_Maintenance'!B:B,'Registre_Maintenance'!G:G,"Pas de correspondance")</f>
        <v>Pas de correspondance</v>
      </c>
      <c r="M504" s="1" t="s">
        <v>811</v>
      </c>
      <c r="N504" s="1" t="str">
        <f>_xlfn.XLOOKUP(Logs[[#This Row],[ID_Client]],Clients_Log!B:B,Clients_Log!E:E,"Pas de correspondance")</f>
        <v>Pas de correspondance</v>
      </c>
      <c r="O504" s="4" t="str">
        <f>IFERROR(Logs[[#This Row],[Anciennete_Mois]]/12,"")</f>
        <v/>
      </c>
      <c r="P504" s="1" t="str">
        <f>_xlfn.XLOOKUP(Logs[[#This Row],[ID_Client]],Clients_Log!B:B,Clients_Log!F:F,"Pas de correspondance")</f>
        <v>Pas de correspondance</v>
      </c>
      <c r="Q504" s="1" t="str">
        <f>IF(Logs[[#This Row],[Type_Forfait]]="Pro Monde","B2B","B2C")</f>
        <v>B2C</v>
      </c>
      <c r="R504" s="1" t="str">
        <f>_xlfn.XLOOKUP(Logs[[#This Row],[ID_Client]],Clients_Log!B:B,Clients_Log!G:G,"Pas de correspondance")</f>
        <v>Pas de correspondance</v>
      </c>
      <c r="S504" s="1" t="e">
        <f>Logs[[#This Row],[Duree_Cumulee_Panne_Min]]/1440</f>
        <v>#VALUE!</v>
      </c>
      <c r="T504" s="1" t="str">
        <f>_xlfn.XLOOKUP(Logs[[#This Row],[ID_Client]],Clients_Log!B:B,Clients_Log!H:H,"Pas de correspondance")</f>
        <v>Pas de correspondance</v>
      </c>
      <c r="U504" s="1" t="str">
        <f>_xlfn.XLOOKUP(Logs[[#This Row],[ID_Client]],Clients_Log!B:B,Clients_Log!I:I,"Pas de correspondance")</f>
        <v>Pas de correspondance</v>
      </c>
      <c r="V50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04" s="1" t="e">
        <f>Logs[[#This Row],[Facture_Mensuelle]]*Logs[[#This Row],[Remise (%)]]</f>
        <v>#VALUE!</v>
      </c>
    </row>
    <row r="505" spans="1:23" x14ac:dyDescent="0.25">
      <c r="A505" s="1" t="s">
        <v>1190</v>
      </c>
      <c r="B505" s="2">
        <v>45201</v>
      </c>
      <c r="C505" s="1" t="str">
        <f>_xlfn.XLOOKUP(Logs[[#This Row],[Province_RDC]],Clients_Log!D:D,Clients_Log!B:B,"Pas de correspondance")</f>
        <v>CLI-00414</v>
      </c>
      <c r="D505" t="str">
        <f>_xlfn.XLOOKUP(Logs[[#This Row],[Cell_ID]],'Registre_Maintenance'!B:B,'Registre_Maintenance'!C:C,"Pas de correspondance")</f>
        <v>Bas-Uele</v>
      </c>
      <c r="E505" s="3">
        <v>0.92222222222222228</v>
      </c>
      <c r="F505" s="1" t="s">
        <v>996</v>
      </c>
      <c r="G505" s="3">
        <f>Logs[[#This Row],[Duree_Panne_Min]]/1440</f>
        <v>2.2222222222222223E-2</v>
      </c>
      <c r="H505">
        <v>32</v>
      </c>
      <c r="I505">
        <f>_xlfn.XLOOKUP(Logs[[#This Row],[Cell_ID]],'Registre_Maintenance'!B:B,'Registre_Maintenance'!D:D,"Pas de correspondance")</f>
        <v>1.5278670000000001</v>
      </c>
      <c r="J505">
        <f>_xlfn.XLOOKUP(Logs[[#This Row],[Cell_ID]],'Registre_Maintenance'!B:B,'Registre_Maintenance'!E:E,"Pas de correspondance")</f>
        <v>13.899388999999999</v>
      </c>
      <c r="K505" t="str">
        <f>_xlfn.XLOOKUP(Logs[[#This Row],[Cell_ID]],'Registre_Maintenance'!B:B,'Registre_Maintenance'!F:F,"Pas de correspondance")</f>
        <v>3G</v>
      </c>
      <c r="L505" t="str">
        <f>_xlfn.XLOOKUP(Logs[[#This Row],[Cell_ID]],'Registre_Maintenance'!B:B,'Registre_Maintenance'!G:G,"Pas de correspondance")</f>
        <v>Huawei</v>
      </c>
      <c r="M505" s="1" t="s">
        <v>806</v>
      </c>
      <c r="N505" s="1">
        <f>_xlfn.XLOOKUP(Logs[[#This Row],[ID_Client]],Clients_Log!B:B,Clients_Log!E:E,"Pas de correspondance")</f>
        <v>99</v>
      </c>
      <c r="O505" s="4">
        <f>IFERROR(Logs[[#This Row],[Anciennete_Mois]]/12,"")</f>
        <v>8.25</v>
      </c>
      <c r="P505" s="1" t="str">
        <f>_xlfn.XLOOKUP(Logs[[#This Row],[ID_Client]],Clients_Log!B:B,Clients_Log!F:F,"Pas de correspondance")</f>
        <v>Premium 5G 150Go</v>
      </c>
      <c r="Q505" s="1" t="str">
        <f>IF(Logs[[#This Row],[Type_Forfait]]="Pro Monde","B2B","B2C")</f>
        <v>B2C</v>
      </c>
      <c r="R505" s="1">
        <f>_xlfn.XLOOKUP(Logs[[#This Row],[ID_Client]],Clients_Log!B:B,Clients_Log!G:G,"Pas de correspondance")</f>
        <v>447</v>
      </c>
      <c r="S505" s="3">
        <f>Logs[[#This Row],[Duree_Cumulee_Panne_Min]]/1440</f>
        <v>0.31041666666666667</v>
      </c>
      <c r="T505" s="1">
        <f>_xlfn.XLOOKUP(Logs[[#This Row],[ID_Client]],Clients_Log!B:B,Clients_Log!H:H,"Pas de correspondance")</f>
        <v>38.1</v>
      </c>
      <c r="U505" s="1">
        <f>_xlfn.XLOOKUP(Logs[[#This Row],[ID_Client]],Clients_Log!B:B,Clients_Log!I:I,"Pas de correspondance")</f>
        <v>3</v>
      </c>
      <c r="V50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05" s="1">
        <f>Logs[[#This Row],[Facture_Mensuelle]]*Logs[[#This Row],[Remise (%)]]</f>
        <v>17.145</v>
      </c>
    </row>
    <row r="506" spans="1:23" hidden="1" x14ac:dyDescent="0.25">
      <c r="A506" s="1" t="s">
        <v>1190</v>
      </c>
      <c r="B506" s="2">
        <v>45216</v>
      </c>
      <c r="C506" s="1" t="str">
        <f>_xlfn.XLOOKUP(Logs[[#This Row],[Province_RDC]],Clients_Log!D:D,Clients_Log!B:B,"Pas de correspondance")</f>
        <v>Pas de correspondance</v>
      </c>
      <c r="D506" t="str">
        <f>_xlfn.XLOOKUP(Logs[[#This Row],[Cell_ID]],'Registre_Maintenance'!B:B,'Registre_Maintenance'!C:C,"Pas de correspondance")</f>
        <v>Pas de correspondance</v>
      </c>
      <c r="E506" s="3">
        <v>0.27430555555555558</v>
      </c>
      <c r="F506" s="1" t="s">
        <v>1200</v>
      </c>
      <c r="G506" s="3">
        <f>Logs[[#This Row],[Duree_Panne_Min]]/1440</f>
        <v>2.0833333333333332E-2</v>
      </c>
      <c r="H506">
        <v>30</v>
      </c>
      <c r="I506" t="str">
        <f>_xlfn.XLOOKUP(Logs[[#This Row],[Cell_ID]],'Registre_Maintenance'!B:B,'Registre_Maintenance'!D:D,"Pas de correspondance")</f>
        <v>Pas de correspondance</v>
      </c>
      <c r="J506" t="str">
        <f>_xlfn.XLOOKUP(Logs[[#This Row],[Cell_ID]],'Registre_Maintenance'!B:B,'Registre_Maintenance'!E:E,"Pas de correspondance")</f>
        <v>Pas de correspondance</v>
      </c>
      <c r="K506" t="str">
        <f>_xlfn.XLOOKUP(Logs[[#This Row],[Cell_ID]],'Registre_Maintenance'!B:B,'Registre_Maintenance'!F:F,"Pas de correspondance")</f>
        <v>Pas de correspondance</v>
      </c>
      <c r="L506" t="str">
        <f>_xlfn.XLOOKUP(Logs[[#This Row],[Cell_ID]],'Registre_Maintenance'!B:B,'Registre_Maintenance'!G:G,"Pas de correspondance")</f>
        <v>Pas de correspondance</v>
      </c>
      <c r="M506" s="1" t="s">
        <v>809</v>
      </c>
      <c r="N506" s="1" t="str">
        <f>_xlfn.XLOOKUP(Logs[[#This Row],[ID_Client]],Clients_Log!B:B,Clients_Log!E:E,"Pas de correspondance")</f>
        <v>Pas de correspondance</v>
      </c>
      <c r="O506" s="4" t="str">
        <f>IFERROR(Logs[[#This Row],[Anciennete_Mois]]/12,"")</f>
        <v/>
      </c>
      <c r="P506" s="1" t="str">
        <f>_xlfn.XLOOKUP(Logs[[#This Row],[ID_Client]],Clients_Log!B:B,Clients_Log!F:F,"Pas de correspondance")</f>
        <v>Pas de correspondance</v>
      </c>
      <c r="Q506" s="1" t="str">
        <f>IF(Logs[[#This Row],[Type_Forfait]]="Pro Monde","B2B","B2C")</f>
        <v>B2C</v>
      </c>
      <c r="R506" s="1" t="str">
        <f>_xlfn.XLOOKUP(Logs[[#This Row],[ID_Client]],Clients_Log!B:B,Clients_Log!G:G,"Pas de correspondance")</f>
        <v>Pas de correspondance</v>
      </c>
      <c r="S506" s="1" t="e">
        <f>Logs[[#This Row],[Duree_Cumulee_Panne_Min]]/1440</f>
        <v>#VALUE!</v>
      </c>
      <c r="T506" s="1" t="str">
        <f>_xlfn.XLOOKUP(Logs[[#This Row],[ID_Client]],Clients_Log!B:B,Clients_Log!H:H,"Pas de correspondance")</f>
        <v>Pas de correspondance</v>
      </c>
      <c r="U506" s="1" t="str">
        <f>_xlfn.XLOOKUP(Logs[[#This Row],[ID_Client]],Clients_Log!B:B,Clients_Log!I:I,"Pas de correspondance")</f>
        <v>Pas de correspondance</v>
      </c>
      <c r="V50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06" s="1" t="e">
        <f>Logs[[#This Row],[Facture_Mensuelle]]*Logs[[#This Row],[Remise (%)]]</f>
        <v>#VALUE!</v>
      </c>
    </row>
    <row r="507" spans="1:23" hidden="1" x14ac:dyDescent="0.25">
      <c r="A507" s="1" t="s">
        <v>1190</v>
      </c>
      <c r="B507" s="2">
        <v>45210</v>
      </c>
      <c r="C507" s="1" t="str">
        <f>_xlfn.XLOOKUP(Logs[[#This Row],[Province_RDC]],Clients_Log!D:D,Clients_Log!B:B,"Pas de correspondance")</f>
        <v>Pas de correspondance</v>
      </c>
      <c r="D507" t="str">
        <f>_xlfn.XLOOKUP(Logs[[#This Row],[Cell_ID]],'Registre_Maintenance'!B:B,'Registre_Maintenance'!C:C,"Pas de correspondance")</f>
        <v>Pas de correspondance</v>
      </c>
      <c r="E507" s="3">
        <v>0.89583333333333337</v>
      </c>
      <c r="F507" s="1" t="s">
        <v>1004</v>
      </c>
      <c r="G507" s="3">
        <f>Logs[[#This Row],[Duree_Panne_Min]]/1440</f>
        <v>7.6388888888888895E-2</v>
      </c>
      <c r="H507">
        <v>110</v>
      </c>
      <c r="I507" t="str">
        <f>_xlfn.XLOOKUP(Logs[[#This Row],[Cell_ID]],'Registre_Maintenance'!B:B,'Registre_Maintenance'!D:D,"Pas de correspondance")</f>
        <v>Pas de correspondance</v>
      </c>
      <c r="J507" t="str">
        <f>_xlfn.XLOOKUP(Logs[[#This Row],[Cell_ID]],'Registre_Maintenance'!B:B,'Registre_Maintenance'!E:E,"Pas de correspondance")</f>
        <v>Pas de correspondance</v>
      </c>
      <c r="K507" t="str">
        <f>_xlfn.XLOOKUP(Logs[[#This Row],[Cell_ID]],'Registre_Maintenance'!B:B,'Registre_Maintenance'!F:F,"Pas de correspondance")</f>
        <v>Pas de correspondance</v>
      </c>
      <c r="L507" t="str">
        <f>_xlfn.XLOOKUP(Logs[[#This Row],[Cell_ID]],'Registre_Maintenance'!B:B,'Registre_Maintenance'!G:G,"Pas de correspondance")</f>
        <v>Pas de correspondance</v>
      </c>
      <c r="M507" s="1" t="s">
        <v>811</v>
      </c>
      <c r="N507" s="1" t="str">
        <f>_xlfn.XLOOKUP(Logs[[#This Row],[ID_Client]],Clients_Log!B:B,Clients_Log!E:E,"Pas de correspondance")</f>
        <v>Pas de correspondance</v>
      </c>
      <c r="O507" s="4" t="str">
        <f>IFERROR(Logs[[#This Row],[Anciennete_Mois]]/12,"")</f>
        <v/>
      </c>
      <c r="P507" s="1" t="str">
        <f>_xlfn.XLOOKUP(Logs[[#This Row],[ID_Client]],Clients_Log!B:B,Clients_Log!F:F,"Pas de correspondance")</f>
        <v>Pas de correspondance</v>
      </c>
      <c r="Q507" s="1" t="str">
        <f>IF(Logs[[#This Row],[Type_Forfait]]="Pro Monde","B2B","B2C")</f>
        <v>B2C</v>
      </c>
      <c r="R507" s="1" t="str">
        <f>_xlfn.XLOOKUP(Logs[[#This Row],[ID_Client]],Clients_Log!B:B,Clients_Log!G:G,"Pas de correspondance")</f>
        <v>Pas de correspondance</v>
      </c>
      <c r="S507" s="1" t="e">
        <f>Logs[[#This Row],[Duree_Cumulee_Panne_Min]]/1440</f>
        <v>#VALUE!</v>
      </c>
      <c r="T507" s="1" t="str">
        <f>_xlfn.XLOOKUP(Logs[[#This Row],[ID_Client]],Clients_Log!B:B,Clients_Log!H:H,"Pas de correspondance")</f>
        <v>Pas de correspondance</v>
      </c>
      <c r="U507" s="1" t="str">
        <f>_xlfn.XLOOKUP(Logs[[#This Row],[ID_Client]],Clients_Log!B:B,Clients_Log!I:I,"Pas de correspondance")</f>
        <v>Pas de correspondance</v>
      </c>
      <c r="V50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07" s="1" t="e">
        <f>Logs[[#This Row],[Facture_Mensuelle]]*Logs[[#This Row],[Remise (%)]]</f>
        <v>#VALUE!</v>
      </c>
    </row>
    <row r="508" spans="1:23" hidden="1" x14ac:dyDescent="0.25">
      <c r="A508" s="1" t="s">
        <v>1190</v>
      </c>
      <c r="B508" s="2">
        <v>45216</v>
      </c>
      <c r="C508" s="1" t="str">
        <f>_xlfn.XLOOKUP(Logs[[#This Row],[Province_RDC]],Clients_Log!D:D,Clients_Log!B:B,"Pas de correspondance")</f>
        <v>Pas de correspondance</v>
      </c>
      <c r="D508" t="str">
        <f>_xlfn.XLOOKUP(Logs[[#This Row],[Cell_ID]],'Registre_Maintenance'!B:B,'Registre_Maintenance'!C:C,"Pas de correspondance")</f>
        <v>Pas de correspondance</v>
      </c>
      <c r="E508" s="3">
        <v>0.51388888888888884</v>
      </c>
      <c r="F508" s="1" t="s">
        <v>1206</v>
      </c>
      <c r="G508" s="3">
        <f>Logs[[#This Row],[Duree_Panne_Min]]/1440</f>
        <v>5.0694444444444445E-2</v>
      </c>
      <c r="H508">
        <v>73</v>
      </c>
      <c r="I508" t="str">
        <f>_xlfn.XLOOKUP(Logs[[#This Row],[Cell_ID]],'Registre_Maintenance'!B:B,'Registre_Maintenance'!D:D,"Pas de correspondance")</f>
        <v>Pas de correspondance</v>
      </c>
      <c r="J508" t="str">
        <f>_xlfn.XLOOKUP(Logs[[#This Row],[Cell_ID]],'Registre_Maintenance'!B:B,'Registre_Maintenance'!E:E,"Pas de correspondance")</f>
        <v>Pas de correspondance</v>
      </c>
      <c r="K508" t="str">
        <f>_xlfn.XLOOKUP(Logs[[#This Row],[Cell_ID]],'Registre_Maintenance'!B:B,'Registre_Maintenance'!F:F,"Pas de correspondance")</f>
        <v>Pas de correspondance</v>
      </c>
      <c r="L508" t="str">
        <f>_xlfn.XLOOKUP(Logs[[#This Row],[Cell_ID]],'Registre_Maintenance'!B:B,'Registre_Maintenance'!G:G,"Pas de correspondance")</f>
        <v>Pas de correspondance</v>
      </c>
      <c r="M508" s="1" t="s">
        <v>809</v>
      </c>
      <c r="N508" s="1" t="str">
        <f>_xlfn.XLOOKUP(Logs[[#This Row],[ID_Client]],Clients_Log!B:B,Clients_Log!E:E,"Pas de correspondance")</f>
        <v>Pas de correspondance</v>
      </c>
      <c r="O508" s="4" t="str">
        <f>IFERROR(Logs[[#This Row],[Anciennete_Mois]]/12,"")</f>
        <v/>
      </c>
      <c r="P508" s="1" t="str">
        <f>_xlfn.XLOOKUP(Logs[[#This Row],[ID_Client]],Clients_Log!B:B,Clients_Log!F:F,"Pas de correspondance")</f>
        <v>Pas de correspondance</v>
      </c>
      <c r="Q508" s="1" t="str">
        <f>IF(Logs[[#This Row],[Type_Forfait]]="Pro Monde","B2B","B2C")</f>
        <v>B2C</v>
      </c>
      <c r="R508" s="1" t="str">
        <f>_xlfn.XLOOKUP(Logs[[#This Row],[ID_Client]],Clients_Log!B:B,Clients_Log!G:G,"Pas de correspondance")</f>
        <v>Pas de correspondance</v>
      </c>
      <c r="S508" s="1" t="e">
        <f>Logs[[#This Row],[Duree_Cumulee_Panne_Min]]/1440</f>
        <v>#VALUE!</v>
      </c>
      <c r="T508" s="1" t="str">
        <f>_xlfn.XLOOKUP(Logs[[#This Row],[ID_Client]],Clients_Log!B:B,Clients_Log!H:H,"Pas de correspondance")</f>
        <v>Pas de correspondance</v>
      </c>
      <c r="U508" s="1" t="str">
        <f>_xlfn.XLOOKUP(Logs[[#This Row],[ID_Client]],Clients_Log!B:B,Clients_Log!I:I,"Pas de correspondance")</f>
        <v>Pas de correspondance</v>
      </c>
      <c r="V50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08" s="1" t="e">
        <f>Logs[[#This Row],[Facture_Mensuelle]]*Logs[[#This Row],[Remise (%)]]</f>
        <v>#VALUE!</v>
      </c>
    </row>
    <row r="509" spans="1:23" x14ac:dyDescent="0.25">
      <c r="A509" s="1" t="s">
        <v>1190</v>
      </c>
      <c r="B509" s="2">
        <v>45230</v>
      </c>
      <c r="C509" s="1" t="str">
        <f>_xlfn.XLOOKUP(Logs[[#This Row],[Province_RDC]],Clients_Log!D:D,Clients_Log!B:B,"Pas de correspondance")</f>
        <v>CLI-00131</v>
      </c>
      <c r="D509" t="str">
        <f>_xlfn.XLOOKUP(Logs[[#This Row],[Cell_ID]],'Registre_Maintenance'!B:B,'Registre_Maintenance'!C:C,"Pas de correspondance")</f>
        <v>Lomami</v>
      </c>
      <c r="E509" s="3">
        <v>0.22847222222222222</v>
      </c>
      <c r="F509" s="1" t="s">
        <v>934</v>
      </c>
      <c r="G509" s="3">
        <f>Logs[[#This Row],[Duree_Panne_Min]]/1440</f>
        <v>2.7083333333333334E-2</v>
      </c>
      <c r="H509">
        <v>39</v>
      </c>
      <c r="I509">
        <f>_xlfn.XLOOKUP(Logs[[#This Row],[Cell_ID]],'Registre_Maintenance'!B:B,'Registre_Maintenance'!D:D,"Pas de correspondance")</f>
        <v>-5.7035130000000001</v>
      </c>
      <c r="J509">
        <f>_xlfn.XLOOKUP(Logs[[#This Row],[Cell_ID]],'Registre_Maintenance'!B:B,'Registre_Maintenance'!E:E,"Pas de correspondance")</f>
        <v>14.331479</v>
      </c>
      <c r="K509" t="str">
        <f>_xlfn.XLOOKUP(Logs[[#This Row],[Cell_ID]],'Registre_Maintenance'!B:B,'Registre_Maintenance'!F:F,"Pas de correspondance")</f>
        <v>5G</v>
      </c>
      <c r="L509" t="str">
        <f>_xlfn.XLOOKUP(Logs[[#This Row],[Cell_ID]],'Registre_Maintenance'!B:B,'Registre_Maintenance'!G:G,"Pas de correspondance")</f>
        <v>Nokia</v>
      </c>
      <c r="M509" s="1" t="s">
        <v>811</v>
      </c>
      <c r="N509" s="1">
        <f>_xlfn.XLOOKUP(Logs[[#This Row],[ID_Client]],Clients_Log!B:B,Clients_Log!E:E,"Pas de correspondance")</f>
        <v>101</v>
      </c>
      <c r="O509" s="4">
        <f>IFERROR(Logs[[#This Row],[Anciennete_Mois]]/12,"")</f>
        <v>8.4166666666666661</v>
      </c>
      <c r="P509" s="1" t="str">
        <f>_xlfn.XLOOKUP(Logs[[#This Row],[ID_Client]],Clients_Log!B:B,Clients_Log!F:F,"Pas de correspondance")</f>
        <v>Pro Monde</v>
      </c>
      <c r="Q509" s="1" t="str">
        <f>IF(Logs[[#This Row],[Type_Forfait]]="Pro Monde","B2B","B2C")</f>
        <v>B2B</v>
      </c>
      <c r="R509" s="1">
        <f>_xlfn.XLOOKUP(Logs[[#This Row],[ID_Client]],Clients_Log!B:B,Clients_Log!G:G,"Pas de correspondance")</f>
        <v>176</v>
      </c>
      <c r="S509" s="3">
        <f>Logs[[#This Row],[Duree_Cumulee_Panne_Min]]/1440</f>
        <v>0.12222222222222222</v>
      </c>
      <c r="T509" s="1">
        <f>_xlfn.XLOOKUP(Logs[[#This Row],[ID_Client]],Clients_Log!B:B,Clients_Log!H:H,"Pas de correspondance")</f>
        <v>86</v>
      </c>
      <c r="U509" s="1">
        <f>_xlfn.XLOOKUP(Logs[[#This Row],[ID_Client]],Clients_Log!B:B,Clients_Log!I:I,"Pas de correspondance")</f>
        <v>3</v>
      </c>
      <c r="V50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509" s="1">
        <f>Logs[[#This Row],[Facture_Mensuelle]]*Logs[[#This Row],[Remise (%)]]</f>
        <v>8.6</v>
      </c>
    </row>
    <row r="510" spans="1:23" x14ac:dyDescent="0.25">
      <c r="A510" s="1" t="s">
        <v>1190</v>
      </c>
      <c r="B510" s="2">
        <v>45229</v>
      </c>
      <c r="C510" s="1" t="str">
        <f>_xlfn.XLOOKUP(Logs[[#This Row],[Province_RDC]],Clients_Log!D:D,Clients_Log!B:B,"Pas de correspondance")</f>
        <v>CLI-01170</v>
      </c>
      <c r="D510" t="str">
        <f>_xlfn.XLOOKUP(Logs[[#This Row],[Cell_ID]],'Registre_Maintenance'!B:B,'Registre_Maintenance'!C:C,"Pas de correspondance")</f>
        <v>Nord-Ubangi</v>
      </c>
      <c r="E510" s="3">
        <v>0.72291666666666665</v>
      </c>
      <c r="F510" s="1" t="s">
        <v>953</v>
      </c>
      <c r="G510" s="3">
        <f>Logs[[#This Row],[Duree_Panne_Min]]/1440</f>
        <v>5.2777777777777778E-2</v>
      </c>
      <c r="H510">
        <v>76</v>
      </c>
      <c r="I510">
        <f>_xlfn.XLOOKUP(Logs[[#This Row],[Cell_ID]],'Registre_Maintenance'!B:B,'Registre_Maintenance'!D:D,"Pas de correspondance")</f>
        <v>-1.342476</v>
      </c>
      <c r="J510">
        <f>_xlfn.XLOOKUP(Logs[[#This Row],[Cell_ID]],'Registre_Maintenance'!B:B,'Registre_Maintenance'!E:E,"Pas de correspondance")</f>
        <v>15.986086</v>
      </c>
      <c r="K510" t="str">
        <f>_xlfn.XLOOKUP(Logs[[#This Row],[Cell_ID]],'Registre_Maintenance'!B:B,'Registre_Maintenance'!F:F,"Pas de correspondance")</f>
        <v>4G</v>
      </c>
      <c r="L510" t="str">
        <f>_xlfn.XLOOKUP(Logs[[#This Row],[Cell_ID]],'Registre_Maintenance'!B:B,'Registre_Maintenance'!G:G,"Pas de correspondance")</f>
        <v>Ericsson</v>
      </c>
      <c r="M510" s="1" t="s">
        <v>809</v>
      </c>
      <c r="N510" s="1">
        <f>_xlfn.XLOOKUP(Logs[[#This Row],[ID_Client]],Clients_Log!B:B,Clients_Log!E:E,"Pas de correspondance")</f>
        <v>98</v>
      </c>
      <c r="O510" s="4">
        <f>IFERROR(Logs[[#This Row],[Anciennete_Mois]]/12,"")</f>
        <v>8.1666666666666661</v>
      </c>
      <c r="P510" s="1" t="str">
        <f>_xlfn.XLOOKUP(Logs[[#This Row],[ID_Client]],Clients_Log!B:B,Clients_Log!F:F,"Pas de correspondance")</f>
        <v>Pro Monde</v>
      </c>
      <c r="Q510" s="1" t="str">
        <f>IF(Logs[[#This Row],[Type_Forfait]]="Pro Monde","B2B","B2C")</f>
        <v>B2B</v>
      </c>
      <c r="R510" s="1">
        <f>_xlfn.XLOOKUP(Logs[[#This Row],[ID_Client]],Clients_Log!B:B,Clients_Log!G:G,"Pas de correspondance")</f>
        <v>482</v>
      </c>
      <c r="S510" s="3">
        <f>Logs[[#This Row],[Duree_Cumulee_Panne_Min]]/1440</f>
        <v>0.3347222222222222</v>
      </c>
      <c r="T510" s="1">
        <f>_xlfn.XLOOKUP(Logs[[#This Row],[ID_Client]],Clients_Log!B:B,Clients_Log!H:H,"Pas de correspondance")</f>
        <v>55.04</v>
      </c>
      <c r="U510" s="1">
        <f>_xlfn.XLOOKUP(Logs[[#This Row],[ID_Client]],Clients_Log!B:B,Clients_Log!I:I,"Pas de correspondance")</f>
        <v>5</v>
      </c>
      <c r="V51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10" s="1">
        <f>Logs[[#This Row],[Facture_Mensuelle]]*Logs[[#This Row],[Remise (%)]]</f>
        <v>24.768000000000001</v>
      </c>
    </row>
    <row r="511" spans="1:23" hidden="1" x14ac:dyDescent="0.25">
      <c r="A511" s="1" t="s">
        <v>1190</v>
      </c>
      <c r="B511" s="2">
        <v>45217</v>
      </c>
      <c r="C511" s="1" t="str">
        <f>_xlfn.XLOOKUP(Logs[[#This Row],[Province_RDC]],Clients_Log!D:D,Clients_Log!B:B,"Pas de correspondance")</f>
        <v>Pas de correspondance</v>
      </c>
      <c r="D511" t="str">
        <f>_xlfn.XLOOKUP(Logs[[#This Row],[Cell_ID]],'Registre_Maintenance'!B:B,'Registre_Maintenance'!C:C,"Pas de correspondance")</f>
        <v>Pas de correspondance</v>
      </c>
      <c r="E511" s="3">
        <v>0.48819444444444443</v>
      </c>
      <c r="F511" s="1" t="s">
        <v>1207</v>
      </c>
      <c r="G511" s="3">
        <f>Logs[[#This Row],[Duree_Panne_Min]]/1440</f>
        <v>6.5277777777777782E-2</v>
      </c>
      <c r="H511">
        <v>94</v>
      </c>
      <c r="I511" t="str">
        <f>_xlfn.XLOOKUP(Logs[[#This Row],[Cell_ID]],'Registre_Maintenance'!B:B,'Registre_Maintenance'!D:D,"Pas de correspondance")</f>
        <v>Pas de correspondance</v>
      </c>
      <c r="J511" t="str">
        <f>_xlfn.XLOOKUP(Logs[[#This Row],[Cell_ID]],'Registre_Maintenance'!B:B,'Registre_Maintenance'!E:E,"Pas de correspondance")</f>
        <v>Pas de correspondance</v>
      </c>
      <c r="K511" t="str">
        <f>_xlfn.XLOOKUP(Logs[[#This Row],[Cell_ID]],'Registre_Maintenance'!B:B,'Registre_Maintenance'!F:F,"Pas de correspondance")</f>
        <v>Pas de correspondance</v>
      </c>
      <c r="L511" t="str">
        <f>_xlfn.XLOOKUP(Logs[[#This Row],[Cell_ID]],'Registre_Maintenance'!B:B,'Registre_Maintenance'!G:G,"Pas de correspondance")</f>
        <v>Pas de correspondance</v>
      </c>
      <c r="M511" s="1" t="s">
        <v>806</v>
      </c>
      <c r="N511" s="1" t="str">
        <f>_xlfn.XLOOKUP(Logs[[#This Row],[ID_Client]],Clients_Log!B:B,Clients_Log!E:E,"Pas de correspondance")</f>
        <v>Pas de correspondance</v>
      </c>
      <c r="O511" s="4" t="str">
        <f>IFERROR(Logs[[#This Row],[Anciennete_Mois]]/12,"")</f>
        <v/>
      </c>
      <c r="P511" s="1" t="str">
        <f>_xlfn.XLOOKUP(Logs[[#This Row],[ID_Client]],Clients_Log!B:B,Clients_Log!F:F,"Pas de correspondance")</f>
        <v>Pas de correspondance</v>
      </c>
      <c r="Q511" s="1" t="str">
        <f>IF(Logs[[#This Row],[Type_Forfait]]="Pro Monde","B2B","B2C")</f>
        <v>B2C</v>
      </c>
      <c r="R511" s="1" t="str">
        <f>_xlfn.XLOOKUP(Logs[[#This Row],[ID_Client]],Clients_Log!B:B,Clients_Log!G:G,"Pas de correspondance")</f>
        <v>Pas de correspondance</v>
      </c>
      <c r="S511" s="1" t="e">
        <f>Logs[[#This Row],[Duree_Cumulee_Panne_Min]]/1440</f>
        <v>#VALUE!</v>
      </c>
      <c r="T511" s="1" t="str">
        <f>_xlfn.XLOOKUP(Logs[[#This Row],[ID_Client]],Clients_Log!B:B,Clients_Log!H:H,"Pas de correspondance")</f>
        <v>Pas de correspondance</v>
      </c>
      <c r="U511" s="1" t="str">
        <f>_xlfn.XLOOKUP(Logs[[#This Row],[ID_Client]],Clients_Log!B:B,Clients_Log!I:I,"Pas de correspondance")</f>
        <v>Pas de correspondance</v>
      </c>
      <c r="V51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11" s="1" t="e">
        <f>Logs[[#This Row],[Facture_Mensuelle]]*Logs[[#This Row],[Remise (%)]]</f>
        <v>#VALUE!</v>
      </c>
    </row>
    <row r="512" spans="1:23" hidden="1" x14ac:dyDescent="0.25">
      <c r="A512" s="1" t="s">
        <v>1190</v>
      </c>
      <c r="B512" s="2">
        <v>45224</v>
      </c>
      <c r="C512" s="1" t="str">
        <f>_xlfn.XLOOKUP(Logs[[#This Row],[Province_RDC]],Clients_Log!D:D,Clients_Log!B:B,"Pas de correspondance")</f>
        <v>Pas de correspondance</v>
      </c>
      <c r="D512" t="str">
        <f>_xlfn.XLOOKUP(Logs[[#This Row],[Cell_ID]],'Registre_Maintenance'!B:B,'Registre_Maintenance'!C:C,"Pas de correspondance")</f>
        <v>Pas de correspondance</v>
      </c>
      <c r="E512" s="3">
        <v>0.98819444444444449</v>
      </c>
      <c r="F512" s="1" t="s">
        <v>860</v>
      </c>
      <c r="G512" s="3">
        <f>Logs[[#This Row],[Duree_Panne_Min]]/1440</f>
        <v>2.7083333333333334E-2</v>
      </c>
      <c r="H512">
        <v>39</v>
      </c>
      <c r="I512" t="str">
        <f>_xlfn.XLOOKUP(Logs[[#This Row],[Cell_ID]],'Registre_Maintenance'!B:B,'Registre_Maintenance'!D:D,"Pas de correspondance")</f>
        <v>Pas de correspondance</v>
      </c>
      <c r="J512" t="str">
        <f>_xlfn.XLOOKUP(Logs[[#This Row],[Cell_ID]],'Registre_Maintenance'!B:B,'Registre_Maintenance'!E:E,"Pas de correspondance")</f>
        <v>Pas de correspondance</v>
      </c>
      <c r="K512" t="str">
        <f>_xlfn.XLOOKUP(Logs[[#This Row],[Cell_ID]],'Registre_Maintenance'!B:B,'Registre_Maintenance'!F:F,"Pas de correspondance")</f>
        <v>Pas de correspondance</v>
      </c>
      <c r="L512" t="str">
        <f>_xlfn.XLOOKUP(Logs[[#This Row],[Cell_ID]],'Registre_Maintenance'!B:B,'Registre_Maintenance'!G:G,"Pas de correspondance")</f>
        <v>Pas de correspondance</v>
      </c>
      <c r="M512" s="1" t="s">
        <v>806</v>
      </c>
      <c r="N512" s="1" t="str">
        <f>_xlfn.XLOOKUP(Logs[[#This Row],[ID_Client]],Clients_Log!B:B,Clients_Log!E:E,"Pas de correspondance")</f>
        <v>Pas de correspondance</v>
      </c>
      <c r="O512" s="4" t="str">
        <f>IFERROR(Logs[[#This Row],[Anciennete_Mois]]/12,"")</f>
        <v/>
      </c>
      <c r="P512" s="1" t="str">
        <f>_xlfn.XLOOKUP(Logs[[#This Row],[ID_Client]],Clients_Log!B:B,Clients_Log!F:F,"Pas de correspondance")</f>
        <v>Pas de correspondance</v>
      </c>
      <c r="Q512" s="1" t="str">
        <f>IF(Logs[[#This Row],[Type_Forfait]]="Pro Monde","B2B","B2C")</f>
        <v>B2C</v>
      </c>
      <c r="R512" s="1" t="str">
        <f>_xlfn.XLOOKUP(Logs[[#This Row],[ID_Client]],Clients_Log!B:B,Clients_Log!G:G,"Pas de correspondance")</f>
        <v>Pas de correspondance</v>
      </c>
      <c r="S512" s="1" t="e">
        <f>Logs[[#This Row],[Duree_Cumulee_Panne_Min]]/1440</f>
        <v>#VALUE!</v>
      </c>
      <c r="T512" s="1" t="str">
        <f>_xlfn.XLOOKUP(Logs[[#This Row],[ID_Client]],Clients_Log!B:B,Clients_Log!H:H,"Pas de correspondance")</f>
        <v>Pas de correspondance</v>
      </c>
      <c r="U512" s="1" t="str">
        <f>_xlfn.XLOOKUP(Logs[[#This Row],[ID_Client]],Clients_Log!B:B,Clients_Log!I:I,"Pas de correspondance")</f>
        <v>Pas de correspondance</v>
      </c>
      <c r="V51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12" s="1" t="e">
        <f>Logs[[#This Row],[Facture_Mensuelle]]*Logs[[#This Row],[Remise (%)]]</f>
        <v>#VALUE!</v>
      </c>
    </row>
    <row r="513" spans="1:23" x14ac:dyDescent="0.25">
      <c r="A513" s="1" t="s">
        <v>1190</v>
      </c>
      <c r="B513" s="2">
        <v>45220</v>
      </c>
      <c r="C513" s="1" t="str">
        <f>_xlfn.XLOOKUP(Logs[[#This Row],[Province_RDC]],Clients_Log!D:D,Clients_Log!B:B,"Pas de correspondance")</f>
        <v>CLI-00559</v>
      </c>
      <c r="D513" t="str">
        <f>_xlfn.XLOOKUP(Logs[[#This Row],[Cell_ID]],'Registre_Maintenance'!B:B,'Registre_Maintenance'!C:C,"Pas de correspondance")</f>
        <v>Kasaï</v>
      </c>
      <c r="E513" s="3">
        <v>0.92777777777777781</v>
      </c>
      <c r="F513" s="1" t="s">
        <v>1109</v>
      </c>
      <c r="G513" s="3">
        <f>Logs[[#This Row],[Duree_Panne_Min]]/1440</f>
        <v>1.5277777777777777E-2</v>
      </c>
      <c r="H513">
        <v>22</v>
      </c>
      <c r="I513">
        <f>_xlfn.XLOOKUP(Logs[[#This Row],[Cell_ID]],'Registre_Maintenance'!B:B,'Registre_Maintenance'!D:D,"Pas de correspondance")</f>
        <v>1.5802860000000001</v>
      </c>
      <c r="J513">
        <f>_xlfn.XLOOKUP(Logs[[#This Row],[Cell_ID]],'Registre_Maintenance'!B:B,'Registre_Maintenance'!E:E,"Pas de correspondance")</f>
        <v>20.99053</v>
      </c>
      <c r="K513" t="str">
        <f>_xlfn.XLOOKUP(Logs[[#This Row],[Cell_ID]],'Registre_Maintenance'!B:B,'Registre_Maintenance'!F:F,"Pas de correspondance")</f>
        <v>4G</v>
      </c>
      <c r="L513" t="str">
        <f>_xlfn.XLOOKUP(Logs[[#This Row],[Cell_ID]],'Registre_Maintenance'!B:B,'Registre_Maintenance'!G:G,"Pas de correspondance")</f>
        <v>ZTE</v>
      </c>
      <c r="M513" s="1" t="s">
        <v>809</v>
      </c>
      <c r="N513" s="1">
        <f>_xlfn.XLOOKUP(Logs[[#This Row],[ID_Client]],Clients_Log!B:B,Clients_Log!E:E,"Pas de correspondance")</f>
        <v>99</v>
      </c>
      <c r="O513" s="4">
        <f>IFERROR(Logs[[#This Row],[Anciennete_Mois]]/12,"")</f>
        <v>8.25</v>
      </c>
      <c r="P513" s="1" t="str">
        <f>_xlfn.XLOOKUP(Logs[[#This Row],[ID_Client]],Clients_Log!B:B,Clients_Log!F:F,"Pas de correspondance")</f>
        <v>Bloqué 5Go</v>
      </c>
      <c r="Q513" s="1" t="str">
        <f>IF(Logs[[#This Row],[Type_Forfait]]="Pro Monde","B2B","B2C")</f>
        <v>B2C</v>
      </c>
      <c r="R513" s="1">
        <f>_xlfn.XLOOKUP(Logs[[#This Row],[ID_Client]],Clients_Log!B:B,Clients_Log!G:G,"Pas de correspondance")</f>
        <v>369</v>
      </c>
      <c r="S513" s="3">
        <f>Logs[[#This Row],[Duree_Cumulee_Panne_Min]]/1440</f>
        <v>0.25624999999999998</v>
      </c>
      <c r="T513" s="1">
        <f>_xlfn.XLOOKUP(Logs[[#This Row],[ID_Client]],Clients_Log!B:B,Clients_Log!H:H,"Pas de correspondance")</f>
        <v>67.209999999999994</v>
      </c>
      <c r="U513" s="1">
        <f>_xlfn.XLOOKUP(Logs[[#This Row],[ID_Client]],Clients_Log!B:B,Clients_Log!I:I,"Pas de correspondance")</f>
        <v>3</v>
      </c>
      <c r="V51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13" s="1">
        <f>Logs[[#This Row],[Facture_Mensuelle]]*Logs[[#This Row],[Remise (%)]]</f>
        <v>30.244499999999999</v>
      </c>
    </row>
    <row r="514" spans="1:23" hidden="1" x14ac:dyDescent="0.25">
      <c r="A514" s="1" t="s">
        <v>1190</v>
      </c>
      <c r="B514" s="2">
        <v>45219</v>
      </c>
      <c r="C514" s="1" t="str">
        <f>_xlfn.XLOOKUP(Logs[[#This Row],[Province_RDC]],Clients_Log!D:D,Clients_Log!B:B,"Pas de correspondance")</f>
        <v>Pas de correspondance</v>
      </c>
      <c r="D514" t="str">
        <f>_xlfn.XLOOKUP(Logs[[#This Row],[Cell_ID]],'Registre_Maintenance'!B:B,'Registre_Maintenance'!C:C,"Pas de correspondance")</f>
        <v>Pas de correspondance</v>
      </c>
      <c r="E514" s="3">
        <v>0.6333333333333333</v>
      </c>
      <c r="F514" s="1" t="s">
        <v>1208</v>
      </c>
      <c r="G514" s="3">
        <f>Logs[[#This Row],[Duree_Panne_Min]]/1440</f>
        <v>1.2500000000000001E-2</v>
      </c>
      <c r="H514">
        <v>18</v>
      </c>
      <c r="I514" t="str">
        <f>_xlfn.XLOOKUP(Logs[[#This Row],[Cell_ID]],'Registre_Maintenance'!B:B,'Registre_Maintenance'!D:D,"Pas de correspondance")</f>
        <v>Pas de correspondance</v>
      </c>
      <c r="J514" t="str">
        <f>_xlfn.XLOOKUP(Logs[[#This Row],[Cell_ID]],'Registre_Maintenance'!B:B,'Registre_Maintenance'!E:E,"Pas de correspondance")</f>
        <v>Pas de correspondance</v>
      </c>
      <c r="K514" t="str">
        <f>_xlfn.XLOOKUP(Logs[[#This Row],[Cell_ID]],'Registre_Maintenance'!B:B,'Registre_Maintenance'!F:F,"Pas de correspondance")</f>
        <v>Pas de correspondance</v>
      </c>
      <c r="L514" t="str">
        <f>_xlfn.XLOOKUP(Logs[[#This Row],[Cell_ID]],'Registre_Maintenance'!B:B,'Registre_Maintenance'!G:G,"Pas de correspondance")</f>
        <v>Pas de correspondance</v>
      </c>
      <c r="M514" s="1" t="s">
        <v>811</v>
      </c>
      <c r="N514" s="1" t="str">
        <f>_xlfn.XLOOKUP(Logs[[#This Row],[ID_Client]],Clients_Log!B:B,Clients_Log!E:E,"Pas de correspondance")</f>
        <v>Pas de correspondance</v>
      </c>
      <c r="O514" s="4" t="str">
        <f>IFERROR(Logs[[#This Row],[Anciennete_Mois]]/12,"")</f>
        <v/>
      </c>
      <c r="P514" s="1" t="str">
        <f>_xlfn.XLOOKUP(Logs[[#This Row],[ID_Client]],Clients_Log!B:B,Clients_Log!F:F,"Pas de correspondance")</f>
        <v>Pas de correspondance</v>
      </c>
      <c r="Q514" s="1" t="str">
        <f>IF(Logs[[#This Row],[Type_Forfait]]="Pro Monde","B2B","B2C")</f>
        <v>B2C</v>
      </c>
      <c r="R514" s="1" t="str">
        <f>_xlfn.XLOOKUP(Logs[[#This Row],[ID_Client]],Clients_Log!B:B,Clients_Log!G:G,"Pas de correspondance")</f>
        <v>Pas de correspondance</v>
      </c>
      <c r="S514" s="1" t="e">
        <f>Logs[[#This Row],[Duree_Cumulee_Panne_Min]]/1440</f>
        <v>#VALUE!</v>
      </c>
      <c r="T514" s="1" t="str">
        <f>_xlfn.XLOOKUP(Logs[[#This Row],[ID_Client]],Clients_Log!B:B,Clients_Log!H:H,"Pas de correspondance")</f>
        <v>Pas de correspondance</v>
      </c>
      <c r="U514" s="1" t="str">
        <f>_xlfn.XLOOKUP(Logs[[#This Row],[ID_Client]],Clients_Log!B:B,Clients_Log!I:I,"Pas de correspondance")</f>
        <v>Pas de correspondance</v>
      </c>
      <c r="V51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14" s="1" t="e">
        <f>Logs[[#This Row],[Facture_Mensuelle]]*Logs[[#This Row],[Remise (%)]]</f>
        <v>#VALUE!</v>
      </c>
    </row>
    <row r="515" spans="1:23" x14ac:dyDescent="0.25">
      <c r="A515" s="1" t="s">
        <v>1190</v>
      </c>
      <c r="B515" s="2">
        <v>45230</v>
      </c>
      <c r="C515" s="1" t="str">
        <f>_xlfn.XLOOKUP(Logs[[#This Row],[Province_RDC]],Clients_Log!D:D,Clients_Log!B:B,"Pas de correspondance")</f>
        <v>CLI-01233</v>
      </c>
      <c r="D515" t="str">
        <f>_xlfn.XLOOKUP(Logs[[#This Row],[Cell_ID]],'Registre_Maintenance'!B:B,'Registre_Maintenance'!C:C,"Pas de correspondance")</f>
        <v>Kongo-Central</v>
      </c>
      <c r="E515" s="3">
        <v>0.3034722222222222</v>
      </c>
      <c r="F515" s="1" t="s">
        <v>1209</v>
      </c>
      <c r="G515" s="3">
        <f>Logs[[#This Row],[Duree_Panne_Min]]/1440</f>
        <v>5.7638888888888892E-2</v>
      </c>
      <c r="H515">
        <v>83</v>
      </c>
      <c r="I515">
        <f>_xlfn.XLOOKUP(Logs[[#This Row],[Cell_ID]],'Registre_Maintenance'!B:B,'Registre_Maintenance'!D:D,"Pas de correspondance")</f>
        <v>-9.8208710000000004</v>
      </c>
      <c r="J515">
        <f>_xlfn.XLOOKUP(Logs[[#This Row],[Cell_ID]],'Registre_Maintenance'!B:B,'Registre_Maintenance'!E:E,"Pas de correspondance")</f>
        <v>23.229807000000001</v>
      </c>
      <c r="K515" t="str">
        <f>_xlfn.XLOOKUP(Logs[[#This Row],[Cell_ID]],'Registre_Maintenance'!B:B,'Registre_Maintenance'!F:F,"Pas de correspondance")</f>
        <v>5G</v>
      </c>
      <c r="L515" t="str">
        <f>_xlfn.XLOOKUP(Logs[[#This Row],[Cell_ID]],'Registre_Maintenance'!B:B,'Registre_Maintenance'!G:G,"Pas de correspondance")</f>
        <v>Nokia</v>
      </c>
      <c r="M515" s="1" t="s">
        <v>811</v>
      </c>
      <c r="N515" s="1">
        <f>_xlfn.XLOOKUP(Logs[[#This Row],[ID_Client]],Clients_Log!B:B,Clients_Log!E:E,"Pas de correspondance")</f>
        <v>101</v>
      </c>
      <c r="O515" s="4">
        <f>IFERROR(Logs[[#This Row],[Anciennete_Mois]]/12,"")</f>
        <v>8.4166666666666661</v>
      </c>
      <c r="P515" s="1" t="str">
        <f>_xlfn.XLOOKUP(Logs[[#This Row],[ID_Client]],Clients_Log!B:B,Clients_Log!F:F,"Pas de correspondance")</f>
        <v>Pro Monde</v>
      </c>
      <c r="Q515" s="1" t="str">
        <f>IF(Logs[[#This Row],[Type_Forfait]]="Pro Monde","B2B","B2C")</f>
        <v>B2B</v>
      </c>
      <c r="R515" s="1">
        <f>_xlfn.XLOOKUP(Logs[[#This Row],[ID_Client]],Clients_Log!B:B,Clients_Log!G:G,"Pas de correspondance")</f>
        <v>333</v>
      </c>
      <c r="S515" s="3">
        <f>Logs[[#This Row],[Duree_Cumulee_Panne_Min]]/1440</f>
        <v>0.23125000000000001</v>
      </c>
      <c r="T515" s="1">
        <f>_xlfn.XLOOKUP(Logs[[#This Row],[ID_Client]],Clients_Log!B:B,Clients_Log!H:H,"Pas de correspondance")</f>
        <v>74.319999999999993</v>
      </c>
      <c r="U515" s="1">
        <f>_xlfn.XLOOKUP(Logs[[#This Row],[ID_Client]],Clients_Log!B:B,Clients_Log!I:I,"Pas de correspondance")</f>
        <v>1</v>
      </c>
      <c r="V51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15" s="1">
        <f>Logs[[#This Row],[Facture_Mensuelle]]*Logs[[#This Row],[Remise (%)]]</f>
        <v>33.443999999999996</v>
      </c>
    </row>
    <row r="516" spans="1:23" x14ac:dyDescent="0.25">
      <c r="A516" s="1" t="s">
        <v>1190</v>
      </c>
      <c r="B516" s="2">
        <v>45217</v>
      </c>
      <c r="C516" s="1" t="str">
        <f>_xlfn.XLOOKUP(Logs[[#This Row],[Province_RDC]],Clients_Log!D:D,Clients_Log!B:B,"Pas de correspondance")</f>
        <v>CLI-01325</v>
      </c>
      <c r="D516" t="str">
        <f>_xlfn.XLOOKUP(Logs[[#This Row],[Cell_ID]],'Registre_Maintenance'!B:B,'Registre_Maintenance'!C:C,"Pas de correspondance")</f>
        <v>Haut-Lomami</v>
      </c>
      <c r="E516" s="3">
        <v>0.38472222222222224</v>
      </c>
      <c r="F516" s="1" t="s">
        <v>1210</v>
      </c>
      <c r="G516" s="3">
        <f>Logs[[#This Row],[Duree_Panne_Min]]/1440</f>
        <v>6.8750000000000006E-2</v>
      </c>
      <c r="H516">
        <v>99</v>
      </c>
      <c r="I516">
        <f>_xlfn.XLOOKUP(Logs[[#This Row],[Cell_ID]],'Registre_Maintenance'!B:B,'Registre_Maintenance'!D:D,"Pas de correspondance")</f>
        <v>-4.8157019999999999</v>
      </c>
      <c r="J516">
        <f>_xlfn.XLOOKUP(Logs[[#This Row],[Cell_ID]],'Registre_Maintenance'!B:B,'Registre_Maintenance'!E:E,"Pas de correspondance")</f>
        <v>27.679798000000002</v>
      </c>
      <c r="K516" t="str">
        <f>_xlfn.XLOOKUP(Logs[[#This Row],[Cell_ID]],'Registre_Maintenance'!B:B,'Registre_Maintenance'!F:F,"Pas de correspondance")</f>
        <v>3G</v>
      </c>
      <c r="L516" t="str">
        <f>_xlfn.XLOOKUP(Logs[[#This Row],[Cell_ID]],'Registre_Maintenance'!B:B,'Registre_Maintenance'!G:G,"Pas de correspondance")</f>
        <v>Ericsson</v>
      </c>
      <c r="M516" s="1" t="s">
        <v>809</v>
      </c>
      <c r="N516" s="1">
        <f>_xlfn.XLOOKUP(Logs[[#This Row],[ID_Client]],Clients_Log!B:B,Clients_Log!E:E,"Pas de correspondance")</f>
        <v>44</v>
      </c>
      <c r="O516" s="4">
        <f>IFERROR(Logs[[#This Row],[Anciennete_Mois]]/12,"")</f>
        <v>3.6666666666666665</v>
      </c>
      <c r="P516" s="1" t="str">
        <f>_xlfn.XLOOKUP(Logs[[#This Row],[ID_Client]],Clients_Log!B:B,Clients_Log!F:F,"Pas de correspondance")</f>
        <v>Bloqué 5Go</v>
      </c>
      <c r="Q516" s="1" t="str">
        <f>IF(Logs[[#This Row],[Type_Forfait]]="Pro Monde","B2B","B2C")</f>
        <v>B2C</v>
      </c>
      <c r="R516" s="1">
        <f>_xlfn.XLOOKUP(Logs[[#This Row],[ID_Client]],Clients_Log!B:B,Clients_Log!G:G,"Pas de correspondance")</f>
        <v>348</v>
      </c>
      <c r="S516" s="3">
        <f>Logs[[#This Row],[Duree_Cumulee_Panne_Min]]/1440</f>
        <v>0.24166666666666667</v>
      </c>
      <c r="T516" s="1">
        <f>_xlfn.XLOOKUP(Logs[[#This Row],[ID_Client]],Clients_Log!B:B,Clients_Log!H:H,"Pas de correspondance")</f>
        <v>58.67</v>
      </c>
      <c r="U516" s="1">
        <f>_xlfn.XLOOKUP(Logs[[#This Row],[ID_Client]],Clients_Log!B:B,Clients_Log!I:I,"Pas de correspondance")</f>
        <v>0</v>
      </c>
      <c r="V51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16" s="1">
        <f>Logs[[#This Row],[Facture_Mensuelle]]*Logs[[#This Row],[Remise (%)]]</f>
        <v>26.401500000000002</v>
      </c>
    </row>
    <row r="517" spans="1:23" x14ac:dyDescent="0.25">
      <c r="A517" s="1" t="s">
        <v>1190</v>
      </c>
      <c r="B517" s="2">
        <v>45230</v>
      </c>
      <c r="C517" s="1" t="str">
        <f>_xlfn.XLOOKUP(Logs[[#This Row],[Province_RDC]],Clients_Log!D:D,Clients_Log!B:B,"Pas de correspondance")</f>
        <v>CLI-00996</v>
      </c>
      <c r="D517" t="str">
        <f>_xlfn.XLOOKUP(Logs[[#This Row],[Cell_ID]],'Registre_Maintenance'!B:B,'Registre_Maintenance'!C:C,"Pas de correspondance")</f>
        <v>Kwilu</v>
      </c>
      <c r="E517" s="3">
        <v>0.40902777777777777</v>
      </c>
      <c r="F517" s="1" t="s">
        <v>1211</v>
      </c>
      <c r="G517" s="3">
        <f>Logs[[#This Row],[Duree_Panne_Min]]/1440</f>
        <v>5.5555555555555552E-2</v>
      </c>
      <c r="H517">
        <v>80</v>
      </c>
      <c r="I517">
        <f>_xlfn.XLOOKUP(Logs[[#This Row],[Cell_ID]],'Registre_Maintenance'!B:B,'Registre_Maintenance'!D:D,"Pas de correspondance")</f>
        <v>0.62055499999999997</v>
      </c>
      <c r="J517">
        <f>_xlfn.XLOOKUP(Logs[[#This Row],[Cell_ID]],'Registre_Maintenance'!B:B,'Registre_Maintenance'!E:E,"Pas de correspondance")</f>
        <v>21.222035000000002</v>
      </c>
      <c r="K517" t="str">
        <f>_xlfn.XLOOKUP(Logs[[#This Row],[Cell_ID]],'Registre_Maintenance'!B:B,'Registre_Maintenance'!F:F,"Pas de correspondance")</f>
        <v>5G</v>
      </c>
      <c r="L517" t="str">
        <f>_xlfn.XLOOKUP(Logs[[#This Row],[Cell_ID]],'Registre_Maintenance'!B:B,'Registre_Maintenance'!G:G,"Pas de correspondance")</f>
        <v>Nokia</v>
      </c>
      <c r="M517" s="1" t="s">
        <v>809</v>
      </c>
      <c r="N517" s="1">
        <f>_xlfn.XLOOKUP(Logs[[#This Row],[ID_Client]],Clients_Log!B:B,Clients_Log!E:E,"Pas de correspondance")</f>
        <v>119</v>
      </c>
      <c r="O517" s="4">
        <f>IFERROR(Logs[[#This Row],[Anciennete_Mois]]/12,"")</f>
        <v>9.9166666666666661</v>
      </c>
      <c r="P517" s="1" t="str">
        <f>_xlfn.XLOOKUP(Logs[[#This Row],[ID_Client]],Clients_Log!B:B,Clients_Log!F:F,"Pas de correspondance")</f>
        <v>Illimité 50Go</v>
      </c>
      <c r="Q517" s="1" t="str">
        <f>IF(Logs[[#This Row],[Type_Forfait]]="Pro Monde","B2B","B2C")</f>
        <v>B2C</v>
      </c>
      <c r="R517" s="1">
        <f>_xlfn.XLOOKUP(Logs[[#This Row],[ID_Client]],Clients_Log!B:B,Clients_Log!G:G,"Pas de correspondance")</f>
        <v>228</v>
      </c>
      <c r="S517" s="3">
        <f>Logs[[#This Row],[Duree_Cumulee_Panne_Min]]/1440</f>
        <v>0.15833333333333333</v>
      </c>
      <c r="T517" s="1">
        <f>_xlfn.XLOOKUP(Logs[[#This Row],[ID_Client]],Clients_Log!B:B,Clients_Log!H:H,"Pas de correspondance")</f>
        <v>94.72</v>
      </c>
      <c r="U517" s="1">
        <f>_xlfn.XLOOKUP(Logs[[#This Row],[ID_Client]],Clients_Log!B:B,Clients_Log!I:I,"Pas de correspondance")</f>
        <v>3</v>
      </c>
      <c r="V51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17" s="1">
        <f>Logs[[#This Row],[Facture_Mensuelle]]*Logs[[#This Row],[Remise (%)]]</f>
        <v>0</v>
      </c>
    </row>
    <row r="518" spans="1:23" hidden="1" x14ac:dyDescent="0.25">
      <c r="A518" s="1" t="s">
        <v>1190</v>
      </c>
      <c r="B518" s="2">
        <v>45209</v>
      </c>
      <c r="C518" s="1" t="str">
        <f>_xlfn.XLOOKUP(Logs[[#This Row],[Province_RDC]],Clients_Log!D:D,Clients_Log!B:B,"Pas de correspondance")</f>
        <v>Pas de correspondance</v>
      </c>
      <c r="D518" t="str">
        <f>_xlfn.XLOOKUP(Logs[[#This Row],[Cell_ID]],'Registre_Maintenance'!B:B,'Registre_Maintenance'!C:C,"Pas de correspondance")</f>
        <v>Pas de correspondance</v>
      </c>
      <c r="E518" s="3">
        <v>0.92569444444444449</v>
      </c>
      <c r="F518" s="1" t="s">
        <v>1212</v>
      </c>
      <c r="G518" s="3">
        <f>Logs[[#This Row],[Duree_Panne_Min]]/1440</f>
        <v>2.4305555555555556E-2</v>
      </c>
      <c r="H518">
        <v>35</v>
      </c>
      <c r="I518" t="str">
        <f>_xlfn.XLOOKUP(Logs[[#This Row],[Cell_ID]],'Registre_Maintenance'!B:B,'Registre_Maintenance'!D:D,"Pas de correspondance")</f>
        <v>Pas de correspondance</v>
      </c>
      <c r="J518" t="str">
        <f>_xlfn.XLOOKUP(Logs[[#This Row],[Cell_ID]],'Registre_Maintenance'!B:B,'Registre_Maintenance'!E:E,"Pas de correspondance")</f>
        <v>Pas de correspondance</v>
      </c>
      <c r="K518" t="str">
        <f>_xlfn.XLOOKUP(Logs[[#This Row],[Cell_ID]],'Registre_Maintenance'!B:B,'Registre_Maintenance'!F:F,"Pas de correspondance")</f>
        <v>Pas de correspondance</v>
      </c>
      <c r="L518" t="str">
        <f>_xlfn.XLOOKUP(Logs[[#This Row],[Cell_ID]],'Registre_Maintenance'!B:B,'Registre_Maintenance'!G:G,"Pas de correspondance")</f>
        <v>Pas de correspondance</v>
      </c>
      <c r="M518" s="1" t="s">
        <v>806</v>
      </c>
      <c r="N518" s="1" t="str">
        <f>_xlfn.XLOOKUP(Logs[[#This Row],[ID_Client]],Clients_Log!B:B,Clients_Log!E:E,"Pas de correspondance")</f>
        <v>Pas de correspondance</v>
      </c>
      <c r="O518" s="4" t="str">
        <f>IFERROR(Logs[[#This Row],[Anciennete_Mois]]/12,"")</f>
        <v/>
      </c>
      <c r="P518" s="1" t="str">
        <f>_xlfn.XLOOKUP(Logs[[#This Row],[ID_Client]],Clients_Log!B:B,Clients_Log!F:F,"Pas de correspondance")</f>
        <v>Pas de correspondance</v>
      </c>
      <c r="Q518" s="1" t="str">
        <f>IF(Logs[[#This Row],[Type_Forfait]]="Pro Monde","B2B","B2C")</f>
        <v>B2C</v>
      </c>
      <c r="R518" s="1" t="str">
        <f>_xlfn.XLOOKUP(Logs[[#This Row],[ID_Client]],Clients_Log!B:B,Clients_Log!G:G,"Pas de correspondance")</f>
        <v>Pas de correspondance</v>
      </c>
      <c r="S518" s="1" t="e">
        <f>Logs[[#This Row],[Duree_Cumulee_Panne_Min]]/1440</f>
        <v>#VALUE!</v>
      </c>
      <c r="T518" s="1" t="str">
        <f>_xlfn.XLOOKUP(Logs[[#This Row],[ID_Client]],Clients_Log!B:B,Clients_Log!H:H,"Pas de correspondance")</f>
        <v>Pas de correspondance</v>
      </c>
      <c r="U518" s="1" t="str">
        <f>_xlfn.XLOOKUP(Logs[[#This Row],[ID_Client]],Clients_Log!B:B,Clients_Log!I:I,"Pas de correspondance")</f>
        <v>Pas de correspondance</v>
      </c>
      <c r="V51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18" s="1" t="e">
        <f>Logs[[#This Row],[Facture_Mensuelle]]*Logs[[#This Row],[Remise (%)]]</f>
        <v>#VALUE!</v>
      </c>
    </row>
    <row r="519" spans="1:23" hidden="1" x14ac:dyDescent="0.25">
      <c r="A519" s="1" t="s">
        <v>1190</v>
      </c>
      <c r="B519" s="2">
        <v>45222</v>
      </c>
      <c r="C519" s="1" t="str">
        <f>_xlfn.XLOOKUP(Logs[[#This Row],[Province_RDC]],Clients_Log!D:D,Clients_Log!B:B,"Pas de correspondance")</f>
        <v>Pas de correspondance</v>
      </c>
      <c r="D519" t="str">
        <f>_xlfn.XLOOKUP(Logs[[#This Row],[Cell_ID]],'Registre_Maintenance'!B:B,'Registre_Maintenance'!C:C,"Pas de correspondance")</f>
        <v>Pas de correspondance</v>
      </c>
      <c r="E519" s="3">
        <v>0.93819444444444444</v>
      </c>
      <c r="F519" s="1" t="s">
        <v>1213</v>
      </c>
      <c r="G519" s="3">
        <f>Logs[[#This Row],[Duree_Panne_Min]]/1440</f>
        <v>2.5000000000000001E-2</v>
      </c>
      <c r="H519">
        <v>36</v>
      </c>
      <c r="I519" t="str">
        <f>_xlfn.XLOOKUP(Logs[[#This Row],[Cell_ID]],'Registre_Maintenance'!B:B,'Registre_Maintenance'!D:D,"Pas de correspondance")</f>
        <v>Pas de correspondance</v>
      </c>
      <c r="J519" t="str">
        <f>_xlfn.XLOOKUP(Logs[[#This Row],[Cell_ID]],'Registre_Maintenance'!B:B,'Registre_Maintenance'!E:E,"Pas de correspondance")</f>
        <v>Pas de correspondance</v>
      </c>
      <c r="K519" t="str">
        <f>_xlfn.XLOOKUP(Logs[[#This Row],[Cell_ID]],'Registre_Maintenance'!B:B,'Registre_Maintenance'!F:F,"Pas de correspondance")</f>
        <v>Pas de correspondance</v>
      </c>
      <c r="L519" t="str">
        <f>_xlfn.XLOOKUP(Logs[[#This Row],[Cell_ID]],'Registre_Maintenance'!B:B,'Registre_Maintenance'!G:G,"Pas de correspondance")</f>
        <v>Pas de correspondance</v>
      </c>
      <c r="M519" s="1" t="s">
        <v>806</v>
      </c>
      <c r="N519" s="1" t="str">
        <f>_xlfn.XLOOKUP(Logs[[#This Row],[ID_Client]],Clients_Log!B:B,Clients_Log!E:E,"Pas de correspondance")</f>
        <v>Pas de correspondance</v>
      </c>
      <c r="O519" s="4" t="str">
        <f>IFERROR(Logs[[#This Row],[Anciennete_Mois]]/12,"")</f>
        <v/>
      </c>
      <c r="P519" s="1" t="str">
        <f>_xlfn.XLOOKUP(Logs[[#This Row],[ID_Client]],Clients_Log!B:B,Clients_Log!F:F,"Pas de correspondance")</f>
        <v>Pas de correspondance</v>
      </c>
      <c r="Q519" s="1" t="str">
        <f>IF(Logs[[#This Row],[Type_Forfait]]="Pro Monde","B2B","B2C")</f>
        <v>B2C</v>
      </c>
      <c r="R519" s="1" t="str">
        <f>_xlfn.XLOOKUP(Logs[[#This Row],[ID_Client]],Clients_Log!B:B,Clients_Log!G:G,"Pas de correspondance")</f>
        <v>Pas de correspondance</v>
      </c>
      <c r="S519" s="1" t="e">
        <f>Logs[[#This Row],[Duree_Cumulee_Panne_Min]]/1440</f>
        <v>#VALUE!</v>
      </c>
      <c r="T519" s="1" t="str">
        <f>_xlfn.XLOOKUP(Logs[[#This Row],[ID_Client]],Clients_Log!B:B,Clients_Log!H:H,"Pas de correspondance")</f>
        <v>Pas de correspondance</v>
      </c>
      <c r="U519" s="1" t="str">
        <f>_xlfn.XLOOKUP(Logs[[#This Row],[ID_Client]],Clients_Log!B:B,Clients_Log!I:I,"Pas de correspondance")</f>
        <v>Pas de correspondance</v>
      </c>
      <c r="V51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19" s="1" t="e">
        <f>Logs[[#This Row],[Facture_Mensuelle]]*Logs[[#This Row],[Remise (%)]]</f>
        <v>#VALUE!</v>
      </c>
    </row>
    <row r="520" spans="1:23" x14ac:dyDescent="0.25">
      <c r="A520" s="1" t="s">
        <v>1214</v>
      </c>
      <c r="B520" s="2">
        <v>45202</v>
      </c>
      <c r="C520" s="1" t="str">
        <f>_xlfn.XLOOKUP(Logs[[#This Row],[Province_RDC]],Clients_Log!D:D,Clients_Log!B:B,"Pas de correspondance")</f>
        <v>CLI-00439</v>
      </c>
      <c r="D520" t="str">
        <f>_xlfn.XLOOKUP(Logs[[#This Row],[Cell_ID]],'Registre_Maintenance'!B:B,'Registre_Maintenance'!C:C,"Pas de correspondance")</f>
        <v>Haut-Uele</v>
      </c>
      <c r="E520" s="3">
        <v>0.52916666666666667</v>
      </c>
      <c r="F520" s="1" t="s">
        <v>1215</v>
      </c>
      <c r="G520" s="3">
        <f>Logs[[#This Row],[Duree_Panne_Min]]/1440</f>
        <v>7.5694444444444439E-2</v>
      </c>
      <c r="H520">
        <v>109</v>
      </c>
      <c r="I520">
        <f>_xlfn.XLOOKUP(Logs[[#This Row],[Cell_ID]],'Registre_Maintenance'!B:B,'Registre_Maintenance'!D:D,"Pas de correspondance")</f>
        <v>-7.1483749999999997</v>
      </c>
      <c r="J520">
        <f>_xlfn.XLOOKUP(Logs[[#This Row],[Cell_ID]],'Registre_Maintenance'!B:B,'Registre_Maintenance'!E:E,"Pas de correspondance")</f>
        <v>26.014271000000001</v>
      </c>
      <c r="K520" t="str">
        <f>_xlfn.XLOOKUP(Logs[[#This Row],[Cell_ID]],'Registre_Maintenance'!B:B,'Registre_Maintenance'!F:F,"Pas de correspondance")</f>
        <v>5G</v>
      </c>
      <c r="L520" t="str">
        <f>_xlfn.XLOOKUP(Logs[[#This Row],[Cell_ID]],'Registre_Maintenance'!B:B,'Registre_Maintenance'!G:G,"Pas de correspondance")</f>
        <v>Huawei</v>
      </c>
      <c r="M520" s="1" t="s">
        <v>809</v>
      </c>
      <c r="N520" s="1">
        <f>_xlfn.XLOOKUP(Logs[[#This Row],[ID_Client]],Clients_Log!B:B,Clients_Log!E:E,"Pas de correspondance")</f>
        <v>40</v>
      </c>
      <c r="O520" s="4">
        <f>IFERROR(Logs[[#This Row],[Anciennete_Mois]]/12,"")</f>
        <v>3.3333333333333335</v>
      </c>
      <c r="P520" s="1" t="str">
        <f>_xlfn.XLOOKUP(Logs[[#This Row],[ID_Client]],Clients_Log!B:B,Clients_Log!F:F,"Pas de correspondance")</f>
        <v>Premium 5G 150Go</v>
      </c>
      <c r="Q520" s="1" t="str">
        <f>IF(Logs[[#This Row],[Type_Forfait]]="Pro Monde","B2B","B2C")</f>
        <v>B2C</v>
      </c>
      <c r="R520" s="1">
        <f>_xlfn.XLOOKUP(Logs[[#This Row],[ID_Client]],Clients_Log!B:B,Clients_Log!G:G,"Pas de correspondance")</f>
        <v>345</v>
      </c>
      <c r="S520" s="3">
        <f>Logs[[#This Row],[Duree_Cumulee_Panne_Min]]/1440</f>
        <v>0.23958333333333334</v>
      </c>
      <c r="T520" s="1">
        <f>_xlfn.XLOOKUP(Logs[[#This Row],[ID_Client]],Clients_Log!B:B,Clients_Log!H:H,"Pas de correspondance")</f>
        <v>89.55</v>
      </c>
      <c r="U520" s="1">
        <f>_xlfn.XLOOKUP(Logs[[#This Row],[ID_Client]],Clients_Log!B:B,Clients_Log!I:I,"Pas de correspondance")</f>
        <v>3</v>
      </c>
      <c r="V52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20" s="1">
        <f>Logs[[#This Row],[Facture_Mensuelle]]*Logs[[#This Row],[Remise (%)]]</f>
        <v>40.297499999999999</v>
      </c>
    </row>
    <row r="521" spans="1:23" x14ac:dyDescent="0.25">
      <c r="A521" s="1" t="s">
        <v>1214</v>
      </c>
      <c r="B521" s="2">
        <v>45203</v>
      </c>
      <c r="C521" s="1" t="str">
        <f>_xlfn.XLOOKUP(Logs[[#This Row],[Province_RDC]],Clients_Log!D:D,Clients_Log!B:B,"Pas de correspondance")</f>
        <v>CLI-00837</v>
      </c>
      <c r="D521" t="str">
        <f>_xlfn.XLOOKUP(Logs[[#This Row],[Cell_ID]],'Registre_Maintenance'!B:B,'Registre_Maintenance'!C:C,"Pas de correspondance")</f>
        <v>Nord-Kivu</v>
      </c>
      <c r="E521" s="3">
        <v>0.21388888888888888</v>
      </c>
      <c r="F521" s="1" t="s">
        <v>1216</v>
      </c>
      <c r="G521" s="3">
        <f>Logs[[#This Row],[Duree_Panne_Min]]/1440</f>
        <v>3.472222222222222E-3</v>
      </c>
      <c r="H521">
        <v>5</v>
      </c>
      <c r="I521">
        <f>_xlfn.XLOOKUP(Logs[[#This Row],[Cell_ID]],'Registre_Maintenance'!B:B,'Registre_Maintenance'!D:D,"Pas de correspondance")</f>
        <v>-6.5332999999999997</v>
      </c>
      <c r="J521">
        <f>_xlfn.XLOOKUP(Logs[[#This Row],[Cell_ID]],'Registre_Maintenance'!B:B,'Registre_Maintenance'!E:E,"Pas de correspondance")</f>
        <v>20.098018</v>
      </c>
      <c r="K521" t="str">
        <f>_xlfn.XLOOKUP(Logs[[#This Row],[Cell_ID]],'Registre_Maintenance'!B:B,'Registre_Maintenance'!F:F,"Pas de correspondance")</f>
        <v>4G</v>
      </c>
      <c r="L521" t="str">
        <f>_xlfn.XLOOKUP(Logs[[#This Row],[Cell_ID]],'Registre_Maintenance'!B:B,'Registre_Maintenance'!G:G,"Pas de correspondance")</f>
        <v>Huawei</v>
      </c>
      <c r="M521" s="1" t="s">
        <v>806</v>
      </c>
      <c r="N521" s="1">
        <f>_xlfn.XLOOKUP(Logs[[#This Row],[ID_Client]],Clients_Log!B:B,Clients_Log!E:E,"Pas de correspondance")</f>
        <v>16</v>
      </c>
      <c r="O521" s="4">
        <f>IFERROR(Logs[[#This Row],[Anciennete_Mois]]/12,"")</f>
        <v>1.3333333333333333</v>
      </c>
      <c r="P521" s="1" t="str">
        <f>_xlfn.XLOOKUP(Logs[[#This Row],[ID_Client]],Clients_Log!B:B,Clients_Log!F:F,"Pas de correspondance")</f>
        <v>Bloqué 5Go</v>
      </c>
      <c r="Q521" s="1" t="str">
        <f>IF(Logs[[#This Row],[Type_Forfait]]="Pro Monde","B2B","B2C")</f>
        <v>B2C</v>
      </c>
      <c r="R521" s="1">
        <f>_xlfn.XLOOKUP(Logs[[#This Row],[ID_Client]],Clients_Log!B:B,Clients_Log!G:G,"Pas de correspondance")</f>
        <v>390</v>
      </c>
      <c r="S521" s="3">
        <f>Logs[[#This Row],[Duree_Cumulee_Panne_Min]]/1440</f>
        <v>0.27083333333333331</v>
      </c>
      <c r="T521" s="1">
        <f>_xlfn.XLOOKUP(Logs[[#This Row],[ID_Client]],Clients_Log!B:B,Clients_Log!H:H,"Pas de correspondance")</f>
        <v>98.17</v>
      </c>
      <c r="U521" s="1">
        <f>_xlfn.XLOOKUP(Logs[[#This Row],[ID_Client]],Clients_Log!B:B,Clients_Log!I:I,"Pas de correspondance")</f>
        <v>5</v>
      </c>
      <c r="V52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21" s="1">
        <f>Logs[[#This Row],[Facture_Mensuelle]]*Logs[[#This Row],[Remise (%)]]</f>
        <v>44.176500000000004</v>
      </c>
    </row>
    <row r="522" spans="1:23" x14ac:dyDescent="0.25">
      <c r="A522" s="1" t="s">
        <v>1214</v>
      </c>
      <c r="B522" s="2">
        <v>45215</v>
      </c>
      <c r="C522" s="1" t="str">
        <f>_xlfn.XLOOKUP(Logs[[#This Row],[Province_RDC]],Clients_Log!D:D,Clients_Log!B:B,"Pas de correspondance")</f>
        <v>CLI-01618</v>
      </c>
      <c r="D522" t="str">
        <f>_xlfn.XLOOKUP(Logs[[#This Row],[Cell_ID]],'Registre_Maintenance'!B:B,'Registre_Maintenance'!C:C,"Pas de correspondance")</f>
        <v>Tanganyika</v>
      </c>
      <c r="E522" s="3">
        <v>0.45763888888888887</v>
      </c>
      <c r="F522" s="1" t="s">
        <v>1217</v>
      </c>
      <c r="G522" s="3">
        <f>Logs[[#This Row],[Duree_Panne_Min]]/1440</f>
        <v>6.9444444444444448E-2</v>
      </c>
      <c r="H522">
        <v>100</v>
      </c>
      <c r="I522">
        <f>_xlfn.XLOOKUP(Logs[[#This Row],[Cell_ID]],'Registre_Maintenance'!B:B,'Registre_Maintenance'!D:D,"Pas de correspondance")</f>
        <v>-11.793894</v>
      </c>
      <c r="J522">
        <f>_xlfn.XLOOKUP(Logs[[#This Row],[Cell_ID]],'Registre_Maintenance'!B:B,'Registre_Maintenance'!E:E,"Pas de correspondance")</f>
        <v>20.433340999999999</v>
      </c>
      <c r="K522" t="str">
        <f>_xlfn.XLOOKUP(Logs[[#This Row],[Cell_ID]],'Registre_Maintenance'!B:B,'Registre_Maintenance'!F:F,"Pas de correspondance")</f>
        <v>5G</v>
      </c>
      <c r="L522" t="str">
        <f>_xlfn.XLOOKUP(Logs[[#This Row],[Cell_ID]],'Registre_Maintenance'!B:B,'Registre_Maintenance'!G:G,"Pas de correspondance")</f>
        <v>Nokia</v>
      </c>
      <c r="M522" s="1" t="s">
        <v>806</v>
      </c>
      <c r="N522" s="1">
        <f>_xlfn.XLOOKUP(Logs[[#This Row],[ID_Client]],Clients_Log!B:B,Clients_Log!E:E,"Pas de correspondance")</f>
        <v>115</v>
      </c>
      <c r="O522" s="4">
        <f>IFERROR(Logs[[#This Row],[Anciennete_Mois]]/12,"")</f>
        <v>9.5833333333333339</v>
      </c>
      <c r="P522" s="1" t="str">
        <f>_xlfn.XLOOKUP(Logs[[#This Row],[ID_Client]],Clients_Log!B:B,Clients_Log!F:F,"Pas de correspondance")</f>
        <v>Bloqué 5Go</v>
      </c>
      <c r="Q522" s="1" t="str">
        <f>IF(Logs[[#This Row],[Type_Forfait]]="Pro Monde","B2B","B2C")</f>
        <v>B2C</v>
      </c>
      <c r="R522" s="1">
        <f>_xlfn.XLOOKUP(Logs[[#This Row],[ID_Client]],Clients_Log!B:B,Clients_Log!G:G,"Pas de correspondance")</f>
        <v>176</v>
      </c>
      <c r="S522" s="3">
        <f>Logs[[#This Row],[Duree_Cumulee_Panne_Min]]/1440</f>
        <v>0.12222222222222222</v>
      </c>
      <c r="T522" s="1">
        <f>_xlfn.XLOOKUP(Logs[[#This Row],[ID_Client]],Clients_Log!B:B,Clients_Log!H:H,"Pas de correspondance")</f>
        <v>33.28</v>
      </c>
      <c r="U522" s="1">
        <f>_xlfn.XLOOKUP(Logs[[#This Row],[ID_Client]],Clients_Log!B:B,Clients_Log!I:I,"Pas de correspondance")</f>
        <v>4</v>
      </c>
      <c r="V52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22" s="1">
        <f>Logs[[#This Row],[Facture_Mensuelle]]*Logs[[#This Row],[Remise (%)]]</f>
        <v>0</v>
      </c>
    </row>
    <row r="523" spans="1:23" x14ac:dyDescent="0.25">
      <c r="A523" s="1" t="s">
        <v>1214</v>
      </c>
      <c r="B523" s="2">
        <v>45207</v>
      </c>
      <c r="C523" s="1" t="str">
        <f>_xlfn.XLOOKUP(Logs[[#This Row],[Province_RDC]],Clients_Log!D:D,Clients_Log!B:B,"Pas de correspondance")</f>
        <v>CLI-00060</v>
      </c>
      <c r="D523" t="str">
        <f>_xlfn.XLOOKUP(Logs[[#This Row],[Cell_ID]],'Registre_Maintenance'!B:B,'Registre_Maintenance'!C:C,"Pas de correspondance")</f>
        <v>Kasaï-Central</v>
      </c>
      <c r="E523" s="3">
        <v>1.1111111111111112E-2</v>
      </c>
      <c r="F523" s="1" t="s">
        <v>1218</v>
      </c>
      <c r="G523" s="3">
        <f>Logs[[#This Row],[Duree_Panne_Min]]/1440</f>
        <v>2.2222222222222223E-2</v>
      </c>
      <c r="H523">
        <v>32</v>
      </c>
      <c r="I523">
        <f>_xlfn.XLOOKUP(Logs[[#This Row],[Cell_ID]],'Registre_Maintenance'!B:B,'Registre_Maintenance'!D:D,"Pas de correspondance")</f>
        <v>1.897178</v>
      </c>
      <c r="J523">
        <f>_xlfn.XLOOKUP(Logs[[#This Row],[Cell_ID]],'Registre_Maintenance'!B:B,'Registre_Maintenance'!E:E,"Pas de correspondance")</f>
        <v>23.902604</v>
      </c>
      <c r="K523" t="str">
        <f>_xlfn.XLOOKUP(Logs[[#This Row],[Cell_ID]],'Registre_Maintenance'!B:B,'Registre_Maintenance'!F:F,"Pas de correspondance")</f>
        <v>3G</v>
      </c>
      <c r="L523" t="str">
        <f>_xlfn.XLOOKUP(Logs[[#This Row],[Cell_ID]],'Registre_Maintenance'!B:B,'Registre_Maintenance'!G:G,"Pas de correspondance")</f>
        <v>Nokia</v>
      </c>
      <c r="M523" s="1" t="s">
        <v>806</v>
      </c>
      <c r="N523" s="1">
        <f>_xlfn.XLOOKUP(Logs[[#This Row],[ID_Client]],Clients_Log!B:B,Clients_Log!E:E,"Pas de correspondance")</f>
        <v>72</v>
      </c>
      <c r="O523" s="4">
        <f>IFERROR(Logs[[#This Row],[Anciennete_Mois]]/12,"")</f>
        <v>6</v>
      </c>
      <c r="P523" s="1" t="str">
        <f>_xlfn.XLOOKUP(Logs[[#This Row],[ID_Client]],Clients_Log!B:B,Clients_Log!F:F,"Pas de correspondance")</f>
        <v>Pro Monde</v>
      </c>
      <c r="Q523" s="1" t="str">
        <f>IF(Logs[[#This Row],[Type_Forfait]]="Pro Monde","B2B","B2C")</f>
        <v>B2B</v>
      </c>
      <c r="R523" s="1">
        <f>_xlfn.XLOOKUP(Logs[[#This Row],[ID_Client]],Clients_Log!B:B,Clients_Log!G:G,"Pas de correspondance")</f>
        <v>160</v>
      </c>
      <c r="S523" s="3">
        <f>Logs[[#This Row],[Duree_Cumulee_Panne_Min]]/1440</f>
        <v>0.1111111111111111</v>
      </c>
      <c r="T523" s="1">
        <f>_xlfn.XLOOKUP(Logs[[#This Row],[ID_Client]],Clients_Log!B:B,Clients_Log!H:H,"Pas de correspondance")</f>
        <v>90.13</v>
      </c>
      <c r="U523" s="1">
        <f>_xlfn.XLOOKUP(Logs[[#This Row],[ID_Client]],Clients_Log!B:B,Clients_Log!I:I,"Pas de correspondance")</f>
        <v>2</v>
      </c>
      <c r="V52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523" s="1">
        <f>Logs[[#This Row],[Facture_Mensuelle]]*Logs[[#This Row],[Remise (%)]]</f>
        <v>9.0129999999999999</v>
      </c>
    </row>
    <row r="524" spans="1:23" hidden="1" x14ac:dyDescent="0.25">
      <c r="A524" s="1" t="s">
        <v>1214</v>
      </c>
      <c r="B524" s="2">
        <v>45212</v>
      </c>
      <c r="C524" s="1" t="str">
        <f>_xlfn.XLOOKUP(Logs[[#This Row],[Province_RDC]],Clients_Log!D:D,Clients_Log!B:B,"Pas de correspondance")</f>
        <v>Pas de correspondance</v>
      </c>
      <c r="D524" t="str">
        <f>_xlfn.XLOOKUP(Logs[[#This Row],[Cell_ID]],'Registre_Maintenance'!B:B,'Registre_Maintenance'!C:C,"Pas de correspondance")</f>
        <v>Pas de correspondance</v>
      </c>
      <c r="E524" s="3">
        <v>0.31111111111111112</v>
      </c>
      <c r="F524" s="1" t="s">
        <v>818</v>
      </c>
      <c r="G524" s="3">
        <f>Logs[[#This Row],[Duree_Panne_Min]]/1440</f>
        <v>5.486111111111111E-2</v>
      </c>
      <c r="H524">
        <v>79</v>
      </c>
      <c r="I524" t="str">
        <f>_xlfn.XLOOKUP(Logs[[#This Row],[Cell_ID]],'Registre_Maintenance'!B:B,'Registre_Maintenance'!D:D,"Pas de correspondance")</f>
        <v>Pas de correspondance</v>
      </c>
      <c r="J524" t="str">
        <f>_xlfn.XLOOKUP(Logs[[#This Row],[Cell_ID]],'Registre_Maintenance'!B:B,'Registre_Maintenance'!E:E,"Pas de correspondance")</f>
        <v>Pas de correspondance</v>
      </c>
      <c r="K524" t="str">
        <f>_xlfn.XLOOKUP(Logs[[#This Row],[Cell_ID]],'Registre_Maintenance'!B:B,'Registre_Maintenance'!F:F,"Pas de correspondance")</f>
        <v>Pas de correspondance</v>
      </c>
      <c r="L524" t="str">
        <f>_xlfn.XLOOKUP(Logs[[#This Row],[Cell_ID]],'Registre_Maintenance'!B:B,'Registre_Maintenance'!G:G,"Pas de correspondance")</f>
        <v>Pas de correspondance</v>
      </c>
      <c r="M524" s="1" t="s">
        <v>806</v>
      </c>
      <c r="N524" s="1" t="str">
        <f>_xlfn.XLOOKUP(Logs[[#This Row],[ID_Client]],Clients_Log!B:B,Clients_Log!E:E,"Pas de correspondance")</f>
        <v>Pas de correspondance</v>
      </c>
      <c r="O524" s="4" t="str">
        <f>IFERROR(Logs[[#This Row],[Anciennete_Mois]]/12,"")</f>
        <v/>
      </c>
      <c r="P524" s="1" t="str">
        <f>_xlfn.XLOOKUP(Logs[[#This Row],[ID_Client]],Clients_Log!B:B,Clients_Log!F:F,"Pas de correspondance")</f>
        <v>Pas de correspondance</v>
      </c>
      <c r="Q524" s="1" t="str">
        <f>IF(Logs[[#This Row],[Type_Forfait]]="Pro Monde","B2B","B2C")</f>
        <v>B2C</v>
      </c>
      <c r="R524" s="1" t="str">
        <f>_xlfn.XLOOKUP(Logs[[#This Row],[ID_Client]],Clients_Log!B:B,Clients_Log!G:G,"Pas de correspondance")</f>
        <v>Pas de correspondance</v>
      </c>
      <c r="S524" s="1" t="e">
        <f>Logs[[#This Row],[Duree_Cumulee_Panne_Min]]/1440</f>
        <v>#VALUE!</v>
      </c>
      <c r="T524" s="1" t="str">
        <f>_xlfn.XLOOKUP(Logs[[#This Row],[ID_Client]],Clients_Log!B:B,Clients_Log!H:H,"Pas de correspondance")</f>
        <v>Pas de correspondance</v>
      </c>
      <c r="U524" s="1" t="str">
        <f>_xlfn.XLOOKUP(Logs[[#This Row],[ID_Client]],Clients_Log!B:B,Clients_Log!I:I,"Pas de correspondance")</f>
        <v>Pas de correspondance</v>
      </c>
      <c r="V52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24" s="1" t="e">
        <f>Logs[[#This Row],[Facture_Mensuelle]]*Logs[[#This Row],[Remise (%)]]</f>
        <v>#VALUE!</v>
      </c>
    </row>
    <row r="525" spans="1:23" hidden="1" x14ac:dyDescent="0.25">
      <c r="A525" s="1" t="s">
        <v>1214</v>
      </c>
      <c r="B525" s="2">
        <v>45224</v>
      </c>
      <c r="C525" s="1" t="str">
        <f>_xlfn.XLOOKUP(Logs[[#This Row],[Province_RDC]],Clients_Log!D:D,Clients_Log!B:B,"Pas de correspondance")</f>
        <v>Pas de correspondance</v>
      </c>
      <c r="D525" t="str">
        <f>_xlfn.XLOOKUP(Logs[[#This Row],[Cell_ID]],'Registre_Maintenance'!B:B,'Registre_Maintenance'!C:C,"Pas de correspondance")</f>
        <v>Pas de correspondance</v>
      </c>
      <c r="E525" s="3">
        <v>0.34791666666666665</v>
      </c>
      <c r="F525" s="1" t="s">
        <v>1219</v>
      </c>
      <c r="G525" s="3">
        <f>Logs[[#This Row],[Duree_Panne_Min]]/1440</f>
        <v>9.7222222222222224E-3</v>
      </c>
      <c r="H525">
        <v>14</v>
      </c>
      <c r="I525" t="str">
        <f>_xlfn.XLOOKUP(Logs[[#This Row],[Cell_ID]],'Registre_Maintenance'!B:B,'Registre_Maintenance'!D:D,"Pas de correspondance")</f>
        <v>Pas de correspondance</v>
      </c>
      <c r="J525" t="str">
        <f>_xlfn.XLOOKUP(Logs[[#This Row],[Cell_ID]],'Registre_Maintenance'!B:B,'Registre_Maintenance'!E:E,"Pas de correspondance")</f>
        <v>Pas de correspondance</v>
      </c>
      <c r="K525" t="str">
        <f>_xlfn.XLOOKUP(Logs[[#This Row],[Cell_ID]],'Registre_Maintenance'!B:B,'Registre_Maintenance'!F:F,"Pas de correspondance")</f>
        <v>Pas de correspondance</v>
      </c>
      <c r="L525" t="str">
        <f>_xlfn.XLOOKUP(Logs[[#This Row],[Cell_ID]],'Registre_Maintenance'!B:B,'Registre_Maintenance'!G:G,"Pas de correspondance")</f>
        <v>Pas de correspondance</v>
      </c>
      <c r="M525" s="1" t="s">
        <v>806</v>
      </c>
      <c r="N525" s="1" t="str">
        <f>_xlfn.XLOOKUP(Logs[[#This Row],[ID_Client]],Clients_Log!B:B,Clients_Log!E:E,"Pas de correspondance")</f>
        <v>Pas de correspondance</v>
      </c>
      <c r="O525" s="4" t="str">
        <f>IFERROR(Logs[[#This Row],[Anciennete_Mois]]/12,"")</f>
        <v/>
      </c>
      <c r="P525" s="1" t="str">
        <f>_xlfn.XLOOKUP(Logs[[#This Row],[ID_Client]],Clients_Log!B:B,Clients_Log!F:F,"Pas de correspondance")</f>
        <v>Pas de correspondance</v>
      </c>
      <c r="Q525" s="1" t="str">
        <f>IF(Logs[[#This Row],[Type_Forfait]]="Pro Monde","B2B","B2C")</f>
        <v>B2C</v>
      </c>
      <c r="R525" s="1" t="str">
        <f>_xlfn.XLOOKUP(Logs[[#This Row],[ID_Client]],Clients_Log!B:B,Clients_Log!G:G,"Pas de correspondance")</f>
        <v>Pas de correspondance</v>
      </c>
      <c r="S525" s="1" t="e">
        <f>Logs[[#This Row],[Duree_Cumulee_Panne_Min]]/1440</f>
        <v>#VALUE!</v>
      </c>
      <c r="T525" s="1" t="str">
        <f>_xlfn.XLOOKUP(Logs[[#This Row],[ID_Client]],Clients_Log!B:B,Clients_Log!H:H,"Pas de correspondance")</f>
        <v>Pas de correspondance</v>
      </c>
      <c r="U525" s="1" t="str">
        <f>_xlfn.XLOOKUP(Logs[[#This Row],[ID_Client]],Clients_Log!B:B,Clients_Log!I:I,"Pas de correspondance")</f>
        <v>Pas de correspondance</v>
      </c>
      <c r="V52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25" s="1" t="e">
        <f>Logs[[#This Row],[Facture_Mensuelle]]*Logs[[#This Row],[Remise (%)]]</f>
        <v>#VALUE!</v>
      </c>
    </row>
    <row r="526" spans="1:23" hidden="1" x14ac:dyDescent="0.25">
      <c r="A526" s="1" t="s">
        <v>1214</v>
      </c>
      <c r="B526" s="2">
        <v>45209</v>
      </c>
      <c r="C526" s="1" t="str">
        <f>_xlfn.XLOOKUP(Logs[[#This Row],[Province_RDC]],Clients_Log!D:D,Clients_Log!B:B,"Pas de correspondance")</f>
        <v>Pas de correspondance</v>
      </c>
      <c r="D526" t="str">
        <f>_xlfn.XLOOKUP(Logs[[#This Row],[Cell_ID]],'Registre_Maintenance'!B:B,'Registre_Maintenance'!C:C,"Pas de correspondance")</f>
        <v>Pas de correspondance</v>
      </c>
      <c r="E526" s="3">
        <v>0.78194444444444444</v>
      </c>
      <c r="F526" s="1" t="s">
        <v>1185</v>
      </c>
      <c r="G526" s="3">
        <f>Logs[[#This Row],[Duree_Panne_Min]]/1440</f>
        <v>6.9444444444444441E-3</v>
      </c>
      <c r="H526">
        <v>10</v>
      </c>
      <c r="I526" t="str">
        <f>_xlfn.XLOOKUP(Logs[[#This Row],[Cell_ID]],'Registre_Maintenance'!B:B,'Registre_Maintenance'!D:D,"Pas de correspondance")</f>
        <v>Pas de correspondance</v>
      </c>
      <c r="J526" t="str">
        <f>_xlfn.XLOOKUP(Logs[[#This Row],[Cell_ID]],'Registre_Maintenance'!B:B,'Registre_Maintenance'!E:E,"Pas de correspondance")</f>
        <v>Pas de correspondance</v>
      </c>
      <c r="K526" t="str">
        <f>_xlfn.XLOOKUP(Logs[[#This Row],[Cell_ID]],'Registre_Maintenance'!B:B,'Registre_Maintenance'!F:F,"Pas de correspondance")</f>
        <v>Pas de correspondance</v>
      </c>
      <c r="L526" t="str">
        <f>_xlfn.XLOOKUP(Logs[[#This Row],[Cell_ID]],'Registre_Maintenance'!B:B,'Registre_Maintenance'!G:G,"Pas de correspondance")</f>
        <v>Pas de correspondance</v>
      </c>
      <c r="M526" s="1" t="s">
        <v>809</v>
      </c>
      <c r="N526" s="1" t="str">
        <f>_xlfn.XLOOKUP(Logs[[#This Row],[ID_Client]],Clients_Log!B:B,Clients_Log!E:E,"Pas de correspondance")</f>
        <v>Pas de correspondance</v>
      </c>
      <c r="O526" s="4" t="str">
        <f>IFERROR(Logs[[#This Row],[Anciennete_Mois]]/12,"")</f>
        <v/>
      </c>
      <c r="P526" s="1" t="str">
        <f>_xlfn.XLOOKUP(Logs[[#This Row],[ID_Client]],Clients_Log!B:B,Clients_Log!F:F,"Pas de correspondance")</f>
        <v>Pas de correspondance</v>
      </c>
      <c r="Q526" s="1" t="str">
        <f>IF(Logs[[#This Row],[Type_Forfait]]="Pro Monde","B2B","B2C")</f>
        <v>B2C</v>
      </c>
      <c r="R526" s="1" t="str">
        <f>_xlfn.XLOOKUP(Logs[[#This Row],[ID_Client]],Clients_Log!B:B,Clients_Log!G:G,"Pas de correspondance")</f>
        <v>Pas de correspondance</v>
      </c>
      <c r="S526" s="1" t="e">
        <f>Logs[[#This Row],[Duree_Cumulee_Panne_Min]]/1440</f>
        <v>#VALUE!</v>
      </c>
      <c r="T526" s="1" t="str">
        <f>_xlfn.XLOOKUP(Logs[[#This Row],[ID_Client]],Clients_Log!B:B,Clients_Log!H:H,"Pas de correspondance")</f>
        <v>Pas de correspondance</v>
      </c>
      <c r="U526" s="1" t="str">
        <f>_xlfn.XLOOKUP(Logs[[#This Row],[ID_Client]],Clients_Log!B:B,Clients_Log!I:I,"Pas de correspondance")</f>
        <v>Pas de correspondance</v>
      </c>
      <c r="V52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26" s="1" t="e">
        <f>Logs[[#This Row],[Facture_Mensuelle]]*Logs[[#This Row],[Remise (%)]]</f>
        <v>#VALUE!</v>
      </c>
    </row>
    <row r="527" spans="1:23" hidden="1" x14ac:dyDescent="0.25">
      <c r="A527" s="1" t="s">
        <v>1214</v>
      </c>
      <c r="B527" s="2">
        <v>45218</v>
      </c>
      <c r="C527" s="1" t="str">
        <f>_xlfn.XLOOKUP(Logs[[#This Row],[Province_RDC]],Clients_Log!D:D,Clients_Log!B:B,"Pas de correspondance")</f>
        <v>Pas de correspondance</v>
      </c>
      <c r="D527" t="str">
        <f>_xlfn.XLOOKUP(Logs[[#This Row],[Cell_ID]],'Registre_Maintenance'!B:B,'Registre_Maintenance'!C:C,"Pas de correspondance")</f>
        <v>Pas de correspondance</v>
      </c>
      <c r="E527" s="3">
        <v>1.1111111111111112E-2</v>
      </c>
      <c r="F527" s="1" t="s">
        <v>1220</v>
      </c>
      <c r="G527" s="3">
        <f>Logs[[#This Row],[Duree_Panne_Min]]/1440</f>
        <v>4.0972222222222222E-2</v>
      </c>
      <c r="H527">
        <v>59</v>
      </c>
      <c r="I527" t="str">
        <f>_xlfn.XLOOKUP(Logs[[#This Row],[Cell_ID]],'Registre_Maintenance'!B:B,'Registre_Maintenance'!D:D,"Pas de correspondance")</f>
        <v>Pas de correspondance</v>
      </c>
      <c r="J527" t="str">
        <f>_xlfn.XLOOKUP(Logs[[#This Row],[Cell_ID]],'Registre_Maintenance'!B:B,'Registre_Maintenance'!E:E,"Pas de correspondance")</f>
        <v>Pas de correspondance</v>
      </c>
      <c r="K527" t="str">
        <f>_xlfn.XLOOKUP(Logs[[#This Row],[Cell_ID]],'Registre_Maintenance'!B:B,'Registre_Maintenance'!F:F,"Pas de correspondance")</f>
        <v>Pas de correspondance</v>
      </c>
      <c r="L527" t="str">
        <f>_xlfn.XLOOKUP(Logs[[#This Row],[Cell_ID]],'Registre_Maintenance'!B:B,'Registre_Maintenance'!G:G,"Pas de correspondance")</f>
        <v>Pas de correspondance</v>
      </c>
      <c r="M527" s="1" t="s">
        <v>806</v>
      </c>
      <c r="N527" s="1" t="str">
        <f>_xlfn.XLOOKUP(Logs[[#This Row],[ID_Client]],Clients_Log!B:B,Clients_Log!E:E,"Pas de correspondance")</f>
        <v>Pas de correspondance</v>
      </c>
      <c r="O527" s="4" t="str">
        <f>IFERROR(Logs[[#This Row],[Anciennete_Mois]]/12,"")</f>
        <v/>
      </c>
      <c r="P527" s="1" t="str">
        <f>_xlfn.XLOOKUP(Logs[[#This Row],[ID_Client]],Clients_Log!B:B,Clients_Log!F:F,"Pas de correspondance")</f>
        <v>Pas de correspondance</v>
      </c>
      <c r="Q527" s="1" t="str">
        <f>IF(Logs[[#This Row],[Type_Forfait]]="Pro Monde","B2B","B2C")</f>
        <v>B2C</v>
      </c>
      <c r="R527" s="1" t="str">
        <f>_xlfn.XLOOKUP(Logs[[#This Row],[ID_Client]],Clients_Log!B:B,Clients_Log!G:G,"Pas de correspondance")</f>
        <v>Pas de correspondance</v>
      </c>
      <c r="S527" s="1" t="e">
        <f>Logs[[#This Row],[Duree_Cumulee_Panne_Min]]/1440</f>
        <v>#VALUE!</v>
      </c>
      <c r="T527" s="1" t="str">
        <f>_xlfn.XLOOKUP(Logs[[#This Row],[ID_Client]],Clients_Log!B:B,Clients_Log!H:H,"Pas de correspondance")</f>
        <v>Pas de correspondance</v>
      </c>
      <c r="U527" s="1" t="str">
        <f>_xlfn.XLOOKUP(Logs[[#This Row],[ID_Client]],Clients_Log!B:B,Clients_Log!I:I,"Pas de correspondance")</f>
        <v>Pas de correspondance</v>
      </c>
      <c r="V52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27" s="1" t="e">
        <f>Logs[[#This Row],[Facture_Mensuelle]]*Logs[[#This Row],[Remise (%)]]</f>
        <v>#VALUE!</v>
      </c>
    </row>
    <row r="528" spans="1:23" x14ac:dyDescent="0.25">
      <c r="A528" s="1" t="s">
        <v>1214</v>
      </c>
      <c r="B528" s="2">
        <v>45220</v>
      </c>
      <c r="C528" s="1" t="str">
        <f>_xlfn.XLOOKUP(Logs[[#This Row],[Province_RDC]],Clients_Log!D:D,Clients_Log!B:B,"Pas de correspondance")</f>
        <v>CLI-00280</v>
      </c>
      <c r="D528" t="str">
        <f>_xlfn.XLOOKUP(Logs[[#This Row],[Cell_ID]],'Registre_Maintenance'!B:B,'Registre_Maintenance'!C:C,"Pas de correspondance")</f>
        <v>Sud-Ubangi</v>
      </c>
      <c r="E528" s="3">
        <v>0.48888888888888887</v>
      </c>
      <c r="F528" s="1" t="s">
        <v>894</v>
      </c>
      <c r="G528" s="3">
        <f>Logs[[#This Row],[Duree_Panne_Min]]/1440</f>
        <v>3.4027777777777775E-2</v>
      </c>
      <c r="H528">
        <v>49</v>
      </c>
      <c r="I528">
        <f>_xlfn.XLOOKUP(Logs[[#This Row],[Cell_ID]],'Registre_Maintenance'!B:B,'Registre_Maintenance'!D:D,"Pas de correspondance")</f>
        <v>-9.3652239999999995</v>
      </c>
      <c r="J528">
        <f>_xlfn.XLOOKUP(Logs[[#This Row],[Cell_ID]],'Registre_Maintenance'!B:B,'Registre_Maintenance'!E:E,"Pas de correspondance")</f>
        <v>22.593423999999999</v>
      </c>
      <c r="K528" t="str">
        <f>_xlfn.XLOOKUP(Logs[[#This Row],[Cell_ID]],'Registre_Maintenance'!B:B,'Registre_Maintenance'!F:F,"Pas de correspondance")</f>
        <v>5G</v>
      </c>
      <c r="L528" t="str">
        <f>_xlfn.XLOOKUP(Logs[[#This Row],[Cell_ID]],'Registre_Maintenance'!B:B,'Registre_Maintenance'!G:G,"Pas de correspondance")</f>
        <v>Nokia</v>
      </c>
      <c r="M528" s="1" t="s">
        <v>811</v>
      </c>
      <c r="N528" s="1">
        <f>_xlfn.XLOOKUP(Logs[[#This Row],[ID_Client]],Clients_Log!B:B,Clients_Log!E:E,"Pas de correspondance")</f>
        <v>113</v>
      </c>
      <c r="O528" s="4">
        <f>IFERROR(Logs[[#This Row],[Anciennete_Mois]]/12,"")</f>
        <v>9.4166666666666661</v>
      </c>
      <c r="P528" s="1" t="str">
        <f>_xlfn.XLOOKUP(Logs[[#This Row],[ID_Client]],Clients_Log!B:B,Clients_Log!F:F,"Pas de correspondance")</f>
        <v>Illimité 50Go</v>
      </c>
      <c r="Q528" s="1" t="str">
        <f>IF(Logs[[#This Row],[Type_Forfait]]="Pro Monde","B2B","B2C")</f>
        <v>B2C</v>
      </c>
      <c r="R528" s="1">
        <f>_xlfn.XLOOKUP(Logs[[#This Row],[ID_Client]],Clients_Log!B:B,Clients_Log!G:G,"Pas de correspondance")</f>
        <v>380</v>
      </c>
      <c r="S528" s="3">
        <f>Logs[[#This Row],[Duree_Cumulee_Panne_Min]]/1440</f>
        <v>0.2638888888888889</v>
      </c>
      <c r="T528" s="1">
        <f>_xlfn.XLOOKUP(Logs[[#This Row],[ID_Client]],Clients_Log!B:B,Clients_Log!H:H,"Pas de correspondance")</f>
        <v>12.11</v>
      </c>
      <c r="U528" s="1">
        <f>_xlfn.XLOOKUP(Logs[[#This Row],[ID_Client]],Clients_Log!B:B,Clients_Log!I:I,"Pas de correspondance")</f>
        <v>0</v>
      </c>
      <c r="V52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28" s="1">
        <f>Logs[[#This Row],[Facture_Mensuelle]]*Logs[[#This Row],[Remise (%)]]</f>
        <v>5.4494999999999996</v>
      </c>
    </row>
    <row r="529" spans="1:23" x14ac:dyDescent="0.25">
      <c r="A529" s="1" t="s">
        <v>1214</v>
      </c>
      <c r="B529" s="2">
        <v>45207</v>
      </c>
      <c r="C529" s="1" t="str">
        <f>_xlfn.XLOOKUP(Logs[[#This Row],[Province_RDC]],Clients_Log!D:D,Clients_Log!B:B,"Pas de correspondance")</f>
        <v>CLI-00643</v>
      </c>
      <c r="D529" t="str">
        <f>_xlfn.XLOOKUP(Logs[[#This Row],[Cell_ID]],'Registre_Maintenance'!B:B,'Registre_Maintenance'!C:C,"Pas de correspondance")</f>
        <v>Equateur</v>
      </c>
      <c r="E529" s="3">
        <v>7.0833333333333331E-2</v>
      </c>
      <c r="F529" s="1" t="s">
        <v>1221</v>
      </c>
      <c r="G529" s="3">
        <f>Logs[[#This Row],[Duree_Panne_Min]]/1440</f>
        <v>6.5277777777777782E-2</v>
      </c>
      <c r="H529">
        <v>94</v>
      </c>
      <c r="I529">
        <f>_xlfn.XLOOKUP(Logs[[#This Row],[Cell_ID]],'Registre_Maintenance'!B:B,'Registre_Maintenance'!D:D,"Pas de correspondance")</f>
        <v>-1.1284540000000001</v>
      </c>
      <c r="J529">
        <f>_xlfn.XLOOKUP(Logs[[#This Row],[Cell_ID]],'Registre_Maintenance'!B:B,'Registre_Maintenance'!E:E,"Pas de correspondance")</f>
        <v>23.000360000000001</v>
      </c>
      <c r="K529" t="str">
        <f>_xlfn.XLOOKUP(Logs[[#This Row],[Cell_ID]],'Registre_Maintenance'!B:B,'Registre_Maintenance'!F:F,"Pas de correspondance")</f>
        <v>5G</v>
      </c>
      <c r="L529" t="str">
        <f>_xlfn.XLOOKUP(Logs[[#This Row],[Cell_ID]],'Registre_Maintenance'!B:B,'Registre_Maintenance'!G:G,"Pas de correspondance")</f>
        <v>Ericsson</v>
      </c>
      <c r="M529" s="1" t="s">
        <v>809</v>
      </c>
      <c r="N529" s="1">
        <f>_xlfn.XLOOKUP(Logs[[#This Row],[ID_Client]],Clients_Log!B:B,Clients_Log!E:E,"Pas de correspondance")</f>
        <v>14</v>
      </c>
      <c r="O529" s="4">
        <f>IFERROR(Logs[[#This Row],[Anciennete_Mois]]/12,"")</f>
        <v>1.1666666666666667</v>
      </c>
      <c r="P529" s="1" t="str">
        <f>_xlfn.XLOOKUP(Logs[[#This Row],[ID_Client]],Clients_Log!B:B,Clients_Log!F:F,"Pas de correspondance")</f>
        <v>Pro Monde</v>
      </c>
      <c r="Q529" s="1" t="str">
        <f>IF(Logs[[#This Row],[Type_Forfait]]="Pro Monde","B2B","B2C")</f>
        <v>B2B</v>
      </c>
      <c r="R529" s="1">
        <f>_xlfn.XLOOKUP(Logs[[#This Row],[ID_Client]],Clients_Log!B:B,Clients_Log!G:G,"Pas de correspondance")</f>
        <v>316</v>
      </c>
      <c r="S529" s="3">
        <f>Logs[[#This Row],[Duree_Cumulee_Panne_Min]]/1440</f>
        <v>0.21944444444444444</v>
      </c>
      <c r="T529" s="1">
        <f>_xlfn.XLOOKUP(Logs[[#This Row],[ID_Client]],Clients_Log!B:B,Clients_Log!H:H,"Pas de correspondance")</f>
        <v>62.34</v>
      </c>
      <c r="U529" s="1">
        <f>_xlfn.XLOOKUP(Logs[[#This Row],[ID_Client]],Clients_Log!B:B,Clients_Log!I:I,"Pas de correspondance")</f>
        <v>4</v>
      </c>
      <c r="V52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29" s="1">
        <f>Logs[[#This Row],[Facture_Mensuelle]]*Logs[[#This Row],[Remise (%)]]</f>
        <v>28.053000000000001</v>
      </c>
    </row>
    <row r="530" spans="1:23" x14ac:dyDescent="0.25">
      <c r="A530" s="1" t="s">
        <v>1214</v>
      </c>
      <c r="B530" s="2">
        <v>45203</v>
      </c>
      <c r="C530" s="1" t="str">
        <f>_xlfn.XLOOKUP(Logs[[#This Row],[Province_RDC]],Clients_Log!D:D,Clients_Log!B:B,"Pas de correspondance")</f>
        <v>CLI-00894</v>
      </c>
      <c r="D530" t="str">
        <f>_xlfn.XLOOKUP(Logs[[#This Row],[Cell_ID]],'Registre_Maintenance'!B:B,'Registre_Maintenance'!C:C,"Pas de correspondance")</f>
        <v>Tshuapa</v>
      </c>
      <c r="E530" s="3">
        <v>0.59652777777777777</v>
      </c>
      <c r="F530" s="1" t="s">
        <v>1222</v>
      </c>
      <c r="G530" s="3">
        <f>Logs[[#This Row],[Duree_Panne_Min]]/1440</f>
        <v>9.0277777777777769E-3</v>
      </c>
      <c r="H530">
        <v>13</v>
      </c>
      <c r="I530">
        <f>_xlfn.XLOOKUP(Logs[[#This Row],[Cell_ID]],'Registre_Maintenance'!B:B,'Registre_Maintenance'!D:D,"Pas de correspondance")</f>
        <v>-1.9540519999999999</v>
      </c>
      <c r="J530">
        <f>_xlfn.XLOOKUP(Logs[[#This Row],[Cell_ID]],'Registre_Maintenance'!B:B,'Registre_Maintenance'!E:E,"Pas de correspondance")</f>
        <v>12.667945</v>
      </c>
      <c r="K530" t="str">
        <f>_xlfn.XLOOKUP(Logs[[#This Row],[Cell_ID]],'Registre_Maintenance'!B:B,'Registre_Maintenance'!F:F,"Pas de correspondance")</f>
        <v>4G</v>
      </c>
      <c r="L530" t="str">
        <f>_xlfn.XLOOKUP(Logs[[#This Row],[Cell_ID]],'Registre_Maintenance'!B:B,'Registre_Maintenance'!G:G,"Pas de correspondance")</f>
        <v>Huawei</v>
      </c>
      <c r="M530" s="1" t="s">
        <v>809</v>
      </c>
      <c r="N530" s="1">
        <f>_xlfn.XLOOKUP(Logs[[#This Row],[ID_Client]],Clients_Log!B:B,Clients_Log!E:E,"Pas de correspondance")</f>
        <v>63</v>
      </c>
      <c r="O530" s="4">
        <f>IFERROR(Logs[[#This Row],[Anciennete_Mois]]/12,"")</f>
        <v>5.25</v>
      </c>
      <c r="P530" s="1" t="str">
        <f>_xlfn.XLOOKUP(Logs[[#This Row],[ID_Client]],Clients_Log!B:B,Clients_Log!F:F,"Pas de correspondance")</f>
        <v>Pro Monde</v>
      </c>
      <c r="Q530" s="1" t="str">
        <f>IF(Logs[[#This Row],[Type_Forfait]]="Pro Monde","B2B","B2C")</f>
        <v>B2B</v>
      </c>
      <c r="R530" s="1">
        <f>_xlfn.XLOOKUP(Logs[[#This Row],[ID_Client]],Clients_Log!B:B,Clients_Log!G:G,"Pas de correspondance")</f>
        <v>205</v>
      </c>
      <c r="S530" s="3">
        <f>Logs[[#This Row],[Duree_Cumulee_Panne_Min]]/1440</f>
        <v>0.1423611111111111</v>
      </c>
      <c r="T530" s="1">
        <f>_xlfn.XLOOKUP(Logs[[#This Row],[ID_Client]],Clients_Log!B:B,Clients_Log!H:H,"Pas de correspondance")</f>
        <v>89.19</v>
      </c>
      <c r="U530" s="1">
        <f>_xlfn.XLOOKUP(Logs[[#This Row],[ID_Client]],Clients_Log!B:B,Clients_Log!I:I,"Pas de correspondance")</f>
        <v>0</v>
      </c>
      <c r="V53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530" s="1">
        <f>Logs[[#This Row],[Facture_Mensuelle]]*Logs[[#This Row],[Remise (%)]]</f>
        <v>8.9190000000000005</v>
      </c>
    </row>
    <row r="531" spans="1:23" x14ac:dyDescent="0.25">
      <c r="A531" s="1" t="s">
        <v>1214</v>
      </c>
      <c r="B531" s="2">
        <v>45205</v>
      </c>
      <c r="C531" s="1" t="str">
        <f>_xlfn.XLOOKUP(Logs[[#This Row],[Province_RDC]],Clients_Log!D:D,Clients_Log!B:B,"Pas de correspondance")</f>
        <v>CLI-00865</v>
      </c>
      <c r="D531" t="str">
        <f>_xlfn.XLOOKUP(Logs[[#This Row],[Cell_ID]],'Registre_Maintenance'!B:B,'Registre_Maintenance'!C:C,"Pas de correspondance")</f>
        <v>Mongala</v>
      </c>
      <c r="E531" s="3">
        <v>0.52986111111111112</v>
      </c>
      <c r="F531" s="1" t="s">
        <v>888</v>
      </c>
      <c r="G531" s="3">
        <f>Logs[[#This Row],[Duree_Panne_Min]]/1440</f>
        <v>5.1388888888888887E-2</v>
      </c>
      <c r="H531">
        <v>74</v>
      </c>
      <c r="I531">
        <f>_xlfn.XLOOKUP(Logs[[#This Row],[Cell_ID]],'Registre_Maintenance'!B:B,'Registre_Maintenance'!D:D,"Pas de correspondance")</f>
        <v>-11.514188000000001</v>
      </c>
      <c r="J531">
        <f>_xlfn.XLOOKUP(Logs[[#This Row],[Cell_ID]],'Registre_Maintenance'!B:B,'Registre_Maintenance'!E:E,"Pas de correspondance")</f>
        <v>15.971181</v>
      </c>
      <c r="K531" t="str">
        <f>_xlfn.XLOOKUP(Logs[[#This Row],[Cell_ID]],'Registre_Maintenance'!B:B,'Registre_Maintenance'!F:F,"Pas de correspondance")</f>
        <v>5G</v>
      </c>
      <c r="L531" t="str">
        <f>_xlfn.XLOOKUP(Logs[[#This Row],[Cell_ID]],'Registre_Maintenance'!B:B,'Registre_Maintenance'!G:G,"Pas de correspondance")</f>
        <v>Ericsson</v>
      </c>
      <c r="M531" s="1" t="s">
        <v>809</v>
      </c>
      <c r="N531" s="1">
        <f>_xlfn.XLOOKUP(Logs[[#This Row],[ID_Client]],Clients_Log!B:B,Clients_Log!E:E,"Pas de correspondance")</f>
        <v>34</v>
      </c>
      <c r="O531" s="4">
        <f>IFERROR(Logs[[#This Row],[Anciennete_Mois]]/12,"")</f>
        <v>2.8333333333333335</v>
      </c>
      <c r="P531" s="1" t="str">
        <f>_xlfn.XLOOKUP(Logs[[#This Row],[ID_Client]],Clients_Log!B:B,Clients_Log!F:F,"Pas de correspondance")</f>
        <v>Pro Monde</v>
      </c>
      <c r="Q531" s="1" t="str">
        <f>IF(Logs[[#This Row],[Type_Forfait]]="Pro Monde","B2B","B2C")</f>
        <v>B2B</v>
      </c>
      <c r="R531" s="1">
        <f>_xlfn.XLOOKUP(Logs[[#This Row],[ID_Client]],Clients_Log!B:B,Clients_Log!G:G,"Pas de correspondance")</f>
        <v>453</v>
      </c>
      <c r="S531" s="3">
        <f>Logs[[#This Row],[Duree_Cumulee_Panne_Min]]/1440</f>
        <v>0.31458333333333333</v>
      </c>
      <c r="T531" s="1">
        <f>_xlfn.XLOOKUP(Logs[[#This Row],[ID_Client]],Clients_Log!B:B,Clients_Log!H:H,"Pas de correspondance")</f>
        <v>56.84</v>
      </c>
      <c r="U531" s="1">
        <f>_xlfn.XLOOKUP(Logs[[#This Row],[ID_Client]],Clients_Log!B:B,Clients_Log!I:I,"Pas de correspondance")</f>
        <v>0</v>
      </c>
      <c r="V53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31" s="1">
        <f>Logs[[#This Row],[Facture_Mensuelle]]*Logs[[#This Row],[Remise (%)]]</f>
        <v>25.578000000000003</v>
      </c>
    </row>
    <row r="532" spans="1:23" hidden="1" x14ac:dyDescent="0.25">
      <c r="A532" s="1" t="s">
        <v>1214</v>
      </c>
      <c r="B532" s="2">
        <v>45216</v>
      </c>
      <c r="C532" s="1" t="str">
        <f>_xlfn.XLOOKUP(Logs[[#This Row],[Province_RDC]],Clients_Log!D:D,Clients_Log!B:B,"Pas de correspondance")</f>
        <v>Pas de correspondance</v>
      </c>
      <c r="D532" t="str">
        <f>_xlfn.XLOOKUP(Logs[[#This Row],[Cell_ID]],'Registre_Maintenance'!B:B,'Registre_Maintenance'!C:C,"Pas de correspondance")</f>
        <v>Pas de correspondance</v>
      </c>
      <c r="E532" s="3">
        <v>0.9506944444444444</v>
      </c>
      <c r="F532" s="1" t="s">
        <v>807</v>
      </c>
      <c r="G532" s="3">
        <f>Logs[[#This Row],[Duree_Panne_Min]]/1440</f>
        <v>8.3333333333333332E-3</v>
      </c>
      <c r="H532">
        <v>12</v>
      </c>
      <c r="I532" t="str">
        <f>_xlfn.XLOOKUP(Logs[[#This Row],[Cell_ID]],'Registre_Maintenance'!B:B,'Registre_Maintenance'!D:D,"Pas de correspondance")</f>
        <v>Pas de correspondance</v>
      </c>
      <c r="J532" t="str">
        <f>_xlfn.XLOOKUP(Logs[[#This Row],[Cell_ID]],'Registre_Maintenance'!B:B,'Registre_Maintenance'!E:E,"Pas de correspondance")</f>
        <v>Pas de correspondance</v>
      </c>
      <c r="K532" t="str">
        <f>_xlfn.XLOOKUP(Logs[[#This Row],[Cell_ID]],'Registre_Maintenance'!B:B,'Registre_Maintenance'!F:F,"Pas de correspondance")</f>
        <v>Pas de correspondance</v>
      </c>
      <c r="L532" t="str">
        <f>_xlfn.XLOOKUP(Logs[[#This Row],[Cell_ID]],'Registre_Maintenance'!B:B,'Registre_Maintenance'!G:G,"Pas de correspondance")</f>
        <v>Pas de correspondance</v>
      </c>
      <c r="M532" s="1" t="s">
        <v>806</v>
      </c>
      <c r="N532" s="1" t="str">
        <f>_xlfn.XLOOKUP(Logs[[#This Row],[ID_Client]],Clients_Log!B:B,Clients_Log!E:E,"Pas de correspondance")</f>
        <v>Pas de correspondance</v>
      </c>
      <c r="O532" s="4" t="str">
        <f>IFERROR(Logs[[#This Row],[Anciennete_Mois]]/12,"")</f>
        <v/>
      </c>
      <c r="P532" s="1" t="str">
        <f>_xlfn.XLOOKUP(Logs[[#This Row],[ID_Client]],Clients_Log!B:B,Clients_Log!F:F,"Pas de correspondance")</f>
        <v>Pas de correspondance</v>
      </c>
      <c r="Q532" s="1" t="str">
        <f>IF(Logs[[#This Row],[Type_Forfait]]="Pro Monde","B2B","B2C")</f>
        <v>B2C</v>
      </c>
      <c r="R532" s="1" t="str">
        <f>_xlfn.XLOOKUP(Logs[[#This Row],[ID_Client]],Clients_Log!B:B,Clients_Log!G:G,"Pas de correspondance")</f>
        <v>Pas de correspondance</v>
      </c>
      <c r="S532" s="1" t="e">
        <f>Logs[[#This Row],[Duree_Cumulee_Panne_Min]]/1440</f>
        <v>#VALUE!</v>
      </c>
      <c r="T532" s="1" t="str">
        <f>_xlfn.XLOOKUP(Logs[[#This Row],[ID_Client]],Clients_Log!B:B,Clients_Log!H:H,"Pas de correspondance")</f>
        <v>Pas de correspondance</v>
      </c>
      <c r="U532" s="1" t="str">
        <f>_xlfn.XLOOKUP(Logs[[#This Row],[ID_Client]],Clients_Log!B:B,Clients_Log!I:I,"Pas de correspondance")</f>
        <v>Pas de correspondance</v>
      </c>
      <c r="V53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32" s="1" t="e">
        <f>Logs[[#This Row],[Facture_Mensuelle]]*Logs[[#This Row],[Remise (%)]]</f>
        <v>#VALUE!</v>
      </c>
    </row>
    <row r="533" spans="1:23" x14ac:dyDescent="0.25">
      <c r="A533" s="1" t="s">
        <v>1214</v>
      </c>
      <c r="B533" s="2">
        <v>45209</v>
      </c>
      <c r="C533" s="1" t="str">
        <f>_xlfn.XLOOKUP(Logs[[#This Row],[Province_RDC]],Clients_Log!D:D,Clients_Log!B:B,"Pas de correspondance")</f>
        <v>CLI-00414</v>
      </c>
      <c r="D533" t="str">
        <f>_xlfn.XLOOKUP(Logs[[#This Row],[Cell_ID]],'Registre_Maintenance'!B:B,'Registre_Maintenance'!C:C,"Pas de correspondance")</f>
        <v>Bas-Uele</v>
      </c>
      <c r="E533" s="3">
        <v>0.92152777777777772</v>
      </c>
      <c r="F533" s="1" t="s">
        <v>996</v>
      </c>
      <c r="G533" s="3">
        <f>Logs[[#This Row],[Duree_Panne_Min]]/1440</f>
        <v>8.2638888888888887E-2</v>
      </c>
      <c r="H533">
        <v>119</v>
      </c>
      <c r="I533">
        <f>_xlfn.XLOOKUP(Logs[[#This Row],[Cell_ID]],'Registre_Maintenance'!B:B,'Registre_Maintenance'!D:D,"Pas de correspondance")</f>
        <v>1.5278670000000001</v>
      </c>
      <c r="J533">
        <f>_xlfn.XLOOKUP(Logs[[#This Row],[Cell_ID]],'Registre_Maintenance'!B:B,'Registre_Maintenance'!E:E,"Pas de correspondance")</f>
        <v>13.899388999999999</v>
      </c>
      <c r="K533" t="str">
        <f>_xlfn.XLOOKUP(Logs[[#This Row],[Cell_ID]],'Registre_Maintenance'!B:B,'Registre_Maintenance'!F:F,"Pas de correspondance")</f>
        <v>3G</v>
      </c>
      <c r="L533" t="str">
        <f>_xlfn.XLOOKUP(Logs[[#This Row],[Cell_ID]],'Registre_Maintenance'!B:B,'Registre_Maintenance'!G:G,"Pas de correspondance")</f>
        <v>Huawei</v>
      </c>
      <c r="M533" s="1" t="s">
        <v>806</v>
      </c>
      <c r="N533" s="1">
        <f>_xlfn.XLOOKUP(Logs[[#This Row],[ID_Client]],Clients_Log!B:B,Clients_Log!E:E,"Pas de correspondance")</f>
        <v>99</v>
      </c>
      <c r="O533" s="4">
        <f>IFERROR(Logs[[#This Row],[Anciennete_Mois]]/12,"")</f>
        <v>8.25</v>
      </c>
      <c r="P533" s="1" t="str">
        <f>_xlfn.XLOOKUP(Logs[[#This Row],[ID_Client]],Clients_Log!B:B,Clients_Log!F:F,"Pas de correspondance")</f>
        <v>Premium 5G 150Go</v>
      </c>
      <c r="Q533" s="1" t="str">
        <f>IF(Logs[[#This Row],[Type_Forfait]]="Pro Monde","B2B","B2C")</f>
        <v>B2C</v>
      </c>
      <c r="R533" s="1">
        <f>_xlfn.XLOOKUP(Logs[[#This Row],[ID_Client]],Clients_Log!B:B,Clients_Log!G:G,"Pas de correspondance")</f>
        <v>447</v>
      </c>
      <c r="S533" s="3">
        <f>Logs[[#This Row],[Duree_Cumulee_Panne_Min]]/1440</f>
        <v>0.31041666666666667</v>
      </c>
      <c r="T533" s="1">
        <f>_xlfn.XLOOKUP(Logs[[#This Row],[ID_Client]],Clients_Log!B:B,Clients_Log!H:H,"Pas de correspondance")</f>
        <v>38.1</v>
      </c>
      <c r="U533" s="1">
        <f>_xlfn.XLOOKUP(Logs[[#This Row],[ID_Client]],Clients_Log!B:B,Clients_Log!I:I,"Pas de correspondance")</f>
        <v>3</v>
      </c>
      <c r="V53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33" s="1">
        <f>Logs[[#This Row],[Facture_Mensuelle]]*Logs[[#This Row],[Remise (%)]]</f>
        <v>17.145</v>
      </c>
    </row>
    <row r="534" spans="1:23" hidden="1" x14ac:dyDescent="0.25">
      <c r="A534" s="1" t="s">
        <v>1214</v>
      </c>
      <c r="B534" s="2">
        <v>45220</v>
      </c>
      <c r="C534" s="1" t="str">
        <f>_xlfn.XLOOKUP(Logs[[#This Row],[Province_RDC]],Clients_Log!D:D,Clients_Log!B:B,"Pas de correspondance")</f>
        <v>Pas de correspondance</v>
      </c>
      <c r="D534" t="str">
        <f>_xlfn.XLOOKUP(Logs[[#This Row],[Cell_ID]],'Registre_Maintenance'!B:B,'Registre_Maintenance'!C:C,"Pas de correspondance")</f>
        <v>Pas de correspondance</v>
      </c>
      <c r="E534" s="3">
        <v>0.39097222222222222</v>
      </c>
      <c r="F534" s="1" t="s">
        <v>1184</v>
      </c>
      <c r="G534" s="3">
        <f>Logs[[#This Row],[Duree_Panne_Min]]/1440</f>
        <v>9.0277777777777769E-3</v>
      </c>
      <c r="H534">
        <v>13</v>
      </c>
      <c r="I534" t="str">
        <f>_xlfn.XLOOKUP(Logs[[#This Row],[Cell_ID]],'Registre_Maintenance'!B:B,'Registre_Maintenance'!D:D,"Pas de correspondance")</f>
        <v>Pas de correspondance</v>
      </c>
      <c r="J534" t="str">
        <f>_xlfn.XLOOKUP(Logs[[#This Row],[Cell_ID]],'Registre_Maintenance'!B:B,'Registre_Maintenance'!E:E,"Pas de correspondance")</f>
        <v>Pas de correspondance</v>
      </c>
      <c r="K534" t="str">
        <f>_xlfn.XLOOKUP(Logs[[#This Row],[Cell_ID]],'Registre_Maintenance'!B:B,'Registre_Maintenance'!F:F,"Pas de correspondance")</f>
        <v>Pas de correspondance</v>
      </c>
      <c r="L534" t="str">
        <f>_xlfn.XLOOKUP(Logs[[#This Row],[Cell_ID]],'Registre_Maintenance'!B:B,'Registre_Maintenance'!G:G,"Pas de correspondance")</f>
        <v>Pas de correspondance</v>
      </c>
      <c r="M534" s="1" t="s">
        <v>809</v>
      </c>
      <c r="N534" s="1" t="str">
        <f>_xlfn.XLOOKUP(Logs[[#This Row],[ID_Client]],Clients_Log!B:B,Clients_Log!E:E,"Pas de correspondance")</f>
        <v>Pas de correspondance</v>
      </c>
      <c r="O534" s="4" t="str">
        <f>IFERROR(Logs[[#This Row],[Anciennete_Mois]]/12,"")</f>
        <v/>
      </c>
      <c r="P534" s="1" t="str">
        <f>_xlfn.XLOOKUP(Logs[[#This Row],[ID_Client]],Clients_Log!B:B,Clients_Log!F:F,"Pas de correspondance")</f>
        <v>Pas de correspondance</v>
      </c>
      <c r="Q534" s="1" t="str">
        <f>IF(Logs[[#This Row],[Type_Forfait]]="Pro Monde","B2B","B2C")</f>
        <v>B2C</v>
      </c>
      <c r="R534" s="1" t="str">
        <f>_xlfn.XLOOKUP(Logs[[#This Row],[ID_Client]],Clients_Log!B:B,Clients_Log!G:G,"Pas de correspondance")</f>
        <v>Pas de correspondance</v>
      </c>
      <c r="S534" s="1" t="e">
        <f>Logs[[#This Row],[Duree_Cumulee_Panne_Min]]/1440</f>
        <v>#VALUE!</v>
      </c>
      <c r="T534" s="1" t="str">
        <f>_xlfn.XLOOKUP(Logs[[#This Row],[ID_Client]],Clients_Log!B:B,Clients_Log!H:H,"Pas de correspondance")</f>
        <v>Pas de correspondance</v>
      </c>
      <c r="U534" s="1" t="str">
        <f>_xlfn.XLOOKUP(Logs[[#This Row],[ID_Client]],Clients_Log!B:B,Clients_Log!I:I,"Pas de correspondance")</f>
        <v>Pas de correspondance</v>
      </c>
      <c r="V53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34" s="1" t="e">
        <f>Logs[[#This Row],[Facture_Mensuelle]]*Logs[[#This Row],[Remise (%)]]</f>
        <v>#VALUE!</v>
      </c>
    </row>
    <row r="535" spans="1:23" hidden="1" x14ac:dyDescent="0.25">
      <c r="A535" s="1" t="s">
        <v>1214</v>
      </c>
      <c r="B535" s="2">
        <v>45219</v>
      </c>
      <c r="C535" s="1" t="str">
        <f>_xlfn.XLOOKUP(Logs[[#This Row],[Province_RDC]],Clients_Log!D:D,Clients_Log!B:B,"Pas de correspondance")</f>
        <v>Pas de correspondance</v>
      </c>
      <c r="D535" t="str">
        <f>_xlfn.XLOOKUP(Logs[[#This Row],[Cell_ID]],'Registre_Maintenance'!B:B,'Registre_Maintenance'!C:C,"Pas de correspondance")</f>
        <v>Pas de correspondance</v>
      </c>
      <c r="E535" s="3">
        <v>0.30138888888888887</v>
      </c>
      <c r="F535" s="1" t="s">
        <v>824</v>
      </c>
      <c r="G535" s="3">
        <f>Logs[[#This Row],[Duree_Panne_Min]]/1440</f>
        <v>4.5138888888888888E-2</v>
      </c>
      <c r="H535">
        <v>65</v>
      </c>
      <c r="I535" t="str">
        <f>_xlfn.XLOOKUP(Logs[[#This Row],[Cell_ID]],'Registre_Maintenance'!B:B,'Registre_Maintenance'!D:D,"Pas de correspondance")</f>
        <v>Pas de correspondance</v>
      </c>
      <c r="J535" t="str">
        <f>_xlfn.XLOOKUP(Logs[[#This Row],[Cell_ID]],'Registre_Maintenance'!B:B,'Registre_Maintenance'!E:E,"Pas de correspondance")</f>
        <v>Pas de correspondance</v>
      </c>
      <c r="K535" t="str">
        <f>_xlfn.XLOOKUP(Logs[[#This Row],[Cell_ID]],'Registre_Maintenance'!B:B,'Registre_Maintenance'!F:F,"Pas de correspondance")</f>
        <v>Pas de correspondance</v>
      </c>
      <c r="L535" t="str">
        <f>_xlfn.XLOOKUP(Logs[[#This Row],[Cell_ID]],'Registre_Maintenance'!B:B,'Registre_Maintenance'!G:G,"Pas de correspondance")</f>
        <v>Pas de correspondance</v>
      </c>
      <c r="M535" s="1" t="s">
        <v>806</v>
      </c>
      <c r="N535" s="1" t="str">
        <f>_xlfn.XLOOKUP(Logs[[#This Row],[ID_Client]],Clients_Log!B:B,Clients_Log!E:E,"Pas de correspondance")</f>
        <v>Pas de correspondance</v>
      </c>
      <c r="O535" s="4" t="str">
        <f>IFERROR(Logs[[#This Row],[Anciennete_Mois]]/12,"")</f>
        <v/>
      </c>
      <c r="P535" s="1" t="str">
        <f>_xlfn.XLOOKUP(Logs[[#This Row],[ID_Client]],Clients_Log!B:B,Clients_Log!F:F,"Pas de correspondance")</f>
        <v>Pas de correspondance</v>
      </c>
      <c r="Q535" s="1" t="str">
        <f>IF(Logs[[#This Row],[Type_Forfait]]="Pro Monde","B2B","B2C")</f>
        <v>B2C</v>
      </c>
      <c r="R535" s="1" t="str">
        <f>_xlfn.XLOOKUP(Logs[[#This Row],[ID_Client]],Clients_Log!B:B,Clients_Log!G:G,"Pas de correspondance")</f>
        <v>Pas de correspondance</v>
      </c>
      <c r="S535" s="1" t="e">
        <f>Logs[[#This Row],[Duree_Cumulee_Panne_Min]]/1440</f>
        <v>#VALUE!</v>
      </c>
      <c r="T535" s="1" t="str">
        <f>_xlfn.XLOOKUP(Logs[[#This Row],[ID_Client]],Clients_Log!B:B,Clients_Log!H:H,"Pas de correspondance")</f>
        <v>Pas de correspondance</v>
      </c>
      <c r="U535" s="1" t="str">
        <f>_xlfn.XLOOKUP(Logs[[#This Row],[ID_Client]],Clients_Log!B:B,Clients_Log!I:I,"Pas de correspondance")</f>
        <v>Pas de correspondance</v>
      </c>
      <c r="V53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35" s="1" t="e">
        <f>Logs[[#This Row],[Facture_Mensuelle]]*Logs[[#This Row],[Remise (%)]]</f>
        <v>#VALUE!</v>
      </c>
    </row>
    <row r="536" spans="1:23" hidden="1" x14ac:dyDescent="0.25">
      <c r="A536" s="1" t="s">
        <v>1214</v>
      </c>
      <c r="B536" s="2">
        <v>45230</v>
      </c>
      <c r="C536" s="1" t="str">
        <f>_xlfn.XLOOKUP(Logs[[#This Row],[Province_RDC]],Clients_Log!D:D,Clients_Log!B:B,"Pas de correspondance")</f>
        <v>Pas de correspondance</v>
      </c>
      <c r="D536" t="str">
        <f>_xlfn.XLOOKUP(Logs[[#This Row],[Cell_ID]],'Registre_Maintenance'!B:B,'Registre_Maintenance'!C:C,"Pas de correspondance")</f>
        <v>Pas de correspondance</v>
      </c>
      <c r="E536" s="3">
        <v>0.1875</v>
      </c>
      <c r="F536" s="1" t="s">
        <v>1223</v>
      </c>
      <c r="G536" s="3">
        <f>Logs[[#This Row],[Duree_Panne_Min]]/1440</f>
        <v>6.2500000000000003E-3</v>
      </c>
      <c r="H536">
        <v>9</v>
      </c>
      <c r="I536" t="str">
        <f>_xlfn.XLOOKUP(Logs[[#This Row],[Cell_ID]],'Registre_Maintenance'!B:B,'Registre_Maintenance'!D:D,"Pas de correspondance")</f>
        <v>Pas de correspondance</v>
      </c>
      <c r="J536" t="str">
        <f>_xlfn.XLOOKUP(Logs[[#This Row],[Cell_ID]],'Registre_Maintenance'!B:B,'Registre_Maintenance'!E:E,"Pas de correspondance")</f>
        <v>Pas de correspondance</v>
      </c>
      <c r="K536" t="str">
        <f>_xlfn.XLOOKUP(Logs[[#This Row],[Cell_ID]],'Registre_Maintenance'!B:B,'Registre_Maintenance'!F:F,"Pas de correspondance")</f>
        <v>Pas de correspondance</v>
      </c>
      <c r="L536" t="str">
        <f>_xlfn.XLOOKUP(Logs[[#This Row],[Cell_ID]],'Registre_Maintenance'!B:B,'Registre_Maintenance'!G:G,"Pas de correspondance")</f>
        <v>Pas de correspondance</v>
      </c>
      <c r="M536" s="1" t="s">
        <v>811</v>
      </c>
      <c r="N536" s="1" t="str">
        <f>_xlfn.XLOOKUP(Logs[[#This Row],[ID_Client]],Clients_Log!B:B,Clients_Log!E:E,"Pas de correspondance")</f>
        <v>Pas de correspondance</v>
      </c>
      <c r="O536" s="4" t="str">
        <f>IFERROR(Logs[[#This Row],[Anciennete_Mois]]/12,"")</f>
        <v/>
      </c>
      <c r="P536" s="1" t="str">
        <f>_xlfn.XLOOKUP(Logs[[#This Row],[ID_Client]],Clients_Log!B:B,Clients_Log!F:F,"Pas de correspondance")</f>
        <v>Pas de correspondance</v>
      </c>
      <c r="Q536" s="1" t="str">
        <f>IF(Logs[[#This Row],[Type_Forfait]]="Pro Monde","B2B","B2C")</f>
        <v>B2C</v>
      </c>
      <c r="R536" s="1" t="str">
        <f>_xlfn.XLOOKUP(Logs[[#This Row],[ID_Client]],Clients_Log!B:B,Clients_Log!G:G,"Pas de correspondance")</f>
        <v>Pas de correspondance</v>
      </c>
      <c r="S536" s="1" t="e">
        <f>Logs[[#This Row],[Duree_Cumulee_Panne_Min]]/1440</f>
        <v>#VALUE!</v>
      </c>
      <c r="T536" s="1" t="str">
        <f>_xlfn.XLOOKUP(Logs[[#This Row],[ID_Client]],Clients_Log!B:B,Clients_Log!H:H,"Pas de correspondance")</f>
        <v>Pas de correspondance</v>
      </c>
      <c r="U536" s="1" t="str">
        <f>_xlfn.XLOOKUP(Logs[[#This Row],[ID_Client]],Clients_Log!B:B,Clients_Log!I:I,"Pas de correspondance")</f>
        <v>Pas de correspondance</v>
      </c>
      <c r="V53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36" s="1" t="e">
        <f>Logs[[#This Row],[Facture_Mensuelle]]*Logs[[#This Row],[Remise (%)]]</f>
        <v>#VALUE!</v>
      </c>
    </row>
    <row r="537" spans="1:23" x14ac:dyDescent="0.25">
      <c r="A537" s="1" t="s">
        <v>1214</v>
      </c>
      <c r="B537" s="2">
        <v>45204</v>
      </c>
      <c r="C537" s="1" t="str">
        <f>_xlfn.XLOOKUP(Logs[[#This Row],[Province_RDC]],Clients_Log!D:D,Clients_Log!B:B,"Pas de correspondance")</f>
        <v>CLI-00611</v>
      </c>
      <c r="D537" t="str">
        <f>_xlfn.XLOOKUP(Logs[[#This Row],[Cell_ID]],'Registre_Maintenance'!B:B,'Registre_Maintenance'!C:C,"Pas de correspondance")</f>
        <v>Kinshasa</v>
      </c>
      <c r="E537" s="3">
        <v>0.61597222222222225</v>
      </c>
      <c r="F537" s="1" t="s">
        <v>1224</v>
      </c>
      <c r="G537" s="3">
        <f>Logs[[#This Row],[Duree_Panne_Min]]/1440</f>
        <v>2.8472222222222222E-2</v>
      </c>
      <c r="H537">
        <v>41</v>
      </c>
      <c r="I537">
        <f>_xlfn.XLOOKUP(Logs[[#This Row],[Cell_ID]],'Registre_Maintenance'!B:B,'Registre_Maintenance'!D:D,"Pas de correspondance")</f>
        <v>1.3006180000000001</v>
      </c>
      <c r="J537">
        <f>_xlfn.XLOOKUP(Logs[[#This Row],[Cell_ID]],'Registre_Maintenance'!B:B,'Registre_Maintenance'!E:E,"Pas de correspondance")</f>
        <v>29.060970999999999</v>
      </c>
      <c r="K537" t="str">
        <f>_xlfn.XLOOKUP(Logs[[#This Row],[Cell_ID]],'Registre_Maintenance'!B:B,'Registre_Maintenance'!F:F,"Pas de correspondance")</f>
        <v>3G</v>
      </c>
      <c r="L537" t="str">
        <f>_xlfn.XLOOKUP(Logs[[#This Row],[Cell_ID]],'Registre_Maintenance'!B:B,'Registre_Maintenance'!G:G,"Pas de correspondance")</f>
        <v>ZTE</v>
      </c>
      <c r="M537" s="1" t="s">
        <v>811</v>
      </c>
      <c r="N537" s="1">
        <f>_xlfn.XLOOKUP(Logs[[#This Row],[ID_Client]],Clients_Log!B:B,Clients_Log!E:E,"Pas de correspondance")</f>
        <v>79</v>
      </c>
      <c r="O537" s="4">
        <f>IFERROR(Logs[[#This Row],[Anciennete_Mois]]/12,"")</f>
        <v>6.583333333333333</v>
      </c>
      <c r="P537" s="1" t="str">
        <f>_xlfn.XLOOKUP(Logs[[#This Row],[ID_Client]],Clients_Log!B:B,Clients_Log!F:F,"Pas de correspondance")</f>
        <v>Premium 5G 150Go</v>
      </c>
      <c r="Q537" s="1" t="str">
        <f>IF(Logs[[#This Row],[Type_Forfait]]="Pro Monde","B2B","B2C")</f>
        <v>B2C</v>
      </c>
      <c r="R537" s="1">
        <f>_xlfn.XLOOKUP(Logs[[#This Row],[ID_Client]],Clients_Log!B:B,Clients_Log!G:G,"Pas de correspondance")</f>
        <v>226</v>
      </c>
      <c r="S537" s="3">
        <f>Logs[[#This Row],[Duree_Cumulee_Panne_Min]]/1440</f>
        <v>0.15694444444444444</v>
      </c>
      <c r="T537" s="1">
        <f>_xlfn.XLOOKUP(Logs[[#This Row],[ID_Client]],Clients_Log!B:B,Clients_Log!H:H,"Pas de correspondance")</f>
        <v>94.38</v>
      </c>
      <c r="U537" s="1">
        <f>_xlfn.XLOOKUP(Logs[[#This Row],[ID_Client]],Clients_Log!B:B,Clients_Log!I:I,"Pas de correspondance")</f>
        <v>3</v>
      </c>
      <c r="V53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37" s="1">
        <f>Logs[[#This Row],[Facture_Mensuelle]]*Logs[[#This Row],[Remise (%)]]</f>
        <v>0</v>
      </c>
    </row>
    <row r="538" spans="1:23" x14ac:dyDescent="0.25">
      <c r="A538" s="1" t="s">
        <v>1214</v>
      </c>
      <c r="B538" s="2">
        <v>45219</v>
      </c>
      <c r="C538" s="1" t="str">
        <f>_xlfn.XLOOKUP(Logs[[#This Row],[Province_RDC]],Clients_Log!D:D,Clients_Log!B:B,"Pas de correspondance")</f>
        <v>CLI-01233</v>
      </c>
      <c r="D538" t="str">
        <f>_xlfn.XLOOKUP(Logs[[#This Row],[Cell_ID]],'Registre_Maintenance'!B:B,'Registre_Maintenance'!C:C,"Pas de correspondance")</f>
        <v>Kongo-Central</v>
      </c>
      <c r="E538" s="3">
        <v>0.47638888888888886</v>
      </c>
      <c r="F538" s="1" t="s">
        <v>813</v>
      </c>
      <c r="G538" s="3">
        <f>Logs[[#This Row],[Duree_Panne_Min]]/1440</f>
        <v>3.9583333333333331E-2</v>
      </c>
      <c r="H538">
        <v>57</v>
      </c>
      <c r="I538">
        <f>_xlfn.XLOOKUP(Logs[[#This Row],[Cell_ID]],'Registre_Maintenance'!B:B,'Registre_Maintenance'!D:D,"Pas de correspondance")</f>
        <v>-2.8211520000000001</v>
      </c>
      <c r="J538">
        <f>_xlfn.XLOOKUP(Logs[[#This Row],[Cell_ID]],'Registre_Maintenance'!B:B,'Registre_Maintenance'!E:E,"Pas de correspondance")</f>
        <v>20.651419000000001</v>
      </c>
      <c r="K538" t="str">
        <f>_xlfn.XLOOKUP(Logs[[#This Row],[Cell_ID]],'Registre_Maintenance'!B:B,'Registre_Maintenance'!F:F,"Pas de correspondance")</f>
        <v>5G</v>
      </c>
      <c r="L538" t="str">
        <f>_xlfn.XLOOKUP(Logs[[#This Row],[Cell_ID]],'Registre_Maintenance'!B:B,'Registre_Maintenance'!G:G,"Pas de correspondance")</f>
        <v>Ericsson</v>
      </c>
      <c r="M538" s="1" t="s">
        <v>806</v>
      </c>
      <c r="N538" s="1">
        <f>_xlfn.XLOOKUP(Logs[[#This Row],[ID_Client]],Clients_Log!B:B,Clients_Log!E:E,"Pas de correspondance")</f>
        <v>101</v>
      </c>
      <c r="O538" s="4">
        <f>IFERROR(Logs[[#This Row],[Anciennete_Mois]]/12,"")</f>
        <v>8.4166666666666661</v>
      </c>
      <c r="P538" s="1" t="str">
        <f>_xlfn.XLOOKUP(Logs[[#This Row],[ID_Client]],Clients_Log!B:B,Clients_Log!F:F,"Pas de correspondance")</f>
        <v>Pro Monde</v>
      </c>
      <c r="Q538" s="1" t="str">
        <f>IF(Logs[[#This Row],[Type_Forfait]]="Pro Monde","B2B","B2C")</f>
        <v>B2B</v>
      </c>
      <c r="R538" s="1">
        <f>_xlfn.XLOOKUP(Logs[[#This Row],[ID_Client]],Clients_Log!B:B,Clients_Log!G:G,"Pas de correspondance")</f>
        <v>333</v>
      </c>
      <c r="S538" s="3">
        <f>Logs[[#This Row],[Duree_Cumulee_Panne_Min]]/1440</f>
        <v>0.23125000000000001</v>
      </c>
      <c r="T538" s="1">
        <f>_xlfn.XLOOKUP(Logs[[#This Row],[ID_Client]],Clients_Log!B:B,Clients_Log!H:H,"Pas de correspondance")</f>
        <v>74.319999999999993</v>
      </c>
      <c r="U538" s="1">
        <f>_xlfn.XLOOKUP(Logs[[#This Row],[ID_Client]],Clients_Log!B:B,Clients_Log!I:I,"Pas de correspondance")</f>
        <v>1</v>
      </c>
      <c r="V53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38" s="1">
        <f>Logs[[#This Row],[Facture_Mensuelle]]*Logs[[#This Row],[Remise (%)]]</f>
        <v>33.443999999999996</v>
      </c>
    </row>
    <row r="539" spans="1:23" x14ac:dyDescent="0.25">
      <c r="A539" s="1" t="s">
        <v>1214</v>
      </c>
      <c r="B539" s="2">
        <v>45222</v>
      </c>
      <c r="C539" s="1" t="str">
        <f>_xlfn.XLOOKUP(Logs[[#This Row],[Province_RDC]],Clients_Log!D:D,Clients_Log!B:B,"Pas de correspondance")</f>
        <v>CLI-00076</v>
      </c>
      <c r="D539" t="str">
        <f>_xlfn.XLOOKUP(Logs[[#This Row],[Cell_ID]],'Registre_Maintenance'!B:B,'Registre_Maintenance'!C:C,"Pas de correspondance")</f>
        <v>Haut-Katanga</v>
      </c>
      <c r="E539" s="3">
        <v>0.74861111111111112</v>
      </c>
      <c r="F539" s="1" t="s">
        <v>1225</v>
      </c>
      <c r="G539" s="3">
        <f>Logs[[#This Row],[Duree_Panne_Min]]/1440</f>
        <v>1.9444444444444445E-2</v>
      </c>
      <c r="H539">
        <v>28</v>
      </c>
      <c r="I539">
        <f>_xlfn.XLOOKUP(Logs[[#This Row],[Cell_ID]],'Registre_Maintenance'!B:B,'Registre_Maintenance'!D:D,"Pas de correspondance")</f>
        <v>-11.468578000000001</v>
      </c>
      <c r="J539">
        <f>_xlfn.XLOOKUP(Logs[[#This Row],[Cell_ID]],'Registre_Maintenance'!B:B,'Registre_Maintenance'!E:E,"Pas de correspondance")</f>
        <v>16.914501999999999</v>
      </c>
      <c r="K539" t="str">
        <f>_xlfn.XLOOKUP(Logs[[#This Row],[Cell_ID]],'Registre_Maintenance'!B:B,'Registre_Maintenance'!F:F,"Pas de correspondance")</f>
        <v>4G</v>
      </c>
      <c r="L539" t="str">
        <f>_xlfn.XLOOKUP(Logs[[#This Row],[Cell_ID]],'Registre_Maintenance'!B:B,'Registre_Maintenance'!G:G,"Pas de correspondance")</f>
        <v>Ericsson</v>
      </c>
      <c r="M539" s="1" t="s">
        <v>809</v>
      </c>
      <c r="N539" s="1">
        <f>_xlfn.XLOOKUP(Logs[[#This Row],[ID_Client]],Clients_Log!B:B,Clients_Log!E:E,"Pas de correspondance")</f>
        <v>46</v>
      </c>
      <c r="O539" s="4">
        <f>IFERROR(Logs[[#This Row],[Anciennete_Mois]]/12,"")</f>
        <v>3.8333333333333335</v>
      </c>
      <c r="P539" s="1" t="str">
        <f>_xlfn.XLOOKUP(Logs[[#This Row],[ID_Client]],Clients_Log!B:B,Clients_Log!F:F,"Pas de correspondance")</f>
        <v>Premium 5G 150Go</v>
      </c>
      <c r="Q539" s="1" t="str">
        <f>IF(Logs[[#This Row],[Type_Forfait]]="Pro Monde","B2B","B2C")</f>
        <v>B2C</v>
      </c>
      <c r="R539" s="1">
        <f>_xlfn.XLOOKUP(Logs[[#This Row],[ID_Client]],Clients_Log!B:B,Clients_Log!G:G,"Pas de correspondance")</f>
        <v>283</v>
      </c>
      <c r="S539" s="3">
        <f>Logs[[#This Row],[Duree_Cumulee_Panne_Min]]/1440</f>
        <v>0.19652777777777777</v>
      </c>
      <c r="T539" s="1">
        <f>_xlfn.XLOOKUP(Logs[[#This Row],[ID_Client]],Clients_Log!B:B,Clients_Log!H:H,"Pas de correspondance")</f>
        <v>56.05</v>
      </c>
      <c r="U539" s="1">
        <f>_xlfn.XLOOKUP(Logs[[#This Row],[ID_Client]],Clients_Log!B:B,Clients_Log!I:I,"Pas de correspondance")</f>
        <v>1</v>
      </c>
      <c r="V53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39" s="1">
        <f>Logs[[#This Row],[Facture_Mensuelle]]*Logs[[#This Row],[Remise (%)]]</f>
        <v>25.2225</v>
      </c>
    </row>
    <row r="540" spans="1:23" hidden="1" x14ac:dyDescent="0.25">
      <c r="A540" s="1" t="s">
        <v>1214</v>
      </c>
      <c r="B540" s="2">
        <v>45215</v>
      </c>
      <c r="C540" s="1" t="str">
        <f>_xlfn.XLOOKUP(Logs[[#This Row],[Province_RDC]],Clients_Log!D:D,Clients_Log!B:B,"Pas de correspondance")</f>
        <v>Pas de correspondance</v>
      </c>
      <c r="D540" t="str">
        <f>_xlfn.XLOOKUP(Logs[[#This Row],[Cell_ID]],'Registre_Maintenance'!B:B,'Registre_Maintenance'!C:C,"Pas de correspondance")</f>
        <v>Pas de correspondance</v>
      </c>
      <c r="E540" s="3">
        <v>0.74375000000000002</v>
      </c>
      <c r="F540" s="1" t="s">
        <v>1226</v>
      </c>
      <c r="G540" s="3">
        <f>Logs[[#This Row],[Duree_Panne_Min]]/1440</f>
        <v>7.1527777777777773E-2</v>
      </c>
      <c r="H540">
        <v>103</v>
      </c>
      <c r="I540" t="str">
        <f>_xlfn.XLOOKUP(Logs[[#This Row],[Cell_ID]],'Registre_Maintenance'!B:B,'Registre_Maintenance'!D:D,"Pas de correspondance")</f>
        <v>Pas de correspondance</v>
      </c>
      <c r="J540" t="str">
        <f>_xlfn.XLOOKUP(Logs[[#This Row],[Cell_ID]],'Registre_Maintenance'!B:B,'Registre_Maintenance'!E:E,"Pas de correspondance")</f>
        <v>Pas de correspondance</v>
      </c>
      <c r="K540" t="str">
        <f>_xlfn.XLOOKUP(Logs[[#This Row],[Cell_ID]],'Registre_Maintenance'!B:B,'Registre_Maintenance'!F:F,"Pas de correspondance")</f>
        <v>Pas de correspondance</v>
      </c>
      <c r="L540" t="str">
        <f>_xlfn.XLOOKUP(Logs[[#This Row],[Cell_ID]],'Registre_Maintenance'!B:B,'Registre_Maintenance'!G:G,"Pas de correspondance")</f>
        <v>Pas de correspondance</v>
      </c>
      <c r="M540" s="1" t="s">
        <v>806</v>
      </c>
      <c r="N540" s="1" t="str">
        <f>_xlfn.XLOOKUP(Logs[[#This Row],[ID_Client]],Clients_Log!B:B,Clients_Log!E:E,"Pas de correspondance")</f>
        <v>Pas de correspondance</v>
      </c>
      <c r="O540" s="4" t="str">
        <f>IFERROR(Logs[[#This Row],[Anciennete_Mois]]/12,"")</f>
        <v/>
      </c>
      <c r="P540" s="1" t="str">
        <f>_xlfn.XLOOKUP(Logs[[#This Row],[ID_Client]],Clients_Log!B:B,Clients_Log!F:F,"Pas de correspondance")</f>
        <v>Pas de correspondance</v>
      </c>
      <c r="Q540" s="1" t="str">
        <f>IF(Logs[[#This Row],[Type_Forfait]]="Pro Monde","B2B","B2C")</f>
        <v>B2C</v>
      </c>
      <c r="R540" s="1" t="str">
        <f>_xlfn.XLOOKUP(Logs[[#This Row],[ID_Client]],Clients_Log!B:B,Clients_Log!G:G,"Pas de correspondance")</f>
        <v>Pas de correspondance</v>
      </c>
      <c r="S540" s="1" t="e">
        <f>Logs[[#This Row],[Duree_Cumulee_Panne_Min]]/1440</f>
        <v>#VALUE!</v>
      </c>
      <c r="T540" s="1" t="str">
        <f>_xlfn.XLOOKUP(Logs[[#This Row],[ID_Client]],Clients_Log!B:B,Clients_Log!H:H,"Pas de correspondance")</f>
        <v>Pas de correspondance</v>
      </c>
      <c r="U540" s="1" t="str">
        <f>_xlfn.XLOOKUP(Logs[[#This Row],[ID_Client]],Clients_Log!B:B,Clients_Log!I:I,"Pas de correspondance")</f>
        <v>Pas de correspondance</v>
      </c>
      <c r="V54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40" s="1" t="e">
        <f>Logs[[#This Row],[Facture_Mensuelle]]*Logs[[#This Row],[Remise (%)]]</f>
        <v>#VALUE!</v>
      </c>
    </row>
    <row r="541" spans="1:23" x14ac:dyDescent="0.25">
      <c r="A541" s="1" t="s">
        <v>1214</v>
      </c>
      <c r="B541" s="2">
        <v>45221</v>
      </c>
      <c r="C541" s="1" t="str">
        <f>_xlfn.XLOOKUP(Logs[[#This Row],[Province_RDC]],Clients_Log!D:D,Clients_Log!B:B,"Pas de correspondance")</f>
        <v>CLI-00611</v>
      </c>
      <c r="D541" t="str">
        <f>_xlfn.XLOOKUP(Logs[[#This Row],[Cell_ID]],'Registre_Maintenance'!B:B,'Registre_Maintenance'!C:C,"Pas de correspondance")</f>
        <v>Kinshasa</v>
      </c>
      <c r="E541" s="3">
        <v>0.28333333333333333</v>
      </c>
      <c r="F541" s="1" t="s">
        <v>1227</v>
      </c>
      <c r="G541" s="3">
        <f>Logs[[#This Row],[Duree_Panne_Min]]/1440</f>
        <v>1.5277777777777777E-2</v>
      </c>
      <c r="H541">
        <v>22</v>
      </c>
      <c r="I541">
        <f>_xlfn.XLOOKUP(Logs[[#This Row],[Cell_ID]],'Registre_Maintenance'!B:B,'Registre_Maintenance'!D:D,"Pas de correspondance")</f>
        <v>-2.6665070000000002</v>
      </c>
      <c r="J541">
        <f>_xlfn.XLOOKUP(Logs[[#This Row],[Cell_ID]],'Registre_Maintenance'!B:B,'Registre_Maintenance'!E:E,"Pas de correspondance")</f>
        <v>18.623692999999999</v>
      </c>
      <c r="K541" t="str">
        <f>_xlfn.XLOOKUP(Logs[[#This Row],[Cell_ID]],'Registre_Maintenance'!B:B,'Registre_Maintenance'!F:F,"Pas de correspondance")</f>
        <v>3G</v>
      </c>
      <c r="L541" t="str">
        <f>_xlfn.XLOOKUP(Logs[[#This Row],[Cell_ID]],'Registre_Maintenance'!B:B,'Registre_Maintenance'!G:G,"Pas de correspondance")</f>
        <v>ZTE</v>
      </c>
      <c r="M541" s="1" t="s">
        <v>806</v>
      </c>
      <c r="N541" s="1">
        <f>_xlfn.XLOOKUP(Logs[[#This Row],[ID_Client]],Clients_Log!B:B,Clients_Log!E:E,"Pas de correspondance")</f>
        <v>79</v>
      </c>
      <c r="O541" s="4">
        <f>IFERROR(Logs[[#This Row],[Anciennete_Mois]]/12,"")</f>
        <v>6.583333333333333</v>
      </c>
      <c r="P541" s="1" t="str">
        <f>_xlfn.XLOOKUP(Logs[[#This Row],[ID_Client]],Clients_Log!B:B,Clients_Log!F:F,"Pas de correspondance")</f>
        <v>Premium 5G 150Go</v>
      </c>
      <c r="Q541" s="1" t="str">
        <f>IF(Logs[[#This Row],[Type_Forfait]]="Pro Monde","B2B","B2C")</f>
        <v>B2C</v>
      </c>
      <c r="R541" s="1">
        <f>_xlfn.XLOOKUP(Logs[[#This Row],[ID_Client]],Clients_Log!B:B,Clients_Log!G:G,"Pas de correspondance")</f>
        <v>226</v>
      </c>
      <c r="S541" s="3">
        <f>Logs[[#This Row],[Duree_Cumulee_Panne_Min]]/1440</f>
        <v>0.15694444444444444</v>
      </c>
      <c r="T541" s="1">
        <f>_xlfn.XLOOKUP(Logs[[#This Row],[ID_Client]],Clients_Log!B:B,Clients_Log!H:H,"Pas de correspondance")</f>
        <v>94.38</v>
      </c>
      <c r="U541" s="1">
        <f>_xlfn.XLOOKUP(Logs[[#This Row],[ID_Client]],Clients_Log!B:B,Clients_Log!I:I,"Pas de correspondance")</f>
        <v>3</v>
      </c>
      <c r="V54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41" s="1">
        <f>Logs[[#This Row],[Facture_Mensuelle]]*Logs[[#This Row],[Remise (%)]]</f>
        <v>0</v>
      </c>
    </row>
    <row r="542" spans="1:23" hidden="1" x14ac:dyDescent="0.25">
      <c r="A542" s="1" t="s">
        <v>1214</v>
      </c>
      <c r="B542" s="2">
        <v>45207</v>
      </c>
      <c r="C542" s="1" t="str">
        <f>_xlfn.XLOOKUP(Logs[[#This Row],[Province_RDC]],Clients_Log!D:D,Clients_Log!B:B,"Pas de correspondance")</f>
        <v>Pas de correspondance</v>
      </c>
      <c r="D542" t="str">
        <f>_xlfn.XLOOKUP(Logs[[#This Row],[Cell_ID]],'Registre_Maintenance'!B:B,'Registre_Maintenance'!C:C,"Pas de correspondance")</f>
        <v>Pas de correspondance</v>
      </c>
      <c r="E542" s="3">
        <v>0.90833333333333333</v>
      </c>
      <c r="F542" s="1" t="s">
        <v>1228</v>
      </c>
      <c r="G542" s="3">
        <f>Logs[[#This Row],[Duree_Panne_Min]]/1440</f>
        <v>7.1527777777777773E-2</v>
      </c>
      <c r="H542">
        <v>103</v>
      </c>
      <c r="I542" t="str">
        <f>_xlfn.XLOOKUP(Logs[[#This Row],[Cell_ID]],'Registre_Maintenance'!B:B,'Registre_Maintenance'!D:D,"Pas de correspondance")</f>
        <v>Pas de correspondance</v>
      </c>
      <c r="J542" t="str">
        <f>_xlfn.XLOOKUP(Logs[[#This Row],[Cell_ID]],'Registre_Maintenance'!B:B,'Registre_Maintenance'!E:E,"Pas de correspondance")</f>
        <v>Pas de correspondance</v>
      </c>
      <c r="K542" t="str">
        <f>_xlfn.XLOOKUP(Logs[[#This Row],[Cell_ID]],'Registre_Maintenance'!B:B,'Registre_Maintenance'!F:F,"Pas de correspondance")</f>
        <v>Pas de correspondance</v>
      </c>
      <c r="L542" t="str">
        <f>_xlfn.XLOOKUP(Logs[[#This Row],[Cell_ID]],'Registre_Maintenance'!B:B,'Registre_Maintenance'!G:G,"Pas de correspondance")</f>
        <v>Pas de correspondance</v>
      </c>
      <c r="M542" s="1" t="s">
        <v>806</v>
      </c>
      <c r="N542" s="1" t="str">
        <f>_xlfn.XLOOKUP(Logs[[#This Row],[ID_Client]],Clients_Log!B:B,Clients_Log!E:E,"Pas de correspondance")</f>
        <v>Pas de correspondance</v>
      </c>
      <c r="O542" s="4" t="str">
        <f>IFERROR(Logs[[#This Row],[Anciennete_Mois]]/12,"")</f>
        <v/>
      </c>
      <c r="P542" s="1" t="str">
        <f>_xlfn.XLOOKUP(Logs[[#This Row],[ID_Client]],Clients_Log!B:B,Clients_Log!F:F,"Pas de correspondance")</f>
        <v>Pas de correspondance</v>
      </c>
      <c r="Q542" s="1" t="str">
        <f>IF(Logs[[#This Row],[Type_Forfait]]="Pro Monde","B2B","B2C")</f>
        <v>B2C</v>
      </c>
      <c r="R542" s="1" t="str">
        <f>_xlfn.XLOOKUP(Logs[[#This Row],[ID_Client]],Clients_Log!B:B,Clients_Log!G:G,"Pas de correspondance")</f>
        <v>Pas de correspondance</v>
      </c>
      <c r="S542" s="1" t="e">
        <f>Logs[[#This Row],[Duree_Cumulee_Panne_Min]]/1440</f>
        <v>#VALUE!</v>
      </c>
      <c r="T542" s="1" t="str">
        <f>_xlfn.XLOOKUP(Logs[[#This Row],[ID_Client]],Clients_Log!B:B,Clients_Log!H:H,"Pas de correspondance")</f>
        <v>Pas de correspondance</v>
      </c>
      <c r="U542" s="1" t="str">
        <f>_xlfn.XLOOKUP(Logs[[#This Row],[ID_Client]],Clients_Log!B:B,Clients_Log!I:I,"Pas de correspondance")</f>
        <v>Pas de correspondance</v>
      </c>
      <c r="V54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42" s="1" t="e">
        <f>Logs[[#This Row],[Facture_Mensuelle]]*Logs[[#This Row],[Remise (%)]]</f>
        <v>#VALUE!</v>
      </c>
    </row>
    <row r="543" spans="1:23" hidden="1" x14ac:dyDescent="0.25">
      <c r="A543" s="1" t="s">
        <v>1214</v>
      </c>
      <c r="B543" s="2">
        <v>45219</v>
      </c>
      <c r="C543" s="1" t="str">
        <f>_xlfn.XLOOKUP(Logs[[#This Row],[Province_RDC]],Clients_Log!D:D,Clients_Log!B:B,"Pas de correspondance")</f>
        <v>Pas de correspondance</v>
      </c>
      <c r="D543" t="str">
        <f>_xlfn.XLOOKUP(Logs[[#This Row],[Cell_ID]],'Registre_Maintenance'!B:B,'Registre_Maintenance'!C:C,"Pas de correspondance")</f>
        <v>Pas de correspondance</v>
      </c>
      <c r="E543" s="3">
        <v>0.10625</v>
      </c>
      <c r="F543" s="1" t="s">
        <v>1229</v>
      </c>
      <c r="G543" s="3">
        <f>Logs[[#This Row],[Duree_Panne_Min]]/1440</f>
        <v>6.0416666666666667E-2</v>
      </c>
      <c r="H543">
        <v>87</v>
      </c>
      <c r="I543" t="str">
        <f>_xlfn.XLOOKUP(Logs[[#This Row],[Cell_ID]],'Registre_Maintenance'!B:B,'Registre_Maintenance'!D:D,"Pas de correspondance")</f>
        <v>Pas de correspondance</v>
      </c>
      <c r="J543" t="str">
        <f>_xlfn.XLOOKUP(Logs[[#This Row],[Cell_ID]],'Registre_Maintenance'!B:B,'Registre_Maintenance'!E:E,"Pas de correspondance")</f>
        <v>Pas de correspondance</v>
      </c>
      <c r="K543" t="str">
        <f>_xlfn.XLOOKUP(Logs[[#This Row],[Cell_ID]],'Registre_Maintenance'!B:B,'Registre_Maintenance'!F:F,"Pas de correspondance")</f>
        <v>Pas de correspondance</v>
      </c>
      <c r="L543" t="str">
        <f>_xlfn.XLOOKUP(Logs[[#This Row],[Cell_ID]],'Registre_Maintenance'!B:B,'Registre_Maintenance'!G:G,"Pas de correspondance")</f>
        <v>Pas de correspondance</v>
      </c>
      <c r="M543" s="1" t="s">
        <v>809</v>
      </c>
      <c r="N543" s="1" t="str">
        <f>_xlfn.XLOOKUP(Logs[[#This Row],[ID_Client]],Clients_Log!B:B,Clients_Log!E:E,"Pas de correspondance")</f>
        <v>Pas de correspondance</v>
      </c>
      <c r="O543" s="4" t="str">
        <f>IFERROR(Logs[[#This Row],[Anciennete_Mois]]/12,"")</f>
        <v/>
      </c>
      <c r="P543" s="1" t="str">
        <f>_xlfn.XLOOKUP(Logs[[#This Row],[ID_Client]],Clients_Log!B:B,Clients_Log!F:F,"Pas de correspondance")</f>
        <v>Pas de correspondance</v>
      </c>
      <c r="Q543" s="1" t="str">
        <f>IF(Logs[[#This Row],[Type_Forfait]]="Pro Monde","B2B","B2C")</f>
        <v>B2C</v>
      </c>
      <c r="R543" s="1" t="str">
        <f>_xlfn.XLOOKUP(Logs[[#This Row],[ID_Client]],Clients_Log!B:B,Clients_Log!G:G,"Pas de correspondance")</f>
        <v>Pas de correspondance</v>
      </c>
      <c r="S543" s="1" t="e">
        <f>Logs[[#This Row],[Duree_Cumulee_Panne_Min]]/1440</f>
        <v>#VALUE!</v>
      </c>
      <c r="T543" s="1" t="str">
        <f>_xlfn.XLOOKUP(Logs[[#This Row],[ID_Client]],Clients_Log!B:B,Clients_Log!H:H,"Pas de correspondance")</f>
        <v>Pas de correspondance</v>
      </c>
      <c r="U543" s="1" t="str">
        <f>_xlfn.XLOOKUP(Logs[[#This Row],[ID_Client]],Clients_Log!B:B,Clients_Log!I:I,"Pas de correspondance")</f>
        <v>Pas de correspondance</v>
      </c>
      <c r="V54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43" s="1" t="e">
        <f>Logs[[#This Row],[Facture_Mensuelle]]*Logs[[#This Row],[Remise (%)]]</f>
        <v>#VALUE!</v>
      </c>
    </row>
    <row r="544" spans="1:23" x14ac:dyDescent="0.25">
      <c r="A544" s="1" t="s">
        <v>1214</v>
      </c>
      <c r="B544" s="2">
        <v>45214</v>
      </c>
      <c r="C544" s="1" t="str">
        <f>_xlfn.XLOOKUP(Logs[[#This Row],[Province_RDC]],Clients_Log!D:D,Clients_Log!B:B,"Pas de correspondance")</f>
        <v>CLI-00361</v>
      </c>
      <c r="D544" t="str">
        <f>_xlfn.XLOOKUP(Logs[[#This Row],[Cell_ID]],'Registre_Maintenance'!B:B,'Registre_Maintenance'!C:C,"Pas de correspondance")</f>
        <v>Mai-Ndombe</v>
      </c>
      <c r="E544" s="3">
        <v>0.69791666666666663</v>
      </c>
      <c r="F544" s="1" t="s">
        <v>1230</v>
      </c>
      <c r="G544" s="3">
        <f>Logs[[#This Row],[Duree_Panne_Min]]/1440</f>
        <v>6.805555555555555E-2</v>
      </c>
      <c r="H544">
        <v>98</v>
      </c>
      <c r="I544">
        <f>_xlfn.XLOOKUP(Logs[[#This Row],[Cell_ID]],'Registre_Maintenance'!B:B,'Registre_Maintenance'!D:D,"Pas de correspondance")</f>
        <v>-12.192204</v>
      </c>
      <c r="J544">
        <f>_xlfn.XLOOKUP(Logs[[#This Row],[Cell_ID]],'Registre_Maintenance'!B:B,'Registre_Maintenance'!E:E,"Pas de correspondance")</f>
        <v>28.468682000000001</v>
      </c>
      <c r="K544" t="str">
        <f>_xlfn.XLOOKUP(Logs[[#This Row],[Cell_ID]],'Registre_Maintenance'!B:B,'Registre_Maintenance'!F:F,"Pas de correspondance")</f>
        <v>3G</v>
      </c>
      <c r="L544" t="str">
        <f>_xlfn.XLOOKUP(Logs[[#This Row],[Cell_ID]],'Registre_Maintenance'!B:B,'Registre_Maintenance'!G:G,"Pas de correspondance")</f>
        <v>ZTE</v>
      </c>
      <c r="M544" s="1" t="s">
        <v>811</v>
      </c>
      <c r="N544" s="1">
        <f>_xlfn.XLOOKUP(Logs[[#This Row],[ID_Client]],Clients_Log!B:B,Clients_Log!E:E,"Pas de correspondance")</f>
        <v>66</v>
      </c>
      <c r="O544" s="4">
        <f>IFERROR(Logs[[#This Row],[Anciennete_Mois]]/12,"")</f>
        <v>5.5</v>
      </c>
      <c r="P544" s="1" t="str">
        <f>_xlfn.XLOOKUP(Logs[[#This Row],[ID_Client]],Clients_Log!B:B,Clients_Log!F:F,"Pas de correspondance")</f>
        <v>Illimité 50Go</v>
      </c>
      <c r="Q544" s="1" t="str">
        <f>IF(Logs[[#This Row],[Type_Forfait]]="Pro Monde","B2B","B2C")</f>
        <v>B2C</v>
      </c>
      <c r="R544" s="1">
        <f>_xlfn.XLOOKUP(Logs[[#This Row],[ID_Client]],Clients_Log!B:B,Clients_Log!G:G,"Pas de correspondance")</f>
        <v>270</v>
      </c>
      <c r="S544" s="3">
        <f>Logs[[#This Row],[Duree_Cumulee_Panne_Min]]/1440</f>
        <v>0.1875</v>
      </c>
      <c r="T544" s="1">
        <f>_xlfn.XLOOKUP(Logs[[#This Row],[ID_Client]],Clients_Log!B:B,Clients_Log!H:H,"Pas de correspondance")</f>
        <v>75.88</v>
      </c>
      <c r="U544" s="1">
        <f>_xlfn.XLOOKUP(Logs[[#This Row],[ID_Client]],Clients_Log!B:B,Clients_Log!I:I,"Pas de correspondance")</f>
        <v>3</v>
      </c>
      <c r="V54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44" s="1">
        <f>Logs[[#This Row],[Facture_Mensuelle]]*Logs[[#This Row],[Remise (%)]]</f>
        <v>34.146000000000001</v>
      </c>
    </row>
    <row r="545" spans="1:23" hidden="1" x14ac:dyDescent="0.25">
      <c r="A545" s="1" t="s">
        <v>1214</v>
      </c>
      <c r="B545" s="2">
        <v>45211</v>
      </c>
      <c r="C545" s="1" t="str">
        <f>_xlfn.XLOOKUP(Logs[[#This Row],[Province_RDC]],Clients_Log!D:D,Clients_Log!B:B,"Pas de correspondance")</f>
        <v>Pas de correspondance</v>
      </c>
      <c r="D545" t="str">
        <f>_xlfn.XLOOKUP(Logs[[#This Row],[Cell_ID]],'Registre_Maintenance'!B:B,'Registre_Maintenance'!C:C,"Pas de correspondance")</f>
        <v>Pas de correspondance</v>
      </c>
      <c r="E545" s="3">
        <v>0.12361111111111112</v>
      </c>
      <c r="F545" s="1" t="s">
        <v>922</v>
      </c>
      <c r="G545" s="3">
        <f>Logs[[#This Row],[Duree_Panne_Min]]/1440</f>
        <v>6.0416666666666667E-2</v>
      </c>
      <c r="H545">
        <v>87</v>
      </c>
      <c r="I545" t="str">
        <f>_xlfn.XLOOKUP(Logs[[#This Row],[Cell_ID]],'Registre_Maintenance'!B:B,'Registre_Maintenance'!D:D,"Pas de correspondance")</f>
        <v>Pas de correspondance</v>
      </c>
      <c r="J545" t="str">
        <f>_xlfn.XLOOKUP(Logs[[#This Row],[Cell_ID]],'Registre_Maintenance'!B:B,'Registre_Maintenance'!E:E,"Pas de correspondance")</f>
        <v>Pas de correspondance</v>
      </c>
      <c r="K545" t="str">
        <f>_xlfn.XLOOKUP(Logs[[#This Row],[Cell_ID]],'Registre_Maintenance'!B:B,'Registre_Maintenance'!F:F,"Pas de correspondance")</f>
        <v>Pas de correspondance</v>
      </c>
      <c r="L545" t="str">
        <f>_xlfn.XLOOKUP(Logs[[#This Row],[Cell_ID]],'Registre_Maintenance'!B:B,'Registre_Maintenance'!G:G,"Pas de correspondance")</f>
        <v>Pas de correspondance</v>
      </c>
      <c r="M545" s="1" t="s">
        <v>806</v>
      </c>
      <c r="N545" s="1" t="str">
        <f>_xlfn.XLOOKUP(Logs[[#This Row],[ID_Client]],Clients_Log!B:B,Clients_Log!E:E,"Pas de correspondance")</f>
        <v>Pas de correspondance</v>
      </c>
      <c r="O545" s="4" t="str">
        <f>IFERROR(Logs[[#This Row],[Anciennete_Mois]]/12,"")</f>
        <v/>
      </c>
      <c r="P545" s="1" t="str">
        <f>_xlfn.XLOOKUP(Logs[[#This Row],[ID_Client]],Clients_Log!B:B,Clients_Log!F:F,"Pas de correspondance")</f>
        <v>Pas de correspondance</v>
      </c>
      <c r="Q545" s="1" t="str">
        <f>IF(Logs[[#This Row],[Type_Forfait]]="Pro Monde","B2B","B2C")</f>
        <v>B2C</v>
      </c>
      <c r="R545" s="1" t="str">
        <f>_xlfn.XLOOKUP(Logs[[#This Row],[ID_Client]],Clients_Log!B:B,Clients_Log!G:G,"Pas de correspondance")</f>
        <v>Pas de correspondance</v>
      </c>
      <c r="S545" s="1" t="e">
        <f>Logs[[#This Row],[Duree_Cumulee_Panne_Min]]/1440</f>
        <v>#VALUE!</v>
      </c>
      <c r="T545" s="1" t="str">
        <f>_xlfn.XLOOKUP(Logs[[#This Row],[ID_Client]],Clients_Log!B:B,Clients_Log!H:H,"Pas de correspondance")</f>
        <v>Pas de correspondance</v>
      </c>
      <c r="U545" s="1" t="str">
        <f>_xlfn.XLOOKUP(Logs[[#This Row],[ID_Client]],Clients_Log!B:B,Clients_Log!I:I,"Pas de correspondance")</f>
        <v>Pas de correspondance</v>
      </c>
      <c r="V54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45" s="1" t="e">
        <f>Logs[[#This Row],[Facture_Mensuelle]]*Logs[[#This Row],[Remise (%)]]</f>
        <v>#VALUE!</v>
      </c>
    </row>
    <row r="546" spans="1:23" hidden="1" x14ac:dyDescent="0.25">
      <c r="A546" s="1" t="s">
        <v>1214</v>
      </c>
      <c r="B546" s="2">
        <v>45218</v>
      </c>
      <c r="C546" s="1" t="str">
        <f>_xlfn.XLOOKUP(Logs[[#This Row],[Province_RDC]],Clients_Log!D:D,Clients_Log!B:B,"Pas de correspondance")</f>
        <v>Pas de correspondance</v>
      </c>
      <c r="D546" t="str">
        <f>_xlfn.XLOOKUP(Logs[[#This Row],[Cell_ID]],'Registre_Maintenance'!B:B,'Registre_Maintenance'!C:C,"Pas de correspondance")</f>
        <v>Pas de correspondance</v>
      </c>
      <c r="E546" s="3">
        <v>0.12708333333333333</v>
      </c>
      <c r="F546" s="1" t="s">
        <v>1081</v>
      </c>
      <c r="G546" s="3">
        <f>Logs[[#This Row],[Duree_Panne_Min]]/1440</f>
        <v>4.027777777777778E-2</v>
      </c>
      <c r="H546">
        <v>58</v>
      </c>
      <c r="I546" t="str">
        <f>_xlfn.XLOOKUP(Logs[[#This Row],[Cell_ID]],'Registre_Maintenance'!B:B,'Registre_Maintenance'!D:D,"Pas de correspondance")</f>
        <v>Pas de correspondance</v>
      </c>
      <c r="J546" t="str">
        <f>_xlfn.XLOOKUP(Logs[[#This Row],[Cell_ID]],'Registre_Maintenance'!B:B,'Registre_Maintenance'!E:E,"Pas de correspondance")</f>
        <v>Pas de correspondance</v>
      </c>
      <c r="K546" t="str">
        <f>_xlfn.XLOOKUP(Logs[[#This Row],[Cell_ID]],'Registre_Maintenance'!B:B,'Registre_Maintenance'!F:F,"Pas de correspondance")</f>
        <v>Pas de correspondance</v>
      </c>
      <c r="L546" t="str">
        <f>_xlfn.XLOOKUP(Logs[[#This Row],[Cell_ID]],'Registre_Maintenance'!B:B,'Registre_Maintenance'!G:G,"Pas de correspondance")</f>
        <v>Pas de correspondance</v>
      </c>
      <c r="M546" s="1" t="s">
        <v>809</v>
      </c>
      <c r="N546" s="1" t="str">
        <f>_xlfn.XLOOKUP(Logs[[#This Row],[ID_Client]],Clients_Log!B:B,Clients_Log!E:E,"Pas de correspondance")</f>
        <v>Pas de correspondance</v>
      </c>
      <c r="O546" s="4" t="str">
        <f>IFERROR(Logs[[#This Row],[Anciennete_Mois]]/12,"")</f>
        <v/>
      </c>
      <c r="P546" s="1" t="str">
        <f>_xlfn.XLOOKUP(Logs[[#This Row],[ID_Client]],Clients_Log!B:B,Clients_Log!F:F,"Pas de correspondance")</f>
        <v>Pas de correspondance</v>
      </c>
      <c r="Q546" s="1" t="str">
        <f>IF(Logs[[#This Row],[Type_Forfait]]="Pro Monde","B2B","B2C")</f>
        <v>B2C</v>
      </c>
      <c r="R546" s="1" t="str">
        <f>_xlfn.XLOOKUP(Logs[[#This Row],[ID_Client]],Clients_Log!B:B,Clients_Log!G:G,"Pas de correspondance")</f>
        <v>Pas de correspondance</v>
      </c>
      <c r="S546" s="1" t="e">
        <f>Logs[[#This Row],[Duree_Cumulee_Panne_Min]]/1440</f>
        <v>#VALUE!</v>
      </c>
      <c r="T546" s="1" t="str">
        <f>_xlfn.XLOOKUP(Logs[[#This Row],[ID_Client]],Clients_Log!B:B,Clients_Log!H:H,"Pas de correspondance")</f>
        <v>Pas de correspondance</v>
      </c>
      <c r="U546" s="1" t="str">
        <f>_xlfn.XLOOKUP(Logs[[#This Row],[ID_Client]],Clients_Log!B:B,Clients_Log!I:I,"Pas de correspondance")</f>
        <v>Pas de correspondance</v>
      </c>
      <c r="V54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46" s="1" t="e">
        <f>Logs[[#This Row],[Facture_Mensuelle]]*Logs[[#This Row],[Remise (%)]]</f>
        <v>#VALUE!</v>
      </c>
    </row>
    <row r="547" spans="1:23" hidden="1" x14ac:dyDescent="0.25">
      <c r="A547" s="1" t="s">
        <v>1214</v>
      </c>
      <c r="B547" s="2">
        <v>45226</v>
      </c>
      <c r="C547" s="1" t="str">
        <f>_xlfn.XLOOKUP(Logs[[#This Row],[Province_RDC]],Clients_Log!D:D,Clients_Log!B:B,"Pas de correspondance")</f>
        <v>Pas de correspondance</v>
      </c>
      <c r="D547" t="str">
        <f>_xlfn.XLOOKUP(Logs[[#This Row],[Cell_ID]],'Registre_Maintenance'!B:B,'Registre_Maintenance'!C:C,"Pas de correspondance")</f>
        <v>Pas de correspondance</v>
      </c>
      <c r="E547" s="3">
        <v>0.74791666666666667</v>
      </c>
      <c r="F547" s="1" t="s">
        <v>1231</v>
      </c>
      <c r="G547" s="3">
        <f>Logs[[#This Row],[Duree_Panne_Min]]/1440</f>
        <v>3.6111111111111108E-2</v>
      </c>
      <c r="H547">
        <v>52</v>
      </c>
      <c r="I547" t="str">
        <f>_xlfn.XLOOKUP(Logs[[#This Row],[Cell_ID]],'Registre_Maintenance'!B:B,'Registre_Maintenance'!D:D,"Pas de correspondance")</f>
        <v>Pas de correspondance</v>
      </c>
      <c r="J547" t="str">
        <f>_xlfn.XLOOKUP(Logs[[#This Row],[Cell_ID]],'Registre_Maintenance'!B:B,'Registre_Maintenance'!E:E,"Pas de correspondance")</f>
        <v>Pas de correspondance</v>
      </c>
      <c r="K547" t="str">
        <f>_xlfn.XLOOKUP(Logs[[#This Row],[Cell_ID]],'Registre_Maintenance'!B:B,'Registre_Maintenance'!F:F,"Pas de correspondance")</f>
        <v>Pas de correspondance</v>
      </c>
      <c r="L547" t="str">
        <f>_xlfn.XLOOKUP(Logs[[#This Row],[Cell_ID]],'Registre_Maintenance'!B:B,'Registre_Maintenance'!G:G,"Pas de correspondance")</f>
        <v>Pas de correspondance</v>
      </c>
      <c r="M547" s="1" t="s">
        <v>809</v>
      </c>
      <c r="N547" s="1" t="str">
        <f>_xlfn.XLOOKUP(Logs[[#This Row],[ID_Client]],Clients_Log!B:B,Clients_Log!E:E,"Pas de correspondance")</f>
        <v>Pas de correspondance</v>
      </c>
      <c r="O547" s="4" t="str">
        <f>IFERROR(Logs[[#This Row],[Anciennete_Mois]]/12,"")</f>
        <v/>
      </c>
      <c r="P547" s="1" t="str">
        <f>_xlfn.XLOOKUP(Logs[[#This Row],[ID_Client]],Clients_Log!B:B,Clients_Log!F:F,"Pas de correspondance")</f>
        <v>Pas de correspondance</v>
      </c>
      <c r="Q547" s="1" t="str">
        <f>IF(Logs[[#This Row],[Type_Forfait]]="Pro Monde","B2B","B2C")</f>
        <v>B2C</v>
      </c>
      <c r="R547" s="1" t="str">
        <f>_xlfn.XLOOKUP(Logs[[#This Row],[ID_Client]],Clients_Log!B:B,Clients_Log!G:G,"Pas de correspondance")</f>
        <v>Pas de correspondance</v>
      </c>
      <c r="S547" s="1" t="e">
        <f>Logs[[#This Row],[Duree_Cumulee_Panne_Min]]/1440</f>
        <v>#VALUE!</v>
      </c>
      <c r="T547" s="1" t="str">
        <f>_xlfn.XLOOKUP(Logs[[#This Row],[ID_Client]],Clients_Log!B:B,Clients_Log!H:H,"Pas de correspondance")</f>
        <v>Pas de correspondance</v>
      </c>
      <c r="U547" s="1" t="str">
        <f>_xlfn.XLOOKUP(Logs[[#This Row],[ID_Client]],Clients_Log!B:B,Clients_Log!I:I,"Pas de correspondance")</f>
        <v>Pas de correspondance</v>
      </c>
      <c r="V54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47" s="1" t="e">
        <f>Logs[[#This Row],[Facture_Mensuelle]]*Logs[[#This Row],[Remise (%)]]</f>
        <v>#VALUE!</v>
      </c>
    </row>
    <row r="548" spans="1:23" x14ac:dyDescent="0.25">
      <c r="A548" s="1" t="s">
        <v>1214</v>
      </c>
      <c r="B548" s="2">
        <v>45216</v>
      </c>
      <c r="C548" s="1" t="str">
        <f>_xlfn.XLOOKUP(Logs[[#This Row],[Province_RDC]],Clients_Log!D:D,Clients_Log!B:B,"Pas de correspondance")</f>
        <v>CLI-01855</v>
      </c>
      <c r="D548" t="str">
        <f>_xlfn.XLOOKUP(Logs[[#This Row],[Cell_ID]],'Registre_Maintenance'!B:B,'Registre_Maintenance'!C:C,"Pas de correspondance")</f>
        <v>Sud-Kivu</v>
      </c>
      <c r="E548" s="3">
        <v>0.27500000000000002</v>
      </c>
      <c r="F548" s="1" t="s">
        <v>1232</v>
      </c>
      <c r="G548" s="3">
        <f>Logs[[#This Row],[Duree_Panne_Min]]/1440</f>
        <v>8.2638888888888887E-2</v>
      </c>
      <c r="H548">
        <v>119</v>
      </c>
      <c r="I548">
        <f>_xlfn.XLOOKUP(Logs[[#This Row],[Cell_ID]],'Registre_Maintenance'!B:B,'Registre_Maintenance'!D:D,"Pas de correspondance")</f>
        <v>2.4414509999999998</v>
      </c>
      <c r="J548">
        <f>_xlfn.XLOOKUP(Logs[[#This Row],[Cell_ID]],'Registre_Maintenance'!B:B,'Registre_Maintenance'!E:E,"Pas de correspondance")</f>
        <v>30.167489</v>
      </c>
      <c r="K548" t="str">
        <f>_xlfn.XLOOKUP(Logs[[#This Row],[Cell_ID]],'Registre_Maintenance'!B:B,'Registre_Maintenance'!F:F,"Pas de correspondance")</f>
        <v>5G</v>
      </c>
      <c r="L548" t="str">
        <f>_xlfn.XLOOKUP(Logs[[#This Row],[Cell_ID]],'Registre_Maintenance'!B:B,'Registre_Maintenance'!G:G,"Pas de correspondance")</f>
        <v>Nokia</v>
      </c>
      <c r="M548" s="1" t="s">
        <v>811</v>
      </c>
      <c r="N548" s="1">
        <f>_xlfn.XLOOKUP(Logs[[#This Row],[ID_Client]],Clients_Log!B:B,Clients_Log!E:E,"Pas de correspondance")</f>
        <v>101</v>
      </c>
      <c r="O548" s="4">
        <f>IFERROR(Logs[[#This Row],[Anciennete_Mois]]/12,"")</f>
        <v>8.4166666666666661</v>
      </c>
      <c r="P548" s="1" t="str">
        <f>_xlfn.XLOOKUP(Logs[[#This Row],[ID_Client]],Clients_Log!B:B,Clients_Log!F:F,"Pas de correspondance")</f>
        <v>Illimité 50Go</v>
      </c>
      <c r="Q548" s="1" t="str">
        <f>IF(Logs[[#This Row],[Type_Forfait]]="Pro Monde","B2B","B2C")</f>
        <v>B2C</v>
      </c>
      <c r="R548" s="1">
        <f>_xlfn.XLOOKUP(Logs[[#This Row],[ID_Client]],Clients_Log!B:B,Clients_Log!G:G,"Pas de correspondance")</f>
        <v>358</v>
      </c>
      <c r="S548" s="3">
        <f>Logs[[#This Row],[Duree_Cumulee_Panne_Min]]/1440</f>
        <v>0.24861111111111112</v>
      </c>
      <c r="T548" s="1">
        <f>_xlfn.XLOOKUP(Logs[[#This Row],[ID_Client]],Clients_Log!B:B,Clients_Log!H:H,"Pas de correspondance")</f>
        <v>29.24</v>
      </c>
      <c r="U548" s="1">
        <f>_xlfn.XLOOKUP(Logs[[#This Row],[ID_Client]],Clients_Log!B:B,Clients_Log!I:I,"Pas de correspondance")</f>
        <v>3</v>
      </c>
      <c r="V54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48" s="1">
        <f>Logs[[#This Row],[Facture_Mensuelle]]*Logs[[#This Row],[Remise (%)]]</f>
        <v>13.157999999999999</v>
      </c>
    </row>
    <row r="549" spans="1:23" x14ac:dyDescent="0.25">
      <c r="A549" s="1" t="s">
        <v>1214</v>
      </c>
      <c r="B549" s="2">
        <v>45217</v>
      </c>
      <c r="C549" s="1" t="str">
        <f>_xlfn.XLOOKUP(Logs[[#This Row],[Province_RDC]],Clients_Log!D:D,Clients_Log!B:B,"Pas de correspondance")</f>
        <v>CLI-00611</v>
      </c>
      <c r="D549" t="str">
        <f>_xlfn.XLOOKUP(Logs[[#This Row],[Cell_ID]],'Registre_Maintenance'!B:B,'Registre_Maintenance'!C:C,"Pas de correspondance")</f>
        <v>Kinshasa</v>
      </c>
      <c r="E549" s="3">
        <v>0.1736111111111111</v>
      </c>
      <c r="F549" s="1" t="s">
        <v>940</v>
      </c>
      <c r="G549" s="3">
        <f>Logs[[#This Row],[Duree_Panne_Min]]/1440</f>
        <v>3.6805555555555557E-2</v>
      </c>
      <c r="H549">
        <v>53</v>
      </c>
      <c r="I549">
        <f>_xlfn.XLOOKUP(Logs[[#This Row],[Cell_ID]],'Registre_Maintenance'!B:B,'Registre_Maintenance'!D:D,"Pas de correspondance")</f>
        <v>-1.6097570000000001</v>
      </c>
      <c r="J549">
        <f>_xlfn.XLOOKUP(Logs[[#This Row],[Cell_ID]],'Registre_Maintenance'!B:B,'Registre_Maintenance'!E:E,"Pas de correspondance")</f>
        <v>30.661662</v>
      </c>
      <c r="K549" t="str">
        <f>_xlfn.XLOOKUP(Logs[[#This Row],[Cell_ID]],'Registre_Maintenance'!B:B,'Registre_Maintenance'!F:F,"Pas de correspondance")</f>
        <v>4G</v>
      </c>
      <c r="L549" t="str">
        <f>_xlfn.XLOOKUP(Logs[[#This Row],[Cell_ID]],'Registre_Maintenance'!B:B,'Registre_Maintenance'!G:G,"Pas de correspondance")</f>
        <v>Ericsson</v>
      </c>
      <c r="M549" s="1" t="s">
        <v>809</v>
      </c>
      <c r="N549" s="1">
        <f>_xlfn.XLOOKUP(Logs[[#This Row],[ID_Client]],Clients_Log!B:B,Clients_Log!E:E,"Pas de correspondance")</f>
        <v>79</v>
      </c>
      <c r="O549" s="4">
        <f>IFERROR(Logs[[#This Row],[Anciennete_Mois]]/12,"")</f>
        <v>6.583333333333333</v>
      </c>
      <c r="P549" s="1" t="str">
        <f>_xlfn.XLOOKUP(Logs[[#This Row],[ID_Client]],Clients_Log!B:B,Clients_Log!F:F,"Pas de correspondance")</f>
        <v>Premium 5G 150Go</v>
      </c>
      <c r="Q549" s="1" t="str">
        <f>IF(Logs[[#This Row],[Type_Forfait]]="Pro Monde","B2B","B2C")</f>
        <v>B2C</v>
      </c>
      <c r="R549" s="1">
        <f>_xlfn.XLOOKUP(Logs[[#This Row],[ID_Client]],Clients_Log!B:B,Clients_Log!G:G,"Pas de correspondance")</f>
        <v>226</v>
      </c>
      <c r="S549" s="3">
        <f>Logs[[#This Row],[Duree_Cumulee_Panne_Min]]/1440</f>
        <v>0.15694444444444444</v>
      </c>
      <c r="T549" s="1">
        <f>_xlfn.XLOOKUP(Logs[[#This Row],[ID_Client]],Clients_Log!B:B,Clients_Log!H:H,"Pas de correspondance")</f>
        <v>94.38</v>
      </c>
      <c r="U549" s="1">
        <f>_xlfn.XLOOKUP(Logs[[#This Row],[ID_Client]],Clients_Log!B:B,Clients_Log!I:I,"Pas de correspondance")</f>
        <v>3</v>
      </c>
      <c r="V54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49" s="1">
        <f>Logs[[#This Row],[Facture_Mensuelle]]*Logs[[#This Row],[Remise (%)]]</f>
        <v>0</v>
      </c>
    </row>
    <row r="550" spans="1:23" x14ac:dyDescent="0.25">
      <c r="A550" s="1" t="s">
        <v>1214</v>
      </c>
      <c r="B550" s="2">
        <v>45210</v>
      </c>
      <c r="C550" s="1" t="str">
        <f>_xlfn.XLOOKUP(Logs[[#This Row],[Province_RDC]],Clients_Log!D:D,Clients_Log!B:B,"Pas de correspondance")</f>
        <v>CLI-01170</v>
      </c>
      <c r="D550" t="str">
        <f>_xlfn.XLOOKUP(Logs[[#This Row],[Cell_ID]],'Registre_Maintenance'!B:B,'Registre_Maintenance'!C:C,"Pas de correspondance")</f>
        <v>Nord-Ubangi</v>
      </c>
      <c r="E550" s="3">
        <v>0.68611111111111112</v>
      </c>
      <c r="F550" s="1" t="s">
        <v>1233</v>
      </c>
      <c r="G550" s="3">
        <f>Logs[[#This Row],[Duree_Panne_Min]]/1440</f>
        <v>4.3055555555555555E-2</v>
      </c>
      <c r="H550">
        <v>62</v>
      </c>
      <c r="I550">
        <f>_xlfn.XLOOKUP(Logs[[#This Row],[Cell_ID]],'Registre_Maintenance'!B:B,'Registre_Maintenance'!D:D,"Pas de correspondance")</f>
        <v>8.5490999999999998E-2</v>
      </c>
      <c r="J550">
        <f>_xlfn.XLOOKUP(Logs[[#This Row],[Cell_ID]],'Registre_Maintenance'!B:B,'Registre_Maintenance'!E:E,"Pas de correspondance")</f>
        <v>26.296129000000001</v>
      </c>
      <c r="K550" t="str">
        <f>_xlfn.XLOOKUP(Logs[[#This Row],[Cell_ID]],'Registre_Maintenance'!B:B,'Registre_Maintenance'!F:F,"Pas de correspondance")</f>
        <v>3G</v>
      </c>
      <c r="L550" t="str">
        <f>_xlfn.XLOOKUP(Logs[[#This Row],[Cell_ID]],'Registre_Maintenance'!B:B,'Registre_Maintenance'!G:G,"Pas de correspondance")</f>
        <v>ZTE</v>
      </c>
      <c r="M550" s="1" t="s">
        <v>809</v>
      </c>
      <c r="N550" s="1">
        <f>_xlfn.XLOOKUP(Logs[[#This Row],[ID_Client]],Clients_Log!B:B,Clients_Log!E:E,"Pas de correspondance")</f>
        <v>98</v>
      </c>
      <c r="O550" s="4">
        <f>IFERROR(Logs[[#This Row],[Anciennete_Mois]]/12,"")</f>
        <v>8.1666666666666661</v>
      </c>
      <c r="P550" s="1" t="str">
        <f>_xlfn.XLOOKUP(Logs[[#This Row],[ID_Client]],Clients_Log!B:B,Clients_Log!F:F,"Pas de correspondance")</f>
        <v>Pro Monde</v>
      </c>
      <c r="Q550" s="1" t="str">
        <f>IF(Logs[[#This Row],[Type_Forfait]]="Pro Monde","B2B","B2C")</f>
        <v>B2B</v>
      </c>
      <c r="R550" s="1">
        <f>_xlfn.XLOOKUP(Logs[[#This Row],[ID_Client]],Clients_Log!B:B,Clients_Log!G:G,"Pas de correspondance")</f>
        <v>482</v>
      </c>
      <c r="S550" s="3">
        <f>Logs[[#This Row],[Duree_Cumulee_Panne_Min]]/1440</f>
        <v>0.3347222222222222</v>
      </c>
      <c r="T550" s="1">
        <f>_xlfn.XLOOKUP(Logs[[#This Row],[ID_Client]],Clients_Log!B:B,Clients_Log!H:H,"Pas de correspondance")</f>
        <v>55.04</v>
      </c>
      <c r="U550" s="1">
        <f>_xlfn.XLOOKUP(Logs[[#This Row],[ID_Client]],Clients_Log!B:B,Clients_Log!I:I,"Pas de correspondance")</f>
        <v>5</v>
      </c>
      <c r="V55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50" s="1">
        <f>Logs[[#This Row],[Facture_Mensuelle]]*Logs[[#This Row],[Remise (%)]]</f>
        <v>24.768000000000001</v>
      </c>
    </row>
    <row r="551" spans="1:23" hidden="1" x14ac:dyDescent="0.25">
      <c r="A551" s="1" t="s">
        <v>1214</v>
      </c>
      <c r="B551" s="2">
        <v>45203</v>
      </c>
      <c r="C551" s="1" t="str">
        <f>_xlfn.XLOOKUP(Logs[[#This Row],[Province_RDC]],Clients_Log!D:D,Clients_Log!B:B,"Pas de correspondance")</f>
        <v>Pas de correspondance</v>
      </c>
      <c r="D551" t="str">
        <f>_xlfn.XLOOKUP(Logs[[#This Row],[Cell_ID]],'Registre_Maintenance'!B:B,'Registre_Maintenance'!C:C,"Pas de correspondance")</f>
        <v>Pas de correspondance</v>
      </c>
      <c r="E551" s="3">
        <v>0.88402777777777775</v>
      </c>
      <c r="F551" s="1" t="s">
        <v>1234</v>
      </c>
      <c r="G551" s="3">
        <f>Logs[[#This Row],[Duree_Panne_Min]]/1440</f>
        <v>8.0555555555555561E-2</v>
      </c>
      <c r="H551">
        <v>116</v>
      </c>
      <c r="I551" t="str">
        <f>_xlfn.XLOOKUP(Logs[[#This Row],[Cell_ID]],'Registre_Maintenance'!B:B,'Registre_Maintenance'!D:D,"Pas de correspondance")</f>
        <v>Pas de correspondance</v>
      </c>
      <c r="J551" t="str">
        <f>_xlfn.XLOOKUP(Logs[[#This Row],[Cell_ID]],'Registre_Maintenance'!B:B,'Registre_Maintenance'!E:E,"Pas de correspondance")</f>
        <v>Pas de correspondance</v>
      </c>
      <c r="K551" t="str">
        <f>_xlfn.XLOOKUP(Logs[[#This Row],[Cell_ID]],'Registre_Maintenance'!B:B,'Registre_Maintenance'!F:F,"Pas de correspondance")</f>
        <v>Pas de correspondance</v>
      </c>
      <c r="L551" t="str">
        <f>_xlfn.XLOOKUP(Logs[[#This Row],[Cell_ID]],'Registre_Maintenance'!B:B,'Registre_Maintenance'!G:G,"Pas de correspondance")</f>
        <v>Pas de correspondance</v>
      </c>
      <c r="M551" s="1" t="s">
        <v>809</v>
      </c>
      <c r="N551" s="1" t="str">
        <f>_xlfn.XLOOKUP(Logs[[#This Row],[ID_Client]],Clients_Log!B:B,Clients_Log!E:E,"Pas de correspondance")</f>
        <v>Pas de correspondance</v>
      </c>
      <c r="O551" s="4" t="str">
        <f>IFERROR(Logs[[#This Row],[Anciennete_Mois]]/12,"")</f>
        <v/>
      </c>
      <c r="P551" s="1" t="str">
        <f>_xlfn.XLOOKUP(Logs[[#This Row],[ID_Client]],Clients_Log!B:B,Clients_Log!F:F,"Pas de correspondance")</f>
        <v>Pas de correspondance</v>
      </c>
      <c r="Q551" s="1" t="str">
        <f>IF(Logs[[#This Row],[Type_Forfait]]="Pro Monde","B2B","B2C")</f>
        <v>B2C</v>
      </c>
      <c r="R551" s="1" t="str">
        <f>_xlfn.XLOOKUP(Logs[[#This Row],[ID_Client]],Clients_Log!B:B,Clients_Log!G:G,"Pas de correspondance")</f>
        <v>Pas de correspondance</v>
      </c>
      <c r="S551" s="1" t="e">
        <f>Logs[[#This Row],[Duree_Cumulee_Panne_Min]]/1440</f>
        <v>#VALUE!</v>
      </c>
      <c r="T551" s="1" t="str">
        <f>_xlfn.XLOOKUP(Logs[[#This Row],[ID_Client]],Clients_Log!B:B,Clients_Log!H:H,"Pas de correspondance")</f>
        <v>Pas de correspondance</v>
      </c>
      <c r="U551" s="1" t="str">
        <f>_xlfn.XLOOKUP(Logs[[#This Row],[ID_Client]],Clients_Log!B:B,Clients_Log!I:I,"Pas de correspondance")</f>
        <v>Pas de correspondance</v>
      </c>
      <c r="V55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51" s="1" t="e">
        <f>Logs[[#This Row],[Facture_Mensuelle]]*Logs[[#This Row],[Remise (%)]]</f>
        <v>#VALUE!</v>
      </c>
    </row>
    <row r="552" spans="1:23" hidden="1" x14ac:dyDescent="0.25">
      <c r="A552" s="1" t="s">
        <v>1214</v>
      </c>
      <c r="B552" s="2">
        <v>45222</v>
      </c>
      <c r="C552" s="1" t="str">
        <f>_xlfn.XLOOKUP(Logs[[#This Row],[Province_RDC]],Clients_Log!D:D,Clients_Log!B:B,"Pas de correspondance")</f>
        <v>Pas de correspondance</v>
      </c>
      <c r="D552" t="str">
        <f>_xlfn.XLOOKUP(Logs[[#This Row],[Cell_ID]],'Registre_Maintenance'!B:B,'Registre_Maintenance'!C:C,"Pas de correspondance")</f>
        <v>Pas de correspondance</v>
      </c>
      <c r="E552" s="3">
        <v>0.77152777777777781</v>
      </c>
      <c r="F552" s="1" t="s">
        <v>812</v>
      </c>
      <c r="G552" s="3">
        <f>Logs[[#This Row],[Duree_Panne_Min]]/1440</f>
        <v>3.6805555555555557E-2</v>
      </c>
      <c r="H552">
        <v>53</v>
      </c>
      <c r="I552" t="str">
        <f>_xlfn.XLOOKUP(Logs[[#This Row],[Cell_ID]],'Registre_Maintenance'!B:B,'Registre_Maintenance'!D:D,"Pas de correspondance")</f>
        <v>Pas de correspondance</v>
      </c>
      <c r="J552" t="str">
        <f>_xlfn.XLOOKUP(Logs[[#This Row],[Cell_ID]],'Registre_Maintenance'!B:B,'Registre_Maintenance'!E:E,"Pas de correspondance")</f>
        <v>Pas de correspondance</v>
      </c>
      <c r="K552" t="str">
        <f>_xlfn.XLOOKUP(Logs[[#This Row],[Cell_ID]],'Registre_Maintenance'!B:B,'Registre_Maintenance'!F:F,"Pas de correspondance")</f>
        <v>Pas de correspondance</v>
      </c>
      <c r="L552" t="str">
        <f>_xlfn.XLOOKUP(Logs[[#This Row],[Cell_ID]],'Registre_Maintenance'!B:B,'Registre_Maintenance'!G:G,"Pas de correspondance")</f>
        <v>Pas de correspondance</v>
      </c>
      <c r="M552" s="1" t="s">
        <v>811</v>
      </c>
      <c r="N552" s="1" t="str">
        <f>_xlfn.XLOOKUP(Logs[[#This Row],[ID_Client]],Clients_Log!B:B,Clients_Log!E:E,"Pas de correspondance")</f>
        <v>Pas de correspondance</v>
      </c>
      <c r="O552" s="4" t="str">
        <f>IFERROR(Logs[[#This Row],[Anciennete_Mois]]/12,"")</f>
        <v/>
      </c>
      <c r="P552" s="1" t="str">
        <f>_xlfn.XLOOKUP(Logs[[#This Row],[ID_Client]],Clients_Log!B:B,Clients_Log!F:F,"Pas de correspondance")</f>
        <v>Pas de correspondance</v>
      </c>
      <c r="Q552" s="1" t="str">
        <f>IF(Logs[[#This Row],[Type_Forfait]]="Pro Monde","B2B","B2C")</f>
        <v>B2C</v>
      </c>
      <c r="R552" s="1" t="str">
        <f>_xlfn.XLOOKUP(Logs[[#This Row],[ID_Client]],Clients_Log!B:B,Clients_Log!G:G,"Pas de correspondance")</f>
        <v>Pas de correspondance</v>
      </c>
      <c r="S552" s="1" t="e">
        <f>Logs[[#This Row],[Duree_Cumulee_Panne_Min]]/1440</f>
        <v>#VALUE!</v>
      </c>
      <c r="T552" s="1" t="str">
        <f>_xlfn.XLOOKUP(Logs[[#This Row],[ID_Client]],Clients_Log!B:B,Clients_Log!H:H,"Pas de correspondance")</f>
        <v>Pas de correspondance</v>
      </c>
      <c r="U552" s="1" t="str">
        <f>_xlfn.XLOOKUP(Logs[[#This Row],[ID_Client]],Clients_Log!B:B,Clients_Log!I:I,"Pas de correspondance")</f>
        <v>Pas de correspondance</v>
      </c>
      <c r="V55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52" s="1" t="e">
        <f>Logs[[#This Row],[Facture_Mensuelle]]*Logs[[#This Row],[Remise (%)]]</f>
        <v>#VALUE!</v>
      </c>
    </row>
    <row r="553" spans="1:23" hidden="1" x14ac:dyDescent="0.25">
      <c r="A553" s="1" t="s">
        <v>1214</v>
      </c>
      <c r="B553" s="2">
        <v>45202</v>
      </c>
      <c r="C553" s="1" t="str">
        <f>_xlfn.XLOOKUP(Logs[[#This Row],[Province_RDC]],Clients_Log!D:D,Clients_Log!B:B,"Pas de correspondance")</f>
        <v>Pas de correspondance</v>
      </c>
      <c r="D553" t="str">
        <f>_xlfn.XLOOKUP(Logs[[#This Row],[Cell_ID]],'Registre_Maintenance'!B:B,'Registre_Maintenance'!C:C,"Pas de correspondance")</f>
        <v>Pas de correspondance</v>
      </c>
      <c r="E553" s="3">
        <v>0.68611111111111112</v>
      </c>
      <c r="F553" s="1" t="s">
        <v>1235</v>
      </c>
      <c r="G553" s="3">
        <f>Logs[[#This Row],[Duree_Panne_Min]]/1440</f>
        <v>3.6805555555555557E-2</v>
      </c>
      <c r="H553">
        <v>53</v>
      </c>
      <c r="I553" t="str">
        <f>_xlfn.XLOOKUP(Logs[[#This Row],[Cell_ID]],'Registre_Maintenance'!B:B,'Registre_Maintenance'!D:D,"Pas de correspondance")</f>
        <v>Pas de correspondance</v>
      </c>
      <c r="J553" t="str">
        <f>_xlfn.XLOOKUP(Logs[[#This Row],[Cell_ID]],'Registre_Maintenance'!B:B,'Registre_Maintenance'!E:E,"Pas de correspondance")</f>
        <v>Pas de correspondance</v>
      </c>
      <c r="K553" t="str">
        <f>_xlfn.XLOOKUP(Logs[[#This Row],[Cell_ID]],'Registre_Maintenance'!B:B,'Registre_Maintenance'!F:F,"Pas de correspondance")</f>
        <v>Pas de correspondance</v>
      </c>
      <c r="L553" t="str">
        <f>_xlfn.XLOOKUP(Logs[[#This Row],[Cell_ID]],'Registre_Maintenance'!B:B,'Registre_Maintenance'!G:G,"Pas de correspondance")</f>
        <v>Pas de correspondance</v>
      </c>
      <c r="M553" s="1" t="s">
        <v>806</v>
      </c>
      <c r="N553" s="1" t="str">
        <f>_xlfn.XLOOKUP(Logs[[#This Row],[ID_Client]],Clients_Log!B:B,Clients_Log!E:E,"Pas de correspondance")</f>
        <v>Pas de correspondance</v>
      </c>
      <c r="O553" s="4" t="str">
        <f>IFERROR(Logs[[#This Row],[Anciennete_Mois]]/12,"")</f>
        <v/>
      </c>
      <c r="P553" s="1" t="str">
        <f>_xlfn.XLOOKUP(Logs[[#This Row],[ID_Client]],Clients_Log!B:B,Clients_Log!F:F,"Pas de correspondance")</f>
        <v>Pas de correspondance</v>
      </c>
      <c r="Q553" s="1" t="str">
        <f>IF(Logs[[#This Row],[Type_Forfait]]="Pro Monde","B2B","B2C")</f>
        <v>B2C</v>
      </c>
      <c r="R553" s="1" t="str">
        <f>_xlfn.XLOOKUP(Logs[[#This Row],[ID_Client]],Clients_Log!B:B,Clients_Log!G:G,"Pas de correspondance")</f>
        <v>Pas de correspondance</v>
      </c>
      <c r="S553" s="1" t="e">
        <f>Logs[[#This Row],[Duree_Cumulee_Panne_Min]]/1440</f>
        <v>#VALUE!</v>
      </c>
      <c r="T553" s="1" t="str">
        <f>_xlfn.XLOOKUP(Logs[[#This Row],[ID_Client]],Clients_Log!B:B,Clients_Log!H:H,"Pas de correspondance")</f>
        <v>Pas de correspondance</v>
      </c>
      <c r="U553" s="1" t="str">
        <f>_xlfn.XLOOKUP(Logs[[#This Row],[ID_Client]],Clients_Log!B:B,Clients_Log!I:I,"Pas de correspondance")</f>
        <v>Pas de correspondance</v>
      </c>
      <c r="V55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53" s="1" t="e">
        <f>Logs[[#This Row],[Facture_Mensuelle]]*Logs[[#This Row],[Remise (%)]]</f>
        <v>#VALUE!</v>
      </c>
    </row>
    <row r="554" spans="1:23" hidden="1" x14ac:dyDescent="0.25">
      <c r="A554" s="1" t="s">
        <v>1214</v>
      </c>
      <c r="B554" s="2">
        <v>45225</v>
      </c>
      <c r="C554" s="1" t="str">
        <f>_xlfn.XLOOKUP(Logs[[#This Row],[Province_RDC]],Clients_Log!D:D,Clients_Log!B:B,"Pas de correspondance")</f>
        <v>Pas de correspondance</v>
      </c>
      <c r="D554" t="str">
        <f>_xlfn.XLOOKUP(Logs[[#This Row],[Cell_ID]],'Registre_Maintenance'!B:B,'Registre_Maintenance'!C:C,"Pas de correspondance")</f>
        <v>Pas de correspondance</v>
      </c>
      <c r="E554" s="3">
        <v>6.1805555555555558E-2</v>
      </c>
      <c r="F554" s="1" t="s">
        <v>1236</v>
      </c>
      <c r="G554" s="3">
        <f>Logs[[#This Row],[Duree_Panne_Min]]/1440</f>
        <v>1.0416666666666666E-2</v>
      </c>
      <c r="H554">
        <v>15</v>
      </c>
      <c r="I554" t="str">
        <f>_xlfn.XLOOKUP(Logs[[#This Row],[Cell_ID]],'Registre_Maintenance'!B:B,'Registre_Maintenance'!D:D,"Pas de correspondance")</f>
        <v>Pas de correspondance</v>
      </c>
      <c r="J554" t="str">
        <f>_xlfn.XLOOKUP(Logs[[#This Row],[Cell_ID]],'Registre_Maintenance'!B:B,'Registre_Maintenance'!E:E,"Pas de correspondance")</f>
        <v>Pas de correspondance</v>
      </c>
      <c r="K554" t="str">
        <f>_xlfn.XLOOKUP(Logs[[#This Row],[Cell_ID]],'Registre_Maintenance'!B:B,'Registre_Maintenance'!F:F,"Pas de correspondance")</f>
        <v>Pas de correspondance</v>
      </c>
      <c r="L554" t="str">
        <f>_xlfn.XLOOKUP(Logs[[#This Row],[Cell_ID]],'Registre_Maintenance'!B:B,'Registre_Maintenance'!G:G,"Pas de correspondance")</f>
        <v>Pas de correspondance</v>
      </c>
      <c r="M554" s="1" t="s">
        <v>811</v>
      </c>
      <c r="N554" s="1" t="str">
        <f>_xlfn.XLOOKUP(Logs[[#This Row],[ID_Client]],Clients_Log!B:B,Clients_Log!E:E,"Pas de correspondance")</f>
        <v>Pas de correspondance</v>
      </c>
      <c r="O554" s="4" t="str">
        <f>IFERROR(Logs[[#This Row],[Anciennete_Mois]]/12,"")</f>
        <v/>
      </c>
      <c r="P554" s="1" t="str">
        <f>_xlfn.XLOOKUP(Logs[[#This Row],[ID_Client]],Clients_Log!B:B,Clients_Log!F:F,"Pas de correspondance")</f>
        <v>Pas de correspondance</v>
      </c>
      <c r="Q554" s="1" t="str">
        <f>IF(Logs[[#This Row],[Type_Forfait]]="Pro Monde","B2B","B2C")</f>
        <v>B2C</v>
      </c>
      <c r="R554" s="1" t="str">
        <f>_xlfn.XLOOKUP(Logs[[#This Row],[ID_Client]],Clients_Log!B:B,Clients_Log!G:G,"Pas de correspondance")</f>
        <v>Pas de correspondance</v>
      </c>
      <c r="S554" s="1" t="e">
        <f>Logs[[#This Row],[Duree_Cumulee_Panne_Min]]/1440</f>
        <v>#VALUE!</v>
      </c>
      <c r="T554" s="1" t="str">
        <f>_xlfn.XLOOKUP(Logs[[#This Row],[ID_Client]],Clients_Log!B:B,Clients_Log!H:H,"Pas de correspondance")</f>
        <v>Pas de correspondance</v>
      </c>
      <c r="U554" s="1" t="str">
        <f>_xlfn.XLOOKUP(Logs[[#This Row],[ID_Client]],Clients_Log!B:B,Clients_Log!I:I,"Pas de correspondance")</f>
        <v>Pas de correspondance</v>
      </c>
      <c r="V55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54" s="1" t="e">
        <f>Logs[[#This Row],[Facture_Mensuelle]]*Logs[[#This Row],[Remise (%)]]</f>
        <v>#VALUE!</v>
      </c>
    </row>
    <row r="555" spans="1:23" hidden="1" x14ac:dyDescent="0.25">
      <c r="A555" s="1" t="s">
        <v>1214</v>
      </c>
      <c r="B555" s="2">
        <v>45204</v>
      </c>
      <c r="C555" s="1" t="str">
        <f>_xlfn.XLOOKUP(Logs[[#This Row],[Province_RDC]],Clients_Log!D:D,Clients_Log!B:B,"Pas de correspondance")</f>
        <v>Pas de correspondance</v>
      </c>
      <c r="D555" t="str">
        <f>_xlfn.XLOOKUP(Logs[[#This Row],[Cell_ID]],'Registre_Maintenance'!B:B,'Registre_Maintenance'!C:C,"Pas de correspondance")</f>
        <v>Pas de correspondance</v>
      </c>
      <c r="E555" s="3">
        <v>0.68472222222222223</v>
      </c>
      <c r="F555" s="1" t="s">
        <v>1237</v>
      </c>
      <c r="G555" s="3">
        <f>Logs[[#This Row],[Duree_Panne_Min]]/1440</f>
        <v>6.3888888888888884E-2</v>
      </c>
      <c r="H555">
        <v>92</v>
      </c>
      <c r="I555" t="str">
        <f>_xlfn.XLOOKUP(Logs[[#This Row],[Cell_ID]],'Registre_Maintenance'!B:B,'Registre_Maintenance'!D:D,"Pas de correspondance")</f>
        <v>Pas de correspondance</v>
      </c>
      <c r="J555" t="str">
        <f>_xlfn.XLOOKUP(Logs[[#This Row],[Cell_ID]],'Registre_Maintenance'!B:B,'Registre_Maintenance'!E:E,"Pas de correspondance")</f>
        <v>Pas de correspondance</v>
      </c>
      <c r="K555" t="str">
        <f>_xlfn.XLOOKUP(Logs[[#This Row],[Cell_ID]],'Registre_Maintenance'!B:B,'Registre_Maintenance'!F:F,"Pas de correspondance")</f>
        <v>Pas de correspondance</v>
      </c>
      <c r="L555" t="str">
        <f>_xlfn.XLOOKUP(Logs[[#This Row],[Cell_ID]],'Registre_Maintenance'!B:B,'Registre_Maintenance'!G:G,"Pas de correspondance")</f>
        <v>Pas de correspondance</v>
      </c>
      <c r="M555" s="1" t="s">
        <v>806</v>
      </c>
      <c r="N555" s="1" t="str">
        <f>_xlfn.XLOOKUP(Logs[[#This Row],[ID_Client]],Clients_Log!B:B,Clients_Log!E:E,"Pas de correspondance")</f>
        <v>Pas de correspondance</v>
      </c>
      <c r="O555" s="4" t="str">
        <f>IFERROR(Logs[[#This Row],[Anciennete_Mois]]/12,"")</f>
        <v/>
      </c>
      <c r="P555" s="1" t="str">
        <f>_xlfn.XLOOKUP(Logs[[#This Row],[ID_Client]],Clients_Log!B:B,Clients_Log!F:F,"Pas de correspondance")</f>
        <v>Pas de correspondance</v>
      </c>
      <c r="Q555" s="1" t="str">
        <f>IF(Logs[[#This Row],[Type_Forfait]]="Pro Monde","B2B","B2C")</f>
        <v>B2C</v>
      </c>
      <c r="R555" s="1" t="str">
        <f>_xlfn.XLOOKUP(Logs[[#This Row],[ID_Client]],Clients_Log!B:B,Clients_Log!G:G,"Pas de correspondance")</f>
        <v>Pas de correspondance</v>
      </c>
      <c r="S555" s="1" t="e">
        <f>Logs[[#This Row],[Duree_Cumulee_Panne_Min]]/1440</f>
        <v>#VALUE!</v>
      </c>
      <c r="T555" s="1" t="str">
        <f>_xlfn.XLOOKUP(Logs[[#This Row],[ID_Client]],Clients_Log!B:B,Clients_Log!H:H,"Pas de correspondance")</f>
        <v>Pas de correspondance</v>
      </c>
      <c r="U555" s="1" t="str">
        <f>_xlfn.XLOOKUP(Logs[[#This Row],[ID_Client]],Clients_Log!B:B,Clients_Log!I:I,"Pas de correspondance")</f>
        <v>Pas de correspondance</v>
      </c>
      <c r="V55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55" s="1" t="e">
        <f>Logs[[#This Row],[Facture_Mensuelle]]*Logs[[#This Row],[Remise (%)]]</f>
        <v>#VALUE!</v>
      </c>
    </row>
    <row r="556" spans="1:23" hidden="1" x14ac:dyDescent="0.25">
      <c r="A556" s="1" t="s">
        <v>1214</v>
      </c>
      <c r="B556" s="2">
        <v>45214</v>
      </c>
      <c r="C556" s="1" t="str">
        <f>_xlfn.XLOOKUP(Logs[[#This Row],[Province_RDC]],Clients_Log!D:D,Clients_Log!B:B,"Pas de correspondance")</f>
        <v>Pas de correspondance</v>
      </c>
      <c r="D556" t="str">
        <f>_xlfn.XLOOKUP(Logs[[#This Row],[Cell_ID]],'Registre_Maintenance'!B:B,'Registre_Maintenance'!C:C,"Pas de correspondance")</f>
        <v>Pas de correspondance</v>
      </c>
      <c r="E556" s="3">
        <v>0.75208333333333333</v>
      </c>
      <c r="F556" s="1" t="s">
        <v>1238</v>
      </c>
      <c r="G556" s="3">
        <f>Logs[[#This Row],[Duree_Panne_Min]]/1440</f>
        <v>6.1805555555555558E-2</v>
      </c>
      <c r="H556">
        <v>89</v>
      </c>
      <c r="I556" t="str">
        <f>_xlfn.XLOOKUP(Logs[[#This Row],[Cell_ID]],'Registre_Maintenance'!B:B,'Registre_Maintenance'!D:D,"Pas de correspondance")</f>
        <v>Pas de correspondance</v>
      </c>
      <c r="J556" t="str">
        <f>_xlfn.XLOOKUP(Logs[[#This Row],[Cell_ID]],'Registre_Maintenance'!B:B,'Registre_Maintenance'!E:E,"Pas de correspondance")</f>
        <v>Pas de correspondance</v>
      </c>
      <c r="K556" t="str">
        <f>_xlfn.XLOOKUP(Logs[[#This Row],[Cell_ID]],'Registre_Maintenance'!B:B,'Registre_Maintenance'!F:F,"Pas de correspondance")</f>
        <v>Pas de correspondance</v>
      </c>
      <c r="L556" t="str">
        <f>_xlfn.XLOOKUP(Logs[[#This Row],[Cell_ID]],'Registre_Maintenance'!B:B,'Registre_Maintenance'!G:G,"Pas de correspondance")</f>
        <v>Pas de correspondance</v>
      </c>
      <c r="M556" s="1" t="s">
        <v>809</v>
      </c>
      <c r="N556" s="1" t="str">
        <f>_xlfn.XLOOKUP(Logs[[#This Row],[ID_Client]],Clients_Log!B:B,Clients_Log!E:E,"Pas de correspondance")</f>
        <v>Pas de correspondance</v>
      </c>
      <c r="O556" s="4" t="str">
        <f>IFERROR(Logs[[#This Row],[Anciennete_Mois]]/12,"")</f>
        <v/>
      </c>
      <c r="P556" s="1" t="str">
        <f>_xlfn.XLOOKUP(Logs[[#This Row],[ID_Client]],Clients_Log!B:B,Clients_Log!F:F,"Pas de correspondance")</f>
        <v>Pas de correspondance</v>
      </c>
      <c r="Q556" s="1" t="str">
        <f>IF(Logs[[#This Row],[Type_Forfait]]="Pro Monde","B2B","B2C")</f>
        <v>B2C</v>
      </c>
      <c r="R556" s="1" t="str">
        <f>_xlfn.XLOOKUP(Logs[[#This Row],[ID_Client]],Clients_Log!B:B,Clients_Log!G:G,"Pas de correspondance")</f>
        <v>Pas de correspondance</v>
      </c>
      <c r="S556" s="1" t="e">
        <f>Logs[[#This Row],[Duree_Cumulee_Panne_Min]]/1440</f>
        <v>#VALUE!</v>
      </c>
      <c r="T556" s="1" t="str">
        <f>_xlfn.XLOOKUP(Logs[[#This Row],[ID_Client]],Clients_Log!B:B,Clients_Log!H:H,"Pas de correspondance")</f>
        <v>Pas de correspondance</v>
      </c>
      <c r="U556" s="1" t="str">
        <f>_xlfn.XLOOKUP(Logs[[#This Row],[ID_Client]],Clients_Log!B:B,Clients_Log!I:I,"Pas de correspondance")</f>
        <v>Pas de correspondance</v>
      </c>
      <c r="V55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56" s="1" t="e">
        <f>Logs[[#This Row],[Facture_Mensuelle]]*Logs[[#This Row],[Remise (%)]]</f>
        <v>#VALUE!</v>
      </c>
    </row>
    <row r="557" spans="1:23" x14ac:dyDescent="0.25">
      <c r="A557" s="1" t="s">
        <v>1214</v>
      </c>
      <c r="B557" s="2">
        <v>45225</v>
      </c>
      <c r="C557" s="1" t="str">
        <f>_xlfn.XLOOKUP(Logs[[#This Row],[Province_RDC]],Clients_Log!D:D,Clients_Log!B:B,"Pas de correspondance")</f>
        <v>CLI-00569</v>
      </c>
      <c r="D557" t="str">
        <f>_xlfn.XLOOKUP(Logs[[#This Row],[Cell_ID]],'Registre_Maintenance'!B:B,'Registre_Maintenance'!C:C,"Pas de correspondance")</f>
        <v>Kwango</v>
      </c>
      <c r="E557" s="3">
        <v>0.40694444444444444</v>
      </c>
      <c r="F557" s="1" t="s">
        <v>1239</v>
      </c>
      <c r="G557" s="3">
        <f>Logs[[#This Row],[Duree_Panne_Min]]/1440</f>
        <v>5.1388888888888887E-2</v>
      </c>
      <c r="H557">
        <v>74</v>
      </c>
      <c r="I557">
        <f>_xlfn.XLOOKUP(Logs[[#This Row],[Cell_ID]],'Registre_Maintenance'!B:B,'Registre_Maintenance'!D:D,"Pas de correspondance")</f>
        <v>-4.6957509999999996</v>
      </c>
      <c r="J557">
        <f>_xlfn.XLOOKUP(Logs[[#This Row],[Cell_ID]],'Registre_Maintenance'!B:B,'Registre_Maintenance'!E:E,"Pas de correspondance")</f>
        <v>14.233525999999999</v>
      </c>
      <c r="K557" t="str">
        <f>_xlfn.XLOOKUP(Logs[[#This Row],[Cell_ID]],'Registre_Maintenance'!B:B,'Registre_Maintenance'!F:F,"Pas de correspondance")</f>
        <v>4G</v>
      </c>
      <c r="L557" t="str">
        <f>_xlfn.XLOOKUP(Logs[[#This Row],[Cell_ID]],'Registre_Maintenance'!B:B,'Registre_Maintenance'!G:G,"Pas de correspondance")</f>
        <v>Nokia</v>
      </c>
      <c r="M557" s="1" t="s">
        <v>806</v>
      </c>
      <c r="N557" s="1">
        <f>_xlfn.XLOOKUP(Logs[[#This Row],[ID_Client]],Clients_Log!B:B,Clients_Log!E:E,"Pas de correspondance")</f>
        <v>110</v>
      </c>
      <c r="O557" s="4">
        <f>IFERROR(Logs[[#This Row],[Anciennete_Mois]]/12,"")</f>
        <v>9.1666666666666661</v>
      </c>
      <c r="P557" s="1" t="str">
        <f>_xlfn.XLOOKUP(Logs[[#This Row],[ID_Client]],Clients_Log!B:B,Clients_Log!F:F,"Pas de correspondance")</f>
        <v>Pro Monde</v>
      </c>
      <c r="Q557" s="1" t="str">
        <f>IF(Logs[[#This Row],[Type_Forfait]]="Pro Monde","B2B","B2C")</f>
        <v>B2B</v>
      </c>
      <c r="R557" s="1">
        <f>_xlfn.XLOOKUP(Logs[[#This Row],[ID_Client]],Clients_Log!B:B,Clients_Log!G:G,"Pas de correspondance")</f>
        <v>423</v>
      </c>
      <c r="S557" s="3">
        <f>Logs[[#This Row],[Duree_Cumulee_Panne_Min]]/1440</f>
        <v>0.29375000000000001</v>
      </c>
      <c r="T557" s="1">
        <f>_xlfn.XLOOKUP(Logs[[#This Row],[ID_Client]],Clients_Log!B:B,Clients_Log!H:H,"Pas de correspondance")</f>
        <v>37.35</v>
      </c>
      <c r="U557" s="1">
        <f>_xlfn.XLOOKUP(Logs[[#This Row],[ID_Client]],Clients_Log!B:B,Clients_Log!I:I,"Pas de correspondance")</f>
        <v>4</v>
      </c>
      <c r="V55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57" s="1">
        <f>Logs[[#This Row],[Facture_Mensuelle]]*Logs[[#This Row],[Remise (%)]]</f>
        <v>16.807500000000001</v>
      </c>
    </row>
    <row r="558" spans="1:23" x14ac:dyDescent="0.25">
      <c r="A558" s="1" t="s">
        <v>1214</v>
      </c>
      <c r="B558" s="2">
        <v>45200</v>
      </c>
      <c r="C558" s="1" t="str">
        <f>_xlfn.XLOOKUP(Logs[[#This Row],[Province_RDC]],Clients_Log!D:D,Clients_Log!B:B,"Pas de correspondance")</f>
        <v>CLI-00996</v>
      </c>
      <c r="D558" t="str">
        <f>_xlfn.XLOOKUP(Logs[[#This Row],[Cell_ID]],'Registre_Maintenance'!B:B,'Registre_Maintenance'!C:C,"Pas de correspondance")</f>
        <v>Kwilu</v>
      </c>
      <c r="E558" s="3">
        <v>0.51111111111111107</v>
      </c>
      <c r="F558" s="1" t="s">
        <v>1240</v>
      </c>
      <c r="G558" s="3">
        <f>Logs[[#This Row],[Duree_Panne_Min]]/1440</f>
        <v>1.5277777777777777E-2</v>
      </c>
      <c r="H558">
        <v>22</v>
      </c>
      <c r="I558">
        <f>_xlfn.XLOOKUP(Logs[[#This Row],[Cell_ID]],'Registre_Maintenance'!B:B,'Registre_Maintenance'!D:D,"Pas de correspondance")</f>
        <v>-10.939712999999999</v>
      </c>
      <c r="J558">
        <f>_xlfn.XLOOKUP(Logs[[#This Row],[Cell_ID]],'Registre_Maintenance'!B:B,'Registre_Maintenance'!E:E,"Pas de correspondance")</f>
        <v>18.276230999999999</v>
      </c>
      <c r="K558" t="str">
        <f>_xlfn.XLOOKUP(Logs[[#This Row],[Cell_ID]],'Registre_Maintenance'!B:B,'Registre_Maintenance'!F:F,"Pas de correspondance")</f>
        <v>4G</v>
      </c>
      <c r="L558" t="str">
        <f>_xlfn.XLOOKUP(Logs[[#This Row],[Cell_ID]],'Registre_Maintenance'!B:B,'Registre_Maintenance'!G:G,"Pas de correspondance")</f>
        <v>ZTE</v>
      </c>
      <c r="M558" s="1" t="s">
        <v>811</v>
      </c>
      <c r="N558" s="1">
        <f>_xlfn.XLOOKUP(Logs[[#This Row],[ID_Client]],Clients_Log!B:B,Clients_Log!E:E,"Pas de correspondance")</f>
        <v>119</v>
      </c>
      <c r="O558" s="4">
        <f>IFERROR(Logs[[#This Row],[Anciennete_Mois]]/12,"")</f>
        <v>9.9166666666666661</v>
      </c>
      <c r="P558" s="1" t="str">
        <f>_xlfn.XLOOKUP(Logs[[#This Row],[ID_Client]],Clients_Log!B:B,Clients_Log!F:F,"Pas de correspondance")</f>
        <v>Illimité 50Go</v>
      </c>
      <c r="Q558" s="1" t="str">
        <f>IF(Logs[[#This Row],[Type_Forfait]]="Pro Monde","B2B","B2C")</f>
        <v>B2C</v>
      </c>
      <c r="R558" s="1">
        <f>_xlfn.XLOOKUP(Logs[[#This Row],[ID_Client]],Clients_Log!B:B,Clients_Log!G:G,"Pas de correspondance")</f>
        <v>228</v>
      </c>
      <c r="S558" s="3">
        <f>Logs[[#This Row],[Duree_Cumulee_Panne_Min]]/1440</f>
        <v>0.15833333333333333</v>
      </c>
      <c r="T558" s="1">
        <f>_xlfn.XLOOKUP(Logs[[#This Row],[ID_Client]],Clients_Log!B:B,Clients_Log!H:H,"Pas de correspondance")</f>
        <v>94.72</v>
      </c>
      <c r="U558" s="1">
        <f>_xlfn.XLOOKUP(Logs[[#This Row],[ID_Client]],Clients_Log!B:B,Clients_Log!I:I,"Pas de correspondance")</f>
        <v>3</v>
      </c>
      <c r="V55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58" s="1">
        <f>Logs[[#This Row],[Facture_Mensuelle]]*Logs[[#This Row],[Remise (%)]]</f>
        <v>0</v>
      </c>
    </row>
    <row r="559" spans="1:23" x14ac:dyDescent="0.25">
      <c r="A559" s="1" t="s">
        <v>1241</v>
      </c>
      <c r="B559" s="2">
        <v>45221</v>
      </c>
      <c r="C559" s="1" t="str">
        <f>_xlfn.XLOOKUP(Logs[[#This Row],[Province_RDC]],Clients_Log!D:D,Clients_Log!B:B,"Pas de correspondance")</f>
        <v>CLI-00745</v>
      </c>
      <c r="D559" t="str">
        <f>_xlfn.XLOOKUP(Logs[[#This Row],[Cell_ID]],'Registre_Maintenance'!B:B,'Registre_Maintenance'!C:C,"Pas de correspondance")</f>
        <v>Tshopo</v>
      </c>
      <c r="E559" s="3">
        <v>0.56597222222222221</v>
      </c>
      <c r="F559" s="1" t="s">
        <v>1242</v>
      </c>
      <c r="G559" s="3">
        <f>Logs[[#This Row],[Duree_Panne_Min]]/1440</f>
        <v>6.0416666666666667E-2</v>
      </c>
      <c r="H559">
        <v>87</v>
      </c>
      <c r="I559">
        <f>_xlfn.XLOOKUP(Logs[[#This Row],[Cell_ID]],'Registre_Maintenance'!B:B,'Registre_Maintenance'!D:D,"Pas de correspondance")</f>
        <v>4.7777349999999998</v>
      </c>
      <c r="J559">
        <f>_xlfn.XLOOKUP(Logs[[#This Row],[Cell_ID]],'Registre_Maintenance'!B:B,'Registre_Maintenance'!E:E,"Pas de correspondance")</f>
        <v>16.392204</v>
      </c>
      <c r="K559" t="str">
        <f>_xlfn.XLOOKUP(Logs[[#This Row],[Cell_ID]],'Registre_Maintenance'!B:B,'Registre_Maintenance'!F:F,"Pas de correspondance")</f>
        <v>5G</v>
      </c>
      <c r="L559" t="str">
        <f>_xlfn.XLOOKUP(Logs[[#This Row],[Cell_ID]],'Registre_Maintenance'!B:B,'Registre_Maintenance'!G:G,"Pas de correspondance")</f>
        <v>ZTE</v>
      </c>
      <c r="M559" s="1" t="s">
        <v>809</v>
      </c>
      <c r="N559" s="1">
        <f>_xlfn.XLOOKUP(Logs[[#This Row],[ID_Client]],Clients_Log!B:B,Clients_Log!E:E,"Pas de correspondance")</f>
        <v>6</v>
      </c>
      <c r="O559" s="4">
        <f>IFERROR(Logs[[#This Row],[Anciennete_Mois]]/12,"")</f>
        <v>0.5</v>
      </c>
      <c r="P559" s="1" t="str">
        <f>_xlfn.XLOOKUP(Logs[[#This Row],[ID_Client]],Clients_Log!B:B,Clients_Log!F:F,"Pas de correspondance")</f>
        <v>Premium 5G 150Go</v>
      </c>
      <c r="Q559" s="1" t="str">
        <f>IF(Logs[[#This Row],[Type_Forfait]]="Pro Monde","B2B","B2C")</f>
        <v>B2C</v>
      </c>
      <c r="R559" s="1">
        <f>_xlfn.XLOOKUP(Logs[[#This Row],[ID_Client]],Clients_Log!B:B,Clients_Log!G:G,"Pas de correspondance")</f>
        <v>207</v>
      </c>
      <c r="S559" s="3">
        <f>Logs[[#This Row],[Duree_Cumulee_Panne_Min]]/1440</f>
        <v>0.14374999999999999</v>
      </c>
      <c r="T559" s="1">
        <f>_xlfn.XLOOKUP(Logs[[#This Row],[ID_Client]],Clients_Log!B:B,Clients_Log!H:H,"Pas de correspondance")</f>
        <v>61.55</v>
      </c>
      <c r="U559" s="1">
        <f>_xlfn.XLOOKUP(Logs[[#This Row],[ID_Client]],Clients_Log!B:B,Clients_Log!I:I,"Pas de correspondance")</f>
        <v>0</v>
      </c>
      <c r="V55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59" s="1">
        <f>Logs[[#This Row],[Facture_Mensuelle]]*Logs[[#This Row],[Remise (%)]]</f>
        <v>27.697499999999998</v>
      </c>
    </row>
    <row r="560" spans="1:23" x14ac:dyDescent="0.25">
      <c r="A560" s="1" t="s">
        <v>1241</v>
      </c>
      <c r="B560" s="2">
        <v>45215</v>
      </c>
      <c r="C560" s="1" t="str">
        <f>_xlfn.XLOOKUP(Logs[[#This Row],[Province_RDC]],Clients_Log!D:D,Clients_Log!B:B,"Pas de correspondance")</f>
        <v>CLI-00611</v>
      </c>
      <c r="D560" t="str">
        <f>_xlfn.XLOOKUP(Logs[[#This Row],[Cell_ID]],'Registre_Maintenance'!B:B,'Registre_Maintenance'!C:C,"Pas de correspondance")</f>
        <v>Kinshasa</v>
      </c>
      <c r="E560" s="3">
        <v>5.6944444444444443E-2</v>
      </c>
      <c r="F560" s="1" t="s">
        <v>1227</v>
      </c>
      <c r="G560" s="3">
        <f>Logs[[#This Row],[Duree_Panne_Min]]/1440</f>
        <v>6.8750000000000006E-2</v>
      </c>
      <c r="H560">
        <v>99</v>
      </c>
      <c r="I560">
        <f>_xlfn.XLOOKUP(Logs[[#This Row],[Cell_ID]],'Registre_Maintenance'!B:B,'Registre_Maintenance'!D:D,"Pas de correspondance")</f>
        <v>-2.6665070000000002</v>
      </c>
      <c r="J560">
        <f>_xlfn.XLOOKUP(Logs[[#This Row],[Cell_ID]],'Registre_Maintenance'!B:B,'Registre_Maintenance'!E:E,"Pas de correspondance")</f>
        <v>18.623692999999999</v>
      </c>
      <c r="K560" t="str">
        <f>_xlfn.XLOOKUP(Logs[[#This Row],[Cell_ID]],'Registre_Maintenance'!B:B,'Registre_Maintenance'!F:F,"Pas de correspondance")</f>
        <v>3G</v>
      </c>
      <c r="L560" t="str">
        <f>_xlfn.XLOOKUP(Logs[[#This Row],[Cell_ID]],'Registre_Maintenance'!B:B,'Registre_Maintenance'!G:G,"Pas de correspondance")</f>
        <v>ZTE</v>
      </c>
      <c r="M560" s="1" t="s">
        <v>809</v>
      </c>
      <c r="N560" s="1">
        <f>_xlfn.XLOOKUP(Logs[[#This Row],[ID_Client]],Clients_Log!B:B,Clients_Log!E:E,"Pas de correspondance")</f>
        <v>79</v>
      </c>
      <c r="O560" s="4">
        <f>IFERROR(Logs[[#This Row],[Anciennete_Mois]]/12,"")</f>
        <v>6.583333333333333</v>
      </c>
      <c r="P560" s="1" t="str">
        <f>_xlfn.XLOOKUP(Logs[[#This Row],[ID_Client]],Clients_Log!B:B,Clients_Log!F:F,"Pas de correspondance")</f>
        <v>Premium 5G 150Go</v>
      </c>
      <c r="Q560" s="1" t="str">
        <f>IF(Logs[[#This Row],[Type_Forfait]]="Pro Monde","B2B","B2C")</f>
        <v>B2C</v>
      </c>
      <c r="R560" s="1">
        <f>_xlfn.XLOOKUP(Logs[[#This Row],[ID_Client]],Clients_Log!B:B,Clients_Log!G:G,"Pas de correspondance")</f>
        <v>226</v>
      </c>
      <c r="S560" s="3">
        <f>Logs[[#This Row],[Duree_Cumulee_Panne_Min]]/1440</f>
        <v>0.15694444444444444</v>
      </c>
      <c r="T560" s="1">
        <f>_xlfn.XLOOKUP(Logs[[#This Row],[ID_Client]],Clients_Log!B:B,Clients_Log!H:H,"Pas de correspondance")</f>
        <v>94.38</v>
      </c>
      <c r="U560" s="1">
        <f>_xlfn.XLOOKUP(Logs[[#This Row],[ID_Client]],Clients_Log!B:B,Clients_Log!I:I,"Pas de correspondance")</f>
        <v>3</v>
      </c>
      <c r="V56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60" s="1">
        <f>Logs[[#This Row],[Facture_Mensuelle]]*Logs[[#This Row],[Remise (%)]]</f>
        <v>0</v>
      </c>
    </row>
    <row r="561" spans="1:23" x14ac:dyDescent="0.25">
      <c r="A561" s="1" t="s">
        <v>1241</v>
      </c>
      <c r="B561" s="2">
        <v>45230</v>
      </c>
      <c r="C561" s="1" t="str">
        <f>_xlfn.XLOOKUP(Logs[[#This Row],[Province_RDC]],Clients_Log!D:D,Clients_Log!B:B,"Pas de correspondance")</f>
        <v>CLI-01618</v>
      </c>
      <c r="D561" t="str">
        <f>_xlfn.XLOOKUP(Logs[[#This Row],[Cell_ID]],'Registre_Maintenance'!B:B,'Registre_Maintenance'!C:C,"Pas de correspondance")</f>
        <v>Tanganyika</v>
      </c>
      <c r="E561" s="3">
        <v>0.86250000000000004</v>
      </c>
      <c r="F561" s="1" t="s">
        <v>875</v>
      </c>
      <c r="G561" s="3">
        <f>Logs[[#This Row],[Duree_Panne_Min]]/1440</f>
        <v>4.6527777777777779E-2</v>
      </c>
      <c r="H561">
        <v>67</v>
      </c>
      <c r="I561">
        <f>_xlfn.XLOOKUP(Logs[[#This Row],[Cell_ID]],'Registre_Maintenance'!B:B,'Registre_Maintenance'!D:D,"Pas de correspondance")</f>
        <v>-2.099631</v>
      </c>
      <c r="J561">
        <f>_xlfn.XLOOKUP(Logs[[#This Row],[Cell_ID]],'Registre_Maintenance'!B:B,'Registre_Maintenance'!E:E,"Pas de correspondance")</f>
        <v>13.974640000000001</v>
      </c>
      <c r="K561" t="str">
        <f>_xlfn.XLOOKUP(Logs[[#This Row],[Cell_ID]],'Registre_Maintenance'!B:B,'Registre_Maintenance'!F:F,"Pas de correspondance")</f>
        <v>3G</v>
      </c>
      <c r="L561" t="str">
        <f>_xlfn.XLOOKUP(Logs[[#This Row],[Cell_ID]],'Registre_Maintenance'!B:B,'Registre_Maintenance'!G:G,"Pas de correspondance")</f>
        <v>Nokia</v>
      </c>
      <c r="M561" s="1" t="s">
        <v>806</v>
      </c>
      <c r="N561" s="1">
        <f>_xlfn.XLOOKUP(Logs[[#This Row],[ID_Client]],Clients_Log!B:B,Clients_Log!E:E,"Pas de correspondance")</f>
        <v>115</v>
      </c>
      <c r="O561" s="4">
        <f>IFERROR(Logs[[#This Row],[Anciennete_Mois]]/12,"")</f>
        <v>9.5833333333333339</v>
      </c>
      <c r="P561" s="1" t="str">
        <f>_xlfn.XLOOKUP(Logs[[#This Row],[ID_Client]],Clients_Log!B:B,Clients_Log!F:F,"Pas de correspondance")</f>
        <v>Bloqué 5Go</v>
      </c>
      <c r="Q561" s="1" t="str">
        <f>IF(Logs[[#This Row],[Type_Forfait]]="Pro Monde","B2B","B2C")</f>
        <v>B2C</v>
      </c>
      <c r="R561" s="1">
        <f>_xlfn.XLOOKUP(Logs[[#This Row],[ID_Client]],Clients_Log!B:B,Clients_Log!G:G,"Pas de correspondance")</f>
        <v>176</v>
      </c>
      <c r="S561" s="3">
        <f>Logs[[#This Row],[Duree_Cumulee_Panne_Min]]/1440</f>
        <v>0.12222222222222222</v>
      </c>
      <c r="T561" s="1">
        <f>_xlfn.XLOOKUP(Logs[[#This Row],[ID_Client]],Clients_Log!B:B,Clients_Log!H:H,"Pas de correspondance")</f>
        <v>33.28</v>
      </c>
      <c r="U561" s="1">
        <f>_xlfn.XLOOKUP(Logs[[#This Row],[ID_Client]],Clients_Log!B:B,Clients_Log!I:I,"Pas de correspondance")</f>
        <v>4</v>
      </c>
      <c r="V56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61" s="1">
        <f>Logs[[#This Row],[Facture_Mensuelle]]*Logs[[#This Row],[Remise (%)]]</f>
        <v>0</v>
      </c>
    </row>
    <row r="562" spans="1:23" hidden="1" x14ac:dyDescent="0.25">
      <c r="A562" s="1" t="s">
        <v>1241</v>
      </c>
      <c r="B562" s="2">
        <v>45212</v>
      </c>
      <c r="C562" s="1" t="str">
        <f>_xlfn.XLOOKUP(Logs[[#This Row],[Province_RDC]],Clients_Log!D:D,Clients_Log!B:B,"Pas de correspondance")</f>
        <v>Pas de correspondance</v>
      </c>
      <c r="D562" t="str">
        <f>_xlfn.XLOOKUP(Logs[[#This Row],[Cell_ID]],'Registre_Maintenance'!B:B,'Registre_Maintenance'!C:C,"Pas de correspondance")</f>
        <v>Pas de correspondance</v>
      </c>
      <c r="E562" s="3">
        <v>0.68055555555555558</v>
      </c>
      <c r="F562" s="1" t="s">
        <v>1243</v>
      </c>
      <c r="G562" s="3">
        <f>Logs[[#This Row],[Duree_Panne_Min]]/1440</f>
        <v>4.3749999999999997E-2</v>
      </c>
      <c r="H562">
        <v>63</v>
      </c>
      <c r="I562" t="str">
        <f>_xlfn.XLOOKUP(Logs[[#This Row],[Cell_ID]],'Registre_Maintenance'!B:B,'Registre_Maintenance'!D:D,"Pas de correspondance")</f>
        <v>Pas de correspondance</v>
      </c>
      <c r="J562" t="str">
        <f>_xlfn.XLOOKUP(Logs[[#This Row],[Cell_ID]],'Registre_Maintenance'!B:B,'Registre_Maintenance'!E:E,"Pas de correspondance")</f>
        <v>Pas de correspondance</v>
      </c>
      <c r="K562" t="str">
        <f>_xlfn.XLOOKUP(Logs[[#This Row],[Cell_ID]],'Registre_Maintenance'!B:B,'Registre_Maintenance'!F:F,"Pas de correspondance")</f>
        <v>Pas de correspondance</v>
      </c>
      <c r="L562" t="str">
        <f>_xlfn.XLOOKUP(Logs[[#This Row],[Cell_ID]],'Registre_Maintenance'!B:B,'Registre_Maintenance'!G:G,"Pas de correspondance")</f>
        <v>Pas de correspondance</v>
      </c>
      <c r="M562" s="1" t="s">
        <v>806</v>
      </c>
      <c r="N562" s="1" t="str">
        <f>_xlfn.XLOOKUP(Logs[[#This Row],[ID_Client]],Clients_Log!B:B,Clients_Log!E:E,"Pas de correspondance")</f>
        <v>Pas de correspondance</v>
      </c>
      <c r="O562" s="4" t="str">
        <f>IFERROR(Logs[[#This Row],[Anciennete_Mois]]/12,"")</f>
        <v/>
      </c>
      <c r="P562" s="1" t="str">
        <f>_xlfn.XLOOKUP(Logs[[#This Row],[ID_Client]],Clients_Log!B:B,Clients_Log!F:F,"Pas de correspondance")</f>
        <v>Pas de correspondance</v>
      </c>
      <c r="Q562" s="1" t="str">
        <f>IF(Logs[[#This Row],[Type_Forfait]]="Pro Monde","B2B","B2C")</f>
        <v>B2C</v>
      </c>
      <c r="R562" s="1" t="str">
        <f>_xlfn.XLOOKUP(Logs[[#This Row],[ID_Client]],Clients_Log!B:B,Clients_Log!G:G,"Pas de correspondance")</f>
        <v>Pas de correspondance</v>
      </c>
      <c r="S562" s="1" t="e">
        <f>Logs[[#This Row],[Duree_Cumulee_Panne_Min]]/1440</f>
        <v>#VALUE!</v>
      </c>
      <c r="T562" s="1" t="str">
        <f>_xlfn.XLOOKUP(Logs[[#This Row],[ID_Client]],Clients_Log!B:B,Clients_Log!H:H,"Pas de correspondance")</f>
        <v>Pas de correspondance</v>
      </c>
      <c r="U562" s="1" t="str">
        <f>_xlfn.XLOOKUP(Logs[[#This Row],[ID_Client]],Clients_Log!B:B,Clients_Log!I:I,"Pas de correspondance")</f>
        <v>Pas de correspondance</v>
      </c>
      <c r="V56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62" s="1" t="e">
        <f>Logs[[#This Row],[Facture_Mensuelle]]*Logs[[#This Row],[Remise (%)]]</f>
        <v>#VALUE!</v>
      </c>
    </row>
    <row r="563" spans="1:23" hidden="1" x14ac:dyDescent="0.25">
      <c r="A563" s="1" t="s">
        <v>1241</v>
      </c>
      <c r="B563" s="2">
        <v>45222</v>
      </c>
      <c r="C563" s="1" t="str">
        <f>_xlfn.XLOOKUP(Logs[[#This Row],[Province_RDC]],Clients_Log!D:D,Clients_Log!B:B,"Pas de correspondance")</f>
        <v>Pas de correspondance</v>
      </c>
      <c r="D563" t="str">
        <f>_xlfn.XLOOKUP(Logs[[#This Row],[Cell_ID]],'Registre_Maintenance'!B:B,'Registre_Maintenance'!C:C,"Pas de correspondance")</f>
        <v>Pas de correspondance</v>
      </c>
      <c r="E563" s="3">
        <v>0.55972222222222223</v>
      </c>
      <c r="F563" s="1" t="s">
        <v>1244</v>
      </c>
      <c r="G563" s="3">
        <f>Logs[[#This Row],[Duree_Panne_Min]]/1440</f>
        <v>1.8055555555555554E-2</v>
      </c>
      <c r="H563">
        <v>26</v>
      </c>
      <c r="I563" t="str">
        <f>_xlfn.XLOOKUP(Logs[[#This Row],[Cell_ID]],'Registre_Maintenance'!B:B,'Registre_Maintenance'!D:D,"Pas de correspondance")</f>
        <v>Pas de correspondance</v>
      </c>
      <c r="J563" t="str">
        <f>_xlfn.XLOOKUP(Logs[[#This Row],[Cell_ID]],'Registre_Maintenance'!B:B,'Registre_Maintenance'!E:E,"Pas de correspondance")</f>
        <v>Pas de correspondance</v>
      </c>
      <c r="K563" t="str">
        <f>_xlfn.XLOOKUP(Logs[[#This Row],[Cell_ID]],'Registre_Maintenance'!B:B,'Registre_Maintenance'!F:F,"Pas de correspondance")</f>
        <v>Pas de correspondance</v>
      </c>
      <c r="L563" t="str">
        <f>_xlfn.XLOOKUP(Logs[[#This Row],[Cell_ID]],'Registre_Maintenance'!B:B,'Registre_Maintenance'!G:G,"Pas de correspondance")</f>
        <v>Pas de correspondance</v>
      </c>
      <c r="M563" s="1" t="s">
        <v>811</v>
      </c>
      <c r="N563" s="1" t="str">
        <f>_xlfn.XLOOKUP(Logs[[#This Row],[ID_Client]],Clients_Log!B:B,Clients_Log!E:E,"Pas de correspondance")</f>
        <v>Pas de correspondance</v>
      </c>
      <c r="O563" s="4" t="str">
        <f>IFERROR(Logs[[#This Row],[Anciennete_Mois]]/12,"")</f>
        <v/>
      </c>
      <c r="P563" s="1" t="str">
        <f>_xlfn.XLOOKUP(Logs[[#This Row],[ID_Client]],Clients_Log!B:B,Clients_Log!F:F,"Pas de correspondance")</f>
        <v>Pas de correspondance</v>
      </c>
      <c r="Q563" s="1" t="str">
        <f>IF(Logs[[#This Row],[Type_Forfait]]="Pro Monde","B2B","B2C")</f>
        <v>B2C</v>
      </c>
      <c r="R563" s="1" t="str">
        <f>_xlfn.XLOOKUP(Logs[[#This Row],[ID_Client]],Clients_Log!B:B,Clients_Log!G:G,"Pas de correspondance")</f>
        <v>Pas de correspondance</v>
      </c>
      <c r="S563" s="1" t="e">
        <f>Logs[[#This Row],[Duree_Cumulee_Panne_Min]]/1440</f>
        <v>#VALUE!</v>
      </c>
      <c r="T563" s="1" t="str">
        <f>_xlfn.XLOOKUP(Logs[[#This Row],[ID_Client]],Clients_Log!B:B,Clients_Log!H:H,"Pas de correspondance")</f>
        <v>Pas de correspondance</v>
      </c>
      <c r="U563" s="1" t="str">
        <f>_xlfn.XLOOKUP(Logs[[#This Row],[ID_Client]],Clients_Log!B:B,Clients_Log!I:I,"Pas de correspondance")</f>
        <v>Pas de correspondance</v>
      </c>
      <c r="V56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63" s="1" t="e">
        <f>Logs[[#This Row],[Facture_Mensuelle]]*Logs[[#This Row],[Remise (%)]]</f>
        <v>#VALUE!</v>
      </c>
    </row>
    <row r="564" spans="1:23" hidden="1" x14ac:dyDescent="0.25">
      <c r="A564" s="1" t="s">
        <v>1241</v>
      </c>
      <c r="B564" s="2">
        <v>45204</v>
      </c>
      <c r="C564" s="1" t="str">
        <f>_xlfn.XLOOKUP(Logs[[#This Row],[Province_RDC]],Clients_Log!D:D,Clients_Log!B:B,"Pas de correspondance")</f>
        <v>Pas de correspondance</v>
      </c>
      <c r="D564" t="str">
        <f>_xlfn.XLOOKUP(Logs[[#This Row],[Cell_ID]],'Registre_Maintenance'!B:B,'Registre_Maintenance'!C:C,"Pas de correspondance")</f>
        <v>Pas de correspondance</v>
      </c>
      <c r="E564" s="3">
        <v>0.39166666666666666</v>
      </c>
      <c r="F564" s="1" t="s">
        <v>958</v>
      </c>
      <c r="G564" s="3">
        <f>Logs[[#This Row],[Duree_Panne_Min]]/1440</f>
        <v>6.805555555555555E-2</v>
      </c>
      <c r="H564">
        <v>98</v>
      </c>
      <c r="I564" t="str">
        <f>_xlfn.XLOOKUP(Logs[[#This Row],[Cell_ID]],'Registre_Maintenance'!B:B,'Registre_Maintenance'!D:D,"Pas de correspondance")</f>
        <v>Pas de correspondance</v>
      </c>
      <c r="J564" t="str">
        <f>_xlfn.XLOOKUP(Logs[[#This Row],[Cell_ID]],'Registre_Maintenance'!B:B,'Registre_Maintenance'!E:E,"Pas de correspondance")</f>
        <v>Pas de correspondance</v>
      </c>
      <c r="K564" t="str">
        <f>_xlfn.XLOOKUP(Logs[[#This Row],[Cell_ID]],'Registre_Maintenance'!B:B,'Registre_Maintenance'!F:F,"Pas de correspondance")</f>
        <v>Pas de correspondance</v>
      </c>
      <c r="L564" t="str">
        <f>_xlfn.XLOOKUP(Logs[[#This Row],[Cell_ID]],'Registre_Maintenance'!B:B,'Registre_Maintenance'!G:G,"Pas de correspondance")</f>
        <v>Pas de correspondance</v>
      </c>
      <c r="M564" s="1" t="s">
        <v>811</v>
      </c>
      <c r="N564" s="1" t="str">
        <f>_xlfn.XLOOKUP(Logs[[#This Row],[ID_Client]],Clients_Log!B:B,Clients_Log!E:E,"Pas de correspondance")</f>
        <v>Pas de correspondance</v>
      </c>
      <c r="O564" s="4" t="str">
        <f>IFERROR(Logs[[#This Row],[Anciennete_Mois]]/12,"")</f>
        <v/>
      </c>
      <c r="P564" s="1" t="str">
        <f>_xlfn.XLOOKUP(Logs[[#This Row],[ID_Client]],Clients_Log!B:B,Clients_Log!F:F,"Pas de correspondance")</f>
        <v>Pas de correspondance</v>
      </c>
      <c r="Q564" s="1" t="str">
        <f>IF(Logs[[#This Row],[Type_Forfait]]="Pro Monde","B2B","B2C")</f>
        <v>B2C</v>
      </c>
      <c r="R564" s="1" t="str">
        <f>_xlfn.XLOOKUP(Logs[[#This Row],[ID_Client]],Clients_Log!B:B,Clients_Log!G:G,"Pas de correspondance")</f>
        <v>Pas de correspondance</v>
      </c>
      <c r="S564" s="1" t="e">
        <f>Logs[[#This Row],[Duree_Cumulee_Panne_Min]]/1440</f>
        <v>#VALUE!</v>
      </c>
      <c r="T564" s="1" t="str">
        <f>_xlfn.XLOOKUP(Logs[[#This Row],[ID_Client]],Clients_Log!B:B,Clients_Log!H:H,"Pas de correspondance")</f>
        <v>Pas de correspondance</v>
      </c>
      <c r="U564" s="1" t="str">
        <f>_xlfn.XLOOKUP(Logs[[#This Row],[ID_Client]],Clients_Log!B:B,Clients_Log!I:I,"Pas de correspondance")</f>
        <v>Pas de correspondance</v>
      </c>
      <c r="V56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64" s="1" t="e">
        <f>Logs[[#This Row],[Facture_Mensuelle]]*Logs[[#This Row],[Remise (%)]]</f>
        <v>#VALUE!</v>
      </c>
    </row>
    <row r="565" spans="1:23" x14ac:dyDescent="0.25">
      <c r="A565" s="1" t="s">
        <v>1241</v>
      </c>
      <c r="B565" s="2">
        <v>45205</v>
      </c>
      <c r="C565" s="1" t="str">
        <f>_xlfn.XLOOKUP(Logs[[#This Row],[Province_RDC]],Clients_Log!D:D,Clients_Log!B:B,"Pas de correspondance")</f>
        <v>CLI-00076</v>
      </c>
      <c r="D565" t="str">
        <f>_xlfn.XLOOKUP(Logs[[#This Row],[Cell_ID]],'Registre_Maintenance'!B:B,'Registre_Maintenance'!C:C,"Pas de correspondance")</f>
        <v>Haut-Katanga</v>
      </c>
      <c r="E565" s="3">
        <v>0.72916666666666663</v>
      </c>
      <c r="F565" s="1" t="s">
        <v>1245</v>
      </c>
      <c r="G565" s="3">
        <f>Logs[[#This Row],[Duree_Panne_Min]]/1440</f>
        <v>7.3611111111111113E-2</v>
      </c>
      <c r="H565">
        <v>106</v>
      </c>
      <c r="I565">
        <f>_xlfn.XLOOKUP(Logs[[#This Row],[Cell_ID]],'Registre_Maintenance'!B:B,'Registre_Maintenance'!D:D,"Pas de correspondance")</f>
        <v>-4.4958720000000003</v>
      </c>
      <c r="J565">
        <f>_xlfn.XLOOKUP(Logs[[#This Row],[Cell_ID]],'Registre_Maintenance'!B:B,'Registre_Maintenance'!E:E,"Pas de correspondance")</f>
        <v>18.514112000000001</v>
      </c>
      <c r="K565" t="str">
        <f>_xlfn.XLOOKUP(Logs[[#This Row],[Cell_ID]],'Registre_Maintenance'!B:B,'Registre_Maintenance'!F:F,"Pas de correspondance")</f>
        <v>4G</v>
      </c>
      <c r="L565" t="str">
        <f>_xlfn.XLOOKUP(Logs[[#This Row],[Cell_ID]],'Registre_Maintenance'!B:B,'Registre_Maintenance'!G:G,"Pas de correspondance")</f>
        <v>Nokia</v>
      </c>
      <c r="M565" s="1" t="s">
        <v>811</v>
      </c>
      <c r="N565" s="1">
        <f>_xlfn.XLOOKUP(Logs[[#This Row],[ID_Client]],Clients_Log!B:B,Clients_Log!E:E,"Pas de correspondance")</f>
        <v>46</v>
      </c>
      <c r="O565" s="4">
        <f>IFERROR(Logs[[#This Row],[Anciennete_Mois]]/12,"")</f>
        <v>3.8333333333333335</v>
      </c>
      <c r="P565" s="1" t="str">
        <f>_xlfn.XLOOKUP(Logs[[#This Row],[ID_Client]],Clients_Log!B:B,Clients_Log!F:F,"Pas de correspondance")</f>
        <v>Premium 5G 150Go</v>
      </c>
      <c r="Q565" s="1" t="str">
        <f>IF(Logs[[#This Row],[Type_Forfait]]="Pro Monde","B2B","B2C")</f>
        <v>B2C</v>
      </c>
      <c r="R565" s="1">
        <f>_xlfn.XLOOKUP(Logs[[#This Row],[ID_Client]],Clients_Log!B:B,Clients_Log!G:G,"Pas de correspondance")</f>
        <v>283</v>
      </c>
      <c r="S565" s="3">
        <f>Logs[[#This Row],[Duree_Cumulee_Panne_Min]]/1440</f>
        <v>0.19652777777777777</v>
      </c>
      <c r="T565" s="1">
        <f>_xlfn.XLOOKUP(Logs[[#This Row],[ID_Client]],Clients_Log!B:B,Clients_Log!H:H,"Pas de correspondance")</f>
        <v>56.05</v>
      </c>
      <c r="U565" s="1">
        <f>_xlfn.XLOOKUP(Logs[[#This Row],[ID_Client]],Clients_Log!B:B,Clients_Log!I:I,"Pas de correspondance")</f>
        <v>1</v>
      </c>
      <c r="V56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65" s="1">
        <f>Logs[[#This Row],[Facture_Mensuelle]]*Logs[[#This Row],[Remise (%)]]</f>
        <v>25.2225</v>
      </c>
    </row>
    <row r="566" spans="1:23" hidden="1" x14ac:dyDescent="0.25">
      <c r="A566" s="1" t="s">
        <v>1241</v>
      </c>
      <c r="B566" s="2">
        <v>45207</v>
      </c>
      <c r="C566" s="1" t="str">
        <f>_xlfn.XLOOKUP(Logs[[#This Row],[Province_RDC]],Clients_Log!D:D,Clients_Log!B:B,"Pas de correspondance")</f>
        <v>Pas de correspondance</v>
      </c>
      <c r="D566" t="str">
        <f>_xlfn.XLOOKUP(Logs[[#This Row],[Cell_ID]],'Registre_Maintenance'!B:B,'Registre_Maintenance'!C:C,"Pas de correspondance")</f>
        <v>Pas de correspondance</v>
      </c>
      <c r="E566" s="3">
        <v>0.30486111111111114</v>
      </c>
      <c r="F566" s="1" t="s">
        <v>810</v>
      </c>
      <c r="G566" s="3">
        <f>Logs[[#This Row],[Duree_Panne_Min]]/1440</f>
        <v>3.4722222222222224E-2</v>
      </c>
      <c r="H566">
        <v>50</v>
      </c>
      <c r="I566" t="str">
        <f>_xlfn.XLOOKUP(Logs[[#This Row],[Cell_ID]],'Registre_Maintenance'!B:B,'Registre_Maintenance'!D:D,"Pas de correspondance")</f>
        <v>Pas de correspondance</v>
      </c>
      <c r="J566" t="str">
        <f>_xlfn.XLOOKUP(Logs[[#This Row],[Cell_ID]],'Registre_Maintenance'!B:B,'Registre_Maintenance'!E:E,"Pas de correspondance")</f>
        <v>Pas de correspondance</v>
      </c>
      <c r="K566" t="str">
        <f>_xlfn.XLOOKUP(Logs[[#This Row],[Cell_ID]],'Registre_Maintenance'!B:B,'Registre_Maintenance'!F:F,"Pas de correspondance")</f>
        <v>Pas de correspondance</v>
      </c>
      <c r="L566" t="str">
        <f>_xlfn.XLOOKUP(Logs[[#This Row],[Cell_ID]],'Registre_Maintenance'!B:B,'Registre_Maintenance'!G:G,"Pas de correspondance")</f>
        <v>Pas de correspondance</v>
      </c>
      <c r="M566" s="1" t="s">
        <v>809</v>
      </c>
      <c r="N566" s="1" t="str">
        <f>_xlfn.XLOOKUP(Logs[[#This Row],[ID_Client]],Clients_Log!B:B,Clients_Log!E:E,"Pas de correspondance")</f>
        <v>Pas de correspondance</v>
      </c>
      <c r="O566" s="4" t="str">
        <f>IFERROR(Logs[[#This Row],[Anciennete_Mois]]/12,"")</f>
        <v/>
      </c>
      <c r="P566" s="1" t="str">
        <f>_xlfn.XLOOKUP(Logs[[#This Row],[ID_Client]],Clients_Log!B:B,Clients_Log!F:F,"Pas de correspondance")</f>
        <v>Pas de correspondance</v>
      </c>
      <c r="Q566" s="1" t="str">
        <f>IF(Logs[[#This Row],[Type_Forfait]]="Pro Monde","B2B","B2C")</f>
        <v>B2C</v>
      </c>
      <c r="R566" s="1" t="str">
        <f>_xlfn.XLOOKUP(Logs[[#This Row],[ID_Client]],Clients_Log!B:B,Clients_Log!G:G,"Pas de correspondance")</f>
        <v>Pas de correspondance</v>
      </c>
      <c r="S566" s="1" t="e">
        <f>Logs[[#This Row],[Duree_Cumulee_Panne_Min]]/1440</f>
        <v>#VALUE!</v>
      </c>
      <c r="T566" s="1" t="str">
        <f>_xlfn.XLOOKUP(Logs[[#This Row],[ID_Client]],Clients_Log!B:B,Clients_Log!H:H,"Pas de correspondance")</f>
        <v>Pas de correspondance</v>
      </c>
      <c r="U566" s="1" t="str">
        <f>_xlfn.XLOOKUP(Logs[[#This Row],[ID_Client]],Clients_Log!B:B,Clients_Log!I:I,"Pas de correspondance")</f>
        <v>Pas de correspondance</v>
      </c>
      <c r="V56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66" s="1" t="e">
        <f>Logs[[#This Row],[Facture_Mensuelle]]*Logs[[#This Row],[Remise (%)]]</f>
        <v>#VALUE!</v>
      </c>
    </row>
    <row r="567" spans="1:23" hidden="1" x14ac:dyDescent="0.25">
      <c r="A567" s="1" t="s">
        <v>1241</v>
      </c>
      <c r="B567" s="2">
        <v>45227</v>
      </c>
      <c r="C567" s="1" t="str">
        <f>_xlfn.XLOOKUP(Logs[[#This Row],[Province_RDC]],Clients_Log!D:D,Clients_Log!B:B,"Pas de correspondance")</f>
        <v>Pas de correspondance</v>
      </c>
      <c r="D567" t="str">
        <f>_xlfn.XLOOKUP(Logs[[#This Row],[Cell_ID]],'Registre_Maintenance'!B:B,'Registre_Maintenance'!C:C,"Pas de correspondance")</f>
        <v>Pas de correspondance</v>
      </c>
      <c r="E567" s="3">
        <v>0.92291666666666672</v>
      </c>
      <c r="F567" s="1" t="s">
        <v>930</v>
      </c>
      <c r="G567" s="3">
        <f>Logs[[#This Row],[Duree_Panne_Min]]/1440</f>
        <v>1.8055555555555554E-2</v>
      </c>
      <c r="H567">
        <v>26</v>
      </c>
      <c r="I567" t="str">
        <f>_xlfn.XLOOKUP(Logs[[#This Row],[Cell_ID]],'Registre_Maintenance'!B:B,'Registre_Maintenance'!D:D,"Pas de correspondance")</f>
        <v>Pas de correspondance</v>
      </c>
      <c r="J567" t="str">
        <f>_xlfn.XLOOKUP(Logs[[#This Row],[Cell_ID]],'Registre_Maintenance'!B:B,'Registre_Maintenance'!E:E,"Pas de correspondance")</f>
        <v>Pas de correspondance</v>
      </c>
      <c r="K567" t="str">
        <f>_xlfn.XLOOKUP(Logs[[#This Row],[Cell_ID]],'Registre_Maintenance'!B:B,'Registre_Maintenance'!F:F,"Pas de correspondance")</f>
        <v>Pas de correspondance</v>
      </c>
      <c r="L567" t="str">
        <f>_xlfn.XLOOKUP(Logs[[#This Row],[Cell_ID]],'Registre_Maintenance'!B:B,'Registre_Maintenance'!G:G,"Pas de correspondance")</f>
        <v>Pas de correspondance</v>
      </c>
      <c r="M567" s="1" t="s">
        <v>811</v>
      </c>
      <c r="N567" s="1" t="str">
        <f>_xlfn.XLOOKUP(Logs[[#This Row],[ID_Client]],Clients_Log!B:B,Clients_Log!E:E,"Pas de correspondance")</f>
        <v>Pas de correspondance</v>
      </c>
      <c r="O567" s="4" t="str">
        <f>IFERROR(Logs[[#This Row],[Anciennete_Mois]]/12,"")</f>
        <v/>
      </c>
      <c r="P567" s="1" t="str">
        <f>_xlfn.XLOOKUP(Logs[[#This Row],[ID_Client]],Clients_Log!B:B,Clients_Log!F:F,"Pas de correspondance")</f>
        <v>Pas de correspondance</v>
      </c>
      <c r="Q567" s="1" t="str">
        <f>IF(Logs[[#This Row],[Type_Forfait]]="Pro Monde","B2B","B2C")</f>
        <v>B2C</v>
      </c>
      <c r="R567" s="1" t="str">
        <f>_xlfn.XLOOKUP(Logs[[#This Row],[ID_Client]],Clients_Log!B:B,Clients_Log!G:G,"Pas de correspondance")</f>
        <v>Pas de correspondance</v>
      </c>
      <c r="S567" s="1" t="e">
        <f>Logs[[#This Row],[Duree_Cumulee_Panne_Min]]/1440</f>
        <v>#VALUE!</v>
      </c>
      <c r="T567" s="1" t="str">
        <f>_xlfn.XLOOKUP(Logs[[#This Row],[ID_Client]],Clients_Log!B:B,Clients_Log!H:H,"Pas de correspondance")</f>
        <v>Pas de correspondance</v>
      </c>
      <c r="U567" s="1" t="str">
        <f>_xlfn.XLOOKUP(Logs[[#This Row],[ID_Client]],Clients_Log!B:B,Clients_Log!I:I,"Pas de correspondance")</f>
        <v>Pas de correspondance</v>
      </c>
      <c r="V56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67" s="1" t="e">
        <f>Logs[[#This Row],[Facture_Mensuelle]]*Logs[[#This Row],[Remise (%)]]</f>
        <v>#VALUE!</v>
      </c>
    </row>
    <row r="568" spans="1:23" x14ac:dyDescent="0.25">
      <c r="A568" s="1" t="s">
        <v>1241</v>
      </c>
      <c r="B568" s="2">
        <v>45225</v>
      </c>
      <c r="C568" s="1" t="str">
        <f>_xlfn.XLOOKUP(Logs[[#This Row],[Province_RDC]],Clients_Log!D:D,Clients_Log!B:B,"Pas de correspondance")</f>
        <v>CLI-00361</v>
      </c>
      <c r="D568" t="str">
        <f>_xlfn.XLOOKUP(Logs[[#This Row],[Cell_ID]],'Registre_Maintenance'!B:B,'Registre_Maintenance'!C:C,"Pas de correspondance")</f>
        <v>Mai-Ndombe</v>
      </c>
      <c r="E568" s="3">
        <v>0.62361111111111112</v>
      </c>
      <c r="F568" s="1" t="s">
        <v>1246</v>
      </c>
      <c r="G568" s="3">
        <f>Logs[[#This Row],[Duree_Panne_Min]]/1440</f>
        <v>1.5277777777777777E-2</v>
      </c>
      <c r="H568">
        <v>22</v>
      </c>
      <c r="I568">
        <f>_xlfn.XLOOKUP(Logs[[#This Row],[Cell_ID]],'Registre_Maintenance'!B:B,'Registre_Maintenance'!D:D,"Pas de correspondance")</f>
        <v>-0.47411900000000001</v>
      </c>
      <c r="J568">
        <f>_xlfn.XLOOKUP(Logs[[#This Row],[Cell_ID]],'Registre_Maintenance'!B:B,'Registre_Maintenance'!E:E,"Pas de correspondance")</f>
        <v>27.184329000000002</v>
      </c>
      <c r="K568" t="str">
        <f>_xlfn.XLOOKUP(Logs[[#This Row],[Cell_ID]],'Registre_Maintenance'!B:B,'Registre_Maintenance'!F:F,"Pas de correspondance")</f>
        <v>5G</v>
      </c>
      <c r="L568" t="str">
        <f>_xlfn.XLOOKUP(Logs[[#This Row],[Cell_ID]],'Registre_Maintenance'!B:B,'Registre_Maintenance'!G:G,"Pas de correspondance")</f>
        <v>ZTE</v>
      </c>
      <c r="M568" s="1" t="s">
        <v>806</v>
      </c>
      <c r="N568" s="1">
        <f>_xlfn.XLOOKUP(Logs[[#This Row],[ID_Client]],Clients_Log!B:B,Clients_Log!E:E,"Pas de correspondance")</f>
        <v>66</v>
      </c>
      <c r="O568" s="4">
        <f>IFERROR(Logs[[#This Row],[Anciennete_Mois]]/12,"")</f>
        <v>5.5</v>
      </c>
      <c r="P568" s="1" t="str">
        <f>_xlfn.XLOOKUP(Logs[[#This Row],[ID_Client]],Clients_Log!B:B,Clients_Log!F:F,"Pas de correspondance")</f>
        <v>Illimité 50Go</v>
      </c>
      <c r="Q568" s="1" t="str">
        <f>IF(Logs[[#This Row],[Type_Forfait]]="Pro Monde","B2B","B2C")</f>
        <v>B2C</v>
      </c>
      <c r="R568" s="1">
        <f>_xlfn.XLOOKUP(Logs[[#This Row],[ID_Client]],Clients_Log!B:B,Clients_Log!G:G,"Pas de correspondance")</f>
        <v>270</v>
      </c>
      <c r="S568" s="3">
        <f>Logs[[#This Row],[Duree_Cumulee_Panne_Min]]/1440</f>
        <v>0.1875</v>
      </c>
      <c r="T568" s="1">
        <f>_xlfn.XLOOKUP(Logs[[#This Row],[ID_Client]],Clients_Log!B:B,Clients_Log!H:H,"Pas de correspondance")</f>
        <v>75.88</v>
      </c>
      <c r="U568" s="1">
        <f>_xlfn.XLOOKUP(Logs[[#This Row],[ID_Client]],Clients_Log!B:B,Clients_Log!I:I,"Pas de correspondance")</f>
        <v>3</v>
      </c>
      <c r="V56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68" s="1">
        <f>Logs[[#This Row],[Facture_Mensuelle]]*Logs[[#This Row],[Remise (%)]]</f>
        <v>34.146000000000001</v>
      </c>
    </row>
    <row r="569" spans="1:23" x14ac:dyDescent="0.25">
      <c r="A569" s="1" t="s">
        <v>1241</v>
      </c>
      <c r="B569" s="2">
        <v>45201</v>
      </c>
      <c r="C569" s="1" t="str">
        <f>_xlfn.XLOOKUP(Logs[[#This Row],[Province_RDC]],Clients_Log!D:D,Clients_Log!B:B,"Pas de correspondance")</f>
        <v>CLI-01837</v>
      </c>
      <c r="D569" t="str">
        <f>_xlfn.XLOOKUP(Logs[[#This Row],[Cell_ID]],'Registre_Maintenance'!B:B,'Registre_Maintenance'!C:C,"Pas de correspondance")</f>
        <v>Kasaï-Oriental</v>
      </c>
      <c r="E569" s="3">
        <v>0.72638888888888886</v>
      </c>
      <c r="F569" s="1" t="s">
        <v>1247</v>
      </c>
      <c r="G569" s="3">
        <f>Logs[[#This Row],[Duree_Panne_Min]]/1440</f>
        <v>6.7361111111111108E-2</v>
      </c>
      <c r="H569">
        <v>97</v>
      </c>
      <c r="I569">
        <f>_xlfn.XLOOKUP(Logs[[#This Row],[Cell_ID]],'Registre_Maintenance'!B:B,'Registre_Maintenance'!D:D,"Pas de correspondance")</f>
        <v>-4.3639070000000002</v>
      </c>
      <c r="J569">
        <f>_xlfn.XLOOKUP(Logs[[#This Row],[Cell_ID]],'Registre_Maintenance'!B:B,'Registre_Maintenance'!E:E,"Pas de correspondance")</f>
        <v>16.283307000000001</v>
      </c>
      <c r="K569" t="str">
        <f>_xlfn.XLOOKUP(Logs[[#This Row],[Cell_ID]],'Registre_Maintenance'!B:B,'Registre_Maintenance'!F:F,"Pas de correspondance")</f>
        <v>5G</v>
      </c>
      <c r="L569" t="str">
        <f>_xlfn.XLOOKUP(Logs[[#This Row],[Cell_ID]],'Registre_Maintenance'!B:B,'Registre_Maintenance'!G:G,"Pas de correspondance")</f>
        <v>Huawei</v>
      </c>
      <c r="M569" s="1" t="s">
        <v>809</v>
      </c>
      <c r="N569" s="1">
        <f>_xlfn.XLOOKUP(Logs[[#This Row],[ID_Client]],Clients_Log!B:B,Clients_Log!E:E,"Pas de correspondance")</f>
        <v>97</v>
      </c>
      <c r="O569" s="4">
        <f>IFERROR(Logs[[#This Row],[Anciennete_Mois]]/12,"")</f>
        <v>8.0833333333333339</v>
      </c>
      <c r="P569" s="1" t="str">
        <f>_xlfn.XLOOKUP(Logs[[#This Row],[ID_Client]],Clients_Log!B:B,Clients_Log!F:F,"Pas de correspondance")</f>
        <v>Pro Monde</v>
      </c>
      <c r="Q569" s="1" t="str">
        <f>IF(Logs[[#This Row],[Type_Forfait]]="Pro Monde","B2B","B2C")</f>
        <v>B2B</v>
      </c>
      <c r="R569" s="1">
        <f>_xlfn.XLOOKUP(Logs[[#This Row],[ID_Client]],Clients_Log!B:B,Clients_Log!G:G,"Pas de correspondance")</f>
        <v>319</v>
      </c>
      <c r="S569" s="3">
        <f>Logs[[#This Row],[Duree_Cumulee_Panne_Min]]/1440</f>
        <v>0.22152777777777777</v>
      </c>
      <c r="T569" s="1">
        <f>_xlfn.XLOOKUP(Logs[[#This Row],[ID_Client]],Clients_Log!B:B,Clients_Log!H:H,"Pas de correspondance")</f>
        <v>31.25</v>
      </c>
      <c r="U569" s="1">
        <f>_xlfn.XLOOKUP(Logs[[#This Row],[ID_Client]],Clients_Log!B:B,Clients_Log!I:I,"Pas de correspondance")</f>
        <v>1</v>
      </c>
      <c r="V56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69" s="1">
        <f>Logs[[#This Row],[Facture_Mensuelle]]*Logs[[#This Row],[Remise (%)]]</f>
        <v>14.0625</v>
      </c>
    </row>
    <row r="570" spans="1:23" hidden="1" x14ac:dyDescent="0.25">
      <c r="A570" s="1" t="s">
        <v>1241</v>
      </c>
      <c r="B570" s="2">
        <v>45230</v>
      </c>
      <c r="C570" s="1" t="str">
        <f>_xlfn.XLOOKUP(Logs[[#This Row],[Province_RDC]],Clients_Log!D:D,Clients_Log!B:B,"Pas de correspondance")</f>
        <v>Pas de correspondance</v>
      </c>
      <c r="D570" t="str">
        <f>_xlfn.XLOOKUP(Logs[[#This Row],[Cell_ID]],'Registre_Maintenance'!B:B,'Registre_Maintenance'!C:C,"Pas de correspondance")</f>
        <v>Pas de correspondance</v>
      </c>
      <c r="E570" s="3">
        <v>0.56597222222222221</v>
      </c>
      <c r="F570" s="1" t="s">
        <v>958</v>
      </c>
      <c r="G570" s="3">
        <f>Logs[[#This Row],[Duree_Panne_Min]]/1440</f>
        <v>5.1388888888888887E-2</v>
      </c>
      <c r="H570">
        <v>74</v>
      </c>
      <c r="I570" t="str">
        <f>_xlfn.XLOOKUP(Logs[[#This Row],[Cell_ID]],'Registre_Maintenance'!B:B,'Registre_Maintenance'!D:D,"Pas de correspondance")</f>
        <v>Pas de correspondance</v>
      </c>
      <c r="J570" t="str">
        <f>_xlfn.XLOOKUP(Logs[[#This Row],[Cell_ID]],'Registre_Maintenance'!B:B,'Registre_Maintenance'!E:E,"Pas de correspondance")</f>
        <v>Pas de correspondance</v>
      </c>
      <c r="K570" t="str">
        <f>_xlfn.XLOOKUP(Logs[[#This Row],[Cell_ID]],'Registre_Maintenance'!B:B,'Registre_Maintenance'!F:F,"Pas de correspondance")</f>
        <v>Pas de correspondance</v>
      </c>
      <c r="L570" t="str">
        <f>_xlfn.XLOOKUP(Logs[[#This Row],[Cell_ID]],'Registre_Maintenance'!B:B,'Registre_Maintenance'!G:G,"Pas de correspondance")</f>
        <v>Pas de correspondance</v>
      </c>
      <c r="M570" s="1" t="s">
        <v>806</v>
      </c>
      <c r="N570" s="1" t="str">
        <f>_xlfn.XLOOKUP(Logs[[#This Row],[ID_Client]],Clients_Log!B:B,Clients_Log!E:E,"Pas de correspondance")</f>
        <v>Pas de correspondance</v>
      </c>
      <c r="O570" s="4" t="str">
        <f>IFERROR(Logs[[#This Row],[Anciennete_Mois]]/12,"")</f>
        <v/>
      </c>
      <c r="P570" s="1" t="str">
        <f>_xlfn.XLOOKUP(Logs[[#This Row],[ID_Client]],Clients_Log!B:B,Clients_Log!F:F,"Pas de correspondance")</f>
        <v>Pas de correspondance</v>
      </c>
      <c r="Q570" s="1" t="str">
        <f>IF(Logs[[#This Row],[Type_Forfait]]="Pro Monde","B2B","B2C")</f>
        <v>B2C</v>
      </c>
      <c r="R570" s="1" t="str">
        <f>_xlfn.XLOOKUP(Logs[[#This Row],[ID_Client]],Clients_Log!B:B,Clients_Log!G:G,"Pas de correspondance")</f>
        <v>Pas de correspondance</v>
      </c>
      <c r="S570" s="1" t="e">
        <f>Logs[[#This Row],[Duree_Cumulee_Panne_Min]]/1440</f>
        <v>#VALUE!</v>
      </c>
      <c r="T570" s="1" t="str">
        <f>_xlfn.XLOOKUP(Logs[[#This Row],[ID_Client]],Clients_Log!B:B,Clients_Log!H:H,"Pas de correspondance")</f>
        <v>Pas de correspondance</v>
      </c>
      <c r="U570" s="1" t="str">
        <f>_xlfn.XLOOKUP(Logs[[#This Row],[ID_Client]],Clients_Log!B:B,Clients_Log!I:I,"Pas de correspondance")</f>
        <v>Pas de correspondance</v>
      </c>
      <c r="V57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70" s="1" t="e">
        <f>Logs[[#This Row],[Facture_Mensuelle]]*Logs[[#This Row],[Remise (%)]]</f>
        <v>#VALUE!</v>
      </c>
    </row>
    <row r="571" spans="1:23" x14ac:dyDescent="0.25">
      <c r="A571" s="1" t="s">
        <v>1241</v>
      </c>
      <c r="B571" s="2">
        <v>45216</v>
      </c>
      <c r="C571" s="1" t="str">
        <f>_xlfn.XLOOKUP(Logs[[#This Row],[Province_RDC]],Clients_Log!D:D,Clients_Log!B:B,"Pas de correspondance")</f>
        <v>CLI-01005</v>
      </c>
      <c r="D571" t="str">
        <f>_xlfn.XLOOKUP(Logs[[#This Row],[Cell_ID]],'Registre_Maintenance'!B:B,'Registre_Maintenance'!C:C,"Pas de correspondance")</f>
        <v>Lualaba</v>
      </c>
      <c r="E571" s="3">
        <v>0.18333333333333332</v>
      </c>
      <c r="F571" s="1" t="s">
        <v>1112</v>
      </c>
      <c r="G571" s="3">
        <f>Logs[[#This Row],[Duree_Panne_Min]]/1440</f>
        <v>4.6527777777777779E-2</v>
      </c>
      <c r="H571">
        <v>67</v>
      </c>
      <c r="I571">
        <f>_xlfn.XLOOKUP(Logs[[#This Row],[Cell_ID]],'Registre_Maintenance'!B:B,'Registre_Maintenance'!D:D,"Pas de correspondance")</f>
        <v>-10.967288</v>
      </c>
      <c r="J571">
        <f>_xlfn.XLOOKUP(Logs[[#This Row],[Cell_ID]],'Registre_Maintenance'!B:B,'Registre_Maintenance'!E:E,"Pas de correspondance")</f>
        <v>17.617781000000001</v>
      </c>
      <c r="K571" t="str">
        <f>_xlfn.XLOOKUP(Logs[[#This Row],[Cell_ID]],'Registre_Maintenance'!B:B,'Registre_Maintenance'!F:F,"Pas de correspondance")</f>
        <v>4G</v>
      </c>
      <c r="L571" t="str">
        <f>_xlfn.XLOOKUP(Logs[[#This Row],[Cell_ID]],'Registre_Maintenance'!B:B,'Registre_Maintenance'!G:G,"Pas de correspondance")</f>
        <v>Ericsson</v>
      </c>
      <c r="M571" s="1" t="s">
        <v>809</v>
      </c>
      <c r="N571" s="1">
        <f>_xlfn.XLOOKUP(Logs[[#This Row],[ID_Client]],Clients_Log!B:B,Clients_Log!E:E,"Pas de correspondance")</f>
        <v>80</v>
      </c>
      <c r="O571" s="4">
        <f>IFERROR(Logs[[#This Row],[Anciennete_Mois]]/12,"")</f>
        <v>6.666666666666667</v>
      </c>
      <c r="P571" s="1" t="str">
        <f>_xlfn.XLOOKUP(Logs[[#This Row],[ID_Client]],Clients_Log!B:B,Clients_Log!F:F,"Pas de correspondance")</f>
        <v>Illimité 50Go</v>
      </c>
      <c r="Q571" s="1" t="str">
        <f>IF(Logs[[#This Row],[Type_Forfait]]="Pro Monde","B2B","B2C")</f>
        <v>B2C</v>
      </c>
      <c r="R571" s="1">
        <f>_xlfn.XLOOKUP(Logs[[#This Row],[ID_Client]],Clients_Log!B:B,Clients_Log!G:G,"Pas de correspondance")</f>
        <v>155</v>
      </c>
      <c r="S571" s="3">
        <f>Logs[[#This Row],[Duree_Cumulee_Panne_Min]]/1440</f>
        <v>0.1076388888888889</v>
      </c>
      <c r="T571" s="1">
        <f>_xlfn.XLOOKUP(Logs[[#This Row],[ID_Client]],Clients_Log!B:B,Clients_Log!H:H,"Pas de correspondance")</f>
        <v>28.96</v>
      </c>
      <c r="U571" s="1">
        <f>_xlfn.XLOOKUP(Logs[[#This Row],[ID_Client]],Clients_Log!B:B,Clients_Log!I:I,"Pas de correspondance")</f>
        <v>2</v>
      </c>
      <c r="V57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71" s="1">
        <f>Logs[[#This Row],[Facture_Mensuelle]]*Logs[[#This Row],[Remise (%)]]</f>
        <v>0</v>
      </c>
    </row>
    <row r="572" spans="1:23" x14ac:dyDescent="0.25">
      <c r="A572" s="1" t="s">
        <v>1241</v>
      </c>
      <c r="B572" s="2">
        <v>45207</v>
      </c>
      <c r="C572" s="1" t="str">
        <f>_xlfn.XLOOKUP(Logs[[#This Row],[Province_RDC]],Clients_Log!D:D,Clients_Log!B:B,"Pas de correspondance")</f>
        <v>CLI-00414</v>
      </c>
      <c r="D572" t="str">
        <f>_xlfn.XLOOKUP(Logs[[#This Row],[Cell_ID]],'Registre_Maintenance'!B:B,'Registre_Maintenance'!C:C,"Pas de correspondance")</f>
        <v>Bas-Uele</v>
      </c>
      <c r="E572" s="3">
        <v>0.34236111111111112</v>
      </c>
      <c r="F572" s="1" t="s">
        <v>1248</v>
      </c>
      <c r="G572" s="3">
        <f>Logs[[#This Row],[Duree_Panne_Min]]/1440</f>
        <v>1.9444444444444445E-2</v>
      </c>
      <c r="H572">
        <v>28</v>
      </c>
      <c r="I572">
        <f>_xlfn.XLOOKUP(Logs[[#This Row],[Cell_ID]],'Registre_Maintenance'!B:B,'Registre_Maintenance'!D:D,"Pas de correspondance")</f>
        <v>0.40267799999999998</v>
      </c>
      <c r="J572">
        <f>_xlfn.XLOOKUP(Logs[[#This Row],[Cell_ID]],'Registre_Maintenance'!B:B,'Registre_Maintenance'!E:E,"Pas de correspondance")</f>
        <v>16.000858000000001</v>
      </c>
      <c r="K572" t="str">
        <f>_xlfn.XLOOKUP(Logs[[#This Row],[Cell_ID]],'Registre_Maintenance'!B:B,'Registre_Maintenance'!F:F,"Pas de correspondance")</f>
        <v>3G</v>
      </c>
      <c r="L572" t="str">
        <f>_xlfn.XLOOKUP(Logs[[#This Row],[Cell_ID]],'Registre_Maintenance'!B:B,'Registre_Maintenance'!G:G,"Pas de correspondance")</f>
        <v>Nokia</v>
      </c>
      <c r="M572" s="1" t="s">
        <v>806</v>
      </c>
      <c r="N572" s="1">
        <f>_xlfn.XLOOKUP(Logs[[#This Row],[ID_Client]],Clients_Log!B:B,Clients_Log!E:E,"Pas de correspondance")</f>
        <v>99</v>
      </c>
      <c r="O572" s="4">
        <f>IFERROR(Logs[[#This Row],[Anciennete_Mois]]/12,"")</f>
        <v>8.25</v>
      </c>
      <c r="P572" s="1" t="str">
        <f>_xlfn.XLOOKUP(Logs[[#This Row],[ID_Client]],Clients_Log!B:B,Clients_Log!F:F,"Pas de correspondance")</f>
        <v>Premium 5G 150Go</v>
      </c>
      <c r="Q572" s="1" t="str">
        <f>IF(Logs[[#This Row],[Type_Forfait]]="Pro Monde","B2B","B2C")</f>
        <v>B2C</v>
      </c>
      <c r="R572" s="1">
        <f>_xlfn.XLOOKUP(Logs[[#This Row],[ID_Client]],Clients_Log!B:B,Clients_Log!G:G,"Pas de correspondance")</f>
        <v>447</v>
      </c>
      <c r="S572" s="3">
        <f>Logs[[#This Row],[Duree_Cumulee_Panne_Min]]/1440</f>
        <v>0.31041666666666667</v>
      </c>
      <c r="T572" s="1">
        <f>_xlfn.XLOOKUP(Logs[[#This Row],[ID_Client]],Clients_Log!B:B,Clients_Log!H:H,"Pas de correspondance")</f>
        <v>38.1</v>
      </c>
      <c r="U572" s="1">
        <f>_xlfn.XLOOKUP(Logs[[#This Row],[ID_Client]],Clients_Log!B:B,Clients_Log!I:I,"Pas de correspondance")</f>
        <v>3</v>
      </c>
      <c r="V57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72" s="1">
        <f>Logs[[#This Row],[Facture_Mensuelle]]*Logs[[#This Row],[Remise (%)]]</f>
        <v>17.145</v>
      </c>
    </row>
    <row r="573" spans="1:23" x14ac:dyDescent="0.25">
      <c r="A573" s="1" t="s">
        <v>1241</v>
      </c>
      <c r="B573" s="2">
        <v>45210</v>
      </c>
      <c r="C573" s="1" t="str">
        <f>_xlfn.XLOOKUP(Logs[[#This Row],[Province_RDC]],Clients_Log!D:D,Clients_Log!B:B,"Pas de correspondance")</f>
        <v>CLI-00865</v>
      </c>
      <c r="D573" t="str">
        <f>_xlfn.XLOOKUP(Logs[[#This Row],[Cell_ID]],'Registre_Maintenance'!B:B,'Registre_Maintenance'!C:C,"Pas de correspondance")</f>
        <v>Mongala</v>
      </c>
      <c r="E573" s="3">
        <v>0.83680555555555558</v>
      </c>
      <c r="F573" s="1" t="s">
        <v>1249</v>
      </c>
      <c r="G573" s="3">
        <f>Logs[[#This Row],[Duree_Panne_Min]]/1440</f>
        <v>8.1944444444444445E-2</v>
      </c>
      <c r="H573">
        <v>118</v>
      </c>
      <c r="I573">
        <f>_xlfn.XLOOKUP(Logs[[#This Row],[Cell_ID]],'Registre_Maintenance'!B:B,'Registre_Maintenance'!D:D,"Pas de correspondance")</f>
        <v>-11.407966</v>
      </c>
      <c r="J573">
        <f>_xlfn.XLOOKUP(Logs[[#This Row],[Cell_ID]],'Registre_Maintenance'!B:B,'Registre_Maintenance'!E:E,"Pas de correspondance")</f>
        <v>28.378274000000001</v>
      </c>
      <c r="K573" t="str">
        <f>_xlfn.XLOOKUP(Logs[[#This Row],[Cell_ID]],'Registre_Maintenance'!B:B,'Registre_Maintenance'!F:F,"Pas de correspondance")</f>
        <v>4G</v>
      </c>
      <c r="L573" t="str">
        <f>_xlfn.XLOOKUP(Logs[[#This Row],[Cell_ID]],'Registre_Maintenance'!B:B,'Registre_Maintenance'!G:G,"Pas de correspondance")</f>
        <v>ZTE</v>
      </c>
      <c r="M573" s="1" t="s">
        <v>806</v>
      </c>
      <c r="N573" s="1">
        <f>_xlfn.XLOOKUP(Logs[[#This Row],[ID_Client]],Clients_Log!B:B,Clients_Log!E:E,"Pas de correspondance")</f>
        <v>34</v>
      </c>
      <c r="O573" s="4">
        <f>IFERROR(Logs[[#This Row],[Anciennete_Mois]]/12,"")</f>
        <v>2.8333333333333335</v>
      </c>
      <c r="P573" s="1" t="str">
        <f>_xlfn.XLOOKUP(Logs[[#This Row],[ID_Client]],Clients_Log!B:B,Clients_Log!F:F,"Pas de correspondance")</f>
        <v>Pro Monde</v>
      </c>
      <c r="Q573" s="1" t="str">
        <f>IF(Logs[[#This Row],[Type_Forfait]]="Pro Monde","B2B","B2C")</f>
        <v>B2B</v>
      </c>
      <c r="R573" s="1">
        <f>_xlfn.XLOOKUP(Logs[[#This Row],[ID_Client]],Clients_Log!B:B,Clients_Log!G:G,"Pas de correspondance")</f>
        <v>453</v>
      </c>
      <c r="S573" s="3">
        <f>Logs[[#This Row],[Duree_Cumulee_Panne_Min]]/1440</f>
        <v>0.31458333333333333</v>
      </c>
      <c r="T573" s="1">
        <f>_xlfn.XLOOKUP(Logs[[#This Row],[ID_Client]],Clients_Log!B:B,Clients_Log!H:H,"Pas de correspondance")</f>
        <v>56.84</v>
      </c>
      <c r="U573" s="1">
        <f>_xlfn.XLOOKUP(Logs[[#This Row],[ID_Client]],Clients_Log!B:B,Clients_Log!I:I,"Pas de correspondance")</f>
        <v>0</v>
      </c>
      <c r="V57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73" s="1">
        <f>Logs[[#This Row],[Facture_Mensuelle]]*Logs[[#This Row],[Remise (%)]]</f>
        <v>25.578000000000003</v>
      </c>
    </row>
    <row r="574" spans="1:23" hidden="1" x14ac:dyDescent="0.25">
      <c r="A574" s="1" t="s">
        <v>1241</v>
      </c>
      <c r="B574" s="2">
        <v>45229</v>
      </c>
      <c r="C574" s="1" t="str">
        <f>_xlfn.XLOOKUP(Logs[[#This Row],[Province_RDC]],Clients_Log!D:D,Clients_Log!B:B,"Pas de correspondance")</f>
        <v>Pas de correspondance</v>
      </c>
      <c r="D574" t="str">
        <f>_xlfn.XLOOKUP(Logs[[#This Row],[Cell_ID]],'Registre_Maintenance'!B:B,'Registre_Maintenance'!C:C,"Pas de correspondance")</f>
        <v>Pas de correspondance</v>
      </c>
      <c r="E574" s="3">
        <v>0.62083333333333335</v>
      </c>
      <c r="F574" s="1" t="s">
        <v>1250</v>
      </c>
      <c r="G574" s="3">
        <f>Logs[[#This Row],[Duree_Panne_Min]]/1440</f>
        <v>5.1388888888888887E-2</v>
      </c>
      <c r="H574">
        <v>74</v>
      </c>
      <c r="I574" t="str">
        <f>_xlfn.XLOOKUP(Logs[[#This Row],[Cell_ID]],'Registre_Maintenance'!B:B,'Registre_Maintenance'!D:D,"Pas de correspondance")</f>
        <v>Pas de correspondance</v>
      </c>
      <c r="J574" t="str">
        <f>_xlfn.XLOOKUP(Logs[[#This Row],[Cell_ID]],'Registre_Maintenance'!B:B,'Registre_Maintenance'!E:E,"Pas de correspondance")</f>
        <v>Pas de correspondance</v>
      </c>
      <c r="K574" t="str">
        <f>_xlfn.XLOOKUP(Logs[[#This Row],[Cell_ID]],'Registre_Maintenance'!B:B,'Registre_Maintenance'!F:F,"Pas de correspondance")</f>
        <v>Pas de correspondance</v>
      </c>
      <c r="L574" t="str">
        <f>_xlfn.XLOOKUP(Logs[[#This Row],[Cell_ID]],'Registre_Maintenance'!B:B,'Registre_Maintenance'!G:G,"Pas de correspondance")</f>
        <v>Pas de correspondance</v>
      </c>
      <c r="M574" s="1" t="s">
        <v>811</v>
      </c>
      <c r="N574" s="1" t="str">
        <f>_xlfn.XLOOKUP(Logs[[#This Row],[ID_Client]],Clients_Log!B:B,Clients_Log!E:E,"Pas de correspondance")</f>
        <v>Pas de correspondance</v>
      </c>
      <c r="O574" s="4" t="str">
        <f>IFERROR(Logs[[#This Row],[Anciennete_Mois]]/12,"")</f>
        <v/>
      </c>
      <c r="P574" s="1" t="str">
        <f>_xlfn.XLOOKUP(Logs[[#This Row],[ID_Client]],Clients_Log!B:B,Clients_Log!F:F,"Pas de correspondance")</f>
        <v>Pas de correspondance</v>
      </c>
      <c r="Q574" s="1" t="str">
        <f>IF(Logs[[#This Row],[Type_Forfait]]="Pro Monde","B2B","B2C")</f>
        <v>B2C</v>
      </c>
      <c r="R574" s="1" t="str">
        <f>_xlfn.XLOOKUP(Logs[[#This Row],[ID_Client]],Clients_Log!B:B,Clients_Log!G:G,"Pas de correspondance")</f>
        <v>Pas de correspondance</v>
      </c>
      <c r="S574" s="1" t="e">
        <f>Logs[[#This Row],[Duree_Cumulee_Panne_Min]]/1440</f>
        <v>#VALUE!</v>
      </c>
      <c r="T574" s="1" t="str">
        <f>_xlfn.XLOOKUP(Logs[[#This Row],[ID_Client]],Clients_Log!B:B,Clients_Log!H:H,"Pas de correspondance")</f>
        <v>Pas de correspondance</v>
      </c>
      <c r="U574" s="1" t="str">
        <f>_xlfn.XLOOKUP(Logs[[#This Row],[ID_Client]],Clients_Log!B:B,Clients_Log!I:I,"Pas de correspondance")</f>
        <v>Pas de correspondance</v>
      </c>
      <c r="V57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74" s="1" t="e">
        <f>Logs[[#This Row],[Facture_Mensuelle]]*Logs[[#This Row],[Remise (%)]]</f>
        <v>#VALUE!</v>
      </c>
    </row>
    <row r="575" spans="1:23" hidden="1" x14ac:dyDescent="0.25">
      <c r="A575" s="1" t="s">
        <v>1241</v>
      </c>
      <c r="B575" s="2">
        <v>45211</v>
      </c>
      <c r="C575" s="1" t="str">
        <f>_xlfn.XLOOKUP(Logs[[#This Row],[Province_RDC]],Clients_Log!D:D,Clients_Log!B:B,"Pas de correspondance")</f>
        <v>Pas de correspondance</v>
      </c>
      <c r="D575" t="str">
        <f>_xlfn.XLOOKUP(Logs[[#This Row],[Cell_ID]],'Registre_Maintenance'!B:B,'Registre_Maintenance'!C:C,"Pas de correspondance")</f>
        <v>Pas de correspondance</v>
      </c>
      <c r="E575" s="3">
        <v>0.10694444444444444</v>
      </c>
      <c r="F575" s="1" t="s">
        <v>893</v>
      </c>
      <c r="G575" s="3">
        <f>Logs[[#This Row],[Duree_Panne_Min]]/1440</f>
        <v>6.0416666666666667E-2</v>
      </c>
      <c r="H575">
        <v>87</v>
      </c>
      <c r="I575" t="str">
        <f>_xlfn.XLOOKUP(Logs[[#This Row],[Cell_ID]],'Registre_Maintenance'!B:B,'Registre_Maintenance'!D:D,"Pas de correspondance")</f>
        <v>Pas de correspondance</v>
      </c>
      <c r="J575" t="str">
        <f>_xlfn.XLOOKUP(Logs[[#This Row],[Cell_ID]],'Registre_Maintenance'!B:B,'Registre_Maintenance'!E:E,"Pas de correspondance")</f>
        <v>Pas de correspondance</v>
      </c>
      <c r="K575" t="str">
        <f>_xlfn.XLOOKUP(Logs[[#This Row],[Cell_ID]],'Registre_Maintenance'!B:B,'Registre_Maintenance'!F:F,"Pas de correspondance")</f>
        <v>Pas de correspondance</v>
      </c>
      <c r="L575" t="str">
        <f>_xlfn.XLOOKUP(Logs[[#This Row],[Cell_ID]],'Registre_Maintenance'!B:B,'Registre_Maintenance'!G:G,"Pas de correspondance")</f>
        <v>Pas de correspondance</v>
      </c>
      <c r="M575" s="1" t="s">
        <v>811</v>
      </c>
      <c r="N575" s="1" t="str">
        <f>_xlfn.XLOOKUP(Logs[[#This Row],[ID_Client]],Clients_Log!B:B,Clients_Log!E:E,"Pas de correspondance")</f>
        <v>Pas de correspondance</v>
      </c>
      <c r="O575" s="4" t="str">
        <f>IFERROR(Logs[[#This Row],[Anciennete_Mois]]/12,"")</f>
        <v/>
      </c>
      <c r="P575" s="1" t="str">
        <f>_xlfn.XLOOKUP(Logs[[#This Row],[ID_Client]],Clients_Log!B:B,Clients_Log!F:F,"Pas de correspondance")</f>
        <v>Pas de correspondance</v>
      </c>
      <c r="Q575" s="1" t="str">
        <f>IF(Logs[[#This Row],[Type_Forfait]]="Pro Monde","B2B","B2C")</f>
        <v>B2C</v>
      </c>
      <c r="R575" s="1" t="str">
        <f>_xlfn.XLOOKUP(Logs[[#This Row],[ID_Client]],Clients_Log!B:B,Clients_Log!G:G,"Pas de correspondance")</f>
        <v>Pas de correspondance</v>
      </c>
      <c r="S575" s="1" t="e">
        <f>Logs[[#This Row],[Duree_Cumulee_Panne_Min]]/1440</f>
        <v>#VALUE!</v>
      </c>
      <c r="T575" s="1" t="str">
        <f>_xlfn.XLOOKUP(Logs[[#This Row],[ID_Client]],Clients_Log!B:B,Clients_Log!H:H,"Pas de correspondance")</f>
        <v>Pas de correspondance</v>
      </c>
      <c r="U575" s="1" t="str">
        <f>_xlfn.XLOOKUP(Logs[[#This Row],[ID_Client]],Clients_Log!B:B,Clients_Log!I:I,"Pas de correspondance")</f>
        <v>Pas de correspondance</v>
      </c>
      <c r="V57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75" s="1" t="e">
        <f>Logs[[#This Row],[Facture_Mensuelle]]*Logs[[#This Row],[Remise (%)]]</f>
        <v>#VALUE!</v>
      </c>
    </row>
    <row r="576" spans="1:23" x14ac:dyDescent="0.25">
      <c r="A576" s="1" t="s">
        <v>1241</v>
      </c>
      <c r="B576" s="2">
        <v>45223</v>
      </c>
      <c r="C576" s="1" t="str">
        <f>_xlfn.XLOOKUP(Logs[[#This Row],[Province_RDC]],Clients_Log!D:D,Clients_Log!B:B,"Pas de correspondance")</f>
        <v>CLI-00837</v>
      </c>
      <c r="D576" t="str">
        <f>_xlfn.XLOOKUP(Logs[[#This Row],[Cell_ID]],'Registre_Maintenance'!B:B,'Registre_Maintenance'!C:C,"Pas de correspondance")</f>
        <v>Nord-Kivu</v>
      </c>
      <c r="E576" s="3">
        <v>0.25208333333333333</v>
      </c>
      <c r="F576" s="1" t="s">
        <v>1051</v>
      </c>
      <c r="G576" s="3">
        <f>Logs[[#This Row],[Duree_Panne_Min]]/1440</f>
        <v>8.3333333333333332E-3</v>
      </c>
      <c r="H576">
        <v>12</v>
      </c>
      <c r="I576">
        <f>_xlfn.XLOOKUP(Logs[[#This Row],[Cell_ID]],'Registre_Maintenance'!B:B,'Registre_Maintenance'!D:D,"Pas de correspondance")</f>
        <v>-10.846306999999999</v>
      </c>
      <c r="J576">
        <f>_xlfn.XLOOKUP(Logs[[#This Row],[Cell_ID]],'Registre_Maintenance'!B:B,'Registre_Maintenance'!E:E,"Pas de correspondance")</f>
        <v>19.201827999999999</v>
      </c>
      <c r="K576" t="str">
        <f>_xlfn.XLOOKUP(Logs[[#This Row],[Cell_ID]],'Registre_Maintenance'!B:B,'Registre_Maintenance'!F:F,"Pas de correspondance")</f>
        <v>4G</v>
      </c>
      <c r="L576" t="str">
        <f>_xlfn.XLOOKUP(Logs[[#This Row],[Cell_ID]],'Registre_Maintenance'!B:B,'Registre_Maintenance'!G:G,"Pas de correspondance")</f>
        <v>Ericsson</v>
      </c>
      <c r="M576" s="1" t="s">
        <v>809</v>
      </c>
      <c r="N576" s="1">
        <f>_xlfn.XLOOKUP(Logs[[#This Row],[ID_Client]],Clients_Log!B:B,Clients_Log!E:E,"Pas de correspondance")</f>
        <v>16</v>
      </c>
      <c r="O576" s="4">
        <f>IFERROR(Logs[[#This Row],[Anciennete_Mois]]/12,"")</f>
        <v>1.3333333333333333</v>
      </c>
      <c r="P576" s="1" t="str">
        <f>_xlfn.XLOOKUP(Logs[[#This Row],[ID_Client]],Clients_Log!B:B,Clients_Log!F:F,"Pas de correspondance")</f>
        <v>Bloqué 5Go</v>
      </c>
      <c r="Q576" s="1" t="str">
        <f>IF(Logs[[#This Row],[Type_Forfait]]="Pro Monde","B2B","B2C")</f>
        <v>B2C</v>
      </c>
      <c r="R576" s="1">
        <f>_xlfn.XLOOKUP(Logs[[#This Row],[ID_Client]],Clients_Log!B:B,Clients_Log!G:G,"Pas de correspondance")</f>
        <v>390</v>
      </c>
      <c r="S576" s="3">
        <f>Logs[[#This Row],[Duree_Cumulee_Panne_Min]]/1440</f>
        <v>0.27083333333333331</v>
      </c>
      <c r="T576" s="1">
        <f>_xlfn.XLOOKUP(Logs[[#This Row],[ID_Client]],Clients_Log!B:B,Clients_Log!H:H,"Pas de correspondance")</f>
        <v>98.17</v>
      </c>
      <c r="U576" s="1">
        <f>_xlfn.XLOOKUP(Logs[[#This Row],[ID_Client]],Clients_Log!B:B,Clients_Log!I:I,"Pas de correspondance")</f>
        <v>5</v>
      </c>
      <c r="V57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76" s="1">
        <f>Logs[[#This Row],[Facture_Mensuelle]]*Logs[[#This Row],[Remise (%)]]</f>
        <v>44.176500000000004</v>
      </c>
    </row>
    <row r="577" spans="1:23" hidden="1" x14ac:dyDescent="0.25">
      <c r="A577" s="1" t="s">
        <v>1241</v>
      </c>
      <c r="B577" s="2">
        <v>45208</v>
      </c>
      <c r="C577" s="1" t="str">
        <f>_xlfn.XLOOKUP(Logs[[#This Row],[Province_RDC]],Clients_Log!D:D,Clients_Log!B:B,"Pas de correspondance")</f>
        <v>Pas de correspondance</v>
      </c>
      <c r="D577" t="str">
        <f>_xlfn.XLOOKUP(Logs[[#This Row],[Cell_ID]],'Registre_Maintenance'!B:B,'Registre_Maintenance'!C:C,"Pas de correspondance")</f>
        <v>Pas de correspondance</v>
      </c>
      <c r="E577" s="3">
        <v>0.52986111111111112</v>
      </c>
      <c r="F577" s="1" t="s">
        <v>1251</v>
      </c>
      <c r="G577" s="3">
        <f>Logs[[#This Row],[Duree_Panne_Min]]/1440</f>
        <v>0.05</v>
      </c>
      <c r="H577">
        <v>72</v>
      </c>
      <c r="I577" t="str">
        <f>_xlfn.XLOOKUP(Logs[[#This Row],[Cell_ID]],'Registre_Maintenance'!B:B,'Registre_Maintenance'!D:D,"Pas de correspondance")</f>
        <v>Pas de correspondance</v>
      </c>
      <c r="J577" t="str">
        <f>_xlfn.XLOOKUP(Logs[[#This Row],[Cell_ID]],'Registre_Maintenance'!B:B,'Registre_Maintenance'!E:E,"Pas de correspondance")</f>
        <v>Pas de correspondance</v>
      </c>
      <c r="K577" t="str">
        <f>_xlfn.XLOOKUP(Logs[[#This Row],[Cell_ID]],'Registre_Maintenance'!B:B,'Registre_Maintenance'!F:F,"Pas de correspondance")</f>
        <v>Pas de correspondance</v>
      </c>
      <c r="L577" t="str">
        <f>_xlfn.XLOOKUP(Logs[[#This Row],[Cell_ID]],'Registre_Maintenance'!B:B,'Registre_Maintenance'!G:G,"Pas de correspondance")</f>
        <v>Pas de correspondance</v>
      </c>
      <c r="M577" s="1" t="s">
        <v>811</v>
      </c>
      <c r="N577" s="1" t="str">
        <f>_xlfn.XLOOKUP(Logs[[#This Row],[ID_Client]],Clients_Log!B:B,Clients_Log!E:E,"Pas de correspondance")</f>
        <v>Pas de correspondance</v>
      </c>
      <c r="O577" s="4" t="str">
        <f>IFERROR(Logs[[#This Row],[Anciennete_Mois]]/12,"")</f>
        <v/>
      </c>
      <c r="P577" s="1" t="str">
        <f>_xlfn.XLOOKUP(Logs[[#This Row],[ID_Client]],Clients_Log!B:B,Clients_Log!F:F,"Pas de correspondance")</f>
        <v>Pas de correspondance</v>
      </c>
      <c r="Q577" s="1" t="str">
        <f>IF(Logs[[#This Row],[Type_Forfait]]="Pro Monde","B2B","B2C")</f>
        <v>B2C</v>
      </c>
      <c r="R577" s="1" t="str">
        <f>_xlfn.XLOOKUP(Logs[[#This Row],[ID_Client]],Clients_Log!B:B,Clients_Log!G:G,"Pas de correspondance")</f>
        <v>Pas de correspondance</v>
      </c>
      <c r="S577" s="1" t="e">
        <f>Logs[[#This Row],[Duree_Cumulee_Panne_Min]]/1440</f>
        <v>#VALUE!</v>
      </c>
      <c r="T577" s="1" t="str">
        <f>_xlfn.XLOOKUP(Logs[[#This Row],[ID_Client]],Clients_Log!B:B,Clients_Log!H:H,"Pas de correspondance")</f>
        <v>Pas de correspondance</v>
      </c>
      <c r="U577" s="1" t="str">
        <f>_xlfn.XLOOKUP(Logs[[#This Row],[ID_Client]],Clients_Log!B:B,Clients_Log!I:I,"Pas de correspondance")</f>
        <v>Pas de correspondance</v>
      </c>
      <c r="V57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77" s="1" t="e">
        <f>Logs[[#This Row],[Facture_Mensuelle]]*Logs[[#This Row],[Remise (%)]]</f>
        <v>#VALUE!</v>
      </c>
    </row>
    <row r="578" spans="1:23" hidden="1" x14ac:dyDescent="0.25">
      <c r="A578" s="1" t="s">
        <v>1241</v>
      </c>
      <c r="B578" s="2">
        <v>45219</v>
      </c>
      <c r="C578" s="1" t="str">
        <f>_xlfn.XLOOKUP(Logs[[#This Row],[Province_RDC]],Clients_Log!D:D,Clients_Log!B:B,"Pas de correspondance")</f>
        <v>Pas de correspondance</v>
      </c>
      <c r="D578" t="str">
        <f>_xlfn.XLOOKUP(Logs[[#This Row],[Cell_ID]],'Registre_Maintenance'!B:B,'Registre_Maintenance'!C:C,"Pas de correspondance")</f>
        <v>Pas de correspondance</v>
      </c>
      <c r="E578" s="3">
        <v>0.79305555555555551</v>
      </c>
      <c r="F578" s="1" t="s">
        <v>1031</v>
      </c>
      <c r="G578" s="3">
        <f>Logs[[#This Row],[Duree_Panne_Min]]/1440</f>
        <v>6.2500000000000003E-3</v>
      </c>
      <c r="H578">
        <v>9</v>
      </c>
      <c r="I578" t="str">
        <f>_xlfn.XLOOKUP(Logs[[#This Row],[Cell_ID]],'Registre_Maintenance'!B:B,'Registre_Maintenance'!D:D,"Pas de correspondance")</f>
        <v>Pas de correspondance</v>
      </c>
      <c r="J578" t="str">
        <f>_xlfn.XLOOKUP(Logs[[#This Row],[Cell_ID]],'Registre_Maintenance'!B:B,'Registre_Maintenance'!E:E,"Pas de correspondance")</f>
        <v>Pas de correspondance</v>
      </c>
      <c r="K578" t="str">
        <f>_xlfn.XLOOKUP(Logs[[#This Row],[Cell_ID]],'Registre_Maintenance'!B:B,'Registre_Maintenance'!F:F,"Pas de correspondance")</f>
        <v>Pas de correspondance</v>
      </c>
      <c r="L578" t="str">
        <f>_xlfn.XLOOKUP(Logs[[#This Row],[Cell_ID]],'Registre_Maintenance'!B:B,'Registre_Maintenance'!G:G,"Pas de correspondance")</f>
        <v>Pas de correspondance</v>
      </c>
      <c r="M578" s="1" t="s">
        <v>809</v>
      </c>
      <c r="N578" s="1" t="str">
        <f>_xlfn.XLOOKUP(Logs[[#This Row],[ID_Client]],Clients_Log!B:B,Clients_Log!E:E,"Pas de correspondance")</f>
        <v>Pas de correspondance</v>
      </c>
      <c r="O578" s="4" t="str">
        <f>IFERROR(Logs[[#This Row],[Anciennete_Mois]]/12,"")</f>
        <v/>
      </c>
      <c r="P578" s="1" t="str">
        <f>_xlfn.XLOOKUP(Logs[[#This Row],[ID_Client]],Clients_Log!B:B,Clients_Log!F:F,"Pas de correspondance")</f>
        <v>Pas de correspondance</v>
      </c>
      <c r="Q578" s="1" t="str">
        <f>IF(Logs[[#This Row],[Type_Forfait]]="Pro Monde","B2B","B2C")</f>
        <v>B2C</v>
      </c>
      <c r="R578" s="1" t="str">
        <f>_xlfn.XLOOKUP(Logs[[#This Row],[ID_Client]],Clients_Log!B:B,Clients_Log!G:G,"Pas de correspondance")</f>
        <v>Pas de correspondance</v>
      </c>
      <c r="S578" s="1" t="e">
        <f>Logs[[#This Row],[Duree_Cumulee_Panne_Min]]/1440</f>
        <v>#VALUE!</v>
      </c>
      <c r="T578" s="1" t="str">
        <f>_xlfn.XLOOKUP(Logs[[#This Row],[ID_Client]],Clients_Log!B:B,Clients_Log!H:H,"Pas de correspondance")</f>
        <v>Pas de correspondance</v>
      </c>
      <c r="U578" s="1" t="str">
        <f>_xlfn.XLOOKUP(Logs[[#This Row],[ID_Client]],Clients_Log!B:B,Clients_Log!I:I,"Pas de correspondance")</f>
        <v>Pas de correspondance</v>
      </c>
      <c r="V57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78" s="1" t="e">
        <f>Logs[[#This Row],[Facture_Mensuelle]]*Logs[[#This Row],[Remise (%)]]</f>
        <v>#VALUE!</v>
      </c>
    </row>
    <row r="579" spans="1:23" x14ac:dyDescent="0.25">
      <c r="A579" s="1" t="s">
        <v>1241</v>
      </c>
      <c r="B579" s="2">
        <v>45227</v>
      </c>
      <c r="C579" s="1" t="str">
        <f>_xlfn.XLOOKUP(Logs[[#This Row],[Province_RDC]],Clients_Log!D:D,Clients_Log!B:B,"Pas de correspondance")</f>
        <v>CLI-00996</v>
      </c>
      <c r="D579" t="str">
        <f>_xlfn.XLOOKUP(Logs[[#This Row],[Cell_ID]],'Registre_Maintenance'!B:B,'Registre_Maintenance'!C:C,"Pas de correspondance")</f>
        <v>Kwilu</v>
      </c>
      <c r="E579" s="3">
        <v>9.166666666666666E-2</v>
      </c>
      <c r="F579" s="1" t="s">
        <v>1252</v>
      </c>
      <c r="G579" s="3">
        <f>Logs[[#This Row],[Duree_Panne_Min]]/1440</f>
        <v>7.7777777777777779E-2</v>
      </c>
      <c r="H579">
        <v>112</v>
      </c>
      <c r="I579">
        <f>_xlfn.XLOOKUP(Logs[[#This Row],[Cell_ID]],'Registre_Maintenance'!B:B,'Registre_Maintenance'!D:D,"Pas de correspondance")</f>
        <v>-10.161428000000001</v>
      </c>
      <c r="J579">
        <f>_xlfn.XLOOKUP(Logs[[#This Row],[Cell_ID]],'Registre_Maintenance'!B:B,'Registre_Maintenance'!E:E,"Pas de correspondance")</f>
        <v>19.362325999999999</v>
      </c>
      <c r="K579" t="str">
        <f>_xlfn.XLOOKUP(Logs[[#This Row],[Cell_ID]],'Registre_Maintenance'!B:B,'Registre_Maintenance'!F:F,"Pas de correspondance")</f>
        <v>3G</v>
      </c>
      <c r="L579" t="str">
        <f>_xlfn.XLOOKUP(Logs[[#This Row],[Cell_ID]],'Registre_Maintenance'!B:B,'Registre_Maintenance'!G:G,"Pas de correspondance")</f>
        <v>Nokia</v>
      </c>
      <c r="M579" s="1" t="s">
        <v>806</v>
      </c>
      <c r="N579" s="1">
        <f>_xlfn.XLOOKUP(Logs[[#This Row],[ID_Client]],Clients_Log!B:B,Clients_Log!E:E,"Pas de correspondance")</f>
        <v>119</v>
      </c>
      <c r="O579" s="4">
        <f>IFERROR(Logs[[#This Row],[Anciennete_Mois]]/12,"")</f>
        <v>9.9166666666666661</v>
      </c>
      <c r="P579" s="1" t="str">
        <f>_xlfn.XLOOKUP(Logs[[#This Row],[ID_Client]],Clients_Log!B:B,Clients_Log!F:F,"Pas de correspondance")</f>
        <v>Illimité 50Go</v>
      </c>
      <c r="Q579" s="1" t="str">
        <f>IF(Logs[[#This Row],[Type_Forfait]]="Pro Monde","B2B","B2C")</f>
        <v>B2C</v>
      </c>
      <c r="R579" s="1">
        <f>_xlfn.XLOOKUP(Logs[[#This Row],[ID_Client]],Clients_Log!B:B,Clients_Log!G:G,"Pas de correspondance")</f>
        <v>228</v>
      </c>
      <c r="S579" s="3">
        <f>Logs[[#This Row],[Duree_Cumulee_Panne_Min]]/1440</f>
        <v>0.15833333333333333</v>
      </c>
      <c r="T579" s="1">
        <f>_xlfn.XLOOKUP(Logs[[#This Row],[ID_Client]],Clients_Log!B:B,Clients_Log!H:H,"Pas de correspondance")</f>
        <v>94.72</v>
      </c>
      <c r="U579" s="1">
        <f>_xlfn.XLOOKUP(Logs[[#This Row],[ID_Client]],Clients_Log!B:B,Clients_Log!I:I,"Pas de correspondance")</f>
        <v>3</v>
      </c>
      <c r="V57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79" s="1">
        <f>Logs[[#This Row],[Facture_Mensuelle]]*Logs[[#This Row],[Remise (%)]]</f>
        <v>0</v>
      </c>
    </row>
    <row r="580" spans="1:23" x14ac:dyDescent="0.25">
      <c r="A580" s="1" t="s">
        <v>1241</v>
      </c>
      <c r="B580" s="2">
        <v>45225</v>
      </c>
      <c r="C580" s="1" t="str">
        <f>_xlfn.XLOOKUP(Logs[[#This Row],[Province_RDC]],Clients_Log!D:D,Clients_Log!B:B,"Pas de correspondance")</f>
        <v>CLI-01618</v>
      </c>
      <c r="D580" t="str">
        <f>_xlfn.XLOOKUP(Logs[[#This Row],[Cell_ID]],'Registre_Maintenance'!B:B,'Registre_Maintenance'!C:C,"Pas de correspondance")</f>
        <v>Tanganyika</v>
      </c>
      <c r="E580" s="3">
        <v>0.78194444444444444</v>
      </c>
      <c r="F580" s="1" t="s">
        <v>1253</v>
      </c>
      <c r="G580" s="3">
        <f>Logs[[#This Row],[Duree_Panne_Min]]/1440</f>
        <v>7.8472222222222221E-2</v>
      </c>
      <c r="H580">
        <v>113</v>
      </c>
      <c r="I580">
        <f>_xlfn.XLOOKUP(Logs[[#This Row],[Cell_ID]],'Registre_Maintenance'!B:B,'Registre_Maintenance'!D:D,"Pas de correspondance")</f>
        <v>-7.9425049999999997</v>
      </c>
      <c r="J580">
        <f>_xlfn.XLOOKUP(Logs[[#This Row],[Cell_ID]],'Registre_Maintenance'!B:B,'Registre_Maintenance'!E:E,"Pas de correspondance")</f>
        <v>24.111059000000001</v>
      </c>
      <c r="K580" t="str">
        <f>_xlfn.XLOOKUP(Logs[[#This Row],[Cell_ID]],'Registre_Maintenance'!B:B,'Registre_Maintenance'!F:F,"Pas de correspondance")</f>
        <v>3G</v>
      </c>
      <c r="L580" t="str">
        <f>_xlfn.XLOOKUP(Logs[[#This Row],[Cell_ID]],'Registre_Maintenance'!B:B,'Registre_Maintenance'!G:G,"Pas de correspondance")</f>
        <v>ZTE</v>
      </c>
      <c r="M580" s="1" t="s">
        <v>809</v>
      </c>
      <c r="N580" s="1">
        <f>_xlfn.XLOOKUP(Logs[[#This Row],[ID_Client]],Clients_Log!B:B,Clients_Log!E:E,"Pas de correspondance")</f>
        <v>115</v>
      </c>
      <c r="O580" s="4">
        <f>IFERROR(Logs[[#This Row],[Anciennete_Mois]]/12,"")</f>
        <v>9.5833333333333339</v>
      </c>
      <c r="P580" s="1" t="str">
        <f>_xlfn.XLOOKUP(Logs[[#This Row],[ID_Client]],Clients_Log!B:B,Clients_Log!F:F,"Pas de correspondance")</f>
        <v>Bloqué 5Go</v>
      </c>
      <c r="Q580" s="1" t="str">
        <f>IF(Logs[[#This Row],[Type_Forfait]]="Pro Monde","B2B","B2C")</f>
        <v>B2C</v>
      </c>
      <c r="R580" s="1">
        <f>_xlfn.XLOOKUP(Logs[[#This Row],[ID_Client]],Clients_Log!B:B,Clients_Log!G:G,"Pas de correspondance")</f>
        <v>176</v>
      </c>
      <c r="S580" s="3">
        <f>Logs[[#This Row],[Duree_Cumulee_Panne_Min]]/1440</f>
        <v>0.12222222222222222</v>
      </c>
      <c r="T580" s="1">
        <f>_xlfn.XLOOKUP(Logs[[#This Row],[ID_Client]],Clients_Log!B:B,Clients_Log!H:H,"Pas de correspondance")</f>
        <v>33.28</v>
      </c>
      <c r="U580" s="1">
        <f>_xlfn.XLOOKUP(Logs[[#This Row],[ID_Client]],Clients_Log!B:B,Clients_Log!I:I,"Pas de correspondance")</f>
        <v>4</v>
      </c>
      <c r="V58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580" s="1">
        <f>Logs[[#This Row],[Facture_Mensuelle]]*Logs[[#This Row],[Remise (%)]]</f>
        <v>0</v>
      </c>
    </row>
    <row r="581" spans="1:23" hidden="1" x14ac:dyDescent="0.25">
      <c r="A581" s="1" t="s">
        <v>1241</v>
      </c>
      <c r="B581" s="2">
        <v>45221</v>
      </c>
      <c r="C581" s="1" t="str">
        <f>_xlfn.XLOOKUP(Logs[[#This Row],[Province_RDC]],Clients_Log!D:D,Clients_Log!B:B,"Pas de correspondance")</f>
        <v>Pas de correspondance</v>
      </c>
      <c r="D581" t="str">
        <f>_xlfn.XLOOKUP(Logs[[#This Row],[Cell_ID]],'Registre_Maintenance'!B:B,'Registre_Maintenance'!C:C,"Pas de correspondance")</f>
        <v>Pas de correspondance</v>
      </c>
      <c r="E581" s="3">
        <v>0.71736111111111112</v>
      </c>
      <c r="F581" s="1" t="s">
        <v>836</v>
      </c>
      <c r="G581" s="3">
        <f>Logs[[#This Row],[Duree_Panne_Min]]/1440</f>
        <v>9.7222222222222224E-3</v>
      </c>
      <c r="H581">
        <v>14</v>
      </c>
      <c r="I581" t="str">
        <f>_xlfn.XLOOKUP(Logs[[#This Row],[Cell_ID]],'Registre_Maintenance'!B:B,'Registre_Maintenance'!D:D,"Pas de correspondance")</f>
        <v>Pas de correspondance</v>
      </c>
      <c r="J581" t="str">
        <f>_xlfn.XLOOKUP(Logs[[#This Row],[Cell_ID]],'Registre_Maintenance'!B:B,'Registre_Maintenance'!E:E,"Pas de correspondance")</f>
        <v>Pas de correspondance</v>
      </c>
      <c r="K581" t="str">
        <f>_xlfn.XLOOKUP(Logs[[#This Row],[Cell_ID]],'Registre_Maintenance'!B:B,'Registre_Maintenance'!F:F,"Pas de correspondance")</f>
        <v>Pas de correspondance</v>
      </c>
      <c r="L581" t="str">
        <f>_xlfn.XLOOKUP(Logs[[#This Row],[Cell_ID]],'Registre_Maintenance'!B:B,'Registre_Maintenance'!G:G,"Pas de correspondance")</f>
        <v>Pas de correspondance</v>
      </c>
      <c r="M581" s="1" t="s">
        <v>806</v>
      </c>
      <c r="N581" s="1" t="str">
        <f>_xlfn.XLOOKUP(Logs[[#This Row],[ID_Client]],Clients_Log!B:B,Clients_Log!E:E,"Pas de correspondance")</f>
        <v>Pas de correspondance</v>
      </c>
      <c r="O581" s="4" t="str">
        <f>IFERROR(Logs[[#This Row],[Anciennete_Mois]]/12,"")</f>
        <v/>
      </c>
      <c r="P581" s="1" t="str">
        <f>_xlfn.XLOOKUP(Logs[[#This Row],[ID_Client]],Clients_Log!B:B,Clients_Log!F:F,"Pas de correspondance")</f>
        <v>Pas de correspondance</v>
      </c>
      <c r="Q581" s="1" t="str">
        <f>IF(Logs[[#This Row],[Type_Forfait]]="Pro Monde","B2B","B2C")</f>
        <v>B2C</v>
      </c>
      <c r="R581" s="1" t="str">
        <f>_xlfn.XLOOKUP(Logs[[#This Row],[ID_Client]],Clients_Log!B:B,Clients_Log!G:G,"Pas de correspondance")</f>
        <v>Pas de correspondance</v>
      </c>
      <c r="S581" s="1" t="e">
        <f>Logs[[#This Row],[Duree_Cumulee_Panne_Min]]/1440</f>
        <v>#VALUE!</v>
      </c>
      <c r="T581" s="1" t="str">
        <f>_xlfn.XLOOKUP(Logs[[#This Row],[ID_Client]],Clients_Log!B:B,Clients_Log!H:H,"Pas de correspondance")</f>
        <v>Pas de correspondance</v>
      </c>
      <c r="U581" s="1" t="str">
        <f>_xlfn.XLOOKUP(Logs[[#This Row],[ID_Client]],Clients_Log!B:B,Clients_Log!I:I,"Pas de correspondance")</f>
        <v>Pas de correspondance</v>
      </c>
      <c r="V58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81" s="1" t="e">
        <f>Logs[[#This Row],[Facture_Mensuelle]]*Logs[[#This Row],[Remise (%)]]</f>
        <v>#VALUE!</v>
      </c>
    </row>
    <row r="582" spans="1:23" x14ac:dyDescent="0.25">
      <c r="A582" s="1" t="s">
        <v>1241</v>
      </c>
      <c r="B582" s="2">
        <v>45215</v>
      </c>
      <c r="C582" s="1" t="str">
        <f>_xlfn.XLOOKUP(Logs[[#This Row],[Province_RDC]],Clients_Log!D:D,Clients_Log!B:B,"Pas de correspondance")</f>
        <v>CLI-01233</v>
      </c>
      <c r="D582" t="str">
        <f>_xlfn.XLOOKUP(Logs[[#This Row],[Cell_ID]],'Registre_Maintenance'!B:B,'Registre_Maintenance'!C:C,"Pas de correspondance")</f>
        <v>Kongo-Central</v>
      </c>
      <c r="E582" s="3">
        <v>0.28819444444444442</v>
      </c>
      <c r="F582" s="1" t="s">
        <v>1254</v>
      </c>
      <c r="G582" s="3">
        <f>Logs[[#This Row],[Duree_Panne_Min]]/1440</f>
        <v>7.5694444444444439E-2</v>
      </c>
      <c r="H582">
        <v>109</v>
      </c>
      <c r="I582">
        <f>_xlfn.XLOOKUP(Logs[[#This Row],[Cell_ID]],'Registre_Maintenance'!B:B,'Registre_Maintenance'!D:D,"Pas de correspondance")</f>
        <v>-11.157245</v>
      </c>
      <c r="J582">
        <f>_xlfn.XLOOKUP(Logs[[#This Row],[Cell_ID]],'Registre_Maintenance'!B:B,'Registre_Maintenance'!E:E,"Pas de correspondance")</f>
        <v>21.262627999999999</v>
      </c>
      <c r="K582" t="str">
        <f>_xlfn.XLOOKUP(Logs[[#This Row],[Cell_ID]],'Registre_Maintenance'!B:B,'Registre_Maintenance'!F:F,"Pas de correspondance")</f>
        <v>5G</v>
      </c>
      <c r="L582" t="str">
        <f>_xlfn.XLOOKUP(Logs[[#This Row],[Cell_ID]],'Registre_Maintenance'!B:B,'Registre_Maintenance'!G:G,"Pas de correspondance")</f>
        <v>ZTE</v>
      </c>
      <c r="M582" s="1" t="s">
        <v>806</v>
      </c>
      <c r="N582" s="1">
        <f>_xlfn.XLOOKUP(Logs[[#This Row],[ID_Client]],Clients_Log!B:B,Clients_Log!E:E,"Pas de correspondance")</f>
        <v>101</v>
      </c>
      <c r="O582" s="4">
        <f>IFERROR(Logs[[#This Row],[Anciennete_Mois]]/12,"")</f>
        <v>8.4166666666666661</v>
      </c>
      <c r="P582" s="1" t="str">
        <f>_xlfn.XLOOKUP(Logs[[#This Row],[ID_Client]],Clients_Log!B:B,Clients_Log!F:F,"Pas de correspondance")</f>
        <v>Pro Monde</v>
      </c>
      <c r="Q582" s="1" t="str">
        <f>IF(Logs[[#This Row],[Type_Forfait]]="Pro Monde","B2B","B2C")</f>
        <v>B2B</v>
      </c>
      <c r="R582" s="1">
        <f>_xlfn.XLOOKUP(Logs[[#This Row],[ID_Client]],Clients_Log!B:B,Clients_Log!G:G,"Pas de correspondance")</f>
        <v>333</v>
      </c>
      <c r="S582" s="3">
        <f>Logs[[#This Row],[Duree_Cumulee_Panne_Min]]/1440</f>
        <v>0.23125000000000001</v>
      </c>
      <c r="T582" s="1">
        <f>_xlfn.XLOOKUP(Logs[[#This Row],[ID_Client]],Clients_Log!B:B,Clients_Log!H:H,"Pas de correspondance")</f>
        <v>74.319999999999993</v>
      </c>
      <c r="U582" s="1">
        <f>_xlfn.XLOOKUP(Logs[[#This Row],[ID_Client]],Clients_Log!B:B,Clients_Log!I:I,"Pas de correspondance")</f>
        <v>1</v>
      </c>
      <c r="V58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82" s="1">
        <f>Logs[[#This Row],[Facture_Mensuelle]]*Logs[[#This Row],[Remise (%)]]</f>
        <v>33.443999999999996</v>
      </c>
    </row>
    <row r="583" spans="1:23" hidden="1" x14ac:dyDescent="0.25">
      <c r="A583" s="1" t="s">
        <v>1241</v>
      </c>
      <c r="B583" s="2">
        <v>45229</v>
      </c>
      <c r="C583" s="1" t="str">
        <f>_xlfn.XLOOKUP(Logs[[#This Row],[Province_RDC]],Clients_Log!D:D,Clients_Log!B:B,"Pas de correspondance")</f>
        <v>Pas de correspondance</v>
      </c>
      <c r="D583" t="str">
        <f>_xlfn.XLOOKUP(Logs[[#This Row],[Cell_ID]],'Registre_Maintenance'!B:B,'Registre_Maintenance'!C:C,"Pas de correspondance")</f>
        <v>Pas de correspondance</v>
      </c>
      <c r="E583" s="3">
        <v>0.42986111111111114</v>
      </c>
      <c r="F583" s="1" t="s">
        <v>1090</v>
      </c>
      <c r="G583" s="3">
        <f>Logs[[#This Row],[Duree_Panne_Min]]/1440</f>
        <v>6.25E-2</v>
      </c>
      <c r="H583">
        <v>90</v>
      </c>
      <c r="I583" t="str">
        <f>_xlfn.XLOOKUP(Logs[[#This Row],[Cell_ID]],'Registre_Maintenance'!B:B,'Registre_Maintenance'!D:D,"Pas de correspondance")</f>
        <v>Pas de correspondance</v>
      </c>
      <c r="J583" t="str">
        <f>_xlfn.XLOOKUP(Logs[[#This Row],[Cell_ID]],'Registre_Maintenance'!B:B,'Registre_Maintenance'!E:E,"Pas de correspondance")</f>
        <v>Pas de correspondance</v>
      </c>
      <c r="K583" t="str">
        <f>_xlfn.XLOOKUP(Logs[[#This Row],[Cell_ID]],'Registre_Maintenance'!B:B,'Registre_Maintenance'!F:F,"Pas de correspondance")</f>
        <v>Pas de correspondance</v>
      </c>
      <c r="L583" t="str">
        <f>_xlfn.XLOOKUP(Logs[[#This Row],[Cell_ID]],'Registre_Maintenance'!B:B,'Registre_Maintenance'!G:G,"Pas de correspondance")</f>
        <v>Pas de correspondance</v>
      </c>
      <c r="M583" s="1" t="s">
        <v>806</v>
      </c>
      <c r="N583" s="1" t="str">
        <f>_xlfn.XLOOKUP(Logs[[#This Row],[ID_Client]],Clients_Log!B:B,Clients_Log!E:E,"Pas de correspondance")</f>
        <v>Pas de correspondance</v>
      </c>
      <c r="O583" s="4" t="str">
        <f>IFERROR(Logs[[#This Row],[Anciennete_Mois]]/12,"")</f>
        <v/>
      </c>
      <c r="P583" s="1" t="str">
        <f>_xlfn.XLOOKUP(Logs[[#This Row],[ID_Client]],Clients_Log!B:B,Clients_Log!F:F,"Pas de correspondance")</f>
        <v>Pas de correspondance</v>
      </c>
      <c r="Q583" s="1" t="str">
        <f>IF(Logs[[#This Row],[Type_Forfait]]="Pro Monde","B2B","B2C")</f>
        <v>B2C</v>
      </c>
      <c r="R583" s="1" t="str">
        <f>_xlfn.XLOOKUP(Logs[[#This Row],[ID_Client]],Clients_Log!B:B,Clients_Log!G:G,"Pas de correspondance")</f>
        <v>Pas de correspondance</v>
      </c>
      <c r="S583" s="1" t="e">
        <f>Logs[[#This Row],[Duree_Cumulee_Panne_Min]]/1440</f>
        <v>#VALUE!</v>
      </c>
      <c r="T583" s="1" t="str">
        <f>_xlfn.XLOOKUP(Logs[[#This Row],[ID_Client]],Clients_Log!B:B,Clients_Log!H:H,"Pas de correspondance")</f>
        <v>Pas de correspondance</v>
      </c>
      <c r="U583" s="1" t="str">
        <f>_xlfn.XLOOKUP(Logs[[#This Row],[ID_Client]],Clients_Log!B:B,Clients_Log!I:I,"Pas de correspondance")</f>
        <v>Pas de correspondance</v>
      </c>
      <c r="V58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83" s="1" t="e">
        <f>Logs[[#This Row],[Facture_Mensuelle]]*Logs[[#This Row],[Remise (%)]]</f>
        <v>#VALUE!</v>
      </c>
    </row>
    <row r="584" spans="1:23" x14ac:dyDescent="0.25">
      <c r="A584" s="1" t="s">
        <v>1241</v>
      </c>
      <c r="B584" s="2">
        <v>45230</v>
      </c>
      <c r="C584" s="1" t="str">
        <f>_xlfn.XLOOKUP(Logs[[#This Row],[Province_RDC]],Clients_Log!D:D,Clients_Log!B:B,"Pas de correspondance")</f>
        <v>CLI-01170</v>
      </c>
      <c r="D584" t="str">
        <f>_xlfn.XLOOKUP(Logs[[#This Row],[Cell_ID]],'Registre_Maintenance'!B:B,'Registre_Maintenance'!C:C,"Pas de correspondance")</f>
        <v>Nord-Ubangi</v>
      </c>
      <c r="E584" s="3">
        <v>9.0277777777777769E-3</v>
      </c>
      <c r="F584" s="1" t="s">
        <v>885</v>
      </c>
      <c r="G584" s="3">
        <f>Logs[[#This Row],[Duree_Panne_Min]]/1440</f>
        <v>7.6388888888888886E-3</v>
      </c>
      <c r="H584">
        <v>11</v>
      </c>
      <c r="I584">
        <f>_xlfn.XLOOKUP(Logs[[#This Row],[Cell_ID]],'Registre_Maintenance'!B:B,'Registre_Maintenance'!D:D,"Pas de correspondance")</f>
        <v>0.94539899999999999</v>
      </c>
      <c r="J584">
        <f>_xlfn.XLOOKUP(Logs[[#This Row],[Cell_ID]],'Registre_Maintenance'!B:B,'Registre_Maintenance'!E:E,"Pas de correspondance")</f>
        <v>14.401821999999999</v>
      </c>
      <c r="K584" t="str">
        <f>_xlfn.XLOOKUP(Logs[[#This Row],[Cell_ID]],'Registre_Maintenance'!B:B,'Registre_Maintenance'!F:F,"Pas de correspondance")</f>
        <v>5G</v>
      </c>
      <c r="L584" t="str">
        <f>_xlfn.XLOOKUP(Logs[[#This Row],[Cell_ID]],'Registre_Maintenance'!B:B,'Registre_Maintenance'!G:G,"Pas de correspondance")</f>
        <v>Nokia</v>
      </c>
      <c r="M584" s="1" t="s">
        <v>809</v>
      </c>
      <c r="N584" s="1">
        <f>_xlfn.XLOOKUP(Logs[[#This Row],[ID_Client]],Clients_Log!B:B,Clients_Log!E:E,"Pas de correspondance")</f>
        <v>98</v>
      </c>
      <c r="O584" s="4">
        <f>IFERROR(Logs[[#This Row],[Anciennete_Mois]]/12,"")</f>
        <v>8.1666666666666661</v>
      </c>
      <c r="P584" s="1" t="str">
        <f>_xlfn.XLOOKUP(Logs[[#This Row],[ID_Client]],Clients_Log!B:B,Clients_Log!F:F,"Pas de correspondance")</f>
        <v>Pro Monde</v>
      </c>
      <c r="Q584" s="1" t="str">
        <f>IF(Logs[[#This Row],[Type_Forfait]]="Pro Monde","B2B","B2C")</f>
        <v>B2B</v>
      </c>
      <c r="R584" s="1">
        <f>_xlfn.XLOOKUP(Logs[[#This Row],[ID_Client]],Clients_Log!B:B,Clients_Log!G:G,"Pas de correspondance")</f>
        <v>482</v>
      </c>
      <c r="S584" s="3">
        <f>Logs[[#This Row],[Duree_Cumulee_Panne_Min]]/1440</f>
        <v>0.3347222222222222</v>
      </c>
      <c r="T584" s="1">
        <f>_xlfn.XLOOKUP(Logs[[#This Row],[ID_Client]],Clients_Log!B:B,Clients_Log!H:H,"Pas de correspondance")</f>
        <v>55.04</v>
      </c>
      <c r="U584" s="1">
        <f>_xlfn.XLOOKUP(Logs[[#This Row],[ID_Client]],Clients_Log!B:B,Clients_Log!I:I,"Pas de correspondance")</f>
        <v>5</v>
      </c>
      <c r="V58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84" s="1">
        <f>Logs[[#This Row],[Facture_Mensuelle]]*Logs[[#This Row],[Remise (%)]]</f>
        <v>24.768000000000001</v>
      </c>
    </row>
    <row r="585" spans="1:23" hidden="1" x14ac:dyDescent="0.25">
      <c r="A585" s="1" t="s">
        <v>1241</v>
      </c>
      <c r="B585" s="2">
        <v>45229</v>
      </c>
      <c r="C585" s="1" t="str">
        <f>_xlfn.XLOOKUP(Logs[[#This Row],[Province_RDC]],Clients_Log!D:D,Clients_Log!B:B,"Pas de correspondance")</f>
        <v>Pas de correspondance</v>
      </c>
      <c r="D585" t="str">
        <f>_xlfn.XLOOKUP(Logs[[#This Row],[Cell_ID]],'Registre_Maintenance'!B:B,'Registre_Maintenance'!C:C,"Pas de correspondance")</f>
        <v>Pas de correspondance</v>
      </c>
      <c r="E585" s="3">
        <v>0.28263888888888888</v>
      </c>
      <c r="F585" s="1" t="s">
        <v>850</v>
      </c>
      <c r="G585" s="3">
        <f>Logs[[#This Row],[Duree_Panne_Min]]/1440</f>
        <v>7.0833333333333331E-2</v>
      </c>
      <c r="H585">
        <v>102</v>
      </c>
      <c r="I585" t="str">
        <f>_xlfn.XLOOKUP(Logs[[#This Row],[Cell_ID]],'Registre_Maintenance'!B:B,'Registre_Maintenance'!D:D,"Pas de correspondance")</f>
        <v>Pas de correspondance</v>
      </c>
      <c r="J585" t="str">
        <f>_xlfn.XLOOKUP(Logs[[#This Row],[Cell_ID]],'Registre_Maintenance'!B:B,'Registre_Maintenance'!E:E,"Pas de correspondance")</f>
        <v>Pas de correspondance</v>
      </c>
      <c r="K585" t="str">
        <f>_xlfn.XLOOKUP(Logs[[#This Row],[Cell_ID]],'Registre_Maintenance'!B:B,'Registre_Maintenance'!F:F,"Pas de correspondance")</f>
        <v>Pas de correspondance</v>
      </c>
      <c r="L585" t="str">
        <f>_xlfn.XLOOKUP(Logs[[#This Row],[Cell_ID]],'Registre_Maintenance'!B:B,'Registre_Maintenance'!G:G,"Pas de correspondance")</f>
        <v>Pas de correspondance</v>
      </c>
      <c r="M585" s="1" t="s">
        <v>809</v>
      </c>
      <c r="N585" s="1" t="str">
        <f>_xlfn.XLOOKUP(Logs[[#This Row],[ID_Client]],Clients_Log!B:B,Clients_Log!E:E,"Pas de correspondance")</f>
        <v>Pas de correspondance</v>
      </c>
      <c r="O585" s="4" t="str">
        <f>IFERROR(Logs[[#This Row],[Anciennete_Mois]]/12,"")</f>
        <v/>
      </c>
      <c r="P585" s="1" t="str">
        <f>_xlfn.XLOOKUP(Logs[[#This Row],[ID_Client]],Clients_Log!B:B,Clients_Log!F:F,"Pas de correspondance")</f>
        <v>Pas de correspondance</v>
      </c>
      <c r="Q585" s="1" t="str">
        <f>IF(Logs[[#This Row],[Type_Forfait]]="Pro Monde","B2B","B2C")</f>
        <v>B2C</v>
      </c>
      <c r="R585" s="1" t="str">
        <f>_xlfn.XLOOKUP(Logs[[#This Row],[ID_Client]],Clients_Log!B:B,Clients_Log!G:G,"Pas de correspondance")</f>
        <v>Pas de correspondance</v>
      </c>
      <c r="S585" s="1" t="e">
        <f>Logs[[#This Row],[Duree_Cumulee_Panne_Min]]/1440</f>
        <v>#VALUE!</v>
      </c>
      <c r="T585" s="1" t="str">
        <f>_xlfn.XLOOKUP(Logs[[#This Row],[ID_Client]],Clients_Log!B:B,Clients_Log!H:H,"Pas de correspondance")</f>
        <v>Pas de correspondance</v>
      </c>
      <c r="U585" s="1" t="str">
        <f>_xlfn.XLOOKUP(Logs[[#This Row],[ID_Client]],Clients_Log!B:B,Clients_Log!I:I,"Pas de correspondance")</f>
        <v>Pas de correspondance</v>
      </c>
      <c r="V58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85" s="1" t="e">
        <f>Logs[[#This Row],[Facture_Mensuelle]]*Logs[[#This Row],[Remise (%)]]</f>
        <v>#VALUE!</v>
      </c>
    </row>
    <row r="586" spans="1:23" hidden="1" x14ac:dyDescent="0.25">
      <c r="A586" s="1" t="s">
        <v>1241</v>
      </c>
      <c r="B586" s="2">
        <v>45203</v>
      </c>
      <c r="C586" s="1" t="str">
        <f>_xlfn.XLOOKUP(Logs[[#This Row],[Province_RDC]],Clients_Log!D:D,Clients_Log!B:B,"Pas de correspondance")</f>
        <v>Pas de correspondance</v>
      </c>
      <c r="D586" t="str">
        <f>_xlfn.XLOOKUP(Logs[[#This Row],[Cell_ID]],'Registre_Maintenance'!B:B,'Registre_Maintenance'!C:C,"Pas de correspondance")</f>
        <v>Pas de correspondance</v>
      </c>
      <c r="E586" s="3">
        <v>0.9916666666666667</v>
      </c>
      <c r="F586" s="1" t="s">
        <v>1255</v>
      </c>
      <c r="G586" s="3">
        <f>Logs[[#This Row],[Duree_Panne_Min]]/1440</f>
        <v>3.472222222222222E-3</v>
      </c>
      <c r="H586">
        <v>5</v>
      </c>
      <c r="I586" t="str">
        <f>_xlfn.XLOOKUP(Logs[[#This Row],[Cell_ID]],'Registre_Maintenance'!B:B,'Registre_Maintenance'!D:D,"Pas de correspondance")</f>
        <v>Pas de correspondance</v>
      </c>
      <c r="J586" t="str">
        <f>_xlfn.XLOOKUP(Logs[[#This Row],[Cell_ID]],'Registre_Maintenance'!B:B,'Registre_Maintenance'!E:E,"Pas de correspondance")</f>
        <v>Pas de correspondance</v>
      </c>
      <c r="K586" t="str">
        <f>_xlfn.XLOOKUP(Logs[[#This Row],[Cell_ID]],'Registre_Maintenance'!B:B,'Registre_Maintenance'!F:F,"Pas de correspondance")</f>
        <v>Pas de correspondance</v>
      </c>
      <c r="L586" t="str">
        <f>_xlfn.XLOOKUP(Logs[[#This Row],[Cell_ID]],'Registre_Maintenance'!B:B,'Registre_Maintenance'!G:G,"Pas de correspondance")</f>
        <v>Pas de correspondance</v>
      </c>
      <c r="M586" s="1" t="s">
        <v>811</v>
      </c>
      <c r="N586" s="1" t="str">
        <f>_xlfn.XLOOKUP(Logs[[#This Row],[ID_Client]],Clients_Log!B:B,Clients_Log!E:E,"Pas de correspondance")</f>
        <v>Pas de correspondance</v>
      </c>
      <c r="O586" s="4" t="str">
        <f>IFERROR(Logs[[#This Row],[Anciennete_Mois]]/12,"")</f>
        <v/>
      </c>
      <c r="P586" s="1" t="str">
        <f>_xlfn.XLOOKUP(Logs[[#This Row],[ID_Client]],Clients_Log!B:B,Clients_Log!F:F,"Pas de correspondance")</f>
        <v>Pas de correspondance</v>
      </c>
      <c r="Q586" s="1" t="str">
        <f>IF(Logs[[#This Row],[Type_Forfait]]="Pro Monde","B2B","B2C")</f>
        <v>B2C</v>
      </c>
      <c r="R586" s="1" t="str">
        <f>_xlfn.XLOOKUP(Logs[[#This Row],[ID_Client]],Clients_Log!B:B,Clients_Log!G:G,"Pas de correspondance")</f>
        <v>Pas de correspondance</v>
      </c>
      <c r="S586" s="1" t="e">
        <f>Logs[[#This Row],[Duree_Cumulee_Panne_Min]]/1440</f>
        <v>#VALUE!</v>
      </c>
      <c r="T586" s="1" t="str">
        <f>_xlfn.XLOOKUP(Logs[[#This Row],[ID_Client]],Clients_Log!B:B,Clients_Log!H:H,"Pas de correspondance")</f>
        <v>Pas de correspondance</v>
      </c>
      <c r="U586" s="1" t="str">
        <f>_xlfn.XLOOKUP(Logs[[#This Row],[ID_Client]],Clients_Log!B:B,Clients_Log!I:I,"Pas de correspondance")</f>
        <v>Pas de correspondance</v>
      </c>
      <c r="V58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86" s="1" t="e">
        <f>Logs[[#This Row],[Facture_Mensuelle]]*Logs[[#This Row],[Remise (%)]]</f>
        <v>#VALUE!</v>
      </c>
    </row>
    <row r="587" spans="1:23" hidden="1" x14ac:dyDescent="0.25">
      <c r="A587" s="1" t="s">
        <v>1241</v>
      </c>
      <c r="B587" s="2">
        <v>45215</v>
      </c>
      <c r="C587" s="1" t="str">
        <f>_xlfn.XLOOKUP(Logs[[#This Row],[Province_RDC]],Clients_Log!D:D,Clients_Log!B:B,"Pas de correspondance")</f>
        <v>Pas de correspondance</v>
      </c>
      <c r="D587" t="str">
        <f>_xlfn.XLOOKUP(Logs[[#This Row],[Cell_ID]],'Registre_Maintenance'!B:B,'Registre_Maintenance'!C:C,"Pas de correspondance")</f>
        <v>Pas de correspondance</v>
      </c>
      <c r="E587" s="3">
        <v>0.32222222222222224</v>
      </c>
      <c r="F587" s="1" t="s">
        <v>1256</v>
      </c>
      <c r="G587" s="3">
        <f>Logs[[#This Row],[Duree_Panne_Min]]/1440</f>
        <v>3.9583333333333331E-2</v>
      </c>
      <c r="H587">
        <v>57</v>
      </c>
      <c r="I587" t="str">
        <f>_xlfn.XLOOKUP(Logs[[#This Row],[Cell_ID]],'Registre_Maintenance'!B:B,'Registre_Maintenance'!D:D,"Pas de correspondance")</f>
        <v>Pas de correspondance</v>
      </c>
      <c r="J587" t="str">
        <f>_xlfn.XLOOKUP(Logs[[#This Row],[Cell_ID]],'Registre_Maintenance'!B:B,'Registre_Maintenance'!E:E,"Pas de correspondance")</f>
        <v>Pas de correspondance</v>
      </c>
      <c r="K587" t="str">
        <f>_xlfn.XLOOKUP(Logs[[#This Row],[Cell_ID]],'Registre_Maintenance'!B:B,'Registre_Maintenance'!F:F,"Pas de correspondance")</f>
        <v>Pas de correspondance</v>
      </c>
      <c r="L587" t="str">
        <f>_xlfn.XLOOKUP(Logs[[#This Row],[Cell_ID]],'Registre_Maintenance'!B:B,'Registre_Maintenance'!G:G,"Pas de correspondance")</f>
        <v>Pas de correspondance</v>
      </c>
      <c r="M587" s="1" t="s">
        <v>811</v>
      </c>
      <c r="N587" s="1" t="str">
        <f>_xlfn.XLOOKUP(Logs[[#This Row],[ID_Client]],Clients_Log!B:B,Clients_Log!E:E,"Pas de correspondance")</f>
        <v>Pas de correspondance</v>
      </c>
      <c r="O587" s="4" t="str">
        <f>IFERROR(Logs[[#This Row],[Anciennete_Mois]]/12,"")</f>
        <v/>
      </c>
      <c r="P587" s="1" t="str">
        <f>_xlfn.XLOOKUP(Logs[[#This Row],[ID_Client]],Clients_Log!B:B,Clients_Log!F:F,"Pas de correspondance")</f>
        <v>Pas de correspondance</v>
      </c>
      <c r="Q587" s="1" t="str">
        <f>IF(Logs[[#This Row],[Type_Forfait]]="Pro Monde","B2B","B2C")</f>
        <v>B2C</v>
      </c>
      <c r="R587" s="1" t="str">
        <f>_xlfn.XLOOKUP(Logs[[#This Row],[ID_Client]],Clients_Log!B:B,Clients_Log!G:G,"Pas de correspondance")</f>
        <v>Pas de correspondance</v>
      </c>
      <c r="S587" s="1" t="e">
        <f>Logs[[#This Row],[Duree_Cumulee_Panne_Min]]/1440</f>
        <v>#VALUE!</v>
      </c>
      <c r="T587" s="1" t="str">
        <f>_xlfn.XLOOKUP(Logs[[#This Row],[ID_Client]],Clients_Log!B:B,Clients_Log!H:H,"Pas de correspondance")</f>
        <v>Pas de correspondance</v>
      </c>
      <c r="U587" s="1" t="str">
        <f>_xlfn.XLOOKUP(Logs[[#This Row],[ID_Client]],Clients_Log!B:B,Clients_Log!I:I,"Pas de correspondance")</f>
        <v>Pas de correspondance</v>
      </c>
      <c r="V58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87" s="1" t="e">
        <f>Logs[[#This Row],[Facture_Mensuelle]]*Logs[[#This Row],[Remise (%)]]</f>
        <v>#VALUE!</v>
      </c>
    </row>
    <row r="588" spans="1:23" hidden="1" x14ac:dyDescent="0.25">
      <c r="A588" s="1" t="s">
        <v>1241</v>
      </c>
      <c r="B588" s="2">
        <v>45219</v>
      </c>
      <c r="C588" s="1" t="str">
        <f>_xlfn.XLOOKUP(Logs[[#This Row],[Province_RDC]],Clients_Log!D:D,Clients_Log!B:B,"Pas de correspondance")</f>
        <v>Pas de correspondance</v>
      </c>
      <c r="D588" t="str">
        <f>_xlfn.XLOOKUP(Logs[[#This Row],[Cell_ID]],'Registre_Maintenance'!B:B,'Registre_Maintenance'!C:C,"Pas de correspondance")</f>
        <v>Pas de correspondance</v>
      </c>
      <c r="E588" s="3">
        <v>0.92569444444444449</v>
      </c>
      <c r="F588" s="1" t="s">
        <v>1257</v>
      </c>
      <c r="G588" s="3">
        <f>Logs[[#This Row],[Duree_Panne_Min]]/1440</f>
        <v>1.5277777777777777E-2</v>
      </c>
      <c r="H588">
        <v>22</v>
      </c>
      <c r="I588" t="str">
        <f>_xlfn.XLOOKUP(Logs[[#This Row],[Cell_ID]],'Registre_Maintenance'!B:B,'Registre_Maintenance'!D:D,"Pas de correspondance")</f>
        <v>Pas de correspondance</v>
      </c>
      <c r="J588" t="str">
        <f>_xlfn.XLOOKUP(Logs[[#This Row],[Cell_ID]],'Registre_Maintenance'!B:B,'Registre_Maintenance'!E:E,"Pas de correspondance")</f>
        <v>Pas de correspondance</v>
      </c>
      <c r="K588" t="str">
        <f>_xlfn.XLOOKUP(Logs[[#This Row],[Cell_ID]],'Registre_Maintenance'!B:B,'Registre_Maintenance'!F:F,"Pas de correspondance")</f>
        <v>Pas de correspondance</v>
      </c>
      <c r="L588" t="str">
        <f>_xlfn.XLOOKUP(Logs[[#This Row],[Cell_ID]],'Registre_Maintenance'!B:B,'Registre_Maintenance'!G:G,"Pas de correspondance")</f>
        <v>Pas de correspondance</v>
      </c>
      <c r="M588" s="1" t="s">
        <v>806</v>
      </c>
      <c r="N588" s="1" t="str">
        <f>_xlfn.XLOOKUP(Logs[[#This Row],[ID_Client]],Clients_Log!B:B,Clients_Log!E:E,"Pas de correspondance")</f>
        <v>Pas de correspondance</v>
      </c>
      <c r="O588" s="4" t="str">
        <f>IFERROR(Logs[[#This Row],[Anciennete_Mois]]/12,"")</f>
        <v/>
      </c>
      <c r="P588" s="1" t="str">
        <f>_xlfn.XLOOKUP(Logs[[#This Row],[ID_Client]],Clients_Log!B:B,Clients_Log!F:F,"Pas de correspondance")</f>
        <v>Pas de correspondance</v>
      </c>
      <c r="Q588" s="1" t="str">
        <f>IF(Logs[[#This Row],[Type_Forfait]]="Pro Monde","B2B","B2C")</f>
        <v>B2C</v>
      </c>
      <c r="R588" s="1" t="str">
        <f>_xlfn.XLOOKUP(Logs[[#This Row],[ID_Client]],Clients_Log!B:B,Clients_Log!G:G,"Pas de correspondance")</f>
        <v>Pas de correspondance</v>
      </c>
      <c r="S588" s="1" t="e">
        <f>Logs[[#This Row],[Duree_Cumulee_Panne_Min]]/1440</f>
        <v>#VALUE!</v>
      </c>
      <c r="T588" s="1" t="str">
        <f>_xlfn.XLOOKUP(Logs[[#This Row],[ID_Client]],Clients_Log!B:B,Clients_Log!H:H,"Pas de correspondance")</f>
        <v>Pas de correspondance</v>
      </c>
      <c r="U588" s="1" t="str">
        <f>_xlfn.XLOOKUP(Logs[[#This Row],[ID_Client]],Clients_Log!B:B,Clients_Log!I:I,"Pas de correspondance")</f>
        <v>Pas de correspondance</v>
      </c>
      <c r="V58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88" s="1" t="e">
        <f>Logs[[#This Row],[Facture_Mensuelle]]*Logs[[#This Row],[Remise (%)]]</f>
        <v>#VALUE!</v>
      </c>
    </row>
    <row r="589" spans="1:23" hidden="1" x14ac:dyDescent="0.25">
      <c r="A589" s="1" t="s">
        <v>1241</v>
      </c>
      <c r="B589" s="2">
        <v>45212</v>
      </c>
      <c r="C589" s="1" t="str">
        <f>_xlfn.XLOOKUP(Logs[[#This Row],[Province_RDC]],Clients_Log!D:D,Clients_Log!B:B,"Pas de correspondance")</f>
        <v>Pas de correspondance</v>
      </c>
      <c r="D589" t="str">
        <f>_xlfn.XLOOKUP(Logs[[#This Row],[Cell_ID]],'Registre_Maintenance'!B:B,'Registre_Maintenance'!C:C,"Pas de correspondance")</f>
        <v>Pas de correspondance</v>
      </c>
      <c r="E589" s="3">
        <v>0.31597222222222221</v>
      </c>
      <c r="F589" s="1" t="s">
        <v>977</v>
      </c>
      <c r="G589" s="3">
        <f>Logs[[#This Row],[Duree_Panne_Min]]/1440</f>
        <v>7.7777777777777779E-2</v>
      </c>
      <c r="H589">
        <v>112</v>
      </c>
      <c r="I589" t="str">
        <f>_xlfn.XLOOKUP(Logs[[#This Row],[Cell_ID]],'Registre_Maintenance'!B:B,'Registre_Maintenance'!D:D,"Pas de correspondance")</f>
        <v>Pas de correspondance</v>
      </c>
      <c r="J589" t="str">
        <f>_xlfn.XLOOKUP(Logs[[#This Row],[Cell_ID]],'Registre_Maintenance'!B:B,'Registre_Maintenance'!E:E,"Pas de correspondance")</f>
        <v>Pas de correspondance</v>
      </c>
      <c r="K589" t="str">
        <f>_xlfn.XLOOKUP(Logs[[#This Row],[Cell_ID]],'Registre_Maintenance'!B:B,'Registre_Maintenance'!F:F,"Pas de correspondance")</f>
        <v>Pas de correspondance</v>
      </c>
      <c r="L589" t="str">
        <f>_xlfn.XLOOKUP(Logs[[#This Row],[Cell_ID]],'Registre_Maintenance'!B:B,'Registre_Maintenance'!G:G,"Pas de correspondance")</f>
        <v>Pas de correspondance</v>
      </c>
      <c r="M589" s="1" t="s">
        <v>806</v>
      </c>
      <c r="N589" s="1" t="str">
        <f>_xlfn.XLOOKUP(Logs[[#This Row],[ID_Client]],Clients_Log!B:B,Clients_Log!E:E,"Pas de correspondance")</f>
        <v>Pas de correspondance</v>
      </c>
      <c r="O589" s="4" t="str">
        <f>IFERROR(Logs[[#This Row],[Anciennete_Mois]]/12,"")</f>
        <v/>
      </c>
      <c r="P589" s="1" t="str">
        <f>_xlfn.XLOOKUP(Logs[[#This Row],[ID_Client]],Clients_Log!B:B,Clients_Log!F:F,"Pas de correspondance")</f>
        <v>Pas de correspondance</v>
      </c>
      <c r="Q589" s="1" t="str">
        <f>IF(Logs[[#This Row],[Type_Forfait]]="Pro Monde","B2B","B2C")</f>
        <v>B2C</v>
      </c>
      <c r="R589" s="1" t="str">
        <f>_xlfn.XLOOKUP(Logs[[#This Row],[ID_Client]],Clients_Log!B:B,Clients_Log!G:G,"Pas de correspondance")</f>
        <v>Pas de correspondance</v>
      </c>
      <c r="S589" s="1" t="e">
        <f>Logs[[#This Row],[Duree_Cumulee_Panne_Min]]/1440</f>
        <v>#VALUE!</v>
      </c>
      <c r="T589" s="1" t="str">
        <f>_xlfn.XLOOKUP(Logs[[#This Row],[ID_Client]],Clients_Log!B:B,Clients_Log!H:H,"Pas de correspondance")</f>
        <v>Pas de correspondance</v>
      </c>
      <c r="U589" s="1" t="str">
        <f>_xlfn.XLOOKUP(Logs[[#This Row],[ID_Client]],Clients_Log!B:B,Clients_Log!I:I,"Pas de correspondance")</f>
        <v>Pas de correspondance</v>
      </c>
      <c r="V58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89" s="1" t="e">
        <f>Logs[[#This Row],[Facture_Mensuelle]]*Logs[[#This Row],[Remise (%)]]</f>
        <v>#VALUE!</v>
      </c>
    </row>
    <row r="590" spans="1:23" x14ac:dyDescent="0.25">
      <c r="A590" s="1" t="s">
        <v>1241</v>
      </c>
      <c r="B590" s="2">
        <v>45210</v>
      </c>
      <c r="C590" s="1" t="str">
        <f>_xlfn.XLOOKUP(Logs[[#This Row],[Province_RDC]],Clients_Log!D:D,Clients_Log!B:B,"Pas de correspondance")</f>
        <v>CLI-00837</v>
      </c>
      <c r="D590" t="str">
        <f>_xlfn.XLOOKUP(Logs[[#This Row],[Cell_ID]],'Registre_Maintenance'!B:B,'Registre_Maintenance'!C:C,"Pas de correspondance")</f>
        <v>Nord-Kivu</v>
      </c>
      <c r="E590" s="3">
        <v>0.39166666666666666</v>
      </c>
      <c r="F590" s="1" t="s">
        <v>906</v>
      </c>
      <c r="G590" s="3">
        <f>Logs[[#This Row],[Duree_Panne_Min]]/1440</f>
        <v>5.9027777777777776E-2</v>
      </c>
      <c r="H590">
        <v>85</v>
      </c>
      <c r="I590">
        <f>_xlfn.XLOOKUP(Logs[[#This Row],[Cell_ID]],'Registre_Maintenance'!B:B,'Registre_Maintenance'!D:D,"Pas de correspondance")</f>
        <v>1.017161</v>
      </c>
      <c r="J590">
        <f>_xlfn.XLOOKUP(Logs[[#This Row],[Cell_ID]],'Registre_Maintenance'!B:B,'Registre_Maintenance'!E:E,"Pas de correspondance")</f>
        <v>16.519689</v>
      </c>
      <c r="K590" t="str">
        <f>_xlfn.XLOOKUP(Logs[[#This Row],[Cell_ID]],'Registre_Maintenance'!B:B,'Registre_Maintenance'!F:F,"Pas de correspondance")</f>
        <v>3G</v>
      </c>
      <c r="L590" t="str">
        <f>_xlfn.XLOOKUP(Logs[[#This Row],[Cell_ID]],'Registre_Maintenance'!B:B,'Registre_Maintenance'!G:G,"Pas de correspondance")</f>
        <v>Nokia</v>
      </c>
      <c r="M590" s="1" t="s">
        <v>809</v>
      </c>
      <c r="N590" s="1">
        <f>_xlfn.XLOOKUP(Logs[[#This Row],[ID_Client]],Clients_Log!B:B,Clients_Log!E:E,"Pas de correspondance")</f>
        <v>16</v>
      </c>
      <c r="O590" s="4">
        <f>IFERROR(Logs[[#This Row],[Anciennete_Mois]]/12,"")</f>
        <v>1.3333333333333333</v>
      </c>
      <c r="P590" s="1" t="str">
        <f>_xlfn.XLOOKUP(Logs[[#This Row],[ID_Client]],Clients_Log!B:B,Clients_Log!F:F,"Pas de correspondance")</f>
        <v>Bloqué 5Go</v>
      </c>
      <c r="Q590" s="1" t="str">
        <f>IF(Logs[[#This Row],[Type_Forfait]]="Pro Monde","B2B","B2C")</f>
        <v>B2C</v>
      </c>
      <c r="R590" s="1">
        <f>_xlfn.XLOOKUP(Logs[[#This Row],[ID_Client]],Clients_Log!B:B,Clients_Log!G:G,"Pas de correspondance")</f>
        <v>390</v>
      </c>
      <c r="S590" s="3">
        <f>Logs[[#This Row],[Duree_Cumulee_Panne_Min]]/1440</f>
        <v>0.27083333333333331</v>
      </c>
      <c r="T590" s="1">
        <f>_xlfn.XLOOKUP(Logs[[#This Row],[ID_Client]],Clients_Log!B:B,Clients_Log!H:H,"Pas de correspondance")</f>
        <v>98.17</v>
      </c>
      <c r="U590" s="1">
        <f>_xlfn.XLOOKUP(Logs[[#This Row],[ID_Client]],Clients_Log!B:B,Clients_Log!I:I,"Pas de correspondance")</f>
        <v>5</v>
      </c>
      <c r="V59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90" s="1">
        <f>Logs[[#This Row],[Facture_Mensuelle]]*Logs[[#This Row],[Remise (%)]]</f>
        <v>44.176500000000004</v>
      </c>
    </row>
    <row r="591" spans="1:23" hidden="1" x14ac:dyDescent="0.25">
      <c r="A591" s="1" t="s">
        <v>1241</v>
      </c>
      <c r="B591" s="2">
        <v>45214</v>
      </c>
      <c r="C591" s="1" t="str">
        <f>_xlfn.XLOOKUP(Logs[[#This Row],[Province_RDC]],Clients_Log!D:D,Clients_Log!B:B,"Pas de correspondance")</f>
        <v>Pas de correspondance</v>
      </c>
      <c r="D591" t="str">
        <f>_xlfn.XLOOKUP(Logs[[#This Row],[Cell_ID]],'Registre_Maintenance'!B:B,'Registre_Maintenance'!C:C,"Pas de correspondance")</f>
        <v>Pas de correspondance</v>
      </c>
      <c r="E591" s="3">
        <v>0.7368055555555556</v>
      </c>
      <c r="F591" s="1" t="s">
        <v>1258</v>
      </c>
      <c r="G591" s="3">
        <f>Logs[[#This Row],[Duree_Panne_Min]]/1440</f>
        <v>2.361111111111111E-2</v>
      </c>
      <c r="H591">
        <v>34</v>
      </c>
      <c r="I591" t="str">
        <f>_xlfn.XLOOKUP(Logs[[#This Row],[Cell_ID]],'Registre_Maintenance'!B:B,'Registre_Maintenance'!D:D,"Pas de correspondance")</f>
        <v>Pas de correspondance</v>
      </c>
      <c r="J591" t="str">
        <f>_xlfn.XLOOKUP(Logs[[#This Row],[Cell_ID]],'Registre_Maintenance'!B:B,'Registre_Maintenance'!E:E,"Pas de correspondance")</f>
        <v>Pas de correspondance</v>
      </c>
      <c r="K591" t="str">
        <f>_xlfn.XLOOKUP(Logs[[#This Row],[Cell_ID]],'Registre_Maintenance'!B:B,'Registre_Maintenance'!F:F,"Pas de correspondance")</f>
        <v>Pas de correspondance</v>
      </c>
      <c r="L591" t="str">
        <f>_xlfn.XLOOKUP(Logs[[#This Row],[Cell_ID]],'Registre_Maintenance'!B:B,'Registre_Maintenance'!G:G,"Pas de correspondance")</f>
        <v>Pas de correspondance</v>
      </c>
      <c r="M591" s="1" t="s">
        <v>811</v>
      </c>
      <c r="N591" s="1" t="str">
        <f>_xlfn.XLOOKUP(Logs[[#This Row],[ID_Client]],Clients_Log!B:B,Clients_Log!E:E,"Pas de correspondance")</f>
        <v>Pas de correspondance</v>
      </c>
      <c r="O591" s="4" t="str">
        <f>IFERROR(Logs[[#This Row],[Anciennete_Mois]]/12,"")</f>
        <v/>
      </c>
      <c r="P591" s="1" t="str">
        <f>_xlfn.XLOOKUP(Logs[[#This Row],[ID_Client]],Clients_Log!B:B,Clients_Log!F:F,"Pas de correspondance")</f>
        <v>Pas de correspondance</v>
      </c>
      <c r="Q591" s="1" t="str">
        <f>IF(Logs[[#This Row],[Type_Forfait]]="Pro Monde","B2B","B2C")</f>
        <v>B2C</v>
      </c>
      <c r="R591" s="1" t="str">
        <f>_xlfn.XLOOKUP(Logs[[#This Row],[ID_Client]],Clients_Log!B:B,Clients_Log!G:G,"Pas de correspondance")</f>
        <v>Pas de correspondance</v>
      </c>
      <c r="S591" s="1" t="e">
        <f>Logs[[#This Row],[Duree_Cumulee_Panne_Min]]/1440</f>
        <v>#VALUE!</v>
      </c>
      <c r="T591" s="1" t="str">
        <f>_xlfn.XLOOKUP(Logs[[#This Row],[ID_Client]],Clients_Log!B:B,Clients_Log!H:H,"Pas de correspondance")</f>
        <v>Pas de correspondance</v>
      </c>
      <c r="U591" s="1" t="str">
        <f>_xlfn.XLOOKUP(Logs[[#This Row],[ID_Client]],Clients_Log!B:B,Clients_Log!I:I,"Pas de correspondance")</f>
        <v>Pas de correspondance</v>
      </c>
      <c r="V59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91" s="1" t="e">
        <f>Logs[[#This Row],[Facture_Mensuelle]]*Logs[[#This Row],[Remise (%)]]</f>
        <v>#VALUE!</v>
      </c>
    </row>
    <row r="592" spans="1:23" hidden="1" x14ac:dyDescent="0.25">
      <c r="A592" s="1" t="s">
        <v>1241</v>
      </c>
      <c r="B592" s="2">
        <v>45211</v>
      </c>
      <c r="C592" s="1" t="str">
        <f>_xlfn.XLOOKUP(Logs[[#This Row],[Province_RDC]],Clients_Log!D:D,Clients_Log!B:B,"Pas de correspondance")</f>
        <v>Pas de correspondance</v>
      </c>
      <c r="D592" t="str">
        <f>_xlfn.XLOOKUP(Logs[[#This Row],[Cell_ID]],'Registre_Maintenance'!B:B,'Registre_Maintenance'!C:C,"Pas de correspondance")</f>
        <v>Pas de correspondance</v>
      </c>
      <c r="E592" s="3">
        <v>0.38611111111111113</v>
      </c>
      <c r="F592" s="1" t="s">
        <v>1000</v>
      </c>
      <c r="G592" s="3">
        <f>Logs[[#This Row],[Duree_Panne_Min]]/1440</f>
        <v>9.0277777777777769E-3</v>
      </c>
      <c r="H592">
        <v>13</v>
      </c>
      <c r="I592" t="str">
        <f>_xlfn.XLOOKUP(Logs[[#This Row],[Cell_ID]],'Registre_Maintenance'!B:B,'Registre_Maintenance'!D:D,"Pas de correspondance")</f>
        <v>Pas de correspondance</v>
      </c>
      <c r="J592" t="str">
        <f>_xlfn.XLOOKUP(Logs[[#This Row],[Cell_ID]],'Registre_Maintenance'!B:B,'Registre_Maintenance'!E:E,"Pas de correspondance")</f>
        <v>Pas de correspondance</v>
      </c>
      <c r="K592" t="str">
        <f>_xlfn.XLOOKUP(Logs[[#This Row],[Cell_ID]],'Registre_Maintenance'!B:B,'Registre_Maintenance'!F:F,"Pas de correspondance")</f>
        <v>Pas de correspondance</v>
      </c>
      <c r="L592" t="str">
        <f>_xlfn.XLOOKUP(Logs[[#This Row],[Cell_ID]],'Registre_Maintenance'!B:B,'Registre_Maintenance'!G:G,"Pas de correspondance")</f>
        <v>Pas de correspondance</v>
      </c>
      <c r="M592" s="1" t="s">
        <v>809</v>
      </c>
      <c r="N592" s="1" t="str">
        <f>_xlfn.XLOOKUP(Logs[[#This Row],[ID_Client]],Clients_Log!B:B,Clients_Log!E:E,"Pas de correspondance")</f>
        <v>Pas de correspondance</v>
      </c>
      <c r="O592" s="4" t="str">
        <f>IFERROR(Logs[[#This Row],[Anciennete_Mois]]/12,"")</f>
        <v/>
      </c>
      <c r="P592" s="1" t="str">
        <f>_xlfn.XLOOKUP(Logs[[#This Row],[ID_Client]],Clients_Log!B:B,Clients_Log!F:F,"Pas de correspondance")</f>
        <v>Pas de correspondance</v>
      </c>
      <c r="Q592" s="1" t="str">
        <f>IF(Logs[[#This Row],[Type_Forfait]]="Pro Monde","B2B","B2C")</f>
        <v>B2C</v>
      </c>
      <c r="R592" s="1" t="str">
        <f>_xlfn.XLOOKUP(Logs[[#This Row],[ID_Client]],Clients_Log!B:B,Clients_Log!G:G,"Pas de correspondance")</f>
        <v>Pas de correspondance</v>
      </c>
      <c r="S592" s="1" t="e">
        <f>Logs[[#This Row],[Duree_Cumulee_Panne_Min]]/1440</f>
        <v>#VALUE!</v>
      </c>
      <c r="T592" s="1" t="str">
        <f>_xlfn.XLOOKUP(Logs[[#This Row],[ID_Client]],Clients_Log!B:B,Clients_Log!H:H,"Pas de correspondance")</f>
        <v>Pas de correspondance</v>
      </c>
      <c r="U592" s="1" t="str">
        <f>_xlfn.XLOOKUP(Logs[[#This Row],[ID_Client]],Clients_Log!B:B,Clients_Log!I:I,"Pas de correspondance")</f>
        <v>Pas de correspondance</v>
      </c>
      <c r="V59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92" s="1" t="e">
        <f>Logs[[#This Row],[Facture_Mensuelle]]*Logs[[#This Row],[Remise (%)]]</f>
        <v>#VALUE!</v>
      </c>
    </row>
    <row r="593" spans="1:23" hidden="1" x14ac:dyDescent="0.25">
      <c r="A593" s="1" t="s">
        <v>1241</v>
      </c>
      <c r="B593" s="2">
        <v>45211</v>
      </c>
      <c r="C593" s="1" t="str">
        <f>_xlfn.XLOOKUP(Logs[[#This Row],[Province_RDC]],Clients_Log!D:D,Clients_Log!B:B,"Pas de correspondance")</f>
        <v>Pas de correspondance</v>
      </c>
      <c r="D593" t="str">
        <f>_xlfn.XLOOKUP(Logs[[#This Row],[Cell_ID]],'Registre_Maintenance'!B:B,'Registre_Maintenance'!C:C,"Pas de correspondance")</f>
        <v>Pas de correspondance</v>
      </c>
      <c r="E593" s="3">
        <v>0.7055555555555556</v>
      </c>
      <c r="F593" s="1" t="s">
        <v>1259</v>
      </c>
      <c r="G593" s="3">
        <f>Logs[[#This Row],[Duree_Panne_Min]]/1440</f>
        <v>6.5972222222222224E-2</v>
      </c>
      <c r="H593">
        <v>95</v>
      </c>
      <c r="I593" t="str">
        <f>_xlfn.XLOOKUP(Logs[[#This Row],[Cell_ID]],'Registre_Maintenance'!B:B,'Registre_Maintenance'!D:D,"Pas de correspondance")</f>
        <v>Pas de correspondance</v>
      </c>
      <c r="J593" t="str">
        <f>_xlfn.XLOOKUP(Logs[[#This Row],[Cell_ID]],'Registre_Maintenance'!B:B,'Registre_Maintenance'!E:E,"Pas de correspondance")</f>
        <v>Pas de correspondance</v>
      </c>
      <c r="K593" t="str">
        <f>_xlfn.XLOOKUP(Logs[[#This Row],[Cell_ID]],'Registre_Maintenance'!B:B,'Registre_Maintenance'!F:F,"Pas de correspondance")</f>
        <v>Pas de correspondance</v>
      </c>
      <c r="L593" t="str">
        <f>_xlfn.XLOOKUP(Logs[[#This Row],[Cell_ID]],'Registre_Maintenance'!B:B,'Registre_Maintenance'!G:G,"Pas de correspondance")</f>
        <v>Pas de correspondance</v>
      </c>
      <c r="M593" s="1" t="s">
        <v>809</v>
      </c>
      <c r="N593" s="1" t="str">
        <f>_xlfn.XLOOKUP(Logs[[#This Row],[ID_Client]],Clients_Log!B:B,Clients_Log!E:E,"Pas de correspondance")</f>
        <v>Pas de correspondance</v>
      </c>
      <c r="O593" s="4" t="str">
        <f>IFERROR(Logs[[#This Row],[Anciennete_Mois]]/12,"")</f>
        <v/>
      </c>
      <c r="P593" s="1" t="str">
        <f>_xlfn.XLOOKUP(Logs[[#This Row],[ID_Client]],Clients_Log!B:B,Clients_Log!F:F,"Pas de correspondance")</f>
        <v>Pas de correspondance</v>
      </c>
      <c r="Q593" s="1" t="str">
        <f>IF(Logs[[#This Row],[Type_Forfait]]="Pro Monde","B2B","B2C")</f>
        <v>B2C</v>
      </c>
      <c r="R593" s="1" t="str">
        <f>_xlfn.XLOOKUP(Logs[[#This Row],[ID_Client]],Clients_Log!B:B,Clients_Log!G:G,"Pas de correspondance")</f>
        <v>Pas de correspondance</v>
      </c>
      <c r="S593" s="1" t="e">
        <f>Logs[[#This Row],[Duree_Cumulee_Panne_Min]]/1440</f>
        <v>#VALUE!</v>
      </c>
      <c r="T593" s="1" t="str">
        <f>_xlfn.XLOOKUP(Logs[[#This Row],[ID_Client]],Clients_Log!B:B,Clients_Log!H:H,"Pas de correspondance")</f>
        <v>Pas de correspondance</v>
      </c>
      <c r="U593" s="1" t="str">
        <f>_xlfn.XLOOKUP(Logs[[#This Row],[ID_Client]],Clients_Log!B:B,Clients_Log!I:I,"Pas de correspondance")</f>
        <v>Pas de correspondance</v>
      </c>
      <c r="V59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93" s="1" t="e">
        <f>Logs[[#This Row],[Facture_Mensuelle]]*Logs[[#This Row],[Remise (%)]]</f>
        <v>#VALUE!</v>
      </c>
    </row>
    <row r="594" spans="1:23" x14ac:dyDescent="0.25">
      <c r="A594" s="1" t="s">
        <v>1241</v>
      </c>
      <c r="B594" s="2">
        <v>45215</v>
      </c>
      <c r="C594" s="1" t="str">
        <f>_xlfn.XLOOKUP(Logs[[#This Row],[Province_RDC]],Clients_Log!D:D,Clients_Log!B:B,"Pas de correspondance")</f>
        <v>CLI-00185</v>
      </c>
      <c r="D594" t="str">
        <f>_xlfn.XLOOKUP(Logs[[#This Row],[Cell_ID]],'Registre_Maintenance'!B:B,'Registre_Maintenance'!C:C,"Pas de correspondance")</f>
        <v>Maniema</v>
      </c>
      <c r="E594" s="3">
        <v>0.58750000000000002</v>
      </c>
      <c r="F594" s="1" t="s">
        <v>1260</v>
      </c>
      <c r="G594" s="3">
        <f>Logs[[#This Row],[Duree_Panne_Min]]/1440</f>
        <v>1.6666666666666666E-2</v>
      </c>
      <c r="H594">
        <v>24</v>
      </c>
      <c r="I594">
        <f>_xlfn.XLOOKUP(Logs[[#This Row],[Cell_ID]],'Registre_Maintenance'!B:B,'Registre_Maintenance'!D:D,"Pas de correspondance")</f>
        <v>2.5458379999999998</v>
      </c>
      <c r="J594">
        <f>_xlfn.XLOOKUP(Logs[[#This Row],[Cell_ID]],'Registre_Maintenance'!B:B,'Registre_Maintenance'!E:E,"Pas de correspondance")</f>
        <v>13.308655</v>
      </c>
      <c r="K594" t="str">
        <f>_xlfn.XLOOKUP(Logs[[#This Row],[Cell_ID]],'Registre_Maintenance'!B:B,'Registre_Maintenance'!F:F,"Pas de correspondance")</f>
        <v>5G</v>
      </c>
      <c r="L594" t="str">
        <f>_xlfn.XLOOKUP(Logs[[#This Row],[Cell_ID]],'Registre_Maintenance'!B:B,'Registre_Maintenance'!G:G,"Pas de correspondance")</f>
        <v>ZTE</v>
      </c>
      <c r="M594" s="1" t="s">
        <v>809</v>
      </c>
      <c r="N594" s="1">
        <f>_xlfn.XLOOKUP(Logs[[#This Row],[ID_Client]],Clients_Log!B:B,Clients_Log!E:E,"Pas de correspondance")</f>
        <v>81</v>
      </c>
      <c r="O594" s="4">
        <f>IFERROR(Logs[[#This Row],[Anciennete_Mois]]/12,"")</f>
        <v>6.75</v>
      </c>
      <c r="P594" s="1" t="str">
        <f>_xlfn.XLOOKUP(Logs[[#This Row],[ID_Client]],Clients_Log!B:B,Clients_Log!F:F,"Pas de correspondance")</f>
        <v>Pro Monde</v>
      </c>
      <c r="Q594" s="1" t="str">
        <f>IF(Logs[[#This Row],[Type_Forfait]]="Pro Monde","B2B","B2C")</f>
        <v>B2B</v>
      </c>
      <c r="R594" s="1">
        <f>_xlfn.XLOOKUP(Logs[[#This Row],[ID_Client]],Clients_Log!B:B,Clients_Log!G:G,"Pas de correspondance")</f>
        <v>154</v>
      </c>
      <c r="S594" s="3">
        <f>Logs[[#This Row],[Duree_Cumulee_Panne_Min]]/1440</f>
        <v>0.10694444444444444</v>
      </c>
      <c r="T594" s="1">
        <f>_xlfn.XLOOKUP(Logs[[#This Row],[ID_Client]],Clients_Log!B:B,Clients_Log!H:H,"Pas de correspondance")</f>
        <v>19.47</v>
      </c>
      <c r="U594" s="1">
        <f>_xlfn.XLOOKUP(Logs[[#This Row],[ID_Client]],Clients_Log!B:B,Clients_Log!I:I,"Pas de correspondance")</f>
        <v>3</v>
      </c>
      <c r="V59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594" s="1">
        <f>Logs[[#This Row],[Facture_Mensuelle]]*Logs[[#This Row],[Remise (%)]]</f>
        <v>1.9470000000000001</v>
      </c>
    </row>
    <row r="595" spans="1:23" hidden="1" x14ac:dyDescent="0.25">
      <c r="A595" s="1" t="s">
        <v>1241</v>
      </c>
      <c r="B595" s="2">
        <v>45225</v>
      </c>
      <c r="C595" s="1" t="str">
        <f>_xlfn.XLOOKUP(Logs[[#This Row],[Province_RDC]],Clients_Log!D:D,Clients_Log!B:B,"Pas de correspondance")</f>
        <v>Pas de correspondance</v>
      </c>
      <c r="D595" t="str">
        <f>_xlfn.XLOOKUP(Logs[[#This Row],[Cell_ID]],'Registre_Maintenance'!B:B,'Registre_Maintenance'!C:C,"Pas de correspondance")</f>
        <v>Pas de correspondance</v>
      </c>
      <c r="E595" s="3">
        <v>0.97916666666666663</v>
      </c>
      <c r="F595" s="1" t="s">
        <v>1091</v>
      </c>
      <c r="G595" s="3">
        <f>Logs[[#This Row],[Duree_Panne_Min]]/1440</f>
        <v>4.1666666666666666E-3</v>
      </c>
      <c r="H595">
        <v>6</v>
      </c>
      <c r="I595" t="str">
        <f>_xlfn.XLOOKUP(Logs[[#This Row],[Cell_ID]],'Registre_Maintenance'!B:B,'Registre_Maintenance'!D:D,"Pas de correspondance")</f>
        <v>Pas de correspondance</v>
      </c>
      <c r="J595" t="str">
        <f>_xlfn.XLOOKUP(Logs[[#This Row],[Cell_ID]],'Registre_Maintenance'!B:B,'Registre_Maintenance'!E:E,"Pas de correspondance")</f>
        <v>Pas de correspondance</v>
      </c>
      <c r="K595" t="str">
        <f>_xlfn.XLOOKUP(Logs[[#This Row],[Cell_ID]],'Registre_Maintenance'!B:B,'Registre_Maintenance'!F:F,"Pas de correspondance")</f>
        <v>Pas de correspondance</v>
      </c>
      <c r="L595" t="str">
        <f>_xlfn.XLOOKUP(Logs[[#This Row],[Cell_ID]],'Registre_Maintenance'!B:B,'Registre_Maintenance'!G:G,"Pas de correspondance")</f>
        <v>Pas de correspondance</v>
      </c>
      <c r="M595" s="1" t="s">
        <v>806</v>
      </c>
      <c r="N595" s="1" t="str">
        <f>_xlfn.XLOOKUP(Logs[[#This Row],[ID_Client]],Clients_Log!B:B,Clients_Log!E:E,"Pas de correspondance")</f>
        <v>Pas de correspondance</v>
      </c>
      <c r="O595" s="4" t="str">
        <f>IFERROR(Logs[[#This Row],[Anciennete_Mois]]/12,"")</f>
        <v/>
      </c>
      <c r="P595" s="1" t="str">
        <f>_xlfn.XLOOKUP(Logs[[#This Row],[ID_Client]],Clients_Log!B:B,Clients_Log!F:F,"Pas de correspondance")</f>
        <v>Pas de correspondance</v>
      </c>
      <c r="Q595" s="1" t="str">
        <f>IF(Logs[[#This Row],[Type_Forfait]]="Pro Monde","B2B","B2C")</f>
        <v>B2C</v>
      </c>
      <c r="R595" s="1" t="str">
        <f>_xlfn.XLOOKUP(Logs[[#This Row],[ID_Client]],Clients_Log!B:B,Clients_Log!G:G,"Pas de correspondance")</f>
        <v>Pas de correspondance</v>
      </c>
      <c r="S595" s="1" t="e">
        <f>Logs[[#This Row],[Duree_Cumulee_Panne_Min]]/1440</f>
        <v>#VALUE!</v>
      </c>
      <c r="T595" s="1" t="str">
        <f>_xlfn.XLOOKUP(Logs[[#This Row],[ID_Client]],Clients_Log!B:B,Clients_Log!H:H,"Pas de correspondance")</f>
        <v>Pas de correspondance</v>
      </c>
      <c r="U595" s="1" t="str">
        <f>_xlfn.XLOOKUP(Logs[[#This Row],[ID_Client]],Clients_Log!B:B,Clients_Log!I:I,"Pas de correspondance")</f>
        <v>Pas de correspondance</v>
      </c>
      <c r="V59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95" s="1" t="e">
        <f>Logs[[#This Row],[Facture_Mensuelle]]*Logs[[#This Row],[Remise (%)]]</f>
        <v>#VALUE!</v>
      </c>
    </row>
    <row r="596" spans="1:23" hidden="1" x14ac:dyDescent="0.25">
      <c r="A596" s="1" t="s">
        <v>1241</v>
      </c>
      <c r="B596" s="2">
        <v>45224</v>
      </c>
      <c r="C596" s="1" t="str">
        <f>_xlfn.XLOOKUP(Logs[[#This Row],[Province_RDC]],Clients_Log!D:D,Clients_Log!B:B,"Pas de correspondance")</f>
        <v>Pas de correspondance</v>
      </c>
      <c r="D596" t="str">
        <f>_xlfn.XLOOKUP(Logs[[#This Row],[Cell_ID]],'Registre_Maintenance'!B:B,'Registre_Maintenance'!C:C,"Pas de correspondance")</f>
        <v>Pas de correspondance</v>
      </c>
      <c r="E596" s="3">
        <v>0.45694444444444443</v>
      </c>
      <c r="F596" s="1" t="s">
        <v>830</v>
      </c>
      <c r="G596" s="3">
        <f>Logs[[#This Row],[Duree_Panne_Min]]/1440</f>
        <v>2.2222222222222223E-2</v>
      </c>
      <c r="H596">
        <v>32</v>
      </c>
      <c r="I596" t="str">
        <f>_xlfn.XLOOKUP(Logs[[#This Row],[Cell_ID]],'Registre_Maintenance'!B:B,'Registre_Maintenance'!D:D,"Pas de correspondance")</f>
        <v>Pas de correspondance</v>
      </c>
      <c r="J596" t="str">
        <f>_xlfn.XLOOKUP(Logs[[#This Row],[Cell_ID]],'Registre_Maintenance'!B:B,'Registre_Maintenance'!E:E,"Pas de correspondance")</f>
        <v>Pas de correspondance</v>
      </c>
      <c r="K596" t="str">
        <f>_xlfn.XLOOKUP(Logs[[#This Row],[Cell_ID]],'Registre_Maintenance'!B:B,'Registre_Maintenance'!F:F,"Pas de correspondance")</f>
        <v>Pas de correspondance</v>
      </c>
      <c r="L596" t="str">
        <f>_xlfn.XLOOKUP(Logs[[#This Row],[Cell_ID]],'Registre_Maintenance'!B:B,'Registre_Maintenance'!G:G,"Pas de correspondance")</f>
        <v>Pas de correspondance</v>
      </c>
      <c r="M596" s="1" t="s">
        <v>806</v>
      </c>
      <c r="N596" s="1" t="str">
        <f>_xlfn.XLOOKUP(Logs[[#This Row],[ID_Client]],Clients_Log!B:B,Clients_Log!E:E,"Pas de correspondance")</f>
        <v>Pas de correspondance</v>
      </c>
      <c r="O596" s="4" t="str">
        <f>IFERROR(Logs[[#This Row],[Anciennete_Mois]]/12,"")</f>
        <v/>
      </c>
      <c r="P596" s="1" t="str">
        <f>_xlfn.XLOOKUP(Logs[[#This Row],[ID_Client]],Clients_Log!B:B,Clients_Log!F:F,"Pas de correspondance")</f>
        <v>Pas de correspondance</v>
      </c>
      <c r="Q596" s="1" t="str">
        <f>IF(Logs[[#This Row],[Type_Forfait]]="Pro Monde","B2B","B2C")</f>
        <v>B2C</v>
      </c>
      <c r="R596" s="1" t="str">
        <f>_xlfn.XLOOKUP(Logs[[#This Row],[ID_Client]],Clients_Log!B:B,Clients_Log!G:G,"Pas de correspondance")</f>
        <v>Pas de correspondance</v>
      </c>
      <c r="S596" s="1" t="e">
        <f>Logs[[#This Row],[Duree_Cumulee_Panne_Min]]/1440</f>
        <v>#VALUE!</v>
      </c>
      <c r="T596" s="1" t="str">
        <f>_xlfn.XLOOKUP(Logs[[#This Row],[ID_Client]],Clients_Log!B:B,Clients_Log!H:H,"Pas de correspondance")</f>
        <v>Pas de correspondance</v>
      </c>
      <c r="U596" s="1" t="str">
        <f>_xlfn.XLOOKUP(Logs[[#This Row],[ID_Client]],Clients_Log!B:B,Clients_Log!I:I,"Pas de correspondance")</f>
        <v>Pas de correspondance</v>
      </c>
      <c r="V59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96" s="1" t="e">
        <f>Logs[[#This Row],[Facture_Mensuelle]]*Logs[[#This Row],[Remise (%)]]</f>
        <v>#VALUE!</v>
      </c>
    </row>
    <row r="597" spans="1:23" hidden="1" x14ac:dyDescent="0.25">
      <c r="A597" s="1" t="s">
        <v>1241</v>
      </c>
      <c r="B597" s="2">
        <v>45206</v>
      </c>
      <c r="C597" s="1" t="str">
        <f>_xlfn.XLOOKUP(Logs[[#This Row],[Province_RDC]],Clients_Log!D:D,Clients_Log!B:B,"Pas de correspondance")</f>
        <v>Pas de correspondance</v>
      </c>
      <c r="D597" t="str">
        <f>_xlfn.XLOOKUP(Logs[[#This Row],[Cell_ID]],'Registre_Maintenance'!B:B,'Registre_Maintenance'!C:C,"Pas de correspondance")</f>
        <v>Pas de correspondance</v>
      </c>
      <c r="E597" s="3">
        <v>0.47222222222222221</v>
      </c>
      <c r="F597" s="1" t="s">
        <v>1261</v>
      </c>
      <c r="G597" s="3">
        <f>Logs[[#This Row],[Duree_Panne_Min]]/1440</f>
        <v>4.791666666666667E-2</v>
      </c>
      <c r="H597">
        <v>69</v>
      </c>
      <c r="I597" t="str">
        <f>_xlfn.XLOOKUP(Logs[[#This Row],[Cell_ID]],'Registre_Maintenance'!B:B,'Registre_Maintenance'!D:D,"Pas de correspondance")</f>
        <v>Pas de correspondance</v>
      </c>
      <c r="J597" t="str">
        <f>_xlfn.XLOOKUP(Logs[[#This Row],[Cell_ID]],'Registre_Maintenance'!B:B,'Registre_Maintenance'!E:E,"Pas de correspondance")</f>
        <v>Pas de correspondance</v>
      </c>
      <c r="K597" t="str">
        <f>_xlfn.XLOOKUP(Logs[[#This Row],[Cell_ID]],'Registre_Maintenance'!B:B,'Registre_Maintenance'!F:F,"Pas de correspondance")</f>
        <v>Pas de correspondance</v>
      </c>
      <c r="L597" t="str">
        <f>_xlfn.XLOOKUP(Logs[[#This Row],[Cell_ID]],'Registre_Maintenance'!B:B,'Registre_Maintenance'!G:G,"Pas de correspondance")</f>
        <v>Pas de correspondance</v>
      </c>
      <c r="M597" s="1" t="s">
        <v>811</v>
      </c>
      <c r="N597" s="1" t="str">
        <f>_xlfn.XLOOKUP(Logs[[#This Row],[ID_Client]],Clients_Log!B:B,Clients_Log!E:E,"Pas de correspondance")</f>
        <v>Pas de correspondance</v>
      </c>
      <c r="O597" s="4" t="str">
        <f>IFERROR(Logs[[#This Row],[Anciennete_Mois]]/12,"")</f>
        <v/>
      </c>
      <c r="P597" s="1" t="str">
        <f>_xlfn.XLOOKUP(Logs[[#This Row],[ID_Client]],Clients_Log!B:B,Clients_Log!F:F,"Pas de correspondance")</f>
        <v>Pas de correspondance</v>
      </c>
      <c r="Q597" s="1" t="str">
        <f>IF(Logs[[#This Row],[Type_Forfait]]="Pro Monde","B2B","B2C")</f>
        <v>B2C</v>
      </c>
      <c r="R597" s="1" t="str">
        <f>_xlfn.XLOOKUP(Logs[[#This Row],[ID_Client]],Clients_Log!B:B,Clients_Log!G:G,"Pas de correspondance")</f>
        <v>Pas de correspondance</v>
      </c>
      <c r="S597" s="1" t="e">
        <f>Logs[[#This Row],[Duree_Cumulee_Panne_Min]]/1440</f>
        <v>#VALUE!</v>
      </c>
      <c r="T597" s="1" t="str">
        <f>_xlfn.XLOOKUP(Logs[[#This Row],[ID_Client]],Clients_Log!B:B,Clients_Log!H:H,"Pas de correspondance")</f>
        <v>Pas de correspondance</v>
      </c>
      <c r="U597" s="1" t="str">
        <f>_xlfn.XLOOKUP(Logs[[#This Row],[ID_Client]],Clients_Log!B:B,Clients_Log!I:I,"Pas de correspondance")</f>
        <v>Pas de correspondance</v>
      </c>
      <c r="V59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97" s="1" t="e">
        <f>Logs[[#This Row],[Facture_Mensuelle]]*Logs[[#This Row],[Remise (%)]]</f>
        <v>#VALUE!</v>
      </c>
    </row>
    <row r="598" spans="1:23" x14ac:dyDescent="0.25">
      <c r="A598" s="1" t="s">
        <v>1241</v>
      </c>
      <c r="B598" s="2">
        <v>45213</v>
      </c>
      <c r="C598" s="1" t="str">
        <f>_xlfn.XLOOKUP(Logs[[#This Row],[Province_RDC]],Clients_Log!D:D,Clients_Log!B:B,"Pas de correspondance")</f>
        <v>CLI-00280</v>
      </c>
      <c r="D598" t="str">
        <f>_xlfn.XLOOKUP(Logs[[#This Row],[Cell_ID]],'Registre_Maintenance'!B:B,'Registre_Maintenance'!C:C,"Pas de correspondance")</f>
        <v>Sud-Ubangi</v>
      </c>
      <c r="E598" s="3">
        <v>6.6666666666666666E-2</v>
      </c>
      <c r="F598" s="1" t="s">
        <v>1146</v>
      </c>
      <c r="G598" s="3">
        <f>Logs[[#This Row],[Duree_Panne_Min]]/1440</f>
        <v>4.3749999999999997E-2</v>
      </c>
      <c r="H598">
        <v>63</v>
      </c>
      <c r="I598">
        <f>_xlfn.XLOOKUP(Logs[[#This Row],[Cell_ID]],'Registre_Maintenance'!B:B,'Registre_Maintenance'!D:D,"Pas de correspondance")</f>
        <v>-11.387295999999999</v>
      </c>
      <c r="J598">
        <f>_xlfn.XLOOKUP(Logs[[#This Row],[Cell_ID]],'Registre_Maintenance'!B:B,'Registre_Maintenance'!E:E,"Pas de correspondance")</f>
        <v>19.384257999999999</v>
      </c>
      <c r="K598" t="str">
        <f>_xlfn.XLOOKUP(Logs[[#This Row],[Cell_ID]],'Registre_Maintenance'!B:B,'Registre_Maintenance'!F:F,"Pas de correspondance")</f>
        <v>3G</v>
      </c>
      <c r="L598" t="str">
        <f>_xlfn.XLOOKUP(Logs[[#This Row],[Cell_ID]],'Registre_Maintenance'!B:B,'Registre_Maintenance'!G:G,"Pas de correspondance")</f>
        <v>Huawei</v>
      </c>
      <c r="M598" s="1" t="s">
        <v>806</v>
      </c>
      <c r="N598" s="1">
        <f>_xlfn.XLOOKUP(Logs[[#This Row],[ID_Client]],Clients_Log!B:B,Clients_Log!E:E,"Pas de correspondance")</f>
        <v>113</v>
      </c>
      <c r="O598" s="4">
        <f>IFERROR(Logs[[#This Row],[Anciennete_Mois]]/12,"")</f>
        <v>9.4166666666666661</v>
      </c>
      <c r="P598" s="1" t="str">
        <f>_xlfn.XLOOKUP(Logs[[#This Row],[ID_Client]],Clients_Log!B:B,Clients_Log!F:F,"Pas de correspondance")</f>
        <v>Illimité 50Go</v>
      </c>
      <c r="Q598" s="1" t="str">
        <f>IF(Logs[[#This Row],[Type_Forfait]]="Pro Monde","B2B","B2C")</f>
        <v>B2C</v>
      </c>
      <c r="R598" s="1">
        <f>_xlfn.XLOOKUP(Logs[[#This Row],[ID_Client]],Clients_Log!B:B,Clients_Log!G:G,"Pas de correspondance")</f>
        <v>380</v>
      </c>
      <c r="S598" s="3">
        <f>Logs[[#This Row],[Duree_Cumulee_Panne_Min]]/1440</f>
        <v>0.2638888888888889</v>
      </c>
      <c r="T598" s="1">
        <f>_xlfn.XLOOKUP(Logs[[#This Row],[ID_Client]],Clients_Log!B:B,Clients_Log!H:H,"Pas de correspondance")</f>
        <v>12.11</v>
      </c>
      <c r="U598" s="1">
        <f>_xlfn.XLOOKUP(Logs[[#This Row],[ID_Client]],Clients_Log!B:B,Clients_Log!I:I,"Pas de correspondance")</f>
        <v>0</v>
      </c>
      <c r="V59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598" s="1">
        <f>Logs[[#This Row],[Facture_Mensuelle]]*Logs[[#This Row],[Remise (%)]]</f>
        <v>5.4494999999999996</v>
      </c>
    </row>
    <row r="599" spans="1:23" hidden="1" x14ac:dyDescent="0.25">
      <c r="A599" s="1" t="s">
        <v>1241</v>
      </c>
      <c r="B599" s="2">
        <v>45227</v>
      </c>
      <c r="C599" s="1" t="str">
        <f>_xlfn.XLOOKUP(Logs[[#This Row],[Province_RDC]],Clients_Log!D:D,Clients_Log!B:B,"Pas de correspondance")</f>
        <v>Pas de correspondance</v>
      </c>
      <c r="D599" t="str">
        <f>_xlfn.XLOOKUP(Logs[[#This Row],[Cell_ID]],'Registre_Maintenance'!B:B,'Registre_Maintenance'!C:C,"Pas de correspondance")</f>
        <v>Pas de correspondance</v>
      </c>
      <c r="E599" s="3">
        <v>0.32430555555555557</v>
      </c>
      <c r="F599" s="1" t="s">
        <v>1262</v>
      </c>
      <c r="G599" s="3">
        <f>Logs[[#This Row],[Duree_Panne_Min]]/1440</f>
        <v>3.6111111111111108E-2</v>
      </c>
      <c r="H599">
        <v>52</v>
      </c>
      <c r="I599" t="str">
        <f>_xlfn.XLOOKUP(Logs[[#This Row],[Cell_ID]],'Registre_Maintenance'!B:B,'Registre_Maintenance'!D:D,"Pas de correspondance")</f>
        <v>Pas de correspondance</v>
      </c>
      <c r="J599" t="str">
        <f>_xlfn.XLOOKUP(Logs[[#This Row],[Cell_ID]],'Registre_Maintenance'!B:B,'Registre_Maintenance'!E:E,"Pas de correspondance")</f>
        <v>Pas de correspondance</v>
      </c>
      <c r="K599" t="str">
        <f>_xlfn.XLOOKUP(Logs[[#This Row],[Cell_ID]],'Registre_Maintenance'!B:B,'Registre_Maintenance'!F:F,"Pas de correspondance")</f>
        <v>Pas de correspondance</v>
      </c>
      <c r="L599" t="str">
        <f>_xlfn.XLOOKUP(Logs[[#This Row],[Cell_ID]],'Registre_Maintenance'!B:B,'Registre_Maintenance'!G:G,"Pas de correspondance")</f>
        <v>Pas de correspondance</v>
      </c>
      <c r="M599" s="1" t="s">
        <v>806</v>
      </c>
      <c r="N599" s="1" t="str">
        <f>_xlfn.XLOOKUP(Logs[[#This Row],[ID_Client]],Clients_Log!B:B,Clients_Log!E:E,"Pas de correspondance")</f>
        <v>Pas de correspondance</v>
      </c>
      <c r="O599" s="4" t="str">
        <f>IFERROR(Logs[[#This Row],[Anciennete_Mois]]/12,"")</f>
        <v/>
      </c>
      <c r="P599" s="1" t="str">
        <f>_xlfn.XLOOKUP(Logs[[#This Row],[ID_Client]],Clients_Log!B:B,Clients_Log!F:F,"Pas de correspondance")</f>
        <v>Pas de correspondance</v>
      </c>
      <c r="Q599" s="1" t="str">
        <f>IF(Logs[[#This Row],[Type_Forfait]]="Pro Monde","B2B","B2C")</f>
        <v>B2C</v>
      </c>
      <c r="R599" s="1" t="str">
        <f>_xlfn.XLOOKUP(Logs[[#This Row],[ID_Client]],Clients_Log!B:B,Clients_Log!G:G,"Pas de correspondance")</f>
        <v>Pas de correspondance</v>
      </c>
      <c r="S599" s="1" t="e">
        <f>Logs[[#This Row],[Duree_Cumulee_Panne_Min]]/1440</f>
        <v>#VALUE!</v>
      </c>
      <c r="T599" s="1" t="str">
        <f>_xlfn.XLOOKUP(Logs[[#This Row],[ID_Client]],Clients_Log!B:B,Clients_Log!H:H,"Pas de correspondance")</f>
        <v>Pas de correspondance</v>
      </c>
      <c r="U599" s="1" t="str">
        <f>_xlfn.XLOOKUP(Logs[[#This Row],[ID_Client]],Clients_Log!B:B,Clients_Log!I:I,"Pas de correspondance")</f>
        <v>Pas de correspondance</v>
      </c>
      <c r="V59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599" s="1" t="e">
        <f>Logs[[#This Row],[Facture_Mensuelle]]*Logs[[#This Row],[Remise (%)]]</f>
        <v>#VALUE!</v>
      </c>
    </row>
    <row r="600" spans="1:23" x14ac:dyDescent="0.25">
      <c r="A600" s="1" t="s">
        <v>1241</v>
      </c>
      <c r="B600" s="2">
        <v>45204</v>
      </c>
      <c r="C600" s="1" t="str">
        <f>_xlfn.XLOOKUP(Logs[[#This Row],[Province_RDC]],Clients_Log!D:D,Clients_Log!B:B,"Pas de correspondance")</f>
        <v>CLI-00185</v>
      </c>
      <c r="D600" t="str">
        <f>_xlfn.XLOOKUP(Logs[[#This Row],[Cell_ID]],'Registre_Maintenance'!B:B,'Registre_Maintenance'!C:C,"Pas de correspondance")</f>
        <v>Maniema</v>
      </c>
      <c r="E600" s="3">
        <v>1.1111111111111112E-2</v>
      </c>
      <c r="F600" s="1" t="s">
        <v>1263</v>
      </c>
      <c r="G600" s="3">
        <f>Logs[[#This Row],[Duree_Panne_Min]]/1440</f>
        <v>8.3333333333333332E-3</v>
      </c>
      <c r="H600">
        <v>12</v>
      </c>
      <c r="I600">
        <f>_xlfn.XLOOKUP(Logs[[#This Row],[Cell_ID]],'Registre_Maintenance'!B:B,'Registre_Maintenance'!D:D,"Pas de correspondance")</f>
        <v>-1.6488929999999999</v>
      </c>
      <c r="J600">
        <f>_xlfn.XLOOKUP(Logs[[#This Row],[Cell_ID]],'Registre_Maintenance'!B:B,'Registre_Maintenance'!E:E,"Pas de correspondance")</f>
        <v>27.284617000000001</v>
      </c>
      <c r="K600" t="str">
        <f>_xlfn.XLOOKUP(Logs[[#This Row],[Cell_ID]],'Registre_Maintenance'!B:B,'Registre_Maintenance'!F:F,"Pas de correspondance")</f>
        <v>5G</v>
      </c>
      <c r="L600" t="str">
        <f>_xlfn.XLOOKUP(Logs[[#This Row],[Cell_ID]],'Registre_Maintenance'!B:B,'Registre_Maintenance'!G:G,"Pas de correspondance")</f>
        <v>Nokia</v>
      </c>
      <c r="M600" s="1" t="s">
        <v>809</v>
      </c>
      <c r="N600" s="1">
        <f>_xlfn.XLOOKUP(Logs[[#This Row],[ID_Client]],Clients_Log!B:B,Clients_Log!E:E,"Pas de correspondance")</f>
        <v>81</v>
      </c>
      <c r="O600" s="4">
        <f>IFERROR(Logs[[#This Row],[Anciennete_Mois]]/12,"")</f>
        <v>6.75</v>
      </c>
      <c r="P600" s="1" t="str">
        <f>_xlfn.XLOOKUP(Logs[[#This Row],[ID_Client]],Clients_Log!B:B,Clients_Log!F:F,"Pas de correspondance")</f>
        <v>Pro Monde</v>
      </c>
      <c r="Q600" s="1" t="str">
        <f>IF(Logs[[#This Row],[Type_Forfait]]="Pro Monde","B2B","B2C")</f>
        <v>B2B</v>
      </c>
      <c r="R600" s="1">
        <f>_xlfn.XLOOKUP(Logs[[#This Row],[ID_Client]],Clients_Log!B:B,Clients_Log!G:G,"Pas de correspondance")</f>
        <v>154</v>
      </c>
      <c r="S600" s="3">
        <f>Logs[[#This Row],[Duree_Cumulee_Panne_Min]]/1440</f>
        <v>0.10694444444444444</v>
      </c>
      <c r="T600" s="1">
        <f>_xlfn.XLOOKUP(Logs[[#This Row],[ID_Client]],Clients_Log!B:B,Clients_Log!H:H,"Pas de correspondance")</f>
        <v>19.47</v>
      </c>
      <c r="U600" s="1">
        <f>_xlfn.XLOOKUP(Logs[[#This Row],[ID_Client]],Clients_Log!B:B,Clients_Log!I:I,"Pas de correspondance")</f>
        <v>3</v>
      </c>
      <c r="V60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600" s="1">
        <f>Logs[[#This Row],[Facture_Mensuelle]]*Logs[[#This Row],[Remise (%)]]</f>
        <v>1.9470000000000001</v>
      </c>
    </row>
    <row r="601" spans="1:23" x14ac:dyDescent="0.25">
      <c r="A601" s="1" t="s">
        <v>1241</v>
      </c>
      <c r="B601" s="2">
        <v>45217</v>
      </c>
      <c r="C601" s="1" t="str">
        <f>_xlfn.XLOOKUP(Logs[[#This Row],[Province_RDC]],Clients_Log!D:D,Clients_Log!B:B,"Pas de correspondance")</f>
        <v>CLI-00185</v>
      </c>
      <c r="D601" t="str">
        <f>_xlfn.XLOOKUP(Logs[[#This Row],[Cell_ID]],'Registre_Maintenance'!B:B,'Registre_Maintenance'!C:C,"Pas de correspondance")</f>
        <v>Maniema</v>
      </c>
      <c r="E601" s="3">
        <v>0.77569444444444446</v>
      </c>
      <c r="F601" s="1" t="s">
        <v>964</v>
      </c>
      <c r="G601" s="3">
        <f>Logs[[#This Row],[Duree_Panne_Min]]/1440</f>
        <v>5.8333333333333334E-2</v>
      </c>
      <c r="H601">
        <v>84</v>
      </c>
      <c r="I601">
        <f>_xlfn.XLOOKUP(Logs[[#This Row],[Cell_ID]],'Registre_Maintenance'!B:B,'Registre_Maintenance'!D:D,"Pas de correspondance")</f>
        <v>-2.3743210000000001</v>
      </c>
      <c r="J601">
        <f>_xlfn.XLOOKUP(Logs[[#This Row],[Cell_ID]],'Registre_Maintenance'!B:B,'Registre_Maintenance'!E:E,"Pas de correspondance")</f>
        <v>22.399491000000001</v>
      </c>
      <c r="K601" t="str">
        <f>_xlfn.XLOOKUP(Logs[[#This Row],[Cell_ID]],'Registre_Maintenance'!B:B,'Registre_Maintenance'!F:F,"Pas de correspondance")</f>
        <v>5G</v>
      </c>
      <c r="L601" t="str">
        <f>_xlfn.XLOOKUP(Logs[[#This Row],[Cell_ID]],'Registre_Maintenance'!B:B,'Registre_Maintenance'!G:G,"Pas de correspondance")</f>
        <v>Ericsson</v>
      </c>
      <c r="M601" s="1" t="s">
        <v>806</v>
      </c>
      <c r="N601" s="1">
        <f>_xlfn.XLOOKUP(Logs[[#This Row],[ID_Client]],Clients_Log!B:B,Clients_Log!E:E,"Pas de correspondance")</f>
        <v>81</v>
      </c>
      <c r="O601" s="4">
        <f>IFERROR(Logs[[#This Row],[Anciennete_Mois]]/12,"")</f>
        <v>6.75</v>
      </c>
      <c r="P601" s="1" t="str">
        <f>_xlfn.XLOOKUP(Logs[[#This Row],[ID_Client]],Clients_Log!B:B,Clients_Log!F:F,"Pas de correspondance")</f>
        <v>Pro Monde</v>
      </c>
      <c r="Q601" s="1" t="str">
        <f>IF(Logs[[#This Row],[Type_Forfait]]="Pro Monde","B2B","B2C")</f>
        <v>B2B</v>
      </c>
      <c r="R601" s="1">
        <f>_xlfn.XLOOKUP(Logs[[#This Row],[ID_Client]],Clients_Log!B:B,Clients_Log!G:G,"Pas de correspondance")</f>
        <v>154</v>
      </c>
      <c r="S601" s="3">
        <f>Logs[[#This Row],[Duree_Cumulee_Panne_Min]]/1440</f>
        <v>0.10694444444444444</v>
      </c>
      <c r="T601" s="1">
        <f>_xlfn.XLOOKUP(Logs[[#This Row],[ID_Client]],Clients_Log!B:B,Clients_Log!H:H,"Pas de correspondance")</f>
        <v>19.47</v>
      </c>
      <c r="U601" s="1">
        <f>_xlfn.XLOOKUP(Logs[[#This Row],[ID_Client]],Clients_Log!B:B,Clients_Log!I:I,"Pas de correspondance")</f>
        <v>3</v>
      </c>
      <c r="V60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601" s="1">
        <f>Logs[[#This Row],[Facture_Mensuelle]]*Logs[[#This Row],[Remise (%)]]</f>
        <v>1.9470000000000001</v>
      </c>
    </row>
    <row r="602" spans="1:23" x14ac:dyDescent="0.25">
      <c r="A602" s="1" t="s">
        <v>1241</v>
      </c>
      <c r="B602" s="2">
        <v>45223</v>
      </c>
      <c r="C602" s="1" t="str">
        <f>_xlfn.XLOOKUP(Logs[[#This Row],[Province_RDC]],Clients_Log!D:D,Clients_Log!B:B,"Pas de correspondance")</f>
        <v>CLI-00280</v>
      </c>
      <c r="D602" t="str">
        <f>_xlfn.XLOOKUP(Logs[[#This Row],[Cell_ID]],'Registre_Maintenance'!B:B,'Registre_Maintenance'!C:C,"Pas de correspondance")</f>
        <v>Sud-Ubangi</v>
      </c>
      <c r="E602" s="3">
        <v>0.5541666666666667</v>
      </c>
      <c r="F602" s="1" t="s">
        <v>1264</v>
      </c>
      <c r="G602" s="3">
        <f>Logs[[#This Row],[Duree_Panne_Min]]/1440</f>
        <v>5.9722222222222225E-2</v>
      </c>
      <c r="H602">
        <v>86</v>
      </c>
      <c r="I602">
        <f>_xlfn.XLOOKUP(Logs[[#This Row],[Cell_ID]],'Registre_Maintenance'!B:B,'Registre_Maintenance'!D:D,"Pas de correspondance")</f>
        <v>-12.050063</v>
      </c>
      <c r="J602">
        <f>_xlfn.XLOOKUP(Logs[[#This Row],[Cell_ID]],'Registre_Maintenance'!B:B,'Registre_Maintenance'!E:E,"Pas de correspondance")</f>
        <v>26.636987999999999</v>
      </c>
      <c r="K602" t="str">
        <f>_xlfn.XLOOKUP(Logs[[#This Row],[Cell_ID]],'Registre_Maintenance'!B:B,'Registre_Maintenance'!F:F,"Pas de correspondance")</f>
        <v>3G</v>
      </c>
      <c r="L602" t="str">
        <f>_xlfn.XLOOKUP(Logs[[#This Row],[Cell_ID]],'Registre_Maintenance'!B:B,'Registre_Maintenance'!G:G,"Pas de correspondance")</f>
        <v>Nokia</v>
      </c>
      <c r="M602" s="1" t="s">
        <v>809</v>
      </c>
      <c r="N602" s="1">
        <f>_xlfn.XLOOKUP(Logs[[#This Row],[ID_Client]],Clients_Log!B:B,Clients_Log!E:E,"Pas de correspondance")</f>
        <v>113</v>
      </c>
      <c r="O602" s="4">
        <f>IFERROR(Logs[[#This Row],[Anciennete_Mois]]/12,"")</f>
        <v>9.4166666666666661</v>
      </c>
      <c r="P602" s="1" t="str">
        <f>_xlfn.XLOOKUP(Logs[[#This Row],[ID_Client]],Clients_Log!B:B,Clients_Log!F:F,"Pas de correspondance")</f>
        <v>Illimité 50Go</v>
      </c>
      <c r="Q602" s="1" t="str">
        <f>IF(Logs[[#This Row],[Type_Forfait]]="Pro Monde","B2B","B2C")</f>
        <v>B2C</v>
      </c>
      <c r="R602" s="1">
        <f>_xlfn.XLOOKUP(Logs[[#This Row],[ID_Client]],Clients_Log!B:B,Clients_Log!G:G,"Pas de correspondance")</f>
        <v>380</v>
      </c>
      <c r="S602" s="3">
        <f>Logs[[#This Row],[Duree_Cumulee_Panne_Min]]/1440</f>
        <v>0.2638888888888889</v>
      </c>
      <c r="T602" s="1">
        <f>_xlfn.XLOOKUP(Logs[[#This Row],[ID_Client]],Clients_Log!B:B,Clients_Log!H:H,"Pas de correspondance")</f>
        <v>12.11</v>
      </c>
      <c r="U602" s="1">
        <f>_xlfn.XLOOKUP(Logs[[#This Row],[ID_Client]],Clients_Log!B:B,Clients_Log!I:I,"Pas de correspondance")</f>
        <v>0</v>
      </c>
      <c r="V60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02" s="1">
        <f>Logs[[#This Row],[Facture_Mensuelle]]*Logs[[#This Row],[Remise (%)]]</f>
        <v>5.4494999999999996</v>
      </c>
    </row>
    <row r="603" spans="1:23" hidden="1" x14ac:dyDescent="0.25">
      <c r="A603" s="1" t="s">
        <v>1241</v>
      </c>
      <c r="B603" s="2">
        <v>45204</v>
      </c>
      <c r="C603" s="1" t="str">
        <f>_xlfn.XLOOKUP(Logs[[#This Row],[Province_RDC]],Clients_Log!D:D,Clients_Log!B:B,"Pas de correspondance")</f>
        <v>Pas de correspondance</v>
      </c>
      <c r="D603" t="str">
        <f>_xlfn.XLOOKUP(Logs[[#This Row],[Cell_ID]],'Registre_Maintenance'!B:B,'Registre_Maintenance'!C:C,"Pas de correspondance")</f>
        <v>Pas de correspondance</v>
      </c>
      <c r="E603" s="3">
        <v>0.26458333333333334</v>
      </c>
      <c r="F603" s="1" t="s">
        <v>1193</v>
      </c>
      <c r="G603" s="3">
        <f>Logs[[#This Row],[Duree_Panne_Min]]/1440</f>
        <v>6.25E-2</v>
      </c>
      <c r="H603">
        <v>90</v>
      </c>
      <c r="I603" t="str">
        <f>_xlfn.XLOOKUP(Logs[[#This Row],[Cell_ID]],'Registre_Maintenance'!B:B,'Registre_Maintenance'!D:D,"Pas de correspondance")</f>
        <v>Pas de correspondance</v>
      </c>
      <c r="J603" t="str">
        <f>_xlfn.XLOOKUP(Logs[[#This Row],[Cell_ID]],'Registre_Maintenance'!B:B,'Registre_Maintenance'!E:E,"Pas de correspondance")</f>
        <v>Pas de correspondance</v>
      </c>
      <c r="K603" t="str">
        <f>_xlfn.XLOOKUP(Logs[[#This Row],[Cell_ID]],'Registre_Maintenance'!B:B,'Registre_Maintenance'!F:F,"Pas de correspondance")</f>
        <v>Pas de correspondance</v>
      </c>
      <c r="L603" t="str">
        <f>_xlfn.XLOOKUP(Logs[[#This Row],[Cell_ID]],'Registre_Maintenance'!B:B,'Registre_Maintenance'!G:G,"Pas de correspondance")</f>
        <v>Pas de correspondance</v>
      </c>
      <c r="M603" s="1" t="s">
        <v>811</v>
      </c>
      <c r="N603" s="1" t="str">
        <f>_xlfn.XLOOKUP(Logs[[#This Row],[ID_Client]],Clients_Log!B:B,Clients_Log!E:E,"Pas de correspondance")</f>
        <v>Pas de correspondance</v>
      </c>
      <c r="O603" s="4" t="str">
        <f>IFERROR(Logs[[#This Row],[Anciennete_Mois]]/12,"")</f>
        <v/>
      </c>
      <c r="P603" s="1" t="str">
        <f>_xlfn.XLOOKUP(Logs[[#This Row],[ID_Client]],Clients_Log!B:B,Clients_Log!F:F,"Pas de correspondance")</f>
        <v>Pas de correspondance</v>
      </c>
      <c r="Q603" s="1" t="str">
        <f>IF(Logs[[#This Row],[Type_Forfait]]="Pro Monde","B2B","B2C")</f>
        <v>B2C</v>
      </c>
      <c r="R603" s="1" t="str">
        <f>_xlfn.XLOOKUP(Logs[[#This Row],[ID_Client]],Clients_Log!B:B,Clients_Log!G:G,"Pas de correspondance")</f>
        <v>Pas de correspondance</v>
      </c>
      <c r="S603" s="1" t="e">
        <f>Logs[[#This Row],[Duree_Cumulee_Panne_Min]]/1440</f>
        <v>#VALUE!</v>
      </c>
      <c r="T603" s="1" t="str">
        <f>_xlfn.XLOOKUP(Logs[[#This Row],[ID_Client]],Clients_Log!B:B,Clients_Log!H:H,"Pas de correspondance")</f>
        <v>Pas de correspondance</v>
      </c>
      <c r="U603" s="1" t="str">
        <f>_xlfn.XLOOKUP(Logs[[#This Row],[ID_Client]],Clients_Log!B:B,Clients_Log!I:I,"Pas de correspondance")</f>
        <v>Pas de correspondance</v>
      </c>
      <c r="V60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03" s="1" t="e">
        <f>Logs[[#This Row],[Facture_Mensuelle]]*Logs[[#This Row],[Remise (%)]]</f>
        <v>#VALUE!</v>
      </c>
    </row>
    <row r="604" spans="1:23" hidden="1" x14ac:dyDescent="0.25">
      <c r="A604" s="1" t="s">
        <v>1241</v>
      </c>
      <c r="B604" s="2">
        <v>45207</v>
      </c>
      <c r="C604" s="1" t="str">
        <f>_xlfn.XLOOKUP(Logs[[#This Row],[Province_RDC]],Clients_Log!D:D,Clients_Log!B:B,"Pas de correspondance")</f>
        <v>Pas de correspondance</v>
      </c>
      <c r="D604" t="str">
        <f>_xlfn.XLOOKUP(Logs[[#This Row],[Cell_ID]],'Registre_Maintenance'!B:B,'Registre_Maintenance'!C:C,"Pas de correspondance")</f>
        <v>Pas de correspondance</v>
      </c>
      <c r="E604" s="3">
        <v>0.52500000000000002</v>
      </c>
      <c r="F604" s="1" t="s">
        <v>1265</v>
      </c>
      <c r="G604" s="3">
        <f>Logs[[#This Row],[Duree_Panne_Min]]/1440</f>
        <v>5.7638888888888892E-2</v>
      </c>
      <c r="H604">
        <v>83</v>
      </c>
      <c r="I604" t="str">
        <f>_xlfn.XLOOKUP(Logs[[#This Row],[Cell_ID]],'Registre_Maintenance'!B:B,'Registre_Maintenance'!D:D,"Pas de correspondance")</f>
        <v>Pas de correspondance</v>
      </c>
      <c r="J604" t="str">
        <f>_xlfn.XLOOKUP(Logs[[#This Row],[Cell_ID]],'Registre_Maintenance'!B:B,'Registre_Maintenance'!E:E,"Pas de correspondance")</f>
        <v>Pas de correspondance</v>
      </c>
      <c r="K604" t="str">
        <f>_xlfn.XLOOKUP(Logs[[#This Row],[Cell_ID]],'Registre_Maintenance'!B:B,'Registre_Maintenance'!F:F,"Pas de correspondance")</f>
        <v>Pas de correspondance</v>
      </c>
      <c r="L604" t="str">
        <f>_xlfn.XLOOKUP(Logs[[#This Row],[Cell_ID]],'Registre_Maintenance'!B:B,'Registre_Maintenance'!G:G,"Pas de correspondance")</f>
        <v>Pas de correspondance</v>
      </c>
      <c r="M604" s="1" t="s">
        <v>806</v>
      </c>
      <c r="N604" s="1" t="str">
        <f>_xlfn.XLOOKUP(Logs[[#This Row],[ID_Client]],Clients_Log!B:B,Clients_Log!E:E,"Pas de correspondance")</f>
        <v>Pas de correspondance</v>
      </c>
      <c r="O604" s="4" t="str">
        <f>IFERROR(Logs[[#This Row],[Anciennete_Mois]]/12,"")</f>
        <v/>
      </c>
      <c r="P604" s="1" t="str">
        <f>_xlfn.XLOOKUP(Logs[[#This Row],[ID_Client]],Clients_Log!B:B,Clients_Log!F:F,"Pas de correspondance")</f>
        <v>Pas de correspondance</v>
      </c>
      <c r="Q604" s="1" t="str">
        <f>IF(Logs[[#This Row],[Type_Forfait]]="Pro Monde","B2B","B2C")</f>
        <v>B2C</v>
      </c>
      <c r="R604" s="1" t="str">
        <f>_xlfn.XLOOKUP(Logs[[#This Row],[ID_Client]],Clients_Log!B:B,Clients_Log!G:G,"Pas de correspondance")</f>
        <v>Pas de correspondance</v>
      </c>
      <c r="S604" s="1" t="e">
        <f>Logs[[#This Row],[Duree_Cumulee_Panne_Min]]/1440</f>
        <v>#VALUE!</v>
      </c>
      <c r="T604" s="1" t="str">
        <f>_xlfn.XLOOKUP(Logs[[#This Row],[ID_Client]],Clients_Log!B:B,Clients_Log!H:H,"Pas de correspondance")</f>
        <v>Pas de correspondance</v>
      </c>
      <c r="U604" s="1" t="str">
        <f>_xlfn.XLOOKUP(Logs[[#This Row],[ID_Client]],Clients_Log!B:B,Clients_Log!I:I,"Pas de correspondance")</f>
        <v>Pas de correspondance</v>
      </c>
      <c r="V60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04" s="1" t="e">
        <f>Logs[[#This Row],[Facture_Mensuelle]]*Logs[[#This Row],[Remise (%)]]</f>
        <v>#VALUE!</v>
      </c>
    </row>
    <row r="605" spans="1:23" x14ac:dyDescent="0.25">
      <c r="A605" s="1" t="s">
        <v>1241</v>
      </c>
      <c r="B605" s="2">
        <v>45226</v>
      </c>
      <c r="C605" s="1" t="str">
        <f>_xlfn.XLOOKUP(Logs[[#This Row],[Province_RDC]],Clients_Log!D:D,Clients_Log!B:B,"Pas de correspondance")</f>
        <v>CLI-00643</v>
      </c>
      <c r="D605" t="str">
        <f>_xlfn.XLOOKUP(Logs[[#This Row],[Cell_ID]],'Registre_Maintenance'!B:B,'Registre_Maintenance'!C:C,"Pas de correspondance")</f>
        <v>Equateur</v>
      </c>
      <c r="E605" s="3">
        <v>0.31319444444444444</v>
      </c>
      <c r="F605" s="1" t="s">
        <v>1266</v>
      </c>
      <c r="G605" s="3">
        <f>Logs[[#This Row],[Duree_Panne_Min]]/1440</f>
        <v>4.583333333333333E-2</v>
      </c>
      <c r="H605">
        <v>66</v>
      </c>
      <c r="I605">
        <f>_xlfn.XLOOKUP(Logs[[#This Row],[Cell_ID]],'Registre_Maintenance'!B:B,'Registre_Maintenance'!D:D,"Pas de correspondance")</f>
        <v>-12.839263000000001</v>
      </c>
      <c r="J605">
        <f>_xlfn.XLOOKUP(Logs[[#This Row],[Cell_ID]],'Registre_Maintenance'!B:B,'Registre_Maintenance'!E:E,"Pas de correspondance")</f>
        <v>12.355677</v>
      </c>
      <c r="K605" t="str">
        <f>_xlfn.XLOOKUP(Logs[[#This Row],[Cell_ID]],'Registre_Maintenance'!B:B,'Registre_Maintenance'!F:F,"Pas de correspondance")</f>
        <v>3G</v>
      </c>
      <c r="L605" t="str">
        <f>_xlfn.XLOOKUP(Logs[[#This Row],[Cell_ID]],'Registre_Maintenance'!B:B,'Registre_Maintenance'!G:G,"Pas de correspondance")</f>
        <v>Huawei</v>
      </c>
      <c r="M605" s="1" t="s">
        <v>811</v>
      </c>
      <c r="N605" s="1">
        <f>_xlfn.XLOOKUP(Logs[[#This Row],[ID_Client]],Clients_Log!B:B,Clients_Log!E:E,"Pas de correspondance")</f>
        <v>14</v>
      </c>
      <c r="O605" s="4">
        <f>IFERROR(Logs[[#This Row],[Anciennete_Mois]]/12,"")</f>
        <v>1.1666666666666667</v>
      </c>
      <c r="P605" s="1" t="str">
        <f>_xlfn.XLOOKUP(Logs[[#This Row],[ID_Client]],Clients_Log!B:B,Clients_Log!F:F,"Pas de correspondance")</f>
        <v>Pro Monde</v>
      </c>
      <c r="Q605" s="1" t="str">
        <f>IF(Logs[[#This Row],[Type_Forfait]]="Pro Monde","B2B","B2C")</f>
        <v>B2B</v>
      </c>
      <c r="R605" s="1">
        <f>_xlfn.XLOOKUP(Logs[[#This Row],[ID_Client]],Clients_Log!B:B,Clients_Log!G:G,"Pas de correspondance")</f>
        <v>316</v>
      </c>
      <c r="S605" s="3">
        <f>Logs[[#This Row],[Duree_Cumulee_Panne_Min]]/1440</f>
        <v>0.21944444444444444</v>
      </c>
      <c r="T605" s="1">
        <f>_xlfn.XLOOKUP(Logs[[#This Row],[ID_Client]],Clients_Log!B:B,Clients_Log!H:H,"Pas de correspondance")</f>
        <v>62.34</v>
      </c>
      <c r="U605" s="1">
        <f>_xlfn.XLOOKUP(Logs[[#This Row],[ID_Client]],Clients_Log!B:B,Clients_Log!I:I,"Pas de correspondance")</f>
        <v>4</v>
      </c>
      <c r="V60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05" s="1">
        <f>Logs[[#This Row],[Facture_Mensuelle]]*Logs[[#This Row],[Remise (%)]]</f>
        <v>28.053000000000001</v>
      </c>
    </row>
    <row r="606" spans="1:23" hidden="1" x14ac:dyDescent="0.25">
      <c r="A606" s="1" t="s">
        <v>1241</v>
      </c>
      <c r="B606" s="2">
        <v>45217</v>
      </c>
      <c r="C606" s="1" t="str">
        <f>_xlfn.XLOOKUP(Logs[[#This Row],[Province_RDC]],Clients_Log!D:D,Clients_Log!B:B,"Pas de correspondance")</f>
        <v>Pas de correspondance</v>
      </c>
      <c r="D606" t="str">
        <f>_xlfn.XLOOKUP(Logs[[#This Row],[Cell_ID]],'Registre_Maintenance'!B:B,'Registre_Maintenance'!C:C,"Pas de correspondance")</f>
        <v>Pas de correspondance</v>
      </c>
      <c r="E606" s="3">
        <v>0.86319444444444449</v>
      </c>
      <c r="F606" s="1" t="s">
        <v>1267</v>
      </c>
      <c r="G606" s="3">
        <f>Logs[[#This Row],[Duree_Panne_Min]]/1440</f>
        <v>6.1805555555555558E-2</v>
      </c>
      <c r="H606">
        <v>89</v>
      </c>
      <c r="I606" t="str">
        <f>_xlfn.XLOOKUP(Logs[[#This Row],[Cell_ID]],'Registre_Maintenance'!B:B,'Registre_Maintenance'!D:D,"Pas de correspondance")</f>
        <v>Pas de correspondance</v>
      </c>
      <c r="J606" t="str">
        <f>_xlfn.XLOOKUP(Logs[[#This Row],[Cell_ID]],'Registre_Maintenance'!B:B,'Registre_Maintenance'!E:E,"Pas de correspondance")</f>
        <v>Pas de correspondance</v>
      </c>
      <c r="K606" t="str">
        <f>_xlfn.XLOOKUP(Logs[[#This Row],[Cell_ID]],'Registre_Maintenance'!B:B,'Registre_Maintenance'!F:F,"Pas de correspondance")</f>
        <v>Pas de correspondance</v>
      </c>
      <c r="L606" t="str">
        <f>_xlfn.XLOOKUP(Logs[[#This Row],[Cell_ID]],'Registre_Maintenance'!B:B,'Registre_Maintenance'!G:G,"Pas de correspondance")</f>
        <v>Pas de correspondance</v>
      </c>
      <c r="M606" s="1" t="s">
        <v>806</v>
      </c>
      <c r="N606" s="1" t="str">
        <f>_xlfn.XLOOKUP(Logs[[#This Row],[ID_Client]],Clients_Log!B:B,Clients_Log!E:E,"Pas de correspondance")</f>
        <v>Pas de correspondance</v>
      </c>
      <c r="O606" s="4" t="str">
        <f>IFERROR(Logs[[#This Row],[Anciennete_Mois]]/12,"")</f>
        <v/>
      </c>
      <c r="P606" s="1" t="str">
        <f>_xlfn.XLOOKUP(Logs[[#This Row],[ID_Client]],Clients_Log!B:B,Clients_Log!F:F,"Pas de correspondance")</f>
        <v>Pas de correspondance</v>
      </c>
      <c r="Q606" s="1" t="str">
        <f>IF(Logs[[#This Row],[Type_Forfait]]="Pro Monde","B2B","B2C")</f>
        <v>B2C</v>
      </c>
      <c r="R606" s="1" t="str">
        <f>_xlfn.XLOOKUP(Logs[[#This Row],[ID_Client]],Clients_Log!B:B,Clients_Log!G:G,"Pas de correspondance")</f>
        <v>Pas de correspondance</v>
      </c>
      <c r="S606" s="1" t="e">
        <f>Logs[[#This Row],[Duree_Cumulee_Panne_Min]]/1440</f>
        <v>#VALUE!</v>
      </c>
      <c r="T606" s="1" t="str">
        <f>_xlfn.XLOOKUP(Logs[[#This Row],[ID_Client]],Clients_Log!B:B,Clients_Log!H:H,"Pas de correspondance")</f>
        <v>Pas de correspondance</v>
      </c>
      <c r="U606" s="1" t="str">
        <f>_xlfn.XLOOKUP(Logs[[#This Row],[ID_Client]],Clients_Log!B:B,Clients_Log!I:I,"Pas de correspondance")</f>
        <v>Pas de correspondance</v>
      </c>
      <c r="V60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06" s="1" t="e">
        <f>Logs[[#This Row],[Facture_Mensuelle]]*Logs[[#This Row],[Remise (%)]]</f>
        <v>#VALUE!</v>
      </c>
    </row>
    <row r="607" spans="1:23" x14ac:dyDescent="0.25">
      <c r="A607" s="1" t="s">
        <v>1241</v>
      </c>
      <c r="B607" s="2">
        <v>45210</v>
      </c>
      <c r="C607" s="1" t="str">
        <f>_xlfn.XLOOKUP(Logs[[#This Row],[Province_RDC]],Clients_Log!D:D,Clients_Log!B:B,"Pas de correspondance")</f>
        <v>CLI-01005</v>
      </c>
      <c r="D607" t="str">
        <f>_xlfn.XLOOKUP(Logs[[#This Row],[Cell_ID]],'Registre_Maintenance'!B:B,'Registre_Maintenance'!C:C,"Pas de correspondance")</f>
        <v>Lualaba</v>
      </c>
      <c r="E607" s="3">
        <v>0.36666666666666664</v>
      </c>
      <c r="F607" s="1" t="s">
        <v>1268</v>
      </c>
      <c r="G607" s="3">
        <f>Logs[[#This Row],[Duree_Panne_Min]]/1440</f>
        <v>4.6527777777777779E-2</v>
      </c>
      <c r="H607">
        <v>67</v>
      </c>
      <c r="I607">
        <f>_xlfn.XLOOKUP(Logs[[#This Row],[Cell_ID]],'Registre_Maintenance'!B:B,'Registre_Maintenance'!D:D,"Pas de correspondance")</f>
        <v>-8.0301989999999996</v>
      </c>
      <c r="J607">
        <f>_xlfn.XLOOKUP(Logs[[#This Row],[Cell_ID]],'Registre_Maintenance'!B:B,'Registre_Maintenance'!E:E,"Pas de correspondance")</f>
        <v>24.122495000000001</v>
      </c>
      <c r="K607" t="str">
        <f>_xlfn.XLOOKUP(Logs[[#This Row],[Cell_ID]],'Registre_Maintenance'!B:B,'Registre_Maintenance'!F:F,"Pas de correspondance")</f>
        <v>5G</v>
      </c>
      <c r="L607" t="str">
        <f>_xlfn.XLOOKUP(Logs[[#This Row],[Cell_ID]],'Registre_Maintenance'!B:B,'Registre_Maintenance'!G:G,"Pas de correspondance")</f>
        <v>ZTE</v>
      </c>
      <c r="M607" s="1" t="s">
        <v>809</v>
      </c>
      <c r="N607" s="1">
        <f>_xlfn.XLOOKUP(Logs[[#This Row],[ID_Client]],Clients_Log!B:B,Clients_Log!E:E,"Pas de correspondance")</f>
        <v>80</v>
      </c>
      <c r="O607" s="4">
        <f>IFERROR(Logs[[#This Row],[Anciennete_Mois]]/12,"")</f>
        <v>6.666666666666667</v>
      </c>
      <c r="P607" s="1" t="str">
        <f>_xlfn.XLOOKUP(Logs[[#This Row],[ID_Client]],Clients_Log!B:B,Clients_Log!F:F,"Pas de correspondance")</f>
        <v>Illimité 50Go</v>
      </c>
      <c r="Q607" s="1" t="str">
        <f>IF(Logs[[#This Row],[Type_Forfait]]="Pro Monde","B2B","B2C")</f>
        <v>B2C</v>
      </c>
      <c r="R607" s="1">
        <f>_xlfn.XLOOKUP(Logs[[#This Row],[ID_Client]],Clients_Log!B:B,Clients_Log!G:G,"Pas de correspondance")</f>
        <v>155</v>
      </c>
      <c r="S607" s="3">
        <f>Logs[[#This Row],[Duree_Cumulee_Panne_Min]]/1440</f>
        <v>0.1076388888888889</v>
      </c>
      <c r="T607" s="1">
        <f>_xlfn.XLOOKUP(Logs[[#This Row],[ID_Client]],Clients_Log!B:B,Clients_Log!H:H,"Pas de correspondance")</f>
        <v>28.96</v>
      </c>
      <c r="U607" s="1">
        <f>_xlfn.XLOOKUP(Logs[[#This Row],[ID_Client]],Clients_Log!B:B,Clients_Log!I:I,"Pas de correspondance")</f>
        <v>2</v>
      </c>
      <c r="V60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607" s="1">
        <f>Logs[[#This Row],[Facture_Mensuelle]]*Logs[[#This Row],[Remise (%)]]</f>
        <v>0</v>
      </c>
    </row>
    <row r="608" spans="1:23" hidden="1" x14ac:dyDescent="0.25">
      <c r="A608" s="1" t="s">
        <v>1241</v>
      </c>
      <c r="B608" s="2">
        <v>45226</v>
      </c>
      <c r="C608" s="1" t="str">
        <f>_xlfn.XLOOKUP(Logs[[#This Row],[Province_RDC]],Clients_Log!D:D,Clients_Log!B:B,"Pas de correspondance")</f>
        <v>Pas de correspondance</v>
      </c>
      <c r="D608" t="str">
        <f>_xlfn.XLOOKUP(Logs[[#This Row],[Cell_ID]],'Registre_Maintenance'!B:B,'Registre_Maintenance'!C:C,"Pas de correspondance")</f>
        <v>Pas de correspondance</v>
      </c>
      <c r="E608" s="3">
        <v>0.65694444444444444</v>
      </c>
      <c r="F608" s="1" t="s">
        <v>1058</v>
      </c>
      <c r="G608" s="3">
        <f>Logs[[#This Row],[Duree_Panne_Min]]/1440</f>
        <v>4.8611111111111112E-3</v>
      </c>
      <c r="H608">
        <v>7</v>
      </c>
      <c r="I608" t="str">
        <f>_xlfn.XLOOKUP(Logs[[#This Row],[Cell_ID]],'Registre_Maintenance'!B:B,'Registre_Maintenance'!D:D,"Pas de correspondance")</f>
        <v>Pas de correspondance</v>
      </c>
      <c r="J608" t="str">
        <f>_xlfn.XLOOKUP(Logs[[#This Row],[Cell_ID]],'Registre_Maintenance'!B:B,'Registre_Maintenance'!E:E,"Pas de correspondance")</f>
        <v>Pas de correspondance</v>
      </c>
      <c r="K608" t="str">
        <f>_xlfn.XLOOKUP(Logs[[#This Row],[Cell_ID]],'Registre_Maintenance'!B:B,'Registre_Maintenance'!F:F,"Pas de correspondance")</f>
        <v>Pas de correspondance</v>
      </c>
      <c r="L608" t="str">
        <f>_xlfn.XLOOKUP(Logs[[#This Row],[Cell_ID]],'Registre_Maintenance'!B:B,'Registre_Maintenance'!G:G,"Pas de correspondance")</f>
        <v>Pas de correspondance</v>
      </c>
      <c r="M608" s="1" t="s">
        <v>806</v>
      </c>
      <c r="N608" s="1" t="str">
        <f>_xlfn.XLOOKUP(Logs[[#This Row],[ID_Client]],Clients_Log!B:B,Clients_Log!E:E,"Pas de correspondance")</f>
        <v>Pas de correspondance</v>
      </c>
      <c r="O608" s="4" t="str">
        <f>IFERROR(Logs[[#This Row],[Anciennete_Mois]]/12,"")</f>
        <v/>
      </c>
      <c r="P608" s="1" t="str">
        <f>_xlfn.XLOOKUP(Logs[[#This Row],[ID_Client]],Clients_Log!B:B,Clients_Log!F:F,"Pas de correspondance")</f>
        <v>Pas de correspondance</v>
      </c>
      <c r="Q608" s="1" t="str">
        <f>IF(Logs[[#This Row],[Type_Forfait]]="Pro Monde","B2B","B2C")</f>
        <v>B2C</v>
      </c>
      <c r="R608" s="1" t="str">
        <f>_xlfn.XLOOKUP(Logs[[#This Row],[ID_Client]],Clients_Log!B:B,Clients_Log!G:G,"Pas de correspondance")</f>
        <v>Pas de correspondance</v>
      </c>
      <c r="S608" s="1" t="e">
        <f>Logs[[#This Row],[Duree_Cumulee_Panne_Min]]/1440</f>
        <v>#VALUE!</v>
      </c>
      <c r="T608" s="1" t="str">
        <f>_xlfn.XLOOKUP(Logs[[#This Row],[ID_Client]],Clients_Log!B:B,Clients_Log!H:H,"Pas de correspondance")</f>
        <v>Pas de correspondance</v>
      </c>
      <c r="U608" s="1" t="str">
        <f>_xlfn.XLOOKUP(Logs[[#This Row],[ID_Client]],Clients_Log!B:B,Clients_Log!I:I,"Pas de correspondance")</f>
        <v>Pas de correspondance</v>
      </c>
      <c r="V60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08" s="1" t="e">
        <f>Logs[[#This Row],[Facture_Mensuelle]]*Logs[[#This Row],[Remise (%)]]</f>
        <v>#VALUE!</v>
      </c>
    </row>
    <row r="609" spans="1:23" hidden="1" x14ac:dyDescent="0.25">
      <c r="A609" s="1" t="s">
        <v>1269</v>
      </c>
      <c r="B609" s="2">
        <v>45224</v>
      </c>
      <c r="C609" s="1" t="str">
        <f>_xlfn.XLOOKUP(Logs[[#This Row],[Province_RDC]],Clients_Log!D:D,Clients_Log!B:B,"Pas de correspondance")</f>
        <v>Pas de correspondance</v>
      </c>
      <c r="D609" t="str">
        <f>_xlfn.XLOOKUP(Logs[[#This Row],[Cell_ID]],'Registre_Maintenance'!B:B,'Registre_Maintenance'!C:C,"Pas de correspondance")</f>
        <v>Pas de correspondance</v>
      </c>
      <c r="E609" s="3">
        <v>0.96388888888888891</v>
      </c>
      <c r="F609" s="1" t="s">
        <v>1270</v>
      </c>
      <c r="G609" s="3">
        <f>Logs[[#This Row],[Duree_Panne_Min]]/1440</f>
        <v>5.7638888888888892E-2</v>
      </c>
      <c r="H609">
        <v>83</v>
      </c>
      <c r="I609" t="str">
        <f>_xlfn.XLOOKUP(Logs[[#This Row],[Cell_ID]],'Registre_Maintenance'!B:B,'Registre_Maintenance'!D:D,"Pas de correspondance")</f>
        <v>Pas de correspondance</v>
      </c>
      <c r="J609" t="str">
        <f>_xlfn.XLOOKUP(Logs[[#This Row],[Cell_ID]],'Registre_Maintenance'!B:B,'Registre_Maintenance'!E:E,"Pas de correspondance")</f>
        <v>Pas de correspondance</v>
      </c>
      <c r="K609" t="str">
        <f>_xlfn.XLOOKUP(Logs[[#This Row],[Cell_ID]],'Registre_Maintenance'!B:B,'Registre_Maintenance'!F:F,"Pas de correspondance")</f>
        <v>Pas de correspondance</v>
      </c>
      <c r="L609" t="str">
        <f>_xlfn.XLOOKUP(Logs[[#This Row],[Cell_ID]],'Registre_Maintenance'!B:B,'Registre_Maintenance'!G:G,"Pas de correspondance")</f>
        <v>Pas de correspondance</v>
      </c>
      <c r="M609" s="1" t="s">
        <v>809</v>
      </c>
      <c r="N609" s="1" t="str">
        <f>_xlfn.XLOOKUP(Logs[[#This Row],[ID_Client]],Clients_Log!B:B,Clients_Log!E:E,"Pas de correspondance")</f>
        <v>Pas de correspondance</v>
      </c>
      <c r="O609" s="4" t="str">
        <f>IFERROR(Logs[[#This Row],[Anciennete_Mois]]/12,"")</f>
        <v/>
      </c>
      <c r="P609" s="1" t="str">
        <f>_xlfn.XLOOKUP(Logs[[#This Row],[ID_Client]],Clients_Log!B:B,Clients_Log!F:F,"Pas de correspondance")</f>
        <v>Pas de correspondance</v>
      </c>
      <c r="Q609" s="1" t="str">
        <f>IF(Logs[[#This Row],[Type_Forfait]]="Pro Monde","B2B","B2C")</f>
        <v>B2C</v>
      </c>
      <c r="R609" s="1" t="str">
        <f>_xlfn.XLOOKUP(Logs[[#This Row],[ID_Client]],Clients_Log!B:B,Clients_Log!G:G,"Pas de correspondance")</f>
        <v>Pas de correspondance</v>
      </c>
      <c r="S609" s="1" t="e">
        <f>Logs[[#This Row],[Duree_Cumulee_Panne_Min]]/1440</f>
        <v>#VALUE!</v>
      </c>
      <c r="T609" s="1" t="str">
        <f>_xlfn.XLOOKUP(Logs[[#This Row],[ID_Client]],Clients_Log!B:B,Clients_Log!H:H,"Pas de correspondance")</f>
        <v>Pas de correspondance</v>
      </c>
      <c r="U609" s="1" t="str">
        <f>_xlfn.XLOOKUP(Logs[[#This Row],[ID_Client]],Clients_Log!B:B,Clients_Log!I:I,"Pas de correspondance")</f>
        <v>Pas de correspondance</v>
      </c>
      <c r="V60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09" s="1" t="e">
        <f>Logs[[#This Row],[Facture_Mensuelle]]*Logs[[#This Row],[Remise (%)]]</f>
        <v>#VALUE!</v>
      </c>
    </row>
    <row r="610" spans="1:23" x14ac:dyDescent="0.25">
      <c r="A610" s="1" t="s">
        <v>1269</v>
      </c>
      <c r="B610" s="2">
        <v>45225</v>
      </c>
      <c r="C610" s="1" t="str">
        <f>_xlfn.XLOOKUP(Logs[[#This Row],[Province_RDC]],Clients_Log!D:D,Clients_Log!B:B,"Pas de correspondance")</f>
        <v>CLI-00569</v>
      </c>
      <c r="D610" t="str">
        <f>_xlfn.XLOOKUP(Logs[[#This Row],[Cell_ID]],'Registre_Maintenance'!B:B,'Registre_Maintenance'!C:C,"Pas de correspondance")</f>
        <v>Kwango</v>
      </c>
      <c r="E610" s="3">
        <v>0.94861111111111107</v>
      </c>
      <c r="F610" s="1" t="s">
        <v>1271</v>
      </c>
      <c r="G610" s="3">
        <f>Logs[[#This Row],[Duree_Panne_Min]]/1440</f>
        <v>2.0833333333333332E-2</v>
      </c>
      <c r="H610">
        <v>30</v>
      </c>
      <c r="I610">
        <f>_xlfn.XLOOKUP(Logs[[#This Row],[Cell_ID]],'Registre_Maintenance'!B:B,'Registre_Maintenance'!D:D,"Pas de correspondance")</f>
        <v>-10.653247</v>
      </c>
      <c r="J610">
        <f>_xlfn.XLOOKUP(Logs[[#This Row],[Cell_ID]],'Registre_Maintenance'!B:B,'Registre_Maintenance'!E:E,"Pas de correspondance")</f>
        <v>14.685601</v>
      </c>
      <c r="K610" t="str">
        <f>_xlfn.XLOOKUP(Logs[[#This Row],[Cell_ID]],'Registre_Maintenance'!B:B,'Registre_Maintenance'!F:F,"Pas de correspondance")</f>
        <v>4G</v>
      </c>
      <c r="L610" t="str">
        <f>_xlfn.XLOOKUP(Logs[[#This Row],[Cell_ID]],'Registre_Maintenance'!B:B,'Registre_Maintenance'!G:G,"Pas de correspondance")</f>
        <v>Ericsson</v>
      </c>
      <c r="M610" s="1" t="s">
        <v>806</v>
      </c>
      <c r="N610" s="1">
        <f>_xlfn.XLOOKUP(Logs[[#This Row],[ID_Client]],Clients_Log!B:B,Clients_Log!E:E,"Pas de correspondance")</f>
        <v>110</v>
      </c>
      <c r="O610" s="4">
        <f>IFERROR(Logs[[#This Row],[Anciennete_Mois]]/12,"")</f>
        <v>9.1666666666666661</v>
      </c>
      <c r="P610" s="1" t="str">
        <f>_xlfn.XLOOKUP(Logs[[#This Row],[ID_Client]],Clients_Log!B:B,Clients_Log!F:F,"Pas de correspondance")</f>
        <v>Pro Monde</v>
      </c>
      <c r="Q610" s="1" t="str">
        <f>IF(Logs[[#This Row],[Type_Forfait]]="Pro Monde","B2B","B2C")</f>
        <v>B2B</v>
      </c>
      <c r="R610" s="1">
        <f>_xlfn.XLOOKUP(Logs[[#This Row],[ID_Client]],Clients_Log!B:B,Clients_Log!G:G,"Pas de correspondance")</f>
        <v>423</v>
      </c>
      <c r="S610" s="3">
        <f>Logs[[#This Row],[Duree_Cumulee_Panne_Min]]/1440</f>
        <v>0.29375000000000001</v>
      </c>
      <c r="T610" s="1">
        <f>_xlfn.XLOOKUP(Logs[[#This Row],[ID_Client]],Clients_Log!B:B,Clients_Log!H:H,"Pas de correspondance")</f>
        <v>37.35</v>
      </c>
      <c r="U610" s="1">
        <f>_xlfn.XLOOKUP(Logs[[#This Row],[ID_Client]],Clients_Log!B:B,Clients_Log!I:I,"Pas de correspondance")</f>
        <v>4</v>
      </c>
      <c r="V61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10" s="1">
        <f>Logs[[#This Row],[Facture_Mensuelle]]*Logs[[#This Row],[Remise (%)]]</f>
        <v>16.807500000000001</v>
      </c>
    </row>
    <row r="611" spans="1:23" x14ac:dyDescent="0.25">
      <c r="A611" s="1" t="s">
        <v>1269</v>
      </c>
      <c r="B611" s="2">
        <v>45202</v>
      </c>
      <c r="C611" s="1" t="str">
        <f>_xlfn.XLOOKUP(Logs[[#This Row],[Province_RDC]],Clients_Log!D:D,Clients_Log!B:B,"Pas de correspondance")</f>
        <v>CLI-00745</v>
      </c>
      <c r="D611" t="str">
        <f>_xlfn.XLOOKUP(Logs[[#This Row],[Cell_ID]],'Registre_Maintenance'!B:B,'Registre_Maintenance'!C:C,"Pas de correspondance")</f>
        <v>Tshopo</v>
      </c>
      <c r="E611" s="3">
        <v>0.69930555555555551</v>
      </c>
      <c r="F611" s="1" t="s">
        <v>1272</v>
      </c>
      <c r="G611" s="3">
        <f>Logs[[#This Row],[Duree_Panne_Min]]/1440</f>
        <v>4.3749999999999997E-2</v>
      </c>
      <c r="H611">
        <v>63</v>
      </c>
      <c r="I611">
        <f>_xlfn.XLOOKUP(Logs[[#This Row],[Cell_ID]],'Registre_Maintenance'!B:B,'Registre_Maintenance'!D:D,"Pas de correspondance")</f>
        <v>1.400674</v>
      </c>
      <c r="J611">
        <f>_xlfn.XLOOKUP(Logs[[#This Row],[Cell_ID]],'Registre_Maintenance'!B:B,'Registre_Maintenance'!E:E,"Pas de correspondance")</f>
        <v>13.503126999999999</v>
      </c>
      <c r="K611" t="str">
        <f>_xlfn.XLOOKUP(Logs[[#This Row],[Cell_ID]],'Registre_Maintenance'!B:B,'Registre_Maintenance'!F:F,"Pas de correspondance")</f>
        <v>5G</v>
      </c>
      <c r="L611" t="str">
        <f>_xlfn.XLOOKUP(Logs[[#This Row],[Cell_ID]],'Registre_Maintenance'!B:B,'Registre_Maintenance'!G:G,"Pas de correspondance")</f>
        <v>ZTE</v>
      </c>
      <c r="M611" s="1" t="s">
        <v>809</v>
      </c>
      <c r="N611" s="1">
        <f>_xlfn.XLOOKUP(Logs[[#This Row],[ID_Client]],Clients_Log!B:B,Clients_Log!E:E,"Pas de correspondance")</f>
        <v>6</v>
      </c>
      <c r="O611" s="4">
        <f>IFERROR(Logs[[#This Row],[Anciennete_Mois]]/12,"")</f>
        <v>0.5</v>
      </c>
      <c r="P611" s="1" t="str">
        <f>_xlfn.XLOOKUP(Logs[[#This Row],[ID_Client]],Clients_Log!B:B,Clients_Log!F:F,"Pas de correspondance")</f>
        <v>Premium 5G 150Go</v>
      </c>
      <c r="Q611" s="1" t="str">
        <f>IF(Logs[[#This Row],[Type_Forfait]]="Pro Monde","B2B","B2C")</f>
        <v>B2C</v>
      </c>
      <c r="R611" s="1">
        <f>_xlfn.XLOOKUP(Logs[[#This Row],[ID_Client]],Clients_Log!B:B,Clients_Log!G:G,"Pas de correspondance")</f>
        <v>207</v>
      </c>
      <c r="S611" s="3">
        <f>Logs[[#This Row],[Duree_Cumulee_Panne_Min]]/1440</f>
        <v>0.14374999999999999</v>
      </c>
      <c r="T611" s="1">
        <f>_xlfn.XLOOKUP(Logs[[#This Row],[ID_Client]],Clients_Log!B:B,Clients_Log!H:H,"Pas de correspondance")</f>
        <v>61.55</v>
      </c>
      <c r="U611" s="1">
        <f>_xlfn.XLOOKUP(Logs[[#This Row],[ID_Client]],Clients_Log!B:B,Clients_Log!I:I,"Pas de correspondance")</f>
        <v>0</v>
      </c>
      <c r="V61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11" s="1">
        <f>Logs[[#This Row],[Facture_Mensuelle]]*Logs[[#This Row],[Remise (%)]]</f>
        <v>27.697499999999998</v>
      </c>
    </row>
    <row r="612" spans="1:23" x14ac:dyDescent="0.25">
      <c r="A612" s="1" t="s">
        <v>1269</v>
      </c>
      <c r="B612" s="2">
        <v>45211</v>
      </c>
      <c r="C612" s="1" t="str">
        <f>_xlfn.XLOOKUP(Logs[[#This Row],[Province_RDC]],Clients_Log!D:D,Clients_Log!B:B,"Pas de correspondance")</f>
        <v>CLI-00865</v>
      </c>
      <c r="D612" t="str">
        <f>_xlfn.XLOOKUP(Logs[[#This Row],[Cell_ID]],'Registre_Maintenance'!B:B,'Registre_Maintenance'!C:C,"Pas de correspondance")</f>
        <v>Mongala</v>
      </c>
      <c r="E612" s="3">
        <v>4.583333333333333E-2</v>
      </c>
      <c r="F612" s="1" t="s">
        <v>1115</v>
      </c>
      <c r="G612" s="3">
        <f>Logs[[#This Row],[Duree_Panne_Min]]/1440</f>
        <v>1.2500000000000001E-2</v>
      </c>
      <c r="H612">
        <v>18</v>
      </c>
      <c r="I612">
        <f>_xlfn.XLOOKUP(Logs[[#This Row],[Cell_ID]],'Registre_Maintenance'!B:B,'Registre_Maintenance'!D:D,"Pas de correspondance")</f>
        <v>-5.3762689999999997</v>
      </c>
      <c r="J612">
        <f>_xlfn.XLOOKUP(Logs[[#This Row],[Cell_ID]],'Registre_Maintenance'!B:B,'Registre_Maintenance'!E:E,"Pas de correspondance")</f>
        <v>28.189575999999999</v>
      </c>
      <c r="K612" t="str">
        <f>_xlfn.XLOOKUP(Logs[[#This Row],[Cell_ID]],'Registre_Maintenance'!B:B,'Registre_Maintenance'!F:F,"Pas de correspondance")</f>
        <v>5G</v>
      </c>
      <c r="L612" t="str">
        <f>_xlfn.XLOOKUP(Logs[[#This Row],[Cell_ID]],'Registre_Maintenance'!B:B,'Registre_Maintenance'!G:G,"Pas de correspondance")</f>
        <v>Huawei</v>
      </c>
      <c r="M612" s="1" t="s">
        <v>811</v>
      </c>
      <c r="N612" s="1">
        <f>_xlfn.XLOOKUP(Logs[[#This Row],[ID_Client]],Clients_Log!B:B,Clients_Log!E:E,"Pas de correspondance")</f>
        <v>34</v>
      </c>
      <c r="O612" s="4">
        <f>IFERROR(Logs[[#This Row],[Anciennete_Mois]]/12,"")</f>
        <v>2.8333333333333335</v>
      </c>
      <c r="P612" s="1" t="str">
        <f>_xlfn.XLOOKUP(Logs[[#This Row],[ID_Client]],Clients_Log!B:B,Clients_Log!F:F,"Pas de correspondance")</f>
        <v>Pro Monde</v>
      </c>
      <c r="Q612" s="1" t="str">
        <f>IF(Logs[[#This Row],[Type_Forfait]]="Pro Monde","B2B","B2C")</f>
        <v>B2B</v>
      </c>
      <c r="R612" s="1">
        <f>_xlfn.XLOOKUP(Logs[[#This Row],[ID_Client]],Clients_Log!B:B,Clients_Log!G:G,"Pas de correspondance")</f>
        <v>453</v>
      </c>
      <c r="S612" s="3">
        <f>Logs[[#This Row],[Duree_Cumulee_Panne_Min]]/1440</f>
        <v>0.31458333333333333</v>
      </c>
      <c r="T612" s="1">
        <f>_xlfn.XLOOKUP(Logs[[#This Row],[ID_Client]],Clients_Log!B:B,Clients_Log!H:H,"Pas de correspondance")</f>
        <v>56.84</v>
      </c>
      <c r="U612" s="1">
        <f>_xlfn.XLOOKUP(Logs[[#This Row],[ID_Client]],Clients_Log!B:B,Clients_Log!I:I,"Pas de correspondance")</f>
        <v>0</v>
      </c>
      <c r="V61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12" s="1">
        <f>Logs[[#This Row],[Facture_Mensuelle]]*Logs[[#This Row],[Remise (%)]]</f>
        <v>25.578000000000003</v>
      </c>
    </row>
    <row r="613" spans="1:23" hidden="1" x14ac:dyDescent="0.25">
      <c r="A613" s="1" t="s">
        <v>1269</v>
      </c>
      <c r="B613" s="2">
        <v>45213</v>
      </c>
      <c r="C613" s="1" t="str">
        <f>_xlfn.XLOOKUP(Logs[[#This Row],[Province_RDC]],Clients_Log!D:D,Clients_Log!B:B,"Pas de correspondance")</f>
        <v>Pas de correspondance</v>
      </c>
      <c r="D613" t="str">
        <f>_xlfn.XLOOKUP(Logs[[#This Row],[Cell_ID]],'Registre_Maintenance'!B:B,'Registre_Maintenance'!C:C,"Pas de correspondance")</f>
        <v>Pas de correspondance</v>
      </c>
      <c r="E613" s="3">
        <v>0.32847222222222222</v>
      </c>
      <c r="F613" s="1" t="s">
        <v>1273</v>
      </c>
      <c r="G613" s="3">
        <f>Logs[[#This Row],[Duree_Panne_Min]]/1440</f>
        <v>1.5277777777777777E-2</v>
      </c>
      <c r="H613">
        <v>22</v>
      </c>
      <c r="I613" t="str">
        <f>_xlfn.XLOOKUP(Logs[[#This Row],[Cell_ID]],'Registre_Maintenance'!B:B,'Registre_Maintenance'!D:D,"Pas de correspondance")</f>
        <v>Pas de correspondance</v>
      </c>
      <c r="J613" t="str">
        <f>_xlfn.XLOOKUP(Logs[[#This Row],[Cell_ID]],'Registre_Maintenance'!B:B,'Registre_Maintenance'!E:E,"Pas de correspondance")</f>
        <v>Pas de correspondance</v>
      </c>
      <c r="K613" t="str">
        <f>_xlfn.XLOOKUP(Logs[[#This Row],[Cell_ID]],'Registre_Maintenance'!B:B,'Registre_Maintenance'!F:F,"Pas de correspondance")</f>
        <v>Pas de correspondance</v>
      </c>
      <c r="L613" t="str">
        <f>_xlfn.XLOOKUP(Logs[[#This Row],[Cell_ID]],'Registre_Maintenance'!B:B,'Registre_Maintenance'!G:G,"Pas de correspondance")</f>
        <v>Pas de correspondance</v>
      </c>
      <c r="M613" s="1" t="s">
        <v>811</v>
      </c>
      <c r="N613" s="1" t="str">
        <f>_xlfn.XLOOKUP(Logs[[#This Row],[ID_Client]],Clients_Log!B:B,Clients_Log!E:E,"Pas de correspondance")</f>
        <v>Pas de correspondance</v>
      </c>
      <c r="O613" s="4" t="str">
        <f>IFERROR(Logs[[#This Row],[Anciennete_Mois]]/12,"")</f>
        <v/>
      </c>
      <c r="P613" s="1" t="str">
        <f>_xlfn.XLOOKUP(Logs[[#This Row],[ID_Client]],Clients_Log!B:B,Clients_Log!F:F,"Pas de correspondance")</f>
        <v>Pas de correspondance</v>
      </c>
      <c r="Q613" s="1" t="str">
        <f>IF(Logs[[#This Row],[Type_Forfait]]="Pro Monde","B2B","B2C")</f>
        <v>B2C</v>
      </c>
      <c r="R613" s="1" t="str">
        <f>_xlfn.XLOOKUP(Logs[[#This Row],[ID_Client]],Clients_Log!B:B,Clients_Log!G:G,"Pas de correspondance")</f>
        <v>Pas de correspondance</v>
      </c>
      <c r="S613" s="1" t="e">
        <f>Logs[[#This Row],[Duree_Cumulee_Panne_Min]]/1440</f>
        <v>#VALUE!</v>
      </c>
      <c r="T613" s="1" t="str">
        <f>_xlfn.XLOOKUP(Logs[[#This Row],[ID_Client]],Clients_Log!B:B,Clients_Log!H:H,"Pas de correspondance")</f>
        <v>Pas de correspondance</v>
      </c>
      <c r="U613" s="1" t="str">
        <f>_xlfn.XLOOKUP(Logs[[#This Row],[ID_Client]],Clients_Log!B:B,Clients_Log!I:I,"Pas de correspondance")</f>
        <v>Pas de correspondance</v>
      </c>
      <c r="V61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13" s="1" t="e">
        <f>Logs[[#This Row],[Facture_Mensuelle]]*Logs[[#This Row],[Remise (%)]]</f>
        <v>#VALUE!</v>
      </c>
    </row>
    <row r="614" spans="1:23" hidden="1" x14ac:dyDescent="0.25">
      <c r="A614" s="1" t="s">
        <v>1269</v>
      </c>
      <c r="B614" s="2">
        <v>45202</v>
      </c>
      <c r="C614" s="1" t="str">
        <f>_xlfn.XLOOKUP(Logs[[#This Row],[Province_RDC]],Clients_Log!D:D,Clients_Log!B:B,"Pas de correspondance")</f>
        <v>Pas de correspondance</v>
      </c>
      <c r="D614" t="str">
        <f>_xlfn.XLOOKUP(Logs[[#This Row],[Cell_ID]],'Registre_Maintenance'!B:B,'Registre_Maintenance'!C:C,"Pas de correspondance")</f>
        <v>Pas de correspondance</v>
      </c>
      <c r="E614" s="3">
        <v>0.44305555555555554</v>
      </c>
      <c r="F614" s="1" t="s">
        <v>1185</v>
      </c>
      <c r="G614" s="3">
        <f>Logs[[#This Row],[Duree_Panne_Min]]/1440</f>
        <v>2.9861111111111113E-2</v>
      </c>
      <c r="H614">
        <v>43</v>
      </c>
      <c r="I614" t="str">
        <f>_xlfn.XLOOKUP(Logs[[#This Row],[Cell_ID]],'Registre_Maintenance'!B:B,'Registre_Maintenance'!D:D,"Pas de correspondance")</f>
        <v>Pas de correspondance</v>
      </c>
      <c r="J614" t="str">
        <f>_xlfn.XLOOKUP(Logs[[#This Row],[Cell_ID]],'Registre_Maintenance'!B:B,'Registre_Maintenance'!E:E,"Pas de correspondance")</f>
        <v>Pas de correspondance</v>
      </c>
      <c r="K614" t="str">
        <f>_xlfn.XLOOKUP(Logs[[#This Row],[Cell_ID]],'Registre_Maintenance'!B:B,'Registre_Maintenance'!F:F,"Pas de correspondance")</f>
        <v>Pas de correspondance</v>
      </c>
      <c r="L614" t="str">
        <f>_xlfn.XLOOKUP(Logs[[#This Row],[Cell_ID]],'Registre_Maintenance'!B:B,'Registre_Maintenance'!G:G,"Pas de correspondance")</f>
        <v>Pas de correspondance</v>
      </c>
      <c r="M614" s="1" t="s">
        <v>806</v>
      </c>
      <c r="N614" s="1" t="str">
        <f>_xlfn.XLOOKUP(Logs[[#This Row],[ID_Client]],Clients_Log!B:B,Clients_Log!E:E,"Pas de correspondance")</f>
        <v>Pas de correspondance</v>
      </c>
      <c r="O614" s="4" t="str">
        <f>IFERROR(Logs[[#This Row],[Anciennete_Mois]]/12,"")</f>
        <v/>
      </c>
      <c r="P614" s="1" t="str">
        <f>_xlfn.XLOOKUP(Logs[[#This Row],[ID_Client]],Clients_Log!B:B,Clients_Log!F:F,"Pas de correspondance")</f>
        <v>Pas de correspondance</v>
      </c>
      <c r="Q614" s="1" t="str">
        <f>IF(Logs[[#This Row],[Type_Forfait]]="Pro Monde","B2B","B2C")</f>
        <v>B2C</v>
      </c>
      <c r="R614" s="1" t="str">
        <f>_xlfn.XLOOKUP(Logs[[#This Row],[ID_Client]],Clients_Log!B:B,Clients_Log!G:G,"Pas de correspondance")</f>
        <v>Pas de correspondance</v>
      </c>
      <c r="S614" s="1" t="e">
        <f>Logs[[#This Row],[Duree_Cumulee_Panne_Min]]/1440</f>
        <v>#VALUE!</v>
      </c>
      <c r="T614" s="1" t="str">
        <f>_xlfn.XLOOKUP(Logs[[#This Row],[ID_Client]],Clients_Log!B:B,Clients_Log!H:H,"Pas de correspondance")</f>
        <v>Pas de correspondance</v>
      </c>
      <c r="U614" s="1" t="str">
        <f>_xlfn.XLOOKUP(Logs[[#This Row],[ID_Client]],Clients_Log!B:B,Clients_Log!I:I,"Pas de correspondance")</f>
        <v>Pas de correspondance</v>
      </c>
      <c r="V61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14" s="1" t="e">
        <f>Logs[[#This Row],[Facture_Mensuelle]]*Logs[[#This Row],[Remise (%)]]</f>
        <v>#VALUE!</v>
      </c>
    </row>
    <row r="615" spans="1:23" hidden="1" x14ac:dyDescent="0.25">
      <c r="A615" s="1" t="s">
        <v>1269</v>
      </c>
      <c r="B615" s="2">
        <v>45224</v>
      </c>
      <c r="C615" s="1" t="str">
        <f>_xlfn.XLOOKUP(Logs[[#This Row],[Province_RDC]],Clients_Log!D:D,Clients_Log!B:B,"Pas de correspondance")</f>
        <v>Pas de correspondance</v>
      </c>
      <c r="D615" t="str">
        <f>_xlfn.XLOOKUP(Logs[[#This Row],[Cell_ID]],'Registre_Maintenance'!B:B,'Registre_Maintenance'!C:C,"Pas de correspondance")</f>
        <v>Pas de correspondance</v>
      </c>
      <c r="E615" s="3">
        <v>0.81805555555555554</v>
      </c>
      <c r="F615" s="1" t="s">
        <v>1028</v>
      </c>
      <c r="G615" s="3">
        <f>Logs[[#This Row],[Duree_Panne_Min]]/1440</f>
        <v>3.472222222222222E-3</v>
      </c>
      <c r="H615">
        <v>5</v>
      </c>
      <c r="I615" t="str">
        <f>_xlfn.XLOOKUP(Logs[[#This Row],[Cell_ID]],'Registre_Maintenance'!B:B,'Registre_Maintenance'!D:D,"Pas de correspondance")</f>
        <v>Pas de correspondance</v>
      </c>
      <c r="J615" t="str">
        <f>_xlfn.XLOOKUP(Logs[[#This Row],[Cell_ID]],'Registre_Maintenance'!B:B,'Registre_Maintenance'!E:E,"Pas de correspondance")</f>
        <v>Pas de correspondance</v>
      </c>
      <c r="K615" t="str">
        <f>_xlfn.XLOOKUP(Logs[[#This Row],[Cell_ID]],'Registre_Maintenance'!B:B,'Registre_Maintenance'!F:F,"Pas de correspondance")</f>
        <v>Pas de correspondance</v>
      </c>
      <c r="L615" t="str">
        <f>_xlfn.XLOOKUP(Logs[[#This Row],[Cell_ID]],'Registre_Maintenance'!B:B,'Registre_Maintenance'!G:G,"Pas de correspondance")</f>
        <v>Pas de correspondance</v>
      </c>
      <c r="M615" s="1" t="s">
        <v>811</v>
      </c>
      <c r="N615" s="1" t="str">
        <f>_xlfn.XLOOKUP(Logs[[#This Row],[ID_Client]],Clients_Log!B:B,Clients_Log!E:E,"Pas de correspondance")</f>
        <v>Pas de correspondance</v>
      </c>
      <c r="O615" s="4" t="str">
        <f>IFERROR(Logs[[#This Row],[Anciennete_Mois]]/12,"")</f>
        <v/>
      </c>
      <c r="P615" s="1" t="str">
        <f>_xlfn.XLOOKUP(Logs[[#This Row],[ID_Client]],Clients_Log!B:B,Clients_Log!F:F,"Pas de correspondance")</f>
        <v>Pas de correspondance</v>
      </c>
      <c r="Q615" s="1" t="str">
        <f>IF(Logs[[#This Row],[Type_Forfait]]="Pro Monde","B2B","B2C")</f>
        <v>B2C</v>
      </c>
      <c r="R615" s="1" t="str">
        <f>_xlfn.XLOOKUP(Logs[[#This Row],[ID_Client]],Clients_Log!B:B,Clients_Log!G:G,"Pas de correspondance")</f>
        <v>Pas de correspondance</v>
      </c>
      <c r="S615" s="1" t="e">
        <f>Logs[[#This Row],[Duree_Cumulee_Panne_Min]]/1440</f>
        <v>#VALUE!</v>
      </c>
      <c r="T615" s="1" t="str">
        <f>_xlfn.XLOOKUP(Logs[[#This Row],[ID_Client]],Clients_Log!B:B,Clients_Log!H:H,"Pas de correspondance")</f>
        <v>Pas de correspondance</v>
      </c>
      <c r="U615" s="1" t="str">
        <f>_xlfn.XLOOKUP(Logs[[#This Row],[ID_Client]],Clients_Log!B:B,Clients_Log!I:I,"Pas de correspondance")</f>
        <v>Pas de correspondance</v>
      </c>
      <c r="V61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15" s="1" t="e">
        <f>Logs[[#This Row],[Facture_Mensuelle]]*Logs[[#This Row],[Remise (%)]]</f>
        <v>#VALUE!</v>
      </c>
    </row>
    <row r="616" spans="1:23" x14ac:dyDescent="0.25">
      <c r="A616" s="1" t="s">
        <v>1269</v>
      </c>
      <c r="B616" s="2">
        <v>45212</v>
      </c>
      <c r="C616" s="1" t="str">
        <f>_xlfn.XLOOKUP(Logs[[#This Row],[Province_RDC]],Clients_Log!D:D,Clients_Log!B:B,"Pas de correspondance")</f>
        <v>CLI-00185</v>
      </c>
      <c r="D616" t="str">
        <f>_xlfn.XLOOKUP(Logs[[#This Row],[Cell_ID]],'Registre_Maintenance'!B:B,'Registre_Maintenance'!C:C,"Pas de correspondance")</f>
        <v>Maniema</v>
      </c>
      <c r="E616" s="3">
        <v>0.41736111111111113</v>
      </c>
      <c r="F616" s="1" t="s">
        <v>1274</v>
      </c>
      <c r="G616" s="3">
        <f>Logs[[#This Row],[Duree_Panne_Min]]/1440</f>
        <v>3.8194444444444448E-2</v>
      </c>
      <c r="H616">
        <v>55</v>
      </c>
      <c r="I616">
        <f>_xlfn.XLOOKUP(Logs[[#This Row],[Cell_ID]],'Registre_Maintenance'!B:B,'Registre_Maintenance'!D:D,"Pas de correspondance")</f>
        <v>1.938083</v>
      </c>
      <c r="J616">
        <f>_xlfn.XLOOKUP(Logs[[#This Row],[Cell_ID]],'Registre_Maintenance'!B:B,'Registre_Maintenance'!E:E,"Pas de correspondance")</f>
        <v>28.25281</v>
      </c>
      <c r="K616" t="str">
        <f>_xlfn.XLOOKUP(Logs[[#This Row],[Cell_ID]],'Registre_Maintenance'!B:B,'Registre_Maintenance'!F:F,"Pas de correspondance")</f>
        <v>4G</v>
      </c>
      <c r="L616" t="str">
        <f>_xlfn.XLOOKUP(Logs[[#This Row],[Cell_ID]],'Registre_Maintenance'!B:B,'Registre_Maintenance'!G:G,"Pas de correspondance")</f>
        <v>Nokia</v>
      </c>
      <c r="M616" s="1" t="s">
        <v>809</v>
      </c>
      <c r="N616" s="1">
        <f>_xlfn.XLOOKUP(Logs[[#This Row],[ID_Client]],Clients_Log!B:B,Clients_Log!E:E,"Pas de correspondance")</f>
        <v>81</v>
      </c>
      <c r="O616" s="4">
        <f>IFERROR(Logs[[#This Row],[Anciennete_Mois]]/12,"")</f>
        <v>6.75</v>
      </c>
      <c r="P616" s="1" t="str">
        <f>_xlfn.XLOOKUP(Logs[[#This Row],[ID_Client]],Clients_Log!B:B,Clients_Log!F:F,"Pas de correspondance")</f>
        <v>Pro Monde</v>
      </c>
      <c r="Q616" s="1" t="str">
        <f>IF(Logs[[#This Row],[Type_Forfait]]="Pro Monde","B2B","B2C")</f>
        <v>B2B</v>
      </c>
      <c r="R616" s="1">
        <f>_xlfn.XLOOKUP(Logs[[#This Row],[ID_Client]],Clients_Log!B:B,Clients_Log!G:G,"Pas de correspondance")</f>
        <v>154</v>
      </c>
      <c r="S616" s="3">
        <f>Logs[[#This Row],[Duree_Cumulee_Panne_Min]]/1440</f>
        <v>0.10694444444444444</v>
      </c>
      <c r="T616" s="1">
        <f>_xlfn.XLOOKUP(Logs[[#This Row],[ID_Client]],Clients_Log!B:B,Clients_Log!H:H,"Pas de correspondance")</f>
        <v>19.47</v>
      </c>
      <c r="U616" s="1">
        <f>_xlfn.XLOOKUP(Logs[[#This Row],[ID_Client]],Clients_Log!B:B,Clients_Log!I:I,"Pas de correspondance")</f>
        <v>3</v>
      </c>
      <c r="V61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616" s="1">
        <f>Logs[[#This Row],[Facture_Mensuelle]]*Logs[[#This Row],[Remise (%)]]</f>
        <v>1.9470000000000001</v>
      </c>
    </row>
    <row r="617" spans="1:23" hidden="1" x14ac:dyDescent="0.25">
      <c r="A617" s="1" t="s">
        <v>1269</v>
      </c>
      <c r="B617" s="2">
        <v>45220</v>
      </c>
      <c r="C617" s="1" t="str">
        <f>_xlfn.XLOOKUP(Logs[[#This Row],[Province_RDC]],Clients_Log!D:D,Clients_Log!B:B,"Pas de correspondance")</f>
        <v>Pas de correspondance</v>
      </c>
      <c r="D617" t="str">
        <f>_xlfn.XLOOKUP(Logs[[#This Row],[Cell_ID]],'Registre_Maintenance'!B:B,'Registre_Maintenance'!C:C,"Pas de correspondance")</f>
        <v>Pas de correspondance</v>
      </c>
      <c r="E617" s="3">
        <v>0.36805555555555558</v>
      </c>
      <c r="F617" s="1" t="s">
        <v>1275</v>
      </c>
      <c r="G617" s="3">
        <f>Logs[[#This Row],[Duree_Panne_Min]]/1440</f>
        <v>3.2638888888888891E-2</v>
      </c>
      <c r="H617">
        <v>47</v>
      </c>
      <c r="I617" t="str">
        <f>_xlfn.XLOOKUP(Logs[[#This Row],[Cell_ID]],'Registre_Maintenance'!B:B,'Registre_Maintenance'!D:D,"Pas de correspondance")</f>
        <v>Pas de correspondance</v>
      </c>
      <c r="J617" t="str">
        <f>_xlfn.XLOOKUP(Logs[[#This Row],[Cell_ID]],'Registre_Maintenance'!B:B,'Registre_Maintenance'!E:E,"Pas de correspondance")</f>
        <v>Pas de correspondance</v>
      </c>
      <c r="K617" t="str">
        <f>_xlfn.XLOOKUP(Logs[[#This Row],[Cell_ID]],'Registre_Maintenance'!B:B,'Registre_Maintenance'!F:F,"Pas de correspondance")</f>
        <v>Pas de correspondance</v>
      </c>
      <c r="L617" t="str">
        <f>_xlfn.XLOOKUP(Logs[[#This Row],[Cell_ID]],'Registre_Maintenance'!B:B,'Registre_Maintenance'!G:G,"Pas de correspondance")</f>
        <v>Pas de correspondance</v>
      </c>
      <c r="M617" s="1" t="s">
        <v>811</v>
      </c>
      <c r="N617" s="1" t="str">
        <f>_xlfn.XLOOKUP(Logs[[#This Row],[ID_Client]],Clients_Log!B:B,Clients_Log!E:E,"Pas de correspondance")</f>
        <v>Pas de correspondance</v>
      </c>
      <c r="O617" s="4" t="str">
        <f>IFERROR(Logs[[#This Row],[Anciennete_Mois]]/12,"")</f>
        <v/>
      </c>
      <c r="P617" s="1" t="str">
        <f>_xlfn.XLOOKUP(Logs[[#This Row],[ID_Client]],Clients_Log!B:B,Clients_Log!F:F,"Pas de correspondance")</f>
        <v>Pas de correspondance</v>
      </c>
      <c r="Q617" s="1" t="str">
        <f>IF(Logs[[#This Row],[Type_Forfait]]="Pro Monde","B2B","B2C")</f>
        <v>B2C</v>
      </c>
      <c r="R617" s="1" t="str">
        <f>_xlfn.XLOOKUP(Logs[[#This Row],[ID_Client]],Clients_Log!B:B,Clients_Log!G:G,"Pas de correspondance")</f>
        <v>Pas de correspondance</v>
      </c>
      <c r="S617" s="1" t="e">
        <f>Logs[[#This Row],[Duree_Cumulee_Panne_Min]]/1440</f>
        <v>#VALUE!</v>
      </c>
      <c r="T617" s="1" t="str">
        <f>_xlfn.XLOOKUP(Logs[[#This Row],[ID_Client]],Clients_Log!B:B,Clients_Log!H:H,"Pas de correspondance")</f>
        <v>Pas de correspondance</v>
      </c>
      <c r="U617" s="1" t="str">
        <f>_xlfn.XLOOKUP(Logs[[#This Row],[ID_Client]],Clients_Log!B:B,Clients_Log!I:I,"Pas de correspondance")</f>
        <v>Pas de correspondance</v>
      </c>
      <c r="V61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17" s="1" t="e">
        <f>Logs[[#This Row],[Facture_Mensuelle]]*Logs[[#This Row],[Remise (%)]]</f>
        <v>#VALUE!</v>
      </c>
    </row>
    <row r="618" spans="1:23" x14ac:dyDescent="0.25">
      <c r="A618" s="1" t="s">
        <v>1269</v>
      </c>
      <c r="B618" s="2">
        <v>45214</v>
      </c>
      <c r="C618" s="1" t="str">
        <f>_xlfn.XLOOKUP(Logs[[#This Row],[Province_RDC]],Clients_Log!D:D,Clients_Log!B:B,"Pas de correspondance")</f>
        <v>CLI-00643</v>
      </c>
      <c r="D618" t="str">
        <f>_xlfn.XLOOKUP(Logs[[#This Row],[Cell_ID]],'Registre_Maintenance'!B:B,'Registre_Maintenance'!C:C,"Pas de correspondance")</f>
        <v>Equateur</v>
      </c>
      <c r="E618" s="3">
        <v>0.63472222222222219</v>
      </c>
      <c r="F618" s="1" t="s">
        <v>1276</v>
      </c>
      <c r="G618" s="3">
        <f>Logs[[#This Row],[Duree_Panne_Min]]/1440</f>
        <v>7.7777777777777779E-2</v>
      </c>
      <c r="H618">
        <v>112</v>
      </c>
      <c r="I618">
        <f>_xlfn.XLOOKUP(Logs[[#This Row],[Cell_ID]],'Registre_Maintenance'!B:B,'Registre_Maintenance'!D:D,"Pas de correspondance")</f>
        <v>-6.1490739999999997</v>
      </c>
      <c r="J618">
        <f>_xlfn.XLOOKUP(Logs[[#This Row],[Cell_ID]],'Registre_Maintenance'!B:B,'Registre_Maintenance'!E:E,"Pas de correspondance")</f>
        <v>23.304411000000002</v>
      </c>
      <c r="K618" t="str">
        <f>_xlfn.XLOOKUP(Logs[[#This Row],[Cell_ID]],'Registre_Maintenance'!B:B,'Registre_Maintenance'!F:F,"Pas de correspondance")</f>
        <v>5G</v>
      </c>
      <c r="L618" t="str">
        <f>_xlfn.XLOOKUP(Logs[[#This Row],[Cell_ID]],'Registre_Maintenance'!B:B,'Registre_Maintenance'!G:G,"Pas de correspondance")</f>
        <v>ZTE</v>
      </c>
      <c r="M618" s="1" t="s">
        <v>809</v>
      </c>
      <c r="N618" s="1">
        <f>_xlfn.XLOOKUP(Logs[[#This Row],[ID_Client]],Clients_Log!B:B,Clients_Log!E:E,"Pas de correspondance")</f>
        <v>14</v>
      </c>
      <c r="O618" s="4">
        <f>IFERROR(Logs[[#This Row],[Anciennete_Mois]]/12,"")</f>
        <v>1.1666666666666667</v>
      </c>
      <c r="P618" s="1" t="str">
        <f>_xlfn.XLOOKUP(Logs[[#This Row],[ID_Client]],Clients_Log!B:B,Clients_Log!F:F,"Pas de correspondance")</f>
        <v>Pro Monde</v>
      </c>
      <c r="Q618" s="1" t="str">
        <f>IF(Logs[[#This Row],[Type_Forfait]]="Pro Monde","B2B","B2C")</f>
        <v>B2B</v>
      </c>
      <c r="R618" s="1">
        <f>_xlfn.XLOOKUP(Logs[[#This Row],[ID_Client]],Clients_Log!B:B,Clients_Log!G:G,"Pas de correspondance")</f>
        <v>316</v>
      </c>
      <c r="S618" s="3">
        <f>Logs[[#This Row],[Duree_Cumulee_Panne_Min]]/1440</f>
        <v>0.21944444444444444</v>
      </c>
      <c r="T618" s="1">
        <f>_xlfn.XLOOKUP(Logs[[#This Row],[ID_Client]],Clients_Log!B:B,Clients_Log!H:H,"Pas de correspondance")</f>
        <v>62.34</v>
      </c>
      <c r="U618" s="1">
        <f>_xlfn.XLOOKUP(Logs[[#This Row],[ID_Client]],Clients_Log!B:B,Clients_Log!I:I,"Pas de correspondance")</f>
        <v>4</v>
      </c>
      <c r="V61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18" s="1">
        <f>Logs[[#This Row],[Facture_Mensuelle]]*Logs[[#This Row],[Remise (%)]]</f>
        <v>28.053000000000001</v>
      </c>
    </row>
    <row r="619" spans="1:23" hidden="1" x14ac:dyDescent="0.25">
      <c r="A619" s="1" t="s">
        <v>1269</v>
      </c>
      <c r="B619" s="2">
        <v>45211</v>
      </c>
      <c r="C619" s="1" t="str">
        <f>_xlfn.XLOOKUP(Logs[[#This Row],[Province_RDC]],Clients_Log!D:D,Clients_Log!B:B,"Pas de correspondance")</f>
        <v>Pas de correspondance</v>
      </c>
      <c r="D619" t="str">
        <f>_xlfn.XLOOKUP(Logs[[#This Row],[Cell_ID]],'Registre_Maintenance'!B:B,'Registre_Maintenance'!C:C,"Pas de correspondance")</f>
        <v>Pas de correspondance</v>
      </c>
      <c r="E619" s="3">
        <v>0.72499999999999998</v>
      </c>
      <c r="F619" s="1" t="s">
        <v>1116</v>
      </c>
      <c r="G619" s="3">
        <f>Logs[[#This Row],[Duree_Panne_Min]]/1440</f>
        <v>5.8333333333333334E-2</v>
      </c>
      <c r="H619">
        <v>84</v>
      </c>
      <c r="I619" t="str">
        <f>_xlfn.XLOOKUP(Logs[[#This Row],[Cell_ID]],'Registre_Maintenance'!B:B,'Registre_Maintenance'!D:D,"Pas de correspondance")</f>
        <v>Pas de correspondance</v>
      </c>
      <c r="J619" t="str">
        <f>_xlfn.XLOOKUP(Logs[[#This Row],[Cell_ID]],'Registre_Maintenance'!B:B,'Registre_Maintenance'!E:E,"Pas de correspondance")</f>
        <v>Pas de correspondance</v>
      </c>
      <c r="K619" t="str">
        <f>_xlfn.XLOOKUP(Logs[[#This Row],[Cell_ID]],'Registre_Maintenance'!B:B,'Registre_Maintenance'!F:F,"Pas de correspondance")</f>
        <v>Pas de correspondance</v>
      </c>
      <c r="L619" t="str">
        <f>_xlfn.XLOOKUP(Logs[[#This Row],[Cell_ID]],'Registre_Maintenance'!B:B,'Registre_Maintenance'!G:G,"Pas de correspondance")</f>
        <v>Pas de correspondance</v>
      </c>
      <c r="M619" s="1" t="s">
        <v>811</v>
      </c>
      <c r="N619" s="1" t="str">
        <f>_xlfn.XLOOKUP(Logs[[#This Row],[ID_Client]],Clients_Log!B:B,Clients_Log!E:E,"Pas de correspondance")</f>
        <v>Pas de correspondance</v>
      </c>
      <c r="O619" s="4" t="str">
        <f>IFERROR(Logs[[#This Row],[Anciennete_Mois]]/12,"")</f>
        <v/>
      </c>
      <c r="P619" s="1" t="str">
        <f>_xlfn.XLOOKUP(Logs[[#This Row],[ID_Client]],Clients_Log!B:B,Clients_Log!F:F,"Pas de correspondance")</f>
        <v>Pas de correspondance</v>
      </c>
      <c r="Q619" s="1" t="str">
        <f>IF(Logs[[#This Row],[Type_Forfait]]="Pro Monde","B2B","B2C")</f>
        <v>B2C</v>
      </c>
      <c r="R619" s="1" t="str">
        <f>_xlfn.XLOOKUP(Logs[[#This Row],[ID_Client]],Clients_Log!B:B,Clients_Log!G:G,"Pas de correspondance")</f>
        <v>Pas de correspondance</v>
      </c>
      <c r="S619" s="1" t="e">
        <f>Logs[[#This Row],[Duree_Cumulee_Panne_Min]]/1440</f>
        <v>#VALUE!</v>
      </c>
      <c r="T619" s="1" t="str">
        <f>_xlfn.XLOOKUP(Logs[[#This Row],[ID_Client]],Clients_Log!B:B,Clients_Log!H:H,"Pas de correspondance")</f>
        <v>Pas de correspondance</v>
      </c>
      <c r="U619" s="1" t="str">
        <f>_xlfn.XLOOKUP(Logs[[#This Row],[ID_Client]],Clients_Log!B:B,Clients_Log!I:I,"Pas de correspondance")</f>
        <v>Pas de correspondance</v>
      </c>
      <c r="V61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19" s="1" t="e">
        <f>Logs[[#This Row],[Facture_Mensuelle]]*Logs[[#This Row],[Remise (%)]]</f>
        <v>#VALUE!</v>
      </c>
    </row>
    <row r="620" spans="1:23" x14ac:dyDescent="0.25">
      <c r="A620" s="1" t="s">
        <v>1269</v>
      </c>
      <c r="B620" s="2">
        <v>45213</v>
      </c>
      <c r="C620" s="1" t="str">
        <f>_xlfn.XLOOKUP(Logs[[#This Row],[Province_RDC]],Clients_Log!D:D,Clients_Log!B:B,"Pas de correspondance")</f>
        <v>CLI-01170</v>
      </c>
      <c r="D620" t="str">
        <f>_xlfn.XLOOKUP(Logs[[#This Row],[Cell_ID]],'Registre_Maintenance'!B:B,'Registre_Maintenance'!C:C,"Pas de correspondance")</f>
        <v>Nord-Ubangi</v>
      </c>
      <c r="E620" s="3">
        <v>0.23819444444444443</v>
      </c>
      <c r="F620" s="1" t="s">
        <v>1277</v>
      </c>
      <c r="G620" s="3">
        <f>Logs[[#This Row],[Duree_Panne_Min]]/1440</f>
        <v>3.6805555555555557E-2</v>
      </c>
      <c r="H620">
        <v>53</v>
      </c>
      <c r="I620">
        <f>_xlfn.XLOOKUP(Logs[[#This Row],[Cell_ID]],'Registre_Maintenance'!B:B,'Registre_Maintenance'!D:D,"Pas de correspondance")</f>
        <v>-8.4985189999999999</v>
      </c>
      <c r="J620">
        <f>_xlfn.XLOOKUP(Logs[[#This Row],[Cell_ID]],'Registre_Maintenance'!B:B,'Registre_Maintenance'!E:E,"Pas de correspondance")</f>
        <v>12.929456999999999</v>
      </c>
      <c r="K620" t="str">
        <f>_xlfn.XLOOKUP(Logs[[#This Row],[Cell_ID]],'Registre_Maintenance'!B:B,'Registre_Maintenance'!F:F,"Pas de correspondance")</f>
        <v>4G</v>
      </c>
      <c r="L620" t="str">
        <f>_xlfn.XLOOKUP(Logs[[#This Row],[Cell_ID]],'Registre_Maintenance'!B:B,'Registre_Maintenance'!G:G,"Pas de correspondance")</f>
        <v>Ericsson</v>
      </c>
      <c r="M620" s="1" t="s">
        <v>809</v>
      </c>
      <c r="N620" s="1">
        <f>_xlfn.XLOOKUP(Logs[[#This Row],[ID_Client]],Clients_Log!B:B,Clients_Log!E:E,"Pas de correspondance")</f>
        <v>98</v>
      </c>
      <c r="O620" s="4">
        <f>IFERROR(Logs[[#This Row],[Anciennete_Mois]]/12,"")</f>
        <v>8.1666666666666661</v>
      </c>
      <c r="P620" s="1" t="str">
        <f>_xlfn.XLOOKUP(Logs[[#This Row],[ID_Client]],Clients_Log!B:B,Clients_Log!F:F,"Pas de correspondance")</f>
        <v>Pro Monde</v>
      </c>
      <c r="Q620" s="1" t="str">
        <f>IF(Logs[[#This Row],[Type_Forfait]]="Pro Monde","B2B","B2C")</f>
        <v>B2B</v>
      </c>
      <c r="R620" s="1">
        <f>_xlfn.XLOOKUP(Logs[[#This Row],[ID_Client]],Clients_Log!B:B,Clients_Log!G:G,"Pas de correspondance")</f>
        <v>482</v>
      </c>
      <c r="S620" s="3">
        <f>Logs[[#This Row],[Duree_Cumulee_Panne_Min]]/1440</f>
        <v>0.3347222222222222</v>
      </c>
      <c r="T620" s="1">
        <f>_xlfn.XLOOKUP(Logs[[#This Row],[ID_Client]],Clients_Log!B:B,Clients_Log!H:H,"Pas de correspondance")</f>
        <v>55.04</v>
      </c>
      <c r="U620" s="1">
        <f>_xlfn.XLOOKUP(Logs[[#This Row],[ID_Client]],Clients_Log!B:B,Clients_Log!I:I,"Pas de correspondance")</f>
        <v>5</v>
      </c>
      <c r="V62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20" s="1">
        <f>Logs[[#This Row],[Facture_Mensuelle]]*Logs[[#This Row],[Remise (%)]]</f>
        <v>24.768000000000001</v>
      </c>
    </row>
    <row r="621" spans="1:23" hidden="1" x14ac:dyDescent="0.25">
      <c r="A621" s="1" t="s">
        <v>1269</v>
      </c>
      <c r="B621" s="2">
        <v>45218</v>
      </c>
      <c r="C621" s="1" t="str">
        <f>_xlfn.XLOOKUP(Logs[[#This Row],[Province_RDC]],Clients_Log!D:D,Clients_Log!B:B,"Pas de correspondance")</f>
        <v>Pas de correspondance</v>
      </c>
      <c r="D621" t="str">
        <f>_xlfn.XLOOKUP(Logs[[#This Row],[Cell_ID]],'Registre_Maintenance'!B:B,'Registre_Maintenance'!C:C,"Pas de correspondance")</f>
        <v>Pas de correspondance</v>
      </c>
      <c r="E621" s="3">
        <v>0.89166666666666672</v>
      </c>
      <c r="F621" s="1" t="s">
        <v>886</v>
      </c>
      <c r="G621" s="3">
        <f>Logs[[#This Row],[Duree_Panne_Min]]/1440</f>
        <v>7.4305555555555555E-2</v>
      </c>
      <c r="H621">
        <v>107</v>
      </c>
      <c r="I621" t="str">
        <f>_xlfn.XLOOKUP(Logs[[#This Row],[Cell_ID]],'Registre_Maintenance'!B:B,'Registre_Maintenance'!D:D,"Pas de correspondance")</f>
        <v>Pas de correspondance</v>
      </c>
      <c r="J621" t="str">
        <f>_xlfn.XLOOKUP(Logs[[#This Row],[Cell_ID]],'Registre_Maintenance'!B:B,'Registre_Maintenance'!E:E,"Pas de correspondance")</f>
        <v>Pas de correspondance</v>
      </c>
      <c r="K621" t="str">
        <f>_xlfn.XLOOKUP(Logs[[#This Row],[Cell_ID]],'Registre_Maintenance'!B:B,'Registre_Maintenance'!F:F,"Pas de correspondance")</f>
        <v>Pas de correspondance</v>
      </c>
      <c r="L621" t="str">
        <f>_xlfn.XLOOKUP(Logs[[#This Row],[Cell_ID]],'Registre_Maintenance'!B:B,'Registre_Maintenance'!G:G,"Pas de correspondance")</f>
        <v>Pas de correspondance</v>
      </c>
      <c r="M621" s="1" t="s">
        <v>809</v>
      </c>
      <c r="N621" s="1" t="str">
        <f>_xlfn.XLOOKUP(Logs[[#This Row],[ID_Client]],Clients_Log!B:B,Clients_Log!E:E,"Pas de correspondance")</f>
        <v>Pas de correspondance</v>
      </c>
      <c r="O621" s="4" t="str">
        <f>IFERROR(Logs[[#This Row],[Anciennete_Mois]]/12,"")</f>
        <v/>
      </c>
      <c r="P621" s="1" t="str">
        <f>_xlfn.XLOOKUP(Logs[[#This Row],[ID_Client]],Clients_Log!B:B,Clients_Log!F:F,"Pas de correspondance")</f>
        <v>Pas de correspondance</v>
      </c>
      <c r="Q621" s="1" t="str">
        <f>IF(Logs[[#This Row],[Type_Forfait]]="Pro Monde","B2B","B2C")</f>
        <v>B2C</v>
      </c>
      <c r="R621" s="1" t="str">
        <f>_xlfn.XLOOKUP(Logs[[#This Row],[ID_Client]],Clients_Log!B:B,Clients_Log!G:G,"Pas de correspondance")</f>
        <v>Pas de correspondance</v>
      </c>
      <c r="S621" s="1" t="e">
        <f>Logs[[#This Row],[Duree_Cumulee_Panne_Min]]/1440</f>
        <v>#VALUE!</v>
      </c>
      <c r="T621" s="1" t="str">
        <f>_xlfn.XLOOKUP(Logs[[#This Row],[ID_Client]],Clients_Log!B:B,Clients_Log!H:H,"Pas de correspondance")</f>
        <v>Pas de correspondance</v>
      </c>
      <c r="U621" s="1" t="str">
        <f>_xlfn.XLOOKUP(Logs[[#This Row],[ID_Client]],Clients_Log!B:B,Clients_Log!I:I,"Pas de correspondance")</f>
        <v>Pas de correspondance</v>
      </c>
      <c r="V62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21" s="1" t="e">
        <f>Logs[[#This Row],[Facture_Mensuelle]]*Logs[[#This Row],[Remise (%)]]</f>
        <v>#VALUE!</v>
      </c>
    </row>
    <row r="622" spans="1:23" x14ac:dyDescent="0.25">
      <c r="A622" s="1" t="s">
        <v>1269</v>
      </c>
      <c r="B622" s="2">
        <v>45202</v>
      </c>
      <c r="C622" s="1" t="str">
        <f>_xlfn.XLOOKUP(Logs[[#This Row],[Province_RDC]],Clients_Log!D:D,Clients_Log!B:B,"Pas de correspondance")</f>
        <v>CLI-00439</v>
      </c>
      <c r="D622" t="str">
        <f>_xlfn.XLOOKUP(Logs[[#This Row],[Cell_ID]],'Registre_Maintenance'!B:B,'Registre_Maintenance'!C:C,"Pas de correspondance")</f>
        <v>Haut-Uele</v>
      </c>
      <c r="E622" s="3">
        <v>0.8041666666666667</v>
      </c>
      <c r="F622" s="1" t="s">
        <v>1278</v>
      </c>
      <c r="G622" s="3">
        <f>Logs[[#This Row],[Duree_Panne_Min]]/1440</f>
        <v>7.9861111111111105E-2</v>
      </c>
      <c r="H622">
        <v>115</v>
      </c>
      <c r="I622">
        <f>_xlfn.XLOOKUP(Logs[[#This Row],[Cell_ID]],'Registre_Maintenance'!B:B,'Registre_Maintenance'!D:D,"Pas de correspondance")</f>
        <v>1.2391989999999999</v>
      </c>
      <c r="J622">
        <f>_xlfn.XLOOKUP(Logs[[#This Row],[Cell_ID]],'Registre_Maintenance'!B:B,'Registre_Maintenance'!E:E,"Pas de correspondance")</f>
        <v>15.386718999999999</v>
      </c>
      <c r="K622" t="str">
        <f>_xlfn.XLOOKUP(Logs[[#This Row],[Cell_ID]],'Registre_Maintenance'!B:B,'Registre_Maintenance'!F:F,"Pas de correspondance")</f>
        <v>5G</v>
      </c>
      <c r="L622" t="str">
        <f>_xlfn.XLOOKUP(Logs[[#This Row],[Cell_ID]],'Registre_Maintenance'!B:B,'Registre_Maintenance'!G:G,"Pas de correspondance")</f>
        <v>ZTE</v>
      </c>
      <c r="M622" s="1" t="s">
        <v>809</v>
      </c>
      <c r="N622" s="1">
        <f>_xlfn.XLOOKUP(Logs[[#This Row],[ID_Client]],Clients_Log!B:B,Clients_Log!E:E,"Pas de correspondance")</f>
        <v>40</v>
      </c>
      <c r="O622" s="4">
        <f>IFERROR(Logs[[#This Row],[Anciennete_Mois]]/12,"")</f>
        <v>3.3333333333333335</v>
      </c>
      <c r="P622" s="1" t="str">
        <f>_xlfn.XLOOKUP(Logs[[#This Row],[ID_Client]],Clients_Log!B:B,Clients_Log!F:F,"Pas de correspondance")</f>
        <v>Premium 5G 150Go</v>
      </c>
      <c r="Q622" s="1" t="str">
        <f>IF(Logs[[#This Row],[Type_Forfait]]="Pro Monde","B2B","B2C")</f>
        <v>B2C</v>
      </c>
      <c r="R622" s="1">
        <f>_xlfn.XLOOKUP(Logs[[#This Row],[ID_Client]],Clients_Log!B:B,Clients_Log!G:G,"Pas de correspondance")</f>
        <v>345</v>
      </c>
      <c r="S622" s="3">
        <f>Logs[[#This Row],[Duree_Cumulee_Panne_Min]]/1440</f>
        <v>0.23958333333333334</v>
      </c>
      <c r="T622" s="1">
        <f>_xlfn.XLOOKUP(Logs[[#This Row],[ID_Client]],Clients_Log!B:B,Clients_Log!H:H,"Pas de correspondance")</f>
        <v>89.55</v>
      </c>
      <c r="U622" s="1">
        <f>_xlfn.XLOOKUP(Logs[[#This Row],[ID_Client]],Clients_Log!B:B,Clients_Log!I:I,"Pas de correspondance")</f>
        <v>3</v>
      </c>
      <c r="V62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22" s="1">
        <f>Logs[[#This Row],[Facture_Mensuelle]]*Logs[[#This Row],[Remise (%)]]</f>
        <v>40.297499999999999</v>
      </c>
    </row>
    <row r="623" spans="1:23" hidden="1" x14ac:dyDescent="0.25">
      <c r="A623" s="1" t="s">
        <v>1269</v>
      </c>
      <c r="B623" s="2">
        <v>45225</v>
      </c>
      <c r="C623" s="1" t="str">
        <f>_xlfn.XLOOKUP(Logs[[#This Row],[Province_RDC]],Clients_Log!D:D,Clients_Log!B:B,"Pas de correspondance")</f>
        <v>Pas de correspondance</v>
      </c>
      <c r="D623" t="str">
        <f>_xlfn.XLOOKUP(Logs[[#This Row],[Cell_ID]],'Registre_Maintenance'!B:B,'Registre_Maintenance'!C:C,"Pas de correspondance")</f>
        <v>Pas de correspondance</v>
      </c>
      <c r="E623" s="3">
        <v>0.32291666666666669</v>
      </c>
      <c r="F623" s="1" t="s">
        <v>1279</v>
      </c>
      <c r="G623" s="3">
        <f>Logs[[#This Row],[Duree_Panne_Min]]/1440</f>
        <v>3.2638888888888891E-2</v>
      </c>
      <c r="H623">
        <v>47</v>
      </c>
      <c r="I623" t="str">
        <f>_xlfn.XLOOKUP(Logs[[#This Row],[Cell_ID]],'Registre_Maintenance'!B:B,'Registre_Maintenance'!D:D,"Pas de correspondance")</f>
        <v>Pas de correspondance</v>
      </c>
      <c r="J623" t="str">
        <f>_xlfn.XLOOKUP(Logs[[#This Row],[Cell_ID]],'Registre_Maintenance'!B:B,'Registre_Maintenance'!E:E,"Pas de correspondance")</f>
        <v>Pas de correspondance</v>
      </c>
      <c r="K623" t="str">
        <f>_xlfn.XLOOKUP(Logs[[#This Row],[Cell_ID]],'Registre_Maintenance'!B:B,'Registre_Maintenance'!F:F,"Pas de correspondance")</f>
        <v>Pas de correspondance</v>
      </c>
      <c r="L623" t="str">
        <f>_xlfn.XLOOKUP(Logs[[#This Row],[Cell_ID]],'Registre_Maintenance'!B:B,'Registre_Maintenance'!G:G,"Pas de correspondance")</f>
        <v>Pas de correspondance</v>
      </c>
      <c r="M623" s="1" t="s">
        <v>811</v>
      </c>
      <c r="N623" s="1" t="str">
        <f>_xlfn.XLOOKUP(Logs[[#This Row],[ID_Client]],Clients_Log!B:B,Clients_Log!E:E,"Pas de correspondance")</f>
        <v>Pas de correspondance</v>
      </c>
      <c r="O623" s="4" t="str">
        <f>IFERROR(Logs[[#This Row],[Anciennete_Mois]]/12,"")</f>
        <v/>
      </c>
      <c r="P623" s="1" t="str">
        <f>_xlfn.XLOOKUP(Logs[[#This Row],[ID_Client]],Clients_Log!B:B,Clients_Log!F:F,"Pas de correspondance")</f>
        <v>Pas de correspondance</v>
      </c>
      <c r="Q623" s="1" t="str">
        <f>IF(Logs[[#This Row],[Type_Forfait]]="Pro Monde","B2B","B2C")</f>
        <v>B2C</v>
      </c>
      <c r="R623" s="1" t="str">
        <f>_xlfn.XLOOKUP(Logs[[#This Row],[ID_Client]],Clients_Log!B:B,Clients_Log!G:G,"Pas de correspondance")</f>
        <v>Pas de correspondance</v>
      </c>
      <c r="S623" s="1" t="e">
        <f>Logs[[#This Row],[Duree_Cumulee_Panne_Min]]/1440</f>
        <v>#VALUE!</v>
      </c>
      <c r="T623" s="1" t="str">
        <f>_xlfn.XLOOKUP(Logs[[#This Row],[ID_Client]],Clients_Log!B:B,Clients_Log!H:H,"Pas de correspondance")</f>
        <v>Pas de correspondance</v>
      </c>
      <c r="U623" s="1" t="str">
        <f>_xlfn.XLOOKUP(Logs[[#This Row],[ID_Client]],Clients_Log!B:B,Clients_Log!I:I,"Pas de correspondance")</f>
        <v>Pas de correspondance</v>
      </c>
      <c r="V62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23" s="1" t="e">
        <f>Logs[[#This Row],[Facture_Mensuelle]]*Logs[[#This Row],[Remise (%)]]</f>
        <v>#VALUE!</v>
      </c>
    </row>
    <row r="624" spans="1:23" hidden="1" x14ac:dyDescent="0.25">
      <c r="A624" s="1" t="s">
        <v>1269</v>
      </c>
      <c r="B624" s="2">
        <v>45202</v>
      </c>
      <c r="C624" s="1" t="str">
        <f>_xlfn.XLOOKUP(Logs[[#This Row],[Province_RDC]],Clients_Log!D:D,Clients_Log!B:B,"Pas de correspondance")</f>
        <v>Pas de correspondance</v>
      </c>
      <c r="D624" t="str">
        <f>_xlfn.XLOOKUP(Logs[[#This Row],[Cell_ID]],'Registre_Maintenance'!B:B,'Registre_Maintenance'!C:C,"Pas de correspondance")</f>
        <v>Pas de correspondance</v>
      </c>
      <c r="E624" s="3">
        <v>9.5138888888888884E-2</v>
      </c>
      <c r="F624" s="1" t="s">
        <v>1280</v>
      </c>
      <c r="G624" s="3">
        <f>Logs[[#This Row],[Duree_Panne_Min]]/1440</f>
        <v>4.2361111111111113E-2</v>
      </c>
      <c r="H624">
        <v>61</v>
      </c>
      <c r="I624" t="str">
        <f>_xlfn.XLOOKUP(Logs[[#This Row],[Cell_ID]],'Registre_Maintenance'!B:B,'Registre_Maintenance'!D:D,"Pas de correspondance")</f>
        <v>Pas de correspondance</v>
      </c>
      <c r="J624" t="str">
        <f>_xlfn.XLOOKUP(Logs[[#This Row],[Cell_ID]],'Registre_Maintenance'!B:B,'Registre_Maintenance'!E:E,"Pas de correspondance")</f>
        <v>Pas de correspondance</v>
      </c>
      <c r="K624" t="str">
        <f>_xlfn.XLOOKUP(Logs[[#This Row],[Cell_ID]],'Registre_Maintenance'!B:B,'Registre_Maintenance'!F:F,"Pas de correspondance")</f>
        <v>Pas de correspondance</v>
      </c>
      <c r="L624" t="str">
        <f>_xlfn.XLOOKUP(Logs[[#This Row],[Cell_ID]],'Registre_Maintenance'!B:B,'Registre_Maintenance'!G:G,"Pas de correspondance")</f>
        <v>Pas de correspondance</v>
      </c>
      <c r="M624" s="1" t="s">
        <v>809</v>
      </c>
      <c r="N624" s="1" t="str">
        <f>_xlfn.XLOOKUP(Logs[[#This Row],[ID_Client]],Clients_Log!B:B,Clients_Log!E:E,"Pas de correspondance")</f>
        <v>Pas de correspondance</v>
      </c>
      <c r="O624" s="4" t="str">
        <f>IFERROR(Logs[[#This Row],[Anciennete_Mois]]/12,"")</f>
        <v/>
      </c>
      <c r="P624" s="1" t="str">
        <f>_xlfn.XLOOKUP(Logs[[#This Row],[ID_Client]],Clients_Log!B:B,Clients_Log!F:F,"Pas de correspondance")</f>
        <v>Pas de correspondance</v>
      </c>
      <c r="Q624" s="1" t="str">
        <f>IF(Logs[[#This Row],[Type_Forfait]]="Pro Monde","B2B","B2C")</f>
        <v>B2C</v>
      </c>
      <c r="R624" s="1" t="str">
        <f>_xlfn.XLOOKUP(Logs[[#This Row],[ID_Client]],Clients_Log!B:B,Clients_Log!G:G,"Pas de correspondance")</f>
        <v>Pas de correspondance</v>
      </c>
      <c r="S624" s="1" t="e">
        <f>Logs[[#This Row],[Duree_Cumulee_Panne_Min]]/1440</f>
        <v>#VALUE!</v>
      </c>
      <c r="T624" s="1" t="str">
        <f>_xlfn.XLOOKUP(Logs[[#This Row],[ID_Client]],Clients_Log!B:B,Clients_Log!H:H,"Pas de correspondance")</f>
        <v>Pas de correspondance</v>
      </c>
      <c r="U624" s="1" t="str">
        <f>_xlfn.XLOOKUP(Logs[[#This Row],[ID_Client]],Clients_Log!B:B,Clients_Log!I:I,"Pas de correspondance")</f>
        <v>Pas de correspondance</v>
      </c>
      <c r="V62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24" s="1" t="e">
        <f>Logs[[#This Row],[Facture_Mensuelle]]*Logs[[#This Row],[Remise (%)]]</f>
        <v>#VALUE!</v>
      </c>
    </row>
    <row r="625" spans="1:23" x14ac:dyDescent="0.25">
      <c r="A625" s="1" t="s">
        <v>1269</v>
      </c>
      <c r="B625" s="2">
        <v>45204</v>
      </c>
      <c r="C625" s="1" t="str">
        <f>_xlfn.XLOOKUP(Logs[[#This Row],[Province_RDC]],Clients_Log!D:D,Clients_Log!B:B,"Pas de correspondance")</f>
        <v>CLI-00837</v>
      </c>
      <c r="D625" t="str">
        <f>_xlfn.XLOOKUP(Logs[[#This Row],[Cell_ID]],'Registre_Maintenance'!B:B,'Registre_Maintenance'!C:C,"Pas de correspondance")</f>
        <v>Nord-Kivu</v>
      </c>
      <c r="E625" s="3">
        <v>0.53125</v>
      </c>
      <c r="F625" s="1" t="s">
        <v>974</v>
      </c>
      <c r="G625" s="3">
        <f>Logs[[#This Row],[Duree_Panne_Min]]/1440</f>
        <v>3.2638888888888891E-2</v>
      </c>
      <c r="H625">
        <v>47</v>
      </c>
      <c r="I625">
        <f>_xlfn.XLOOKUP(Logs[[#This Row],[Cell_ID]],'Registre_Maintenance'!B:B,'Registre_Maintenance'!D:D,"Pas de correspondance")</f>
        <v>-12.336202</v>
      </c>
      <c r="J625">
        <f>_xlfn.XLOOKUP(Logs[[#This Row],[Cell_ID]],'Registre_Maintenance'!B:B,'Registre_Maintenance'!E:E,"Pas de correspondance")</f>
        <v>13.693683999999999</v>
      </c>
      <c r="K625" t="str">
        <f>_xlfn.XLOOKUP(Logs[[#This Row],[Cell_ID]],'Registre_Maintenance'!B:B,'Registre_Maintenance'!F:F,"Pas de correspondance")</f>
        <v>5G</v>
      </c>
      <c r="L625" t="str">
        <f>_xlfn.XLOOKUP(Logs[[#This Row],[Cell_ID]],'Registre_Maintenance'!B:B,'Registre_Maintenance'!G:G,"Pas de correspondance")</f>
        <v>Huawei</v>
      </c>
      <c r="M625" s="1" t="s">
        <v>806</v>
      </c>
      <c r="N625" s="1">
        <f>_xlfn.XLOOKUP(Logs[[#This Row],[ID_Client]],Clients_Log!B:B,Clients_Log!E:E,"Pas de correspondance")</f>
        <v>16</v>
      </c>
      <c r="O625" s="4">
        <f>IFERROR(Logs[[#This Row],[Anciennete_Mois]]/12,"")</f>
        <v>1.3333333333333333</v>
      </c>
      <c r="P625" s="1" t="str">
        <f>_xlfn.XLOOKUP(Logs[[#This Row],[ID_Client]],Clients_Log!B:B,Clients_Log!F:F,"Pas de correspondance")</f>
        <v>Bloqué 5Go</v>
      </c>
      <c r="Q625" s="1" t="str">
        <f>IF(Logs[[#This Row],[Type_Forfait]]="Pro Monde","B2B","B2C")</f>
        <v>B2C</v>
      </c>
      <c r="R625" s="1">
        <f>_xlfn.XLOOKUP(Logs[[#This Row],[ID_Client]],Clients_Log!B:B,Clients_Log!G:G,"Pas de correspondance")</f>
        <v>390</v>
      </c>
      <c r="S625" s="3">
        <f>Logs[[#This Row],[Duree_Cumulee_Panne_Min]]/1440</f>
        <v>0.27083333333333331</v>
      </c>
      <c r="T625" s="1">
        <f>_xlfn.XLOOKUP(Logs[[#This Row],[ID_Client]],Clients_Log!B:B,Clients_Log!H:H,"Pas de correspondance")</f>
        <v>98.17</v>
      </c>
      <c r="U625" s="1">
        <f>_xlfn.XLOOKUP(Logs[[#This Row],[ID_Client]],Clients_Log!B:B,Clients_Log!I:I,"Pas de correspondance")</f>
        <v>5</v>
      </c>
      <c r="V62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25" s="1">
        <f>Logs[[#This Row],[Facture_Mensuelle]]*Logs[[#This Row],[Remise (%)]]</f>
        <v>44.176500000000004</v>
      </c>
    </row>
    <row r="626" spans="1:23" hidden="1" x14ac:dyDescent="0.25">
      <c r="A626" s="1" t="s">
        <v>1269</v>
      </c>
      <c r="B626" s="2">
        <v>45225</v>
      </c>
      <c r="C626" s="1" t="str">
        <f>_xlfn.XLOOKUP(Logs[[#This Row],[Province_RDC]],Clients_Log!D:D,Clients_Log!B:B,"Pas de correspondance")</f>
        <v>Pas de correspondance</v>
      </c>
      <c r="D626" t="str">
        <f>_xlfn.XLOOKUP(Logs[[#This Row],[Cell_ID]],'Registre_Maintenance'!B:B,'Registre_Maintenance'!C:C,"Pas de correspondance")</f>
        <v>Pas de correspondance</v>
      </c>
      <c r="E626" s="3">
        <v>0.83958333333333335</v>
      </c>
      <c r="F626" s="1" t="s">
        <v>1281</v>
      </c>
      <c r="G626" s="3">
        <f>Logs[[#This Row],[Duree_Panne_Min]]/1440</f>
        <v>4.1666666666666664E-2</v>
      </c>
      <c r="H626">
        <v>60</v>
      </c>
      <c r="I626" t="str">
        <f>_xlfn.XLOOKUP(Logs[[#This Row],[Cell_ID]],'Registre_Maintenance'!B:B,'Registre_Maintenance'!D:D,"Pas de correspondance")</f>
        <v>Pas de correspondance</v>
      </c>
      <c r="J626" t="str">
        <f>_xlfn.XLOOKUP(Logs[[#This Row],[Cell_ID]],'Registre_Maintenance'!B:B,'Registre_Maintenance'!E:E,"Pas de correspondance")</f>
        <v>Pas de correspondance</v>
      </c>
      <c r="K626" t="str">
        <f>_xlfn.XLOOKUP(Logs[[#This Row],[Cell_ID]],'Registre_Maintenance'!B:B,'Registre_Maintenance'!F:F,"Pas de correspondance")</f>
        <v>Pas de correspondance</v>
      </c>
      <c r="L626" t="str">
        <f>_xlfn.XLOOKUP(Logs[[#This Row],[Cell_ID]],'Registre_Maintenance'!B:B,'Registre_Maintenance'!G:G,"Pas de correspondance")</f>
        <v>Pas de correspondance</v>
      </c>
      <c r="M626" s="1" t="s">
        <v>811</v>
      </c>
      <c r="N626" s="1" t="str">
        <f>_xlfn.XLOOKUP(Logs[[#This Row],[ID_Client]],Clients_Log!B:B,Clients_Log!E:E,"Pas de correspondance")</f>
        <v>Pas de correspondance</v>
      </c>
      <c r="O626" s="4" t="str">
        <f>IFERROR(Logs[[#This Row],[Anciennete_Mois]]/12,"")</f>
        <v/>
      </c>
      <c r="P626" s="1" t="str">
        <f>_xlfn.XLOOKUP(Logs[[#This Row],[ID_Client]],Clients_Log!B:B,Clients_Log!F:F,"Pas de correspondance")</f>
        <v>Pas de correspondance</v>
      </c>
      <c r="Q626" s="1" t="str">
        <f>IF(Logs[[#This Row],[Type_Forfait]]="Pro Monde","B2B","B2C")</f>
        <v>B2C</v>
      </c>
      <c r="R626" s="1" t="str">
        <f>_xlfn.XLOOKUP(Logs[[#This Row],[ID_Client]],Clients_Log!B:B,Clients_Log!G:G,"Pas de correspondance")</f>
        <v>Pas de correspondance</v>
      </c>
      <c r="S626" s="1" t="e">
        <f>Logs[[#This Row],[Duree_Cumulee_Panne_Min]]/1440</f>
        <v>#VALUE!</v>
      </c>
      <c r="T626" s="1" t="str">
        <f>_xlfn.XLOOKUP(Logs[[#This Row],[ID_Client]],Clients_Log!B:B,Clients_Log!H:H,"Pas de correspondance")</f>
        <v>Pas de correspondance</v>
      </c>
      <c r="U626" s="1" t="str">
        <f>_xlfn.XLOOKUP(Logs[[#This Row],[ID_Client]],Clients_Log!B:B,Clients_Log!I:I,"Pas de correspondance")</f>
        <v>Pas de correspondance</v>
      </c>
      <c r="V62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26" s="1" t="e">
        <f>Logs[[#This Row],[Facture_Mensuelle]]*Logs[[#This Row],[Remise (%)]]</f>
        <v>#VALUE!</v>
      </c>
    </row>
    <row r="627" spans="1:23" hidden="1" x14ac:dyDescent="0.25">
      <c r="A627" s="1" t="s">
        <v>1269</v>
      </c>
      <c r="B627" s="2">
        <v>45223</v>
      </c>
      <c r="C627" s="1" t="str">
        <f>_xlfn.XLOOKUP(Logs[[#This Row],[Province_RDC]],Clients_Log!D:D,Clients_Log!B:B,"Pas de correspondance")</f>
        <v>Pas de correspondance</v>
      </c>
      <c r="D627" t="str">
        <f>_xlfn.XLOOKUP(Logs[[#This Row],[Cell_ID]],'Registre_Maintenance'!B:B,'Registre_Maintenance'!C:C,"Pas de correspondance")</f>
        <v>Pas de correspondance</v>
      </c>
      <c r="E627" s="3">
        <v>0.51388888888888884</v>
      </c>
      <c r="F627" s="1" t="s">
        <v>1152</v>
      </c>
      <c r="G627" s="3">
        <f>Logs[[#This Row],[Duree_Panne_Min]]/1440</f>
        <v>7.5694444444444439E-2</v>
      </c>
      <c r="H627">
        <v>109</v>
      </c>
      <c r="I627" t="str">
        <f>_xlfn.XLOOKUP(Logs[[#This Row],[Cell_ID]],'Registre_Maintenance'!B:B,'Registre_Maintenance'!D:D,"Pas de correspondance")</f>
        <v>Pas de correspondance</v>
      </c>
      <c r="J627" t="str">
        <f>_xlfn.XLOOKUP(Logs[[#This Row],[Cell_ID]],'Registre_Maintenance'!B:B,'Registre_Maintenance'!E:E,"Pas de correspondance")</f>
        <v>Pas de correspondance</v>
      </c>
      <c r="K627" t="str">
        <f>_xlfn.XLOOKUP(Logs[[#This Row],[Cell_ID]],'Registre_Maintenance'!B:B,'Registre_Maintenance'!F:F,"Pas de correspondance")</f>
        <v>Pas de correspondance</v>
      </c>
      <c r="L627" t="str">
        <f>_xlfn.XLOOKUP(Logs[[#This Row],[Cell_ID]],'Registre_Maintenance'!B:B,'Registre_Maintenance'!G:G,"Pas de correspondance")</f>
        <v>Pas de correspondance</v>
      </c>
      <c r="M627" s="1" t="s">
        <v>809</v>
      </c>
      <c r="N627" s="1" t="str">
        <f>_xlfn.XLOOKUP(Logs[[#This Row],[ID_Client]],Clients_Log!B:B,Clients_Log!E:E,"Pas de correspondance")</f>
        <v>Pas de correspondance</v>
      </c>
      <c r="O627" s="4" t="str">
        <f>IFERROR(Logs[[#This Row],[Anciennete_Mois]]/12,"")</f>
        <v/>
      </c>
      <c r="P627" s="1" t="str">
        <f>_xlfn.XLOOKUP(Logs[[#This Row],[ID_Client]],Clients_Log!B:B,Clients_Log!F:F,"Pas de correspondance")</f>
        <v>Pas de correspondance</v>
      </c>
      <c r="Q627" s="1" t="str">
        <f>IF(Logs[[#This Row],[Type_Forfait]]="Pro Monde","B2B","B2C")</f>
        <v>B2C</v>
      </c>
      <c r="R627" s="1" t="str">
        <f>_xlfn.XLOOKUP(Logs[[#This Row],[ID_Client]],Clients_Log!B:B,Clients_Log!G:G,"Pas de correspondance")</f>
        <v>Pas de correspondance</v>
      </c>
      <c r="S627" s="1" t="e">
        <f>Logs[[#This Row],[Duree_Cumulee_Panne_Min]]/1440</f>
        <v>#VALUE!</v>
      </c>
      <c r="T627" s="1" t="str">
        <f>_xlfn.XLOOKUP(Logs[[#This Row],[ID_Client]],Clients_Log!B:B,Clients_Log!H:H,"Pas de correspondance")</f>
        <v>Pas de correspondance</v>
      </c>
      <c r="U627" s="1" t="str">
        <f>_xlfn.XLOOKUP(Logs[[#This Row],[ID_Client]],Clients_Log!B:B,Clients_Log!I:I,"Pas de correspondance")</f>
        <v>Pas de correspondance</v>
      </c>
      <c r="V62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27" s="1" t="e">
        <f>Logs[[#This Row],[Facture_Mensuelle]]*Logs[[#This Row],[Remise (%)]]</f>
        <v>#VALUE!</v>
      </c>
    </row>
    <row r="628" spans="1:23" x14ac:dyDescent="0.25">
      <c r="A628" s="1" t="s">
        <v>1269</v>
      </c>
      <c r="B628" s="2">
        <v>45211</v>
      </c>
      <c r="C628" s="1" t="str">
        <f>_xlfn.XLOOKUP(Logs[[#This Row],[Province_RDC]],Clients_Log!D:D,Clients_Log!B:B,"Pas de correspondance")</f>
        <v>CLI-01855</v>
      </c>
      <c r="D628" t="str">
        <f>_xlfn.XLOOKUP(Logs[[#This Row],[Cell_ID]],'Registre_Maintenance'!B:B,'Registre_Maintenance'!C:C,"Pas de correspondance")</f>
        <v>Sud-Kivu</v>
      </c>
      <c r="E628" s="3">
        <v>0.12847222222222221</v>
      </c>
      <c r="F628" s="1" t="s">
        <v>1282</v>
      </c>
      <c r="G628" s="3">
        <f>Logs[[#This Row],[Duree_Panne_Min]]/1440</f>
        <v>7.6388888888888895E-2</v>
      </c>
      <c r="H628">
        <v>110</v>
      </c>
      <c r="I628">
        <f>_xlfn.XLOOKUP(Logs[[#This Row],[Cell_ID]],'Registre_Maintenance'!B:B,'Registre_Maintenance'!D:D,"Pas de correspondance")</f>
        <v>2.453036</v>
      </c>
      <c r="J628">
        <f>_xlfn.XLOOKUP(Logs[[#This Row],[Cell_ID]],'Registre_Maintenance'!B:B,'Registre_Maintenance'!E:E,"Pas de correspondance")</f>
        <v>20.555484</v>
      </c>
      <c r="K628" t="str">
        <f>_xlfn.XLOOKUP(Logs[[#This Row],[Cell_ID]],'Registre_Maintenance'!B:B,'Registre_Maintenance'!F:F,"Pas de correspondance")</f>
        <v>5G</v>
      </c>
      <c r="L628" t="str">
        <f>_xlfn.XLOOKUP(Logs[[#This Row],[Cell_ID]],'Registre_Maintenance'!B:B,'Registre_Maintenance'!G:G,"Pas de correspondance")</f>
        <v>Ericsson</v>
      </c>
      <c r="M628" s="1" t="s">
        <v>809</v>
      </c>
      <c r="N628" s="1">
        <f>_xlfn.XLOOKUP(Logs[[#This Row],[ID_Client]],Clients_Log!B:B,Clients_Log!E:E,"Pas de correspondance")</f>
        <v>101</v>
      </c>
      <c r="O628" s="4">
        <f>IFERROR(Logs[[#This Row],[Anciennete_Mois]]/12,"")</f>
        <v>8.4166666666666661</v>
      </c>
      <c r="P628" s="1" t="str">
        <f>_xlfn.XLOOKUP(Logs[[#This Row],[ID_Client]],Clients_Log!B:B,Clients_Log!F:F,"Pas de correspondance")</f>
        <v>Illimité 50Go</v>
      </c>
      <c r="Q628" s="1" t="str">
        <f>IF(Logs[[#This Row],[Type_Forfait]]="Pro Monde","B2B","B2C")</f>
        <v>B2C</v>
      </c>
      <c r="R628" s="1">
        <f>_xlfn.XLOOKUP(Logs[[#This Row],[ID_Client]],Clients_Log!B:B,Clients_Log!G:G,"Pas de correspondance")</f>
        <v>358</v>
      </c>
      <c r="S628" s="3">
        <f>Logs[[#This Row],[Duree_Cumulee_Panne_Min]]/1440</f>
        <v>0.24861111111111112</v>
      </c>
      <c r="T628" s="1">
        <f>_xlfn.XLOOKUP(Logs[[#This Row],[ID_Client]],Clients_Log!B:B,Clients_Log!H:H,"Pas de correspondance")</f>
        <v>29.24</v>
      </c>
      <c r="U628" s="1">
        <f>_xlfn.XLOOKUP(Logs[[#This Row],[ID_Client]],Clients_Log!B:B,Clients_Log!I:I,"Pas de correspondance")</f>
        <v>3</v>
      </c>
      <c r="V62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28" s="1">
        <f>Logs[[#This Row],[Facture_Mensuelle]]*Logs[[#This Row],[Remise (%)]]</f>
        <v>13.157999999999999</v>
      </c>
    </row>
    <row r="629" spans="1:23" hidden="1" x14ac:dyDescent="0.25">
      <c r="A629" s="1" t="s">
        <v>1269</v>
      </c>
      <c r="B629" s="2">
        <v>45200</v>
      </c>
      <c r="C629" s="1" t="str">
        <f>_xlfn.XLOOKUP(Logs[[#This Row],[Province_RDC]],Clients_Log!D:D,Clients_Log!B:B,"Pas de correspondance")</f>
        <v>Pas de correspondance</v>
      </c>
      <c r="D629" t="str">
        <f>_xlfn.XLOOKUP(Logs[[#This Row],[Cell_ID]],'Registre_Maintenance'!B:B,'Registre_Maintenance'!C:C,"Pas de correspondance")</f>
        <v>Pas de correspondance</v>
      </c>
      <c r="E629" s="3">
        <v>0.39444444444444443</v>
      </c>
      <c r="F629" s="1" t="s">
        <v>1108</v>
      </c>
      <c r="G629" s="3">
        <f>Logs[[#This Row],[Duree_Panne_Min]]/1440</f>
        <v>7.9861111111111105E-2</v>
      </c>
      <c r="H629">
        <v>115</v>
      </c>
      <c r="I629" t="str">
        <f>_xlfn.XLOOKUP(Logs[[#This Row],[Cell_ID]],'Registre_Maintenance'!B:B,'Registre_Maintenance'!D:D,"Pas de correspondance")</f>
        <v>Pas de correspondance</v>
      </c>
      <c r="J629" t="str">
        <f>_xlfn.XLOOKUP(Logs[[#This Row],[Cell_ID]],'Registre_Maintenance'!B:B,'Registre_Maintenance'!E:E,"Pas de correspondance")</f>
        <v>Pas de correspondance</v>
      </c>
      <c r="K629" t="str">
        <f>_xlfn.XLOOKUP(Logs[[#This Row],[Cell_ID]],'Registre_Maintenance'!B:B,'Registre_Maintenance'!F:F,"Pas de correspondance")</f>
        <v>Pas de correspondance</v>
      </c>
      <c r="L629" t="str">
        <f>_xlfn.XLOOKUP(Logs[[#This Row],[Cell_ID]],'Registre_Maintenance'!B:B,'Registre_Maintenance'!G:G,"Pas de correspondance")</f>
        <v>Pas de correspondance</v>
      </c>
      <c r="M629" s="1" t="s">
        <v>809</v>
      </c>
      <c r="N629" s="1" t="str">
        <f>_xlfn.XLOOKUP(Logs[[#This Row],[ID_Client]],Clients_Log!B:B,Clients_Log!E:E,"Pas de correspondance")</f>
        <v>Pas de correspondance</v>
      </c>
      <c r="O629" s="4" t="str">
        <f>IFERROR(Logs[[#This Row],[Anciennete_Mois]]/12,"")</f>
        <v/>
      </c>
      <c r="P629" s="1" t="str">
        <f>_xlfn.XLOOKUP(Logs[[#This Row],[ID_Client]],Clients_Log!B:B,Clients_Log!F:F,"Pas de correspondance")</f>
        <v>Pas de correspondance</v>
      </c>
      <c r="Q629" s="1" t="str">
        <f>IF(Logs[[#This Row],[Type_Forfait]]="Pro Monde","B2B","B2C")</f>
        <v>B2C</v>
      </c>
      <c r="R629" s="1" t="str">
        <f>_xlfn.XLOOKUP(Logs[[#This Row],[ID_Client]],Clients_Log!B:B,Clients_Log!G:G,"Pas de correspondance")</f>
        <v>Pas de correspondance</v>
      </c>
      <c r="S629" s="1" t="e">
        <f>Logs[[#This Row],[Duree_Cumulee_Panne_Min]]/1440</f>
        <v>#VALUE!</v>
      </c>
      <c r="T629" s="1" t="str">
        <f>_xlfn.XLOOKUP(Logs[[#This Row],[ID_Client]],Clients_Log!B:B,Clients_Log!H:H,"Pas de correspondance")</f>
        <v>Pas de correspondance</v>
      </c>
      <c r="U629" s="1" t="str">
        <f>_xlfn.XLOOKUP(Logs[[#This Row],[ID_Client]],Clients_Log!B:B,Clients_Log!I:I,"Pas de correspondance")</f>
        <v>Pas de correspondance</v>
      </c>
      <c r="V62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29" s="1" t="e">
        <f>Logs[[#This Row],[Facture_Mensuelle]]*Logs[[#This Row],[Remise (%)]]</f>
        <v>#VALUE!</v>
      </c>
    </row>
    <row r="630" spans="1:23" x14ac:dyDescent="0.25">
      <c r="A630" s="1" t="s">
        <v>1269</v>
      </c>
      <c r="B630" s="2">
        <v>45211</v>
      </c>
      <c r="C630" s="1" t="str">
        <f>_xlfn.XLOOKUP(Logs[[#This Row],[Province_RDC]],Clients_Log!D:D,Clients_Log!B:B,"Pas de correspondance")</f>
        <v>CLI-01147</v>
      </c>
      <c r="D630" t="str">
        <f>_xlfn.XLOOKUP(Logs[[#This Row],[Cell_ID]],'Registre_Maintenance'!B:B,'Registre_Maintenance'!C:C,"Pas de correspondance")</f>
        <v>Ituri</v>
      </c>
      <c r="E630" s="3">
        <v>0.33750000000000002</v>
      </c>
      <c r="F630" s="1" t="s">
        <v>1283</v>
      </c>
      <c r="G630" s="3">
        <f>Logs[[#This Row],[Duree_Panne_Min]]/1440</f>
        <v>6.1111111111111109E-2</v>
      </c>
      <c r="H630">
        <v>88</v>
      </c>
      <c r="I630">
        <f>_xlfn.XLOOKUP(Logs[[#This Row],[Cell_ID]],'Registre_Maintenance'!B:B,'Registre_Maintenance'!D:D,"Pas de correspondance")</f>
        <v>-12.364127999999999</v>
      </c>
      <c r="J630">
        <f>_xlfn.XLOOKUP(Logs[[#This Row],[Cell_ID]],'Registre_Maintenance'!B:B,'Registre_Maintenance'!E:E,"Pas de correspondance")</f>
        <v>19.576150999999999</v>
      </c>
      <c r="K630" t="str">
        <f>_xlfn.XLOOKUP(Logs[[#This Row],[Cell_ID]],'Registre_Maintenance'!B:B,'Registre_Maintenance'!F:F,"Pas de correspondance")</f>
        <v>3G</v>
      </c>
      <c r="L630" t="str">
        <f>_xlfn.XLOOKUP(Logs[[#This Row],[Cell_ID]],'Registre_Maintenance'!B:B,'Registre_Maintenance'!G:G,"Pas de correspondance")</f>
        <v>Nokia</v>
      </c>
      <c r="M630" s="1" t="s">
        <v>809</v>
      </c>
      <c r="N630" s="1">
        <f>_xlfn.XLOOKUP(Logs[[#This Row],[ID_Client]],Clients_Log!B:B,Clients_Log!E:E,"Pas de correspondance")</f>
        <v>29</v>
      </c>
      <c r="O630" s="4">
        <f>IFERROR(Logs[[#This Row],[Anciennete_Mois]]/12,"")</f>
        <v>2.4166666666666665</v>
      </c>
      <c r="P630" s="1" t="str">
        <f>_xlfn.XLOOKUP(Logs[[#This Row],[ID_Client]],Clients_Log!B:B,Clients_Log!F:F,"Pas de correspondance")</f>
        <v>Premium 5G 150Go</v>
      </c>
      <c r="Q630" s="1" t="str">
        <f>IF(Logs[[#This Row],[Type_Forfait]]="Pro Monde","B2B","B2C")</f>
        <v>B2C</v>
      </c>
      <c r="R630" s="1">
        <f>_xlfn.XLOOKUP(Logs[[#This Row],[ID_Client]],Clients_Log!B:B,Clients_Log!G:G,"Pas de correspondance")</f>
        <v>214</v>
      </c>
      <c r="S630" s="3">
        <f>Logs[[#This Row],[Duree_Cumulee_Panne_Min]]/1440</f>
        <v>0.14861111111111111</v>
      </c>
      <c r="T630" s="1">
        <f>_xlfn.XLOOKUP(Logs[[#This Row],[ID_Client]],Clients_Log!B:B,Clients_Log!H:H,"Pas de correspondance")</f>
        <v>74.7</v>
      </c>
      <c r="U630" s="1">
        <f>_xlfn.XLOOKUP(Logs[[#This Row],[ID_Client]],Clients_Log!B:B,Clients_Log!I:I,"Pas de correspondance")</f>
        <v>3</v>
      </c>
      <c r="V63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30" s="1">
        <f>Logs[[#This Row],[Facture_Mensuelle]]*Logs[[#This Row],[Remise (%)]]</f>
        <v>33.615000000000002</v>
      </c>
    </row>
    <row r="631" spans="1:23" hidden="1" x14ac:dyDescent="0.25">
      <c r="A631" s="1" t="s">
        <v>1269</v>
      </c>
      <c r="B631" s="2">
        <v>45204</v>
      </c>
      <c r="C631" s="1" t="str">
        <f>_xlfn.XLOOKUP(Logs[[#This Row],[Province_RDC]],Clients_Log!D:D,Clients_Log!B:B,"Pas de correspondance")</f>
        <v>Pas de correspondance</v>
      </c>
      <c r="D631" t="str">
        <f>_xlfn.XLOOKUP(Logs[[#This Row],[Cell_ID]],'Registre_Maintenance'!B:B,'Registre_Maintenance'!C:C,"Pas de correspondance")</f>
        <v>Pas de correspondance</v>
      </c>
      <c r="E631" s="3">
        <v>9.0972222222222218E-2</v>
      </c>
      <c r="F631" s="1" t="s">
        <v>1284</v>
      </c>
      <c r="G631" s="3">
        <f>Logs[[#This Row],[Duree_Panne_Min]]/1440</f>
        <v>5.6250000000000001E-2</v>
      </c>
      <c r="H631">
        <v>81</v>
      </c>
      <c r="I631" t="str">
        <f>_xlfn.XLOOKUP(Logs[[#This Row],[Cell_ID]],'Registre_Maintenance'!B:B,'Registre_Maintenance'!D:D,"Pas de correspondance")</f>
        <v>Pas de correspondance</v>
      </c>
      <c r="J631" t="str">
        <f>_xlfn.XLOOKUP(Logs[[#This Row],[Cell_ID]],'Registre_Maintenance'!B:B,'Registre_Maintenance'!E:E,"Pas de correspondance")</f>
        <v>Pas de correspondance</v>
      </c>
      <c r="K631" t="str">
        <f>_xlfn.XLOOKUP(Logs[[#This Row],[Cell_ID]],'Registre_Maintenance'!B:B,'Registre_Maintenance'!F:F,"Pas de correspondance")</f>
        <v>Pas de correspondance</v>
      </c>
      <c r="L631" t="str">
        <f>_xlfn.XLOOKUP(Logs[[#This Row],[Cell_ID]],'Registre_Maintenance'!B:B,'Registre_Maintenance'!G:G,"Pas de correspondance")</f>
        <v>Pas de correspondance</v>
      </c>
      <c r="M631" s="1" t="s">
        <v>806</v>
      </c>
      <c r="N631" s="1" t="str">
        <f>_xlfn.XLOOKUP(Logs[[#This Row],[ID_Client]],Clients_Log!B:B,Clients_Log!E:E,"Pas de correspondance")</f>
        <v>Pas de correspondance</v>
      </c>
      <c r="O631" s="4" t="str">
        <f>IFERROR(Logs[[#This Row],[Anciennete_Mois]]/12,"")</f>
        <v/>
      </c>
      <c r="P631" s="1" t="str">
        <f>_xlfn.XLOOKUP(Logs[[#This Row],[ID_Client]],Clients_Log!B:B,Clients_Log!F:F,"Pas de correspondance")</f>
        <v>Pas de correspondance</v>
      </c>
      <c r="Q631" s="1" t="str">
        <f>IF(Logs[[#This Row],[Type_Forfait]]="Pro Monde","B2B","B2C")</f>
        <v>B2C</v>
      </c>
      <c r="R631" s="1" t="str">
        <f>_xlfn.XLOOKUP(Logs[[#This Row],[ID_Client]],Clients_Log!B:B,Clients_Log!G:G,"Pas de correspondance")</f>
        <v>Pas de correspondance</v>
      </c>
      <c r="S631" s="1" t="e">
        <f>Logs[[#This Row],[Duree_Cumulee_Panne_Min]]/1440</f>
        <v>#VALUE!</v>
      </c>
      <c r="T631" s="1" t="str">
        <f>_xlfn.XLOOKUP(Logs[[#This Row],[ID_Client]],Clients_Log!B:B,Clients_Log!H:H,"Pas de correspondance")</f>
        <v>Pas de correspondance</v>
      </c>
      <c r="U631" s="1" t="str">
        <f>_xlfn.XLOOKUP(Logs[[#This Row],[ID_Client]],Clients_Log!B:B,Clients_Log!I:I,"Pas de correspondance")</f>
        <v>Pas de correspondance</v>
      </c>
      <c r="V63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31" s="1" t="e">
        <f>Logs[[#This Row],[Facture_Mensuelle]]*Logs[[#This Row],[Remise (%)]]</f>
        <v>#VALUE!</v>
      </c>
    </row>
    <row r="632" spans="1:23" hidden="1" x14ac:dyDescent="0.25">
      <c r="A632" s="1" t="s">
        <v>1269</v>
      </c>
      <c r="B632" s="2">
        <v>45213</v>
      </c>
      <c r="C632" s="1" t="str">
        <f>_xlfn.XLOOKUP(Logs[[#This Row],[Province_RDC]],Clients_Log!D:D,Clients_Log!B:B,"Pas de correspondance")</f>
        <v>Pas de correspondance</v>
      </c>
      <c r="D632" t="str">
        <f>_xlfn.XLOOKUP(Logs[[#This Row],[Cell_ID]],'Registre_Maintenance'!B:B,'Registre_Maintenance'!C:C,"Pas de correspondance")</f>
        <v>Pas de correspondance</v>
      </c>
      <c r="E632" s="3">
        <v>0.60763888888888884</v>
      </c>
      <c r="F632" s="1" t="s">
        <v>1285</v>
      </c>
      <c r="G632" s="3">
        <f>Logs[[#This Row],[Duree_Panne_Min]]/1440</f>
        <v>1.5277777777777777E-2</v>
      </c>
      <c r="H632">
        <v>22</v>
      </c>
      <c r="I632" t="str">
        <f>_xlfn.XLOOKUP(Logs[[#This Row],[Cell_ID]],'Registre_Maintenance'!B:B,'Registre_Maintenance'!D:D,"Pas de correspondance")</f>
        <v>Pas de correspondance</v>
      </c>
      <c r="J632" t="str">
        <f>_xlfn.XLOOKUP(Logs[[#This Row],[Cell_ID]],'Registre_Maintenance'!B:B,'Registre_Maintenance'!E:E,"Pas de correspondance")</f>
        <v>Pas de correspondance</v>
      </c>
      <c r="K632" t="str">
        <f>_xlfn.XLOOKUP(Logs[[#This Row],[Cell_ID]],'Registre_Maintenance'!B:B,'Registre_Maintenance'!F:F,"Pas de correspondance")</f>
        <v>Pas de correspondance</v>
      </c>
      <c r="L632" t="str">
        <f>_xlfn.XLOOKUP(Logs[[#This Row],[Cell_ID]],'Registre_Maintenance'!B:B,'Registre_Maintenance'!G:G,"Pas de correspondance")</f>
        <v>Pas de correspondance</v>
      </c>
      <c r="M632" s="1" t="s">
        <v>806</v>
      </c>
      <c r="N632" s="1" t="str">
        <f>_xlfn.XLOOKUP(Logs[[#This Row],[ID_Client]],Clients_Log!B:B,Clients_Log!E:E,"Pas de correspondance")</f>
        <v>Pas de correspondance</v>
      </c>
      <c r="O632" s="4" t="str">
        <f>IFERROR(Logs[[#This Row],[Anciennete_Mois]]/12,"")</f>
        <v/>
      </c>
      <c r="P632" s="1" t="str">
        <f>_xlfn.XLOOKUP(Logs[[#This Row],[ID_Client]],Clients_Log!B:B,Clients_Log!F:F,"Pas de correspondance")</f>
        <v>Pas de correspondance</v>
      </c>
      <c r="Q632" s="1" t="str">
        <f>IF(Logs[[#This Row],[Type_Forfait]]="Pro Monde","B2B","B2C")</f>
        <v>B2C</v>
      </c>
      <c r="R632" s="1" t="str">
        <f>_xlfn.XLOOKUP(Logs[[#This Row],[ID_Client]],Clients_Log!B:B,Clients_Log!G:G,"Pas de correspondance")</f>
        <v>Pas de correspondance</v>
      </c>
      <c r="S632" s="1" t="e">
        <f>Logs[[#This Row],[Duree_Cumulee_Panne_Min]]/1440</f>
        <v>#VALUE!</v>
      </c>
      <c r="T632" s="1" t="str">
        <f>_xlfn.XLOOKUP(Logs[[#This Row],[ID_Client]],Clients_Log!B:B,Clients_Log!H:H,"Pas de correspondance")</f>
        <v>Pas de correspondance</v>
      </c>
      <c r="U632" s="1" t="str">
        <f>_xlfn.XLOOKUP(Logs[[#This Row],[ID_Client]],Clients_Log!B:B,Clients_Log!I:I,"Pas de correspondance")</f>
        <v>Pas de correspondance</v>
      </c>
      <c r="V63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32" s="1" t="e">
        <f>Logs[[#This Row],[Facture_Mensuelle]]*Logs[[#This Row],[Remise (%)]]</f>
        <v>#VALUE!</v>
      </c>
    </row>
    <row r="633" spans="1:23" hidden="1" x14ac:dyDescent="0.25">
      <c r="A633" s="1" t="s">
        <v>1269</v>
      </c>
      <c r="B633" s="2">
        <v>45217</v>
      </c>
      <c r="C633" s="1" t="str">
        <f>_xlfn.XLOOKUP(Logs[[#This Row],[Province_RDC]],Clients_Log!D:D,Clients_Log!B:B,"Pas de correspondance")</f>
        <v>Pas de correspondance</v>
      </c>
      <c r="D633" t="str">
        <f>_xlfn.XLOOKUP(Logs[[#This Row],[Cell_ID]],'Registre_Maintenance'!B:B,'Registre_Maintenance'!C:C,"Pas de correspondance")</f>
        <v>Pas de correspondance</v>
      </c>
      <c r="E633" s="3">
        <v>0.68472222222222223</v>
      </c>
      <c r="F633" s="1" t="s">
        <v>1005</v>
      </c>
      <c r="G633" s="3">
        <f>Logs[[#This Row],[Duree_Panne_Min]]/1440</f>
        <v>2.9861111111111113E-2</v>
      </c>
      <c r="H633">
        <v>43</v>
      </c>
      <c r="I633" t="str">
        <f>_xlfn.XLOOKUP(Logs[[#This Row],[Cell_ID]],'Registre_Maintenance'!B:B,'Registre_Maintenance'!D:D,"Pas de correspondance")</f>
        <v>Pas de correspondance</v>
      </c>
      <c r="J633" t="str">
        <f>_xlfn.XLOOKUP(Logs[[#This Row],[Cell_ID]],'Registre_Maintenance'!B:B,'Registre_Maintenance'!E:E,"Pas de correspondance")</f>
        <v>Pas de correspondance</v>
      </c>
      <c r="K633" t="str">
        <f>_xlfn.XLOOKUP(Logs[[#This Row],[Cell_ID]],'Registre_Maintenance'!B:B,'Registre_Maintenance'!F:F,"Pas de correspondance")</f>
        <v>Pas de correspondance</v>
      </c>
      <c r="L633" t="str">
        <f>_xlfn.XLOOKUP(Logs[[#This Row],[Cell_ID]],'Registre_Maintenance'!B:B,'Registre_Maintenance'!G:G,"Pas de correspondance")</f>
        <v>Pas de correspondance</v>
      </c>
      <c r="M633" s="1" t="s">
        <v>806</v>
      </c>
      <c r="N633" s="1" t="str">
        <f>_xlfn.XLOOKUP(Logs[[#This Row],[ID_Client]],Clients_Log!B:B,Clients_Log!E:E,"Pas de correspondance")</f>
        <v>Pas de correspondance</v>
      </c>
      <c r="O633" s="4" t="str">
        <f>IFERROR(Logs[[#This Row],[Anciennete_Mois]]/12,"")</f>
        <v/>
      </c>
      <c r="P633" s="1" t="str">
        <f>_xlfn.XLOOKUP(Logs[[#This Row],[ID_Client]],Clients_Log!B:B,Clients_Log!F:F,"Pas de correspondance")</f>
        <v>Pas de correspondance</v>
      </c>
      <c r="Q633" s="1" t="str">
        <f>IF(Logs[[#This Row],[Type_Forfait]]="Pro Monde","B2B","B2C")</f>
        <v>B2C</v>
      </c>
      <c r="R633" s="1" t="str">
        <f>_xlfn.XLOOKUP(Logs[[#This Row],[ID_Client]],Clients_Log!B:B,Clients_Log!G:G,"Pas de correspondance")</f>
        <v>Pas de correspondance</v>
      </c>
      <c r="S633" s="1" t="e">
        <f>Logs[[#This Row],[Duree_Cumulee_Panne_Min]]/1440</f>
        <v>#VALUE!</v>
      </c>
      <c r="T633" s="1" t="str">
        <f>_xlfn.XLOOKUP(Logs[[#This Row],[ID_Client]],Clients_Log!B:B,Clients_Log!H:H,"Pas de correspondance")</f>
        <v>Pas de correspondance</v>
      </c>
      <c r="U633" s="1" t="str">
        <f>_xlfn.XLOOKUP(Logs[[#This Row],[ID_Client]],Clients_Log!B:B,Clients_Log!I:I,"Pas de correspondance")</f>
        <v>Pas de correspondance</v>
      </c>
      <c r="V63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33" s="1" t="e">
        <f>Logs[[#This Row],[Facture_Mensuelle]]*Logs[[#This Row],[Remise (%)]]</f>
        <v>#VALUE!</v>
      </c>
    </row>
    <row r="634" spans="1:23" hidden="1" x14ac:dyDescent="0.25">
      <c r="A634" s="1" t="s">
        <v>1269</v>
      </c>
      <c r="B634" s="2">
        <v>45203</v>
      </c>
      <c r="C634" s="1" t="str">
        <f>_xlfn.XLOOKUP(Logs[[#This Row],[Province_RDC]],Clients_Log!D:D,Clients_Log!B:B,"Pas de correspondance")</f>
        <v>Pas de correspondance</v>
      </c>
      <c r="D634" t="str">
        <f>_xlfn.XLOOKUP(Logs[[#This Row],[Cell_ID]],'Registre_Maintenance'!B:B,'Registre_Maintenance'!C:C,"Pas de correspondance")</f>
        <v>Pas de correspondance</v>
      </c>
      <c r="E634" s="3">
        <v>3.472222222222222E-3</v>
      </c>
      <c r="F634" s="1" t="s">
        <v>1286</v>
      </c>
      <c r="G634" s="3">
        <f>Logs[[#This Row],[Duree_Panne_Min]]/1440</f>
        <v>3.1944444444444442E-2</v>
      </c>
      <c r="H634">
        <v>46</v>
      </c>
      <c r="I634" t="str">
        <f>_xlfn.XLOOKUP(Logs[[#This Row],[Cell_ID]],'Registre_Maintenance'!B:B,'Registre_Maintenance'!D:D,"Pas de correspondance")</f>
        <v>Pas de correspondance</v>
      </c>
      <c r="J634" t="str">
        <f>_xlfn.XLOOKUP(Logs[[#This Row],[Cell_ID]],'Registre_Maintenance'!B:B,'Registre_Maintenance'!E:E,"Pas de correspondance")</f>
        <v>Pas de correspondance</v>
      </c>
      <c r="K634" t="str">
        <f>_xlfn.XLOOKUP(Logs[[#This Row],[Cell_ID]],'Registre_Maintenance'!B:B,'Registre_Maintenance'!F:F,"Pas de correspondance")</f>
        <v>Pas de correspondance</v>
      </c>
      <c r="L634" t="str">
        <f>_xlfn.XLOOKUP(Logs[[#This Row],[Cell_ID]],'Registre_Maintenance'!B:B,'Registre_Maintenance'!G:G,"Pas de correspondance")</f>
        <v>Pas de correspondance</v>
      </c>
      <c r="M634" s="1" t="s">
        <v>809</v>
      </c>
      <c r="N634" s="1" t="str">
        <f>_xlfn.XLOOKUP(Logs[[#This Row],[ID_Client]],Clients_Log!B:B,Clients_Log!E:E,"Pas de correspondance")</f>
        <v>Pas de correspondance</v>
      </c>
      <c r="O634" s="4" t="str">
        <f>IFERROR(Logs[[#This Row],[Anciennete_Mois]]/12,"")</f>
        <v/>
      </c>
      <c r="P634" s="1" t="str">
        <f>_xlfn.XLOOKUP(Logs[[#This Row],[ID_Client]],Clients_Log!B:B,Clients_Log!F:F,"Pas de correspondance")</f>
        <v>Pas de correspondance</v>
      </c>
      <c r="Q634" s="1" t="str">
        <f>IF(Logs[[#This Row],[Type_Forfait]]="Pro Monde","B2B","B2C")</f>
        <v>B2C</v>
      </c>
      <c r="R634" s="1" t="str">
        <f>_xlfn.XLOOKUP(Logs[[#This Row],[ID_Client]],Clients_Log!B:B,Clients_Log!G:G,"Pas de correspondance")</f>
        <v>Pas de correspondance</v>
      </c>
      <c r="S634" s="1" t="e">
        <f>Logs[[#This Row],[Duree_Cumulee_Panne_Min]]/1440</f>
        <v>#VALUE!</v>
      </c>
      <c r="T634" s="1" t="str">
        <f>_xlfn.XLOOKUP(Logs[[#This Row],[ID_Client]],Clients_Log!B:B,Clients_Log!H:H,"Pas de correspondance")</f>
        <v>Pas de correspondance</v>
      </c>
      <c r="U634" s="1" t="str">
        <f>_xlfn.XLOOKUP(Logs[[#This Row],[ID_Client]],Clients_Log!B:B,Clients_Log!I:I,"Pas de correspondance")</f>
        <v>Pas de correspondance</v>
      </c>
      <c r="V63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34" s="1" t="e">
        <f>Logs[[#This Row],[Facture_Mensuelle]]*Logs[[#This Row],[Remise (%)]]</f>
        <v>#VALUE!</v>
      </c>
    </row>
    <row r="635" spans="1:23" hidden="1" x14ac:dyDescent="0.25">
      <c r="A635" s="1" t="s">
        <v>1269</v>
      </c>
      <c r="B635" s="2">
        <v>45211</v>
      </c>
      <c r="C635" s="1" t="str">
        <f>_xlfn.XLOOKUP(Logs[[#This Row],[Province_RDC]],Clients_Log!D:D,Clients_Log!B:B,"Pas de correspondance")</f>
        <v>Pas de correspondance</v>
      </c>
      <c r="D635" t="str">
        <f>_xlfn.XLOOKUP(Logs[[#This Row],[Cell_ID]],'Registre_Maintenance'!B:B,'Registre_Maintenance'!C:C,"Pas de correspondance")</f>
        <v>Pas de correspondance</v>
      </c>
      <c r="E635" s="3">
        <v>0.71180555555555558</v>
      </c>
      <c r="F635" s="1" t="s">
        <v>1287</v>
      </c>
      <c r="G635" s="3">
        <f>Logs[[#This Row],[Duree_Panne_Min]]/1440</f>
        <v>5.6944444444444443E-2</v>
      </c>
      <c r="H635">
        <v>82</v>
      </c>
      <c r="I635" t="str">
        <f>_xlfn.XLOOKUP(Logs[[#This Row],[Cell_ID]],'Registre_Maintenance'!B:B,'Registre_Maintenance'!D:D,"Pas de correspondance")</f>
        <v>Pas de correspondance</v>
      </c>
      <c r="J635" t="str">
        <f>_xlfn.XLOOKUP(Logs[[#This Row],[Cell_ID]],'Registre_Maintenance'!B:B,'Registre_Maintenance'!E:E,"Pas de correspondance")</f>
        <v>Pas de correspondance</v>
      </c>
      <c r="K635" t="str">
        <f>_xlfn.XLOOKUP(Logs[[#This Row],[Cell_ID]],'Registre_Maintenance'!B:B,'Registre_Maintenance'!F:F,"Pas de correspondance")</f>
        <v>Pas de correspondance</v>
      </c>
      <c r="L635" t="str">
        <f>_xlfn.XLOOKUP(Logs[[#This Row],[Cell_ID]],'Registre_Maintenance'!B:B,'Registre_Maintenance'!G:G,"Pas de correspondance")</f>
        <v>Pas de correspondance</v>
      </c>
      <c r="M635" s="1" t="s">
        <v>809</v>
      </c>
      <c r="N635" s="1" t="str">
        <f>_xlfn.XLOOKUP(Logs[[#This Row],[ID_Client]],Clients_Log!B:B,Clients_Log!E:E,"Pas de correspondance")</f>
        <v>Pas de correspondance</v>
      </c>
      <c r="O635" s="4" t="str">
        <f>IFERROR(Logs[[#This Row],[Anciennete_Mois]]/12,"")</f>
        <v/>
      </c>
      <c r="P635" s="1" t="str">
        <f>_xlfn.XLOOKUP(Logs[[#This Row],[ID_Client]],Clients_Log!B:B,Clients_Log!F:F,"Pas de correspondance")</f>
        <v>Pas de correspondance</v>
      </c>
      <c r="Q635" s="1" t="str">
        <f>IF(Logs[[#This Row],[Type_Forfait]]="Pro Monde","B2B","B2C")</f>
        <v>B2C</v>
      </c>
      <c r="R635" s="1" t="str">
        <f>_xlfn.XLOOKUP(Logs[[#This Row],[ID_Client]],Clients_Log!B:B,Clients_Log!G:G,"Pas de correspondance")</f>
        <v>Pas de correspondance</v>
      </c>
      <c r="S635" s="1" t="e">
        <f>Logs[[#This Row],[Duree_Cumulee_Panne_Min]]/1440</f>
        <v>#VALUE!</v>
      </c>
      <c r="T635" s="1" t="str">
        <f>_xlfn.XLOOKUP(Logs[[#This Row],[ID_Client]],Clients_Log!B:B,Clients_Log!H:H,"Pas de correspondance")</f>
        <v>Pas de correspondance</v>
      </c>
      <c r="U635" s="1" t="str">
        <f>_xlfn.XLOOKUP(Logs[[#This Row],[ID_Client]],Clients_Log!B:B,Clients_Log!I:I,"Pas de correspondance")</f>
        <v>Pas de correspondance</v>
      </c>
      <c r="V63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35" s="1" t="e">
        <f>Logs[[#This Row],[Facture_Mensuelle]]*Logs[[#This Row],[Remise (%)]]</f>
        <v>#VALUE!</v>
      </c>
    </row>
    <row r="636" spans="1:23" x14ac:dyDescent="0.25">
      <c r="A636" s="1" t="s">
        <v>1269</v>
      </c>
      <c r="B636" s="2">
        <v>45219</v>
      </c>
      <c r="C636" s="1" t="str">
        <f>_xlfn.XLOOKUP(Logs[[#This Row],[Province_RDC]],Clients_Log!D:D,Clients_Log!B:B,"Pas de correspondance")</f>
        <v>CLI-01855</v>
      </c>
      <c r="D636" t="str">
        <f>_xlfn.XLOOKUP(Logs[[#This Row],[Cell_ID]],'Registre_Maintenance'!B:B,'Registre_Maintenance'!C:C,"Pas de correspondance")</f>
        <v>Sud-Kivu</v>
      </c>
      <c r="E636" s="3">
        <v>0.82638888888888884</v>
      </c>
      <c r="F636" s="1" t="s">
        <v>846</v>
      </c>
      <c r="G636" s="3">
        <f>Logs[[#This Row],[Duree_Panne_Min]]/1440</f>
        <v>6.458333333333334E-2</v>
      </c>
      <c r="H636">
        <v>93</v>
      </c>
      <c r="I636">
        <f>_xlfn.XLOOKUP(Logs[[#This Row],[Cell_ID]],'Registre_Maintenance'!B:B,'Registre_Maintenance'!D:D,"Pas de correspondance")</f>
        <v>4.2493650000000001</v>
      </c>
      <c r="J636">
        <f>_xlfn.XLOOKUP(Logs[[#This Row],[Cell_ID]],'Registre_Maintenance'!B:B,'Registre_Maintenance'!E:E,"Pas de correspondance")</f>
        <v>28.355039999999999</v>
      </c>
      <c r="K636" t="str">
        <f>_xlfn.XLOOKUP(Logs[[#This Row],[Cell_ID]],'Registre_Maintenance'!B:B,'Registre_Maintenance'!F:F,"Pas de correspondance")</f>
        <v>3G</v>
      </c>
      <c r="L636" t="str">
        <f>_xlfn.XLOOKUP(Logs[[#This Row],[Cell_ID]],'Registre_Maintenance'!B:B,'Registre_Maintenance'!G:G,"Pas de correspondance")</f>
        <v>ZTE</v>
      </c>
      <c r="M636" s="1" t="s">
        <v>811</v>
      </c>
      <c r="N636" s="1">
        <f>_xlfn.XLOOKUP(Logs[[#This Row],[ID_Client]],Clients_Log!B:B,Clients_Log!E:E,"Pas de correspondance")</f>
        <v>101</v>
      </c>
      <c r="O636" s="4">
        <f>IFERROR(Logs[[#This Row],[Anciennete_Mois]]/12,"")</f>
        <v>8.4166666666666661</v>
      </c>
      <c r="P636" s="1" t="str">
        <f>_xlfn.XLOOKUP(Logs[[#This Row],[ID_Client]],Clients_Log!B:B,Clients_Log!F:F,"Pas de correspondance")</f>
        <v>Illimité 50Go</v>
      </c>
      <c r="Q636" s="1" t="str">
        <f>IF(Logs[[#This Row],[Type_Forfait]]="Pro Monde","B2B","B2C")</f>
        <v>B2C</v>
      </c>
      <c r="R636" s="1">
        <f>_xlfn.XLOOKUP(Logs[[#This Row],[ID_Client]],Clients_Log!B:B,Clients_Log!G:G,"Pas de correspondance")</f>
        <v>358</v>
      </c>
      <c r="S636" s="3">
        <f>Logs[[#This Row],[Duree_Cumulee_Panne_Min]]/1440</f>
        <v>0.24861111111111112</v>
      </c>
      <c r="T636" s="1">
        <f>_xlfn.XLOOKUP(Logs[[#This Row],[ID_Client]],Clients_Log!B:B,Clients_Log!H:H,"Pas de correspondance")</f>
        <v>29.24</v>
      </c>
      <c r="U636" s="1">
        <f>_xlfn.XLOOKUP(Logs[[#This Row],[ID_Client]],Clients_Log!B:B,Clients_Log!I:I,"Pas de correspondance")</f>
        <v>3</v>
      </c>
      <c r="V63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36" s="1">
        <f>Logs[[#This Row],[Facture_Mensuelle]]*Logs[[#This Row],[Remise (%)]]</f>
        <v>13.157999999999999</v>
      </c>
    </row>
    <row r="637" spans="1:23" hidden="1" x14ac:dyDescent="0.25">
      <c r="A637" s="1" t="s">
        <v>1269</v>
      </c>
      <c r="B637" s="2">
        <v>45210</v>
      </c>
      <c r="C637" s="1" t="str">
        <f>_xlfn.XLOOKUP(Logs[[#This Row],[Province_RDC]],Clients_Log!D:D,Clients_Log!B:B,"Pas de correspondance")</f>
        <v>Pas de correspondance</v>
      </c>
      <c r="D637" t="str">
        <f>_xlfn.XLOOKUP(Logs[[#This Row],[Cell_ID]],'Registre_Maintenance'!B:B,'Registre_Maintenance'!C:C,"Pas de correspondance")</f>
        <v>Pas de correspondance</v>
      </c>
      <c r="E637" s="3">
        <v>0.5</v>
      </c>
      <c r="F637" s="1" t="s">
        <v>1288</v>
      </c>
      <c r="G637" s="3">
        <f>Logs[[#This Row],[Duree_Panne_Min]]/1440</f>
        <v>2.0833333333333332E-2</v>
      </c>
      <c r="H637">
        <v>30</v>
      </c>
      <c r="I637" t="str">
        <f>_xlfn.XLOOKUP(Logs[[#This Row],[Cell_ID]],'Registre_Maintenance'!B:B,'Registre_Maintenance'!D:D,"Pas de correspondance")</f>
        <v>Pas de correspondance</v>
      </c>
      <c r="J637" t="str">
        <f>_xlfn.XLOOKUP(Logs[[#This Row],[Cell_ID]],'Registre_Maintenance'!B:B,'Registre_Maintenance'!E:E,"Pas de correspondance")</f>
        <v>Pas de correspondance</v>
      </c>
      <c r="K637" t="str">
        <f>_xlfn.XLOOKUP(Logs[[#This Row],[Cell_ID]],'Registre_Maintenance'!B:B,'Registre_Maintenance'!F:F,"Pas de correspondance")</f>
        <v>Pas de correspondance</v>
      </c>
      <c r="L637" t="str">
        <f>_xlfn.XLOOKUP(Logs[[#This Row],[Cell_ID]],'Registre_Maintenance'!B:B,'Registre_Maintenance'!G:G,"Pas de correspondance")</f>
        <v>Pas de correspondance</v>
      </c>
      <c r="M637" s="1" t="s">
        <v>806</v>
      </c>
      <c r="N637" s="1" t="str">
        <f>_xlfn.XLOOKUP(Logs[[#This Row],[ID_Client]],Clients_Log!B:B,Clients_Log!E:E,"Pas de correspondance")</f>
        <v>Pas de correspondance</v>
      </c>
      <c r="O637" s="4" t="str">
        <f>IFERROR(Logs[[#This Row],[Anciennete_Mois]]/12,"")</f>
        <v/>
      </c>
      <c r="P637" s="1" t="str">
        <f>_xlfn.XLOOKUP(Logs[[#This Row],[ID_Client]],Clients_Log!B:B,Clients_Log!F:F,"Pas de correspondance")</f>
        <v>Pas de correspondance</v>
      </c>
      <c r="Q637" s="1" t="str">
        <f>IF(Logs[[#This Row],[Type_Forfait]]="Pro Monde","B2B","B2C")</f>
        <v>B2C</v>
      </c>
      <c r="R637" s="1" t="str">
        <f>_xlfn.XLOOKUP(Logs[[#This Row],[ID_Client]],Clients_Log!B:B,Clients_Log!G:G,"Pas de correspondance")</f>
        <v>Pas de correspondance</v>
      </c>
      <c r="S637" s="1" t="e">
        <f>Logs[[#This Row],[Duree_Cumulee_Panne_Min]]/1440</f>
        <v>#VALUE!</v>
      </c>
      <c r="T637" s="1" t="str">
        <f>_xlfn.XLOOKUP(Logs[[#This Row],[ID_Client]],Clients_Log!B:B,Clients_Log!H:H,"Pas de correspondance")</f>
        <v>Pas de correspondance</v>
      </c>
      <c r="U637" s="1" t="str">
        <f>_xlfn.XLOOKUP(Logs[[#This Row],[ID_Client]],Clients_Log!B:B,Clients_Log!I:I,"Pas de correspondance")</f>
        <v>Pas de correspondance</v>
      </c>
      <c r="V63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37" s="1" t="e">
        <f>Logs[[#This Row],[Facture_Mensuelle]]*Logs[[#This Row],[Remise (%)]]</f>
        <v>#VALUE!</v>
      </c>
    </row>
    <row r="638" spans="1:23" x14ac:dyDescent="0.25">
      <c r="A638" s="1" t="s">
        <v>1269</v>
      </c>
      <c r="B638" s="2">
        <v>45209</v>
      </c>
      <c r="C638" s="1" t="str">
        <f>_xlfn.XLOOKUP(Logs[[#This Row],[Province_RDC]],Clients_Log!D:D,Clients_Log!B:B,"Pas de correspondance")</f>
        <v>CLI-01147</v>
      </c>
      <c r="D638" t="str">
        <f>_xlfn.XLOOKUP(Logs[[#This Row],[Cell_ID]],'Registre_Maintenance'!B:B,'Registre_Maintenance'!C:C,"Pas de correspondance")</f>
        <v>Ituri</v>
      </c>
      <c r="E638" s="3">
        <v>0.55833333333333335</v>
      </c>
      <c r="F638" s="1" t="s">
        <v>1289</v>
      </c>
      <c r="G638" s="3">
        <f>Logs[[#This Row],[Duree_Panne_Min]]/1440</f>
        <v>4.583333333333333E-2</v>
      </c>
      <c r="H638">
        <v>66</v>
      </c>
      <c r="I638">
        <f>_xlfn.XLOOKUP(Logs[[#This Row],[Cell_ID]],'Registre_Maintenance'!B:B,'Registre_Maintenance'!D:D,"Pas de correspondance")</f>
        <v>-12.595355</v>
      </c>
      <c r="J638">
        <f>_xlfn.XLOOKUP(Logs[[#This Row],[Cell_ID]],'Registre_Maintenance'!B:B,'Registre_Maintenance'!E:E,"Pas de correspondance")</f>
        <v>17.897442000000002</v>
      </c>
      <c r="K638" t="str">
        <f>_xlfn.XLOOKUP(Logs[[#This Row],[Cell_ID]],'Registre_Maintenance'!B:B,'Registre_Maintenance'!F:F,"Pas de correspondance")</f>
        <v>4G</v>
      </c>
      <c r="L638" t="str">
        <f>_xlfn.XLOOKUP(Logs[[#This Row],[Cell_ID]],'Registre_Maintenance'!B:B,'Registre_Maintenance'!G:G,"Pas de correspondance")</f>
        <v>Huawei</v>
      </c>
      <c r="M638" s="1" t="s">
        <v>809</v>
      </c>
      <c r="N638" s="1">
        <f>_xlfn.XLOOKUP(Logs[[#This Row],[ID_Client]],Clients_Log!B:B,Clients_Log!E:E,"Pas de correspondance")</f>
        <v>29</v>
      </c>
      <c r="O638" s="4">
        <f>IFERROR(Logs[[#This Row],[Anciennete_Mois]]/12,"")</f>
        <v>2.4166666666666665</v>
      </c>
      <c r="P638" s="1" t="str">
        <f>_xlfn.XLOOKUP(Logs[[#This Row],[ID_Client]],Clients_Log!B:B,Clients_Log!F:F,"Pas de correspondance")</f>
        <v>Premium 5G 150Go</v>
      </c>
      <c r="Q638" s="1" t="str">
        <f>IF(Logs[[#This Row],[Type_Forfait]]="Pro Monde","B2B","B2C")</f>
        <v>B2C</v>
      </c>
      <c r="R638" s="1">
        <f>_xlfn.XLOOKUP(Logs[[#This Row],[ID_Client]],Clients_Log!B:B,Clients_Log!G:G,"Pas de correspondance")</f>
        <v>214</v>
      </c>
      <c r="S638" s="3">
        <f>Logs[[#This Row],[Duree_Cumulee_Panne_Min]]/1440</f>
        <v>0.14861111111111111</v>
      </c>
      <c r="T638" s="1">
        <f>_xlfn.XLOOKUP(Logs[[#This Row],[ID_Client]],Clients_Log!B:B,Clients_Log!H:H,"Pas de correspondance")</f>
        <v>74.7</v>
      </c>
      <c r="U638" s="1">
        <f>_xlfn.XLOOKUP(Logs[[#This Row],[ID_Client]],Clients_Log!B:B,Clients_Log!I:I,"Pas de correspondance")</f>
        <v>3</v>
      </c>
      <c r="V63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38" s="1">
        <f>Logs[[#This Row],[Facture_Mensuelle]]*Logs[[#This Row],[Remise (%)]]</f>
        <v>33.615000000000002</v>
      </c>
    </row>
    <row r="639" spans="1:23" hidden="1" x14ac:dyDescent="0.25">
      <c r="A639" s="1" t="s">
        <v>1269</v>
      </c>
      <c r="B639" s="2">
        <v>45224</v>
      </c>
      <c r="C639" s="1" t="str">
        <f>_xlfn.XLOOKUP(Logs[[#This Row],[Province_RDC]],Clients_Log!D:D,Clients_Log!B:B,"Pas de correspondance")</f>
        <v>Pas de correspondance</v>
      </c>
      <c r="D639" t="str">
        <f>_xlfn.XLOOKUP(Logs[[#This Row],[Cell_ID]],'Registre_Maintenance'!B:B,'Registre_Maintenance'!C:C,"Pas de correspondance")</f>
        <v>Pas de correspondance</v>
      </c>
      <c r="E639" s="3">
        <v>0.11527777777777778</v>
      </c>
      <c r="F639" s="1" t="s">
        <v>1290</v>
      </c>
      <c r="G639" s="3">
        <f>Logs[[#This Row],[Duree_Panne_Min]]/1440</f>
        <v>3.125E-2</v>
      </c>
      <c r="H639">
        <v>45</v>
      </c>
      <c r="I639" t="str">
        <f>_xlfn.XLOOKUP(Logs[[#This Row],[Cell_ID]],'Registre_Maintenance'!B:B,'Registre_Maintenance'!D:D,"Pas de correspondance")</f>
        <v>Pas de correspondance</v>
      </c>
      <c r="J639" t="str">
        <f>_xlfn.XLOOKUP(Logs[[#This Row],[Cell_ID]],'Registre_Maintenance'!B:B,'Registre_Maintenance'!E:E,"Pas de correspondance")</f>
        <v>Pas de correspondance</v>
      </c>
      <c r="K639" t="str">
        <f>_xlfn.XLOOKUP(Logs[[#This Row],[Cell_ID]],'Registre_Maintenance'!B:B,'Registre_Maintenance'!F:F,"Pas de correspondance")</f>
        <v>Pas de correspondance</v>
      </c>
      <c r="L639" t="str">
        <f>_xlfn.XLOOKUP(Logs[[#This Row],[Cell_ID]],'Registre_Maintenance'!B:B,'Registre_Maintenance'!G:G,"Pas de correspondance")</f>
        <v>Pas de correspondance</v>
      </c>
      <c r="M639" s="1" t="s">
        <v>809</v>
      </c>
      <c r="N639" s="1" t="str">
        <f>_xlfn.XLOOKUP(Logs[[#This Row],[ID_Client]],Clients_Log!B:B,Clients_Log!E:E,"Pas de correspondance")</f>
        <v>Pas de correspondance</v>
      </c>
      <c r="O639" s="4" t="str">
        <f>IFERROR(Logs[[#This Row],[Anciennete_Mois]]/12,"")</f>
        <v/>
      </c>
      <c r="P639" s="1" t="str">
        <f>_xlfn.XLOOKUP(Logs[[#This Row],[ID_Client]],Clients_Log!B:B,Clients_Log!F:F,"Pas de correspondance")</f>
        <v>Pas de correspondance</v>
      </c>
      <c r="Q639" s="1" t="str">
        <f>IF(Logs[[#This Row],[Type_Forfait]]="Pro Monde","B2B","B2C")</f>
        <v>B2C</v>
      </c>
      <c r="R639" s="1" t="str">
        <f>_xlfn.XLOOKUP(Logs[[#This Row],[ID_Client]],Clients_Log!B:B,Clients_Log!G:G,"Pas de correspondance")</f>
        <v>Pas de correspondance</v>
      </c>
      <c r="S639" s="1" t="e">
        <f>Logs[[#This Row],[Duree_Cumulee_Panne_Min]]/1440</f>
        <v>#VALUE!</v>
      </c>
      <c r="T639" s="1" t="str">
        <f>_xlfn.XLOOKUP(Logs[[#This Row],[ID_Client]],Clients_Log!B:B,Clients_Log!H:H,"Pas de correspondance")</f>
        <v>Pas de correspondance</v>
      </c>
      <c r="U639" s="1" t="str">
        <f>_xlfn.XLOOKUP(Logs[[#This Row],[ID_Client]],Clients_Log!B:B,Clients_Log!I:I,"Pas de correspondance")</f>
        <v>Pas de correspondance</v>
      </c>
      <c r="V63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39" s="1" t="e">
        <f>Logs[[#This Row],[Facture_Mensuelle]]*Logs[[#This Row],[Remise (%)]]</f>
        <v>#VALUE!</v>
      </c>
    </row>
    <row r="640" spans="1:23" x14ac:dyDescent="0.25">
      <c r="A640" s="1" t="s">
        <v>1269</v>
      </c>
      <c r="B640" s="2">
        <v>45228</v>
      </c>
      <c r="C640" s="1" t="str">
        <f>_xlfn.XLOOKUP(Logs[[#This Row],[Province_RDC]],Clients_Log!D:D,Clients_Log!B:B,"Pas de correspondance")</f>
        <v>CLI-01005</v>
      </c>
      <c r="D640" t="str">
        <f>_xlfn.XLOOKUP(Logs[[#This Row],[Cell_ID]],'Registre_Maintenance'!B:B,'Registre_Maintenance'!C:C,"Pas de correspondance")</f>
        <v>Lualaba</v>
      </c>
      <c r="E640" s="3">
        <v>0.74791666666666667</v>
      </c>
      <c r="F640" s="1" t="s">
        <v>1268</v>
      </c>
      <c r="G640" s="3">
        <f>Logs[[#This Row],[Duree_Panne_Min]]/1440</f>
        <v>1.8749999999999999E-2</v>
      </c>
      <c r="H640">
        <v>27</v>
      </c>
      <c r="I640">
        <f>_xlfn.XLOOKUP(Logs[[#This Row],[Cell_ID]],'Registre_Maintenance'!B:B,'Registre_Maintenance'!D:D,"Pas de correspondance")</f>
        <v>-8.0301989999999996</v>
      </c>
      <c r="J640">
        <f>_xlfn.XLOOKUP(Logs[[#This Row],[Cell_ID]],'Registre_Maintenance'!B:B,'Registre_Maintenance'!E:E,"Pas de correspondance")</f>
        <v>24.122495000000001</v>
      </c>
      <c r="K640" t="str">
        <f>_xlfn.XLOOKUP(Logs[[#This Row],[Cell_ID]],'Registre_Maintenance'!B:B,'Registre_Maintenance'!F:F,"Pas de correspondance")</f>
        <v>5G</v>
      </c>
      <c r="L640" t="str">
        <f>_xlfn.XLOOKUP(Logs[[#This Row],[Cell_ID]],'Registre_Maintenance'!B:B,'Registre_Maintenance'!G:G,"Pas de correspondance")</f>
        <v>ZTE</v>
      </c>
      <c r="M640" s="1" t="s">
        <v>806</v>
      </c>
      <c r="N640" s="1">
        <f>_xlfn.XLOOKUP(Logs[[#This Row],[ID_Client]],Clients_Log!B:B,Clients_Log!E:E,"Pas de correspondance")</f>
        <v>80</v>
      </c>
      <c r="O640" s="4">
        <f>IFERROR(Logs[[#This Row],[Anciennete_Mois]]/12,"")</f>
        <v>6.666666666666667</v>
      </c>
      <c r="P640" s="1" t="str">
        <f>_xlfn.XLOOKUP(Logs[[#This Row],[ID_Client]],Clients_Log!B:B,Clients_Log!F:F,"Pas de correspondance")</f>
        <v>Illimité 50Go</v>
      </c>
      <c r="Q640" s="1" t="str">
        <f>IF(Logs[[#This Row],[Type_Forfait]]="Pro Monde","B2B","B2C")</f>
        <v>B2C</v>
      </c>
      <c r="R640" s="1">
        <f>_xlfn.XLOOKUP(Logs[[#This Row],[ID_Client]],Clients_Log!B:B,Clients_Log!G:G,"Pas de correspondance")</f>
        <v>155</v>
      </c>
      <c r="S640" s="3">
        <f>Logs[[#This Row],[Duree_Cumulee_Panne_Min]]/1440</f>
        <v>0.1076388888888889</v>
      </c>
      <c r="T640" s="1">
        <f>_xlfn.XLOOKUP(Logs[[#This Row],[ID_Client]],Clients_Log!B:B,Clients_Log!H:H,"Pas de correspondance")</f>
        <v>28.96</v>
      </c>
      <c r="U640" s="1">
        <f>_xlfn.XLOOKUP(Logs[[#This Row],[ID_Client]],Clients_Log!B:B,Clients_Log!I:I,"Pas de correspondance")</f>
        <v>2</v>
      </c>
      <c r="V64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640" s="1">
        <f>Logs[[#This Row],[Facture_Mensuelle]]*Logs[[#This Row],[Remise (%)]]</f>
        <v>0</v>
      </c>
    </row>
    <row r="641" spans="1:23" hidden="1" x14ac:dyDescent="0.25">
      <c r="A641" s="1" t="s">
        <v>1269</v>
      </c>
      <c r="B641" s="2">
        <v>45207</v>
      </c>
      <c r="C641" s="1" t="str">
        <f>_xlfn.XLOOKUP(Logs[[#This Row],[Province_RDC]],Clients_Log!D:D,Clients_Log!B:B,"Pas de correspondance")</f>
        <v>Pas de correspondance</v>
      </c>
      <c r="D641" t="str">
        <f>_xlfn.XLOOKUP(Logs[[#This Row],[Cell_ID]],'Registre_Maintenance'!B:B,'Registre_Maintenance'!C:C,"Pas de correspondance")</f>
        <v>Pas de correspondance</v>
      </c>
      <c r="E641" s="3">
        <v>0.7729166666666667</v>
      </c>
      <c r="F641" s="1" t="s">
        <v>1259</v>
      </c>
      <c r="G641" s="3">
        <f>Logs[[#This Row],[Duree_Panne_Min]]/1440</f>
        <v>3.8194444444444448E-2</v>
      </c>
      <c r="H641">
        <v>55</v>
      </c>
      <c r="I641" t="str">
        <f>_xlfn.XLOOKUP(Logs[[#This Row],[Cell_ID]],'Registre_Maintenance'!B:B,'Registre_Maintenance'!D:D,"Pas de correspondance")</f>
        <v>Pas de correspondance</v>
      </c>
      <c r="J641" t="str">
        <f>_xlfn.XLOOKUP(Logs[[#This Row],[Cell_ID]],'Registre_Maintenance'!B:B,'Registre_Maintenance'!E:E,"Pas de correspondance")</f>
        <v>Pas de correspondance</v>
      </c>
      <c r="K641" t="str">
        <f>_xlfn.XLOOKUP(Logs[[#This Row],[Cell_ID]],'Registre_Maintenance'!B:B,'Registre_Maintenance'!F:F,"Pas de correspondance")</f>
        <v>Pas de correspondance</v>
      </c>
      <c r="L641" t="str">
        <f>_xlfn.XLOOKUP(Logs[[#This Row],[Cell_ID]],'Registre_Maintenance'!B:B,'Registre_Maintenance'!G:G,"Pas de correspondance")</f>
        <v>Pas de correspondance</v>
      </c>
      <c r="M641" s="1" t="s">
        <v>809</v>
      </c>
      <c r="N641" s="1" t="str">
        <f>_xlfn.XLOOKUP(Logs[[#This Row],[ID_Client]],Clients_Log!B:B,Clients_Log!E:E,"Pas de correspondance")</f>
        <v>Pas de correspondance</v>
      </c>
      <c r="O641" s="4" t="str">
        <f>IFERROR(Logs[[#This Row],[Anciennete_Mois]]/12,"")</f>
        <v/>
      </c>
      <c r="P641" s="1" t="str">
        <f>_xlfn.XLOOKUP(Logs[[#This Row],[ID_Client]],Clients_Log!B:B,Clients_Log!F:F,"Pas de correspondance")</f>
        <v>Pas de correspondance</v>
      </c>
      <c r="Q641" s="1" t="str">
        <f>IF(Logs[[#This Row],[Type_Forfait]]="Pro Monde","B2B","B2C")</f>
        <v>B2C</v>
      </c>
      <c r="R641" s="1" t="str">
        <f>_xlfn.XLOOKUP(Logs[[#This Row],[ID_Client]],Clients_Log!B:B,Clients_Log!G:G,"Pas de correspondance")</f>
        <v>Pas de correspondance</v>
      </c>
      <c r="S641" s="1" t="e">
        <f>Logs[[#This Row],[Duree_Cumulee_Panne_Min]]/1440</f>
        <v>#VALUE!</v>
      </c>
      <c r="T641" s="1" t="str">
        <f>_xlfn.XLOOKUP(Logs[[#This Row],[ID_Client]],Clients_Log!B:B,Clients_Log!H:H,"Pas de correspondance")</f>
        <v>Pas de correspondance</v>
      </c>
      <c r="U641" s="1" t="str">
        <f>_xlfn.XLOOKUP(Logs[[#This Row],[ID_Client]],Clients_Log!B:B,Clients_Log!I:I,"Pas de correspondance")</f>
        <v>Pas de correspondance</v>
      </c>
      <c r="V64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41" s="1" t="e">
        <f>Logs[[#This Row],[Facture_Mensuelle]]*Logs[[#This Row],[Remise (%)]]</f>
        <v>#VALUE!</v>
      </c>
    </row>
    <row r="642" spans="1:23" hidden="1" x14ac:dyDescent="0.25">
      <c r="A642" s="1" t="s">
        <v>1269</v>
      </c>
      <c r="B642" s="2">
        <v>45205</v>
      </c>
      <c r="C642" s="1" t="str">
        <f>_xlfn.XLOOKUP(Logs[[#This Row],[Province_RDC]],Clients_Log!D:D,Clients_Log!B:B,"Pas de correspondance")</f>
        <v>Pas de correspondance</v>
      </c>
      <c r="D642" t="str">
        <f>_xlfn.XLOOKUP(Logs[[#This Row],[Cell_ID]],'Registre_Maintenance'!B:B,'Registre_Maintenance'!C:C,"Pas de correspondance")</f>
        <v>Pas de correspondance</v>
      </c>
      <c r="E642" s="3">
        <v>0.89166666666666672</v>
      </c>
      <c r="F642" s="1" t="s">
        <v>1259</v>
      </c>
      <c r="G642" s="3">
        <f>Logs[[#This Row],[Duree_Panne_Min]]/1440</f>
        <v>3.125E-2</v>
      </c>
      <c r="H642">
        <v>45</v>
      </c>
      <c r="I642" t="str">
        <f>_xlfn.XLOOKUP(Logs[[#This Row],[Cell_ID]],'Registre_Maintenance'!B:B,'Registre_Maintenance'!D:D,"Pas de correspondance")</f>
        <v>Pas de correspondance</v>
      </c>
      <c r="J642" t="str">
        <f>_xlfn.XLOOKUP(Logs[[#This Row],[Cell_ID]],'Registre_Maintenance'!B:B,'Registre_Maintenance'!E:E,"Pas de correspondance")</f>
        <v>Pas de correspondance</v>
      </c>
      <c r="K642" t="str">
        <f>_xlfn.XLOOKUP(Logs[[#This Row],[Cell_ID]],'Registre_Maintenance'!B:B,'Registre_Maintenance'!F:F,"Pas de correspondance")</f>
        <v>Pas de correspondance</v>
      </c>
      <c r="L642" t="str">
        <f>_xlfn.XLOOKUP(Logs[[#This Row],[Cell_ID]],'Registre_Maintenance'!B:B,'Registre_Maintenance'!G:G,"Pas de correspondance")</f>
        <v>Pas de correspondance</v>
      </c>
      <c r="M642" s="1" t="s">
        <v>809</v>
      </c>
      <c r="N642" s="1" t="str">
        <f>_xlfn.XLOOKUP(Logs[[#This Row],[ID_Client]],Clients_Log!B:B,Clients_Log!E:E,"Pas de correspondance")</f>
        <v>Pas de correspondance</v>
      </c>
      <c r="O642" s="4" t="str">
        <f>IFERROR(Logs[[#This Row],[Anciennete_Mois]]/12,"")</f>
        <v/>
      </c>
      <c r="P642" s="1" t="str">
        <f>_xlfn.XLOOKUP(Logs[[#This Row],[ID_Client]],Clients_Log!B:B,Clients_Log!F:F,"Pas de correspondance")</f>
        <v>Pas de correspondance</v>
      </c>
      <c r="Q642" s="1" t="str">
        <f>IF(Logs[[#This Row],[Type_Forfait]]="Pro Monde","B2B","B2C")</f>
        <v>B2C</v>
      </c>
      <c r="R642" s="1" t="str">
        <f>_xlfn.XLOOKUP(Logs[[#This Row],[ID_Client]],Clients_Log!B:B,Clients_Log!G:G,"Pas de correspondance")</f>
        <v>Pas de correspondance</v>
      </c>
      <c r="S642" s="1" t="e">
        <f>Logs[[#This Row],[Duree_Cumulee_Panne_Min]]/1440</f>
        <v>#VALUE!</v>
      </c>
      <c r="T642" s="1" t="str">
        <f>_xlfn.XLOOKUP(Logs[[#This Row],[ID_Client]],Clients_Log!B:B,Clients_Log!H:H,"Pas de correspondance")</f>
        <v>Pas de correspondance</v>
      </c>
      <c r="U642" s="1" t="str">
        <f>_xlfn.XLOOKUP(Logs[[#This Row],[ID_Client]],Clients_Log!B:B,Clients_Log!I:I,"Pas de correspondance")</f>
        <v>Pas de correspondance</v>
      </c>
      <c r="V64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42" s="1" t="e">
        <f>Logs[[#This Row],[Facture_Mensuelle]]*Logs[[#This Row],[Remise (%)]]</f>
        <v>#VALUE!</v>
      </c>
    </row>
    <row r="643" spans="1:23" x14ac:dyDescent="0.25">
      <c r="A643" s="1" t="s">
        <v>1269</v>
      </c>
      <c r="B643" s="2">
        <v>45205</v>
      </c>
      <c r="C643" s="1" t="str">
        <f>_xlfn.XLOOKUP(Logs[[#This Row],[Province_RDC]],Clients_Log!D:D,Clients_Log!B:B,"Pas de correspondance")</f>
        <v>CLI-00280</v>
      </c>
      <c r="D643" t="str">
        <f>_xlfn.XLOOKUP(Logs[[#This Row],[Cell_ID]],'Registre_Maintenance'!B:B,'Registre_Maintenance'!C:C,"Pas de correspondance")</f>
        <v>Sud-Ubangi</v>
      </c>
      <c r="E643" s="3">
        <v>0.17847222222222223</v>
      </c>
      <c r="F643" s="1" t="s">
        <v>1291</v>
      </c>
      <c r="G643" s="3">
        <f>Logs[[#This Row],[Duree_Panne_Min]]/1440</f>
        <v>2.9166666666666667E-2</v>
      </c>
      <c r="H643">
        <v>42</v>
      </c>
      <c r="I643">
        <f>_xlfn.XLOOKUP(Logs[[#This Row],[Cell_ID]],'Registre_Maintenance'!B:B,'Registre_Maintenance'!D:D,"Pas de correspondance")</f>
        <v>3.611561</v>
      </c>
      <c r="J643">
        <f>_xlfn.XLOOKUP(Logs[[#This Row],[Cell_ID]],'Registre_Maintenance'!B:B,'Registre_Maintenance'!E:E,"Pas de correspondance")</f>
        <v>17.725974999999998</v>
      </c>
      <c r="K643" t="str">
        <f>_xlfn.XLOOKUP(Logs[[#This Row],[Cell_ID]],'Registre_Maintenance'!B:B,'Registre_Maintenance'!F:F,"Pas de correspondance")</f>
        <v>3G</v>
      </c>
      <c r="L643" t="str">
        <f>_xlfn.XLOOKUP(Logs[[#This Row],[Cell_ID]],'Registre_Maintenance'!B:B,'Registre_Maintenance'!G:G,"Pas de correspondance")</f>
        <v>ZTE</v>
      </c>
      <c r="M643" s="1" t="s">
        <v>809</v>
      </c>
      <c r="N643" s="1">
        <f>_xlfn.XLOOKUP(Logs[[#This Row],[ID_Client]],Clients_Log!B:B,Clients_Log!E:E,"Pas de correspondance")</f>
        <v>113</v>
      </c>
      <c r="O643" s="4">
        <f>IFERROR(Logs[[#This Row],[Anciennete_Mois]]/12,"")</f>
        <v>9.4166666666666661</v>
      </c>
      <c r="P643" s="1" t="str">
        <f>_xlfn.XLOOKUP(Logs[[#This Row],[ID_Client]],Clients_Log!B:B,Clients_Log!F:F,"Pas de correspondance")</f>
        <v>Illimité 50Go</v>
      </c>
      <c r="Q643" s="1" t="str">
        <f>IF(Logs[[#This Row],[Type_Forfait]]="Pro Monde","B2B","B2C")</f>
        <v>B2C</v>
      </c>
      <c r="R643" s="1">
        <f>_xlfn.XLOOKUP(Logs[[#This Row],[ID_Client]],Clients_Log!B:B,Clients_Log!G:G,"Pas de correspondance")</f>
        <v>380</v>
      </c>
      <c r="S643" s="3">
        <f>Logs[[#This Row],[Duree_Cumulee_Panne_Min]]/1440</f>
        <v>0.2638888888888889</v>
      </c>
      <c r="T643" s="1">
        <f>_xlfn.XLOOKUP(Logs[[#This Row],[ID_Client]],Clients_Log!B:B,Clients_Log!H:H,"Pas de correspondance")</f>
        <v>12.11</v>
      </c>
      <c r="U643" s="1">
        <f>_xlfn.XLOOKUP(Logs[[#This Row],[ID_Client]],Clients_Log!B:B,Clients_Log!I:I,"Pas de correspondance")</f>
        <v>0</v>
      </c>
      <c r="V64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43" s="1">
        <f>Logs[[#This Row],[Facture_Mensuelle]]*Logs[[#This Row],[Remise (%)]]</f>
        <v>5.4494999999999996</v>
      </c>
    </row>
    <row r="644" spans="1:23" x14ac:dyDescent="0.25">
      <c r="A644" s="1" t="s">
        <v>1269</v>
      </c>
      <c r="B644" s="2">
        <v>45209</v>
      </c>
      <c r="C644" s="1" t="str">
        <f>_xlfn.XLOOKUP(Logs[[#This Row],[Province_RDC]],Clients_Log!D:D,Clients_Log!B:B,"Pas de correspondance")</f>
        <v>CLI-00611</v>
      </c>
      <c r="D644" t="str">
        <f>_xlfn.XLOOKUP(Logs[[#This Row],[Cell_ID]],'Registre_Maintenance'!B:B,'Registre_Maintenance'!C:C,"Pas de correspondance")</f>
        <v>Kinshasa</v>
      </c>
      <c r="E644" s="3">
        <v>0.35486111111111113</v>
      </c>
      <c r="F644" s="1" t="s">
        <v>1224</v>
      </c>
      <c r="G644" s="3">
        <f>Logs[[#This Row],[Duree_Panne_Min]]/1440</f>
        <v>6.8750000000000006E-2</v>
      </c>
      <c r="H644">
        <v>99</v>
      </c>
      <c r="I644">
        <f>_xlfn.XLOOKUP(Logs[[#This Row],[Cell_ID]],'Registre_Maintenance'!B:B,'Registre_Maintenance'!D:D,"Pas de correspondance")</f>
        <v>1.3006180000000001</v>
      </c>
      <c r="J644">
        <f>_xlfn.XLOOKUP(Logs[[#This Row],[Cell_ID]],'Registre_Maintenance'!B:B,'Registre_Maintenance'!E:E,"Pas de correspondance")</f>
        <v>29.060970999999999</v>
      </c>
      <c r="K644" t="str">
        <f>_xlfn.XLOOKUP(Logs[[#This Row],[Cell_ID]],'Registre_Maintenance'!B:B,'Registre_Maintenance'!F:F,"Pas de correspondance")</f>
        <v>3G</v>
      </c>
      <c r="L644" t="str">
        <f>_xlfn.XLOOKUP(Logs[[#This Row],[Cell_ID]],'Registre_Maintenance'!B:B,'Registre_Maintenance'!G:G,"Pas de correspondance")</f>
        <v>ZTE</v>
      </c>
      <c r="M644" s="1" t="s">
        <v>809</v>
      </c>
      <c r="N644" s="1">
        <f>_xlfn.XLOOKUP(Logs[[#This Row],[ID_Client]],Clients_Log!B:B,Clients_Log!E:E,"Pas de correspondance")</f>
        <v>79</v>
      </c>
      <c r="O644" s="4">
        <f>IFERROR(Logs[[#This Row],[Anciennete_Mois]]/12,"")</f>
        <v>6.583333333333333</v>
      </c>
      <c r="P644" s="1" t="str">
        <f>_xlfn.XLOOKUP(Logs[[#This Row],[ID_Client]],Clients_Log!B:B,Clients_Log!F:F,"Pas de correspondance")</f>
        <v>Premium 5G 150Go</v>
      </c>
      <c r="Q644" s="1" t="str">
        <f>IF(Logs[[#This Row],[Type_Forfait]]="Pro Monde","B2B","B2C")</f>
        <v>B2C</v>
      </c>
      <c r="R644" s="1">
        <f>_xlfn.XLOOKUP(Logs[[#This Row],[ID_Client]],Clients_Log!B:B,Clients_Log!G:G,"Pas de correspondance")</f>
        <v>226</v>
      </c>
      <c r="S644" s="3">
        <f>Logs[[#This Row],[Duree_Cumulee_Panne_Min]]/1440</f>
        <v>0.15694444444444444</v>
      </c>
      <c r="T644" s="1">
        <f>_xlfn.XLOOKUP(Logs[[#This Row],[ID_Client]],Clients_Log!B:B,Clients_Log!H:H,"Pas de correspondance")</f>
        <v>94.38</v>
      </c>
      <c r="U644" s="1">
        <f>_xlfn.XLOOKUP(Logs[[#This Row],[ID_Client]],Clients_Log!B:B,Clients_Log!I:I,"Pas de correspondance")</f>
        <v>3</v>
      </c>
      <c r="V64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644" s="1">
        <f>Logs[[#This Row],[Facture_Mensuelle]]*Logs[[#This Row],[Remise (%)]]</f>
        <v>0</v>
      </c>
    </row>
    <row r="645" spans="1:23" hidden="1" x14ac:dyDescent="0.25">
      <c r="A645" s="1" t="s">
        <v>1269</v>
      </c>
      <c r="B645" s="2">
        <v>45204</v>
      </c>
      <c r="C645" s="1" t="str">
        <f>_xlfn.XLOOKUP(Logs[[#This Row],[Province_RDC]],Clients_Log!D:D,Clients_Log!B:B,"Pas de correspondance")</f>
        <v>Pas de correspondance</v>
      </c>
      <c r="D645" t="str">
        <f>_xlfn.XLOOKUP(Logs[[#This Row],[Cell_ID]],'Registre_Maintenance'!B:B,'Registre_Maintenance'!C:C,"Pas de correspondance")</f>
        <v>Pas de correspondance</v>
      </c>
      <c r="E645" s="3">
        <v>9.0277777777777776E-2</v>
      </c>
      <c r="F645" s="1" t="s">
        <v>1292</v>
      </c>
      <c r="G645" s="3">
        <f>Logs[[#This Row],[Duree_Panne_Min]]/1440</f>
        <v>6.458333333333334E-2</v>
      </c>
      <c r="H645">
        <v>93</v>
      </c>
      <c r="I645" t="str">
        <f>_xlfn.XLOOKUP(Logs[[#This Row],[Cell_ID]],'Registre_Maintenance'!B:B,'Registre_Maintenance'!D:D,"Pas de correspondance")</f>
        <v>Pas de correspondance</v>
      </c>
      <c r="J645" t="str">
        <f>_xlfn.XLOOKUP(Logs[[#This Row],[Cell_ID]],'Registre_Maintenance'!B:B,'Registre_Maintenance'!E:E,"Pas de correspondance")</f>
        <v>Pas de correspondance</v>
      </c>
      <c r="K645" t="str">
        <f>_xlfn.XLOOKUP(Logs[[#This Row],[Cell_ID]],'Registre_Maintenance'!B:B,'Registre_Maintenance'!F:F,"Pas de correspondance")</f>
        <v>Pas de correspondance</v>
      </c>
      <c r="L645" t="str">
        <f>_xlfn.XLOOKUP(Logs[[#This Row],[Cell_ID]],'Registre_Maintenance'!B:B,'Registre_Maintenance'!G:G,"Pas de correspondance")</f>
        <v>Pas de correspondance</v>
      </c>
      <c r="M645" s="1" t="s">
        <v>811</v>
      </c>
      <c r="N645" s="1" t="str">
        <f>_xlfn.XLOOKUP(Logs[[#This Row],[ID_Client]],Clients_Log!B:B,Clients_Log!E:E,"Pas de correspondance")</f>
        <v>Pas de correspondance</v>
      </c>
      <c r="O645" s="4" t="str">
        <f>IFERROR(Logs[[#This Row],[Anciennete_Mois]]/12,"")</f>
        <v/>
      </c>
      <c r="P645" s="1" t="str">
        <f>_xlfn.XLOOKUP(Logs[[#This Row],[ID_Client]],Clients_Log!B:B,Clients_Log!F:F,"Pas de correspondance")</f>
        <v>Pas de correspondance</v>
      </c>
      <c r="Q645" s="1" t="str">
        <f>IF(Logs[[#This Row],[Type_Forfait]]="Pro Monde","B2B","B2C")</f>
        <v>B2C</v>
      </c>
      <c r="R645" s="1" t="str">
        <f>_xlfn.XLOOKUP(Logs[[#This Row],[ID_Client]],Clients_Log!B:B,Clients_Log!G:G,"Pas de correspondance")</f>
        <v>Pas de correspondance</v>
      </c>
      <c r="S645" s="1" t="e">
        <f>Logs[[#This Row],[Duree_Cumulee_Panne_Min]]/1440</f>
        <v>#VALUE!</v>
      </c>
      <c r="T645" s="1" t="str">
        <f>_xlfn.XLOOKUP(Logs[[#This Row],[ID_Client]],Clients_Log!B:B,Clients_Log!H:H,"Pas de correspondance")</f>
        <v>Pas de correspondance</v>
      </c>
      <c r="U645" s="1" t="str">
        <f>_xlfn.XLOOKUP(Logs[[#This Row],[ID_Client]],Clients_Log!B:B,Clients_Log!I:I,"Pas de correspondance")</f>
        <v>Pas de correspondance</v>
      </c>
      <c r="V64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45" s="1" t="e">
        <f>Logs[[#This Row],[Facture_Mensuelle]]*Logs[[#This Row],[Remise (%)]]</f>
        <v>#VALUE!</v>
      </c>
    </row>
    <row r="646" spans="1:23" x14ac:dyDescent="0.25">
      <c r="A646" s="1" t="s">
        <v>1269</v>
      </c>
      <c r="B646" s="2">
        <v>45213</v>
      </c>
      <c r="C646" s="1" t="str">
        <f>_xlfn.XLOOKUP(Logs[[#This Row],[Province_RDC]],Clients_Log!D:D,Clients_Log!B:B,"Pas de correspondance")</f>
        <v>CLI-00185</v>
      </c>
      <c r="D646" t="str">
        <f>_xlfn.XLOOKUP(Logs[[#This Row],[Cell_ID]],'Registre_Maintenance'!B:B,'Registre_Maintenance'!C:C,"Pas de correspondance")</f>
        <v>Maniema</v>
      </c>
      <c r="E646" s="3">
        <v>0.35138888888888886</v>
      </c>
      <c r="F646" s="1" t="s">
        <v>1293</v>
      </c>
      <c r="G646" s="3">
        <f>Logs[[#This Row],[Duree_Panne_Min]]/1440</f>
        <v>5.9722222222222225E-2</v>
      </c>
      <c r="H646">
        <v>86</v>
      </c>
      <c r="I646">
        <f>_xlfn.XLOOKUP(Logs[[#This Row],[Cell_ID]],'Registre_Maintenance'!B:B,'Registre_Maintenance'!D:D,"Pas de correspondance")</f>
        <v>4.8228650000000002</v>
      </c>
      <c r="J646">
        <f>_xlfn.XLOOKUP(Logs[[#This Row],[Cell_ID]],'Registre_Maintenance'!B:B,'Registre_Maintenance'!E:E,"Pas de correspondance")</f>
        <v>30.555627000000001</v>
      </c>
      <c r="K646" t="str">
        <f>_xlfn.XLOOKUP(Logs[[#This Row],[Cell_ID]],'Registre_Maintenance'!B:B,'Registre_Maintenance'!F:F,"Pas de correspondance")</f>
        <v>4G</v>
      </c>
      <c r="L646" t="str">
        <f>_xlfn.XLOOKUP(Logs[[#This Row],[Cell_ID]],'Registre_Maintenance'!B:B,'Registre_Maintenance'!G:G,"Pas de correspondance")</f>
        <v>Huawei</v>
      </c>
      <c r="M646" s="1" t="s">
        <v>811</v>
      </c>
      <c r="N646" s="1">
        <f>_xlfn.XLOOKUP(Logs[[#This Row],[ID_Client]],Clients_Log!B:B,Clients_Log!E:E,"Pas de correspondance")</f>
        <v>81</v>
      </c>
      <c r="O646" s="4">
        <f>IFERROR(Logs[[#This Row],[Anciennete_Mois]]/12,"")</f>
        <v>6.75</v>
      </c>
      <c r="P646" s="1" t="str">
        <f>_xlfn.XLOOKUP(Logs[[#This Row],[ID_Client]],Clients_Log!B:B,Clients_Log!F:F,"Pas de correspondance")</f>
        <v>Pro Monde</v>
      </c>
      <c r="Q646" s="1" t="str">
        <f>IF(Logs[[#This Row],[Type_Forfait]]="Pro Monde","B2B","B2C")</f>
        <v>B2B</v>
      </c>
      <c r="R646" s="1">
        <f>_xlfn.XLOOKUP(Logs[[#This Row],[ID_Client]],Clients_Log!B:B,Clients_Log!G:G,"Pas de correspondance")</f>
        <v>154</v>
      </c>
      <c r="S646" s="3">
        <f>Logs[[#This Row],[Duree_Cumulee_Panne_Min]]/1440</f>
        <v>0.10694444444444444</v>
      </c>
      <c r="T646" s="1">
        <f>_xlfn.XLOOKUP(Logs[[#This Row],[ID_Client]],Clients_Log!B:B,Clients_Log!H:H,"Pas de correspondance")</f>
        <v>19.47</v>
      </c>
      <c r="U646" s="1">
        <f>_xlfn.XLOOKUP(Logs[[#This Row],[ID_Client]],Clients_Log!B:B,Clients_Log!I:I,"Pas de correspondance")</f>
        <v>3</v>
      </c>
      <c r="V64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646" s="1">
        <f>Logs[[#This Row],[Facture_Mensuelle]]*Logs[[#This Row],[Remise (%)]]</f>
        <v>1.9470000000000001</v>
      </c>
    </row>
    <row r="647" spans="1:23" x14ac:dyDescent="0.25">
      <c r="A647" s="1" t="s">
        <v>1269</v>
      </c>
      <c r="B647" s="2">
        <v>45209</v>
      </c>
      <c r="C647" s="1" t="str">
        <f>_xlfn.XLOOKUP(Logs[[#This Row],[Province_RDC]],Clients_Log!D:D,Clients_Log!B:B,"Pas de correspondance")</f>
        <v>CLI-01170</v>
      </c>
      <c r="D647" t="str">
        <f>_xlfn.XLOOKUP(Logs[[#This Row],[Cell_ID]],'Registre_Maintenance'!B:B,'Registre_Maintenance'!C:C,"Pas de correspondance")</f>
        <v>Nord-Ubangi</v>
      </c>
      <c r="E647" s="3">
        <v>0.65972222222222221</v>
      </c>
      <c r="F647" s="1" t="s">
        <v>1064</v>
      </c>
      <c r="G647" s="3">
        <f>Logs[[#This Row],[Duree_Panne_Min]]/1440</f>
        <v>4.6527777777777779E-2</v>
      </c>
      <c r="H647">
        <v>67</v>
      </c>
      <c r="I647">
        <f>_xlfn.XLOOKUP(Logs[[#This Row],[Cell_ID]],'Registre_Maintenance'!B:B,'Registre_Maintenance'!D:D,"Pas de correspondance")</f>
        <v>-7.7839049999999999</v>
      </c>
      <c r="J647">
        <f>_xlfn.XLOOKUP(Logs[[#This Row],[Cell_ID]],'Registre_Maintenance'!B:B,'Registre_Maintenance'!E:E,"Pas de correspondance")</f>
        <v>14.114281999999999</v>
      </c>
      <c r="K647" t="str">
        <f>_xlfn.XLOOKUP(Logs[[#This Row],[Cell_ID]],'Registre_Maintenance'!B:B,'Registre_Maintenance'!F:F,"Pas de correspondance")</f>
        <v>3G</v>
      </c>
      <c r="L647" t="str">
        <f>_xlfn.XLOOKUP(Logs[[#This Row],[Cell_ID]],'Registre_Maintenance'!B:B,'Registre_Maintenance'!G:G,"Pas de correspondance")</f>
        <v>ZTE</v>
      </c>
      <c r="M647" s="1" t="s">
        <v>811</v>
      </c>
      <c r="N647" s="1">
        <f>_xlfn.XLOOKUP(Logs[[#This Row],[ID_Client]],Clients_Log!B:B,Clients_Log!E:E,"Pas de correspondance")</f>
        <v>98</v>
      </c>
      <c r="O647" s="4">
        <f>IFERROR(Logs[[#This Row],[Anciennete_Mois]]/12,"")</f>
        <v>8.1666666666666661</v>
      </c>
      <c r="P647" s="1" t="str">
        <f>_xlfn.XLOOKUP(Logs[[#This Row],[ID_Client]],Clients_Log!B:B,Clients_Log!F:F,"Pas de correspondance")</f>
        <v>Pro Monde</v>
      </c>
      <c r="Q647" s="1" t="str">
        <f>IF(Logs[[#This Row],[Type_Forfait]]="Pro Monde","B2B","B2C")</f>
        <v>B2B</v>
      </c>
      <c r="R647" s="1">
        <f>_xlfn.XLOOKUP(Logs[[#This Row],[ID_Client]],Clients_Log!B:B,Clients_Log!G:G,"Pas de correspondance")</f>
        <v>482</v>
      </c>
      <c r="S647" s="3">
        <f>Logs[[#This Row],[Duree_Cumulee_Panne_Min]]/1440</f>
        <v>0.3347222222222222</v>
      </c>
      <c r="T647" s="1">
        <f>_xlfn.XLOOKUP(Logs[[#This Row],[ID_Client]],Clients_Log!B:B,Clients_Log!H:H,"Pas de correspondance")</f>
        <v>55.04</v>
      </c>
      <c r="U647" s="1">
        <f>_xlfn.XLOOKUP(Logs[[#This Row],[ID_Client]],Clients_Log!B:B,Clients_Log!I:I,"Pas de correspondance")</f>
        <v>5</v>
      </c>
      <c r="V64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47" s="1">
        <f>Logs[[#This Row],[Facture_Mensuelle]]*Logs[[#This Row],[Remise (%)]]</f>
        <v>24.768000000000001</v>
      </c>
    </row>
    <row r="648" spans="1:23" hidden="1" x14ac:dyDescent="0.25">
      <c r="A648" s="1" t="s">
        <v>1269</v>
      </c>
      <c r="B648" s="2">
        <v>45202</v>
      </c>
      <c r="C648" s="1" t="str">
        <f>_xlfn.XLOOKUP(Logs[[#This Row],[Province_RDC]],Clients_Log!D:D,Clients_Log!B:B,"Pas de correspondance")</f>
        <v>Pas de correspondance</v>
      </c>
      <c r="D648" t="str">
        <f>_xlfn.XLOOKUP(Logs[[#This Row],[Cell_ID]],'Registre_Maintenance'!B:B,'Registre_Maintenance'!C:C,"Pas de correspondance")</f>
        <v>Pas de correspondance</v>
      </c>
      <c r="E648" s="3">
        <v>0.46944444444444444</v>
      </c>
      <c r="F648" s="1" t="s">
        <v>1294</v>
      </c>
      <c r="G648" s="3">
        <f>Logs[[#This Row],[Duree_Panne_Min]]/1440</f>
        <v>5.4166666666666669E-2</v>
      </c>
      <c r="H648">
        <v>78</v>
      </c>
      <c r="I648" t="str">
        <f>_xlfn.XLOOKUP(Logs[[#This Row],[Cell_ID]],'Registre_Maintenance'!B:B,'Registre_Maintenance'!D:D,"Pas de correspondance")</f>
        <v>Pas de correspondance</v>
      </c>
      <c r="J648" t="str">
        <f>_xlfn.XLOOKUP(Logs[[#This Row],[Cell_ID]],'Registre_Maintenance'!B:B,'Registre_Maintenance'!E:E,"Pas de correspondance")</f>
        <v>Pas de correspondance</v>
      </c>
      <c r="K648" t="str">
        <f>_xlfn.XLOOKUP(Logs[[#This Row],[Cell_ID]],'Registre_Maintenance'!B:B,'Registre_Maintenance'!F:F,"Pas de correspondance")</f>
        <v>Pas de correspondance</v>
      </c>
      <c r="L648" t="str">
        <f>_xlfn.XLOOKUP(Logs[[#This Row],[Cell_ID]],'Registre_Maintenance'!B:B,'Registre_Maintenance'!G:G,"Pas de correspondance")</f>
        <v>Pas de correspondance</v>
      </c>
      <c r="M648" s="1" t="s">
        <v>806</v>
      </c>
      <c r="N648" s="1" t="str">
        <f>_xlfn.XLOOKUP(Logs[[#This Row],[ID_Client]],Clients_Log!B:B,Clients_Log!E:E,"Pas de correspondance")</f>
        <v>Pas de correspondance</v>
      </c>
      <c r="O648" s="4" t="str">
        <f>IFERROR(Logs[[#This Row],[Anciennete_Mois]]/12,"")</f>
        <v/>
      </c>
      <c r="P648" s="1" t="str">
        <f>_xlfn.XLOOKUP(Logs[[#This Row],[ID_Client]],Clients_Log!B:B,Clients_Log!F:F,"Pas de correspondance")</f>
        <v>Pas de correspondance</v>
      </c>
      <c r="Q648" s="1" t="str">
        <f>IF(Logs[[#This Row],[Type_Forfait]]="Pro Monde","B2B","B2C")</f>
        <v>B2C</v>
      </c>
      <c r="R648" s="1" t="str">
        <f>_xlfn.XLOOKUP(Logs[[#This Row],[ID_Client]],Clients_Log!B:B,Clients_Log!G:G,"Pas de correspondance")</f>
        <v>Pas de correspondance</v>
      </c>
      <c r="S648" s="1" t="e">
        <f>Logs[[#This Row],[Duree_Cumulee_Panne_Min]]/1440</f>
        <v>#VALUE!</v>
      </c>
      <c r="T648" s="1" t="str">
        <f>_xlfn.XLOOKUP(Logs[[#This Row],[ID_Client]],Clients_Log!B:B,Clients_Log!H:H,"Pas de correspondance")</f>
        <v>Pas de correspondance</v>
      </c>
      <c r="U648" s="1" t="str">
        <f>_xlfn.XLOOKUP(Logs[[#This Row],[ID_Client]],Clients_Log!B:B,Clients_Log!I:I,"Pas de correspondance")</f>
        <v>Pas de correspondance</v>
      </c>
      <c r="V64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48" s="1" t="e">
        <f>Logs[[#This Row],[Facture_Mensuelle]]*Logs[[#This Row],[Remise (%)]]</f>
        <v>#VALUE!</v>
      </c>
    </row>
    <row r="649" spans="1:23" hidden="1" x14ac:dyDescent="0.25">
      <c r="A649" s="1" t="s">
        <v>1269</v>
      </c>
      <c r="B649" s="2">
        <v>45230</v>
      </c>
      <c r="C649" s="1" t="str">
        <f>_xlfn.XLOOKUP(Logs[[#This Row],[Province_RDC]],Clients_Log!D:D,Clients_Log!B:B,"Pas de correspondance")</f>
        <v>Pas de correspondance</v>
      </c>
      <c r="D649" t="str">
        <f>_xlfn.XLOOKUP(Logs[[#This Row],[Cell_ID]],'Registre_Maintenance'!B:B,'Registre_Maintenance'!C:C,"Pas de correspondance")</f>
        <v>Pas de correspondance</v>
      </c>
      <c r="E649" s="3">
        <v>0.32361111111111113</v>
      </c>
      <c r="F649" s="1" t="s">
        <v>947</v>
      </c>
      <c r="G649" s="3">
        <f>Logs[[#This Row],[Duree_Panne_Min]]/1440</f>
        <v>7.2916666666666671E-2</v>
      </c>
      <c r="H649">
        <v>105</v>
      </c>
      <c r="I649" t="str">
        <f>_xlfn.XLOOKUP(Logs[[#This Row],[Cell_ID]],'Registre_Maintenance'!B:B,'Registre_Maintenance'!D:D,"Pas de correspondance")</f>
        <v>Pas de correspondance</v>
      </c>
      <c r="J649" t="str">
        <f>_xlfn.XLOOKUP(Logs[[#This Row],[Cell_ID]],'Registre_Maintenance'!B:B,'Registre_Maintenance'!E:E,"Pas de correspondance")</f>
        <v>Pas de correspondance</v>
      </c>
      <c r="K649" t="str">
        <f>_xlfn.XLOOKUP(Logs[[#This Row],[Cell_ID]],'Registre_Maintenance'!B:B,'Registre_Maintenance'!F:F,"Pas de correspondance")</f>
        <v>Pas de correspondance</v>
      </c>
      <c r="L649" t="str">
        <f>_xlfn.XLOOKUP(Logs[[#This Row],[Cell_ID]],'Registre_Maintenance'!B:B,'Registre_Maintenance'!G:G,"Pas de correspondance")</f>
        <v>Pas de correspondance</v>
      </c>
      <c r="M649" s="1" t="s">
        <v>806</v>
      </c>
      <c r="N649" s="1" t="str">
        <f>_xlfn.XLOOKUP(Logs[[#This Row],[ID_Client]],Clients_Log!B:B,Clients_Log!E:E,"Pas de correspondance")</f>
        <v>Pas de correspondance</v>
      </c>
      <c r="O649" s="4" t="str">
        <f>IFERROR(Logs[[#This Row],[Anciennete_Mois]]/12,"")</f>
        <v/>
      </c>
      <c r="P649" s="1" t="str">
        <f>_xlfn.XLOOKUP(Logs[[#This Row],[ID_Client]],Clients_Log!B:B,Clients_Log!F:F,"Pas de correspondance")</f>
        <v>Pas de correspondance</v>
      </c>
      <c r="Q649" s="1" t="str">
        <f>IF(Logs[[#This Row],[Type_Forfait]]="Pro Monde","B2B","B2C")</f>
        <v>B2C</v>
      </c>
      <c r="R649" s="1" t="str">
        <f>_xlfn.XLOOKUP(Logs[[#This Row],[ID_Client]],Clients_Log!B:B,Clients_Log!G:G,"Pas de correspondance")</f>
        <v>Pas de correspondance</v>
      </c>
      <c r="S649" s="1" t="e">
        <f>Logs[[#This Row],[Duree_Cumulee_Panne_Min]]/1440</f>
        <v>#VALUE!</v>
      </c>
      <c r="T649" s="1" t="str">
        <f>_xlfn.XLOOKUP(Logs[[#This Row],[ID_Client]],Clients_Log!B:B,Clients_Log!H:H,"Pas de correspondance")</f>
        <v>Pas de correspondance</v>
      </c>
      <c r="U649" s="1" t="str">
        <f>_xlfn.XLOOKUP(Logs[[#This Row],[ID_Client]],Clients_Log!B:B,Clients_Log!I:I,"Pas de correspondance")</f>
        <v>Pas de correspondance</v>
      </c>
      <c r="V64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49" s="1" t="e">
        <f>Logs[[#This Row],[Facture_Mensuelle]]*Logs[[#This Row],[Remise (%)]]</f>
        <v>#VALUE!</v>
      </c>
    </row>
    <row r="650" spans="1:23" hidden="1" x14ac:dyDescent="0.25">
      <c r="A650" s="1" t="s">
        <v>1269</v>
      </c>
      <c r="B650" s="2">
        <v>45220</v>
      </c>
      <c r="C650" s="1" t="str">
        <f>_xlfn.XLOOKUP(Logs[[#This Row],[Province_RDC]],Clients_Log!D:D,Clients_Log!B:B,"Pas de correspondance")</f>
        <v>Pas de correspondance</v>
      </c>
      <c r="D650" t="str">
        <f>_xlfn.XLOOKUP(Logs[[#This Row],[Cell_ID]],'Registre_Maintenance'!B:B,'Registre_Maintenance'!C:C,"Pas de correspondance")</f>
        <v>Pas de correspondance</v>
      </c>
      <c r="E650" s="3">
        <v>0.65138888888888891</v>
      </c>
      <c r="F650" s="1" t="s">
        <v>977</v>
      </c>
      <c r="G650" s="3">
        <f>Logs[[#This Row],[Duree_Panne_Min]]/1440</f>
        <v>2.5000000000000001E-2</v>
      </c>
      <c r="H650">
        <v>36</v>
      </c>
      <c r="I650" t="str">
        <f>_xlfn.XLOOKUP(Logs[[#This Row],[Cell_ID]],'Registre_Maintenance'!B:B,'Registre_Maintenance'!D:D,"Pas de correspondance")</f>
        <v>Pas de correspondance</v>
      </c>
      <c r="J650" t="str">
        <f>_xlfn.XLOOKUP(Logs[[#This Row],[Cell_ID]],'Registre_Maintenance'!B:B,'Registre_Maintenance'!E:E,"Pas de correspondance")</f>
        <v>Pas de correspondance</v>
      </c>
      <c r="K650" t="str">
        <f>_xlfn.XLOOKUP(Logs[[#This Row],[Cell_ID]],'Registre_Maintenance'!B:B,'Registre_Maintenance'!F:F,"Pas de correspondance")</f>
        <v>Pas de correspondance</v>
      </c>
      <c r="L650" t="str">
        <f>_xlfn.XLOOKUP(Logs[[#This Row],[Cell_ID]],'Registre_Maintenance'!B:B,'Registre_Maintenance'!G:G,"Pas de correspondance")</f>
        <v>Pas de correspondance</v>
      </c>
      <c r="M650" s="1" t="s">
        <v>806</v>
      </c>
      <c r="N650" s="1" t="str">
        <f>_xlfn.XLOOKUP(Logs[[#This Row],[ID_Client]],Clients_Log!B:B,Clients_Log!E:E,"Pas de correspondance")</f>
        <v>Pas de correspondance</v>
      </c>
      <c r="O650" s="4" t="str">
        <f>IFERROR(Logs[[#This Row],[Anciennete_Mois]]/12,"")</f>
        <v/>
      </c>
      <c r="P650" s="1" t="str">
        <f>_xlfn.XLOOKUP(Logs[[#This Row],[ID_Client]],Clients_Log!B:B,Clients_Log!F:F,"Pas de correspondance")</f>
        <v>Pas de correspondance</v>
      </c>
      <c r="Q650" s="1" t="str">
        <f>IF(Logs[[#This Row],[Type_Forfait]]="Pro Monde","B2B","B2C")</f>
        <v>B2C</v>
      </c>
      <c r="R650" s="1" t="str">
        <f>_xlfn.XLOOKUP(Logs[[#This Row],[ID_Client]],Clients_Log!B:B,Clients_Log!G:G,"Pas de correspondance")</f>
        <v>Pas de correspondance</v>
      </c>
      <c r="S650" s="1" t="e">
        <f>Logs[[#This Row],[Duree_Cumulee_Panne_Min]]/1440</f>
        <v>#VALUE!</v>
      </c>
      <c r="T650" s="1" t="str">
        <f>_xlfn.XLOOKUP(Logs[[#This Row],[ID_Client]],Clients_Log!B:B,Clients_Log!H:H,"Pas de correspondance")</f>
        <v>Pas de correspondance</v>
      </c>
      <c r="U650" s="1" t="str">
        <f>_xlfn.XLOOKUP(Logs[[#This Row],[ID_Client]],Clients_Log!B:B,Clients_Log!I:I,"Pas de correspondance")</f>
        <v>Pas de correspondance</v>
      </c>
      <c r="V65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50" s="1" t="e">
        <f>Logs[[#This Row],[Facture_Mensuelle]]*Logs[[#This Row],[Remise (%)]]</f>
        <v>#VALUE!</v>
      </c>
    </row>
    <row r="651" spans="1:23" x14ac:dyDescent="0.25">
      <c r="A651" s="1" t="s">
        <v>1269</v>
      </c>
      <c r="B651" s="2">
        <v>45202</v>
      </c>
      <c r="C651" s="1" t="str">
        <f>_xlfn.XLOOKUP(Logs[[#This Row],[Province_RDC]],Clients_Log!D:D,Clients_Log!B:B,"Pas de correspondance")</f>
        <v>CLI-00745</v>
      </c>
      <c r="D651" t="str">
        <f>_xlfn.XLOOKUP(Logs[[#This Row],[Cell_ID]],'Registre_Maintenance'!B:B,'Registre_Maintenance'!C:C,"Pas de correspondance")</f>
        <v>Tshopo</v>
      </c>
      <c r="E651" s="3">
        <v>0.69930555555555551</v>
      </c>
      <c r="F651" s="1" t="s">
        <v>1272</v>
      </c>
      <c r="G651" s="3">
        <f>Logs[[#This Row],[Duree_Panne_Min]]/1440</f>
        <v>4.3749999999999997E-2</v>
      </c>
      <c r="H651">
        <v>63</v>
      </c>
      <c r="I651">
        <f>_xlfn.XLOOKUP(Logs[[#This Row],[Cell_ID]],'Registre_Maintenance'!B:B,'Registre_Maintenance'!D:D,"Pas de correspondance")</f>
        <v>1.400674</v>
      </c>
      <c r="J651">
        <f>_xlfn.XLOOKUP(Logs[[#This Row],[Cell_ID]],'Registre_Maintenance'!B:B,'Registre_Maintenance'!E:E,"Pas de correspondance")</f>
        <v>13.503126999999999</v>
      </c>
      <c r="K651" t="str">
        <f>_xlfn.XLOOKUP(Logs[[#This Row],[Cell_ID]],'Registre_Maintenance'!B:B,'Registre_Maintenance'!F:F,"Pas de correspondance")</f>
        <v>5G</v>
      </c>
      <c r="L651" t="str">
        <f>_xlfn.XLOOKUP(Logs[[#This Row],[Cell_ID]],'Registre_Maintenance'!B:B,'Registre_Maintenance'!G:G,"Pas de correspondance")</f>
        <v>ZTE</v>
      </c>
      <c r="M651" s="1" t="s">
        <v>809</v>
      </c>
      <c r="N651" s="1">
        <f>_xlfn.XLOOKUP(Logs[[#This Row],[ID_Client]],Clients_Log!B:B,Clients_Log!E:E,"Pas de correspondance")</f>
        <v>6</v>
      </c>
      <c r="O651" s="4">
        <f>IFERROR(Logs[[#This Row],[Anciennete_Mois]]/12,"")</f>
        <v>0.5</v>
      </c>
      <c r="P651" s="1" t="str">
        <f>_xlfn.XLOOKUP(Logs[[#This Row],[ID_Client]],Clients_Log!B:B,Clients_Log!F:F,"Pas de correspondance")</f>
        <v>Premium 5G 150Go</v>
      </c>
      <c r="Q651" s="1" t="str">
        <f>IF(Logs[[#This Row],[Type_Forfait]]="Pro Monde","B2B","B2C")</f>
        <v>B2C</v>
      </c>
      <c r="R651" s="1">
        <f>_xlfn.XLOOKUP(Logs[[#This Row],[ID_Client]],Clients_Log!B:B,Clients_Log!G:G,"Pas de correspondance")</f>
        <v>207</v>
      </c>
      <c r="S651" s="3">
        <f>Logs[[#This Row],[Duree_Cumulee_Panne_Min]]/1440</f>
        <v>0.14374999999999999</v>
      </c>
      <c r="T651" s="1">
        <f>_xlfn.XLOOKUP(Logs[[#This Row],[ID_Client]],Clients_Log!B:B,Clients_Log!H:H,"Pas de correspondance")</f>
        <v>61.55</v>
      </c>
      <c r="U651" s="1">
        <f>_xlfn.XLOOKUP(Logs[[#This Row],[ID_Client]],Clients_Log!B:B,Clients_Log!I:I,"Pas de correspondance")</f>
        <v>0</v>
      </c>
      <c r="V65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51" s="1">
        <f>Logs[[#This Row],[Facture_Mensuelle]]*Logs[[#This Row],[Remise (%)]]</f>
        <v>27.697499999999998</v>
      </c>
    </row>
    <row r="652" spans="1:23" hidden="1" x14ac:dyDescent="0.25">
      <c r="A652" s="1" t="s">
        <v>1295</v>
      </c>
      <c r="B652" s="2">
        <v>45207</v>
      </c>
      <c r="C652" s="1" t="str">
        <f>_xlfn.XLOOKUP(Logs[[#This Row],[Province_RDC]],Clients_Log!D:D,Clients_Log!B:B,"Pas de correspondance")</f>
        <v>Pas de correspondance</v>
      </c>
      <c r="D652" t="str">
        <f>_xlfn.XLOOKUP(Logs[[#This Row],[Cell_ID]],'Registre_Maintenance'!B:B,'Registre_Maintenance'!C:C,"Pas de correspondance")</f>
        <v>Pas de correspondance</v>
      </c>
      <c r="E652" s="3">
        <v>0.59930555555555554</v>
      </c>
      <c r="F652" s="1" t="s">
        <v>930</v>
      </c>
      <c r="G652" s="3">
        <f>Logs[[#This Row],[Duree_Panne_Min]]/1440</f>
        <v>4.0972222222222222E-2</v>
      </c>
      <c r="H652">
        <v>59</v>
      </c>
      <c r="I652" t="str">
        <f>_xlfn.XLOOKUP(Logs[[#This Row],[Cell_ID]],'Registre_Maintenance'!B:B,'Registre_Maintenance'!D:D,"Pas de correspondance")</f>
        <v>Pas de correspondance</v>
      </c>
      <c r="J652" t="str">
        <f>_xlfn.XLOOKUP(Logs[[#This Row],[Cell_ID]],'Registre_Maintenance'!B:B,'Registre_Maintenance'!E:E,"Pas de correspondance")</f>
        <v>Pas de correspondance</v>
      </c>
      <c r="K652" t="str">
        <f>_xlfn.XLOOKUP(Logs[[#This Row],[Cell_ID]],'Registre_Maintenance'!B:B,'Registre_Maintenance'!F:F,"Pas de correspondance")</f>
        <v>Pas de correspondance</v>
      </c>
      <c r="L652" t="str">
        <f>_xlfn.XLOOKUP(Logs[[#This Row],[Cell_ID]],'Registre_Maintenance'!B:B,'Registre_Maintenance'!G:G,"Pas de correspondance")</f>
        <v>Pas de correspondance</v>
      </c>
      <c r="M652" s="1" t="s">
        <v>806</v>
      </c>
      <c r="N652" s="1" t="str">
        <f>_xlfn.XLOOKUP(Logs[[#This Row],[ID_Client]],Clients_Log!B:B,Clients_Log!E:E,"Pas de correspondance")</f>
        <v>Pas de correspondance</v>
      </c>
      <c r="O652" s="4" t="str">
        <f>IFERROR(Logs[[#This Row],[Anciennete_Mois]]/12,"")</f>
        <v/>
      </c>
      <c r="P652" s="1" t="str">
        <f>_xlfn.XLOOKUP(Logs[[#This Row],[ID_Client]],Clients_Log!B:B,Clients_Log!F:F,"Pas de correspondance")</f>
        <v>Pas de correspondance</v>
      </c>
      <c r="Q652" s="1" t="str">
        <f>IF(Logs[[#This Row],[Type_Forfait]]="Pro Monde","B2B","B2C")</f>
        <v>B2C</v>
      </c>
      <c r="R652" s="1" t="str">
        <f>_xlfn.XLOOKUP(Logs[[#This Row],[ID_Client]],Clients_Log!B:B,Clients_Log!G:G,"Pas de correspondance")</f>
        <v>Pas de correspondance</v>
      </c>
      <c r="S652" s="1" t="e">
        <f>Logs[[#This Row],[Duree_Cumulee_Panne_Min]]/1440</f>
        <v>#VALUE!</v>
      </c>
      <c r="T652" s="1" t="str">
        <f>_xlfn.XLOOKUP(Logs[[#This Row],[ID_Client]],Clients_Log!B:B,Clients_Log!H:H,"Pas de correspondance")</f>
        <v>Pas de correspondance</v>
      </c>
      <c r="U652" s="1" t="str">
        <f>_xlfn.XLOOKUP(Logs[[#This Row],[ID_Client]],Clients_Log!B:B,Clients_Log!I:I,"Pas de correspondance")</f>
        <v>Pas de correspondance</v>
      </c>
      <c r="V65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52" s="1" t="e">
        <f>Logs[[#This Row],[Facture_Mensuelle]]*Logs[[#This Row],[Remise (%)]]</f>
        <v>#VALUE!</v>
      </c>
    </row>
    <row r="653" spans="1:23" hidden="1" x14ac:dyDescent="0.25">
      <c r="A653" s="1" t="s">
        <v>1295</v>
      </c>
      <c r="B653" s="2">
        <v>45212</v>
      </c>
      <c r="C653" s="1" t="str">
        <f>_xlfn.XLOOKUP(Logs[[#This Row],[Province_RDC]],Clients_Log!D:D,Clients_Log!B:B,"Pas de correspondance")</f>
        <v>Pas de correspondance</v>
      </c>
      <c r="D653" t="str">
        <f>_xlfn.XLOOKUP(Logs[[#This Row],[Cell_ID]],'Registre_Maintenance'!B:B,'Registre_Maintenance'!C:C,"Pas de correspondance")</f>
        <v>Pas de correspondance</v>
      </c>
      <c r="E653" s="3">
        <v>0.61736111111111114</v>
      </c>
      <c r="F653" s="1" t="s">
        <v>1296</v>
      </c>
      <c r="G653" s="3">
        <f>Logs[[#This Row],[Duree_Panne_Min]]/1440</f>
        <v>1.9444444444444445E-2</v>
      </c>
      <c r="H653">
        <v>28</v>
      </c>
      <c r="I653" t="str">
        <f>_xlfn.XLOOKUP(Logs[[#This Row],[Cell_ID]],'Registre_Maintenance'!B:B,'Registre_Maintenance'!D:D,"Pas de correspondance")</f>
        <v>Pas de correspondance</v>
      </c>
      <c r="J653" t="str">
        <f>_xlfn.XLOOKUP(Logs[[#This Row],[Cell_ID]],'Registre_Maintenance'!B:B,'Registre_Maintenance'!E:E,"Pas de correspondance")</f>
        <v>Pas de correspondance</v>
      </c>
      <c r="K653" t="str">
        <f>_xlfn.XLOOKUP(Logs[[#This Row],[Cell_ID]],'Registre_Maintenance'!B:B,'Registre_Maintenance'!F:F,"Pas de correspondance")</f>
        <v>Pas de correspondance</v>
      </c>
      <c r="L653" t="str">
        <f>_xlfn.XLOOKUP(Logs[[#This Row],[Cell_ID]],'Registre_Maintenance'!B:B,'Registre_Maintenance'!G:G,"Pas de correspondance")</f>
        <v>Pas de correspondance</v>
      </c>
      <c r="M653" s="1" t="s">
        <v>806</v>
      </c>
      <c r="N653" s="1" t="str">
        <f>_xlfn.XLOOKUP(Logs[[#This Row],[ID_Client]],Clients_Log!B:B,Clients_Log!E:E,"Pas de correspondance")</f>
        <v>Pas de correspondance</v>
      </c>
      <c r="O653" s="4" t="str">
        <f>IFERROR(Logs[[#This Row],[Anciennete_Mois]]/12,"")</f>
        <v/>
      </c>
      <c r="P653" s="1" t="str">
        <f>_xlfn.XLOOKUP(Logs[[#This Row],[ID_Client]],Clients_Log!B:B,Clients_Log!F:F,"Pas de correspondance")</f>
        <v>Pas de correspondance</v>
      </c>
      <c r="Q653" s="1" t="str">
        <f>IF(Logs[[#This Row],[Type_Forfait]]="Pro Monde","B2B","B2C")</f>
        <v>B2C</v>
      </c>
      <c r="R653" s="1" t="str">
        <f>_xlfn.XLOOKUP(Logs[[#This Row],[ID_Client]],Clients_Log!B:B,Clients_Log!G:G,"Pas de correspondance")</f>
        <v>Pas de correspondance</v>
      </c>
      <c r="S653" s="1" t="e">
        <f>Logs[[#This Row],[Duree_Cumulee_Panne_Min]]/1440</f>
        <v>#VALUE!</v>
      </c>
      <c r="T653" s="1" t="str">
        <f>_xlfn.XLOOKUP(Logs[[#This Row],[ID_Client]],Clients_Log!B:B,Clients_Log!H:H,"Pas de correspondance")</f>
        <v>Pas de correspondance</v>
      </c>
      <c r="U653" s="1" t="str">
        <f>_xlfn.XLOOKUP(Logs[[#This Row],[ID_Client]],Clients_Log!B:B,Clients_Log!I:I,"Pas de correspondance")</f>
        <v>Pas de correspondance</v>
      </c>
      <c r="V65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53" s="1" t="e">
        <f>Logs[[#This Row],[Facture_Mensuelle]]*Logs[[#This Row],[Remise (%)]]</f>
        <v>#VALUE!</v>
      </c>
    </row>
    <row r="654" spans="1:23" hidden="1" x14ac:dyDescent="0.25">
      <c r="A654" s="1" t="s">
        <v>1295</v>
      </c>
      <c r="B654" s="2">
        <v>45221</v>
      </c>
      <c r="C654" s="1" t="str">
        <f>_xlfn.XLOOKUP(Logs[[#This Row],[Province_RDC]],Clients_Log!D:D,Clients_Log!B:B,"Pas de correspondance")</f>
        <v>Pas de correspondance</v>
      </c>
      <c r="D654" t="str">
        <f>_xlfn.XLOOKUP(Logs[[#This Row],[Cell_ID]],'Registre_Maintenance'!B:B,'Registre_Maintenance'!C:C,"Pas de correspondance")</f>
        <v>Pas de correspondance</v>
      </c>
      <c r="E654" s="3">
        <v>0.78055555555555556</v>
      </c>
      <c r="F654" s="1" t="s">
        <v>1219</v>
      </c>
      <c r="G654" s="3">
        <f>Logs[[#This Row],[Duree_Panne_Min]]/1440</f>
        <v>4.6527777777777779E-2</v>
      </c>
      <c r="H654">
        <v>67</v>
      </c>
      <c r="I654" t="str">
        <f>_xlfn.XLOOKUP(Logs[[#This Row],[Cell_ID]],'Registre_Maintenance'!B:B,'Registre_Maintenance'!D:D,"Pas de correspondance")</f>
        <v>Pas de correspondance</v>
      </c>
      <c r="J654" t="str">
        <f>_xlfn.XLOOKUP(Logs[[#This Row],[Cell_ID]],'Registre_Maintenance'!B:B,'Registre_Maintenance'!E:E,"Pas de correspondance")</f>
        <v>Pas de correspondance</v>
      </c>
      <c r="K654" t="str">
        <f>_xlfn.XLOOKUP(Logs[[#This Row],[Cell_ID]],'Registre_Maintenance'!B:B,'Registre_Maintenance'!F:F,"Pas de correspondance")</f>
        <v>Pas de correspondance</v>
      </c>
      <c r="L654" t="str">
        <f>_xlfn.XLOOKUP(Logs[[#This Row],[Cell_ID]],'Registre_Maintenance'!B:B,'Registre_Maintenance'!G:G,"Pas de correspondance")</f>
        <v>Pas de correspondance</v>
      </c>
      <c r="M654" s="1" t="s">
        <v>806</v>
      </c>
      <c r="N654" s="1" t="str">
        <f>_xlfn.XLOOKUP(Logs[[#This Row],[ID_Client]],Clients_Log!B:B,Clients_Log!E:E,"Pas de correspondance")</f>
        <v>Pas de correspondance</v>
      </c>
      <c r="O654" s="4" t="str">
        <f>IFERROR(Logs[[#This Row],[Anciennete_Mois]]/12,"")</f>
        <v/>
      </c>
      <c r="P654" s="1" t="str">
        <f>_xlfn.XLOOKUP(Logs[[#This Row],[ID_Client]],Clients_Log!B:B,Clients_Log!F:F,"Pas de correspondance")</f>
        <v>Pas de correspondance</v>
      </c>
      <c r="Q654" s="1" t="str">
        <f>IF(Logs[[#This Row],[Type_Forfait]]="Pro Monde","B2B","B2C")</f>
        <v>B2C</v>
      </c>
      <c r="R654" s="1" t="str">
        <f>_xlfn.XLOOKUP(Logs[[#This Row],[ID_Client]],Clients_Log!B:B,Clients_Log!G:G,"Pas de correspondance")</f>
        <v>Pas de correspondance</v>
      </c>
      <c r="S654" s="1" t="e">
        <f>Logs[[#This Row],[Duree_Cumulee_Panne_Min]]/1440</f>
        <v>#VALUE!</v>
      </c>
      <c r="T654" s="1" t="str">
        <f>_xlfn.XLOOKUP(Logs[[#This Row],[ID_Client]],Clients_Log!B:B,Clients_Log!H:H,"Pas de correspondance")</f>
        <v>Pas de correspondance</v>
      </c>
      <c r="U654" s="1" t="str">
        <f>_xlfn.XLOOKUP(Logs[[#This Row],[ID_Client]],Clients_Log!B:B,Clients_Log!I:I,"Pas de correspondance")</f>
        <v>Pas de correspondance</v>
      </c>
      <c r="V65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54" s="1" t="e">
        <f>Logs[[#This Row],[Facture_Mensuelle]]*Logs[[#This Row],[Remise (%)]]</f>
        <v>#VALUE!</v>
      </c>
    </row>
    <row r="655" spans="1:23" hidden="1" x14ac:dyDescent="0.25">
      <c r="A655" s="1" t="s">
        <v>1295</v>
      </c>
      <c r="B655" s="2">
        <v>45216</v>
      </c>
      <c r="C655" s="1" t="str">
        <f>_xlfn.XLOOKUP(Logs[[#This Row],[Province_RDC]],Clients_Log!D:D,Clients_Log!B:B,"Pas de correspondance")</f>
        <v>Pas de correspondance</v>
      </c>
      <c r="D655" t="str">
        <f>_xlfn.XLOOKUP(Logs[[#This Row],[Cell_ID]],'Registre_Maintenance'!B:B,'Registre_Maintenance'!C:C,"Pas de correspondance")</f>
        <v>Pas de correspondance</v>
      </c>
      <c r="E655" s="3">
        <v>0.18194444444444444</v>
      </c>
      <c r="F655" s="1" t="s">
        <v>1297</v>
      </c>
      <c r="G655" s="3">
        <f>Logs[[#This Row],[Duree_Panne_Min]]/1440</f>
        <v>5.9722222222222225E-2</v>
      </c>
      <c r="H655">
        <v>86</v>
      </c>
      <c r="I655" t="str">
        <f>_xlfn.XLOOKUP(Logs[[#This Row],[Cell_ID]],'Registre_Maintenance'!B:B,'Registre_Maintenance'!D:D,"Pas de correspondance")</f>
        <v>Pas de correspondance</v>
      </c>
      <c r="J655" t="str">
        <f>_xlfn.XLOOKUP(Logs[[#This Row],[Cell_ID]],'Registre_Maintenance'!B:B,'Registre_Maintenance'!E:E,"Pas de correspondance")</f>
        <v>Pas de correspondance</v>
      </c>
      <c r="K655" t="str">
        <f>_xlfn.XLOOKUP(Logs[[#This Row],[Cell_ID]],'Registre_Maintenance'!B:B,'Registre_Maintenance'!F:F,"Pas de correspondance")</f>
        <v>Pas de correspondance</v>
      </c>
      <c r="L655" t="str">
        <f>_xlfn.XLOOKUP(Logs[[#This Row],[Cell_ID]],'Registre_Maintenance'!B:B,'Registre_Maintenance'!G:G,"Pas de correspondance")</f>
        <v>Pas de correspondance</v>
      </c>
      <c r="M655" s="1" t="s">
        <v>809</v>
      </c>
      <c r="N655" s="1" t="str">
        <f>_xlfn.XLOOKUP(Logs[[#This Row],[ID_Client]],Clients_Log!B:B,Clients_Log!E:E,"Pas de correspondance")</f>
        <v>Pas de correspondance</v>
      </c>
      <c r="O655" s="4" t="str">
        <f>IFERROR(Logs[[#This Row],[Anciennete_Mois]]/12,"")</f>
        <v/>
      </c>
      <c r="P655" s="1" t="str">
        <f>_xlfn.XLOOKUP(Logs[[#This Row],[ID_Client]],Clients_Log!B:B,Clients_Log!F:F,"Pas de correspondance")</f>
        <v>Pas de correspondance</v>
      </c>
      <c r="Q655" s="1" t="str">
        <f>IF(Logs[[#This Row],[Type_Forfait]]="Pro Monde","B2B","B2C")</f>
        <v>B2C</v>
      </c>
      <c r="R655" s="1" t="str">
        <f>_xlfn.XLOOKUP(Logs[[#This Row],[ID_Client]],Clients_Log!B:B,Clients_Log!G:G,"Pas de correspondance")</f>
        <v>Pas de correspondance</v>
      </c>
      <c r="S655" s="1" t="e">
        <f>Logs[[#This Row],[Duree_Cumulee_Panne_Min]]/1440</f>
        <v>#VALUE!</v>
      </c>
      <c r="T655" s="1" t="str">
        <f>_xlfn.XLOOKUP(Logs[[#This Row],[ID_Client]],Clients_Log!B:B,Clients_Log!H:H,"Pas de correspondance")</f>
        <v>Pas de correspondance</v>
      </c>
      <c r="U655" s="1" t="str">
        <f>_xlfn.XLOOKUP(Logs[[#This Row],[ID_Client]],Clients_Log!B:B,Clients_Log!I:I,"Pas de correspondance")</f>
        <v>Pas de correspondance</v>
      </c>
      <c r="V65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55" s="1" t="e">
        <f>Logs[[#This Row],[Facture_Mensuelle]]*Logs[[#This Row],[Remise (%)]]</f>
        <v>#VALUE!</v>
      </c>
    </row>
    <row r="656" spans="1:23" hidden="1" x14ac:dyDescent="0.25">
      <c r="A656" s="1" t="s">
        <v>1295</v>
      </c>
      <c r="B656" s="2">
        <v>45200</v>
      </c>
      <c r="C656" s="1" t="str">
        <f>_xlfn.XLOOKUP(Logs[[#This Row],[Province_RDC]],Clients_Log!D:D,Clients_Log!B:B,"Pas de correspondance")</f>
        <v>Pas de correspondance</v>
      </c>
      <c r="D656" t="str">
        <f>_xlfn.XLOOKUP(Logs[[#This Row],[Cell_ID]],'Registre_Maintenance'!B:B,'Registre_Maintenance'!C:C,"Pas de correspondance")</f>
        <v>Pas de correspondance</v>
      </c>
      <c r="E656" s="3">
        <v>0.62916666666666665</v>
      </c>
      <c r="F656" s="1" t="s">
        <v>1095</v>
      </c>
      <c r="G656" s="3">
        <f>Logs[[#This Row],[Duree_Panne_Min]]/1440</f>
        <v>5.0694444444444445E-2</v>
      </c>
      <c r="H656">
        <v>73</v>
      </c>
      <c r="I656" t="str">
        <f>_xlfn.XLOOKUP(Logs[[#This Row],[Cell_ID]],'Registre_Maintenance'!B:B,'Registre_Maintenance'!D:D,"Pas de correspondance")</f>
        <v>Pas de correspondance</v>
      </c>
      <c r="J656" t="str">
        <f>_xlfn.XLOOKUP(Logs[[#This Row],[Cell_ID]],'Registre_Maintenance'!B:B,'Registre_Maintenance'!E:E,"Pas de correspondance")</f>
        <v>Pas de correspondance</v>
      </c>
      <c r="K656" t="str">
        <f>_xlfn.XLOOKUP(Logs[[#This Row],[Cell_ID]],'Registre_Maintenance'!B:B,'Registre_Maintenance'!F:F,"Pas de correspondance")</f>
        <v>Pas de correspondance</v>
      </c>
      <c r="L656" t="str">
        <f>_xlfn.XLOOKUP(Logs[[#This Row],[Cell_ID]],'Registre_Maintenance'!B:B,'Registre_Maintenance'!G:G,"Pas de correspondance")</f>
        <v>Pas de correspondance</v>
      </c>
      <c r="M656" s="1" t="s">
        <v>809</v>
      </c>
      <c r="N656" s="1" t="str">
        <f>_xlfn.XLOOKUP(Logs[[#This Row],[ID_Client]],Clients_Log!B:B,Clients_Log!E:E,"Pas de correspondance")</f>
        <v>Pas de correspondance</v>
      </c>
      <c r="O656" s="4" t="str">
        <f>IFERROR(Logs[[#This Row],[Anciennete_Mois]]/12,"")</f>
        <v/>
      </c>
      <c r="P656" s="1" t="str">
        <f>_xlfn.XLOOKUP(Logs[[#This Row],[ID_Client]],Clients_Log!B:B,Clients_Log!F:F,"Pas de correspondance")</f>
        <v>Pas de correspondance</v>
      </c>
      <c r="Q656" s="1" t="str">
        <f>IF(Logs[[#This Row],[Type_Forfait]]="Pro Monde","B2B","B2C")</f>
        <v>B2C</v>
      </c>
      <c r="R656" s="1" t="str">
        <f>_xlfn.XLOOKUP(Logs[[#This Row],[ID_Client]],Clients_Log!B:B,Clients_Log!G:G,"Pas de correspondance")</f>
        <v>Pas de correspondance</v>
      </c>
      <c r="S656" s="1" t="e">
        <f>Logs[[#This Row],[Duree_Cumulee_Panne_Min]]/1440</f>
        <v>#VALUE!</v>
      </c>
      <c r="T656" s="1" t="str">
        <f>_xlfn.XLOOKUP(Logs[[#This Row],[ID_Client]],Clients_Log!B:B,Clients_Log!H:H,"Pas de correspondance")</f>
        <v>Pas de correspondance</v>
      </c>
      <c r="U656" s="1" t="str">
        <f>_xlfn.XLOOKUP(Logs[[#This Row],[ID_Client]],Clients_Log!B:B,Clients_Log!I:I,"Pas de correspondance")</f>
        <v>Pas de correspondance</v>
      </c>
      <c r="V65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56" s="1" t="e">
        <f>Logs[[#This Row],[Facture_Mensuelle]]*Logs[[#This Row],[Remise (%)]]</f>
        <v>#VALUE!</v>
      </c>
    </row>
    <row r="657" spans="1:23" hidden="1" x14ac:dyDescent="0.25">
      <c r="A657" s="1" t="s">
        <v>1295</v>
      </c>
      <c r="B657" s="2">
        <v>45209</v>
      </c>
      <c r="C657" s="1" t="str">
        <f>_xlfn.XLOOKUP(Logs[[#This Row],[Province_RDC]],Clients_Log!D:D,Clients_Log!B:B,"Pas de correspondance")</f>
        <v>Pas de correspondance</v>
      </c>
      <c r="D657" t="str">
        <f>_xlfn.XLOOKUP(Logs[[#This Row],[Cell_ID]],'Registre_Maintenance'!B:B,'Registre_Maintenance'!C:C,"Pas de correspondance")</f>
        <v>Pas de correspondance</v>
      </c>
      <c r="E657" s="3">
        <v>0.58194444444444449</v>
      </c>
      <c r="F657" s="1" t="s">
        <v>1298</v>
      </c>
      <c r="G657" s="3">
        <f>Logs[[#This Row],[Duree_Panne_Min]]/1440</f>
        <v>6.458333333333334E-2</v>
      </c>
      <c r="H657">
        <v>93</v>
      </c>
      <c r="I657" t="str">
        <f>_xlfn.XLOOKUP(Logs[[#This Row],[Cell_ID]],'Registre_Maintenance'!B:B,'Registre_Maintenance'!D:D,"Pas de correspondance")</f>
        <v>Pas de correspondance</v>
      </c>
      <c r="J657" t="str">
        <f>_xlfn.XLOOKUP(Logs[[#This Row],[Cell_ID]],'Registre_Maintenance'!B:B,'Registre_Maintenance'!E:E,"Pas de correspondance")</f>
        <v>Pas de correspondance</v>
      </c>
      <c r="K657" t="str">
        <f>_xlfn.XLOOKUP(Logs[[#This Row],[Cell_ID]],'Registre_Maintenance'!B:B,'Registre_Maintenance'!F:F,"Pas de correspondance")</f>
        <v>Pas de correspondance</v>
      </c>
      <c r="L657" t="str">
        <f>_xlfn.XLOOKUP(Logs[[#This Row],[Cell_ID]],'Registre_Maintenance'!B:B,'Registre_Maintenance'!G:G,"Pas de correspondance")</f>
        <v>Pas de correspondance</v>
      </c>
      <c r="M657" s="1" t="s">
        <v>809</v>
      </c>
      <c r="N657" s="1" t="str">
        <f>_xlfn.XLOOKUP(Logs[[#This Row],[ID_Client]],Clients_Log!B:B,Clients_Log!E:E,"Pas de correspondance")</f>
        <v>Pas de correspondance</v>
      </c>
      <c r="O657" s="4" t="str">
        <f>IFERROR(Logs[[#This Row],[Anciennete_Mois]]/12,"")</f>
        <v/>
      </c>
      <c r="P657" s="1" t="str">
        <f>_xlfn.XLOOKUP(Logs[[#This Row],[ID_Client]],Clients_Log!B:B,Clients_Log!F:F,"Pas de correspondance")</f>
        <v>Pas de correspondance</v>
      </c>
      <c r="Q657" s="1" t="str">
        <f>IF(Logs[[#This Row],[Type_Forfait]]="Pro Monde","B2B","B2C")</f>
        <v>B2C</v>
      </c>
      <c r="R657" s="1" t="str">
        <f>_xlfn.XLOOKUP(Logs[[#This Row],[ID_Client]],Clients_Log!B:B,Clients_Log!G:G,"Pas de correspondance")</f>
        <v>Pas de correspondance</v>
      </c>
      <c r="S657" s="1" t="e">
        <f>Logs[[#This Row],[Duree_Cumulee_Panne_Min]]/1440</f>
        <v>#VALUE!</v>
      </c>
      <c r="T657" s="1" t="str">
        <f>_xlfn.XLOOKUP(Logs[[#This Row],[ID_Client]],Clients_Log!B:B,Clients_Log!H:H,"Pas de correspondance")</f>
        <v>Pas de correspondance</v>
      </c>
      <c r="U657" s="1" t="str">
        <f>_xlfn.XLOOKUP(Logs[[#This Row],[ID_Client]],Clients_Log!B:B,Clients_Log!I:I,"Pas de correspondance")</f>
        <v>Pas de correspondance</v>
      </c>
      <c r="V65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57" s="1" t="e">
        <f>Logs[[#This Row],[Facture_Mensuelle]]*Logs[[#This Row],[Remise (%)]]</f>
        <v>#VALUE!</v>
      </c>
    </row>
    <row r="658" spans="1:23" hidden="1" x14ac:dyDescent="0.25">
      <c r="A658" s="1" t="s">
        <v>1295</v>
      </c>
      <c r="B658" s="2">
        <v>45230</v>
      </c>
      <c r="C658" s="1" t="str">
        <f>_xlfn.XLOOKUP(Logs[[#This Row],[Province_RDC]],Clients_Log!D:D,Clients_Log!B:B,"Pas de correspondance")</f>
        <v>Pas de correspondance</v>
      </c>
      <c r="D658" t="str">
        <f>_xlfn.XLOOKUP(Logs[[#This Row],[Cell_ID]],'Registre_Maintenance'!B:B,'Registre_Maintenance'!C:C,"Pas de correspondance")</f>
        <v>Pas de correspondance</v>
      </c>
      <c r="E658" s="3">
        <v>8.819444444444445E-2</v>
      </c>
      <c r="F658" s="1" t="s">
        <v>1187</v>
      </c>
      <c r="G658" s="3">
        <f>Logs[[#This Row],[Duree_Panne_Min]]/1440</f>
        <v>6.0416666666666667E-2</v>
      </c>
      <c r="H658">
        <v>87</v>
      </c>
      <c r="I658" t="str">
        <f>_xlfn.XLOOKUP(Logs[[#This Row],[Cell_ID]],'Registre_Maintenance'!B:B,'Registre_Maintenance'!D:D,"Pas de correspondance")</f>
        <v>Pas de correspondance</v>
      </c>
      <c r="J658" t="str">
        <f>_xlfn.XLOOKUP(Logs[[#This Row],[Cell_ID]],'Registre_Maintenance'!B:B,'Registre_Maintenance'!E:E,"Pas de correspondance")</f>
        <v>Pas de correspondance</v>
      </c>
      <c r="K658" t="str">
        <f>_xlfn.XLOOKUP(Logs[[#This Row],[Cell_ID]],'Registre_Maintenance'!B:B,'Registre_Maintenance'!F:F,"Pas de correspondance")</f>
        <v>Pas de correspondance</v>
      </c>
      <c r="L658" t="str">
        <f>_xlfn.XLOOKUP(Logs[[#This Row],[Cell_ID]],'Registre_Maintenance'!B:B,'Registre_Maintenance'!G:G,"Pas de correspondance")</f>
        <v>Pas de correspondance</v>
      </c>
      <c r="M658" s="1" t="s">
        <v>811</v>
      </c>
      <c r="N658" s="1" t="str">
        <f>_xlfn.XLOOKUP(Logs[[#This Row],[ID_Client]],Clients_Log!B:B,Clients_Log!E:E,"Pas de correspondance")</f>
        <v>Pas de correspondance</v>
      </c>
      <c r="O658" s="4" t="str">
        <f>IFERROR(Logs[[#This Row],[Anciennete_Mois]]/12,"")</f>
        <v/>
      </c>
      <c r="P658" s="1" t="str">
        <f>_xlfn.XLOOKUP(Logs[[#This Row],[ID_Client]],Clients_Log!B:B,Clients_Log!F:F,"Pas de correspondance")</f>
        <v>Pas de correspondance</v>
      </c>
      <c r="Q658" s="1" t="str">
        <f>IF(Logs[[#This Row],[Type_Forfait]]="Pro Monde","B2B","B2C")</f>
        <v>B2C</v>
      </c>
      <c r="R658" s="1" t="str">
        <f>_xlfn.XLOOKUP(Logs[[#This Row],[ID_Client]],Clients_Log!B:B,Clients_Log!G:G,"Pas de correspondance")</f>
        <v>Pas de correspondance</v>
      </c>
      <c r="S658" s="1" t="e">
        <f>Logs[[#This Row],[Duree_Cumulee_Panne_Min]]/1440</f>
        <v>#VALUE!</v>
      </c>
      <c r="T658" s="1" t="str">
        <f>_xlfn.XLOOKUP(Logs[[#This Row],[ID_Client]],Clients_Log!B:B,Clients_Log!H:H,"Pas de correspondance")</f>
        <v>Pas de correspondance</v>
      </c>
      <c r="U658" s="1" t="str">
        <f>_xlfn.XLOOKUP(Logs[[#This Row],[ID_Client]],Clients_Log!B:B,Clients_Log!I:I,"Pas de correspondance")</f>
        <v>Pas de correspondance</v>
      </c>
      <c r="V65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58" s="1" t="e">
        <f>Logs[[#This Row],[Facture_Mensuelle]]*Logs[[#This Row],[Remise (%)]]</f>
        <v>#VALUE!</v>
      </c>
    </row>
    <row r="659" spans="1:23" x14ac:dyDescent="0.25">
      <c r="A659" s="1" t="s">
        <v>1295</v>
      </c>
      <c r="B659" s="2">
        <v>45226</v>
      </c>
      <c r="C659" s="1" t="str">
        <f>_xlfn.XLOOKUP(Logs[[#This Row],[Province_RDC]],Clients_Log!D:D,Clients_Log!B:B,"Pas de correspondance")</f>
        <v>CLI-01005</v>
      </c>
      <c r="D659" t="str">
        <f>_xlfn.XLOOKUP(Logs[[#This Row],[Cell_ID]],'Registre_Maintenance'!B:B,'Registre_Maintenance'!C:C,"Pas de correspondance")</f>
        <v>Lualaba</v>
      </c>
      <c r="E659" s="3">
        <v>0.96458333333333335</v>
      </c>
      <c r="F659" s="1" t="s">
        <v>1299</v>
      </c>
      <c r="G659" s="3">
        <f>Logs[[#This Row],[Duree_Panne_Min]]/1440</f>
        <v>1.8749999999999999E-2</v>
      </c>
      <c r="H659">
        <v>27</v>
      </c>
      <c r="I659">
        <f>_xlfn.XLOOKUP(Logs[[#This Row],[Cell_ID]],'Registre_Maintenance'!B:B,'Registre_Maintenance'!D:D,"Pas de correspondance")</f>
        <v>-11.354772000000001</v>
      </c>
      <c r="J659">
        <f>_xlfn.XLOOKUP(Logs[[#This Row],[Cell_ID]],'Registre_Maintenance'!B:B,'Registre_Maintenance'!E:E,"Pas de correspondance")</f>
        <v>21.957325999999998</v>
      </c>
      <c r="K659" t="str">
        <f>_xlfn.XLOOKUP(Logs[[#This Row],[Cell_ID]],'Registre_Maintenance'!B:B,'Registre_Maintenance'!F:F,"Pas de correspondance")</f>
        <v>3G</v>
      </c>
      <c r="L659" t="str">
        <f>_xlfn.XLOOKUP(Logs[[#This Row],[Cell_ID]],'Registre_Maintenance'!B:B,'Registre_Maintenance'!G:G,"Pas de correspondance")</f>
        <v>Nokia</v>
      </c>
      <c r="M659" s="1" t="s">
        <v>809</v>
      </c>
      <c r="N659" s="1">
        <f>_xlfn.XLOOKUP(Logs[[#This Row],[ID_Client]],Clients_Log!B:B,Clients_Log!E:E,"Pas de correspondance")</f>
        <v>80</v>
      </c>
      <c r="O659" s="4">
        <f>IFERROR(Logs[[#This Row],[Anciennete_Mois]]/12,"")</f>
        <v>6.666666666666667</v>
      </c>
      <c r="P659" s="1" t="str">
        <f>_xlfn.XLOOKUP(Logs[[#This Row],[ID_Client]],Clients_Log!B:B,Clients_Log!F:F,"Pas de correspondance")</f>
        <v>Illimité 50Go</v>
      </c>
      <c r="Q659" s="1" t="str">
        <f>IF(Logs[[#This Row],[Type_Forfait]]="Pro Monde","B2B","B2C")</f>
        <v>B2C</v>
      </c>
      <c r="R659" s="1">
        <f>_xlfn.XLOOKUP(Logs[[#This Row],[ID_Client]],Clients_Log!B:B,Clients_Log!G:G,"Pas de correspondance")</f>
        <v>155</v>
      </c>
      <c r="S659" s="3">
        <f>Logs[[#This Row],[Duree_Cumulee_Panne_Min]]/1440</f>
        <v>0.1076388888888889</v>
      </c>
      <c r="T659" s="1">
        <f>_xlfn.XLOOKUP(Logs[[#This Row],[ID_Client]],Clients_Log!B:B,Clients_Log!H:H,"Pas de correspondance")</f>
        <v>28.96</v>
      </c>
      <c r="U659" s="1">
        <f>_xlfn.XLOOKUP(Logs[[#This Row],[ID_Client]],Clients_Log!B:B,Clients_Log!I:I,"Pas de correspondance")</f>
        <v>2</v>
      </c>
      <c r="V65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659" s="1">
        <f>Logs[[#This Row],[Facture_Mensuelle]]*Logs[[#This Row],[Remise (%)]]</f>
        <v>0</v>
      </c>
    </row>
    <row r="660" spans="1:23" hidden="1" x14ac:dyDescent="0.25">
      <c r="A660" s="1" t="s">
        <v>1295</v>
      </c>
      <c r="B660" s="2">
        <v>45211</v>
      </c>
      <c r="C660" s="1" t="str">
        <f>_xlfn.XLOOKUP(Logs[[#This Row],[Province_RDC]],Clients_Log!D:D,Clients_Log!B:B,"Pas de correspondance")</f>
        <v>Pas de correspondance</v>
      </c>
      <c r="D660" t="str">
        <f>_xlfn.XLOOKUP(Logs[[#This Row],[Cell_ID]],'Registre_Maintenance'!B:B,'Registre_Maintenance'!C:C,"Pas de correspondance")</f>
        <v>Pas de correspondance</v>
      </c>
      <c r="E660" s="3">
        <v>0.38958333333333334</v>
      </c>
      <c r="F660" s="1" t="s">
        <v>1300</v>
      </c>
      <c r="G660" s="3">
        <f>Logs[[#This Row],[Duree_Panne_Min]]/1440</f>
        <v>5.2777777777777778E-2</v>
      </c>
      <c r="H660">
        <v>76</v>
      </c>
      <c r="I660" t="str">
        <f>_xlfn.XLOOKUP(Logs[[#This Row],[Cell_ID]],'Registre_Maintenance'!B:B,'Registre_Maintenance'!D:D,"Pas de correspondance")</f>
        <v>Pas de correspondance</v>
      </c>
      <c r="J660" t="str">
        <f>_xlfn.XLOOKUP(Logs[[#This Row],[Cell_ID]],'Registre_Maintenance'!B:B,'Registre_Maintenance'!E:E,"Pas de correspondance")</f>
        <v>Pas de correspondance</v>
      </c>
      <c r="K660" t="str">
        <f>_xlfn.XLOOKUP(Logs[[#This Row],[Cell_ID]],'Registre_Maintenance'!B:B,'Registre_Maintenance'!F:F,"Pas de correspondance")</f>
        <v>Pas de correspondance</v>
      </c>
      <c r="L660" t="str">
        <f>_xlfn.XLOOKUP(Logs[[#This Row],[Cell_ID]],'Registre_Maintenance'!B:B,'Registre_Maintenance'!G:G,"Pas de correspondance")</f>
        <v>Pas de correspondance</v>
      </c>
      <c r="M660" s="1" t="s">
        <v>809</v>
      </c>
      <c r="N660" s="1" t="str">
        <f>_xlfn.XLOOKUP(Logs[[#This Row],[ID_Client]],Clients_Log!B:B,Clients_Log!E:E,"Pas de correspondance")</f>
        <v>Pas de correspondance</v>
      </c>
      <c r="O660" s="4" t="str">
        <f>IFERROR(Logs[[#This Row],[Anciennete_Mois]]/12,"")</f>
        <v/>
      </c>
      <c r="P660" s="1" t="str">
        <f>_xlfn.XLOOKUP(Logs[[#This Row],[ID_Client]],Clients_Log!B:B,Clients_Log!F:F,"Pas de correspondance")</f>
        <v>Pas de correspondance</v>
      </c>
      <c r="Q660" s="1" t="str">
        <f>IF(Logs[[#This Row],[Type_Forfait]]="Pro Monde","B2B","B2C")</f>
        <v>B2C</v>
      </c>
      <c r="R660" s="1" t="str">
        <f>_xlfn.XLOOKUP(Logs[[#This Row],[ID_Client]],Clients_Log!B:B,Clients_Log!G:G,"Pas de correspondance")</f>
        <v>Pas de correspondance</v>
      </c>
      <c r="S660" s="1" t="e">
        <f>Logs[[#This Row],[Duree_Cumulee_Panne_Min]]/1440</f>
        <v>#VALUE!</v>
      </c>
      <c r="T660" s="1" t="str">
        <f>_xlfn.XLOOKUP(Logs[[#This Row],[ID_Client]],Clients_Log!B:B,Clients_Log!H:H,"Pas de correspondance")</f>
        <v>Pas de correspondance</v>
      </c>
      <c r="U660" s="1" t="str">
        <f>_xlfn.XLOOKUP(Logs[[#This Row],[ID_Client]],Clients_Log!B:B,Clients_Log!I:I,"Pas de correspondance")</f>
        <v>Pas de correspondance</v>
      </c>
      <c r="V66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60" s="1" t="e">
        <f>Logs[[#This Row],[Facture_Mensuelle]]*Logs[[#This Row],[Remise (%)]]</f>
        <v>#VALUE!</v>
      </c>
    </row>
    <row r="661" spans="1:23" hidden="1" x14ac:dyDescent="0.25">
      <c r="A661" s="1" t="s">
        <v>1295</v>
      </c>
      <c r="B661" s="2">
        <v>45214</v>
      </c>
      <c r="C661" s="1" t="str">
        <f>_xlfn.XLOOKUP(Logs[[#This Row],[Province_RDC]],Clients_Log!D:D,Clients_Log!B:B,"Pas de correspondance")</f>
        <v>Pas de correspondance</v>
      </c>
      <c r="D661" t="str">
        <f>_xlfn.XLOOKUP(Logs[[#This Row],[Cell_ID]],'Registre_Maintenance'!B:B,'Registre_Maintenance'!C:C,"Pas de correspondance")</f>
        <v>Pas de correspondance</v>
      </c>
      <c r="E661" s="3">
        <v>0.27291666666666664</v>
      </c>
      <c r="F661" s="1" t="s">
        <v>980</v>
      </c>
      <c r="G661" s="3">
        <f>Logs[[#This Row],[Duree_Panne_Min]]/1440</f>
        <v>1.8055555555555554E-2</v>
      </c>
      <c r="H661">
        <v>26</v>
      </c>
      <c r="I661" t="str">
        <f>_xlfn.XLOOKUP(Logs[[#This Row],[Cell_ID]],'Registre_Maintenance'!B:B,'Registre_Maintenance'!D:D,"Pas de correspondance")</f>
        <v>Pas de correspondance</v>
      </c>
      <c r="J661" t="str">
        <f>_xlfn.XLOOKUP(Logs[[#This Row],[Cell_ID]],'Registre_Maintenance'!B:B,'Registre_Maintenance'!E:E,"Pas de correspondance")</f>
        <v>Pas de correspondance</v>
      </c>
      <c r="K661" t="str">
        <f>_xlfn.XLOOKUP(Logs[[#This Row],[Cell_ID]],'Registre_Maintenance'!B:B,'Registre_Maintenance'!F:F,"Pas de correspondance")</f>
        <v>Pas de correspondance</v>
      </c>
      <c r="L661" t="str">
        <f>_xlfn.XLOOKUP(Logs[[#This Row],[Cell_ID]],'Registre_Maintenance'!B:B,'Registre_Maintenance'!G:G,"Pas de correspondance")</f>
        <v>Pas de correspondance</v>
      </c>
      <c r="M661" s="1" t="s">
        <v>809</v>
      </c>
      <c r="N661" s="1" t="str">
        <f>_xlfn.XLOOKUP(Logs[[#This Row],[ID_Client]],Clients_Log!B:B,Clients_Log!E:E,"Pas de correspondance")</f>
        <v>Pas de correspondance</v>
      </c>
      <c r="O661" s="4" t="str">
        <f>IFERROR(Logs[[#This Row],[Anciennete_Mois]]/12,"")</f>
        <v/>
      </c>
      <c r="P661" s="1" t="str">
        <f>_xlfn.XLOOKUP(Logs[[#This Row],[ID_Client]],Clients_Log!B:B,Clients_Log!F:F,"Pas de correspondance")</f>
        <v>Pas de correspondance</v>
      </c>
      <c r="Q661" s="1" t="str">
        <f>IF(Logs[[#This Row],[Type_Forfait]]="Pro Monde","B2B","B2C")</f>
        <v>B2C</v>
      </c>
      <c r="R661" s="1" t="str">
        <f>_xlfn.XLOOKUP(Logs[[#This Row],[ID_Client]],Clients_Log!B:B,Clients_Log!G:G,"Pas de correspondance")</f>
        <v>Pas de correspondance</v>
      </c>
      <c r="S661" s="1" t="e">
        <f>Logs[[#This Row],[Duree_Cumulee_Panne_Min]]/1440</f>
        <v>#VALUE!</v>
      </c>
      <c r="T661" s="1" t="str">
        <f>_xlfn.XLOOKUP(Logs[[#This Row],[ID_Client]],Clients_Log!B:B,Clients_Log!H:H,"Pas de correspondance")</f>
        <v>Pas de correspondance</v>
      </c>
      <c r="U661" s="1" t="str">
        <f>_xlfn.XLOOKUP(Logs[[#This Row],[ID_Client]],Clients_Log!B:B,Clients_Log!I:I,"Pas de correspondance")</f>
        <v>Pas de correspondance</v>
      </c>
      <c r="V66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61" s="1" t="e">
        <f>Logs[[#This Row],[Facture_Mensuelle]]*Logs[[#This Row],[Remise (%)]]</f>
        <v>#VALUE!</v>
      </c>
    </row>
    <row r="662" spans="1:23" hidden="1" x14ac:dyDescent="0.25">
      <c r="A662" s="1" t="s">
        <v>1295</v>
      </c>
      <c r="B662" s="2">
        <v>45215</v>
      </c>
      <c r="C662" s="1" t="str">
        <f>_xlfn.XLOOKUP(Logs[[#This Row],[Province_RDC]],Clients_Log!D:D,Clients_Log!B:B,"Pas de correspondance")</f>
        <v>Pas de correspondance</v>
      </c>
      <c r="D662" t="str">
        <f>_xlfn.XLOOKUP(Logs[[#This Row],[Cell_ID]],'Registre_Maintenance'!B:B,'Registre_Maintenance'!C:C,"Pas de correspondance")</f>
        <v>Pas de correspondance</v>
      </c>
      <c r="E662" s="3">
        <v>0.47916666666666669</v>
      </c>
      <c r="F662" s="1" t="s">
        <v>924</v>
      </c>
      <c r="G662" s="3">
        <f>Logs[[#This Row],[Duree_Panne_Min]]/1440</f>
        <v>4.6527777777777779E-2</v>
      </c>
      <c r="H662">
        <v>67</v>
      </c>
      <c r="I662" t="str">
        <f>_xlfn.XLOOKUP(Logs[[#This Row],[Cell_ID]],'Registre_Maintenance'!B:B,'Registre_Maintenance'!D:D,"Pas de correspondance")</f>
        <v>Pas de correspondance</v>
      </c>
      <c r="J662" t="str">
        <f>_xlfn.XLOOKUP(Logs[[#This Row],[Cell_ID]],'Registre_Maintenance'!B:B,'Registre_Maintenance'!E:E,"Pas de correspondance")</f>
        <v>Pas de correspondance</v>
      </c>
      <c r="K662" t="str">
        <f>_xlfn.XLOOKUP(Logs[[#This Row],[Cell_ID]],'Registre_Maintenance'!B:B,'Registre_Maintenance'!F:F,"Pas de correspondance")</f>
        <v>Pas de correspondance</v>
      </c>
      <c r="L662" t="str">
        <f>_xlfn.XLOOKUP(Logs[[#This Row],[Cell_ID]],'Registre_Maintenance'!B:B,'Registre_Maintenance'!G:G,"Pas de correspondance")</f>
        <v>Pas de correspondance</v>
      </c>
      <c r="M662" s="1" t="s">
        <v>811</v>
      </c>
      <c r="N662" s="1" t="str">
        <f>_xlfn.XLOOKUP(Logs[[#This Row],[ID_Client]],Clients_Log!B:B,Clients_Log!E:E,"Pas de correspondance")</f>
        <v>Pas de correspondance</v>
      </c>
      <c r="O662" s="4" t="str">
        <f>IFERROR(Logs[[#This Row],[Anciennete_Mois]]/12,"")</f>
        <v/>
      </c>
      <c r="P662" s="1" t="str">
        <f>_xlfn.XLOOKUP(Logs[[#This Row],[ID_Client]],Clients_Log!B:B,Clients_Log!F:F,"Pas de correspondance")</f>
        <v>Pas de correspondance</v>
      </c>
      <c r="Q662" s="1" t="str">
        <f>IF(Logs[[#This Row],[Type_Forfait]]="Pro Monde","B2B","B2C")</f>
        <v>B2C</v>
      </c>
      <c r="R662" s="1" t="str">
        <f>_xlfn.XLOOKUP(Logs[[#This Row],[ID_Client]],Clients_Log!B:B,Clients_Log!G:G,"Pas de correspondance")</f>
        <v>Pas de correspondance</v>
      </c>
      <c r="S662" s="1" t="e">
        <f>Logs[[#This Row],[Duree_Cumulee_Panne_Min]]/1440</f>
        <v>#VALUE!</v>
      </c>
      <c r="T662" s="1" t="str">
        <f>_xlfn.XLOOKUP(Logs[[#This Row],[ID_Client]],Clients_Log!B:B,Clients_Log!H:H,"Pas de correspondance")</f>
        <v>Pas de correspondance</v>
      </c>
      <c r="U662" s="1" t="str">
        <f>_xlfn.XLOOKUP(Logs[[#This Row],[ID_Client]],Clients_Log!B:B,Clients_Log!I:I,"Pas de correspondance")</f>
        <v>Pas de correspondance</v>
      </c>
      <c r="V66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62" s="1" t="e">
        <f>Logs[[#This Row],[Facture_Mensuelle]]*Logs[[#This Row],[Remise (%)]]</f>
        <v>#VALUE!</v>
      </c>
    </row>
    <row r="663" spans="1:23" hidden="1" x14ac:dyDescent="0.25">
      <c r="A663" s="1" t="s">
        <v>1295</v>
      </c>
      <c r="B663" s="2">
        <v>45203</v>
      </c>
      <c r="C663" s="1" t="str">
        <f>_xlfn.XLOOKUP(Logs[[#This Row],[Province_RDC]],Clients_Log!D:D,Clients_Log!B:B,"Pas de correspondance")</f>
        <v>Pas de correspondance</v>
      </c>
      <c r="D663" t="str">
        <f>_xlfn.XLOOKUP(Logs[[#This Row],[Cell_ID]],'Registre_Maintenance'!B:B,'Registre_Maintenance'!C:C,"Pas de correspondance")</f>
        <v>Pas de correspondance</v>
      </c>
      <c r="E663" s="3">
        <v>0.61527777777777781</v>
      </c>
      <c r="F663" s="1" t="s">
        <v>1301</v>
      </c>
      <c r="G663" s="3">
        <f>Logs[[#This Row],[Duree_Panne_Min]]/1440</f>
        <v>2.8472222222222222E-2</v>
      </c>
      <c r="H663">
        <v>41</v>
      </c>
      <c r="I663" t="str">
        <f>_xlfn.XLOOKUP(Logs[[#This Row],[Cell_ID]],'Registre_Maintenance'!B:B,'Registre_Maintenance'!D:D,"Pas de correspondance")</f>
        <v>Pas de correspondance</v>
      </c>
      <c r="J663" t="str">
        <f>_xlfn.XLOOKUP(Logs[[#This Row],[Cell_ID]],'Registre_Maintenance'!B:B,'Registre_Maintenance'!E:E,"Pas de correspondance")</f>
        <v>Pas de correspondance</v>
      </c>
      <c r="K663" t="str">
        <f>_xlfn.XLOOKUP(Logs[[#This Row],[Cell_ID]],'Registre_Maintenance'!B:B,'Registre_Maintenance'!F:F,"Pas de correspondance")</f>
        <v>Pas de correspondance</v>
      </c>
      <c r="L663" t="str">
        <f>_xlfn.XLOOKUP(Logs[[#This Row],[Cell_ID]],'Registre_Maintenance'!B:B,'Registre_Maintenance'!G:G,"Pas de correspondance")</f>
        <v>Pas de correspondance</v>
      </c>
      <c r="M663" s="1" t="s">
        <v>806</v>
      </c>
      <c r="N663" s="1" t="str">
        <f>_xlfn.XLOOKUP(Logs[[#This Row],[ID_Client]],Clients_Log!B:B,Clients_Log!E:E,"Pas de correspondance")</f>
        <v>Pas de correspondance</v>
      </c>
      <c r="O663" s="4" t="str">
        <f>IFERROR(Logs[[#This Row],[Anciennete_Mois]]/12,"")</f>
        <v/>
      </c>
      <c r="P663" s="1" t="str">
        <f>_xlfn.XLOOKUP(Logs[[#This Row],[ID_Client]],Clients_Log!B:B,Clients_Log!F:F,"Pas de correspondance")</f>
        <v>Pas de correspondance</v>
      </c>
      <c r="Q663" s="1" t="str">
        <f>IF(Logs[[#This Row],[Type_Forfait]]="Pro Monde","B2B","B2C")</f>
        <v>B2C</v>
      </c>
      <c r="R663" s="1" t="str">
        <f>_xlfn.XLOOKUP(Logs[[#This Row],[ID_Client]],Clients_Log!B:B,Clients_Log!G:G,"Pas de correspondance")</f>
        <v>Pas de correspondance</v>
      </c>
      <c r="S663" s="1" t="e">
        <f>Logs[[#This Row],[Duree_Cumulee_Panne_Min]]/1440</f>
        <v>#VALUE!</v>
      </c>
      <c r="T663" s="1" t="str">
        <f>_xlfn.XLOOKUP(Logs[[#This Row],[ID_Client]],Clients_Log!B:B,Clients_Log!H:H,"Pas de correspondance")</f>
        <v>Pas de correspondance</v>
      </c>
      <c r="U663" s="1" t="str">
        <f>_xlfn.XLOOKUP(Logs[[#This Row],[ID_Client]],Clients_Log!B:B,Clients_Log!I:I,"Pas de correspondance")</f>
        <v>Pas de correspondance</v>
      </c>
      <c r="V66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63" s="1" t="e">
        <f>Logs[[#This Row],[Facture_Mensuelle]]*Logs[[#This Row],[Remise (%)]]</f>
        <v>#VALUE!</v>
      </c>
    </row>
    <row r="664" spans="1:23" x14ac:dyDescent="0.25">
      <c r="A664" s="1" t="s">
        <v>1295</v>
      </c>
      <c r="B664" s="2">
        <v>45222</v>
      </c>
      <c r="C664" s="1" t="str">
        <f>_xlfn.XLOOKUP(Logs[[#This Row],[Province_RDC]],Clients_Log!D:D,Clients_Log!B:B,"Pas de correspondance")</f>
        <v>CLI-00837</v>
      </c>
      <c r="D664" t="str">
        <f>_xlfn.XLOOKUP(Logs[[#This Row],[Cell_ID]],'Registre_Maintenance'!B:B,'Registre_Maintenance'!C:C,"Pas de correspondance")</f>
        <v>Nord-Kivu</v>
      </c>
      <c r="E664" s="3">
        <v>0.59722222222222221</v>
      </c>
      <c r="F664" s="1" t="s">
        <v>1001</v>
      </c>
      <c r="G664" s="3">
        <f>Logs[[#This Row],[Duree_Panne_Min]]/1440</f>
        <v>1.5277777777777777E-2</v>
      </c>
      <c r="H664">
        <v>22</v>
      </c>
      <c r="I664">
        <f>_xlfn.XLOOKUP(Logs[[#This Row],[Cell_ID]],'Registre_Maintenance'!B:B,'Registre_Maintenance'!D:D,"Pas de correspondance")</f>
        <v>-1.8555980000000001</v>
      </c>
      <c r="J664">
        <f>_xlfn.XLOOKUP(Logs[[#This Row],[Cell_ID]],'Registre_Maintenance'!B:B,'Registre_Maintenance'!E:E,"Pas de correspondance")</f>
        <v>30.421918000000002</v>
      </c>
      <c r="K664" t="str">
        <f>_xlfn.XLOOKUP(Logs[[#This Row],[Cell_ID]],'Registre_Maintenance'!B:B,'Registre_Maintenance'!F:F,"Pas de correspondance")</f>
        <v>3G</v>
      </c>
      <c r="L664" t="str">
        <f>_xlfn.XLOOKUP(Logs[[#This Row],[Cell_ID]],'Registre_Maintenance'!B:B,'Registre_Maintenance'!G:G,"Pas de correspondance")</f>
        <v>ZTE</v>
      </c>
      <c r="M664" s="1" t="s">
        <v>809</v>
      </c>
      <c r="N664" s="1">
        <f>_xlfn.XLOOKUP(Logs[[#This Row],[ID_Client]],Clients_Log!B:B,Clients_Log!E:E,"Pas de correspondance")</f>
        <v>16</v>
      </c>
      <c r="O664" s="4">
        <f>IFERROR(Logs[[#This Row],[Anciennete_Mois]]/12,"")</f>
        <v>1.3333333333333333</v>
      </c>
      <c r="P664" s="1" t="str">
        <f>_xlfn.XLOOKUP(Logs[[#This Row],[ID_Client]],Clients_Log!B:B,Clients_Log!F:F,"Pas de correspondance")</f>
        <v>Bloqué 5Go</v>
      </c>
      <c r="Q664" s="1" t="str">
        <f>IF(Logs[[#This Row],[Type_Forfait]]="Pro Monde","B2B","B2C")</f>
        <v>B2C</v>
      </c>
      <c r="R664" s="1">
        <f>_xlfn.XLOOKUP(Logs[[#This Row],[ID_Client]],Clients_Log!B:B,Clients_Log!G:G,"Pas de correspondance")</f>
        <v>390</v>
      </c>
      <c r="S664" s="3">
        <f>Logs[[#This Row],[Duree_Cumulee_Panne_Min]]/1440</f>
        <v>0.27083333333333331</v>
      </c>
      <c r="T664" s="1">
        <f>_xlfn.XLOOKUP(Logs[[#This Row],[ID_Client]],Clients_Log!B:B,Clients_Log!H:H,"Pas de correspondance")</f>
        <v>98.17</v>
      </c>
      <c r="U664" s="1">
        <f>_xlfn.XLOOKUP(Logs[[#This Row],[ID_Client]],Clients_Log!B:B,Clients_Log!I:I,"Pas de correspondance")</f>
        <v>5</v>
      </c>
      <c r="V66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64" s="1">
        <f>Logs[[#This Row],[Facture_Mensuelle]]*Logs[[#This Row],[Remise (%)]]</f>
        <v>44.176500000000004</v>
      </c>
    </row>
    <row r="665" spans="1:23" x14ac:dyDescent="0.25">
      <c r="A665" s="1" t="s">
        <v>1295</v>
      </c>
      <c r="B665" s="2">
        <v>45202</v>
      </c>
      <c r="C665" s="1" t="str">
        <f>_xlfn.XLOOKUP(Logs[[#This Row],[Province_RDC]],Clients_Log!D:D,Clients_Log!B:B,"Pas de correspondance")</f>
        <v>CLI-00996</v>
      </c>
      <c r="D665" t="str">
        <f>_xlfn.XLOOKUP(Logs[[#This Row],[Cell_ID]],'Registre_Maintenance'!B:B,'Registre_Maintenance'!C:C,"Pas de correspondance")</f>
        <v>Kwilu</v>
      </c>
      <c r="E665" s="3">
        <v>0.37638888888888888</v>
      </c>
      <c r="F665" s="1" t="s">
        <v>1302</v>
      </c>
      <c r="G665" s="3">
        <f>Logs[[#This Row],[Duree_Panne_Min]]/1440</f>
        <v>1.9444444444444445E-2</v>
      </c>
      <c r="H665">
        <v>28</v>
      </c>
      <c r="I665">
        <f>_xlfn.XLOOKUP(Logs[[#This Row],[Cell_ID]],'Registre_Maintenance'!B:B,'Registre_Maintenance'!D:D,"Pas de correspondance")</f>
        <v>-7.402336</v>
      </c>
      <c r="J665">
        <f>_xlfn.XLOOKUP(Logs[[#This Row],[Cell_ID]],'Registre_Maintenance'!B:B,'Registre_Maintenance'!E:E,"Pas de correspondance")</f>
        <v>27.376697</v>
      </c>
      <c r="K665" t="str">
        <f>_xlfn.XLOOKUP(Logs[[#This Row],[Cell_ID]],'Registre_Maintenance'!B:B,'Registre_Maintenance'!F:F,"Pas de correspondance")</f>
        <v>4G</v>
      </c>
      <c r="L665" t="str">
        <f>_xlfn.XLOOKUP(Logs[[#This Row],[Cell_ID]],'Registre_Maintenance'!B:B,'Registre_Maintenance'!G:G,"Pas de correspondance")</f>
        <v>Huawei</v>
      </c>
      <c r="M665" s="1" t="s">
        <v>806</v>
      </c>
      <c r="N665" s="1">
        <f>_xlfn.XLOOKUP(Logs[[#This Row],[ID_Client]],Clients_Log!B:B,Clients_Log!E:E,"Pas de correspondance")</f>
        <v>119</v>
      </c>
      <c r="O665" s="4">
        <f>IFERROR(Logs[[#This Row],[Anciennete_Mois]]/12,"")</f>
        <v>9.9166666666666661</v>
      </c>
      <c r="P665" s="1" t="str">
        <f>_xlfn.XLOOKUP(Logs[[#This Row],[ID_Client]],Clients_Log!B:B,Clients_Log!F:F,"Pas de correspondance")</f>
        <v>Illimité 50Go</v>
      </c>
      <c r="Q665" s="1" t="str">
        <f>IF(Logs[[#This Row],[Type_Forfait]]="Pro Monde","B2B","B2C")</f>
        <v>B2C</v>
      </c>
      <c r="R665" s="1">
        <f>_xlfn.XLOOKUP(Logs[[#This Row],[ID_Client]],Clients_Log!B:B,Clients_Log!G:G,"Pas de correspondance")</f>
        <v>228</v>
      </c>
      <c r="S665" s="3">
        <f>Logs[[#This Row],[Duree_Cumulee_Panne_Min]]/1440</f>
        <v>0.15833333333333333</v>
      </c>
      <c r="T665" s="1">
        <f>_xlfn.XLOOKUP(Logs[[#This Row],[ID_Client]],Clients_Log!B:B,Clients_Log!H:H,"Pas de correspondance")</f>
        <v>94.72</v>
      </c>
      <c r="U665" s="1">
        <f>_xlfn.XLOOKUP(Logs[[#This Row],[ID_Client]],Clients_Log!B:B,Clients_Log!I:I,"Pas de correspondance")</f>
        <v>3</v>
      </c>
      <c r="V66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665" s="1">
        <f>Logs[[#This Row],[Facture_Mensuelle]]*Logs[[#This Row],[Remise (%)]]</f>
        <v>0</v>
      </c>
    </row>
    <row r="666" spans="1:23" hidden="1" x14ac:dyDescent="0.25">
      <c r="A666" s="1" t="s">
        <v>1295</v>
      </c>
      <c r="B666" s="2">
        <v>45225</v>
      </c>
      <c r="C666" s="1" t="str">
        <f>_xlfn.XLOOKUP(Logs[[#This Row],[Province_RDC]],Clients_Log!D:D,Clients_Log!B:B,"Pas de correspondance")</f>
        <v>Pas de correspondance</v>
      </c>
      <c r="D666" t="str">
        <f>_xlfn.XLOOKUP(Logs[[#This Row],[Cell_ID]],'Registre_Maintenance'!B:B,'Registre_Maintenance'!C:C,"Pas de correspondance")</f>
        <v>Pas de correspondance</v>
      </c>
      <c r="E666" s="3">
        <v>0.92152777777777772</v>
      </c>
      <c r="F666" s="1" t="s">
        <v>1237</v>
      </c>
      <c r="G666" s="3">
        <f>Logs[[#This Row],[Duree_Panne_Min]]/1440</f>
        <v>3.125E-2</v>
      </c>
      <c r="H666">
        <v>45</v>
      </c>
      <c r="I666" t="str">
        <f>_xlfn.XLOOKUP(Logs[[#This Row],[Cell_ID]],'Registre_Maintenance'!B:B,'Registre_Maintenance'!D:D,"Pas de correspondance")</f>
        <v>Pas de correspondance</v>
      </c>
      <c r="J666" t="str">
        <f>_xlfn.XLOOKUP(Logs[[#This Row],[Cell_ID]],'Registre_Maintenance'!B:B,'Registre_Maintenance'!E:E,"Pas de correspondance")</f>
        <v>Pas de correspondance</v>
      </c>
      <c r="K666" t="str">
        <f>_xlfn.XLOOKUP(Logs[[#This Row],[Cell_ID]],'Registre_Maintenance'!B:B,'Registre_Maintenance'!F:F,"Pas de correspondance")</f>
        <v>Pas de correspondance</v>
      </c>
      <c r="L666" t="str">
        <f>_xlfn.XLOOKUP(Logs[[#This Row],[Cell_ID]],'Registre_Maintenance'!B:B,'Registre_Maintenance'!G:G,"Pas de correspondance")</f>
        <v>Pas de correspondance</v>
      </c>
      <c r="M666" s="1" t="s">
        <v>806</v>
      </c>
      <c r="N666" s="1" t="str">
        <f>_xlfn.XLOOKUP(Logs[[#This Row],[ID_Client]],Clients_Log!B:B,Clients_Log!E:E,"Pas de correspondance")</f>
        <v>Pas de correspondance</v>
      </c>
      <c r="O666" s="4" t="str">
        <f>IFERROR(Logs[[#This Row],[Anciennete_Mois]]/12,"")</f>
        <v/>
      </c>
      <c r="P666" s="1" t="str">
        <f>_xlfn.XLOOKUP(Logs[[#This Row],[ID_Client]],Clients_Log!B:B,Clients_Log!F:F,"Pas de correspondance")</f>
        <v>Pas de correspondance</v>
      </c>
      <c r="Q666" s="1" t="str">
        <f>IF(Logs[[#This Row],[Type_Forfait]]="Pro Monde","B2B","B2C")</f>
        <v>B2C</v>
      </c>
      <c r="R666" s="1" t="str">
        <f>_xlfn.XLOOKUP(Logs[[#This Row],[ID_Client]],Clients_Log!B:B,Clients_Log!G:G,"Pas de correspondance")</f>
        <v>Pas de correspondance</v>
      </c>
      <c r="S666" s="1" t="e">
        <f>Logs[[#This Row],[Duree_Cumulee_Panne_Min]]/1440</f>
        <v>#VALUE!</v>
      </c>
      <c r="T666" s="1" t="str">
        <f>_xlfn.XLOOKUP(Logs[[#This Row],[ID_Client]],Clients_Log!B:B,Clients_Log!H:H,"Pas de correspondance")</f>
        <v>Pas de correspondance</v>
      </c>
      <c r="U666" s="1" t="str">
        <f>_xlfn.XLOOKUP(Logs[[#This Row],[ID_Client]],Clients_Log!B:B,Clients_Log!I:I,"Pas de correspondance")</f>
        <v>Pas de correspondance</v>
      </c>
      <c r="V66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66" s="1" t="e">
        <f>Logs[[#This Row],[Facture_Mensuelle]]*Logs[[#This Row],[Remise (%)]]</f>
        <v>#VALUE!</v>
      </c>
    </row>
    <row r="667" spans="1:23" x14ac:dyDescent="0.25">
      <c r="A667" s="1" t="s">
        <v>1295</v>
      </c>
      <c r="B667" s="2">
        <v>45200</v>
      </c>
      <c r="C667" s="1" t="str">
        <f>_xlfn.XLOOKUP(Logs[[#This Row],[Province_RDC]],Clients_Log!D:D,Clients_Log!B:B,"Pas de correspondance")</f>
        <v>CLI-00076</v>
      </c>
      <c r="D667" t="str">
        <f>_xlfn.XLOOKUP(Logs[[#This Row],[Cell_ID]],'Registre_Maintenance'!B:B,'Registre_Maintenance'!C:C,"Pas de correspondance")</f>
        <v>Haut-Katanga</v>
      </c>
      <c r="E667" s="3">
        <v>0.44513888888888886</v>
      </c>
      <c r="F667" s="1" t="s">
        <v>1303</v>
      </c>
      <c r="G667" s="3">
        <f>Logs[[#This Row],[Duree_Panne_Min]]/1440</f>
        <v>7.7777777777777779E-2</v>
      </c>
      <c r="H667">
        <v>112</v>
      </c>
      <c r="I667">
        <f>_xlfn.XLOOKUP(Logs[[#This Row],[Cell_ID]],'Registre_Maintenance'!B:B,'Registre_Maintenance'!D:D,"Pas de correspondance")</f>
        <v>-10.945031</v>
      </c>
      <c r="J667">
        <f>_xlfn.XLOOKUP(Logs[[#This Row],[Cell_ID]],'Registre_Maintenance'!B:B,'Registre_Maintenance'!E:E,"Pas de correspondance")</f>
        <v>27.922274000000002</v>
      </c>
      <c r="K667" t="str">
        <f>_xlfn.XLOOKUP(Logs[[#This Row],[Cell_ID]],'Registre_Maintenance'!B:B,'Registre_Maintenance'!F:F,"Pas de correspondance")</f>
        <v>4G</v>
      </c>
      <c r="L667" t="str">
        <f>_xlfn.XLOOKUP(Logs[[#This Row],[Cell_ID]],'Registre_Maintenance'!B:B,'Registre_Maintenance'!G:G,"Pas de correspondance")</f>
        <v>Ericsson</v>
      </c>
      <c r="M667" s="1" t="s">
        <v>806</v>
      </c>
      <c r="N667" s="1">
        <f>_xlfn.XLOOKUP(Logs[[#This Row],[ID_Client]],Clients_Log!B:B,Clients_Log!E:E,"Pas de correspondance")</f>
        <v>46</v>
      </c>
      <c r="O667" s="4">
        <f>IFERROR(Logs[[#This Row],[Anciennete_Mois]]/12,"")</f>
        <v>3.8333333333333335</v>
      </c>
      <c r="P667" s="1" t="str">
        <f>_xlfn.XLOOKUP(Logs[[#This Row],[ID_Client]],Clients_Log!B:B,Clients_Log!F:F,"Pas de correspondance")</f>
        <v>Premium 5G 150Go</v>
      </c>
      <c r="Q667" s="1" t="str">
        <f>IF(Logs[[#This Row],[Type_Forfait]]="Pro Monde","B2B","B2C")</f>
        <v>B2C</v>
      </c>
      <c r="R667" s="1">
        <f>_xlfn.XLOOKUP(Logs[[#This Row],[ID_Client]],Clients_Log!B:B,Clients_Log!G:G,"Pas de correspondance")</f>
        <v>283</v>
      </c>
      <c r="S667" s="3">
        <f>Logs[[#This Row],[Duree_Cumulee_Panne_Min]]/1440</f>
        <v>0.19652777777777777</v>
      </c>
      <c r="T667" s="1">
        <f>_xlfn.XLOOKUP(Logs[[#This Row],[ID_Client]],Clients_Log!B:B,Clients_Log!H:H,"Pas de correspondance")</f>
        <v>56.05</v>
      </c>
      <c r="U667" s="1">
        <f>_xlfn.XLOOKUP(Logs[[#This Row],[ID_Client]],Clients_Log!B:B,Clients_Log!I:I,"Pas de correspondance")</f>
        <v>1</v>
      </c>
      <c r="V66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67" s="1">
        <f>Logs[[#This Row],[Facture_Mensuelle]]*Logs[[#This Row],[Remise (%)]]</f>
        <v>25.2225</v>
      </c>
    </row>
    <row r="668" spans="1:23" x14ac:dyDescent="0.25">
      <c r="A668" s="1" t="s">
        <v>1295</v>
      </c>
      <c r="B668" s="2">
        <v>45203</v>
      </c>
      <c r="C668" s="1" t="str">
        <f>_xlfn.XLOOKUP(Logs[[#This Row],[Province_RDC]],Clients_Log!D:D,Clients_Log!B:B,"Pas de correspondance")</f>
        <v>CLI-00185</v>
      </c>
      <c r="D668" t="str">
        <f>_xlfn.XLOOKUP(Logs[[#This Row],[Cell_ID]],'Registre_Maintenance'!B:B,'Registre_Maintenance'!C:C,"Pas de correspondance")</f>
        <v>Maniema</v>
      </c>
      <c r="E668" s="3">
        <v>0.91041666666666665</v>
      </c>
      <c r="F668" s="1" t="s">
        <v>1274</v>
      </c>
      <c r="G668" s="3">
        <f>Logs[[#This Row],[Duree_Panne_Min]]/1440</f>
        <v>4.3055555555555555E-2</v>
      </c>
      <c r="H668">
        <v>62</v>
      </c>
      <c r="I668">
        <f>_xlfn.XLOOKUP(Logs[[#This Row],[Cell_ID]],'Registre_Maintenance'!B:B,'Registre_Maintenance'!D:D,"Pas de correspondance")</f>
        <v>1.938083</v>
      </c>
      <c r="J668">
        <f>_xlfn.XLOOKUP(Logs[[#This Row],[Cell_ID]],'Registre_Maintenance'!B:B,'Registre_Maintenance'!E:E,"Pas de correspondance")</f>
        <v>28.25281</v>
      </c>
      <c r="K668" t="str">
        <f>_xlfn.XLOOKUP(Logs[[#This Row],[Cell_ID]],'Registre_Maintenance'!B:B,'Registre_Maintenance'!F:F,"Pas de correspondance")</f>
        <v>4G</v>
      </c>
      <c r="L668" t="str">
        <f>_xlfn.XLOOKUP(Logs[[#This Row],[Cell_ID]],'Registre_Maintenance'!B:B,'Registre_Maintenance'!G:G,"Pas de correspondance")</f>
        <v>Nokia</v>
      </c>
      <c r="M668" s="1" t="s">
        <v>806</v>
      </c>
      <c r="N668" s="1">
        <f>_xlfn.XLOOKUP(Logs[[#This Row],[ID_Client]],Clients_Log!B:B,Clients_Log!E:E,"Pas de correspondance")</f>
        <v>81</v>
      </c>
      <c r="O668" s="4">
        <f>IFERROR(Logs[[#This Row],[Anciennete_Mois]]/12,"")</f>
        <v>6.75</v>
      </c>
      <c r="P668" s="1" t="str">
        <f>_xlfn.XLOOKUP(Logs[[#This Row],[ID_Client]],Clients_Log!B:B,Clients_Log!F:F,"Pas de correspondance")</f>
        <v>Pro Monde</v>
      </c>
      <c r="Q668" s="1" t="str">
        <f>IF(Logs[[#This Row],[Type_Forfait]]="Pro Monde","B2B","B2C")</f>
        <v>B2B</v>
      </c>
      <c r="R668" s="1">
        <f>_xlfn.XLOOKUP(Logs[[#This Row],[ID_Client]],Clients_Log!B:B,Clients_Log!G:G,"Pas de correspondance")</f>
        <v>154</v>
      </c>
      <c r="S668" s="3">
        <f>Logs[[#This Row],[Duree_Cumulee_Panne_Min]]/1440</f>
        <v>0.10694444444444444</v>
      </c>
      <c r="T668" s="1">
        <f>_xlfn.XLOOKUP(Logs[[#This Row],[ID_Client]],Clients_Log!B:B,Clients_Log!H:H,"Pas de correspondance")</f>
        <v>19.47</v>
      </c>
      <c r="U668" s="1">
        <f>_xlfn.XLOOKUP(Logs[[#This Row],[ID_Client]],Clients_Log!B:B,Clients_Log!I:I,"Pas de correspondance")</f>
        <v>3</v>
      </c>
      <c r="V66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668" s="1">
        <f>Logs[[#This Row],[Facture_Mensuelle]]*Logs[[#This Row],[Remise (%)]]</f>
        <v>1.9470000000000001</v>
      </c>
    </row>
    <row r="669" spans="1:23" hidden="1" x14ac:dyDescent="0.25">
      <c r="A669" s="1" t="s">
        <v>1295</v>
      </c>
      <c r="B669" s="2">
        <v>45205</v>
      </c>
      <c r="C669" s="1" t="str">
        <f>_xlfn.XLOOKUP(Logs[[#This Row],[Province_RDC]],Clients_Log!D:D,Clients_Log!B:B,"Pas de correspondance")</f>
        <v>Pas de correspondance</v>
      </c>
      <c r="D669" t="str">
        <f>_xlfn.XLOOKUP(Logs[[#This Row],[Cell_ID]],'Registre_Maintenance'!B:B,'Registre_Maintenance'!C:C,"Pas de correspondance")</f>
        <v>Pas de correspondance</v>
      </c>
      <c r="E669" s="3">
        <v>0.96875</v>
      </c>
      <c r="F669" s="1" t="s">
        <v>1304</v>
      </c>
      <c r="G669" s="3">
        <f>Logs[[#This Row],[Duree_Panne_Min]]/1440</f>
        <v>5.8333333333333334E-2</v>
      </c>
      <c r="H669">
        <v>84</v>
      </c>
      <c r="I669" t="str">
        <f>_xlfn.XLOOKUP(Logs[[#This Row],[Cell_ID]],'Registre_Maintenance'!B:B,'Registre_Maintenance'!D:D,"Pas de correspondance")</f>
        <v>Pas de correspondance</v>
      </c>
      <c r="J669" t="str">
        <f>_xlfn.XLOOKUP(Logs[[#This Row],[Cell_ID]],'Registre_Maintenance'!B:B,'Registre_Maintenance'!E:E,"Pas de correspondance")</f>
        <v>Pas de correspondance</v>
      </c>
      <c r="K669" t="str">
        <f>_xlfn.XLOOKUP(Logs[[#This Row],[Cell_ID]],'Registre_Maintenance'!B:B,'Registre_Maintenance'!F:F,"Pas de correspondance")</f>
        <v>Pas de correspondance</v>
      </c>
      <c r="L669" t="str">
        <f>_xlfn.XLOOKUP(Logs[[#This Row],[Cell_ID]],'Registre_Maintenance'!B:B,'Registre_Maintenance'!G:G,"Pas de correspondance")</f>
        <v>Pas de correspondance</v>
      </c>
      <c r="M669" s="1" t="s">
        <v>809</v>
      </c>
      <c r="N669" s="1" t="str">
        <f>_xlfn.XLOOKUP(Logs[[#This Row],[ID_Client]],Clients_Log!B:B,Clients_Log!E:E,"Pas de correspondance")</f>
        <v>Pas de correspondance</v>
      </c>
      <c r="O669" s="4" t="str">
        <f>IFERROR(Logs[[#This Row],[Anciennete_Mois]]/12,"")</f>
        <v/>
      </c>
      <c r="P669" s="1" t="str">
        <f>_xlfn.XLOOKUP(Logs[[#This Row],[ID_Client]],Clients_Log!B:B,Clients_Log!F:F,"Pas de correspondance")</f>
        <v>Pas de correspondance</v>
      </c>
      <c r="Q669" s="1" t="str">
        <f>IF(Logs[[#This Row],[Type_Forfait]]="Pro Monde","B2B","B2C")</f>
        <v>B2C</v>
      </c>
      <c r="R669" s="1" t="str">
        <f>_xlfn.XLOOKUP(Logs[[#This Row],[ID_Client]],Clients_Log!B:B,Clients_Log!G:G,"Pas de correspondance")</f>
        <v>Pas de correspondance</v>
      </c>
      <c r="S669" s="1" t="e">
        <f>Logs[[#This Row],[Duree_Cumulee_Panne_Min]]/1440</f>
        <v>#VALUE!</v>
      </c>
      <c r="T669" s="1" t="str">
        <f>_xlfn.XLOOKUP(Logs[[#This Row],[ID_Client]],Clients_Log!B:B,Clients_Log!H:H,"Pas de correspondance")</f>
        <v>Pas de correspondance</v>
      </c>
      <c r="U669" s="1" t="str">
        <f>_xlfn.XLOOKUP(Logs[[#This Row],[ID_Client]],Clients_Log!B:B,Clients_Log!I:I,"Pas de correspondance")</f>
        <v>Pas de correspondance</v>
      </c>
      <c r="V66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69" s="1" t="e">
        <f>Logs[[#This Row],[Facture_Mensuelle]]*Logs[[#This Row],[Remise (%)]]</f>
        <v>#VALUE!</v>
      </c>
    </row>
    <row r="670" spans="1:23" x14ac:dyDescent="0.25">
      <c r="A670" s="1" t="s">
        <v>1295</v>
      </c>
      <c r="B670" s="2">
        <v>45216</v>
      </c>
      <c r="C670" s="1" t="str">
        <f>_xlfn.XLOOKUP(Logs[[#This Row],[Province_RDC]],Clients_Log!D:D,Clients_Log!B:B,"Pas de correspondance")</f>
        <v>CLI-00559</v>
      </c>
      <c r="D670" t="str">
        <f>_xlfn.XLOOKUP(Logs[[#This Row],[Cell_ID]],'Registre_Maintenance'!B:B,'Registre_Maintenance'!C:C,"Pas de correspondance")</f>
        <v>Kasaï</v>
      </c>
      <c r="E670" s="3">
        <v>0.2326388888888889</v>
      </c>
      <c r="F670" s="1" t="s">
        <v>1305</v>
      </c>
      <c r="G670" s="3">
        <f>Logs[[#This Row],[Duree_Panne_Min]]/1440</f>
        <v>7.6388888888888886E-3</v>
      </c>
      <c r="H670">
        <v>11</v>
      </c>
      <c r="I670">
        <f>_xlfn.XLOOKUP(Logs[[#This Row],[Cell_ID]],'Registre_Maintenance'!B:B,'Registre_Maintenance'!D:D,"Pas de correspondance")</f>
        <v>-3.8119990000000001</v>
      </c>
      <c r="J670">
        <f>_xlfn.XLOOKUP(Logs[[#This Row],[Cell_ID]],'Registre_Maintenance'!B:B,'Registre_Maintenance'!E:E,"Pas de correspondance")</f>
        <v>20.420048000000001</v>
      </c>
      <c r="K670" t="str">
        <f>_xlfn.XLOOKUP(Logs[[#This Row],[Cell_ID]],'Registre_Maintenance'!B:B,'Registre_Maintenance'!F:F,"Pas de correspondance")</f>
        <v>3G</v>
      </c>
      <c r="L670" t="str">
        <f>_xlfn.XLOOKUP(Logs[[#This Row],[Cell_ID]],'Registre_Maintenance'!B:B,'Registre_Maintenance'!G:G,"Pas de correspondance")</f>
        <v>ZTE</v>
      </c>
      <c r="M670" s="1" t="s">
        <v>811</v>
      </c>
      <c r="N670" s="1">
        <f>_xlfn.XLOOKUP(Logs[[#This Row],[ID_Client]],Clients_Log!B:B,Clients_Log!E:E,"Pas de correspondance")</f>
        <v>99</v>
      </c>
      <c r="O670" s="4">
        <f>IFERROR(Logs[[#This Row],[Anciennete_Mois]]/12,"")</f>
        <v>8.25</v>
      </c>
      <c r="P670" s="1" t="str">
        <f>_xlfn.XLOOKUP(Logs[[#This Row],[ID_Client]],Clients_Log!B:B,Clients_Log!F:F,"Pas de correspondance")</f>
        <v>Bloqué 5Go</v>
      </c>
      <c r="Q670" s="1" t="str">
        <f>IF(Logs[[#This Row],[Type_Forfait]]="Pro Monde","B2B","B2C")</f>
        <v>B2C</v>
      </c>
      <c r="R670" s="1">
        <f>_xlfn.XLOOKUP(Logs[[#This Row],[ID_Client]],Clients_Log!B:B,Clients_Log!G:G,"Pas de correspondance")</f>
        <v>369</v>
      </c>
      <c r="S670" s="3">
        <f>Logs[[#This Row],[Duree_Cumulee_Panne_Min]]/1440</f>
        <v>0.25624999999999998</v>
      </c>
      <c r="T670" s="1">
        <f>_xlfn.XLOOKUP(Logs[[#This Row],[ID_Client]],Clients_Log!B:B,Clients_Log!H:H,"Pas de correspondance")</f>
        <v>67.209999999999994</v>
      </c>
      <c r="U670" s="1">
        <f>_xlfn.XLOOKUP(Logs[[#This Row],[ID_Client]],Clients_Log!B:B,Clients_Log!I:I,"Pas de correspondance")</f>
        <v>3</v>
      </c>
      <c r="V67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70" s="1">
        <f>Logs[[#This Row],[Facture_Mensuelle]]*Logs[[#This Row],[Remise (%)]]</f>
        <v>30.244499999999999</v>
      </c>
    </row>
    <row r="671" spans="1:23" x14ac:dyDescent="0.25">
      <c r="A671" s="1" t="s">
        <v>1295</v>
      </c>
      <c r="B671" s="2">
        <v>45205</v>
      </c>
      <c r="C671" s="1" t="str">
        <f>_xlfn.XLOOKUP(Logs[[#This Row],[Province_RDC]],Clients_Log!D:D,Clients_Log!B:B,"Pas de correspondance")</f>
        <v>CLI-01855</v>
      </c>
      <c r="D671" t="str">
        <f>_xlfn.XLOOKUP(Logs[[#This Row],[Cell_ID]],'Registre_Maintenance'!B:B,'Registre_Maintenance'!C:C,"Pas de correspondance")</f>
        <v>Sud-Kivu</v>
      </c>
      <c r="E671" s="3">
        <v>0.44097222222222221</v>
      </c>
      <c r="F671" s="1" t="s">
        <v>1306</v>
      </c>
      <c r="G671" s="3">
        <f>Logs[[#This Row],[Duree_Panne_Min]]/1440</f>
        <v>7.9861111111111105E-2</v>
      </c>
      <c r="H671">
        <v>115</v>
      </c>
      <c r="I671">
        <f>_xlfn.XLOOKUP(Logs[[#This Row],[Cell_ID]],'Registre_Maintenance'!B:B,'Registre_Maintenance'!D:D,"Pas de correspondance")</f>
        <v>-1.3024210000000001</v>
      </c>
      <c r="J671">
        <f>_xlfn.XLOOKUP(Logs[[#This Row],[Cell_ID]],'Registre_Maintenance'!B:B,'Registre_Maintenance'!E:E,"Pas de correspondance")</f>
        <v>13.601914000000001</v>
      </c>
      <c r="K671" t="str">
        <f>_xlfn.XLOOKUP(Logs[[#This Row],[Cell_ID]],'Registre_Maintenance'!B:B,'Registre_Maintenance'!F:F,"Pas de correspondance")</f>
        <v>3G</v>
      </c>
      <c r="L671" t="str">
        <f>_xlfn.XLOOKUP(Logs[[#This Row],[Cell_ID]],'Registre_Maintenance'!B:B,'Registre_Maintenance'!G:G,"Pas de correspondance")</f>
        <v>Huawei</v>
      </c>
      <c r="M671" s="1" t="s">
        <v>809</v>
      </c>
      <c r="N671" s="1">
        <f>_xlfn.XLOOKUP(Logs[[#This Row],[ID_Client]],Clients_Log!B:B,Clients_Log!E:E,"Pas de correspondance")</f>
        <v>101</v>
      </c>
      <c r="O671" s="4">
        <f>IFERROR(Logs[[#This Row],[Anciennete_Mois]]/12,"")</f>
        <v>8.4166666666666661</v>
      </c>
      <c r="P671" s="1" t="str">
        <f>_xlfn.XLOOKUP(Logs[[#This Row],[ID_Client]],Clients_Log!B:B,Clients_Log!F:F,"Pas de correspondance")</f>
        <v>Illimité 50Go</v>
      </c>
      <c r="Q671" s="1" t="str">
        <f>IF(Logs[[#This Row],[Type_Forfait]]="Pro Monde","B2B","B2C")</f>
        <v>B2C</v>
      </c>
      <c r="R671" s="1">
        <f>_xlfn.XLOOKUP(Logs[[#This Row],[ID_Client]],Clients_Log!B:B,Clients_Log!G:G,"Pas de correspondance")</f>
        <v>358</v>
      </c>
      <c r="S671" s="3">
        <f>Logs[[#This Row],[Duree_Cumulee_Panne_Min]]/1440</f>
        <v>0.24861111111111112</v>
      </c>
      <c r="T671" s="1">
        <f>_xlfn.XLOOKUP(Logs[[#This Row],[ID_Client]],Clients_Log!B:B,Clients_Log!H:H,"Pas de correspondance")</f>
        <v>29.24</v>
      </c>
      <c r="U671" s="1">
        <f>_xlfn.XLOOKUP(Logs[[#This Row],[ID_Client]],Clients_Log!B:B,Clients_Log!I:I,"Pas de correspondance")</f>
        <v>3</v>
      </c>
      <c r="V67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71" s="1">
        <f>Logs[[#This Row],[Facture_Mensuelle]]*Logs[[#This Row],[Remise (%)]]</f>
        <v>13.157999999999999</v>
      </c>
    </row>
    <row r="672" spans="1:23" hidden="1" x14ac:dyDescent="0.25">
      <c r="A672" s="1" t="s">
        <v>1295</v>
      </c>
      <c r="B672" s="2">
        <v>45213</v>
      </c>
      <c r="C672" s="1" t="str">
        <f>_xlfn.XLOOKUP(Logs[[#This Row],[Province_RDC]],Clients_Log!D:D,Clients_Log!B:B,"Pas de correspondance")</f>
        <v>Pas de correspondance</v>
      </c>
      <c r="D672" t="str">
        <f>_xlfn.XLOOKUP(Logs[[#This Row],[Cell_ID]],'Registre_Maintenance'!B:B,'Registre_Maintenance'!C:C,"Pas de correspondance")</f>
        <v>Pas de correspondance</v>
      </c>
      <c r="E672" s="3">
        <v>0.59305555555555556</v>
      </c>
      <c r="F672" s="1" t="s">
        <v>1229</v>
      </c>
      <c r="G672" s="3">
        <f>Logs[[#This Row],[Duree_Panne_Min]]/1440</f>
        <v>3.4722222222222224E-2</v>
      </c>
      <c r="H672">
        <v>50</v>
      </c>
      <c r="I672" t="str">
        <f>_xlfn.XLOOKUP(Logs[[#This Row],[Cell_ID]],'Registre_Maintenance'!B:B,'Registre_Maintenance'!D:D,"Pas de correspondance")</f>
        <v>Pas de correspondance</v>
      </c>
      <c r="J672" t="str">
        <f>_xlfn.XLOOKUP(Logs[[#This Row],[Cell_ID]],'Registre_Maintenance'!B:B,'Registre_Maintenance'!E:E,"Pas de correspondance")</f>
        <v>Pas de correspondance</v>
      </c>
      <c r="K672" t="str">
        <f>_xlfn.XLOOKUP(Logs[[#This Row],[Cell_ID]],'Registre_Maintenance'!B:B,'Registre_Maintenance'!F:F,"Pas de correspondance")</f>
        <v>Pas de correspondance</v>
      </c>
      <c r="L672" t="str">
        <f>_xlfn.XLOOKUP(Logs[[#This Row],[Cell_ID]],'Registre_Maintenance'!B:B,'Registre_Maintenance'!G:G,"Pas de correspondance")</f>
        <v>Pas de correspondance</v>
      </c>
      <c r="M672" s="1" t="s">
        <v>811</v>
      </c>
      <c r="N672" s="1" t="str">
        <f>_xlfn.XLOOKUP(Logs[[#This Row],[ID_Client]],Clients_Log!B:B,Clients_Log!E:E,"Pas de correspondance")</f>
        <v>Pas de correspondance</v>
      </c>
      <c r="O672" s="4" t="str">
        <f>IFERROR(Logs[[#This Row],[Anciennete_Mois]]/12,"")</f>
        <v/>
      </c>
      <c r="P672" s="1" t="str">
        <f>_xlfn.XLOOKUP(Logs[[#This Row],[ID_Client]],Clients_Log!B:B,Clients_Log!F:F,"Pas de correspondance")</f>
        <v>Pas de correspondance</v>
      </c>
      <c r="Q672" s="1" t="str">
        <f>IF(Logs[[#This Row],[Type_Forfait]]="Pro Monde","B2B","B2C")</f>
        <v>B2C</v>
      </c>
      <c r="R672" s="1" t="str">
        <f>_xlfn.XLOOKUP(Logs[[#This Row],[ID_Client]],Clients_Log!B:B,Clients_Log!G:G,"Pas de correspondance")</f>
        <v>Pas de correspondance</v>
      </c>
      <c r="S672" s="1" t="e">
        <f>Logs[[#This Row],[Duree_Cumulee_Panne_Min]]/1440</f>
        <v>#VALUE!</v>
      </c>
      <c r="T672" s="1" t="str">
        <f>_xlfn.XLOOKUP(Logs[[#This Row],[ID_Client]],Clients_Log!B:B,Clients_Log!H:H,"Pas de correspondance")</f>
        <v>Pas de correspondance</v>
      </c>
      <c r="U672" s="1" t="str">
        <f>_xlfn.XLOOKUP(Logs[[#This Row],[ID_Client]],Clients_Log!B:B,Clients_Log!I:I,"Pas de correspondance")</f>
        <v>Pas de correspondance</v>
      </c>
      <c r="V67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72" s="1" t="e">
        <f>Logs[[#This Row],[Facture_Mensuelle]]*Logs[[#This Row],[Remise (%)]]</f>
        <v>#VALUE!</v>
      </c>
    </row>
    <row r="673" spans="1:23" hidden="1" x14ac:dyDescent="0.25">
      <c r="A673" s="1" t="s">
        <v>1295</v>
      </c>
      <c r="B673" s="2">
        <v>45225</v>
      </c>
      <c r="C673" s="1" t="str">
        <f>_xlfn.XLOOKUP(Logs[[#This Row],[Province_RDC]],Clients_Log!D:D,Clients_Log!B:B,"Pas de correspondance")</f>
        <v>Pas de correspondance</v>
      </c>
      <c r="D673" t="str">
        <f>_xlfn.XLOOKUP(Logs[[#This Row],[Cell_ID]],'Registre_Maintenance'!B:B,'Registre_Maintenance'!C:C,"Pas de correspondance")</f>
        <v>Pas de correspondance</v>
      </c>
      <c r="E673" s="3">
        <v>0.52777777777777779</v>
      </c>
      <c r="F673" s="1" t="s">
        <v>1307</v>
      </c>
      <c r="G673" s="3">
        <f>Logs[[#This Row],[Duree_Panne_Min]]/1440</f>
        <v>4.1666666666666666E-3</v>
      </c>
      <c r="H673">
        <v>6</v>
      </c>
      <c r="I673" t="str">
        <f>_xlfn.XLOOKUP(Logs[[#This Row],[Cell_ID]],'Registre_Maintenance'!B:B,'Registre_Maintenance'!D:D,"Pas de correspondance")</f>
        <v>Pas de correspondance</v>
      </c>
      <c r="J673" t="str">
        <f>_xlfn.XLOOKUP(Logs[[#This Row],[Cell_ID]],'Registre_Maintenance'!B:B,'Registre_Maintenance'!E:E,"Pas de correspondance")</f>
        <v>Pas de correspondance</v>
      </c>
      <c r="K673" t="str">
        <f>_xlfn.XLOOKUP(Logs[[#This Row],[Cell_ID]],'Registre_Maintenance'!B:B,'Registre_Maintenance'!F:F,"Pas de correspondance")</f>
        <v>Pas de correspondance</v>
      </c>
      <c r="L673" t="str">
        <f>_xlfn.XLOOKUP(Logs[[#This Row],[Cell_ID]],'Registre_Maintenance'!B:B,'Registre_Maintenance'!G:G,"Pas de correspondance")</f>
        <v>Pas de correspondance</v>
      </c>
      <c r="M673" s="1" t="s">
        <v>809</v>
      </c>
      <c r="N673" s="1" t="str">
        <f>_xlfn.XLOOKUP(Logs[[#This Row],[ID_Client]],Clients_Log!B:B,Clients_Log!E:E,"Pas de correspondance")</f>
        <v>Pas de correspondance</v>
      </c>
      <c r="O673" s="4" t="str">
        <f>IFERROR(Logs[[#This Row],[Anciennete_Mois]]/12,"")</f>
        <v/>
      </c>
      <c r="P673" s="1" t="str">
        <f>_xlfn.XLOOKUP(Logs[[#This Row],[ID_Client]],Clients_Log!B:B,Clients_Log!F:F,"Pas de correspondance")</f>
        <v>Pas de correspondance</v>
      </c>
      <c r="Q673" s="1" t="str">
        <f>IF(Logs[[#This Row],[Type_Forfait]]="Pro Monde","B2B","B2C")</f>
        <v>B2C</v>
      </c>
      <c r="R673" s="1" t="str">
        <f>_xlfn.XLOOKUP(Logs[[#This Row],[ID_Client]],Clients_Log!B:B,Clients_Log!G:G,"Pas de correspondance")</f>
        <v>Pas de correspondance</v>
      </c>
      <c r="S673" s="1" t="e">
        <f>Logs[[#This Row],[Duree_Cumulee_Panne_Min]]/1440</f>
        <v>#VALUE!</v>
      </c>
      <c r="T673" s="1" t="str">
        <f>_xlfn.XLOOKUP(Logs[[#This Row],[ID_Client]],Clients_Log!B:B,Clients_Log!H:H,"Pas de correspondance")</f>
        <v>Pas de correspondance</v>
      </c>
      <c r="U673" s="1" t="str">
        <f>_xlfn.XLOOKUP(Logs[[#This Row],[ID_Client]],Clients_Log!B:B,Clients_Log!I:I,"Pas de correspondance")</f>
        <v>Pas de correspondance</v>
      </c>
      <c r="V67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73" s="1" t="e">
        <f>Logs[[#This Row],[Facture_Mensuelle]]*Logs[[#This Row],[Remise (%)]]</f>
        <v>#VALUE!</v>
      </c>
    </row>
    <row r="674" spans="1:23" hidden="1" x14ac:dyDescent="0.25">
      <c r="A674" s="1" t="s">
        <v>1295</v>
      </c>
      <c r="B674" s="2">
        <v>45205</v>
      </c>
      <c r="C674" s="1" t="str">
        <f>_xlfn.XLOOKUP(Logs[[#This Row],[Province_RDC]],Clients_Log!D:D,Clients_Log!B:B,"Pas de correspondance")</f>
        <v>Pas de correspondance</v>
      </c>
      <c r="D674" t="str">
        <f>_xlfn.XLOOKUP(Logs[[#This Row],[Cell_ID]],'Registre_Maintenance'!B:B,'Registre_Maintenance'!C:C,"Pas de correspondance")</f>
        <v>Pas de correspondance</v>
      </c>
      <c r="E674" s="3">
        <v>0.2361111111111111</v>
      </c>
      <c r="F674" s="1" t="s">
        <v>988</v>
      </c>
      <c r="G674" s="3">
        <f>Logs[[#This Row],[Duree_Panne_Min]]/1440</f>
        <v>4.6527777777777779E-2</v>
      </c>
      <c r="H674">
        <v>67</v>
      </c>
      <c r="I674" t="str">
        <f>_xlfn.XLOOKUP(Logs[[#This Row],[Cell_ID]],'Registre_Maintenance'!B:B,'Registre_Maintenance'!D:D,"Pas de correspondance")</f>
        <v>Pas de correspondance</v>
      </c>
      <c r="J674" t="str">
        <f>_xlfn.XLOOKUP(Logs[[#This Row],[Cell_ID]],'Registre_Maintenance'!B:B,'Registre_Maintenance'!E:E,"Pas de correspondance")</f>
        <v>Pas de correspondance</v>
      </c>
      <c r="K674" t="str">
        <f>_xlfn.XLOOKUP(Logs[[#This Row],[Cell_ID]],'Registre_Maintenance'!B:B,'Registre_Maintenance'!F:F,"Pas de correspondance")</f>
        <v>Pas de correspondance</v>
      </c>
      <c r="L674" t="str">
        <f>_xlfn.XLOOKUP(Logs[[#This Row],[Cell_ID]],'Registre_Maintenance'!B:B,'Registre_Maintenance'!G:G,"Pas de correspondance")</f>
        <v>Pas de correspondance</v>
      </c>
      <c r="M674" s="1" t="s">
        <v>809</v>
      </c>
      <c r="N674" s="1" t="str">
        <f>_xlfn.XLOOKUP(Logs[[#This Row],[ID_Client]],Clients_Log!B:B,Clients_Log!E:E,"Pas de correspondance")</f>
        <v>Pas de correspondance</v>
      </c>
      <c r="O674" s="4" t="str">
        <f>IFERROR(Logs[[#This Row],[Anciennete_Mois]]/12,"")</f>
        <v/>
      </c>
      <c r="P674" s="1" t="str">
        <f>_xlfn.XLOOKUP(Logs[[#This Row],[ID_Client]],Clients_Log!B:B,Clients_Log!F:F,"Pas de correspondance")</f>
        <v>Pas de correspondance</v>
      </c>
      <c r="Q674" s="1" t="str">
        <f>IF(Logs[[#This Row],[Type_Forfait]]="Pro Monde","B2B","B2C")</f>
        <v>B2C</v>
      </c>
      <c r="R674" s="1" t="str">
        <f>_xlfn.XLOOKUP(Logs[[#This Row],[ID_Client]],Clients_Log!B:B,Clients_Log!G:G,"Pas de correspondance")</f>
        <v>Pas de correspondance</v>
      </c>
      <c r="S674" s="1" t="e">
        <f>Logs[[#This Row],[Duree_Cumulee_Panne_Min]]/1440</f>
        <v>#VALUE!</v>
      </c>
      <c r="T674" s="1" t="str">
        <f>_xlfn.XLOOKUP(Logs[[#This Row],[ID_Client]],Clients_Log!B:B,Clients_Log!H:H,"Pas de correspondance")</f>
        <v>Pas de correspondance</v>
      </c>
      <c r="U674" s="1" t="str">
        <f>_xlfn.XLOOKUP(Logs[[#This Row],[ID_Client]],Clients_Log!B:B,Clients_Log!I:I,"Pas de correspondance")</f>
        <v>Pas de correspondance</v>
      </c>
      <c r="V67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74" s="1" t="e">
        <f>Logs[[#This Row],[Facture_Mensuelle]]*Logs[[#This Row],[Remise (%)]]</f>
        <v>#VALUE!</v>
      </c>
    </row>
    <row r="675" spans="1:23" x14ac:dyDescent="0.25">
      <c r="A675" s="1" t="s">
        <v>1295</v>
      </c>
      <c r="B675" s="2">
        <v>45221</v>
      </c>
      <c r="C675" s="1" t="str">
        <f>_xlfn.XLOOKUP(Logs[[#This Row],[Province_RDC]],Clients_Log!D:D,Clients_Log!B:B,"Pas de correspondance")</f>
        <v>CLI-00569</v>
      </c>
      <c r="D675" t="str">
        <f>_xlfn.XLOOKUP(Logs[[#This Row],[Cell_ID]],'Registre_Maintenance'!B:B,'Registre_Maintenance'!C:C,"Pas de correspondance")</f>
        <v>Kwango</v>
      </c>
      <c r="E675" s="3">
        <v>0.55902777777777779</v>
      </c>
      <c r="F675" s="1" t="s">
        <v>1308</v>
      </c>
      <c r="G675" s="3">
        <f>Logs[[#This Row],[Duree_Panne_Min]]/1440</f>
        <v>1.5277777777777777E-2</v>
      </c>
      <c r="H675">
        <v>22</v>
      </c>
      <c r="I675">
        <f>_xlfn.XLOOKUP(Logs[[#This Row],[Cell_ID]],'Registre_Maintenance'!B:B,'Registre_Maintenance'!D:D,"Pas de correspondance")</f>
        <v>0.65288900000000005</v>
      </c>
      <c r="J675">
        <f>_xlfn.XLOOKUP(Logs[[#This Row],[Cell_ID]],'Registre_Maintenance'!B:B,'Registre_Maintenance'!E:E,"Pas de correspondance")</f>
        <v>24.243953999999999</v>
      </c>
      <c r="K675" t="str">
        <f>_xlfn.XLOOKUP(Logs[[#This Row],[Cell_ID]],'Registre_Maintenance'!B:B,'Registre_Maintenance'!F:F,"Pas de correspondance")</f>
        <v>5G</v>
      </c>
      <c r="L675" t="str">
        <f>_xlfn.XLOOKUP(Logs[[#This Row],[Cell_ID]],'Registre_Maintenance'!B:B,'Registre_Maintenance'!G:G,"Pas de correspondance")</f>
        <v>Ericsson</v>
      </c>
      <c r="M675" s="1" t="s">
        <v>806</v>
      </c>
      <c r="N675" s="1">
        <f>_xlfn.XLOOKUP(Logs[[#This Row],[ID_Client]],Clients_Log!B:B,Clients_Log!E:E,"Pas de correspondance")</f>
        <v>110</v>
      </c>
      <c r="O675" s="4">
        <f>IFERROR(Logs[[#This Row],[Anciennete_Mois]]/12,"")</f>
        <v>9.1666666666666661</v>
      </c>
      <c r="P675" s="1" t="str">
        <f>_xlfn.XLOOKUP(Logs[[#This Row],[ID_Client]],Clients_Log!B:B,Clients_Log!F:F,"Pas de correspondance")</f>
        <v>Pro Monde</v>
      </c>
      <c r="Q675" s="1" t="str">
        <f>IF(Logs[[#This Row],[Type_Forfait]]="Pro Monde","B2B","B2C")</f>
        <v>B2B</v>
      </c>
      <c r="R675" s="1">
        <f>_xlfn.XLOOKUP(Logs[[#This Row],[ID_Client]],Clients_Log!B:B,Clients_Log!G:G,"Pas de correspondance")</f>
        <v>423</v>
      </c>
      <c r="S675" s="3">
        <f>Logs[[#This Row],[Duree_Cumulee_Panne_Min]]/1440</f>
        <v>0.29375000000000001</v>
      </c>
      <c r="T675" s="1">
        <f>_xlfn.XLOOKUP(Logs[[#This Row],[ID_Client]],Clients_Log!B:B,Clients_Log!H:H,"Pas de correspondance")</f>
        <v>37.35</v>
      </c>
      <c r="U675" s="1">
        <f>_xlfn.XLOOKUP(Logs[[#This Row],[ID_Client]],Clients_Log!B:B,Clients_Log!I:I,"Pas de correspondance")</f>
        <v>4</v>
      </c>
      <c r="V67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75" s="1">
        <f>Logs[[#This Row],[Facture_Mensuelle]]*Logs[[#This Row],[Remise (%)]]</f>
        <v>16.807500000000001</v>
      </c>
    </row>
    <row r="676" spans="1:23" x14ac:dyDescent="0.25">
      <c r="A676" s="1" t="s">
        <v>1295</v>
      </c>
      <c r="B676" s="2">
        <v>45200</v>
      </c>
      <c r="C676" s="1" t="str">
        <f>_xlfn.XLOOKUP(Logs[[#This Row],[Province_RDC]],Clients_Log!D:D,Clients_Log!B:B,"Pas de correspondance")</f>
        <v>CLI-00414</v>
      </c>
      <c r="D676" t="str">
        <f>_xlfn.XLOOKUP(Logs[[#This Row],[Cell_ID]],'Registre_Maintenance'!B:B,'Registre_Maintenance'!C:C,"Pas de correspondance")</f>
        <v>Bas-Uele</v>
      </c>
      <c r="E676" s="3">
        <v>0.98541666666666672</v>
      </c>
      <c r="F676" s="1" t="s">
        <v>996</v>
      </c>
      <c r="G676" s="3">
        <f>Logs[[#This Row],[Duree_Panne_Min]]/1440</f>
        <v>2.013888888888889E-2</v>
      </c>
      <c r="H676">
        <v>29</v>
      </c>
      <c r="I676">
        <f>_xlfn.XLOOKUP(Logs[[#This Row],[Cell_ID]],'Registre_Maintenance'!B:B,'Registre_Maintenance'!D:D,"Pas de correspondance")</f>
        <v>1.5278670000000001</v>
      </c>
      <c r="J676">
        <f>_xlfn.XLOOKUP(Logs[[#This Row],[Cell_ID]],'Registre_Maintenance'!B:B,'Registre_Maintenance'!E:E,"Pas de correspondance")</f>
        <v>13.899388999999999</v>
      </c>
      <c r="K676" t="str">
        <f>_xlfn.XLOOKUP(Logs[[#This Row],[Cell_ID]],'Registre_Maintenance'!B:B,'Registre_Maintenance'!F:F,"Pas de correspondance")</f>
        <v>3G</v>
      </c>
      <c r="L676" t="str">
        <f>_xlfn.XLOOKUP(Logs[[#This Row],[Cell_ID]],'Registre_Maintenance'!B:B,'Registre_Maintenance'!G:G,"Pas de correspondance")</f>
        <v>Huawei</v>
      </c>
      <c r="M676" s="1" t="s">
        <v>811</v>
      </c>
      <c r="N676" s="1">
        <f>_xlfn.XLOOKUP(Logs[[#This Row],[ID_Client]],Clients_Log!B:B,Clients_Log!E:E,"Pas de correspondance")</f>
        <v>99</v>
      </c>
      <c r="O676" s="4">
        <f>IFERROR(Logs[[#This Row],[Anciennete_Mois]]/12,"")</f>
        <v>8.25</v>
      </c>
      <c r="P676" s="1" t="str">
        <f>_xlfn.XLOOKUP(Logs[[#This Row],[ID_Client]],Clients_Log!B:B,Clients_Log!F:F,"Pas de correspondance")</f>
        <v>Premium 5G 150Go</v>
      </c>
      <c r="Q676" s="1" t="str">
        <f>IF(Logs[[#This Row],[Type_Forfait]]="Pro Monde","B2B","B2C")</f>
        <v>B2C</v>
      </c>
      <c r="R676" s="1">
        <f>_xlfn.XLOOKUP(Logs[[#This Row],[ID_Client]],Clients_Log!B:B,Clients_Log!G:G,"Pas de correspondance")</f>
        <v>447</v>
      </c>
      <c r="S676" s="3">
        <f>Logs[[#This Row],[Duree_Cumulee_Panne_Min]]/1440</f>
        <v>0.31041666666666667</v>
      </c>
      <c r="T676" s="1">
        <f>_xlfn.XLOOKUP(Logs[[#This Row],[ID_Client]],Clients_Log!B:B,Clients_Log!H:H,"Pas de correspondance")</f>
        <v>38.1</v>
      </c>
      <c r="U676" s="1">
        <f>_xlfn.XLOOKUP(Logs[[#This Row],[ID_Client]],Clients_Log!B:B,Clients_Log!I:I,"Pas de correspondance")</f>
        <v>3</v>
      </c>
      <c r="V67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76" s="1">
        <f>Logs[[#This Row],[Facture_Mensuelle]]*Logs[[#This Row],[Remise (%)]]</f>
        <v>17.145</v>
      </c>
    </row>
    <row r="677" spans="1:23" hidden="1" x14ac:dyDescent="0.25">
      <c r="A677" s="1" t="s">
        <v>1295</v>
      </c>
      <c r="B677" s="2">
        <v>45228</v>
      </c>
      <c r="C677" s="1" t="str">
        <f>_xlfn.XLOOKUP(Logs[[#This Row],[Province_RDC]],Clients_Log!D:D,Clients_Log!B:B,"Pas de correspondance")</f>
        <v>Pas de correspondance</v>
      </c>
      <c r="D677" t="str">
        <f>_xlfn.XLOOKUP(Logs[[#This Row],[Cell_ID]],'Registre_Maintenance'!B:B,'Registre_Maintenance'!C:C,"Pas de correspondance")</f>
        <v>Pas de correspondance</v>
      </c>
      <c r="E677" s="3">
        <v>0.26944444444444443</v>
      </c>
      <c r="F677" s="1" t="s">
        <v>895</v>
      </c>
      <c r="G677" s="3">
        <f>Logs[[#This Row],[Duree_Panne_Min]]/1440</f>
        <v>7.5694444444444439E-2</v>
      </c>
      <c r="H677">
        <v>109</v>
      </c>
      <c r="I677" t="str">
        <f>_xlfn.XLOOKUP(Logs[[#This Row],[Cell_ID]],'Registre_Maintenance'!B:B,'Registre_Maintenance'!D:D,"Pas de correspondance")</f>
        <v>Pas de correspondance</v>
      </c>
      <c r="J677" t="str">
        <f>_xlfn.XLOOKUP(Logs[[#This Row],[Cell_ID]],'Registre_Maintenance'!B:B,'Registre_Maintenance'!E:E,"Pas de correspondance")</f>
        <v>Pas de correspondance</v>
      </c>
      <c r="K677" t="str">
        <f>_xlfn.XLOOKUP(Logs[[#This Row],[Cell_ID]],'Registre_Maintenance'!B:B,'Registre_Maintenance'!F:F,"Pas de correspondance")</f>
        <v>Pas de correspondance</v>
      </c>
      <c r="L677" t="str">
        <f>_xlfn.XLOOKUP(Logs[[#This Row],[Cell_ID]],'Registre_Maintenance'!B:B,'Registre_Maintenance'!G:G,"Pas de correspondance")</f>
        <v>Pas de correspondance</v>
      </c>
      <c r="M677" s="1" t="s">
        <v>809</v>
      </c>
      <c r="N677" s="1" t="str">
        <f>_xlfn.XLOOKUP(Logs[[#This Row],[ID_Client]],Clients_Log!B:B,Clients_Log!E:E,"Pas de correspondance")</f>
        <v>Pas de correspondance</v>
      </c>
      <c r="O677" s="4" t="str">
        <f>IFERROR(Logs[[#This Row],[Anciennete_Mois]]/12,"")</f>
        <v/>
      </c>
      <c r="P677" s="1" t="str">
        <f>_xlfn.XLOOKUP(Logs[[#This Row],[ID_Client]],Clients_Log!B:B,Clients_Log!F:F,"Pas de correspondance")</f>
        <v>Pas de correspondance</v>
      </c>
      <c r="Q677" s="1" t="str">
        <f>IF(Logs[[#This Row],[Type_Forfait]]="Pro Monde","B2B","B2C")</f>
        <v>B2C</v>
      </c>
      <c r="R677" s="1" t="str">
        <f>_xlfn.XLOOKUP(Logs[[#This Row],[ID_Client]],Clients_Log!B:B,Clients_Log!G:G,"Pas de correspondance")</f>
        <v>Pas de correspondance</v>
      </c>
      <c r="S677" s="1" t="e">
        <f>Logs[[#This Row],[Duree_Cumulee_Panne_Min]]/1440</f>
        <v>#VALUE!</v>
      </c>
      <c r="T677" s="1" t="str">
        <f>_xlfn.XLOOKUP(Logs[[#This Row],[ID_Client]],Clients_Log!B:B,Clients_Log!H:H,"Pas de correspondance")</f>
        <v>Pas de correspondance</v>
      </c>
      <c r="U677" s="1" t="str">
        <f>_xlfn.XLOOKUP(Logs[[#This Row],[ID_Client]],Clients_Log!B:B,Clients_Log!I:I,"Pas de correspondance")</f>
        <v>Pas de correspondance</v>
      </c>
      <c r="V67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77" s="1" t="e">
        <f>Logs[[#This Row],[Facture_Mensuelle]]*Logs[[#This Row],[Remise (%)]]</f>
        <v>#VALUE!</v>
      </c>
    </row>
    <row r="678" spans="1:23" hidden="1" x14ac:dyDescent="0.25">
      <c r="A678" s="1" t="s">
        <v>1295</v>
      </c>
      <c r="B678" s="2">
        <v>45218</v>
      </c>
      <c r="C678" s="1" t="str">
        <f>_xlfn.XLOOKUP(Logs[[#This Row],[Province_RDC]],Clients_Log!D:D,Clients_Log!B:B,"Pas de correspondance")</f>
        <v>Pas de correspondance</v>
      </c>
      <c r="D678" t="str">
        <f>_xlfn.XLOOKUP(Logs[[#This Row],[Cell_ID]],'Registre_Maintenance'!B:B,'Registre_Maintenance'!C:C,"Pas de correspondance")</f>
        <v>Pas de correspondance</v>
      </c>
      <c r="E678" s="3">
        <v>0.55833333333333335</v>
      </c>
      <c r="F678" s="1" t="s">
        <v>998</v>
      </c>
      <c r="G678" s="3">
        <f>Logs[[#This Row],[Duree_Panne_Min]]/1440</f>
        <v>3.7499999999999999E-2</v>
      </c>
      <c r="H678">
        <v>54</v>
      </c>
      <c r="I678" t="str">
        <f>_xlfn.XLOOKUP(Logs[[#This Row],[Cell_ID]],'Registre_Maintenance'!B:B,'Registre_Maintenance'!D:D,"Pas de correspondance")</f>
        <v>Pas de correspondance</v>
      </c>
      <c r="J678" t="str">
        <f>_xlfn.XLOOKUP(Logs[[#This Row],[Cell_ID]],'Registre_Maintenance'!B:B,'Registre_Maintenance'!E:E,"Pas de correspondance")</f>
        <v>Pas de correspondance</v>
      </c>
      <c r="K678" t="str">
        <f>_xlfn.XLOOKUP(Logs[[#This Row],[Cell_ID]],'Registre_Maintenance'!B:B,'Registre_Maintenance'!F:F,"Pas de correspondance")</f>
        <v>Pas de correspondance</v>
      </c>
      <c r="L678" t="str">
        <f>_xlfn.XLOOKUP(Logs[[#This Row],[Cell_ID]],'Registre_Maintenance'!B:B,'Registre_Maintenance'!G:G,"Pas de correspondance")</f>
        <v>Pas de correspondance</v>
      </c>
      <c r="M678" s="1" t="s">
        <v>811</v>
      </c>
      <c r="N678" s="1" t="str">
        <f>_xlfn.XLOOKUP(Logs[[#This Row],[ID_Client]],Clients_Log!B:B,Clients_Log!E:E,"Pas de correspondance")</f>
        <v>Pas de correspondance</v>
      </c>
      <c r="O678" s="4" t="str">
        <f>IFERROR(Logs[[#This Row],[Anciennete_Mois]]/12,"")</f>
        <v/>
      </c>
      <c r="P678" s="1" t="str">
        <f>_xlfn.XLOOKUP(Logs[[#This Row],[ID_Client]],Clients_Log!B:B,Clients_Log!F:F,"Pas de correspondance")</f>
        <v>Pas de correspondance</v>
      </c>
      <c r="Q678" s="1" t="str">
        <f>IF(Logs[[#This Row],[Type_Forfait]]="Pro Monde","B2B","B2C")</f>
        <v>B2C</v>
      </c>
      <c r="R678" s="1" t="str">
        <f>_xlfn.XLOOKUP(Logs[[#This Row],[ID_Client]],Clients_Log!B:B,Clients_Log!G:G,"Pas de correspondance")</f>
        <v>Pas de correspondance</v>
      </c>
      <c r="S678" s="1" t="e">
        <f>Logs[[#This Row],[Duree_Cumulee_Panne_Min]]/1440</f>
        <v>#VALUE!</v>
      </c>
      <c r="T678" s="1" t="str">
        <f>_xlfn.XLOOKUP(Logs[[#This Row],[ID_Client]],Clients_Log!B:B,Clients_Log!H:H,"Pas de correspondance")</f>
        <v>Pas de correspondance</v>
      </c>
      <c r="U678" s="1" t="str">
        <f>_xlfn.XLOOKUP(Logs[[#This Row],[ID_Client]],Clients_Log!B:B,Clients_Log!I:I,"Pas de correspondance")</f>
        <v>Pas de correspondance</v>
      </c>
      <c r="V67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78" s="1" t="e">
        <f>Logs[[#This Row],[Facture_Mensuelle]]*Logs[[#This Row],[Remise (%)]]</f>
        <v>#VALUE!</v>
      </c>
    </row>
    <row r="679" spans="1:23" x14ac:dyDescent="0.25">
      <c r="A679" s="1" t="s">
        <v>1295</v>
      </c>
      <c r="B679" s="2">
        <v>45200</v>
      </c>
      <c r="C679" s="1" t="str">
        <f>_xlfn.XLOOKUP(Logs[[#This Row],[Province_RDC]],Clients_Log!D:D,Clients_Log!B:B,"Pas de correspondance")</f>
        <v>CLI-01233</v>
      </c>
      <c r="D679" t="str">
        <f>_xlfn.XLOOKUP(Logs[[#This Row],[Cell_ID]],'Registre_Maintenance'!B:B,'Registre_Maintenance'!C:C,"Pas de correspondance")</f>
        <v>Kongo-Central</v>
      </c>
      <c r="E679" s="3">
        <v>0.92569444444444449</v>
      </c>
      <c r="F679" s="1" t="s">
        <v>813</v>
      </c>
      <c r="G679" s="3">
        <f>Logs[[#This Row],[Duree_Panne_Min]]/1440</f>
        <v>5.2777777777777778E-2</v>
      </c>
      <c r="H679">
        <v>76</v>
      </c>
      <c r="I679">
        <f>_xlfn.XLOOKUP(Logs[[#This Row],[Cell_ID]],'Registre_Maintenance'!B:B,'Registre_Maintenance'!D:D,"Pas de correspondance")</f>
        <v>-2.8211520000000001</v>
      </c>
      <c r="J679">
        <f>_xlfn.XLOOKUP(Logs[[#This Row],[Cell_ID]],'Registre_Maintenance'!B:B,'Registre_Maintenance'!E:E,"Pas de correspondance")</f>
        <v>20.651419000000001</v>
      </c>
      <c r="K679" t="str">
        <f>_xlfn.XLOOKUP(Logs[[#This Row],[Cell_ID]],'Registre_Maintenance'!B:B,'Registre_Maintenance'!F:F,"Pas de correspondance")</f>
        <v>5G</v>
      </c>
      <c r="L679" t="str">
        <f>_xlfn.XLOOKUP(Logs[[#This Row],[Cell_ID]],'Registre_Maintenance'!B:B,'Registre_Maintenance'!G:G,"Pas de correspondance")</f>
        <v>Ericsson</v>
      </c>
      <c r="M679" s="1" t="s">
        <v>811</v>
      </c>
      <c r="N679" s="1">
        <f>_xlfn.XLOOKUP(Logs[[#This Row],[ID_Client]],Clients_Log!B:B,Clients_Log!E:E,"Pas de correspondance")</f>
        <v>101</v>
      </c>
      <c r="O679" s="4">
        <f>IFERROR(Logs[[#This Row],[Anciennete_Mois]]/12,"")</f>
        <v>8.4166666666666661</v>
      </c>
      <c r="P679" s="1" t="str">
        <f>_xlfn.XLOOKUP(Logs[[#This Row],[ID_Client]],Clients_Log!B:B,Clients_Log!F:F,"Pas de correspondance")</f>
        <v>Pro Monde</v>
      </c>
      <c r="Q679" s="1" t="str">
        <f>IF(Logs[[#This Row],[Type_Forfait]]="Pro Monde","B2B","B2C")</f>
        <v>B2B</v>
      </c>
      <c r="R679" s="1">
        <f>_xlfn.XLOOKUP(Logs[[#This Row],[ID_Client]],Clients_Log!B:B,Clients_Log!G:G,"Pas de correspondance")</f>
        <v>333</v>
      </c>
      <c r="S679" s="3">
        <f>Logs[[#This Row],[Duree_Cumulee_Panne_Min]]/1440</f>
        <v>0.23125000000000001</v>
      </c>
      <c r="T679" s="1">
        <f>_xlfn.XLOOKUP(Logs[[#This Row],[ID_Client]],Clients_Log!B:B,Clients_Log!H:H,"Pas de correspondance")</f>
        <v>74.319999999999993</v>
      </c>
      <c r="U679" s="1">
        <f>_xlfn.XLOOKUP(Logs[[#This Row],[ID_Client]],Clients_Log!B:B,Clients_Log!I:I,"Pas de correspondance")</f>
        <v>1</v>
      </c>
      <c r="V67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79" s="1">
        <f>Logs[[#This Row],[Facture_Mensuelle]]*Logs[[#This Row],[Remise (%)]]</f>
        <v>33.443999999999996</v>
      </c>
    </row>
    <row r="680" spans="1:23" hidden="1" x14ac:dyDescent="0.25">
      <c r="A680" s="1" t="s">
        <v>1295</v>
      </c>
      <c r="B680" s="2">
        <v>45206</v>
      </c>
      <c r="C680" s="1" t="str">
        <f>_xlfn.XLOOKUP(Logs[[#This Row],[Province_RDC]],Clients_Log!D:D,Clients_Log!B:B,"Pas de correspondance")</f>
        <v>Pas de correspondance</v>
      </c>
      <c r="D680" t="str">
        <f>_xlfn.XLOOKUP(Logs[[#This Row],[Cell_ID]],'Registre_Maintenance'!B:B,'Registre_Maintenance'!C:C,"Pas de correspondance")</f>
        <v>Pas de correspondance</v>
      </c>
      <c r="E680" s="3">
        <v>0.36666666666666664</v>
      </c>
      <c r="F680" s="1" t="s">
        <v>1025</v>
      </c>
      <c r="G680" s="3">
        <f>Logs[[#This Row],[Duree_Panne_Min]]/1440</f>
        <v>4.791666666666667E-2</v>
      </c>
      <c r="H680">
        <v>69</v>
      </c>
      <c r="I680" t="str">
        <f>_xlfn.XLOOKUP(Logs[[#This Row],[Cell_ID]],'Registre_Maintenance'!B:B,'Registre_Maintenance'!D:D,"Pas de correspondance")</f>
        <v>Pas de correspondance</v>
      </c>
      <c r="J680" t="str">
        <f>_xlfn.XLOOKUP(Logs[[#This Row],[Cell_ID]],'Registre_Maintenance'!B:B,'Registre_Maintenance'!E:E,"Pas de correspondance")</f>
        <v>Pas de correspondance</v>
      </c>
      <c r="K680" t="str">
        <f>_xlfn.XLOOKUP(Logs[[#This Row],[Cell_ID]],'Registre_Maintenance'!B:B,'Registre_Maintenance'!F:F,"Pas de correspondance")</f>
        <v>Pas de correspondance</v>
      </c>
      <c r="L680" t="str">
        <f>_xlfn.XLOOKUP(Logs[[#This Row],[Cell_ID]],'Registre_Maintenance'!B:B,'Registre_Maintenance'!G:G,"Pas de correspondance")</f>
        <v>Pas de correspondance</v>
      </c>
      <c r="M680" s="1" t="s">
        <v>809</v>
      </c>
      <c r="N680" s="1" t="str">
        <f>_xlfn.XLOOKUP(Logs[[#This Row],[ID_Client]],Clients_Log!B:B,Clients_Log!E:E,"Pas de correspondance")</f>
        <v>Pas de correspondance</v>
      </c>
      <c r="O680" s="4" t="str">
        <f>IFERROR(Logs[[#This Row],[Anciennete_Mois]]/12,"")</f>
        <v/>
      </c>
      <c r="P680" s="1" t="str">
        <f>_xlfn.XLOOKUP(Logs[[#This Row],[ID_Client]],Clients_Log!B:B,Clients_Log!F:F,"Pas de correspondance")</f>
        <v>Pas de correspondance</v>
      </c>
      <c r="Q680" s="1" t="str">
        <f>IF(Logs[[#This Row],[Type_Forfait]]="Pro Monde","B2B","B2C")</f>
        <v>B2C</v>
      </c>
      <c r="R680" s="1" t="str">
        <f>_xlfn.XLOOKUP(Logs[[#This Row],[ID_Client]],Clients_Log!B:B,Clients_Log!G:G,"Pas de correspondance")</f>
        <v>Pas de correspondance</v>
      </c>
      <c r="S680" s="1" t="e">
        <f>Logs[[#This Row],[Duree_Cumulee_Panne_Min]]/1440</f>
        <v>#VALUE!</v>
      </c>
      <c r="T680" s="1" t="str">
        <f>_xlfn.XLOOKUP(Logs[[#This Row],[ID_Client]],Clients_Log!B:B,Clients_Log!H:H,"Pas de correspondance")</f>
        <v>Pas de correspondance</v>
      </c>
      <c r="U680" s="1" t="str">
        <f>_xlfn.XLOOKUP(Logs[[#This Row],[ID_Client]],Clients_Log!B:B,Clients_Log!I:I,"Pas de correspondance")</f>
        <v>Pas de correspondance</v>
      </c>
      <c r="V68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80" s="1" t="e">
        <f>Logs[[#This Row],[Facture_Mensuelle]]*Logs[[#This Row],[Remise (%)]]</f>
        <v>#VALUE!</v>
      </c>
    </row>
    <row r="681" spans="1:23" hidden="1" x14ac:dyDescent="0.25">
      <c r="A681" s="1" t="s">
        <v>1295</v>
      </c>
      <c r="B681" s="2">
        <v>45222</v>
      </c>
      <c r="C681" s="1" t="str">
        <f>_xlfn.XLOOKUP(Logs[[#This Row],[Province_RDC]],Clients_Log!D:D,Clients_Log!B:B,"Pas de correspondance")</f>
        <v>Pas de correspondance</v>
      </c>
      <c r="D681" t="str">
        <f>_xlfn.XLOOKUP(Logs[[#This Row],[Cell_ID]],'Registre_Maintenance'!B:B,'Registre_Maintenance'!C:C,"Pas de correspondance")</f>
        <v>Pas de correspondance</v>
      </c>
      <c r="E681" s="3">
        <v>0.10833333333333334</v>
      </c>
      <c r="F681" s="1" t="s">
        <v>1309</v>
      </c>
      <c r="G681" s="3">
        <f>Logs[[#This Row],[Duree_Panne_Min]]/1440</f>
        <v>6.1111111111111109E-2</v>
      </c>
      <c r="H681">
        <v>88</v>
      </c>
      <c r="I681" t="str">
        <f>_xlfn.XLOOKUP(Logs[[#This Row],[Cell_ID]],'Registre_Maintenance'!B:B,'Registre_Maintenance'!D:D,"Pas de correspondance")</f>
        <v>Pas de correspondance</v>
      </c>
      <c r="J681" t="str">
        <f>_xlfn.XLOOKUP(Logs[[#This Row],[Cell_ID]],'Registre_Maintenance'!B:B,'Registre_Maintenance'!E:E,"Pas de correspondance")</f>
        <v>Pas de correspondance</v>
      </c>
      <c r="K681" t="str">
        <f>_xlfn.XLOOKUP(Logs[[#This Row],[Cell_ID]],'Registre_Maintenance'!B:B,'Registre_Maintenance'!F:F,"Pas de correspondance")</f>
        <v>Pas de correspondance</v>
      </c>
      <c r="L681" t="str">
        <f>_xlfn.XLOOKUP(Logs[[#This Row],[Cell_ID]],'Registre_Maintenance'!B:B,'Registre_Maintenance'!G:G,"Pas de correspondance")</f>
        <v>Pas de correspondance</v>
      </c>
      <c r="M681" s="1" t="s">
        <v>811</v>
      </c>
      <c r="N681" s="1" t="str">
        <f>_xlfn.XLOOKUP(Logs[[#This Row],[ID_Client]],Clients_Log!B:B,Clients_Log!E:E,"Pas de correspondance")</f>
        <v>Pas de correspondance</v>
      </c>
      <c r="O681" s="4" t="str">
        <f>IFERROR(Logs[[#This Row],[Anciennete_Mois]]/12,"")</f>
        <v/>
      </c>
      <c r="P681" s="1" t="str">
        <f>_xlfn.XLOOKUP(Logs[[#This Row],[ID_Client]],Clients_Log!B:B,Clients_Log!F:F,"Pas de correspondance")</f>
        <v>Pas de correspondance</v>
      </c>
      <c r="Q681" s="1" t="str">
        <f>IF(Logs[[#This Row],[Type_Forfait]]="Pro Monde","B2B","B2C")</f>
        <v>B2C</v>
      </c>
      <c r="R681" s="1" t="str">
        <f>_xlfn.XLOOKUP(Logs[[#This Row],[ID_Client]],Clients_Log!B:B,Clients_Log!G:G,"Pas de correspondance")</f>
        <v>Pas de correspondance</v>
      </c>
      <c r="S681" s="1" t="e">
        <f>Logs[[#This Row],[Duree_Cumulee_Panne_Min]]/1440</f>
        <v>#VALUE!</v>
      </c>
      <c r="T681" s="1" t="str">
        <f>_xlfn.XLOOKUP(Logs[[#This Row],[ID_Client]],Clients_Log!B:B,Clients_Log!H:H,"Pas de correspondance")</f>
        <v>Pas de correspondance</v>
      </c>
      <c r="U681" s="1" t="str">
        <f>_xlfn.XLOOKUP(Logs[[#This Row],[ID_Client]],Clients_Log!B:B,Clients_Log!I:I,"Pas de correspondance")</f>
        <v>Pas de correspondance</v>
      </c>
      <c r="V68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81" s="1" t="e">
        <f>Logs[[#This Row],[Facture_Mensuelle]]*Logs[[#This Row],[Remise (%)]]</f>
        <v>#VALUE!</v>
      </c>
    </row>
    <row r="682" spans="1:23" hidden="1" x14ac:dyDescent="0.25">
      <c r="A682" s="1" t="s">
        <v>1295</v>
      </c>
      <c r="B682" s="2">
        <v>45203</v>
      </c>
      <c r="C682" s="1" t="str">
        <f>_xlfn.XLOOKUP(Logs[[#This Row],[Province_RDC]],Clients_Log!D:D,Clients_Log!B:B,"Pas de correspondance")</f>
        <v>Pas de correspondance</v>
      </c>
      <c r="D682" t="str">
        <f>_xlfn.XLOOKUP(Logs[[#This Row],[Cell_ID]],'Registre_Maintenance'!B:B,'Registre_Maintenance'!C:C,"Pas de correspondance")</f>
        <v>Pas de correspondance</v>
      </c>
      <c r="E682" s="3">
        <v>0.71597222222222223</v>
      </c>
      <c r="F682" s="1" t="s">
        <v>1310</v>
      </c>
      <c r="G682" s="3">
        <f>Logs[[#This Row],[Duree_Panne_Min]]/1440</f>
        <v>4.7222222222222221E-2</v>
      </c>
      <c r="H682">
        <v>68</v>
      </c>
      <c r="I682" t="str">
        <f>_xlfn.XLOOKUP(Logs[[#This Row],[Cell_ID]],'Registre_Maintenance'!B:B,'Registre_Maintenance'!D:D,"Pas de correspondance")</f>
        <v>Pas de correspondance</v>
      </c>
      <c r="J682" t="str">
        <f>_xlfn.XLOOKUP(Logs[[#This Row],[Cell_ID]],'Registre_Maintenance'!B:B,'Registre_Maintenance'!E:E,"Pas de correspondance")</f>
        <v>Pas de correspondance</v>
      </c>
      <c r="K682" t="str">
        <f>_xlfn.XLOOKUP(Logs[[#This Row],[Cell_ID]],'Registre_Maintenance'!B:B,'Registre_Maintenance'!F:F,"Pas de correspondance")</f>
        <v>Pas de correspondance</v>
      </c>
      <c r="L682" t="str">
        <f>_xlfn.XLOOKUP(Logs[[#This Row],[Cell_ID]],'Registre_Maintenance'!B:B,'Registre_Maintenance'!G:G,"Pas de correspondance")</f>
        <v>Pas de correspondance</v>
      </c>
      <c r="M682" s="1" t="s">
        <v>809</v>
      </c>
      <c r="N682" s="1" t="str">
        <f>_xlfn.XLOOKUP(Logs[[#This Row],[ID_Client]],Clients_Log!B:B,Clients_Log!E:E,"Pas de correspondance")</f>
        <v>Pas de correspondance</v>
      </c>
      <c r="O682" s="4" t="str">
        <f>IFERROR(Logs[[#This Row],[Anciennete_Mois]]/12,"")</f>
        <v/>
      </c>
      <c r="P682" s="1" t="str">
        <f>_xlfn.XLOOKUP(Logs[[#This Row],[ID_Client]],Clients_Log!B:B,Clients_Log!F:F,"Pas de correspondance")</f>
        <v>Pas de correspondance</v>
      </c>
      <c r="Q682" s="1" t="str">
        <f>IF(Logs[[#This Row],[Type_Forfait]]="Pro Monde","B2B","B2C")</f>
        <v>B2C</v>
      </c>
      <c r="R682" s="1" t="str">
        <f>_xlfn.XLOOKUP(Logs[[#This Row],[ID_Client]],Clients_Log!B:B,Clients_Log!G:G,"Pas de correspondance")</f>
        <v>Pas de correspondance</v>
      </c>
      <c r="S682" s="1" t="e">
        <f>Logs[[#This Row],[Duree_Cumulee_Panne_Min]]/1440</f>
        <v>#VALUE!</v>
      </c>
      <c r="T682" s="1" t="str">
        <f>_xlfn.XLOOKUP(Logs[[#This Row],[ID_Client]],Clients_Log!B:B,Clients_Log!H:H,"Pas de correspondance")</f>
        <v>Pas de correspondance</v>
      </c>
      <c r="U682" s="1" t="str">
        <f>_xlfn.XLOOKUP(Logs[[#This Row],[ID_Client]],Clients_Log!B:B,Clients_Log!I:I,"Pas de correspondance")</f>
        <v>Pas de correspondance</v>
      </c>
      <c r="V68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82" s="1" t="e">
        <f>Logs[[#This Row],[Facture_Mensuelle]]*Logs[[#This Row],[Remise (%)]]</f>
        <v>#VALUE!</v>
      </c>
    </row>
    <row r="683" spans="1:23" x14ac:dyDescent="0.25">
      <c r="A683" s="1" t="s">
        <v>1295</v>
      </c>
      <c r="B683" s="2">
        <v>45211</v>
      </c>
      <c r="C683" s="1" t="str">
        <f>_xlfn.XLOOKUP(Logs[[#This Row],[Province_RDC]],Clients_Log!D:D,Clients_Log!B:B,"Pas de correspondance")</f>
        <v>CLI-00745</v>
      </c>
      <c r="D683" t="str">
        <f>_xlfn.XLOOKUP(Logs[[#This Row],[Cell_ID]],'Registre_Maintenance'!B:B,'Registre_Maintenance'!C:C,"Pas de correspondance")</f>
        <v>Tshopo</v>
      </c>
      <c r="E683" s="3">
        <v>0.42499999999999999</v>
      </c>
      <c r="F683" s="1" t="s">
        <v>972</v>
      </c>
      <c r="G683" s="3">
        <f>Logs[[#This Row],[Duree_Panne_Min]]/1440</f>
        <v>3.9583333333333331E-2</v>
      </c>
      <c r="H683">
        <v>57</v>
      </c>
      <c r="I683">
        <f>_xlfn.XLOOKUP(Logs[[#This Row],[Cell_ID]],'Registre_Maintenance'!B:B,'Registre_Maintenance'!D:D,"Pas de correspondance")</f>
        <v>-4.5603610000000003</v>
      </c>
      <c r="J683">
        <f>_xlfn.XLOOKUP(Logs[[#This Row],[Cell_ID]],'Registre_Maintenance'!B:B,'Registre_Maintenance'!E:E,"Pas de correspondance")</f>
        <v>24.113918999999999</v>
      </c>
      <c r="K683" t="str">
        <f>_xlfn.XLOOKUP(Logs[[#This Row],[Cell_ID]],'Registre_Maintenance'!B:B,'Registre_Maintenance'!F:F,"Pas de correspondance")</f>
        <v>5G</v>
      </c>
      <c r="L683" t="str">
        <f>_xlfn.XLOOKUP(Logs[[#This Row],[Cell_ID]],'Registre_Maintenance'!B:B,'Registre_Maintenance'!G:G,"Pas de correspondance")</f>
        <v>ZTE</v>
      </c>
      <c r="M683" s="1" t="s">
        <v>809</v>
      </c>
      <c r="N683" s="1">
        <f>_xlfn.XLOOKUP(Logs[[#This Row],[ID_Client]],Clients_Log!B:B,Clients_Log!E:E,"Pas de correspondance")</f>
        <v>6</v>
      </c>
      <c r="O683" s="4">
        <f>IFERROR(Logs[[#This Row],[Anciennete_Mois]]/12,"")</f>
        <v>0.5</v>
      </c>
      <c r="P683" s="1" t="str">
        <f>_xlfn.XLOOKUP(Logs[[#This Row],[ID_Client]],Clients_Log!B:B,Clients_Log!F:F,"Pas de correspondance")</f>
        <v>Premium 5G 150Go</v>
      </c>
      <c r="Q683" s="1" t="str">
        <f>IF(Logs[[#This Row],[Type_Forfait]]="Pro Monde","B2B","B2C")</f>
        <v>B2C</v>
      </c>
      <c r="R683" s="1">
        <f>_xlfn.XLOOKUP(Logs[[#This Row],[ID_Client]],Clients_Log!B:B,Clients_Log!G:G,"Pas de correspondance")</f>
        <v>207</v>
      </c>
      <c r="S683" s="3">
        <f>Logs[[#This Row],[Duree_Cumulee_Panne_Min]]/1440</f>
        <v>0.14374999999999999</v>
      </c>
      <c r="T683" s="1">
        <f>_xlfn.XLOOKUP(Logs[[#This Row],[ID_Client]],Clients_Log!B:B,Clients_Log!H:H,"Pas de correspondance")</f>
        <v>61.55</v>
      </c>
      <c r="U683" s="1">
        <f>_xlfn.XLOOKUP(Logs[[#This Row],[ID_Client]],Clients_Log!B:B,Clients_Log!I:I,"Pas de correspondance")</f>
        <v>0</v>
      </c>
      <c r="V68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83" s="1">
        <f>Logs[[#This Row],[Facture_Mensuelle]]*Logs[[#This Row],[Remise (%)]]</f>
        <v>27.697499999999998</v>
      </c>
    </row>
    <row r="684" spans="1:23" hidden="1" x14ac:dyDescent="0.25">
      <c r="A684" s="1" t="s">
        <v>1295</v>
      </c>
      <c r="B684" s="2">
        <v>45214</v>
      </c>
      <c r="C684" s="1" t="str">
        <f>_xlfn.XLOOKUP(Logs[[#This Row],[Province_RDC]],Clients_Log!D:D,Clients_Log!B:B,"Pas de correspondance")</f>
        <v>Pas de correspondance</v>
      </c>
      <c r="D684" t="str">
        <f>_xlfn.XLOOKUP(Logs[[#This Row],[Cell_ID]],'Registre_Maintenance'!B:B,'Registre_Maintenance'!C:C,"Pas de correspondance")</f>
        <v>Pas de correspondance</v>
      </c>
      <c r="E684" s="3">
        <v>0.1361111111111111</v>
      </c>
      <c r="F684" s="1" t="s">
        <v>1311</v>
      </c>
      <c r="G684" s="3">
        <f>Logs[[#This Row],[Duree_Panne_Min]]/1440</f>
        <v>6.3888888888888884E-2</v>
      </c>
      <c r="H684">
        <v>92</v>
      </c>
      <c r="I684" t="str">
        <f>_xlfn.XLOOKUP(Logs[[#This Row],[Cell_ID]],'Registre_Maintenance'!B:B,'Registre_Maintenance'!D:D,"Pas de correspondance")</f>
        <v>Pas de correspondance</v>
      </c>
      <c r="J684" t="str">
        <f>_xlfn.XLOOKUP(Logs[[#This Row],[Cell_ID]],'Registre_Maintenance'!B:B,'Registre_Maintenance'!E:E,"Pas de correspondance")</f>
        <v>Pas de correspondance</v>
      </c>
      <c r="K684" t="str">
        <f>_xlfn.XLOOKUP(Logs[[#This Row],[Cell_ID]],'Registre_Maintenance'!B:B,'Registre_Maintenance'!F:F,"Pas de correspondance")</f>
        <v>Pas de correspondance</v>
      </c>
      <c r="L684" t="str">
        <f>_xlfn.XLOOKUP(Logs[[#This Row],[Cell_ID]],'Registre_Maintenance'!B:B,'Registre_Maintenance'!G:G,"Pas de correspondance")</f>
        <v>Pas de correspondance</v>
      </c>
      <c r="M684" s="1" t="s">
        <v>806</v>
      </c>
      <c r="N684" s="1" t="str">
        <f>_xlfn.XLOOKUP(Logs[[#This Row],[ID_Client]],Clients_Log!B:B,Clients_Log!E:E,"Pas de correspondance")</f>
        <v>Pas de correspondance</v>
      </c>
      <c r="O684" s="4" t="str">
        <f>IFERROR(Logs[[#This Row],[Anciennete_Mois]]/12,"")</f>
        <v/>
      </c>
      <c r="P684" s="1" t="str">
        <f>_xlfn.XLOOKUP(Logs[[#This Row],[ID_Client]],Clients_Log!B:B,Clients_Log!F:F,"Pas de correspondance")</f>
        <v>Pas de correspondance</v>
      </c>
      <c r="Q684" s="1" t="str">
        <f>IF(Logs[[#This Row],[Type_Forfait]]="Pro Monde","B2B","B2C")</f>
        <v>B2C</v>
      </c>
      <c r="R684" s="1" t="str">
        <f>_xlfn.XLOOKUP(Logs[[#This Row],[ID_Client]],Clients_Log!B:B,Clients_Log!G:G,"Pas de correspondance")</f>
        <v>Pas de correspondance</v>
      </c>
      <c r="S684" s="1" t="e">
        <f>Logs[[#This Row],[Duree_Cumulee_Panne_Min]]/1440</f>
        <v>#VALUE!</v>
      </c>
      <c r="T684" s="1" t="str">
        <f>_xlfn.XLOOKUP(Logs[[#This Row],[ID_Client]],Clients_Log!B:B,Clients_Log!H:H,"Pas de correspondance")</f>
        <v>Pas de correspondance</v>
      </c>
      <c r="U684" s="1" t="str">
        <f>_xlfn.XLOOKUP(Logs[[#This Row],[ID_Client]],Clients_Log!B:B,Clients_Log!I:I,"Pas de correspondance")</f>
        <v>Pas de correspondance</v>
      </c>
      <c r="V68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84" s="1" t="e">
        <f>Logs[[#This Row],[Facture_Mensuelle]]*Logs[[#This Row],[Remise (%)]]</f>
        <v>#VALUE!</v>
      </c>
    </row>
    <row r="685" spans="1:23" x14ac:dyDescent="0.25">
      <c r="A685" s="1" t="s">
        <v>1295</v>
      </c>
      <c r="B685" s="2">
        <v>45221</v>
      </c>
      <c r="C685" s="1" t="str">
        <f>_xlfn.XLOOKUP(Logs[[#This Row],[Province_RDC]],Clients_Log!D:D,Clients_Log!B:B,"Pas de correspondance")</f>
        <v>CLI-00439</v>
      </c>
      <c r="D685" t="str">
        <f>_xlfn.XLOOKUP(Logs[[#This Row],[Cell_ID]],'Registre_Maintenance'!B:B,'Registre_Maintenance'!C:C,"Pas de correspondance")</f>
        <v>Haut-Uele</v>
      </c>
      <c r="E685" s="3">
        <v>0.6479166666666667</v>
      </c>
      <c r="F685" s="1" t="s">
        <v>1312</v>
      </c>
      <c r="G685" s="3">
        <f>Logs[[#This Row],[Duree_Panne_Min]]/1440</f>
        <v>4.6527777777777779E-2</v>
      </c>
      <c r="H685">
        <v>67</v>
      </c>
      <c r="I685">
        <f>_xlfn.XLOOKUP(Logs[[#This Row],[Cell_ID]],'Registre_Maintenance'!B:B,'Registre_Maintenance'!D:D,"Pas de correspondance")</f>
        <v>-11.924048000000001</v>
      </c>
      <c r="J685">
        <f>_xlfn.XLOOKUP(Logs[[#This Row],[Cell_ID]],'Registre_Maintenance'!B:B,'Registre_Maintenance'!E:E,"Pas de correspondance")</f>
        <v>24.177174999999998</v>
      </c>
      <c r="K685" t="str">
        <f>_xlfn.XLOOKUP(Logs[[#This Row],[Cell_ID]],'Registre_Maintenance'!B:B,'Registre_Maintenance'!F:F,"Pas de correspondance")</f>
        <v>3G</v>
      </c>
      <c r="L685" t="str">
        <f>_xlfn.XLOOKUP(Logs[[#This Row],[Cell_ID]],'Registre_Maintenance'!B:B,'Registre_Maintenance'!G:G,"Pas de correspondance")</f>
        <v>Nokia</v>
      </c>
      <c r="M685" s="1" t="s">
        <v>806</v>
      </c>
      <c r="N685" s="1">
        <f>_xlfn.XLOOKUP(Logs[[#This Row],[ID_Client]],Clients_Log!B:B,Clients_Log!E:E,"Pas de correspondance")</f>
        <v>40</v>
      </c>
      <c r="O685" s="4">
        <f>IFERROR(Logs[[#This Row],[Anciennete_Mois]]/12,"")</f>
        <v>3.3333333333333335</v>
      </c>
      <c r="P685" s="1" t="str">
        <f>_xlfn.XLOOKUP(Logs[[#This Row],[ID_Client]],Clients_Log!B:B,Clients_Log!F:F,"Pas de correspondance")</f>
        <v>Premium 5G 150Go</v>
      </c>
      <c r="Q685" s="1" t="str">
        <f>IF(Logs[[#This Row],[Type_Forfait]]="Pro Monde","B2B","B2C")</f>
        <v>B2C</v>
      </c>
      <c r="R685" s="1">
        <f>_xlfn.XLOOKUP(Logs[[#This Row],[ID_Client]],Clients_Log!B:B,Clients_Log!G:G,"Pas de correspondance")</f>
        <v>345</v>
      </c>
      <c r="S685" s="3">
        <f>Logs[[#This Row],[Duree_Cumulee_Panne_Min]]/1440</f>
        <v>0.23958333333333334</v>
      </c>
      <c r="T685" s="1">
        <f>_xlfn.XLOOKUP(Logs[[#This Row],[ID_Client]],Clients_Log!B:B,Clients_Log!H:H,"Pas de correspondance")</f>
        <v>89.55</v>
      </c>
      <c r="U685" s="1">
        <f>_xlfn.XLOOKUP(Logs[[#This Row],[ID_Client]],Clients_Log!B:B,Clients_Log!I:I,"Pas de correspondance")</f>
        <v>3</v>
      </c>
      <c r="V68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85" s="1">
        <f>Logs[[#This Row],[Facture_Mensuelle]]*Logs[[#This Row],[Remise (%)]]</f>
        <v>40.297499999999999</v>
      </c>
    </row>
    <row r="686" spans="1:23" x14ac:dyDescent="0.25">
      <c r="A686" s="1" t="s">
        <v>1295</v>
      </c>
      <c r="B686" s="2">
        <v>45230</v>
      </c>
      <c r="C686" s="1" t="str">
        <f>_xlfn.XLOOKUP(Logs[[#This Row],[Province_RDC]],Clients_Log!D:D,Clients_Log!B:B,"Pas de correspondance")</f>
        <v>CLI-00996</v>
      </c>
      <c r="D686" t="str">
        <f>_xlfn.XLOOKUP(Logs[[#This Row],[Cell_ID]],'Registre_Maintenance'!B:B,'Registre_Maintenance'!C:C,"Pas de correspondance")</f>
        <v>Kwilu</v>
      </c>
      <c r="E686" s="3">
        <v>0.84722222222222221</v>
      </c>
      <c r="F686" s="1" t="s">
        <v>865</v>
      </c>
      <c r="G686" s="3">
        <f>Logs[[#This Row],[Duree_Panne_Min]]/1440</f>
        <v>4.027777777777778E-2</v>
      </c>
      <c r="H686">
        <v>58</v>
      </c>
      <c r="I686">
        <f>_xlfn.XLOOKUP(Logs[[#This Row],[Cell_ID]],'Registre_Maintenance'!B:B,'Registre_Maintenance'!D:D,"Pas de correspondance")</f>
        <v>-5.9021970000000001</v>
      </c>
      <c r="J686">
        <f>_xlfn.XLOOKUP(Logs[[#This Row],[Cell_ID]],'Registre_Maintenance'!B:B,'Registre_Maintenance'!E:E,"Pas de correspondance")</f>
        <v>20.551169999999999</v>
      </c>
      <c r="K686" t="str">
        <f>_xlfn.XLOOKUP(Logs[[#This Row],[Cell_ID]],'Registre_Maintenance'!B:B,'Registre_Maintenance'!F:F,"Pas de correspondance")</f>
        <v>3G</v>
      </c>
      <c r="L686" t="str">
        <f>_xlfn.XLOOKUP(Logs[[#This Row],[Cell_ID]],'Registre_Maintenance'!B:B,'Registre_Maintenance'!G:G,"Pas de correspondance")</f>
        <v>Huawei</v>
      </c>
      <c r="M686" s="1" t="s">
        <v>811</v>
      </c>
      <c r="N686" s="1">
        <f>_xlfn.XLOOKUP(Logs[[#This Row],[ID_Client]],Clients_Log!B:B,Clients_Log!E:E,"Pas de correspondance")</f>
        <v>119</v>
      </c>
      <c r="O686" s="4">
        <f>IFERROR(Logs[[#This Row],[Anciennete_Mois]]/12,"")</f>
        <v>9.9166666666666661</v>
      </c>
      <c r="P686" s="1" t="str">
        <f>_xlfn.XLOOKUP(Logs[[#This Row],[ID_Client]],Clients_Log!B:B,Clients_Log!F:F,"Pas de correspondance")</f>
        <v>Illimité 50Go</v>
      </c>
      <c r="Q686" s="1" t="str">
        <f>IF(Logs[[#This Row],[Type_Forfait]]="Pro Monde","B2B","B2C")</f>
        <v>B2C</v>
      </c>
      <c r="R686" s="1">
        <f>_xlfn.XLOOKUP(Logs[[#This Row],[ID_Client]],Clients_Log!B:B,Clients_Log!G:G,"Pas de correspondance")</f>
        <v>228</v>
      </c>
      <c r="S686" s="3">
        <f>Logs[[#This Row],[Duree_Cumulee_Panne_Min]]/1440</f>
        <v>0.15833333333333333</v>
      </c>
      <c r="T686" s="1">
        <f>_xlfn.XLOOKUP(Logs[[#This Row],[ID_Client]],Clients_Log!B:B,Clients_Log!H:H,"Pas de correspondance")</f>
        <v>94.72</v>
      </c>
      <c r="U686" s="1">
        <f>_xlfn.XLOOKUP(Logs[[#This Row],[ID_Client]],Clients_Log!B:B,Clients_Log!I:I,"Pas de correspondance")</f>
        <v>3</v>
      </c>
      <c r="V68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686" s="1">
        <f>Logs[[#This Row],[Facture_Mensuelle]]*Logs[[#This Row],[Remise (%)]]</f>
        <v>0</v>
      </c>
    </row>
    <row r="687" spans="1:23" x14ac:dyDescent="0.25">
      <c r="A687" s="1" t="s">
        <v>1295</v>
      </c>
      <c r="B687" s="2">
        <v>45219</v>
      </c>
      <c r="C687" s="1" t="str">
        <f>_xlfn.XLOOKUP(Logs[[#This Row],[Province_RDC]],Clients_Log!D:D,Clients_Log!B:B,"Pas de correspondance")</f>
        <v>CLI-00439</v>
      </c>
      <c r="D687" t="str">
        <f>_xlfn.XLOOKUP(Logs[[#This Row],[Cell_ID]],'Registre_Maintenance'!B:B,'Registre_Maintenance'!C:C,"Pas de correspondance")</f>
        <v>Haut-Uele</v>
      </c>
      <c r="E687" s="3">
        <v>0.52708333333333335</v>
      </c>
      <c r="F687" s="1" t="s">
        <v>1215</v>
      </c>
      <c r="G687" s="3">
        <f>Logs[[#This Row],[Duree_Panne_Min]]/1440</f>
        <v>6.5972222222222224E-2</v>
      </c>
      <c r="H687">
        <v>95</v>
      </c>
      <c r="I687">
        <f>_xlfn.XLOOKUP(Logs[[#This Row],[Cell_ID]],'Registre_Maintenance'!B:B,'Registre_Maintenance'!D:D,"Pas de correspondance")</f>
        <v>-7.1483749999999997</v>
      </c>
      <c r="J687">
        <f>_xlfn.XLOOKUP(Logs[[#This Row],[Cell_ID]],'Registre_Maintenance'!B:B,'Registre_Maintenance'!E:E,"Pas de correspondance")</f>
        <v>26.014271000000001</v>
      </c>
      <c r="K687" t="str">
        <f>_xlfn.XLOOKUP(Logs[[#This Row],[Cell_ID]],'Registre_Maintenance'!B:B,'Registre_Maintenance'!F:F,"Pas de correspondance")</f>
        <v>5G</v>
      </c>
      <c r="L687" t="str">
        <f>_xlfn.XLOOKUP(Logs[[#This Row],[Cell_ID]],'Registre_Maintenance'!B:B,'Registre_Maintenance'!G:G,"Pas de correspondance")</f>
        <v>Huawei</v>
      </c>
      <c r="M687" s="1" t="s">
        <v>806</v>
      </c>
      <c r="N687" s="1">
        <f>_xlfn.XLOOKUP(Logs[[#This Row],[ID_Client]],Clients_Log!B:B,Clients_Log!E:E,"Pas de correspondance")</f>
        <v>40</v>
      </c>
      <c r="O687" s="4">
        <f>IFERROR(Logs[[#This Row],[Anciennete_Mois]]/12,"")</f>
        <v>3.3333333333333335</v>
      </c>
      <c r="P687" s="1" t="str">
        <f>_xlfn.XLOOKUP(Logs[[#This Row],[ID_Client]],Clients_Log!B:B,Clients_Log!F:F,"Pas de correspondance")</f>
        <v>Premium 5G 150Go</v>
      </c>
      <c r="Q687" s="1" t="str">
        <f>IF(Logs[[#This Row],[Type_Forfait]]="Pro Monde","B2B","B2C")</f>
        <v>B2C</v>
      </c>
      <c r="R687" s="1">
        <f>_xlfn.XLOOKUP(Logs[[#This Row],[ID_Client]],Clients_Log!B:B,Clients_Log!G:G,"Pas de correspondance")</f>
        <v>345</v>
      </c>
      <c r="S687" s="3">
        <f>Logs[[#This Row],[Duree_Cumulee_Panne_Min]]/1440</f>
        <v>0.23958333333333334</v>
      </c>
      <c r="T687" s="1">
        <f>_xlfn.XLOOKUP(Logs[[#This Row],[ID_Client]],Clients_Log!B:B,Clients_Log!H:H,"Pas de correspondance")</f>
        <v>89.55</v>
      </c>
      <c r="U687" s="1">
        <f>_xlfn.XLOOKUP(Logs[[#This Row],[ID_Client]],Clients_Log!B:B,Clients_Log!I:I,"Pas de correspondance")</f>
        <v>3</v>
      </c>
      <c r="V68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87" s="1">
        <f>Logs[[#This Row],[Facture_Mensuelle]]*Logs[[#This Row],[Remise (%)]]</f>
        <v>40.297499999999999</v>
      </c>
    </row>
    <row r="688" spans="1:23" hidden="1" x14ac:dyDescent="0.25">
      <c r="A688" s="1" t="s">
        <v>1295</v>
      </c>
      <c r="B688" s="2">
        <v>45212</v>
      </c>
      <c r="C688" s="1" t="str">
        <f>_xlfn.XLOOKUP(Logs[[#This Row],[Province_RDC]],Clients_Log!D:D,Clients_Log!B:B,"Pas de correspondance")</f>
        <v>Pas de correspondance</v>
      </c>
      <c r="D688" t="str">
        <f>_xlfn.XLOOKUP(Logs[[#This Row],[Cell_ID]],'Registre_Maintenance'!B:B,'Registre_Maintenance'!C:C,"Pas de correspondance")</f>
        <v>Pas de correspondance</v>
      </c>
      <c r="E688" s="3">
        <v>0.75486111111111109</v>
      </c>
      <c r="F688" s="1" t="s">
        <v>921</v>
      </c>
      <c r="G688" s="3">
        <f>Logs[[#This Row],[Duree_Panne_Min]]/1440</f>
        <v>7.7777777777777779E-2</v>
      </c>
      <c r="H688">
        <v>112</v>
      </c>
      <c r="I688" t="str">
        <f>_xlfn.XLOOKUP(Logs[[#This Row],[Cell_ID]],'Registre_Maintenance'!B:B,'Registre_Maintenance'!D:D,"Pas de correspondance")</f>
        <v>Pas de correspondance</v>
      </c>
      <c r="J688" t="str">
        <f>_xlfn.XLOOKUP(Logs[[#This Row],[Cell_ID]],'Registre_Maintenance'!B:B,'Registre_Maintenance'!E:E,"Pas de correspondance")</f>
        <v>Pas de correspondance</v>
      </c>
      <c r="K688" t="str">
        <f>_xlfn.XLOOKUP(Logs[[#This Row],[Cell_ID]],'Registre_Maintenance'!B:B,'Registre_Maintenance'!F:F,"Pas de correspondance")</f>
        <v>Pas de correspondance</v>
      </c>
      <c r="L688" t="str">
        <f>_xlfn.XLOOKUP(Logs[[#This Row],[Cell_ID]],'Registre_Maintenance'!B:B,'Registre_Maintenance'!G:G,"Pas de correspondance")</f>
        <v>Pas de correspondance</v>
      </c>
      <c r="M688" s="1" t="s">
        <v>811</v>
      </c>
      <c r="N688" s="1" t="str">
        <f>_xlfn.XLOOKUP(Logs[[#This Row],[ID_Client]],Clients_Log!B:B,Clients_Log!E:E,"Pas de correspondance")</f>
        <v>Pas de correspondance</v>
      </c>
      <c r="O688" s="4" t="str">
        <f>IFERROR(Logs[[#This Row],[Anciennete_Mois]]/12,"")</f>
        <v/>
      </c>
      <c r="P688" s="1" t="str">
        <f>_xlfn.XLOOKUP(Logs[[#This Row],[ID_Client]],Clients_Log!B:B,Clients_Log!F:F,"Pas de correspondance")</f>
        <v>Pas de correspondance</v>
      </c>
      <c r="Q688" s="1" t="str">
        <f>IF(Logs[[#This Row],[Type_Forfait]]="Pro Monde","B2B","B2C")</f>
        <v>B2C</v>
      </c>
      <c r="R688" s="1" t="str">
        <f>_xlfn.XLOOKUP(Logs[[#This Row],[ID_Client]],Clients_Log!B:B,Clients_Log!G:G,"Pas de correspondance")</f>
        <v>Pas de correspondance</v>
      </c>
      <c r="S688" s="1" t="e">
        <f>Logs[[#This Row],[Duree_Cumulee_Panne_Min]]/1440</f>
        <v>#VALUE!</v>
      </c>
      <c r="T688" s="1" t="str">
        <f>_xlfn.XLOOKUP(Logs[[#This Row],[ID_Client]],Clients_Log!B:B,Clients_Log!H:H,"Pas de correspondance")</f>
        <v>Pas de correspondance</v>
      </c>
      <c r="U688" s="1" t="str">
        <f>_xlfn.XLOOKUP(Logs[[#This Row],[ID_Client]],Clients_Log!B:B,Clients_Log!I:I,"Pas de correspondance")</f>
        <v>Pas de correspondance</v>
      </c>
      <c r="V68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88" s="1" t="e">
        <f>Logs[[#This Row],[Facture_Mensuelle]]*Logs[[#This Row],[Remise (%)]]</f>
        <v>#VALUE!</v>
      </c>
    </row>
    <row r="689" spans="1:23" hidden="1" x14ac:dyDescent="0.25">
      <c r="A689" s="1" t="s">
        <v>1295</v>
      </c>
      <c r="B689" s="2">
        <v>45211</v>
      </c>
      <c r="C689" s="1" t="str">
        <f>_xlfn.XLOOKUP(Logs[[#This Row],[Province_RDC]],Clients_Log!D:D,Clients_Log!B:B,"Pas de correspondance")</f>
        <v>Pas de correspondance</v>
      </c>
      <c r="D689" t="str">
        <f>_xlfn.XLOOKUP(Logs[[#This Row],[Cell_ID]],'Registre_Maintenance'!B:B,'Registre_Maintenance'!C:C,"Pas de correspondance")</f>
        <v>Pas de correspondance</v>
      </c>
      <c r="E689" s="3">
        <v>0.49583333333333335</v>
      </c>
      <c r="F689" s="1" t="s">
        <v>922</v>
      </c>
      <c r="G689" s="3">
        <f>Logs[[#This Row],[Duree_Panne_Min]]/1440</f>
        <v>4.2361111111111113E-2</v>
      </c>
      <c r="H689">
        <v>61</v>
      </c>
      <c r="I689" t="str">
        <f>_xlfn.XLOOKUP(Logs[[#This Row],[Cell_ID]],'Registre_Maintenance'!B:B,'Registre_Maintenance'!D:D,"Pas de correspondance")</f>
        <v>Pas de correspondance</v>
      </c>
      <c r="J689" t="str">
        <f>_xlfn.XLOOKUP(Logs[[#This Row],[Cell_ID]],'Registre_Maintenance'!B:B,'Registre_Maintenance'!E:E,"Pas de correspondance")</f>
        <v>Pas de correspondance</v>
      </c>
      <c r="K689" t="str">
        <f>_xlfn.XLOOKUP(Logs[[#This Row],[Cell_ID]],'Registre_Maintenance'!B:B,'Registre_Maintenance'!F:F,"Pas de correspondance")</f>
        <v>Pas de correspondance</v>
      </c>
      <c r="L689" t="str">
        <f>_xlfn.XLOOKUP(Logs[[#This Row],[Cell_ID]],'Registre_Maintenance'!B:B,'Registre_Maintenance'!G:G,"Pas de correspondance")</f>
        <v>Pas de correspondance</v>
      </c>
      <c r="M689" s="1" t="s">
        <v>809</v>
      </c>
      <c r="N689" s="1" t="str">
        <f>_xlfn.XLOOKUP(Logs[[#This Row],[ID_Client]],Clients_Log!B:B,Clients_Log!E:E,"Pas de correspondance")</f>
        <v>Pas de correspondance</v>
      </c>
      <c r="O689" s="4" t="str">
        <f>IFERROR(Logs[[#This Row],[Anciennete_Mois]]/12,"")</f>
        <v/>
      </c>
      <c r="P689" s="1" t="str">
        <f>_xlfn.XLOOKUP(Logs[[#This Row],[ID_Client]],Clients_Log!B:B,Clients_Log!F:F,"Pas de correspondance")</f>
        <v>Pas de correspondance</v>
      </c>
      <c r="Q689" s="1" t="str">
        <f>IF(Logs[[#This Row],[Type_Forfait]]="Pro Monde","B2B","B2C")</f>
        <v>B2C</v>
      </c>
      <c r="R689" s="1" t="str">
        <f>_xlfn.XLOOKUP(Logs[[#This Row],[ID_Client]],Clients_Log!B:B,Clients_Log!G:G,"Pas de correspondance")</f>
        <v>Pas de correspondance</v>
      </c>
      <c r="S689" s="1" t="e">
        <f>Logs[[#This Row],[Duree_Cumulee_Panne_Min]]/1440</f>
        <v>#VALUE!</v>
      </c>
      <c r="T689" s="1" t="str">
        <f>_xlfn.XLOOKUP(Logs[[#This Row],[ID_Client]],Clients_Log!B:B,Clients_Log!H:H,"Pas de correspondance")</f>
        <v>Pas de correspondance</v>
      </c>
      <c r="U689" s="1" t="str">
        <f>_xlfn.XLOOKUP(Logs[[#This Row],[ID_Client]],Clients_Log!B:B,Clients_Log!I:I,"Pas de correspondance")</f>
        <v>Pas de correspondance</v>
      </c>
      <c r="V68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89" s="1" t="e">
        <f>Logs[[#This Row],[Facture_Mensuelle]]*Logs[[#This Row],[Remise (%)]]</f>
        <v>#VALUE!</v>
      </c>
    </row>
    <row r="690" spans="1:23" hidden="1" x14ac:dyDescent="0.25">
      <c r="A690" s="1" t="s">
        <v>1295</v>
      </c>
      <c r="B690" s="2">
        <v>45214</v>
      </c>
      <c r="C690" s="1" t="str">
        <f>_xlfn.XLOOKUP(Logs[[#This Row],[Province_RDC]],Clients_Log!D:D,Clients_Log!B:B,"Pas de correspondance")</f>
        <v>Pas de correspondance</v>
      </c>
      <c r="D690" t="str">
        <f>_xlfn.XLOOKUP(Logs[[#This Row],[Cell_ID]],'Registre_Maintenance'!B:B,'Registre_Maintenance'!C:C,"Pas de correspondance")</f>
        <v>Pas de correspondance</v>
      </c>
      <c r="E690" s="3">
        <v>0.7993055555555556</v>
      </c>
      <c r="F690" s="1" t="s">
        <v>1313</v>
      </c>
      <c r="G690" s="3">
        <f>Logs[[#This Row],[Duree_Panne_Min]]/1440</f>
        <v>4.6527777777777779E-2</v>
      </c>
      <c r="H690">
        <v>67</v>
      </c>
      <c r="I690" t="str">
        <f>_xlfn.XLOOKUP(Logs[[#This Row],[Cell_ID]],'Registre_Maintenance'!B:B,'Registre_Maintenance'!D:D,"Pas de correspondance")</f>
        <v>Pas de correspondance</v>
      </c>
      <c r="J690" t="str">
        <f>_xlfn.XLOOKUP(Logs[[#This Row],[Cell_ID]],'Registre_Maintenance'!B:B,'Registre_Maintenance'!E:E,"Pas de correspondance")</f>
        <v>Pas de correspondance</v>
      </c>
      <c r="K690" t="str">
        <f>_xlfn.XLOOKUP(Logs[[#This Row],[Cell_ID]],'Registre_Maintenance'!B:B,'Registre_Maintenance'!F:F,"Pas de correspondance")</f>
        <v>Pas de correspondance</v>
      </c>
      <c r="L690" t="str">
        <f>_xlfn.XLOOKUP(Logs[[#This Row],[Cell_ID]],'Registre_Maintenance'!B:B,'Registre_Maintenance'!G:G,"Pas de correspondance")</f>
        <v>Pas de correspondance</v>
      </c>
      <c r="M690" s="1" t="s">
        <v>806</v>
      </c>
      <c r="N690" s="1" t="str">
        <f>_xlfn.XLOOKUP(Logs[[#This Row],[ID_Client]],Clients_Log!B:B,Clients_Log!E:E,"Pas de correspondance")</f>
        <v>Pas de correspondance</v>
      </c>
      <c r="O690" s="4" t="str">
        <f>IFERROR(Logs[[#This Row],[Anciennete_Mois]]/12,"")</f>
        <v/>
      </c>
      <c r="P690" s="1" t="str">
        <f>_xlfn.XLOOKUP(Logs[[#This Row],[ID_Client]],Clients_Log!B:B,Clients_Log!F:F,"Pas de correspondance")</f>
        <v>Pas de correspondance</v>
      </c>
      <c r="Q690" s="1" t="str">
        <f>IF(Logs[[#This Row],[Type_Forfait]]="Pro Monde","B2B","B2C")</f>
        <v>B2C</v>
      </c>
      <c r="R690" s="1" t="str">
        <f>_xlfn.XLOOKUP(Logs[[#This Row],[ID_Client]],Clients_Log!B:B,Clients_Log!G:G,"Pas de correspondance")</f>
        <v>Pas de correspondance</v>
      </c>
      <c r="S690" s="1" t="e">
        <f>Logs[[#This Row],[Duree_Cumulee_Panne_Min]]/1440</f>
        <v>#VALUE!</v>
      </c>
      <c r="T690" s="1" t="str">
        <f>_xlfn.XLOOKUP(Logs[[#This Row],[ID_Client]],Clients_Log!B:B,Clients_Log!H:H,"Pas de correspondance")</f>
        <v>Pas de correspondance</v>
      </c>
      <c r="U690" s="1" t="str">
        <f>_xlfn.XLOOKUP(Logs[[#This Row],[ID_Client]],Clients_Log!B:B,Clients_Log!I:I,"Pas de correspondance")</f>
        <v>Pas de correspondance</v>
      </c>
      <c r="V69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90" s="1" t="e">
        <f>Logs[[#This Row],[Facture_Mensuelle]]*Logs[[#This Row],[Remise (%)]]</f>
        <v>#VALUE!</v>
      </c>
    </row>
    <row r="691" spans="1:23" hidden="1" x14ac:dyDescent="0.25">
      <c r="A691" s="1" t="s">
        <v>1295</v>
      </c>
      <c r="B691" s="2">
        <v>45226</v>
      </c>
      <c r="C691" s="1" t="str">
        <f>_xlfn.XLOOKUP(Logs[[#This Row],[Province_RDC]],Clients_Log!D:D,Clients_Log!B:B,"Pas de correspondance")</f>
        <v>Pas de correspondance</v>
      </c>
      <c r="D691" t="str">
        <f>_xlfn.XLOOKUP(Logs[[#This Row],[Cell_ID]],'Registre_Maintenance'!B:B,'Registre_Maintenance'!C:C,"Pas de correspondance")</f>
        <v>Pas de correspondance</v>
      </c>
      <c r="E691" s="3">
        <v>0.90625</v>
      </c>
      <c r="F691" s="1" t="s">
        <v>1123</v>
      </c>
      <c r="G691" s="3">
        <f>Logs[[#This Row],[Duree_Panne_Min]]/1440</f>
        <v>1.8055555555555554E-2</v>
      </c>
      <c r="H691">
        <v>26</v>
      </c>
      <c r="I691" t="str">
        <f>_xlfn.XLOOKUP(Logs[[#This Row],[Cell_ID]],'Registre_Maintenance'!B:B,'Registre_Maintenance'!D:D,"Pas de correspondance")</f>
        <v>Pas de correspondance</v>
      </c>
      <c r="J691" t="str">
        <f>_xlfn.XLOOKUP(Logs[[#This Row],[Cell_ID]],'Registre_Maintenance'!B:B,'Registre_Maintenance'!E:E,"Pas de correspondance")</f>
        <v>Pas de correspondance</v>
      </c>
      <c r="K691" t="str">
        <f>_xlfn.XLOOKUP(Logs[[#This Row],[Cell_ID]],'Registre_Maintenance'!B:B,'Registre_Maintenance'!F:F,"Pas de correspondance")</f>
        <v>Pas de correspondance</v>
      </c>
      <c r="L691" t="str">
        <f>_xlfn.XLOOKUP(Logs[[#This Row],[Cell_ID]],'Registre_Maintenance'!B:B,'Registre_Maintenance'!G:G,"Pas de correspondance")</f>
        <v>Pas de correspondance</v>
      </c>
      <c r="M691" s="1" t="s">
        <v>809</v>
      </c>
      <c r="N691" s="1" t="str">
        <f>_xlfn.XLOOKUP(Logs[[#This Row],[ID_Client]],Clients_Log!B:B,Clients_Log!E:E,"Pas de correspondance")</f>
        <v>Pas de correspondance</v>
      </c>
      <c r="O691" s="4" t="str">
        <f>IFERROR(Logs[[#This Row],[Anciennete_Mois]]/12,"")</f>
        <v/>
      </c>
      <c r="P691" s="1" t="str">
        <f>_xlfn.XLOOKUP(Logs[[#This Row],[ID_Client]],Clients_Log!B:B,Clients_Log!F:F,"Pas de correspondance")</f>
        <v>Pas de correspondance</v>
      </c>
      <c r="Q691" s="1" t="str">
        <f>IF(Logs[[#This Row],[Type_Forfait]]="Pro Monde","B2B","B2C")</f>
        <v>B2C</v>
      </c>
      <c r="R691" s="1" t="str">
        <f>_xlfn.XLOOKUP(Logs[[#This Row],[ID_Client]],Clients_Log!B:B,Clients_Log!G:G,"Pas de correspondance")</f>
        <v>Pas de correspondance</v>
      </c>
      <c r="S691" s="1" t="e">
        <f>Logs[[#This Row],[Duree_Cumulee_Panne_Min]]/1440</f>
        <v>#VALUE!</v>
      </c>
      <c r="T691" s="1" t="str">
        <f>_xlfn.XLOOKUP(Logs[[#This Row],[ID_Client]],Clients_Log!B:B,Clients_Log!H:H,"Pas de correspondance")</f>
        <v>Pas de correspondance</v>
      </c>
      <c r="U691" s="1" t="str">
        <f>_xlfn.XLOOKUP(Logs[[#This Row],[ID_Client]],Clients_Log!B:B,Clients_Log!I:I,"Pas de correspondance")</f>
        <v>Pas de correspondance</v>
      </c>
      <c r="V69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91" s="1" t="e">
        <f>Logs[[#This Row],[Facture_Mensuelle]]*Logs[[#This Row],[Remise (%)]]</f>
        <v>#VALUE!</v>
      </c>
    </row>
    <row r="692" spans="1:23" hidden="1" x14ac:dyDescent="0.25">
      <c r="A692" s="1" t="s">
        <v>1295</v>
      </c>
      <c r="B692" s="2">
        <v>45225</v>
      </c>
      <c r="C692" s="1" t="str">
        <f>_xlfn.XLOOKUP(Logs[[#This Row],[Province_RDC]],Clients_Log!D:D,Clients_Log!B:B,"Pas de correspondance")</f>
        <v>Pas de correspondance</v>
      </c>
      <c r="D692" t="str">
        <f>_xlfn.XLOOKUP(Logs[[#This Row],[Cell_ID]],'Registre_Maintenance'!B:B,'Registre_Maintenance'!C:C,"Pas de correspondance")</f>
        <v>Pas de correspondance</v>
      </c>
      <c r="E692" s="3">
        <v>0.4152777777777778</v>
      </c>
      <c r="F692" s="1" t="s">
        <v>1314</v>
      </c>
      <c r="G692" s="3">
        <f>Logs[[#This Row],[Duree_Panne_Min]]/1440</f>
        <v>1.0416666666666666E-2</v>
      </c>
      <c r="H692">
        <v>15</v>
      </c>
      <c r="I692" t="str">
        <f>_xlfn.XLOOKUP(Logs[[#This Row],[Cell_ID]],'Registre_Maintenance'!B:B,'Registre_Maintenance'!D:D,"Pas de correspondance")</f>
        <v>Pas de correspondance</v>
      </c>
      <c r="J692" t="str">
        <f>_xlfn.XLOOKUP(Logs[[#This Row],[Cell_ID]],'Registre_Maintenance'!B:B,'Registre_Maintenance'!E:E,"Pas de correspondance")</f>
        <v>Pas de correspondance</v>
      </c>
      <c r="K692" t="str">
        <f>_xlfn.XLOOKUP(Logs[[#This Row],[Cell_ID]],'Registre_Maintenance'!B:B,'Registre_Maintenance'!F:F,"Pas de correspondance")</f>
        <v>Pas de correspondance</v>
      </c>
      <c r="L692" t="str">
        <f>_xlfn.XLOOKUP(Logs[[#This Row],[Cell_ID]],'Registre_Maintenance'!B:B,'Registre_Maintenance'!G:G,"Pas de correspondance")</f>
        <v>Pas de correspondance</v>
      </c>
      <c r="M692" s="1" t="s">
        <v>806</v>
      </c>
      <c r="N692" s="1" t="str">
        <f>_xlfn.XLOOKUP(Logs[[#This Row],[ID_Client]],Clients_Log!B:B,Clients_Log!E:E,"Pas de correspondance")</f>
        <v>Pas de correspondance</v>
      </c>
      <c r="O692" s="4" t="str">
        <f>IFERROR(Logs[[#This Row],[Anciennete_Mois]]/12,"")</f>
        <v/>
      </c>
      <c r="P692" s="1" t="str">
        <f>_xlfn.XLOOKUP(Logs[[#This Row],[ID_Client]],Clients_Log!B:B,Clients_Log!F:F,"Pas de correspondance")</f>
        <v>Pas de correspondance</v>
      </c>
      <c r="Q692" s="1" t="str">
        <f>IF(Logs[[#This Row],[Type_Forfait]]="Pro Monde","B2B","B2C")</f>
        <v>B2C</v>
      </c>
      <c r="R692" s="1" t="str">
        <f>_xlfn.XLOOKUP(Logs[[#This Row],[ID_Client]],Clients_Log!B:B,Clients_Log!G:G,"Pas de correspondance")</f>
        <v>Pas de correspondance</v>
      </c>
      <c r="S692" s="1" t="e">
        <f>Logs[[#This Row],[Duree_Cumulee_Panne_Min]]/1440</f>
        <v>#VALUE!</v>
      </c>
      <c r="T692" s="1" t="str">
        <f>_xlfn.XLOOKUP(Logs[[#This Row],[ID_Client]],Clients_Log!B:B,Clients_Log!H:H,"Pas de correspondance")</f>
        <v>Pas de correspondance</v>
      </c>
      <c r="U692" s="1" t="str">
        <f>_xlfn.XLOOKUP(Logs[[#This Row],[ID_Client]],Clients_Log!B:B,Clients_Log!I:I,"Pas de correspondance")</f>
        <v>Pas de correspondance</v>
      </c>
      <c r="V69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92" s="1" t="e">
        <f>Logs[[#This Row],[Facture_Mensuelle]]*Logs[[#This Row],[Remise (%)]]</f>
        <v>#VALUE!</v>
      </c>
    </row>
    <row r="693" spans="1:23" hidden="1" x14ac:dyDescent="0.25">
      <c r="A693" s="1" t="s">
        <v>1295</v>
      </c>
      <c r="B693" s="2">
        <v>45219</v>
      </c>
      <c r="C693" s="1" t="str">
        <f>_xlfn.XLOOKUP(Logs[[#This Row],[Province_RDC]],Clients_Log!D:D,Clients_Log!B:B,"Pas de correspondance")</f>
        <v>Pas de correspondance</v>
      </c>
      <c r="D693" t="str">
        <f>_xlfn.XLOOKUP(Logs[[#This Row],[Cell_ID]],'Registre_Maintenance'!B:B,'Registre_Maintenance'!C:C,"Pas de correspondance")</f>
        <v>Pas de correspondance</v>
      </c>
      <c r="E693" s="3">
        <v>0.75347222222222221</v>
      </c>
      <c r="F693" s="1" t="s">
        <v>919</v>
      </c>
      <c r="G693" s="3">
        <f>Logs[[#This Row],[Duree_Panne_Min]]/1440</f>
        <v>5.347222222222222E-2</v>
      </c>
      <c r="H693">
        <v>77</v>
      </c>
      <c r="I693" t="str">
        <f>_xlfn.XLOOKUP(Logs[[#This Row],[Cell_ID]],'Registre_Maintenance'!B:B,'Registre_Maintenance'!D:D,"Pas de correspondance")</f>
        <v>Pas de correspondance</v>
      </c>
      <c r="J693" t="str">
        <f>_xlfn.XLOOKUP(Logs[[#This Row],[Cell_ID]],'Registre_Maintenance'!B:B,'Registre_Maintenance'!E:E,"Pas de correspondance")</f>
        <v>Pas de correspondance</v>
      </c>
      <c r="K693" t="str">
        <f>_xlfn.XLOOKUP(Logs[[#This Row],[Cell_ID]],'Registre_Maintenance'!B:B,'Registre_Maintenance'!F:F,"Pas de correspondance")</f>
        <v>Pas de correspondance</v>
      </c>
      <c r="L693" t="str">
        <f>_xlfn.XLOOKUP(Logs[[#This Row],[Cell_ID]],'Registre_Maintenance'!B:B,'Registre_Maintenance'!G:G,"Pas de correspondance")</f>
        <v>Pas de correspondance</v>
      </c>
      <c r="M693" s="1" t="s">
        <v>806</v>
      </c>
      <c r="N693" s="1" t="str">
        <f>_xlfn.XLOOKUP(Logs[[#This Row],[ID_Client]],Clients_Log!B:B,Clients_Log!E:E,"Pas de correspondance")</f>
        <v>Pas de correspondance</v>
      </c>
      <c r="O693" s="4" t="str">
        <f>IFERROR(Logs[[#This Row],[Anciennete_Mois]]/12,"")</f>
        <v/>
      </c>
      <c r="P693" s="1" t="str">
        <f>_xlfn.XLOOKUP(Logs[[#This Row],[ID_Client]],Clients_Log!B:B,Clients_Log!F:F,"Pas de correspondance")</f>
        <v>Pas de correspondance</v>
      </c>
      <c r="Q693" s="1" t="str">
        <f>IF(Logs[[#This Row],[Type_Forfait]]="Pro Monde","B2B","B2C")</f>
        <v>B2C</v>
      </c>
      <c r="R693" s="1" t="str">
        <f>_xlfn.XLOOKUP(Logs[[#This Row],[ID_Client]],Clients_Log!B:B,Clients_Log!G:G,"Pas de correspondance")</f>
        <v>Pas de correspondance</v>
      </c>
      <c r="S693" s="1" t="e">
        <f>Logs[[#This Row],[Duree_Cumulee_Panne_Min]]/1440</f>
        <v>#VALUE!</v>
      </c>
      <c r="T693" s="1" t="str">
        <f>_xlfn.XLOOKUP(Logs[[#This Row],[ID_Client]],Clients_Log!B:B,Clients_Log!H:H,"Pas de correspondance")</f>
        <v>Pas de correspondance</v>
      </c>
      <c r="U693" s="1" t="str">
        <f>_xlfn.XLOOKUP(Logs[[#This Row],[ID_Client]],Clients_Log!B:B,Clients_Log!I:I,"Pas de correspondance")</f>
        <v>Pas de correspondance</v>
      </c>
      <c r="V69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93" s="1" t="e">
        <f>Logs[[#This Row],[Facture_Mensuelle]]*Logs[[#This Row],[Remise (%)]]</f>
        <v>#VALUE!</v>
      </c>
    </row>
    <row r="694" spans="1:23" x14ac:dyDescent="0.25">
      <c r="A694" s="1" t="s">
        <v>1295</v>
      </c>
      <c r="B694" s="2">
        <v>45221</v>
      </c>
      <c r="C694" s="1" t="str">
        <f>_xlfn.XLOOKUP(Logs[[#This Row],[Province_RDC]],Clients_Log!D:D,Clients_Log!B:B,"Pas de correspondance")</f>
        <v>CLI-00060</v>
      </c>
      <c r="D694" t="str">
        <f>_xlfn.XLOOKUP(Logs[[#This Row],[Cell_ID]],'Registre_Maintenance'!B:B,'Registre_Maintenance'!C:C,"Pas de correspondance")</f>
        <v>Kasaï-Central</v>
      </c>
      <c r="E694" s="3">
        <v>0.18055555555555555</v>
      </c>
      <c r="F694" s="1" t="s">
        <v>814</v>
      </c>
      <c r="G694" s="3">
        <f>Logs[[#This Row],[Duree_Panne_Min]]/1440</f>
        <v>5.5555555555555558E-3</v>
      </c>
      <c r="H694">
        <v>8</v>
      </c>
      <c r="I694">
        <f>_xlfn.XLOOKUP(Logs[[#This Row],[Cell_ID]],'Registre_Maintenance'!B:B,'Registre_Maintenance'!D:D,"Pas de correspondance")</f>
        <v>-1.648264</v>
      </c>
      <c r="J694">
        <f>_xlfn.XLOOKUP(Logs[[#This Row],[Cell_ID]],'Registre_Maintenance'!B:B,'Registre_Maintenance'!E:E,"Pas de correspondance")</f>
        <v>28.866143999999998</v>
      </c>
      <c r="K694" t="str">
        <f>_xlfn.XLOOKUP(Logs[[#This Row],[Cell_ID]],'Registre_Maintenance'!B:B,'Registre_Maintenance'!F:F,"Pas de correspondance")</f>
        <v>5G</v>
      </c>
      <c r="L694" t="str">
        <f>_xlfn.XLOOKUP(Logs[[#This Row],[Cell_ID]],'Registre_Maintenance'!B:B,'Registre_Maintenance'!G:G,"Pas de correspondance")</f>
        <v>Ericsson</v>
      </c>
      <c r="M694" s="1" t="s">
        <v>806</v>
      </c>
      <c r="N694" s="1">
        <f>_xlfn.XLOOKUP(Logs[[#This Row],[ID_Client]],Clients_Log!B:B,Clients_Log!E:E,"Pas de correspondance")</f>
        <v>72</v>
      </c>
      <c r="O694" s="4">
        <f>IFERROR(Logs[[#This Row],[Anciennete_Mois]]/12,"")</f>
        <v>6</v>
      </c>
      <c r="P694" s="1" t="str">
        <f>_xlfn.XLOOKUP(Logs[[#This Row],[ID_Client]],Clients_Log!B:B,Clients_Log!F:F,"Pas de correspondance")</f>
        <v>Pro Monde</v>
      </c>
      <c r="Q694" s="1" t="str">
        <f>IF(Logs[[#This Row],[Type_Forfait]]="Pro Monde","B2B","B2C")</f>
        <v>B2B</v>
      </c>
      <c r="R694" s="1">
        <f>_xlfn.XLOOKUP(Logs[[#This Row],[ID_Client]],Clients_Log!B:B,Clients_Log!G:G,"Pas de correspondance")</f>
        <v>160</v>
      </c>
      <c r="S694" s="3">
        <f>Logs[[#This Row],[Duree_Cumulee_Panne_Min]]/1440</f>
        <v>0.1111111111111111</v>
      </c>
      <c r="T694" s="1">
        <f>_xlfn.XLOOKUP(Logs[[#This Row],[ID_Client]],Clients_Log!B:B,Clients_Log!H:H,"Pas de correspondance")</f>
        <v>90.13</v>
      </c>
      <c r="U694" s="1">
        <f>_xlfn.XLOOKUP(Logs[[#This Row],[ID_Client]],Clients_Log!B:B,Clients_Log!I:I,"Pas de correspondance")</f>
        <v>2</v>
      </c>
      <c r="V69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694" s="1">
        <f>Logs[[#This Row],[Facture_Mensuelle]]*Logs[[#This Row],[Remise (%)]]</f>
        <v>9.0129999999999999</v>
      </c>
    </row>
    <row r="695" spans="1:23" x14ac:dyDescent="0.25">
      <c r="A695" s="1" t="s">
        <v>1295</v>
      </c>
      <c r="B695" s="2">
        <v>45203</v>
      </c>
      <c r="C695" s="1" t="str">
        <f>_xlfn.XLOOKUP(Logs[[#This Row],[Province_RDC]],Clients_Log!D:D,Clients_Log!B:B,"Pas de correspondance")</f>
        <v>CLI-01618</v>
      </c>
      <c r="D695" t="str">
        <f>_xlfn.XLOOKUP(Logs[[#This Row],[Cell_ID]],'Registre_Maintenance'!B:B,'Registre_Maintenance'!C:C,"Pas de correspondance")</f>
        <v>Tanganyika</v>
      </c>
      <c r="E695" s="3">
        <v>0.30486111111111114</v>
      </c>
      <c r="F695" s="1" t="s">
        <v>1217</v>
      </c>
      <c r="G695" s="3">
        <f>Logs[[#This Row],[Duree_Panne_Min]]/1440</f>
        <v>7.3611111111111113E-2</v>
      </c>
      <c r="H695">
        <v>106</v>
      </c>
      <c r="I695">
        <f>_xlfn.XLOOKUP(Logs[[#This Row],[Cell_ID]],'Registre_Maintenance'!B:B,'Registre_Maintenance'!D:D,"Pas de correspondance")</f>
        <v>-11.793894</v>
      </c>
      <c r="J695">
        <f>_xlfn.XLOOKUP(Logs[[#This Row],[Cell_ID]],'Registre_Maintenance'!B:B,'Registre_Maintenance'!E:E,"Pas de correspondance")</f>
        <v>20.433340999999999</v>
      </c>
      <c r="K695" t="str">
        <f>_xlfn.XLOOKUP(Logs[[#This Row],[Cell_ID]],'Registre_Maintenance'!B:B,'Registre_Maintenance'!F:F,"Pas de correspondance")</f>
        <v>5G</v>
      </c>
      <c r="L695" t="str">
        <f>_xlfn.XLOOKUP(Logs[[#This Row],[Cell_ID]],'Registre_Maintenance'!B:B,'Registre_Maintenance'!G:G,"Pas de correspondance")</f>
        <v>Nokia</v>
      </c>
      <c r="M695" s="1" t="s">
        <v>809</v>
      </c>
      <c r="N695" s="1">
        <f>_xlfn.XLOOKUP(Logs[[#This Row],[ID_Client]],Clients_Log!B:B,Clients_Log!E:E,"Pas de correspondance")</f>
        <v>115</v>
      </c>
      <c r="O695" s="4">
        <f>IFERROR(Logs[[#This Row],[Anciennete_Mois]]/12,"")</f>
        <v>9.5833333333333339</v>
      </c>
      <c r="P695" s="1" t="str">
        <f>_xlfn.XLOOKUP(Logs[[#This Row],[ID_Client]],Clients_Log!B:B,Clients_Log!F:F,"Pas de correspondance")</f>
        <v>Bloqué 5Go</v>
      </c>
      <c r="Q695" s="1" t="str">
        <f>IF(Logs[[#This Row],[Type_Forfait]]="Pro Monde","B2B","B2C")</f>
        <v>B2C</v>
      </c>
      <c r="R695" s="1">
        <f>_xlfn.XLOOKUP(Logs[[#This Row],[ID_Client]],Clients_Log!B:B,Clients_Log!G:G,"Pas de correspondance")</f>
        <v>176</v>
      </c>
      <c r="S695" s="3">
        <f>Logs[[#This Row],[Duree_Cumulee_Panne_Min]]/1440</f>
        <v>0.12222222222222222</v>
      </c>
      <c r="T695" s="1">
        <f>_xlfn.XLOOKUP(Logs[[#This Row],[ID_Client]],Clients_Log!B:B,Clients_Log!H:H,"Pas de correspondance")</f>
        <v>33.28</v>
      </c>
      <c r="U695" s="1">
        <f>_xlfn.XLOOKUP(Logs[[#This Row],[ID_Client]],Clients_Log!B:B,Clients_Log!I:I,"Pas de correspondance")</f>
        <v>4</v>
      </c>
      <c r="V69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695" s="1">
        <f>Logs[[#This Row],[Facture_Mensuelle]]*Logs[[#This Row],[Remise (%)]]</f>
        <v>0</v>
      </c>
    </row>
    <row r="696" spans="1:23" x14ac:dyDescent="0.25">
      <c r="A696" s="1" t="s">
        <v>1295</v>
      </c>
      <c r="B696" s="2">
        <v>45203</v>
      </c>
      <c r="C696" s="1" t="str">
        <f>_xlfn.XLOOKUP(Logs[[#This Row],[Province_RDC]],Clients_Log!D:D,Clients_Log!B:B,"Pas de correspondance")</f>
        <v>CLI-01855</v>
      </c>
      <c r="D696" t="str">
        <f>_xlfn.XLOOKUP(Logs[[#This Row],[Cell_ID]],'Registre_Maintenance'!B:B,'Registre_Maintenance'!C:C,"Pas de correspondance")</f>
        <v>Sud-Kivu</v>
      </c>
      <c r="E696" s="3">
        <v>0.22430555555555556</v>
      </c>
      <c r="F696" s="1" t="s">
        <v>917</v>
      </c>
      <c r="G696" s="3">
        <f>Logs[[#This Row],[Duree_Panne_Min]]/1440</f>
        <v>7.0833333333333331E-2</v>
      </c>
      <c r="H696">
        <v>102</v>
      </c>
      <c r="I696">
        <f>_xlfn.XLOOKUP(Logs[[#This Row],[Cell_ID]],'Registre_Maintenance'!B:B,'Registre_Maintenance'!D:D,"Pas de correspondance")</f>
        <v>-9.4702129999999993</v>
      </c>
      <c r="J696">
        <f>_xlfn.XLOOKUP(Logs[[#This Row],[Cell_ID]],'Registre_Maintenance'!B:B,'Registre_Maintenance'!E:E,"Pas de correspondance")</f>
        <v>12.826158</v>
      </c>
      <c r="K696" t="str">
        <f>_xlfn.XLOOKUP(Logs[[#This Row],[Cell_ID]],'Registre_Maintenance'!B:B,'Registre_Maintenance'!F:F,"Pas de correspondance")</f>
        <v>3G</v>
      </c>
      <c r="L696" t="str">
        <f>_xlfn.XLOOKUP(Logs[[#This Row],[Cell_ID]],'Registre_Maintenance'!B:B,'Registre_Maintenance'!G:G,"Pas de correspondance")</f>
        <v>Ericsson</v>
      </c>
      <c r="M696" s="1" t="s">
        <v>811</v>
      </c>
      <c r="N696" s="1">
        <f>_xlfn.XLOOKUP(Logs[[#This Row],[ID_Client]],Clients_Log!B:B,Clients_Log!E:E,"Pas de correspondance")</f>
        <v>101</v>
      </c>
      <c r="O696" s="4">
        <f>IFERROR(Logs[[#This Row],[Anciennete_Mois]]/12,"")</f>
        <v>8.4166666666666661</v>
      </c>
      <c r="P696" s="1" t="str">
        <f>_xlfn.XLOOKUP(Logs[[#This Row],[ID_Client]],Clients_Log!B:B,Clients_Log!F:F,"Pas de correspondance")</f>
        <v>Illimité 50Go</v>
      </c>
      <c r="Q696" s="1" t="str">
        <f>IF(Logs[[#This Row],[Type_Forfait]]="Pro Monde","B2B","B2C")</f>
        <v>B2C</v>
      </c>
      <c r="R696" s="1">
        <f>_xlfn.XLOOKUP(Logs[[#This Row],[ID_Client]],Clients_Log!B:B,Clients_Log!G:G,"Pas de correspondance")</f>
        <v>358</v>
      </c>
      <c r="S696" s="3">
        <f>Logs[[#This Row],[Duree_Cumulee_Panne_Min]]/1440</f>
        <v>0.24861111111111112</v>
      </c>
      <c r="T696" s="1">
        <f>_xlfn.XLOOKUP(Logs[[#This Row],[ID_Client]],Clients_Log!B:B,Clients_Log!H:H,"Pas de correspondance")</f>
        <v>29.24</v>
      </c>
      <c r="U696" s="1">
        <f>_xlfn.XLOOKUP(Logs[[#This Row],[ID_Client]],Clients_Log!B:B,Clients_Log!I:I,"Pas de correspondance")</f>
        <v>3</v>
      </c>
      <c r="V69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96" s="1">
        <f>Logs[[#This Row],[Facture_Mensuelle]]*Logs[[#This Row],[Remise (%)]]</f>
        <v>13.157999999999999</v>
      </c>
    </row>
    <row r="697" spans="1:23" x14ac:dyDescent="0.25">
      <c r="A697" s="1" t="s">
        <v>1295</v>
      </c>
      <c r="B697" s="2">
        <v>45222</v>
      </c>
      <c r="C697" s="1" t="str">
        <f>_xlfn.XLOOKUP(Logs[[#This Row],[Province_RDC]],Clients_Log!D:D,Clients_Log!B:B,"Pas de correspondance")</f>
        <v>CLI-00865</v>
      </c>
      <c r="D697" t="str">
        <f>_xlfn.XLOOKUP(Logs[[#This Row],[Cell_ID]],'Registre_Maintenance'!B:B,'Registre_Maintenance'!C:C,"Pas de correspondance")</f>
        <v>Mongala</v>
      </c>
      <c r="E697" s="3">
        <v>0.18888888888888888</v>
      </c>
      <c r="F697" s="1" t="s">
        <v>1115</v>
      </c>
      <c r="G697" s="3">
        <f>Logs[[#This Row],[Duree_Panne_Min]]/1440</f>
        <v>2.2916666666666665E-2</v>
      </c>
      <c r="H697">
        <v>33</v>
      </c>
      <c r="I697">
        <f>_xlfn.XLOOKUP(Logs[[#This Row],[Cell_ID]],'Registre_Maintenance'!B:B,'Registre_Maintenance'!D:D,"Pas de correspondance")</f>
        <v>-5.3762689999999997</v>
      </c>
      <c r="J697">
        <f>_xlfn.XLOOKUP(Logs[[#This Row],[Cell_ID]],'Registre_Maintenance'!B:B,'Registre_Maintenance'!E:E,"Pas de correspondance")</f>
        <v>28.189575999999999</v>
      </c>
      <c r="K697" t="str">
        <f>_xlfn.XLOOKUP(Logs[[#This Row],[Cell_ID]],'Registre_Maintenance'!B:B,'Registre_Maintenance'!F:F,"Pas de correspondance")</f>
        <v>5G</v>
      </c>
      <c r="L697" t="str">
        <f>_xlfn.XLOOKUP(Logs[[#This Row],[Cell_ID]],'Registre_Maintenance'!B:B,'Registre_Maintenance'!G:G,"Pas de correspondance")</f>
        <v>Huawei</v>
      </c>
      <c r="M697" s="1" t="s">
        <v>806</v>
      </c>
      <c r="N697" s="1">
        <f>_xlfn.XLOOKUP(Logs[[#This Row],[ID_Client]],Clients_Log!B:B,Clients_Log!E:E,"Pas de correspondance")</f>
        <v>34</v>
      </c>
      <c r="O697" s="4">
        <f>IFERROR(Logs[[#This Row],[Anciennete_Mois]]/12,"")</f>
        <v>2.8333333333333335</v>
      </c>
      <c r="P697" s="1" t="str">
        <f>_xlfn.XLOOKUP(Logs[[#This Row],[ID_Client]],Clients_Log!B:B,Clients_Log!F:F,"Pas de correspondance")</f>
        <v>Pro Monde</v>
      </c>
      <c r="Q697" s="1" t="str">
        <f>IF(Logs[[#This Row],[Type_Forfait]]="Pro Monde","B2B","B2C")</f>
        <v>B2B</v>
      </c>
      <c r="R697" s="1">
        <f>_xlfn.XLOOKUP(Logs[[#This Row],[ID_Client]],Clients_Log!B:B,Clients_Log!G:G,"Pas de correspondance")</f>
        <v>453</v>
      </c>
      <c r="S697" s="3">
        <f>Logs[[#This Row],[Duree_Cumulee_Panne_Min]]/1440</f>
        <v>0.31458333333333333</v>
      </c>
      <c r="T697" s="1">
        <f>_xlfn.XLOOKUP(Logs[[#This Row],[ID_Client]],Clients_Log!B:B,Clients_Log!H:H,"Pas de correspondance")</f>
        <v>56.84</v>
      </c>
      <c r="U697" s="1">
        <f>_xlfn.XLOOKUP(Logs[[#This Row],[ID_Client]],Clients_Log!B:B,Clients_Log!I:I,"Pas de correspondance")</f>
        <v>0</v>
      </c>
      <c r="V69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697" s="1">
        <f>Logs[[#This Row],[Facture_Mensuelle]]*Logs[[#This Row],[Remise (%)]]</f>
        <v>25.578000000000003</v>
      </c>
    </row>
    <row r="698" spans="1:23" hidden="1" x14ac:dyDescent="0.25">
      <c r="A698" s="1" t="s">
        <v>1295</v>
      </c>
      <c r="B698" s="2">
        <v>45212</v>
      </c>
      <c r="C698" s="1" t="str">
        <f>_xlfn.XLOOKUP(Logs[[#This Row],[Province_RDC]],Clients_Log!D:D,Clients_Log!B:B,"Pas de correspondance")</f>
        <v>Pas de correspondance</v>
      </c>
      <c r="D698" t="str">
        <f>_xlfn.XLOOKUP(Logs[[#This Row],[Cell_ID]],'Registre_Maintenance'!B:B,'Registre_Maintenance'!C:C,"Pas de correspondance")</f>
        <v>Pas de correspondance</v>
      </c>
      <c r="E698" s="3">
        <v>0.56805555555555554</v>
      </c>
      <c r="F698" s="1" t="s">
        <v>1315</v>
      </c>
      <c r="G698" s="3">
        <f>Logs[[#This Row],[Duree_Panne_Min]]/1440</f>
        <v>2.9166666666666667E-2</v>
      </c>
      <c r="H698">
        <v>42</v>
      </c>
      <c r="I698" t="str">
        <f>_xlfn.XLOOKUP(Logs[[#This Row],[Cell_ID]],'Registre_Maintenance'!B:B,'Registre_Maintenance'!D:D,"Pas de correspondance")</f>
        <v>Pas de correspondance</v>
      </c>
      <c r="J698" t="str">
        <f>_xlfn.XLOOKUP(Logs[[#This Row],[Cell_ID]],'Registre_Maintenance'!B:B,'Registre_Maintenance'!E:E,"Pas de correspondance")</f>
        <v>Pas de correspondance</v>
      </c>
      <c r="K698" t="str">
        <f>_xlfn.XLOOKUP(Logs[[#This Row],[Cell_ID]],'Registre_Maintenance'!B:B,'Registre_Maintenance'!F:F,"Pas de correspondance")</f>
        <v>Pas de correspondance</v>
      </c>
      <c r="L698" t="str">
        <f>_xlfn.XLOOKUP(Logs[[#This Row],[Cell_ID]],'Registre_Maintenance'!B:B,'Registre_Maintenance'!G:G,"Pas de correspondance")</f>
        <v>Pas de correspondance</v>
      </c>
      <c r="M698" s="1" t="s">
        <v>809</v>
      </c>
      <c r="N698" s="1" t="str">
        <f>_xlfn.XLOOKUP(Logs[[#This Row],[ID_Client]],Clients_Log!B:B,Clients_Log!E:E,"Pas de correspondance")</f>
        <v>Pas de correspondance</v>
      </c>
      <c r="O698" s="4" t="str">
        <f>IFERROR(Logs[[#This Row],[Anciennete_Mois]]/12,"")</f>
        <v/>
      </c>
      <c r="P698" s="1" t="str">
        <f>_xlfn.XLOOKUP(Logs[[#This Row],[ID_Client]],Clients_Log!B:B,Clients_Log!F:F,"Pas de correspondance")</f>
        <v>Pas de correspondance</v>
      </c>
      <c r="Q698" s="1" t="str">
        <f>IF(Logs[[#This Row],[Type_Forfait]]="Pro Monde","B2B","B2C")</f>
        <v>B2C</v>
      </c>
      <c r="R698" s="1" t="str">
        <f>_xlfn.XLOOKUP(Logs[[#This Row],[ID_Client]],Clients_Log!B:B,Clients_Log!G:G,"Pas de correspondance")</f>
        <v>Pas de correspondance</v>
      </c>
      <c r="S698" s="1" t="e">
        <f>Logs[[#This Row],[Duree_Cumulee_Panne_Min]]/1440</f>
        <v>#VALUE!</v>
      </c>
      <c r="T698" s="1" t="str">
        <f>_xlfn.XLOOKUP(Logs[[#This Row],[ID_Client]],Clients_Log!B:B,Clients_Log!H:H,"Pas de correspondance")</f>
        <v>Pas de correspondance</v>
      </c>
      <c r="U698" s="1" t="str">
        <f>_xlfn.XLOOKUP(Logs[[#This Row],[ID_Client]],Clients_Log!B:B,Clients_Log!I:I,"Pas de correspondance")</f>
        <v>Pas de correspondance</v>
      </c>
      <c r="V69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698" s="1" t="e">
        <f>Logs[[#This Row],[Facture_Mensuelle]]*Logs[[#This Row],[Remise (%)]]</f>
        <v>#VALUE!</v>
      </c>
    </row>
    <row r="699" spans="1:23" x14ac:dyDescent="0.25">
      <c r="A699" s="1" t="s">
        <v>1295</v>
      </c>
      <c r="B699" s="2">
        <v>45204</v>
      </c>
      <c r="C699" s="1" t="str">
        <f>_xlfn.XLOOKUP(Logs[[#This Row],[Province_RDC]],Clients_Log!D:D,Clients_Log!B:B,"Pas de correspondance")</f>
        <v>CLI-00060</v>
      </c>
      <c r="D699" t="str">
        <f>_xlfn.XLOOKUP(Logs[[#This Row],[Cell_ID]],'Registre_Maintenance'!B:B,'Registre_Maintenance'!C:C,"Pas de correspondance")</f>
        <v>Kasaï-Central</v>
      </c>
      <c r="E699" s="3">
        <v>0.76666666666666672</v>
      </c>
      <c r="F699" s="1" t="s">
        <v>1316</v>
      </c>
      <c r="G699" s="3">
        <f>Logs[[#This Row],[Duree_Panne_Min]]/1440</f>
        <v>6.2500000000000003E-3</v>
      </c>
      <c r="H699">
        <v>9</v>
      </c>
      <c r="I699">
        <f>_xlfn.XLOOKUP(Logs[[#This Row],[Cell_ID]],'Registre_Maintenance'!B:B,'Registre_Maintenance'!D:D,"Pas de correspondance")</f>
        <v>-12.560556999999999</v>
      </c>
      <c r="J699">
        <f>_xlfn.XLOOKUP(Logs[[#This Row],[Cell_ID]],'Registre_Maintenance'!B:B,'Registre_Maintenance'!E:E,"Pas de correspondance")</f>
        <v>13.204014000000001</v>
      </c>
      <c r="K699" t="str">
        <f>_xlfn.XLOOKUP(Logs[[#This Row],[Cell_ID]],'Registre_Maintenance'!B:B,'Registre_Maintenance'!F:F,"Pas de correspondance")</f>
        <v>4G</v>
      </c>
      <c r="L699" t="str">
        <f>_xlfn.XLOOKUP(Logs[[#This Row],[Cell_ID]],'Registre_Maintenance'!B:B,'Registre_Maintenance'!G:G,"Pas de correspondance")</f>
        <v>Ericsson</v>
      </c>
      <c r="M699" s="1" t="s">
        <v>811</v>
      </c>
      <c r="N699" s="1">
        <f>_xlfn.XLOOKUP(Logs[[#This Row],[ID_Client]],Clients_Log!B:B,Clients_Log!E:E,"Pas de correspondance")</f>
        <v>72</v>
      </c>
      <c r="O699" s="4">
        <f>IFERROR(Logs[[#This Row],[Anciennete_Mois]]/12,"")</f>
        <v>6</v>
      </c>
      <c r="P699" s="1" t="str">
        <f>_xlfn.XLOOKUP(Logs[[#This Row],[ID_Client]],Clients_Log!B:B,Clients_Log!F:F,"Pas de correspondance")</f>
        <v>Pro Monde</v>
      </c>
      <c r="Q699" s="1" t="str">
        <f>IF(Logs[[#This Row],[Type_Forfait]]="Pro Monde","B2B","B2C")</f>
        <v>B2B</v>
      </c>
      <c r="R699" s="1">
        <f>_xlfn.XLOOKUP(Logs[[#This Row],[ID_Client]],Clients_Log!B:B,Clients_Log!G:G,"Pas de correspondance")</f>
        <v>160</v>
      </c>
      <c r="S699" s="3">
        <f>Logs[[#This Row],[Duree_Cumulee_Panne_Min]]/1440</f>
        <v>0.1111111111111111</v>
      </c>
      <c r="T699" s="1">
        <f>_xlfn.XLOOKUP(Logs[[#This Row],[ID_Client]],Clients_Log!B:B,Clients_Log!H:H,"Pas de correspondance")</f>
        <v>90.13</v>
      </c>
      <c r="U699" s="1">
        <f>_xlfn.XLOOKUP(Logs[[#This Row],[ID_Client]],Clients_Log!B:B,Clients_Log!I:I,"Pas de correspondance")</f>
        <v>2</v>
      </c>
      <c r="V69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699" s="1">
        <f>Logs[[#This Row],[Facture_Mensuelle]]*Logs[[#This Row],[Remise (%)]]</f>
        <v>9.0129999999999999</v>
      </c>
    </row>
    <row r="700" spans="1:23" hidden="1" x14ac:dyDescent="0.25">
      <c r="A700" s="1" t="s">
        <v>1317</v>
      </c>
      <c r="B700" s="2">
        <v>45202</v>
      </c>
      <c r="C700" s="1" t="str">
        <f>_xlfn.XLOOKUP(Logs[[#This Row],[Province_RDC]],Clients_Log!D:D,Clients_Log!B:B,"Pas de correspondance")</f>
        <v>Pas de correspondance</v>
      </c>
      <c r="D700" t="str">
        <f>_xlfn.XLOOKUP(Logs[[#This Row],[Cell_ID]],'Registre_Maintenance'!B:B,'Registre_Maintenance'!C:C,"Pas de correspondance")</f>
        <v>Pas de correspondance</v>
      </c>
      <c r="E700" s="3">
        <v>0.86805555555555558</v>
      </c>
      <c r="F700" s="1" t="s">
        <v>1014</v>
      </c>
      <c r="G700" s="3">
        <f>Logs[[#This Row],[Duree_Panne_Min]]/1440</f>
        <v>6.3194444444444442E-2</v>
      </c>
      <c r="H700">
        <v>91</v>
      </c>
      <c r="I700" t="str">
        <f>_xlfn.XLOOKUP(Logs[[#This Row],[Cell_ID]],'Registre_Maintenance'!B:B,'Registre_Maintenance'!D:D,"Pas de correspondance")</f>
        <v>Pas de correspondance</v>
      </c>
      <c r="J700" t="str">
        <f>_xlfn.XLOOKUP(Logs[[#This Row],[Cell_ID]],'Registre_Maintenance'!B:B,'Registre_Maintenance'!E:E,"Pas de correspondance")</f>
        <v>Pas de correspondance</v>
      </c>
      <c r="K700" t="str">
        <f>_xlfn.XLOOKUP(Logs[[#This Row],[Cell_ID]],'Registre_Maintenance'!B:B,'Registre_Maintenance'!F:F,"Pas de correspondance")</f>
        <v>Pas de correspondance</v>
      </c>
      <c r="L700" t="str">
        <f>_xlfn.XLOOKUP(Logs[[#This Row],[Cell_ID]],'Registre_Maintenance'!B:B,'Registre_Maintenance'!G:G,"Pas de correspondance")</f>
        <v>Pas de correspondance</v>
      </c>
      <c r="M700" s="1" t="s">
        <v>809</v>
      </c>
      <c r="N700" s="1" t="str">
        <f>_xlfn.XLOOKUP(Logs[[#This Row],[ID_Client]],Clients_Log!B:B,Clients_Log!E:E,"Pas de correspondance")</f>
        <v>Pas de correspondance</v>
      </c>
      <c r="O700" s="4" t="str">
        <f>IFERROR(Logs[[#This Row],[Anciennete_Mois]]/12,"")</f>
        <v/>
      </c>
      <c r="P700" s="1" t="str">
        <f>_xlfn.XLOOKUP(Logs[[#This Row],[ID_Client]],Clients_Log!B:B,Clients_Log!F:F,"Pas de correspondance")</f>
        <v>Pas de correspondance</v>
      </c>
      <c r="Q700" s="1" t="str">
        <f>IF(Logs[[#This Row],[Type_Forfait]]="Pro Monde","B2B","B2C")</f>
        <v>B2C</v>
      </c>
      <c r="R700" s="1" t="str">
        <f>_xlfn.XLOOKUP(Logs[[#This Row],[ID_Client]],Clients_Log!B:B,Clients_Log!G:G,"Pas de correspondance")</f>
        <v>Pas de correspondance</v>
      </c>
      <c r="S700" s="1" t="e">
        <f>Logs[[#This Row],[Duree_Cumulee_Panne_Min]]/1440</f>
        <v>#VALUE!</v>
      </c>
      <c r="T700" s="1" t="str">
        <f>_xlfn.XLOOKUP(Logs[[#This Row],[ID_Client]],Clients_Log!B:B,Clients_Log!H:H,"Pas de correspondance")</f>
        <v>Pas de correspondance</v>
      </c>
      <c r="U700" s="1" t="str">
        <f>_xlfn.XLOOKUP(Logs[[#This Row],[ID_Client]],Clients_Log!B:B,Clients_Log!I:I,"Pas de correspondance")</f>
        <v>Pas de correspondance</v>
      </c>
      <c r="V70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00" s="1" t="e">
        <f>Logs[[#This Row],[Facture_Mensuelle]]*Logs[[#This Row],[Remise (%)]]</f>
        <v>#VALUE!</v>
      </c>
    </row>
    <row r="701" spans="1:23" hidden="1" x14ac:dyDescent="0.25">
      <c r="A701" s="1" t="s">
        <v>1317</v>
      </c>
      <c r="B701" s="2">
        <v>45228</v>
      </c>
      <c r="C701" s="1" t="str">
        <f>_xlfn.XLOOKUP(Logs[[#This Row],[Province_RDC]],Clients_Log!D:D,Clients_Log!B:B,"Pas de correspondance")</f>
        <v>Pas de correspondance</v>
      </c>
      <c r="D701" t="str">
        <f>_xlfn.XLOOKUP(Logs[[#This Row],[Cell_ID]],'Registre_Maintenance'!B:B,'Registre_Maintenance'!C:C,"Pas de correspondance")</f>
        <v>Pas de correspondance</v>
      </c>
      <c r="E701" s="3">
        <v>0.10069444444444445</v>
      </c>
      <c r="F701" s="1" t="s">
        <v>1060</v>
      </c>
      <c r="G701" s="3">
        <f>Logs[[#This Row],[Duree_Panne_Min]]/1440</f>
        <v>1.5972222222222221E-2</v>
      </c>
      <c r="H701">
        <v>23</v>
      </c>
      <c r="I701" t="str">
        <f>_xlfn.XLOOKUP(Logs[[#This Row],[Cell_ID]],'Registre_Maintenance'!B:B,'Registre_Maintenance'!D:D,"Pas de correspondance")</f>
        <v>Pas de correspondance</v>
      </c>
      <c r="J701" t="str">
        <f>_xlfn.XLOOKUP(Logs[[#This Row],[Cell_ID]],'Registre_Maintenance'!B:B,'Registre_Maintenance'!E:E,"Pas de correspondance")</f>
        <v>Pas de correspondance</v>
      </c>
      <c r="K701" t="str">
        <f>_xlfn.XLOOKUP(Logs[[#This Row],[Cell_ID]],'Registre_Maintenance'!B:B,'Registre_Maintenance'!F:F,"Pas de correspondance")</f>
        <v>Pas de correspondance</v>
      </c>
      <c r="L701" t="str">
        <f>_xlfn.XLOOKUP(Logs[[#This Row],[Cell_ID]],'Registre_Maintenance'!B:B,'Registre_Maintenance'!G:G,"Pas de correspondance")</f>
        <v>Pas de correspondance</v>
      </c>
      <c r="M701" s="1" t="s">
        <v>811</v>
      </c>
      <c r="N701" s="1" t="str">
        <f>_xlfn.XLOOKUP(Logs[[#This Row],[ID_Client]],Clients_Log!B:B,Clients_Log!E:E,"Pas de correspondance")</f>
        <v>Pas de correspondance</v>
      </c>
      <c r="O701" s="4" t="str">
        <f>IFERROR(Logs[[#This Row],[Anciennete_Mois]]/12,"")</f>
        <v/>
      </c>
      <c r="P701" s="1" t="str">
        <f>_xlfn.XLOOKUP(Logs[[#This Row],[ID_Client]],Clients_Log!B:B,Clients_Log!F:F,"Pas de correspondance")</f>
        <v>Pas de correspondance</v>
      </c>
      <c r="Q701" s="1" t="str">
        <f>IF(Logs[[#This Row],[Type_Forfait]]="Pro Monde","B2B","B2C")</f>
        <v>B2C</v>
      </c>
      <c r="R701" s="1" t="str">
        <f>_xlfn.XLOOKUP(Logs[[#This Row],[ID_Client]],Clients_Log!B:B,Clients_Log!G:G,"Pas de correspondance")</f>
        <v>Pas de correspondance</v>
      </c>
      <c r="S701" s="1" t="e">
        <f>Logs[[#This Row],[Duree_Cumulee_Panne_Min]]/1440</f>
        <v>#VALUE!</v>
      </c>
      <c r="T701" s="1" t="str">
        <f>_xlfn.XLOOKUP(Logs[[#This Row],[ID_Client]],Clients_Log!B:B,Clients_Log!H:H,"Pas de correspondance")</f>
        <v>Pas de correspondance</v>
      </c>
      <c r="U701" s="1" t="str">
        <f>_xlfn.XLOOKUP(Logs[[#This Row],[ID_Client]],Clients_Log!B:B,Clients_Log!I:I,"Pas de correspondance")</f>
        <v>Pas de correspondance</v>
      </c>
      <c r="V70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01" s="1" t="e">
        <f>Logs[[#This Row],[Facture_Mensuelle]]*Logs[[#This Row],[Remise (%)]]</f>
        <v>#VALUE!</v>
      </c>
    </row>
    <row r="702" spans="1:23" x14ac:dyDescent="0.25">
      <c r="A702" s="1" t="s">
        <v>1317</v>
      </c>
      <c r="B702" s="2">
        <v>45216</v>
      </c>
      <c r="C702" s="1" t="str">
        <f>_xlfn.XLOOKUP(Logs[[#This Row],[Province_RDC]],Clients_Log!D:D,Clients_Log!B:B,"Pas de correspondance")</f>
        <v>CLI-00414</v>
      </c>
      <c r="D702" t="str">
        <f>_xlfn.XLOOKUP(Logs[[#This Row],[Cell_ID]],'Registre_Maintenance'!B:B,'Registre_Maintenance'!C:C,"Pas de correspondance")</f>
        <v>Bas-Uele</v>
      </c>
      <c r="E702" s="3">
        <v>0.97013888888888888</v>
      </c>
      <c r="F702" s="1" t="s">
        <v>1131</v>
      </c>
      <c r="G702" s="3">
        <f>Logs[[#This Row],[Duree_Panne_Min]]/1440</f>
        <v>9.0277777777777769E-3</v>
      </c>
      <c r="H702">
        <v>13</v>
      </c>
      <c r="I702">
        <f>_xlfn.XLOOKUP(Logs[[#This Row],[Cell_ID]],'Registre_Maintenance'!B:B,'Registre_Maintenance'!D:D,"Pas de correspondance")</f>
        <v>-6.4197189999999997</v>
      </c>
      <c r="J702">
        <f>_xlfn.XLOOKUP(Logs[[#This Row],[Cell_ID]],'Registre_Maintenance'!B:B,'Registre_Maintenance'!E:E,"Pas de correspondance")</f>
        <v>22.287264</v>
      </c>
      <c r="K702" t="str">
        <f>_xlfn.XLOOKUP(Logs[[#This Row],[Cell_ID]],'Registre_Maintenance'!B:B,'Registre_Maintenance'!F:F,"Pas de correspondance")</f>
        <v>3G</v>
      </c>
      <c r="L702" t="str">
        <f>_xlfn.XLOOKUP(Logs[[#This Row],[Cell_ID]],'Registre_Maintenance'!B:B,'Registre_Maintenance'!G:G,"Pas de correspondance")</f>
        <v>Ericsson</v>
      </c>
      <c r="M702" s="1" t="s">
        <v>811</v>
      </c>
      <c r="N702" s="1">
        <f>_xlfn.XLOOKUP(Logs[[#This Row],[ID_Client]],Clients_Log!B:B,Clients_Log!E:E,"Pas de correspondance")</f>
        <v>99</v>
      </c>
      <c r="O702" s="4">
        <f>IFERROR(Logs[[#This Row],[Anciennete_Mois]]/12,"")</f>
        <v>8.25</v>
      </c>
      <c r="P702" s="1" t="str">
        <f>_xlfn.XLOOKUP(Logs[[#This Row],[ID_Client]],Clients_Log!B:B,Clients_Log!F:F,"Pas de correspondance")</f>
        <v>Premium 5G 150Go</v>
      </c>
      <c r="Q702" s="1" t="str">
        <f>IF(Logs[[#This Row],[Type_Forfait]]="Pro Monde","B2B","B2C")</f>
        <v>B2C</v>
      </c>
      <c r="R702" s="1">
        <f>_xlfn.XLOOKUP(Logs[[#This Row],[ID_Client]],Clients_Log!B:B,Clients_Log!G:G,"Pas de correspondance")</f>
        <v>447</v>
      </c>
      <c r="S702" s="3">
        <f>Logs[[#This Row],[Duree_Cumulee_Panne_Min]]/1440</f>
        <v>0.31041666666666667</v>
      </c>
      <c r="T702" s="1">
        <f>_xlfn.XLOOKUP(Logs[[#This Row],[ID_Client]],Clients_Log!B:B,Clients_Log!H:H,"Pas de correspondance")</f>
        <v>38.1</v>
      </c>
      <c r="U702" s="1">
        <f>_xlfn.XLOOKUP(Logs[[#This Row],[ID_Client]],Clients_Log!B:B,Clients_Log!I:I,"Pas de correspondance")</f>
        <v>3</v>
      </c>
      <c r="V70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02" s="1">
        <f>Logs[[#This Row],[Facture_Mensuelle]]*Logs[[#This Row],[Remise (%)]]</f>
        <v>17.145</v>
      </c>
    </row>
    <row r="703" spans="1:23" hidden="1" x14ac:dyDescent="0.25">
      <c r="A703" s="1" t="s">
        <v>1317</v>
      </c>
      <c r="B703" s="2">
        <v>45222</v>
      </c>
      <c r="C703" s="1" t="str">
        <f>_xlfn.XLOOKUP(Logs[[#This Row],[Province_RDC]],Clients_Log!D:D,Clients_Log!B:B,"Pas de correspondance")</f>
        <v>Pas de correspondance</v>
      </c>
      <c r="D703" t="str">
        <f>_xlfn.XLOOKUP(Logs[[#This Row],[Cell_ID]],'Registre_Maintenance'!B:B,'Registre_Maintenance'!C:C,"Pas de correspondance")</f>
        <v>Pas de correspondance</v>
      </c>
      <c r="E703" s="3">
        <v>0.47847222222222224</v>
      </c>
      <c r="F703" s="1" t="s">
        <v>833</v>
      </c>
      <c r="G703" s="3">
        <f>Logs[[#This Row],[Duree_Panne_Min]]/1440</f>
        <v>0.05</v>
      </c>
      <c r="H703">
        <v>72</v>
      </c>
      <c r="I703" t="str">
        <f>_xlfn.XLOOKUP(Logs[[#This Row],[Cell_ID]],'Registre_Maintenance'!B:B,'Registre_Maintenance'!D:D,"Pas de correspondance")</f>
        <v>Pas de correspondance</v>
      </c>
      <c r="J703" t="str">
        <f>_xlfn.XLOOKUP(Logs[[#This Row],[Cell_ID]],'Registre_Maintenance'!B:B,'Registre_Maintenance'!E:E,"Pas de correspondance")</f>
        <v>Pas de correspondance</v>
      </c>
      <c r="K703" t="str">
        <f>_xlfn.XLOOKUP(Logs[[#This Row],[Cell_ID]],'Registre_Maintenance'!B:B,'Registre_Maintenance'!F:F,"Pas de correspondance")</f>
        <v>Pas de correspondance</v>
      </c>
      <c r="L703" t="str">
        <f>_xlfn.XLOOKUP(Logs[[#This Row],[Cell_ID]],'Registre_Maintenance'!B:B,'Registre_Maintenance'!G:G,"Pas de correspondance")</f>
        <v>Pas de correspondance</v>
      </c>
      <c r="M703" s="1" t="s">
        <v>809</v>
      </c>
      <c r="N703" s="1" t="str">
        <f>_xlfn.XLOOKUP(Logs[[#This Row],[ID_Client]],Clients_Log!B:B,Clients_Log!E:E,"Pas de correspondance")</f>
        <v>Pas de correspondance</v>
      </c>
      <c r="O703" s="4" t="str">
        <f>IFERROR(Logs[[#This Row],[Anciennete_Mois]]/12,"")</f>
        <v/>
      </c>
      <c r="P703" s="1" t="str">
        <f>_xlfn.XLOOKUP(Logs[[#This Row],[ID_Client]],Clients_Log!B:B,Clients_Log!F:F,"Pas de correspondance")</f>
        <v>Pas de correspondance</v>
      </c>
      <c r="Q703" s="1" t="str">
        <f>IF(Logs[[#This Row],[Type_Forfait]]="Pro Monde","B2B","B2C")</f>
        <v>B2C</v>
      </c>
      <c r="R703" s="1" t="str">
        <f>_xlfn.XLOOKUP(Logs[[#This Row],[ID_Client]],Clients_Log!B:B,Clients_Log!G:G,"Pas de correspondance")</f>
        <v>Pas de correspondance</v>
      </c>
      <c r="S703" s="1" t="e">
        <f>Logs[[#This Row],[Duree_Cumulee_Panne_Min]]/1440</f>
        <v>#VALUE!</v>
      </c>
      <c r="T703" s="1" t="str">
        <f>_xlfn.XLOOKUP(Logs[[#This Row],[ID_Client]],Clients_Log!B:B,Clients_Log!H:H,"Pas de correspondance")</f>
        <v>Pas de correspondance</v>
      </c>
      <c r="U703" s="1" t="str">
        <f>_xlfn.XLOOKUP(Logs[[#This Row],[ID_Client]],Clients_Log!B:B,Clients_Log!I:I,"Pas de correspondance")</f>
        <v>Pas de correspondance</v>
      </c>
      <c r="V70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03" s="1" t="e">
        <f>Logs[[#This Row],[Facture_Mensuelle]]*Logs[[#This Row],[Remise (%)]]</f>
        <v>#VALUE!</v>
      </c>
    </row>
    <row r="704" spans="1:23" x14ac:dyDescent="0.25">
      <c r="A704" s="1" t="s">
        <v>1317</v>
      </c>
      <c r="B704" s="2">
        <v>45230</v>
      </c>
      <c r="C704" s="1" t="str">
        <f>_xlfn.XLOOKUP(Logs[[#This Row],[Province_RDC]],Clients_Log!D:D,Clients_Log!B:B,"Pas de correspondance")</f>
        <v>CLI-00611</v>
      </c>
      <c r="D704" t="str">
        <f>_xlfn.XLOOKUP(Logs[[#This Row],[Cell_ID]],'Registre_Maintenance'!B:B,'Registre_Maintenance'!C:C,"Pas de correspondance")</f>
        <v>Kinshasa</v>
      </c>
      <c r="E704" s="3">
        <v>0.63888888888888884</v>
      </c>
      <c r="F704" s="1" t="s">
        <v>1318</v>
      </c>
      <c r="G704" s="3">
        <f>Logs[[#This Row],[Duree_Panne_Min]]/1440</f>
        <v>5.347222222222222E-2</v>
      </c>
      <c r="H704">
        <v>77</v>
      </c>
      <c r="I704">
        <f>_xlfn.XLOOKUP(Logs[[#This Row],[Cell_ID]],'Registre_Maintenance'!B:B,'Registre_Maintenance'!D:D,"Pas de correspondance")</f>
        <v>-0.57104900000000003</v>
      </c>
      <c r="J704">
        <f>_xlfn.XLOOKUP(Logs[[#This Row],[Cell_ID]],'Registre_Maintenance'!B:B,'Registre_Maintenance'!E:E,"Pas de correspondance")</f>
        <v>15.317663</v>
      </c>
      <c r="K704" t="str">
        <f>_xlfn.XLOOKUP(Logs[[#This Row],[Cell_ID]],'Registre_Maintenance'!B:B,'Registre_Maintenance'!F:F,"Pas de correspondance")</f>
        <v>5G</v>
      </c>
      <c r="L704" t="str">
        <f>_xlfn.XLOOKUP(Logs[[#This Row],[Cell_ID]],'Registre_Maintenance'!B:B,'Registre_Maintenance'!G:G,"Pas de correspondance")</f>
        <v>Nokia</v>
      </c>
      <c r="M704" s="1" t="s">
        <v>809</v>
      </c>
      <c r="N704" s="1">
        <f>_xlfn.XLOOKUP(Logs[[#This Row],[ID_Client]],Clients_Log!B:B,Clients_Log!E:E,"Pas de correspondance")</f>
        <v>79</v>
      </c>
      <c r="O704" s="4">
        <f>IFERROR(Logs[[#This Row],[Anciennete_Mois]]/12,"")</f>
        <v>6.583333333333333</v>
      </c>
      <c r="P704" s="1" t="str">
        <f>_xlfn.XLOOKUP(Logs[[#This Row],[ID_Client]],Clients_Log!B:B,Clients_Log!F:F,"Pas de correspondance")</f>
        <v>Premium 5G 150Go</v>
      </c>
      <c r="Q704" s="1" t="str">
        <f>IF(Logs[[#This Row],[Type_Forfait]]="Pro Monde","B2B","B2C")</f>
        <v>B2C</v>
      </c>
      <c r="R704" s="1">
        <f>_xlfn.XLOOKUP(Logs[[#This Row],[ID_Client]],Clients_Log!B:B,Clients_Log!G:G,"Pas de correspondance")</f>
        <v>226</v>
      </c>
      <c r="S704" s="3">
        <f>Logs[[#This Row],[Duree_Cumulee_Panne_Min]]/1440</f>
        <v>0.15694444444444444</v>
      </c>
      <c r="T704" s="1">
        <f>_xlfn.XLOOKUP(Logs[[#This Row],[ID_Client]],Clients_Log!B:B,Clients_Log!H:H,"Pas de correspondance")</f>
        <v>94.38</v>
      </c>
      <c r="U704" s="1">
        <f>_xlfn.XLOOKUP(Logs[[#This Row],[ID_Client]],Clients_Log!B:B,Clients_Log!I:I,"Pas de correspondance")</f>
        <v>3</v>
      </c>
      <c r="V70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704" s="1">
        <f>Logs[[#This Row],[Facture_Mensuelle]]*Logs[[#This Row],[Remise (%)]]</f>
        <v>0</v>
      </c>
    </row>
    <row r="705" spans="1:23" hidden="1" x14ac:dyDescent="0.25">
      <c r="A705" s="1" t="s">
        <v>1317</v>
      </c>
      <c r="B705" s="2">
        <v>45218</v>
      </c>
      <c r="C705" s="1" t="str">
        <f>_xlfn.XLOOKUP(Logs[[#This Row],[Province_RDC]],Clients_Log!D:D,Clients_Log!B:B,"Pas de correspondance")</f>
        <v>Pas de correspondance</v>
      </c>
      <c r="D705" t="str">
        <f>_xlfn.XLOOKUP(Logs[[#This Row],[Cell_ID]],'Registre_Maintenance'!B:B,'Registre_Maintenance'!C:C,"Pas de correspondance")</f>
        <v>Pas de correspondance</v>
      </c>
      <c r="E705" s="3">
        <v>3.8194444444444448E-2</v>
      </c>
      <c r="F705" s="1" t="s">
        <v>883</v>
      </c>
      <c r="G705" s="3">
        <f>Logs[[#This Row],[Duree_Panne_Min]]/1440</f>
        <v>4.1666666666666666E-3</v>
      </c>
      <c r="H705">
        <v>6</v>
      </c>
      <c r="I705" t="str">
        <f>_xlfn.XLOOKUP(Logs[[#This Row],[Cell_ID]],'Registre_Maintenance'!B:B,'Registre_Maintenance'!D:D,"Pas de correspondance")</f>
        <v>Pas de correspondance</v>
      </c>
      <c r="J705" t="str">
        <f>_xlfn.XLOOKUP(Logs[[#This Row],[Cell_ID]],'Registre_Maintenance'!B:B,'Registre_Maintenance'!E:E,"Pas de correspondance")</f>
        <v>Pas de correspondance</v>
      </c>
      <c r="K705" t="str">
        <f>_xlfn.XLOOKUP(Logs[[#This Row],[Cell_ID]],'Registre_Maintenance'!B:B,'Registre_Maintenance'!F:F,"Pas de correspondance")</f>
        <v>Pas de correspondance</v>
      </c>
      <c r="L705" t="str">
        <f>_xlfn.XLOOKUP(Logs[[#This Row],[Cell_ID]],'Registre_Maintenance'!B:B,'Registre_Maintenance'!G:G,"Pas de correspondance")</f>
        <v>Pas de correspondance</v>
      </c>
      <c r="M705" s="1" t="s">
        <v>806</v>
      </c>
      <c r="N705" s="1" t="str">
        <f>_xlfn.XLOOKUP(Logs[[#This Row],[ID_Client]],Clients_Log!B:B,Clients_Log!E:E,"Pas de correspondance")</f>
        <v>Pas de correspondance</v>
      </c>
      <c r="O705" s="4" t="str">
        <f>IFERROR(Logs[[#This Row],[Anciennete_Mois]]/12,"")</f>
        <v/>
      </c>
      <c r="P705" s="1" t="str">
        <f>_xlfn.XLOOKUP(Logs[[#This Row],[ID_Client]],Clients_Log!B:B,Clients_Log!F:F,"Pas de correspondance")</f>
        <v>Pas de correspondance</v>
      </c>
      <c r="Q705" s="1" t="str">
        <f>IF(Logs[[#This Row],[Type_Forfait]]="Pro Monde","B2B","B2C")</f>
        <v>B2C</v>
      </c>
      <c r="R705" s="1" t="str">
        <f>_xlfn.XLOOKUP(Logs[[#This Row],[ID_Client]],Clients_Log!B:B,Clients_Log!G:G,"Pas de correspondance")</f>
        <v>Pas de correspondance</v>
      </c>
      <c r="S705" s="1" t="e">
        <f>Logs[[#This Row],[Duree_Cumulee_Panne_Min]]/1440</f>
        <v>#VALUE!</v>
      </c>
      <c r="T705" s="1" t="str">
        <f>_xlfn.XLOOKUP(Logs[[#This Row],[ID_Client]],Clients_Log!B:B,Clients_Log!H:H,"Pas de correspondance")</f>
        <v>Pas de correspondance</v>
      </c>
      <c r="U705" s="1" t="str">
        <f>_xlfn.XLOOKUP(Logs[[#This Row],[ID_Client]],Clients_Log!B:B,Clients_Log!I:I,"Pas de correspondance")</f>
        <v>Pas de correspondance</v>
      </c>
      <c r="V70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05" s="1" t="e">
        <f>Logs[[#This Row],[Facture_Mensuelle]]*Logs[[#This Row],[Remise (%)]]</f>
        <v>#VALUE!</v>
      </c>
    </row>
    <row r="706" spans="1:23" hidden="1" x14ac:dyDescent="0.25">
      <c r="A706" s="1" t="s">
        <v>1317</v>
      </c>
      <c r="B706" s="2">
        <v>45224</v>
      </c>
      <c r="C706" s="1" t="str">
        <f>_xlfn.XLOOKUP(Logs[[#This Row],[Province_RDC]],Clients_Log!D:D,Clients_Log!B:B,"Pas de correspondance")</f>
        <v>Pas de correspondance</v>
      </c>
      <c r="D706" t="str">
        <f>_xlfn.XLOOKUP(Logs[[#This Row],[Cell_ID]],'Registre_Maintenance'!B:B,'Registre_Maintenance'!C:C,"Pas de correspondance")</f>
        <v>Pas de correspondance</v>
      </c>
      <c r="E706" s="3">
        <v>0.96180555555555558</v>
      </c>
      <c r="F706" s="1" t="s">
        <v>1281</v>
      </c>
      <c r="G706" s="3">
        <f>Logs[[#This Row],[Duree_Panne_Min]]/1440</f>
        <v>5.7638888888888892E-2</v>
      </c>
      <c r="H706">
        <v>83</v>
      </c>
      <c r="I706" t="str">
        <f>_xlfn.XLOOKUP(Logs[[#This Row],[Cell_ID]],'Registre_Maintenance'!B:B,'Registre_Maintenance'!D:D,"Pas de correspondance")</f>
        <v>Pas de correspondance</v>
      </c>
      <c r="J706" t="str">
        <f>_xlfn.XLOOKUP(Logs[[#This Row],[Cell_ID]],'Registre_Maintenance'!B:B,'Registre_Maintenance'!E:E,"Pas de correspondance")</f>
        <v>Pas de correspondance</v>
      </c>
      <c r="K706" t="str">
        <f>_xlfn.XLOOKUP(Logs[[#This Row],[Cell_ID]],'Registre_Maintenance'!B:B,'Registre_Maintenance'!F:F,"Pas de correspondance")</f>
        <v>Pas de correspondance</v>
      </c>
      <c r="L706" t="str">
        <f>_xlfn.XLOOKUP(Logs[[#This Row],[Cell_ID]],'Registre_Maintenance'!B:B,'Registre_Maintenance'!G:G,"Pas de correspondance")</f>
        <v>Pas de correspondance</v>
      </c>
      <c r="M706" s="1" t="s">
        <v>811</v>
      </c>
      <c r="N706" s="1" t="str">
        <f>_xlfn.XLOOKUP(Logs[[#This Row],[ID_Client]],Clients_Log!B:B,Clients_Log!E:E,"Pas de correspondance")</f>
        <v>Pas de correspondance</v>
      </c>
      <c r="O706" s="4" t="str">
        <f>IFERROR(Logs[[#This Row],[Anciennete_Mois]]/12,"")</f>
        <v/>
      </c>
      <c r="P706" s="1" t="str">
        <f>_xlfn.XLOOKUP(Logs[[#This Row],[ID_Client]],Clients_Log!B:B,Clients_Log!F:F,"Pas de correspondance")</f>
        <v>Pas de correspondance</v>
      </c>
      <c r="Q706" s="1" t="str">
        <f>IF(Logs[[#This Row],[Type_Forfait]]="Pro Monde","B2B","B2C")</f>
        <v>B2C</v>
      </c>
      <c r="R706" s="1" t="str">
        <f>_xlfn.XLOOKUP(Logs[[#This Row],[ID_Client]],Clients_Log!B:B,Clients_Log!G:G,"Pas de correspondance")</f>
        <v>Pas de correspondance</v>
      </c>
      <c r="S706" s="1" t="e">
        <f>Logs[[#This Row],[Duree_Cumulee_Panne_Min]]/1440</f>
        <v>#VALUE!</v>
      </c>
      <c r="T706" s="1" t="str">
        <f>_xlfn.XLOOKUP(Logs[[#This Row],[ID_Client]],Clients_Log!B:B,Clients_Log!H:H,"Pas de correspondance")</f>
        <v>Pas de correspondance</v>
      </c>
      <c r="U706" s="1" t="str">
        <f>_xlfn.XLOOKUP(Logs[[#This Row],[ID_Client]],Clients_Log!B:B,Clients_Log!I:I,"Pas de correspondance")</f>
        <v>Pas de correspondance</v>
      </c>
      <c r="V70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06" s="1" t="e">
        <f>Logs[[#This Row],[Facture_Mensuelle]]*Logs[[#This Row],[Remise (%)]]</f>
        <v>#VALUE!</v>
      </c>
    </row>
    <row r="707" spans="1:23" x14ac:dyDescent="0.25">
      <c r="A707" s="1" t="s">
        <v>1317</v>
      </c>
      <c r="B707" s="2">
        <v>45223</v>
      </c>
      <c r="C707" s="1" t="str">
        <f>_xlfn.XLOOKUP(Logs[[#This Row],[Province_RDC]],Clients_Log!D:D,Clients_Log!B:B,"Pas de correspondance")</f>
        <v>CLI-01005</v>
      </c>
      <c r="D707" t="str">
        <f>_xlfn.XLOOKUP(Logs[[#This Row],[Cell_ID]],'Registre_Maintenance'!B:B,'Registre_Maintenance'!C:C,"Pas de correspondance")</f>
        <v>Lualaba</v>
      </c>
      <c r="E707" s="3">
        <v>0.61111111111111116</v>
      </c>
      <c r="F707" s="1" t="s">
        <v>1268</v>
      </c>
      <c r="G707" s="3">
        <f>Logs[[#This Row],[Duree_Panne_Min]]/1440</f>
        <v>6.1111111111111109E-2</v>
      </c>
      <c r="H707">
        <v>88</v>
      </c>
      <c r="I707">
        <f>_xlfn.XLOOKUP(Logs[[#This Row],[Cell_ID]],'Registre_Maintenance'!B:B,'Registre_Maintenance'!D:D,"Pas de correspondance")</f>
        <v>-8.0301989999999996</v>
      </c>
      <c r="J707">
        <f>_xlfn.XLOOKUP(Logs[[#This Row],[Cell_ID]],'Registre_Maintenance'!B:B,'Registre_Maintenance'!E:E,"Pas de correspondance")</f>
        <v>24.122495000000001</v>
      </c>
      <c r="K707" t="str">
        <f>_xlfn.XLOOKUP(Logs[[#This Row],[Cell_ID]],'Registre_Maintenance'!B:B,'Registre_Maintenance'!F:F,"Pas de correspondance")</f>
        <v>5G</v>
      </c>
      <c r="L707" t="str">
        <f>_xlfn.XLOOKUP(Logs[[#This Row],[Cell_ID]],'Registre_Maintenance'!B:B,'Registre_Maintenance'!G:G,"Pas de correspondance")</f>
        <v>ZTE</v>
      </c>
      <c r="M707" s="1" t="s">
        <v>806</v>
      </c>
      <c r="N707" s="1">
        <f>_xlfn.XLOOKUP(Logs[[#This Row],[ID_Client]],Clients_Log!B:B,Clients_Log!E:E,"Pas de correspondance")</f>
        <v>80</v>
      </c>
      <c r="O707" s="4">
        <f>IFERROR(Logs[[#This Row],[Anciennete_Mois]]/12,"")</f>
        <v>6.666666666666667</v>
      </c>
      <c r="P707" s="1" t="str">
        <f>_xlfn.XLOOKUP(Logs[[#This Row],[ID_Client]],Clients_Log!B:B,Clients_Log!F:F,"Pas de correspondance")</f>
        <v>Illimité 50Go</v>
      </c>
      <c r="Q707" s="1" t="str">
        <f>IF(Logs[[#This Row],[Type_Forfait]]="Pro Monde","B2B","B2C")</f>
        <v>B2C</v>
      </c>
      <c r="R707" s="1">
        <f>_xlfn.XLOOKUP(Logs[[#This Row],[ID_Client]],Clients_Log!B:B,Clients_Log!G:G,"Pas de correspondance")</f>
        <v>155</v>
      </c>
      <c r="S707" s="3">
        <f>Logs[[#This Row],[Duree_Cumulee_Panne_Min]]/1440</f>
        <v>0.1076388888888889</v>
      </c>
      <c r="T707" s="1">
        <f>_xlfn.XLOOKUP(Logs[[#This Row],[ID_Client]],Clients_Log!B:B,Clients_Log!H:H,"Pas de correspondance")</f>
        <v>28.96</v>
      </c>
      <c r="U707" s="1">
        <f>_xlfn.XLOOKUP(Logs[[#This Row],[ID_Client]],Clients_Log!B:B,Clients_Log!I:I,"Pas de correspondance")</f>
        <v>2</v>
      </c>
      <c r="V70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707" s="1">
        <f>Logs[[#This Row],[Facture_Mensuelle]]*Logs[[#This Row],[Remise (%)]]</f>
        <v>0</v>
      </c>
    </row>
    <row r="708" spans="1:23" hidden="1" x14ac:dyDescent="0.25">
      <c r="A708" s="1" t="s">
        <v>1317</v>
      </c>
      <c r="B708" s="2">
        <v>45221</v>
      </c>
      <c r="C708" s="1" t="str">
        <f>_xlfn.XLOOKUP(Logs[[#This Row],[Province_RDC]],Clients_Log!D:D,Clients_Log!B:B,"Pas de correspondance")</f>
        <v>Pas de correspondance</v>
      </c>
      <c r="D708" t="str">
        <f>_xlfn.XLOOKUP(Logs[[#This Row],[Cell_ID]],'Registre_Maintenance'!B:B,'Registre_Maintenance'!C:C,"Pas de correspondance")</f>
        <v>Pas de correspondance</v>
      </c>
      <c r="E708" s="3">
        <v>0.93194444444444446</v>
      </c>
      <c r="F708" s="1" t="s">
        <v>1319</v>
      </c>
      <c r="G708" s="3">
        <f>Logs[[#This Row],[Duree_Panne_Min]]/1440</f>
        <v>1.8055555555555554E-2</v>
      </c>
      <c r="H708">
        <v>26</v>
      </c>
      <c r="I708" t="str">
        <f>_xlfn.XLOOKUP(Logs[[#This Row],[Cell_ID]],'Registre_Maintenance'!B:B,'Registre_Maintenance'!D:D,"Pas de correspondance")</f>
        <v>Pas de correspondance</v>
      </c>
      <c r="J708" t="str">
        <f>_xlfn.XLOOKUP(Logs[[#This Row],[Cell_ID]],'Registre_Maintenance'!B:B,'Registre_Maintenance'!E:E,"Pas de correspondance")</f>
        <v>Pas de correspondance</v>
      </c>
      <c r="K708" t="str">
        <f>_xlfn.XLOOKUP(Logs[[#This Row],[Cell_ID]],'Registre_Maintenance'!B:B,'Registre_Maintenance'!F:F,"Pas de correspondance")</f>
        <v>Pas de correspondance</v>
      </c>
      <c r="L708" t="str">
        <f>_xlfn.XLOOKUP(Logs[[#This Row],[Cell_ID]],'Registre_Maintenance'!B:B,'Registre_Maintenance'!G:G,"Pas de correspondance")</f>
        <v>Pas de correspondance</v>
      </c>
      <c r="M708" s="1" t="s">
        <v>806</v>
      </c>
      <c r="N708" s="1" t="str">
        <f>_xlfn.XLOOKUP(Logs[[#This Row],[ID_Client]],Clients_Log!B:B,Clients_Log!E:E,"Pas de correspondance")</f>
        <v>Pas de correspondance</v>
      </c>
      <c r="O708" s="4" t="str">
        <f>IFERROR(Logs[[#This Row],[Anciennete_Mois]]/12,"")</f>
        <v/>
      </c>
      <c r="P708" s="1" t="str">
        <f>_xlfn.XLOOKUP(Logs[[#This Row],[ID_Client]],Clients_Log!B:B,Clients_Log!F:F,"Pas de correspondance")</f>
        <v>Pas de correspondance</v>
      </c>
      <c r="Q708" s="1" t="str">
        <f>IF(Logs[[#This Row],[Type_Forfait]]="Pro Monde","B2B","B2C")</f>
        <v>B2C</v>
      </c>
      <c r="R708" s="1" t="str">
        <f>_xlfn.XLOOKUP(Logs[[#This Row],[ID_Client]],Clients_Log!B:B,Clients_Log!G:G,"Pas de correspondance")</f>
        <v>Pas de correspondance</v>
      </c>
      <c r="S708" s="1" t="e">
        <f>Logs[[#This Row],[Duree_Cumulee_Panne_Min]]/1440</f>
        <v>#VALUE!</v>
      </c>
      <c r="T708" s="1" t="str">
        <f>_xlfn.XLOOKUP(Logs[[#This Row],[ID_Client]],Clients_Log!B:B,Clients_Log!H:H,"Pas de correspondance")</f>
        <v>Pas de correspondance</v>
      </c>
      <c r="U708" s="1" t="str">
        <f>_xlfn.XLOOKUP(Logs[[#This Row],[ID_Client]],Clients_Log!B:B,Clients_Log!I:I,"Pas de correspondance")</f>
        <v>Pas de correspondance</v>
      </c>
      <c r="V70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08" s="1" t="e">
        <f>Logs[[#This Row],[Facture_Mensuelle]]*Logs[[#This Row],[Remise (%)]]</f>
        <v>#VALUE!</v>
      </c>
    </row>
    <row r="709" spans="1:23" hidden="1" x14ac:dyDescent="0.25">
      <c r="A709" s="1" t="s">
        <v>1317</v>
      </c>
      <c r="B709" s="2">
        <v>45227</v>
      </c>
      <c r="C709" s="1" t="str">
        <f>_xlfn.XLOOKUP(Logs[[#This Row],[Province_RDC]],Clients_Log!D:D,Clients_Log!B:B,"Pas de correspondance")</f>
        <v>Pas de correspondance</v>
      </c>
      <c r="D709" t="str">
        <f>_xlfn.XLOOKUP(Logs[[#This Row],[Cell_ID]],'Registre_Maintenance'!B:B,'Registre_Maintenance'!C:C,"Pas de correspondance")</f>
        <v>Pas de correspondance</v>
      </c>
      <c r="E709" s="3">
        <v>0.11805555555555555</v>
      </c>
      <c r="F709" s="1" t="s">
        <v>1320</v>
      </c>
      <c r="G709" s="3">
        <f>Logs[[#This Row],[Duree_Panne_Min]]/1440</f>
        <v>4.2361111111111113E-2</v>
      </c>
      <c r="H709">
        <v>61</v>
      </c>
      <c r="I709" t="str">
        <f>_xlfn.XLOOKUP(Logs[[#This Row],[Cell_ID]],'Registre_Maintenance'!B:B,'Registre_Maintenance'!D:D,"Pas de correspondance")</f>
        <v>Pas de correspondance</v>
      </c>
      <c r="J709" t="str">
        <f>_xlfn.XLOOKUP(Logs[[#This Row],[Cell_ID]],'Registre_Maintenance'!B:B,'Registre_Maintenance'!E:E,"Pas de correspondance")</f>
        <v>Pas de correspondance</v>
      </c>
      <c r="K709" t="str">
        <f>_xlfn.XLOOKUP(Logs[[#This Row],[Cell_ID]],'Registre_Maintenance'!B:B,'Registre_Maintenance'!F:F,"Pas de correspondance")</f>
        <v>Pas de correspondance</v>
      </c>
      <c r="L709" t="str">
        <f>_xlfn.XLOOKUP(Logs[[#This Row],[Cell_ID]],'Registre_Maintenance'!B:B,'Registre_Maintenance'!G:G,"Pas de correspondance")</f>
        <v>Pas de correspondance</v>
      </c>
      <c r="M709" s="1" t="s">
        <v>809</v>
      </c>
      <c r="N709" s="1" t="str">
        <f>_xlfn.XLOOKUP(Logs[[#This Row],[ID_Client]],Clients_Log!B:B,Clients_Log!E:E,"Pas de correspondance")</f>
        <v>Pas de correspondance</v>
      </c>
      <c r="O709" s="4" t="str">
        <f>IFERROR(Logs[[#This Row],[Anciennete_Mois]]/12,"")</f>
        <v/>
      </c>
      <c r="P709" s="1" t="str">
        <f>_xlfn.XLOOKUP(Logs[[#This Row],[ID_Client]],Clients_Log!B:B,Clients_Log!F:F,"Pas de correspondance")</f>
        <v>Pas de correspondance</v>
      </c>
      <c r="Q709" s="1" t="str">
        <f>IF(Logs[[#This Row],[Type_Forfait]]="Pro Monde","B2B","B2C")</f>
        <v>B2C</v>
      </c>
      <c r="R709" s="1" t="str">
        <f>_xlfn.XLOOKUP(Logs[[#This Row],[ID_Client]],Clients_Log!B:B,Clients_Log!G:G,"Pas de correspondance")</f>
        <v>Pas de correspondance</v>
      </c>
      <c r="S709" s="1" t="e">
        <f>Logs[[#This Row],[Duree_Cumulee_Panne_Min]]/1440</f>
        <v>#VALUE!</v>
      </c>
      <c r="T709" s="1" t="str">
        <f>_xlfn.XLOOKUP(Logs[[#This Row],[ID_Client]],Clients_Log!B:B,Clients_Log!H:H,"Pas de correspondance")</f>
        <v>Pas de correspondance</v>
      </c>
      <c r="U709" s="1" t="str">
        <f>_xlfn.XLOOKUP(Logs[[#This Row],[ID_Client]],Clients_Log!B:B,Clients_Log!I:I,"Pas de correspondance")</f>
        <v>Pas de correspondance</v>
      </c>
      <c r="V70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09" s="1" t="e">
        <f>Logs[[#This Row],[Facture_Mensuelle]]*Logs[[#This Row],[Remise (%)]]</f>
        <v>#VALUE!</v>
      </c>
    </row>
    <row r="710" spans="1:23" hidden="1" x14ac:dyDescent="0.25">
      <c r="A710" s="1" t="s">
        <v>1317</v>
      </c>
      <c r="B710" s="2">
        <v>45217</v>
      </c>
      <c r="C710" s="1" t="str">
        <f>_xlfn.XLOOKUP(Logs[[#This Row],[Province_RDC]],Clients_Log!D:D,Clients_Log!B:B,"Pas de correspondance")</f>
        <v>Pas de correspondance</v>
      </c>
      <c r="D710" t="str">
        <f>_xlfn.XLOOKUP(Logs[[#This Row],[Cell_ID]],'Registre_Maintenance'!B:B,'Registre_Maintenance'!C:C,"Pas de correspondance")</f>
        <v>Pas de correspondance</v>
      </c>
      <c r="E710" s="3">
        <v>0.50902777777777775</v>
      </c>
      <c r="F710" s="1" t="s">
        <v>812</v>
      </c>
      <c r="G710" s="3">
        <f>Logs[[#This Row],[Duree_Panne_Min]]/1440</f>
        <v>3.4027777777777775E-2</v>
      </c>
      <c r="H710">
        <v>49</v>
      </c>
      <c r="I710" t="str">
        <f>_xlfn.XLOOKUP(Logs[[#This Row],[Cell_ID]],'Registre_Maintenance'!B:B,'Registre_Maintenance'!D:D,"Pas de correspondance")</f>
        <v>Pas de correspondance</v>
      </c>
      <c r="J710" t="str">
        <f>_xlfn.XLOOKUP(Logs[[#This Row],[Cell_ID]],'Registre_Maintenance'!B:B,'Registre_Maintenance'!E:E,"Pas de correspondance")</f>
        <v>Pas de correspondance</v>
      </c>
      <c r="K710" t="str">
        <f>_xlfn.XLOOKUP(Logs[[#This Row],[Cell_ID]],'Registre_Maintenance'!B:B,'Registre_Maintenance'!F:F,"Pas de correspondance")</f>
        <v>Pas de correspondance</v>
      </c>
      <c r="L710" t="str">
        <f>_xlfn.XLOOKUP(Logs[[#This Row],[Cell_ID]],'Registre_Maintenance'!B:B,'Registre_Maintenance'!G:G,"Pas de correspondance")</f>
        <v>Pas de correspondance</v>
      </c>
      <c r="M710" s="1" t="s">
        <v>806</v>
      </c>
      <c r="N710" s="1" t="str">
        <f>_xlfn.XLOOKUP(Logs[[#This Row],[ID_Client]],Clients_Log!B:B,Clients_Log!E:E,"Pas de correspondance")</f>
        <v>Pas de correspondance</v>
      </c>
      <c r="O710" s="4" t="str">
        <f>IFERROR(Logs[[#This Row],[Anciennete_Mois]]/12,"")</f>
        <v/>
      </c>
      <c r="P710" s="1" t="str">
        <f>_xlfn.XLOOKUP(Logs[[#This Row],[ID_Client]],Clients_Log!B:B,Clients_Log!F:F,"Pas de correspondance")</f>
        <v>Pas de correspondance</v>
      </c>
      <c r="Q710" s="1" t="str">
        <f>IF(Logs[[#This Row],[Type_Forfait]]="Pro Monde","B2B","B2C")</f>
        <v>B2C</v>
      </c>
      <c r="R710" s="1" t="str">
        <f>_xlfn.XLOOKUP(Logs[[#This Row],[ID_Client]],Clients_Log!B:B,Clients_Log!G:G,"Pas de correspondance")</f>
        <v>Pas de correspondance</v>
      </c>
      <c r="S710" s="1" t="e">
        <f>Logs[[#This Row],[Duree_Cumulee_Panne_Min]]/1440</f>
        <v>#VALUE!</v>
      </c>
      <c r="T710" s="1" t="str">
        <f>_xlfn.XLOOKUP(Logs[[#This Row],[ID_Client]],Clients_Log!B:B,Clients_Log!H:H,"Pas de correspondance")</f>
        <v>Pas de correspondance</v>
      </c>
      <c r="U710" s="1" t="str">
        <f>_xlfn.XLOOKUP(Logs[[#This Row],[ID_Client]],Clients_Log!B:B,Clients_Log!I:I,"Pas de correspondance")</f>
        <v>Pas de correspondance</v>
      </c>
      <c r="V71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10" s="1" t="e">
        <f>Logs[[#This Row],[Facture_Mensuelle]]*Logs[[#This Row],[Remise (%)]]</f>
        <v>#VALUE!</v>
      </c>
    </row>
    <row r="711" spans="1:23" hidden="1" x14ac:dyDescent="0.25">
      <c r="A711" s="1" t="s">
        <v>1317</v>
      </c>
      <c r="B711" s="2">
        <v>45230</v>
      </c>
      <c r="C711" s="1" t="str">
        <f>_xlfn.XLOOKUP(Logs[[#This Row],[Province_RDC]],Clients_Log!D:D,Clients_Log!B:B,"Pas de correspondance")</f>
        <v>Pas de correspondance</v>
      </c>
      <c r="D711" t="str">
        <f>_xlfn.XLOOKUP(Logs[[#This Row],[Cell_ID]],'Registre_Maintenance'!B:B,'Registre_Maintenance'!C:C,"Pas de correspondance")</f>
        <v>Pas de correspondance</v>
      </c>
      <c r="E711" s="3">
        <v>0.57777777777777772</v>
      </c>
      <c r="F711" s="1" t="s">
        <v>1321</v>
      </c>
      <c r="G711" s="3">
        <f>Logs[[#This Row],[Duree_Panne_Min]]/1440</f>
        <v>6.7361111111111108E-2</v>
      </c>
      <c r="H711">
        <v>97</v>
      </c>
      <c r="I711" t="str">
        <f>_xlfn.XLOOKUP(Logs[[#This Row],[Cell_ID]],'Registre_Maintenance'!B:B,'Registre_Maintenance'!D:D,"Pas de correspondance")</f>
        <v>Pas de correspondance</v>
      </c>
      <c r="J711" t="str">
        <f>_xlfn.XLOOKUP(Logs[[#This Row],[Cell_ID]],'Registre_Maintenance'!B:B,'Registre_Maintenance'!E:E,"Pas de correspondance")</f>
        <v>Pas de correspondance</v>
      </c>
      <c r="K711" t="str">
        <f>_xlfn.XLOOKUP(Logs[[#This Row],[Cell_ID]],'Registre_Maintenance'!B:B,'Registre_Maintenance'!F:F,"Pas de correspondance")</f>
        <v>Pas de correspondance</v>
      </c>
      <c r="L711" t="str">
        <f>_xlfn.XLOOKUP(Logs[[#This Row],[Cell_ID]],'Registre_Maintenance'!B:B,'Registre_Maintenance'!G:G,"Pas de correspondance")</f>
        <v>Pas de correspondance</v>
      </c>
      <c r="M711" s="1" t="s">
        <v>806</v>
      </c>
      <c r="N711" s="1" t="str">
        <f>_xlfn.XLOOKUP(Logs[[#This Row],[ID_Client]],Clients_Log!B:B,Clients_Log!E:E,"Pas de correspondance")</f>
        <v>Pas de correspondance</v>
      </c>
      <c r="O711" s="4" t="str">
        <f>IFERROR(Logs[[#This Row],[Anciennete_Mois]]/12,"")</f>
        <v/>
      </c>
      <c r="P711" s="1" t="str">
        <f>_xlfn.XLOOKUP(Logs[[#This Row],[ID_Client]],Clients_Log!B:B,Clients_Log!F:F,"Pas de correspondance")</f>
        <v>Pas de correspondance</v>
      </c>
      <c r="Q711" s="1" t="str">
        <f>IF(Logs[[#This Row],[Type_Forfait]]="Pro Monde","B2B","B2C")</f>
        <v>B2C</v>
      </c>
      <c r="R711" s="1" t="str">
        <f>_xlfn.XLOOKUP(Logs[[#This Row],[ID_Client]],Clients_Log!B:B,Clients_Log!G:G,"Pas de correspondance")</f>
        <v>Pas de correspondance</v>
      </c>
      <c r="S711" s="1" t="e">
        <f>Logs[[#This Row],[Duree_Cumulee_Panne_Min]]/1440</f>
        <v>#VALUE!</v>
      </c>
      <c r="T711" s="1" t="str">
        <f>_xlfn.XLOOKUP(Logs[[#This Row],[ID_Client]],Clients_Log!B:B,Clients_Log!H:H,"Pas de correspondance")</f>
        <v>Pas de correspondance</v>
      </c>
      <c r="U711" s="1" t="str">
        <f>_xlfn.XLOOKUP(Logs[[#This Row],[ID_Client]],Clients_Log!B:B,Clients_Log!I:I,"Pas de correspondance")</f>
        <v>Pas de correspondance</v>
      </c>
      <c r="V71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11" s="1" t="e">
        <f>Logs[[#This Row],[Facture_Mensuelle]]*Logs[[#This Row],[Remise (%)]]</f>
        <v>#VALUE!</v>
      </c>
    </row>
    <row r="712" spans="1:23" x14ac:dyDescent="0.25">
      <c r="A712" s="1" t="s">
        <v>1317</v>
      </c>
      <c r="B712" s="2">
        <v>45206</v>
      </c>
      <c r="C712" s="1" t="str">
        <f>_xlfn.XLOOKUP(Logs[[#This Row],[Province_RDC]],Clients_Log!D:D,Clients_Log!B:B,"Pas de correspondance")</f>
        <v>CLI-01855</v>
      </c>
      <c r="D712" t="str">
        <f>_xlfn.XLOOKUP(Logs[[#This Row],[Cell_ID]],'Registre_Maintenance'!B:B,'Registre_Maintenance'!C:C,"Pas de correspondance")</f>
        <v>Sud-Kivu</v>
      </c>
      <c r="E712" s="3">
        <v>0.63680555555555551</v>
      </c>
      <c r="F712" s="1" t="s">
        <v>1322</v>
      </c>
      <c r="G712" s="3">
        <f>Logs[[#This Row],[Duree_Panne_Min]]/1440</f>
        <v>2.2222222222222223E-2</v>
      </c>
      <c r="H712">
        <v>32</v>
      </c>
      <c r="I712">
        <f>_xlfn.XLOOKUP(Logs[[#This Row],[Cell_ID]],'Registre_Maintenance'!B:B,'Registre_Maintenance'!D:D,"Pas de correspondance")</f>
        <v>-11.514817000000001</v>
      </c>
      <c r="J712">
        <f>_xlfn.XLOOKUP(Logs[[#This Row],[Cell_ID]],'Registre_Maintenance'!B:B,'Registre_Maintenance'!E:E,"Pas de correspondance")</f>
        <v>24.891375</v>
      </c>
      <c r="K712" t="str">
        <f>_xlfn.XLOOKUP(Logs[[#This Row],[Cell_ID]],'Registre_Maintenance'!B:B,'Registre_Maintenance'!F:F,"Pas de correspondance")</f>
        <v>3G</v>
      </c>
      <c r="L712" t="str">
        <f>_xlfn.XLOOKUP(Logs[[#This Row],[Cell_ID]],'Registre_Maintenance'!B:B,'Registre_Maintenance'!G:G,"Pas de correspondance")</f>
        <v>Nokia</v>
      </c>
      <c r="M712" s="1" t="s">
        <v>811</v>
      </c>
      <c r="N712" s="1">
        <f>_xlfn.XLOOKUP(Logs[[#This Row],[ID_Client]],Clients_Log!B:B,Clients_Log!E:E,"Pas de correspondance")</f>
        <v>101</v>
      </c>
      <c r="O712" s="4">
        <f>IFERROR(Logs[[#This Row],[Anciennete_Mois]]/12,"")</f>
        <v>8.4166666666666661</v>
      </c>
      <c r="P712" s="1" t="str">
        <f>_xlfn.XLOOKUP(Logs[[#This Row],[ID_Client]],Clients_Log!B:B,Clients_Log!F:F,"Pas de correspondance")</f>
        <v>Illimité 50Go</v>
      </c>
      <c r="Q712" s="1" t="str">
        <f>IF(Logs[[#This Row],[Type_Forfait]]="Pro Monde","B2B","B2C")</f>
        <v>B2C</v>
      </c>
      <c r="R712" s="1">
        <f>_xlfn.XLOOKUP(Logs[[#This Row],[ID_Client]],Clients_Log!B:B,Clients_Log!G:G,"Pas de correspondance")</f>
        <v>358</v>
      </c>
      <c r="S712" s="3">
        <f>Logs[[#This Row],[Duree_Cumulee_Panne_Min]]/1440</f>
        <v>0.24861111111111112</v>
      </c>
      <c r="T712" s="1">
        <f>_xlfn.XLOOKUP(Logs[[#This Row],[ID_Client]],Clients_Log!B:B,Clients_Log!H:H,"Pas de correspondance")</f>
        <v>29.24</v>
      </c>
      <c r="U712" s="1">
        <f>_xlfn.XLOOKUP(Logs[[#This Row],[ID_Client]],Clients_Log!B:B,Clients_Log!I:I,"Pas de correspondance")</f>
        <v>3</v>
      </c>
      <c r="V71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12" s="1">
        <f>Logs[[#This Row],[Facture_Mensuelle]]*Logs[[#This Row],[Remise (%)]]</f>
        <v>13.157999999999999</v>
      </c>
    </row>
    <row r="713" spans="1:23" x14ac:dyDescent="0.25">
      <c r="A713" s="1" t="s">
        <v>1317</v>
      </c>
      <c r="B713" s="2">
        <v>45210</v>
      </c>
      <c r="C713" s="1" t="str">
        <f>_xlfn.XLOOKUP(Logs[[#This Row],[Province_RDC]],Clients_Log!D:D,Clients_Log!B:B,"Pas de correspondance")</f>
        <v>CLI-00185</v>
      </c>
      <c r="D713" t="str">
        <f>_xlfn.XLOOKUP(Logs[[#This Row],[Cell_ID]],'Registre_Maintenance'!B:B,'Registre_Maintenance'!C:C,"Pas de correspondance")</f>
        <v>Maniema</v>
      </c>
      <c r="E713" s="3">
        <v>0.38958333333333334</v>
      </c>
      <c r="F713" s="1" t="s">
        <v>993</v>
      </c>
      <c r="G713" s="3">
        <f>Logs[[#This Row],[Duree_Panne_Min]]/1440</f>
        <v>5.9027777777777776E-2</v>
      </c>
      <c r="H713">
        <v>85</v>
      </c>
      <c r="I713">
        <f>_xlfn.XLOOKUP(Logs[[#This Row],[Cell_ID]],'Registre_Maintenance'!B:B,'Registre_Maintenance'!D:D,"Pas de correspondance")</f>
        <v>-4.2645619999999997</v>
      </c>
      <c r="J713">
        <f>_xlfn.XLOOKUP(Logs[[#This Row],[Cell_ID]],'Registre_Maintenance'!B:B,'Registre_Maintenance'!E:E,"Pas de correspondance")</f>
        <v>18.960726000000001</v>
      </c>
      <c r="K713" t="str">
        <f>_xlfn.XLOOKUP(Logs[[#This Row],[Cell_ID]],'Registre_Maintenance'!B:B,'Registre_Maintenance'!F:F,"Pas de correspondance")</f>
        <v>4G</v>
      </c>
      <c r="L713" t="str">
        <f>_xlfn.XLOOKUP(Logs[[#This Row],[Cell_ID]],'Registre_Maintenance'!B:B,'Registre_Maintenance'!G:G,"Pas de correspondance")</f>
        <v>Huawei</v>
      </c>
      <c r="M713" s="1" t="s">
        <v>806</v>
      </c>
      <c r="N713" s="1">
        <f>_xlfn.XLOOKUP(Logs[[#This Row],[ID_Client]],Clients_Log!B:B,Clients_Log!E:E,"Pas de correspondance")</f>
        <v>81</v>
      </c>
      <c r="O713" s="4">
        <f>IFERROR(Logs[[#This Row],[Anciennete_Mois]]/12,"")</f>
        <v>6.75</v>
      </c>
      <c r="P713" s="1" t="str">
        <f>_xlfn.XLOOKUP(Logs[[#This Row],[ID_Client]],Clients_Log!B:B,Clients_Log!F:F,"Pas de correspondance")</f>
        <v>Pro Monde</v>
      </c>
      <c r="Q713" s="1" t="str">
        <f>IF(Logs[[#This Row],[Type_Forfait]]="Pro Monde","B2B","B2C")</f>
        <v>B2B</v>
      </c>
      <c r="R713" s="1">
        <f>_xlfn.XLOOKUP(Logs[[#This Row],[ID_Client]],Clients_Log!B:B,Clients_Log!G:G,"Pas de correspondance")</f>
        <v>154</v>
      </c>
      <c r="S713" s="3">
        <f>Logs[[#This Row],[Duree_Cumulee_Panne_Min]]/1440</f>
        <v>0.10694444444444444</v>
      </c>
      <c r="T713" s="1">
        <f>_xlfn.XLOOKUP(Logs[[#This Row],[ID_Client]],Clients_Log!B:B,Clients_Log!H:H,"Pas de correspondance")</f>
        <v>19.47</v>
      </c>
      <c r="U713" s="1">
        <f>_xlfn.XLOOKUP(Logs[[#This Row],[ID_Client]],Clients_Log!B:B,Clients_Log!I:I,"Pas de correspondance")</f>
        <v>3</v>
      </c>
      <c r="V71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713" s="1">
        <f>Logs[[#This Row],[Facture_Mensuelle]]*Logs[[#This Row],[Remise (%)]]</f>
        <v>1.9470000000000001</v>
      </c>
    </row>
    <row r="714" spans="1:23" x14ac:dyDescent="0.25">
      <c r="A714" s="1" t="s">
        <v>1317</v>
      </c>
      <c r="B714" s="2">
        <v>45217</v>
      </c>
      <c r="C714" s="1" t="str">
        <f>_xlfn.XLOOKUP(Logs[[#This Row],[Province_RDC]],Clients_Log!D:D,Clients_Log!B:B,"Pas de correspondance")</f>
        <v>CLI-00439</v>
      </c>
      <c r="D714" t="str">
        <f>_xlfn.XLOOKUP(Logs[[#This Row],[Cell_ID]],'Registre_Maintenance'!B:B,'Registre_Maintenance'!C:C,"Pas de correspondance")</f>
        <v>Haut-Uele</v>
      </c>
      <c r="E714" s="3">
        <v>0.75555555555555554</v>
      </c>
      <c r="F714" s="1" t="s">
        <v>1323</v>
      </c>
      <c r="G714" s="3">
        <f>Logs[[#This Row],[Duree_Panne_Min]]/1440</f>
        <v>6.9444444444444448E-2</v>
      </c>
      <c r="H714">
        <v>100</v>
      </c>
      <c r="I714">
        <f>_xlfn.XLOOKUP(Logs[[#This Row],[Cell_ID]],'Registre_Maintenance'!B:B,'Registre_Maintenance'!D:D,"Pas de correspondance")</f>
        <v>-3.003879</v>
      </c>
      <c r="J714">
        <f>_xlfn.XLOOKUP(Logs[[#This Row],[Cell_ID]],'Registre_Maintenance'!B:B,'Registre_Maintenance'!E:E,"Pas de correspondance")</f>
        <v>23.633893</v>
      </c>
      <c r="K714" t="str">
        <f>_xlfn.XLOOKUP(Logs[[#This Row],[Cell_ID]],'Registre_Maintenance'!B:B,'Registre_Maintenance'!F:F,"Pas de correspondance")</f>
        <v>5G</v>
      </c>
      <c r="L714" t="str">
        <f>_xlfn.XLOOKUP(Logs[[#This Row],[Cell_ID]],'Registre_Maintenance'!B:B,'Registre_Maintenance'!G:G,"Pas de correspondance")</f>
        <v>Ericsson</v>
      </c>
      <c r="M714" s="1" t="s">
        <v>806</v>
      </c>
      <c r="N714" s="1">
        <f>_xlfn.XLOOKUP(Logs[[#This Row],[ID_Client]],Clients_Log!B:B,Clients_Log!E:E,"Pas de correspondance")</f>
        <v>40</v>
      </c>
      <c r="O714" s="4">
        <f>IFERROR(Logs[[#This Row],[Anciennete_Mois]]/12,"")</f>
        <v>3.3333333333333335</v>
      </c>
      <c r="P714" s="1" t="str">
        <f>_xlfn.XLOOKUP(Logs[[#This Row],[ID_Client]],Clients_Log!B:B,Clients_Log!F:F,"Pas de correspondance")</f>
        <v>Premium 5G 150Go</v>
      </c>
      <c r="Q714" s="1" t="str">
        <f>IF(Logs[[#This Row],[Type_Forfait]]="Pro Monde","B2B","B2C")</f>
        <v>B2C</v>
      </c>
      <c r="R714" s="1">
        <f>_xlfn.XLOOKUP(Logs[[#This Row],[ID_Client]],Clients_Log!B:B,Clients_Log!G:G,"Pas de correspondance")</f>
        <v>345</v>
      </c>
      <c r="S714" s="3">
        <f>Logs[[#This Row],[Duree_Cumulee_Panne_Min]]/1440</f>
        <v>0.23958333333333334</v>
      </c>
      <c r="T714" s="1">
        <f>_xlfn.XLOOKUP(Logs[[#This Row],[ID_Client]],Clients_Log!B:B,Clients_Log!H:H,"Pas de correspondance")</f>
        <v>89.55</v>
      </c>
      <c r="U714" s="1">
        <f>_xlfn.XLOOKUP(Logs[[#This Row],[ID_Client]],Clients_Log!B:B,Clients_Log!I:I,"Pas de correspondance")</f>
        <v>3</v>
      </c>
      <c r="V71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14" s="1">
        <f>Logs[[#This Row],[Facture_Mensuelle]]*Logs[[#This Row],[Remise (%)]]</f>
        <v>40.297499999999999</v>
      </c>
    </row>
    <row r="715" spans="1:23" hidden="1" x14ac:dyDescent="0.25">
      <c r="A715" s="1" t="s">
        <v>1317</v>
      </c>
      <c r="B715" s="2">
        <v>45218</v>
      </c>
      <c r="C715" s="1" t="str">
        <f>_xlfn.XLOOKUP(Logs[[#This Row],[Province_RDC]],Clients_Log!D:D,Clients_Log!B:B,"Pas de correspondance")</f>
        <v>Pas de correspondance</v>
      </c>
      <c r="D715" t="str">
        <f>_xlfn.XLOOKUP(Logs[[#This Row],[Cell_ID]],'Registre_Maintenance'!B:B,'Registre_Maintenance'!C:C,"Pas de correspondance")</f>
        <v>Pas de correspondance</v>
      </c>
      <c r="E715" s="3">
        <v>0.65972222222222221</v>
      </c>
      <c r="F715" s="1" t="s">
        <v>1324</v>
      </c>
      <c r="G715" s="3">
        <f>Logs[[#This Row],[Duree_Panne_Min]]/1440</f>
        <v>1.6666666666666666E-2</v>
      </c>
      <c r="H715">
        <v>24</v>
      </c>
      <c r="I715" t="str">
        <f>_xlfn.XLOOKUP(Logs[[#This Row],[Cell_ID]],'Registre_Maintenance'!B:B,'Registre_Maintenance'!D:D,"Pas de correspondance")</f>
        <v>Pas de correspondance</v>
      </c>
      <c r="J715" t="str">
        <f>_xlfn.XLOOKUP(Logs[[#This Row],[Cell_ID]],'Registre_Maintenance'!B:B,'Registre_Maintenance'!E:E,"Pas de correspondance")</f>
        <v>Pas de correspondance</v>
      </c>
      <c r="K715" t="str">
        <f>_xlfn.XLOOKUP(Logs[[#This Row],[Cell_ID]],'Registre_Maintenance'!B:B,'Registre_Maintenance'!F:F,"Pas de correspondance")</f>
        <v>Pas de correspondance</v>
      </c>
      <c r="L715" t="str">
        <f>_xlfn.XLOOKUP(Logs[[#This Row],[Cell_ID]],'Registre_Maintenance'!B:B,'Registre_Maintenance'!G:G,"Pas de correspondance")</f>
        <v>Pas de correspondance</v>
      </c>
      <c r="M715" s="1" t="s">
        <v>806</v>
      </c>
      <c r="N715" s="1" t="str">
        <f>_xlfn.XLOOKUP(Logs[[#This Row],[ID_Client]],Clients_Log!B:B,Clients_Log!E:E,"Pas de correspondance")</f>
        <v>Pas de correspondance</v>
      </c>
      <c r="O715" s="4" t="str">
        <f>IFERROR(Logs[[#This Row],[Anciennete_Mois]]/12,"")</f>
        <v/>
      </c>
      <c r="P715" s="1" t="str">
        <f>_xlfn.XLOOKUP(Logs[[#This Row],[ID_Client]],Clients_Log!B:B,Clients_Log!F:F,"Pas de correspondance")</f>
        <v>Pas de correspondance</v>
      </c>
      <c r="Q715" s="1" t="str">
        <f>IF(Logs[[#This Row],[Type_Forfait]]="Pro Monde","B2B","B2C")</f>
        <v>B2C</v>
      </c>
      <c r="R715" s="1" t="str">
        <f>_xlfn.XLOOKUP(Logs[[#This Row],[ID_Client]],Clients_Log!B:B,Clients_Log!G:G,"Pas de correspondance")</f>
        <v>Pas de correspondance</v>
      </c>
      <c r="S715" s="1" t="e">
        <f>Logs[[#This Row],[Duree_Cumulee_Panne_Min]]/1440</f>
        <v>#VALUE!</v>
      </c>
      <c r="T715" s="1" t="str">
        <f>_xlfn.XLOOKUP(Logs[[#This Row],[ID_Client]],Clients_Log!B:B,Clients_Log!H:H,"Pas de correspondance")</f>
        <v>Pas de correspondance</v>
      </c>
      <c r="U715" s="1" t="str">
        <f>_xlfn.XLOOKUP(Logs[[#This Row],[ID_Client]],Clients_Log!B:B,Clients_Log!I:I,"Pas de correspondance")</f>
        <v>Pas de correspondance</v>
      </c>
      <c r="V71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15" s="1" t="e">
        <f>Logs[[#This Row],[Facture_Mensuelle]]*Logs[[#This Row],[Remise (%)]]</f>
        <v>#VALUE!</v>
      </c>
    </row>
    <row r="716" spans="1:23" x14ac:dyDescent="0.25">
      <c r="A716" s="1" t="s">
        <v>1317</v>
      </c>
      <c r="B716" s="2">
        <v>45210</v>
      </c>
      <c r="C716" s="1" t="str">
        <f>_xlfn.XLOOKUP(Logs[[#This Row],[Province_RDC]],Clients_Log!D:D,Clients_Log!B:B,"Pas de correspondance")</f>
        <v>CLI-01170</v>
      </c>
      <c r="D716" t="str">
        <f>_xlfn.XLOOKUP(Logs[[#This Row],[Cell_ID]],'Registre_Maintenance'!B:B,'Registre_Maintenance'!C:C,"Pas de correspondance")</f>
        <v>Nord-Ubangi</v>
      </c>
      <c r="E716" s="3">
        <v>0.90833333333333333</v>
      </c>
      <c r="F716" s="1" t="s">
        <v>1233</v>
      </c>
      <c r="G716" s="3">
        <f>Logs[[#This Row],[Duree_Panne_Min]]/1440</f>
        <v>3.9583333333333331E-2</v>
      </c>
      <c r="H716">
        <v>57</v>
      </c>
      <c r="I716">
        <f>_xlfn.XLOOKUP(Logs[[#This Row],[Cell_ID]],'Registre_Maintenance'!B:B,'Registre_Maintenance'!D:D,"Pas de correspondance")</f>
        <v>8.5490999999999998E-2</v>
      </c>
      <c r="J716">
        <f>_xlfn.XLOOKUP(Logs[[#This Row],[Cell_ID]],'Registre_Maintenance'!B:B,'Registre_Maintenance'!E:E,"Pas de correspondance")</f>
        <v>26.296129000000001</v>
      </c>
      <c r="K716" t="str">
        <f>_xlfn.XLOOKUP(Logs[[#This Row],[Cell_ID]],'Registre_Maintenance'!B:B,'Registre_Maintenance'!F:F,"Pas de correspondance")</f>
        <v>3G</v>
      </c>
      <c r="L716" t="str">
        <f>_xlfn.XLOOKUP(Logs[[#This Row],[Cell_ID]],'Registre_Maintenance'!B:B,'Registre_Maintenance'!G:G,"Pas de correspondance")</f>
        <v>ZTE</v>
      </c>
      <c r="M716" s="1" t="s">
        <v>811</v>
      </c>
      <c r="N716" s="1">
        <f>_xlfn.XLOOKUP(Logs[[#This Row],[ID_Client]],Clients_Log!B:B,Clients_Log!E:E,"Pas de correspondance")</f>
        <v>98</v>
      </c>
      <c r="O716" s="4">
        <f>IFERROR(Logs[[#This Row],[Anciennete_Mois]]/12,"")</f>
        <v>8.1666666666666661</v>
      </c>
      <c r="P716" s="1" t="str">
        <f>_xlfn.XLOOKUP(Logs[[#This Row],[ID_Client]],Clients_Log!B:B,Clients_Log!F:F,"Pas de correspondance")</f>
        <v>Pro Monde</v>
      </c>
      <c r="Q716" s="1" t="str">
        <f>IF(Logs[[#This Row],[Type_Forfait]]="Pro Monde","B2B","B2C")</f>
        <v>B2B</v>
      </c>
      <c r="R716" s="1">
        <f>_xlfn.XLOOKUP(Logs[[#This Row],[ID_Client]],Clients_Log!B:B,Clients_Log!G:G,"Pas de correspondance")</f>
        <v>482</v>
      </c>
      <c r="S716" s="3">
        <f>Logs[[#This Row],[Duree_Cumulee_Panne_Min]]/1440</f>
        <v>0.3347222222222222</v>
      </c>
      <c r="T716" s="1">
        <f>_xlfn.XLOOKUP(Logs[[#This Row],[ID_Client]],Clients_Log!B:B,Clients_Log!H:H,"Pas de correspondance")</f>
        <v>55.04</v>
      </c>
      <c r="U716" s="1">
        <f>_xlfn.XLOOKUP(Logs[[#This Row],[ID_Client]],Clients_Log!B:B,Clients_Log!I:I,"Pas de correspondance")</f>
        <v>5</v>
      </c>
      <c r="V71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16" s="1">
        <f>Logs[[#This Row],[Facture_Mensuelle]]*Logs[[#This Row],[Remise (%)]]</f>
        <v>24.768000000000001</v>
      </c>
    </row>
    <row r="717" spans="1:23" hidden="1" x14ac:dyDescent="0.25">
      <c r="A717" s="1" t="s">
        <v>1317</v>
      </c>
      <c r="B717" s="2">
        <v>45201</v>
      </c>
      <c r="C717" s="1" t="str">
        <f>_xlfn.XLOOKUP(Logs[[#This Row],[Province_RDC]],Clients_Log!D:D,Clients_Log!B:B,"Pas de correspondance")</f>
        <v>Pas de correspondance</v>
      </c>
      <c r="D717" t="str">
        <f>_xlfn.XLOOKUP(Logs[[#This Row],[Cell_ID]],'Registre_Maintenance'!B:B,'Registre_Maintenance'!C:C,"Pas de correspondance")</f>
        <v>Pas de correspondance</v>
      </c>
      <c r="E717" s="3">
        <v>4.583333333333333E-2</v>
      </c>
      <c r="F717" s="1" t="s">
        <v>1034</v>
      </c>
      <c r="G717" s="3">
        <f>Logs[[#This Row],[Duree_Panne_Min]]/1440</f>
        <v>5.7638888888888892E-2</v>
      </c>
      <c r="H717">
        <v>83</v>
      </c>
      <c r="I717" t="str">
        <f>_xlfn.XLOOKUP(Logs[[#This Row],[Cell_ID]],'Registre_Maintenance'!B:B,'Registre_Maintenance'!D:D,"Pas de correspondance")</f>
        <v>Pas de correspondance</v>
      </c>
      <c r="J717" t="str">
        <f>_xlfn.XLOOKUP(Logs[[#This Row],[Cell_ID]],'Registre_Maintenance'!B:B,'Registre_Maintenance'!E:E,"Pas de correspondance")</f>
        <v>Pas de correspondance</v>
      </c>
      <c r="K717" t="str">
        <f>_xlfn.XLOOKUP(Logs[[#This Row],[Cell_ID]],'Registre_Maintenance'!B:B,'Registre_Maintenance'!F:F,"Pas de correspondance")</f>
        <v>Pas de correspondance</v>
      </c>
      <c r="L717" t="str">
        <f>_xlfn.XLOOKUP(Logs[[#This Row],[Cell_ID]],'Registre_Maintenance'!B:B,'Registre_Maintenance'!G:G,"Pas de correspondance")</f>
        <v>Pas de correspondance</v>
      </c>
      <c r="M717" s="1" t="s">
        <v>809</v>
      </c>
      <c r="N717" s="1" t="str">
        <f>_xlfn.XLOOKUP(Logs[[#This Row],[ID_Client]],Clients_Log!B:B,Clients_Log!E:E,"Pas de correspondance")</f>
        <v>Pas de correspondance</v>
      </c>
      <c r="O717" s="4" t="str">
        <f>IFERROR(Logs[[#This Row],[Anciennete_Mois]]/12,"")</f>
        <v/>
      </c>
      <c r="P717" s="1" t="str">
        <f>_xlfn.XLOOKUP(Logs[[#This Row],[ID_Client]],Clients_Log!B:B,Clients_Log!F:F,"Pas de correspondance")</f>
        <v>Pas de correspondance</v>
      </c>
      <c r="Q717" s="1" t="str">
        <f>IF(Logs[[#This Row],[Type_Forfait]]="Pro Monde","B2B","B2C")</f>
        <v>B2C</v>
      </c>
      <c r="R717" s="1" t="str">
        <f>_xlfn.XLOOKUP(Logs[[#This Row],[ID_Client]],Clients_Log!B:B,Clients_Log!G:G,"Pas de correspondance")</f>
        <v>Pas de correspondance</v>
      </c>
      <c r="S717" s="1" t="e">
        <f>Logs[[#This Row],[Duree_Cumulee_Panne_Min]]/1440</f>
        <v>#VALUE!</v>
      </c>
      <c r="T717" s="1" t="str">
        <f>_xlfn.XLOOKUP(Logs[[#This Row],[ID_Client]],Clients_Log!B:B,Clients_Log!H:H,"Pas de correspondance")</f>
        <v>Pas de correspondance</v>
      </c>
      <c r="U717" s="1" t="str">
        <f>_xlfn.XLOOKUP(Logs[[#This Row],[ID_Client]],Clients_Log!B:B,Clients_Log!I:I,"Pas de correspondance")</f>
        <v>Pas de correspondance</v>
      </c>
      <c r="V71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17" s="1" t="e">
        <f>Logs[[#This Row],[Facture_Mensuelle]]*Logs[[#This Row],[Remise (%)]]</f>
        <v>#VALUE!</v>
      </c>
    </row>
    <row r="718" spans="1:23" x14ac:dyDescent="0.25">
      <c r="A718" s="1" t="s">
        <v>1317</v>
      </c>
      <c r="B718" s="2">
        <v>45220</v>
      </c>
      <c r="C718" s="1" t="str">
        <f>_xlfn.XLOOKUP(Logs[[#This Row],[Province_RDC]],Clients_Log!D:D,Clients_Log!B:B,"Pas de correspondance")</f>
        <v>CLI-01170</v>
      </c>
      <c r="D718" t="str">
        <f>_xlfn.XLOOKUP(Logs[[#This Row],[Cell_ID]],'Registre_Maintenance'!B:B,'Registre_Maintenance'!C:C,"Pas de correspondance")</f>
        <v>Nord-Ubangi</v>
      </c>
      <c r="E718" s="3">
        <v>0.58402777777777781</v>
      </c>
      <c r="F718" s="1" t="s">
        <v>1325</v>
      </c>
      <c r="G718" s="3">
        <f>Logs[[#This Row],[Duree_Panne_Min]]/1440</f>
        <v>6.3888888888888884E-2</v>
      </c>
      <c r="H718">
        <v>92</v>
      </c>
      <c r="I718">
        <f>_xlfn.XLOOKUP(Logs[[#This Row],[Cell_ID]],'Registre_Maintenance'!B:B,'Registre_Maintenance'!D:D,"Pas de correspondance")</f>
        <v>-11.588665000000001</v>
      </c>
      <c r="J718">
        <f>_xlfn.XLOOKUP(Logs[[#This Row],[Cell_ID]],'Registre_Maintenance'!B:B,'Registre_Maintenance'!E:E,"Pas de correspondance")</f>
        <v>15.241552</v>
      </c>
      <c r="K718" t="str">
        <f>_xlfn.XLOOKUP(Logs[[#This Row],[Cell_ID]],'Registre_Maintenance'!B:B,'Registre_Maintenance'!F:F,"Pas de correspondance")</f>
        <v>4G</v>
      </c>
      <c r="L718" t="str">
        <f>_xlfn.XLOOKUP(Logs[[#This Row],[Cell_ID]],'Registre_Maintenance'!B:B,'Registre_Maintenance'!G:G,"Pas de correspondance")</f>
        <v>Nokia</v>
      </c>
      <c r="M718" s="1" t="s">
        <v>811</v>
      </c>
      <c r="N718" s="1">
        <f>_xlfn.XLOOKUP(Logs[[#This Row],[ID_Client]],Clients_Log!B:B,Clients_Log!E:E,"Pas de correspondance")</f>
        <v>98</v>
      </c>
      <c r="O718" s="4">
        <f>IFERROR(Logs[[#This Row],[Anciennete_Mois]]/12,"")</f>
        <v>8.1666666666666661</v>
      </c>
      <c r="P718" s="1" t="str">
        <f>_xlfn.XLOOKUP(Logs[[#This Row],[ID_Client]],Clients_Log!B:B,Clients_Log!F:F,"Pas de correspondance")</f>
        <v>Pro Monde</v>
      </c>
      <c r="Q718" s="1" t="str">
        <f>IF(Logs[[#This Row],[Type_Forfait]]="Pro Monde","B2B","B2C")</f>
        <v>B2B</v>
      </c>
      <c r="R718" s="1">
        <f>_xlfn.XLOOKUP(Logs[[#This Row],[ID_Client]],Clients_Log!B:B,Clients_Log!G:G,"Pas de correspondance")</f>
        <v>482</v>
      </c>
      <c r="S718" s="3">
        <f>Logs[[#This Row],[Duree_Cumulee_Panne_Min]]/1440</f>
        <v>0.3347222222222222</v>
      </c>
      <c r="T718" s="1">
        <f>_xlfn.XLOOKUP(Logs[[#This Row],[ID_Client]],Clients_Log!B:B,Clients_Log!H:H,"Pas de correspondance")</f>
        <v>55.04</v>
      </c>
      <c r="U718" s="1">
        <f>_xlfn.XLOOKUP(Logs[[#This Row],[ID_Client]],Clients_Log!B:B,Clients_Log!I:I,"Pas de correspondance")</f>
        <v>5</v>
      </c>
      <c r="V71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18" s="1">
        <f>Logs[[#This Row],[Facture_Mensuelle]]*Logs[[#This Row],[Remise (%)]]</f>
        <v>24.768000000000001</v>
      </c>
    </row>
    <row r="719" spans="1:23" hidden="1" x14ac:dyDescent="0.25">
      <c r="A719" s="1" t="s">
        <v>1317</v>
      </c>
      <c r="B719" s="2">
        <v>45203</v>
      </c>
      <c r="C719" s="1" t="str">
        <f>_xlfn.XLOOKUP(Logs[[#This Row],[Province_RDC]],Clients_Log!D:D,Clients_Log!B:B,"Pas de correspondance")</f>
        <v>Pas de correspondance</v>
      </c>
      <c r="D719" t="str">
        <f>_xlfn.XLOOKUP(Logs[[#This Row],[Cell_ID]],'Registre_Maintenance'!B:B,'Registre_Maintenance'!C:C,"Pas de correspondance")</f>
        <v>Pas de correspondance</v>
      </c>
      <c r="E719" s="3">
        <v>0.22777777777777777</v>
      </c>
      <c r="F719" s="1" t="s">
        <v>1032</v>
      </c>
      <c r="G719" s="3">
        <f>Logs[[#This Row],[Duree_Panne_Min]]/1440</f>
        <v>4.2361111111111113E-2</v>
      </c>
      <c r="H719">
        <v>61</v>
      </c>
      <c r="I719" t="str">
        <f>_xlfn.XLOOKUP(Logs[[#This Row],[Cell_ID]],'Registre_Maintenance'!B:B,'Registre_Maintenance'!D:D,"Pas de correspondance")</f>
        <v>Pas de correspondance</v>
      </c>
      <c r="J719" t="str">
        <f>_xlfn.XLOOKUP(Logs[[#This Row],[Cell_ID]],'Registre_Maintenance'!B:B,'Registre_Maintenance'!E:E,"Pas de correspondance")</f>
        <v>Pas de correspondance</v>
      </c>
      <c r="K719" t="str">
        <f>_xlfn.XLOOKUP(Logs[[#This Row],[Cell_ID]],'Registre_Maintenance'!B:B,'Registre_Maintenance'!F:F,"Pas de correspondance")</f>
        <v>Pas de correspondance</v>
      </c>
      <c r="L719" t="str">
        <f>_xlfn.XLOOKUP(Logs[[#This Row],[Cell_ID]],'Registre_Maintenance'!B:B,'Registre_Maintenance'!G:G,"Pas de correspondance")</f>
        <v>Pas de correspondance</v>
      </c>
      <c r="M719" s="1" t="s">
        <v>809</v>
      </c>
      <c r="N719" s="1" t="str">
        <f>_xlfn.XLOOKUP(Logs[[#This Row],[ID_Client]],Clients_Log!B:B,Clients_Log!E:E,"Pas de correspondance")</f>
        <v>Pas de correspondance</v>
      </c>
      <c r="O719" s="4" t="str">
        <f>IFERROR(Logs[[#This Row],[Anciennete_Mois]]/12,"")</f>
        <v/>
      </c>
      <c r="P719" s="1" t="str">
        <f>_xlfn.XLOOKUP(Logs[[#This Row],[ID_Client]],Clients_Log!B:B,Clients_Log!F:F,"Pas de correspondance")</f>
        <v>Pas de correspondance</v>
      </c>
      <c r="Q719" s="1" t="str">
        <f>IF(Logs[[#This Row],[Type_Forfait]]="Pro Monde","B2B","B2C")</f>
        <v>B2C</v>
      </c>
      <c r="R719" s="1" t="str">
        <f>_xlfn.XLOOKUP(Logs[[#This Row],[ID_Client]],Clients_Log!B:B,Clients_Log!G:G,"Pas de correspondance")</f>
        <v>Pas de correspondance</v>
      </c>
      <c r="S719" s="1" t="e">
        <f>Logs[[#This Row],[Duree_Cumulee_Panne_Min]]/1440</f>
        <v>#VALUE!</v>
      </c>
      <c r="T719" s="1" t="str">
        <f>_xlfn.XLOOKUP(Logs[[#This Row],[ID_Client]],Clients_Log!B:B,Clients_Log!H:H,"Pas de correspondance")</f>
        <v>Pas de correspondance</v>
      </c>
      <c r="U719" s="1" t="str">
        <f>_xlfn.XLOOKUP(Logs[[#This Row],[ID_Client]],Clients_Log!B:B,Clients_Log!I:I,"Pas de correspondance")</f>
        <v>Pas de correspondance</v>
      </c>
      <c r="V71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19" s="1" t="e">
        <f>Logs[[#This Row],[Facture_Mensuelle]]*Logs[[#This Row],[Remise (%)]]</f>
        <v>#VALUE!</v>
      </c>
    </row>
    <row r="720" spans="1:23" x14ac:dyDescent="0.25">
      <c r="A720" s="1" t="s">
        <v>1317</v>
      </c>
      <c r="B720" s="2">
        <v>45214</v>
      </c>
      <c r="C720" s="1" t="str">
        <f>_xlfn.XLOOKUP(Logs[[#This Row],[Province_RDC]],Clients_Log!D:D,Clients_Log!B:B,"Pas de correspondance")</f>
        <v>CLI-01170</v>
      </c>
      <c r="D720" t="str">
        <f>_xlfn.XLOOKUP(Logs[[#This Row],[Cell_ID]],'Registre_Maintenance'!B:B,'Registre_Maintenance'!C:C,"Pas de correspondance")</f>
        <v>Nord-Ubangi</v>
      </c>
      <c r="E720" s="3">
        <v>1.8749999999999999E-2</v>
      </c>
      <c r="F720" s="1" t="s">
        <v>953</v>
      </c>
      <c r="G720" s="3">
        <f>Logs[[#This Row],[Duree_Panne_Min]]/1440</f>
        <v>7.9861111111111105E-2</v>
      </c>
      <c r="H720">
        <v>115</v>
      </c>
      <c r="I720">
        <f>_xlfn.XLOOKUP(Logs[[#This Row],[Cell_ID]],'Registre_Maintenance'!B:B,'Registre_Maintenance'!D:D,"Pas de correspondance")</f>
        <v>-1.342476</v>
      </c>
      <c r="J720">
        <f>_xlfn.XLOOKUP(Logs[[#This Row],[Cell_ID]],'Registre_Maintenance'!B:B,'Registre_Maintenance'!E:E,"Pas de correspondance")</f>
        <v>15.986086</v>
      </c>
      <c r="K720" t="str">
        <f>_xlfn.XLOOKUP(Logs[[#This Row],[Cell_ID]],'Registre_Maintenance'!B:B,'Registre_Maintenance'!F:F,"Pas de correspondance")</f>
        <v>4G</v>
      </c>
      <c r="L720" t="str">
        <f>_xlfn.XLOOKUP(Logs[[#This Row],[Cell_ID]],'Registre_Maintenance'!B:B,'Registre_Maintenance'!G:G,"Pas de correspondance")</f>
        <v>Ericsson</v>
      </c>
      <c r="M720" s="1" t="s">
        <v>809</v>
      </c>
      <c r="N720" s="1">
        <f>_xlfn.XLOOKUP(Logs[[#This Row],[ID_Client]],Clients_Log!B:B,Clients_Log!E:E,"Pas de correspondance")</f>
        <v>98</v>
      </c>
      <c r="O720" s="4">
        <f>IFERROR(Logs[[#This Row],[Anciennete_Mois]]/12,"")</f>
        <v>8.1666666666666661</v>
      </c>
      <c r="P720" s="1" t="str">
        <f>_xlfn.XLOOKUP(Logs[[#This Row],[ID_Client]],Clients_Log!B:B,Clients_Log!F:F,"Pas de correspondance")</f>
        <v>Pro Monde</v>
      </c>
      <c r="Q720" s="1" t="str">
        <f>IF(Logs[[#This Row],[Type_Forfait]]="Pro Monde","B2B","B2C")</f>
        <v>B2B</v>
      </c>
      <c r="R720" s="1">
        <f>_xlfn.XLOOKUP(Logs[[#This Row],[ID_Client]],Clients_Log!B:B,Clients_Log!G:G,"Pas de correspondance")</f>
        <v>482</v>
      </c>
      <c r="S720" s="3">
        <f>Logs[[#This Row],[Duree_Cumulee_Panne_Min]]/1440</f>
        <v>0.3347222222222222</v>
      </c>
      <c r="T720" s="1">
        <f>_xlfn.XLOOKUP(Logs[[#This Row],[ID_Client]],Clients_Log!B:B,Clients_Log!H:H,"Pas de correspondance")</f>
        <v>55.04</v>
      </c>
      <c r="U720" s="1">
        <f>_xlfn.XLOOKUP(Logs[[#This Row],[ID_Client]],Clients_Log!B:B,Clients_Log!I:I,"Pas de correspondance")</f>
        <v>5</v>
      </c>
      <c r="V72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20" s="1">
        <f>Logs[[#This Row],[Facture_Mensuelle]]*Logs[[#This Row],[Remise (%)]]</f>
        <v>24.768000000000001</v>
      </c>
    </row>
    <row r="721" spans="1:23" hidden="1" x14ac:dyDescent="0.25">
      <c r="A721" s="1" t="s">
        <v>1317</v>
      </c>
      <c r="B721" s="2">
        <v>45206</v>
      </c>
      <c r="C721" s="1" t="str">
        <f>_xlfn.XLOOKUP(Logs[[#This Row],[Province_RDC]],Clients_Log!D:D,Clients_Log!B:B,"Pas de correspondance")</f>
        <v>Pas de correspondance</v>
      </c>
      <c r="D721" t="str">
        <f>_xlfn.XLOOKUP(Logs[[#This Row],[Cell_ID]],'Registre_Maintenance'!B:B,'Registre_Maintenance'!C:C,"Pas de correspondance")</f>
        <v>Pas de correspondance</v>
      </c>
      <c r="E721" s="3">
        <v>0.95694444444444449</v>
      </c>
      <c r="F721" s="1" t="s">
        <v>991</v>
      </c>
      <c r="G721" s="3">
        <f>Logs[[#This Row],[Duree_Panne_Min]]/1440</f>
        <v>2.2222222222222223E-2</v>
      </c>
      <c r="H721">
        <v>32</v>
      </c>
      <c r="I721" t="str">
        <f>_xlfn.XLOOKUP(Logs[[#This Row],[Cell_ID]],'Registre_Maintenance'!B:B,'Registre_Maintenance'!D:D,"Pas de correspondance")</f>
        <v>Pas de correspondance</v>
      </c>
      <c r="J721" t="str">
        <f>_xlfn.XLOOKUP(Logs[[#This Row],[Cell_ID]],'Registre_Maintenance'!B:B,'Registre_Maintenance'!E:E,"Pas de correspondance")</f>
        <v>Pas de correspondance</v>
      </c>
      <c r="K721" t="str">
        <f>_xlfn.XLOOKUP(Logs[[#This Row],[Cell_ID]],'Registre_Maintenance'!B:B,'Registre_Maintenance'!F:F,"Pas de correspondance")</f>
        <v>Pas de correspondance</v>
      </c>
      <c r="L721" t="str">
        <f>_xlfn.XLOOKUP(Logs[[#This Row],[Cell_ID]],'Registre_Maintenance'!B:B,'Registre_Maintenance'!G:G,"Pas de correspondance")</f>
        <v>Pas de correspondance</v>
      </c>
      <c r="M721" s="1" t="s">
        <v>809</v>
      </c>
      <c r="N721" s="1" t="str">
        <f>_xlfn.XLOOKUP(Logs[[#This Row],[ID_Client]],Clients_Log!B:B,Clients_Log!E:E,"Pas de correspondance")</f>
        <v>Pas de correspondance</v>
      </c>
      <c r="O721" s="4" t="str">
        <f>IFERROR(Logs[[#This Row],[Anciennete_Mois]]/12,"")</f>
        <v/>
      </c>
      <c r="P721" s="1" t="str">
        <f>_xlfn.XLOOKUP(Logs[[#This Row],[ID_Client]],Clients_Log!B:B,Clients_Log!F:F,"Pas de correspondance")</f>
        <v>Pas de correspondance</v>
      </c>
      <c r="Q721" s="1" t="str">
        <f>IF(Logs[[#This Row],[Type_Forfait]]="Pro Monde","B2B","B2C")</f>
        <v>B2C</v>
      </c>
      <c r="R721" s="1" t="str">
        <f>_xlfn.XLOOKUP(Logs[[#This Row],[ID_Client]],Clients_Log!B:B,Clients_Log!G:G,"Pas de correspondance")</f>
        <v>Pas de correspondance</v>
      </c>
      <c r="S721" s="1" t="e">
        <f>Logs[[#This Row],[Duree_Cumulee_Panne_Min]]/1440</f>
        <v>#VALUE!</v>
      </c>
      <c r="T721" s="1" t="str">
        <f>_xlfn.XLOOKUP(Logs[[#This Row],[ID_Client]],Clients_Log!B:B,Clients_Log!H:H,"Pas de correspondance")</f>
        <v>Pas de correspondance</v>
      </c>
      <c r="U721" s="1" t="str">
        <f>_xlfn.XLOOKUP(Logs[[#This Row],[ID_Client]],Clients_Log!B:B,Clients_Log!I:I,"Pas de correspondance")</f>
        <v>Pas de correspondance</v>
      </c>
      <c r="V72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21" s="1" t="e">
        <f>Logs[[#This Row],[Facture_Mensuelle]]*Logs[[#This Row],[Remise (%)]]</f>
        <v>#VALUE!</v>
      </c>
    </row>
    <row r="722" spans="1:23" hidden="1" x14ac:dyDescent="0.25">
      <c r="A722" s="1" t="s">
        <v>1317</v>
      </c>
      <c r="B722" s="2">
        <v>45204</v>
      </c>
      <c r="C722" s="1" t="str">
        <f>_xlfn.XLOOKUP(Logs[[#This Row],[Province_RDC]],Clients_Log!D:D,Clients_Log!B:B,"Pas de correspondance")</f>
        <v>Pas de correspondance</v>
      </c>
      <c r="D722" t="str">
        <f>_xlfn.XLOOKUP(Logs[[#This Row],[Cell_ID]],'Registre_Maintenance'!B:B,'Registre_Maintenance'!C:C,"Pas de correspondance")</f>
        <v>Pas de correspondance</v>
      </c>
      <c r="E722" s="3">
        <v>0.84652777777777777</v>
      </c>
      <c r="F722" s="1" t="s">
        <v>1326</v>
      </c>
      <c r="G722" s="3">
        <f>Logs[[#This Row],[Duree_Panne_Min]]/1440</f>
        <v>1.1111111111111112E-2</v>
      </c>
      <c r="H722">
        <v>16</v>
      </c>
      <c r="I722" t="str">
        <f>_xlfn.XLOOKUP(Logs[[#This Row],[Cell_ID]],'Registre_Maintenance'!B:B,'Registre_Maintenance'!D:D,"Pas de correspondance")</f>
        <v>Pas de correspondance</v>
      </c>
      <c r="J722" t="str">
        <f>_xlfn.XLOOKUP(Logs[[#This Row],[Cell_ID]],'Registre_Maintenance'!B:B,'Registre_Maintenance'!E:E,"Pas de correspondance")</f>
        <v>Pas de correspondance</v>
      </c>
      <c r="K722" t="str">
        <f>_xlfn.XLOOKUP(Logs[[#This Row],[Cell_ID]],'Registre_Maintenance'!B:B,'Registre_Maintenance'!F:F,"Pas de correspondance")</f>
        <v>Pas de correspondance</v>
      </c>
      <c r="L722" t="str">
        <f>_xlfn.XLOOKUP(Logs[[#This Row],[Cell_ID]],'Registre_Maintenance'!B:B,'Registre_Maintenance'!G:G,"Pas de correspondance")</f>
        <v>Pas de correspondance</v>
      </c>
      <c r="M722" s="1" t="s">
        <v>811</v>
      </c>
      <c r="N722" s="1" t="str">
        <f>_xlfn.XLOOKUP(Logs[[#This Row],[ID_Client]],Clients_Log!B:B,Clients_Log!E:E,"Pas de correspondance")</f>
        <v>Pas de correspondance</v>
      </c>
      <c r="O722" s="4" t="str">
        <f>IFERROR(Logs[[#This Row],[Anciennete_Mois]]/12,"")</f>
        <v/>
      </c>
      <c r="P722" s="1" t="str">
        <f>_xlfn.XLOOKUP(Logs[[#This Row],[ID_Client]],Clients_Log!B:B,Clients_Log!F:F,"Pas de correspondance")</f>
        <v>Pas de correspondance</v>
      </c>
      <c r="Q722" s="1" t="str">
        <f>IF(Logs[[#This Row],[Type_Forfait]]="Pro Monde","B2B","B2C")</f>
        <v>B2C</v>
      </c>
      <c r="R722" s="1" t="str">
        <f>_xlfn.XLOOKUP(Logs[[#This Row],[ID_Client]],Clients_Log!B:B,Clients_Log!G:G,"Pas de correspondance")</f>
        <v>Pas de correspondance</v>
      </c>
      <c r="S722" s="1" t="e">
        <f>Logs[[#This Row],[Duree_Cumulee_Panne_Min]]/1440</f>
        <v>#VALUE!</v>
      </c>
      <c r="T722" s="1" t="str">
        <f>_xlfn.XLOOKUP(Logs[[#This Row],[ID_Client]],Clients_Log!B:B,Clients_Log!H:H,"Pas de correspondance")</f>
        <v>Pas de correspondance</v>
      </c>
      <c r="U722" s="1" t="str">
        <f>_xlfn.XLOOKUP(Logs[[#This Row],[ID_Client]],Clients_Log!B:B,Clients_Log!I:I,"Pas de correspondance")</f>
        <v>Pas de correspondance</v>
      </c>
      <c r="V72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22" s="1" t="e">
        <f>Logs[[#This Row],[Facture_Mensuelle]]*Logs[[#This Row],[Remise (%)]]</f>
        <v>#VALUE!</v>
      </c>
    </row>
    <row r="723" spans="1:23" hidden="1" x14ac:dyDescent="0.25">
      <c r="A723" s="1" t="s">
        <v>1317</v>
      </c>
      <c r="B723" s="2">
        <v>45205</v>
      </c>
      <c r="C723" s="1" t="str">
        <f>_xlfn.XLOOKUP(Logs[[#This Row],[Province_RDC]],Clients_Log!D:D,Clients_Log!B:B,"Pas de correspondance")</f>
        <v>Pas de correspondance</v>
      </c>
      <c r="D723" t="str">
        <f>_xlfn.XLOOKUP(Logs[[#This Row],[Cell_ID]],'Registre_Maintenance'!B:B,'Registre_Maintenance'!C:C,"Pas de correspondance")</f>
        <v>Pas de correspondance</v>
      </c>
      <c r="E723" s="3">
        <v>0.33680555555555558</v>
      </c>
      <c r="F723" s="1" t="s">
        <v>1327</v>
      </c>
      <c r="G723" s="3">
        <f>Logs[[#This Row],[Duree_Panne_Min]]/1440</f>
        <v>8.2638888888888887E-2</v>
      </c>
      <c r="H723">
        <v>119</v>
      </c>
      <c r="I723" t="str">
        <f>_xlfn.XLOOKUP(Logs[[#This Row],[Cell_ID]],'Registre_Maintenance'!B:B,'Registre_Maintenance'!D:D,"Pas de correspondance")</f>
        <v>Pas de correspondance</v>
      </c>
      <c r="J723" t="str">
        <f>_xlfn.XLOOKUP(Logs[[#This Row],[Cell_ID]],'Registre_Maintenance'!B:B,'Registre_Maintenance'!E:E,"Pas de correspondance")</f>
        <v>Pas de correspondance</v>
      </c>
      <c r="K723" t="str">
        <f>_xlfn.XLOOKUP(Logs[[#This Row],[Cell_ID]],'Registre_Maintenance'!B:B,'Registre_Maintenance'!F:F,"Pas de correspondance")</f>
        <v>Pas de correspondance</v>
      </c>
      <c r="L723" t="str">
        <f>_xlfn.XLOOKUP(Logs[[#This Row],[Cell_ID]],'Registre_Maintenance'!B:B,'Registre_Maintenance'!G:G,"Pas de correspondance")</f>
        <v>Pas de correspondance</v>
      </c>
      <c r="M723" s="1" t="s">
        <v>811</v>
      </c>
      <c r="N723" s="1" t="str">
        <f>_xlfn.XLOOKUP(Logs[[#This Row],[ID_Client]],Clients_Log!B:B,Clients_Log!E:E,"Pas de correspondance")</f>
        <v>Pas de correspondance</v>
      </c>
      <c r="O723" s="4" t="str">
        <f>IFERROR(Logs[[#This Row],[Anciennete_Mois]]/12,"")</f>
        <v/>
      </c>
      <c r="P723" s="1" t="str">
        <f>_xlfn.XLOOKUP(Logs[[#This Row],[ID_Client]],Clients_Log!B:B,Clients_Log!F:F,"Pas de correspondance")</f>
        <v>Pas de correspondance</v>
      </c>
      <c r="Q723" s="1" t="str">
        <f>IF(Logs[[#This Row],[Type_Forfait]]="Pro Monde","B2B","B2C")</f>
        <v>B2C</v>
      </c>
      <c r="R723" s="1" t="str">
        <f>_xlfn.XLOOKUP(Logs[[#This Row],[ID_Client]],Clients_Log!B:B,Clients_Log!G:G,"Pas de correspondance")</f>
        <v>Pas de correspondance</v>
      </c>
      <c r="S723" s="1" t="e">
        <f>Logs[[#This Row],[Duree_Cumulee_Panne_Min]]/1440</f>
        <v>#VALUE!</v>
      </c>
      <c r="T723" s="1" t="str">
        <f>_xlfn.XLOOKUP(Logs[[#This Row],[ID_Client]],Clients_Log!B:B,Clients_Log!H:H,"Pas de correspondance")</f>
        <v>Pas de correspondance</v>
      </c>
      <c r="U723" s="1" t="str">
        <f>_xlfn.XLOOKUP(Logs[[#This Row],[ID_Client]],Clients_Log!B:B,Clients_Log!I:I,"Pas de correspondance")</f>
        <v>Pas de correspondance</v>
      </c>
      <c r="V72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23" s="1" t="e">
        <f>Logs[[#This Row],[Facture_Mensuelle]]*Logs[[#This Row],[Remise (%)]]</f>
        <v>#VALUE!</v>
      </c>
    </row>
    <row r="724" spans="1:23" hidden="1" x14ac:dyDescent="0.25">
      <c r="A724" s="1" t="s">
        <v>1317</v>
      </c>
      <c r="B724" s="2">
        <v>45220</v>
      </c>
      <c r="C724" s="1" t="str">
        <f>_xlfn.XLOOKUP(Logs[[#This Row],[Province_RDC]],Clients_Log!D:D,Clients_Log!B:B,"Pas de correspondance")</f>
        <v>Pas de correspondance</v>
      </c>
      <c r="D724" t="str">
        <f>_xlfn.XLOOKUP(Logs[[#This Row],[Cell_ID]],'Registre_Maintenance'!B:B,'Registre_Maintenance'!C:C,"Pas de correspondance")</f>
        <v>Pas de correspondance</v>
      </c>
      <c r="E724" s="3">
        <v>0.46944444444444444</v>
      </c>
      <c r="F724" s="1" t="s">
        <v>1071</v>
      </c>
      <c r="G724" s="3">
        <f>Logs[[#This Row],[Duree_Panne_Min]]/1440</f>
        <v>1.1805555555555555E-2</v>
      </c>
      <c r="H724">
        <v>17</v>
      </c>
      <c r="I724" t="str">
        <f>_xlfn.XLOOKUP(Logs[[#This Row],[Cell_ID]],'Registre_Maintenance'!B:B,'Registre_Maintenance'!D:D,"Pas de correspondance")</f>
        <v>Pas de correspondance</v>
      </c>
      <c r="J724" t="str">
        <f>_xlfn.XLOOKUP(Logs[[#This Row],[Cell_ID]],'Registre_Maintenance'!B:B,'Registre_Maintenance'!E:E,"Pas de correspondance")</f>
        <v>Pas de correspondance</v>
      </c>
      <c r="K724" t="str">
        <f>_xlfn.XLOOKUP(Logs[[#This Row],[Cell_ID]],'Registre_Maintenance'!B:B,'Registre_Maintenance'!F:F,"Pas de correspondance")</f>
        <v>Pas de correspondance</v>
      </c>
      <c r="L724" t="str">
        <f>_xlfn.XLOOKUP(Logs[[#This Row],[Cell_ID]],'Registre_Maintenance'!B:B,'Registre_Maintenance'!G:G,"Pas de correspondance")</f>
        <v>Pas de correspondance</v>
      </c>
      <c r="M724" s="1" t="s">
        <v>809</v>
      </c>
      <c r="N724" s="1" t="str">
        <f>_xlfn.XLOOKUP(Logs[[#This Row],[ID_Client]],Clients_Log!B:B,Clients_Log!E:E,"Pas de correspondance")</f>
        <v>Pas de correspondance</v>
      </c>
      <c r="O724" s="4" t="str">
        <f>IFERROR(Logs[[#This Row],[Anciennete_Mois]]/12,"")</f>
        <v/>
      </c>
      <c r="P724" s="1" t="str">
        <f>_xlfn.XLOOKUP(Logs[[#This Row],[ID_Client]],Clients_Log!B:B,Clients_Log!F:F,"Pas de correspondance")</f>
        <v>Pas de correspondance</v>
      </c>
      <c r="Q724" s="1" t="str">
        <f>IF(Logs[[#This Row],[Type_Forfait]]="Pro Monde","B2B","B2C")</f>
        <v>B2C</v>
      </c>
      <c r="R724" s="1" t="str">
        <f>_xlfn.XLOOKUP(Logs[[#This Row],[ID_Client]],Clients_Log!B:B,Clients_Log!G:G,"Pas de correspondance")</f>
        <v>Pas de correspondance</v>
      </c>
      <c r="S724" s="1" t="e">
        <f>Logs[[#This Row],[Duree_Cumulee_Panne_Min]]/1440</f>
        <v>#VALUE!</v>
      </c>
      <c r="T724" s="1" t="str">
        <f>_xlfn.XLOOKUP(Logs[[#This Row],[ID_Client]],Clients_Log!B:B,Clients_Log!H:H,"Pas de correspondance")</f>
        <v>Pas de correspondance</v>
      </c>
      <c r="U724" s="1" t="str">
        <f>_xlfn.XLOOKUP(Logs[[#This Row],[ID_Client]],Clients_Log!B:B,Clients_Log!I:I,"Pas de correspondance")</f>
        <v>Pas de correspondance</v>
      </c>
      <c r="V72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24" s="1" t="e">
        <f>Logs[[#This Row],[Facture_Mensuelle]]*Logs[[#This Row],[Remise (%)]]</f>
        <v>#VALUE!</v>
      </c>
    </row>
    <row r="725" spans="1:23" hidden="1" x14ac:dyDescent="0.25">
      <c r="A725" s="1" t="s">
        <v>1317</v>
      </c>
      <c r="B725" s="2">
        <v>45202</v>
      </c>
      <c r="C725" s="1" t="str">
        <f>_xlfn.XLOOKUP(Logs[[#This Row],[Province_RDC]],Clients_Log!D:D,Clients_Log!B:B,"Pas de correspondance")</f>
        <v>Pas de correspondance</v>
      </c>
      <c r="D725" t="str">
        <f>_xlfn.XLOOKUP(Logs[[#This Row],[Cell_ID]],'Registre_Maintenance'!B:B,'Registre_Maintenance'!C:C,"Pas de correspondance")</f>
        <v>Pas de correspondance</v>
      </c>
      <c r="E725" s="3">
        <v>0.48749999999999999</v>
      </c>
      <c r="F725" s="1" t="s">
        <v>1328</v>
      </c>
      <c r="G725" s="3">
        <f>Logs[[#This Row],[Duree_Panne_Min]]/1440</f>
        <v>1.5277777777777777E-2</v>
      </c>
      <c r="H725">
        <v>22</v>
      </c>
      <c r="I725" t="str">
        <f>_xlfn.XLOOKUP(Logs[[#This Row],[Cell_ID]],'Registre_Maintenance'!B:B,'Registre_Maintenance'!D:D,"Pas de correspondance")</f>
        <v>Pas de correspondance</v>
      </c>
      <c r="J725" t="str">
        <f>_xlfn.XLOOKUP(Logs[[#This Row],[Cell_ID]],'Registre_Maintenance'!B:B,'Registre_Maintenance'!E:E,"Pas de correspondance")</f>
        <v>Pas de correspondance</v>
      </c>
      <c r="K725" t="str">
        <f>_xlfn.XLOOKUP(Logs[[#This Row],[Cell_ID]],'Registre_Maintenance'!B:B,'Registre_Maintenance'!F:F,"Pas de correspondance")</f>
        <v>Pas de correspondance</v>
      </c>
      <c r="L725" t="str">
        <f>_xlfn.XLOOKUP(Logs[[#This Row],[Cell_ID]],'Registre_Maintenance'!B:B,'Registre_Maintenance'!G:G,"Pas de correspondance")</f>
        <v>Pas de correspondance</v>
      </c>
      <c r="M725" s="1" t="s">
        <v>811</v>
      </c>
      <c r="N725" s="1" t="str">
        <f>_xlfn.XLOOKUP(Logs[[#This Row],[ID_Client]],Clients_Log!B:B,Clients_Log!E:E,"Pas de correspondance")</f>
        <v>Pas de correspondance</v>
      </c>
      <c r="O725" s="4" t="str">
        <f>IFERROR(Logs[[#This Row],[Anciennete_Mois]]/12,"")</f>
        <v/>
      </c>
      <c r="P725" s="1" t="str">
        <f>_xlfn.XLOOKUP(Logs[[#This Row],[ID_Client]],Clients_Log!B:B,Clients_Log!F:F,"Pas de correspondance")</f>
        <v>Pas de correspondance</v>
      </c>
      <c r="Q725" s="1" t="str">
        <f>IF(Logs[[#This Row],[Type_Forfait]]="Pro Monde","B2B","B2C")</f>
        <v>B2C</v>
      </c>
      <c r="R725" s="1" t="str">
        <f>_xlfn.XLOOKUP(Logs[[#This Row],[ID_Client]],Clients_Log!B:B,Clients_Log!G:G,"Pas de correspondance")</f>
        <v>Pas de correspondance</v>
      </c>
      <c r="S725" s="1" t="e">
        <f>Logs[[#This Row],[Duree_Cumulee_Panne_Min]]/1440</f>
        <v>#VALUE!</v>
      </c>
      <c r="T725" s="1" t="str">
        <f>_xlfn.XLOOKUP(Logs[[#This Row],[ID_Client]],Clients_Log!B:B,Clients_Log!H:H,"Pas de correspondance")</f>
        <v>Pas de correspondance</v>
      </c>
      <c r="U725" s="1" t="str">
        <f>_xlfn.XLOOKUP(Logs[[#This Row],[ID_Client]],Clients_Log!B:B,Clients_Log!I:I,"Pas de correspondance")</f>
        <v>Pas de correspondance</v>
      </c>
      <c r="V72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25" s="1" t="e">
        <f>Logs[[#This Row],[Facture_Mensuelle]]*Logs[[#This Row],[Remise (%)]]</f>
        <v>#VALUE!</v>
      </c>
    </row>
    <row r="726" spans="1:23" hidden="1" x14ac:dyDescent="0.25">
      <c r="A726" s="1" t="s">
        <v>1317</v>
      </c>
      <c r="B726" s="2">
        <v>45228</v>
      </c>
      <c r="C726" s="1" t="str">
        <f>_xlfn.XLOOKUP(Logs[[#This Row],[Province_RDC]],Clients_Log!D:D,Clients_Log!B:B,"Pas de correspondance")</f>
        <v>Pas de correspondance</v>
      </c>
      <c r="D726" t="str">
        <f>_xlfn.XLOOKUP(Logs[[#This Row],[Cell_ID]],'Registre_Maintenance'!B:B,'Registre_Maintenance'!C:C,"Pas de correspondance")</f>
        <v>Pas de correspondance</v>
      </c>
      <c r="E726" s="3">
        <v>0.84027777777777779</v>
      </c>
      <c r="F726" s="1" t="s">
        <v>848</v>
      </c>
      <c r="G726" s="3">
        <f>Logs[[#This Row],[Duree_Panne_Min]]/1440</f>
        <v>7.013888888888889E-2</v>
      </c>
      <c r="H726">
        <v>101</v>
      </c>
      <c r="I726" t="str">
        <f>_xlfn.XLOOKUP(Logs[[#This Row],[Cell_ID]],'Registre_Maintenance'!B:B,'Registre_Maintenance'!D:D,"Pas de correspondance")</f>
        <v>Pas de correspondance</v>
      </c>
      <c r="J726" t="str">
        <f>_xlfn.XLOOKUP(Logs[[#This Row],[Cell_ID]],'Registre_Maintenance'!B:B,'Registre_Maintenance'!E:E,"Pas de correspondance")</f>
        <v>Pas de correspondance</v>
      </c>
      <c r="K726" t="str">
        <f>_xlfn.XLOOKUP(Logs[[#This Row],[Cell_ID]],'Registre_Maintenance'!B:B,'Registre_Maintenance'!F:F,"Pas de correspondance")</f>
        <v>Pas de correspondance</v>
      </c>
      <c r="L726" t="str">
        <f>_xlfn.XLOOKUP(Logs[[#This Row],[Cell_ID]],'Registre_Maintenance'!B:B,'Registre_Maintenance'!G:G,"Pas de correspondance")</f>
        <v>Pas de correspondance</v>
      </c>
      <c r="M726" s="1" t="s">
        <v>806</v>
      </c>
      <c r="N726" s="1" t="str">
        <f>_xlfn.XLOOKUP(Logs[[#This Row],[ID_Client]],Clients_Log!B:B,Clients_Log!E:E,"Pas de correspondance")</f>
        <v>Pas de correspondance</v>
      </c>
      <c r="O726" s="4" t="str">
        <f>IFERROR(Logs[[#This Row],[Anciennete_Mois]]/12,"")</f>
        <v/>
      </c>
      <c r="P726" s="1" t="str">
        <f>_xlfn.XLOOKUP(Logs[[#This Row],[ID_Client]],Clients_Log!B:B,Clients_Log!F:F,"Pas de correspondance")</f>
        <v>Pas de correspondance</v>
      </c>
      <c r="Q726" s="1" t="str">
        <f>IF(Logs[[#This Row],[Type_Forfait]]="Pro Monde","B2B","B2C")</f>
        <v>B2C</v>
      </c>
      <c r="R726" s="1" t="str">
        <f>_xlfn.XLOOKUP(Logs[[#This Row],[ID_Client]],Clients_Log!B:B,Clients_Log!G:G,"Pas de correspondance")</f>
        <v>Pas de correspondance</v>
      </c>
      <c r="S726" s="1" t="e">
        <f>Logs[[#This Row],[Duree_Cumulee_Panne_Min]]/1440</f>
        <v>#VALUE!</v>
      </c>
      <c r="T726" s="1" t="str">
        <f>_xlfn.XLOOKUP(Logs[[#This Row],[ID_Client]],Clients_Log!B:B,Clients_Log!H:H,"Pas de correspondance")</f>
        <v>Pas de correspondance</v>
      </c>
      <c r="U726" s="1" t="str">
        <f>_xlfn.XLOOKUP(Logs[[#This Row],[ID_Client]],Clients_Log!B:B,Clients_Log!I:I,"Pas de correspondance")</f>
        <v>Pas de correspondance</v>
      </c>
      <c r="V72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26" s="1" t="e">
        <f>Logs[[#This Row],[Facture_Mensuelle]]*Logs[[#This Row],[Remise (%)]]</f>
        <v>#VALUE!</v>
      </c>
    </row>
    <row r="727" spans="1:23" x14ac:dyDescent="0.25">
      <c r="A727" s="1" t="s">
        <v>1317</v>
      </c>
      <c r="B727" s="2">
        <v>45201</v>
      </c>
      <c r="C727" s="1" t="str">
        <f>_xlfn.XLOOKUP(Logs[[#This Row],[Province_RDC]],Clients_Log!D:D,Clients_Log!B:B,"Pas de correspondance")</f>
        <v>CLI-00414</v>
      </c>
      <c r="D727" t="str">
        <f>_xlfn.XLOOKUP(Logs[[#This Row],[Cell_ID]],'Registre_Maintenance'!B:B,'Registre_Maintenance'!C:C,"Pas de correspondance")</f>
        <v>Bas-Uele</v>
      </c>
      <c r="E727" s="3">
        <v>0.52777777777777779</v>
      </c>
      <c r="F727" s="1" t="s">
        <v>1329</v>
      </c>
      <c r="G727" s="3">
        <f>Logs[[#This Row],[Duree_Panne_Min]]/1440</f>
        <v>1.3888888888888888E-2</v>
      </c>
      <c r="H727">
        <v>20</v>
      </c>
      <c r="I727">
        <f>_xlfn.XLOOKUP(Logs[[#This Row],[Cell_ID]],'Registre_Maintenance'!B:B,'Registre_Maintenance'!D:D,"Pas de correspondance")</f>
        <v>0.45116099999999998</v>
      </c>
      <c r="J727">
        <f>_xlfn.XLOOKUP(Logs[[#This Row],[Cell_ID]],'Registre_Maintenance'!B:B,'Registre_Maintenance'!E:E,"Pas de correspondance")</f>
        <v>17.265761000000001</v>
      </c>
      <c r="K727" t="str">
        <f>_xlfn.XLOOKUP(Logs[[#This Row],[Cell_ID]],'Registre_Maintenance'!B:B,'Registre_Maintenance'!F:F,"Pas de correspondance")</f>
        <v>4G</v>
      </c>
      <c r="L727" t="str">
        <f>_xlfn.XLOOKUP(Logs[[#This Row],[Cell_ID]],'Registre_Maintenance'!B:B,'Registre_Maintenance'!G:G,"Pas de correspondance")</f>
        <v>Huawei</v>
      </c>
      <c r="M727" s="1" t="s">
        <v>809</v>
      </c>
      <c r="N727" s="1">
        <f>_xlfn.XLOOKUP(Logs[[#This Row],[ID_Client]],Clients_Log!B:B,Clients_Log!E:E,"Pas de correspondance")</f>
        <v>99</v>
      </c>
      <c r="O727" s="4">
        <f>IFERROR(Logs[[#This Row],[Anciennete_Mois]]/12,"")</f>
        <v>8.25</v>
      </c>
      <c r="P727" s="1" t="str">
        <f>_xlfn.XLOOKUP(Logs[[#This Row],[ID_Client]],Clients_Log!B:B,Clients_Log!F:F,"Pas de correspondance")</f>
        <v>Premium 5G 150Go</v>
      </c>
      <c r="Q727" s="1" t="str">
        <f>IF(Logs[[#This Row],[Type_Forfait]]="Pro Monde","B2B","B2C")</f>
        <v>B2C</v>
      </c>
      <c r="R727" s="1">
        <f>_xlfn.XLOOKUP(Logs[[#This Row],[ID_Client]],Clients_Log!B:B,Clients_Log!G:G,"Pas de correspondance")</f>
        <v>447</v>
      </c>
      <c r="S727" s="3">
        <f>Logs[[#This Row],[Duree_Cumulee_Panne_Min]]/1440</f>
        <v>0.31041666666666667</v>
      </c>
      <c r="T727" s="1">
        <f>_xlfn.XLOOKUP(Logs[[#This Row],[ID_Client]],Clients_Log!B:B,Clients_Log!H:H,"Pas de correspondance")</f>
        <v>38.1</v>
      </c>
      <c r="U727" s="1">
        <f>_xlfn.XLOOKUP(Logs[[#This Row],[ID_Client]],Clients_Log!B:B,Clients_Log!I:I,"Pas de correspondance")</f>
        <v>3</v>
      </c>
      <c r="V72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27" s="1">
        <f>Logs[[#This Row],[Facture_Mensuelle]]*Logs[[#This Row],[Remise (%)]]</f>
        <v>17.145</v>
      </c>
    </row>
    <row r="728" spans="1:23" hidden="1" x14ac:dyDescent="0.25">
      <c r="A728" s="1" t="s">
        <v>1317</v>
      </c>
      <c r="B728" s="2">
        <v>45209</v>
      </c>
      <c r="C728" s="1" t="str">
        <f>_xlfn.XLOOKUP(Logs[[#This Row],[Province_RDC]],Clients_Log!D:D,Clients_Log!B:B,"Pas de correspondance")</f>
        <v>Pas de correspondance</v>
      </c>
      <c r="D728" t="str">
        <f>_xlfn.XLOOKUP(Logs[[#This Row],[Cell_ID]],'Registre_Maintenance'!B:B,'Registre_Maintenance'!C:C,"Pas de correspondance")</f>
        <v>Pas de correspondance</v>
      </c>
      <c r="E728" s="3">
        <v>0.98888888888888893</v>
      </c>
      <c r="F728" s="1" t="s">
        <v>1330</v>
      </c>
      <c r="G728" s="3">
        <f>Logs[[#This Row],[Duree_Panne_Min]]/1440</f>
        <v>5.5555555555555552E-2</v>
      </c>
      <c r="H728">
        <v>80</v>
      </c>
      <c r="I728" t="str">
        <f>_xlfn.XLOOKUP(Logs[[#This Row],[Cell_ID]],'Registre_Maintenance'!B:B,'Registre_Maintenance'!D:D,"Pas de correspondance")</f>
        <v>Pas de correspondance</v>
      </c>
      <c r="J728" t="str">
        <f>_xlfn.XLOOKUP(Logs[[#This Row],[Cell_ID]],'Registre_Maintenance'!B:B,'Registre_Maintenance'!E:E,"Pas de correspondance")</f>
        <v>Pas de correspondance</v>
      </c>
      <c r="K728" t="str">
        <f>_xlfn.XLOOKUP(Logs[[#This Row],[Cell_ID]],'Registre_Maintenance'!B:B,'Registre_Maintenance'!F:F,"Pas de correspondance")</f>
        <v>Pas de correspondance</v>
      </c>
      <c r="L728" t="str">
        <f>_xlfn.XLOOKUP(Logs[[#This Row],[Cell_ID]],'Registre_Maintenance'!B:B,'Registre_Maintenance'!G:G,"Pas de correspondance")</f>
        <v>Pas de correspondance</v>
      </c>
      <c r="M728" s="1" t="s">
        <v>809</v>
      </c>
      <c r="N728" s="1" t="str">
        <f>_xlfn.XLOOKUP(Logs[[#This Row],[ID_Client]],Clients_Log!B:B,Clients_Log!E:E,"Pas de correspondance")</f>
        <v>Pas de correspondance</v>
      </c>
      <c r="O728" s="4" t="str">
        <f>IFERROR(Logs[[#This Row],[Anciennete_Mois]]/12,"")</f>
        <v/>
      </c>
      <c r="P728" s="1" t="str">
        <f>_xlfn.XLOOKUP(Logs[[#This Row],[ID_Client]],Clients_Log!B:B,Clients_Log!F:F,"Pas de correspondance")</f>
        <v>Pas de correspondance</v>
      </c>
      <c r="Q728" s="1" t="str">
        <f>IF(Logs[[#This Row],[Type_Forfait]]="Pro Monde","B2B","B2C")</f>
        <v>B2C</v>
      </c>
      <c r="R728" s="1" t="str">
        <f>_xlfn.XLOOKUP(Logs[[#This Row],[ID_Client]],Clients_Log!B:B,Clients_Log!G:G,"Pas de correspondance")</f>
        <v>Pas de correspondance</v>
      </c>
      <c r="S728" s="1" t="e">
        <f>Logs[[#This Row],[Duree_Cumulee_Panne_Min]]/1440</f>
        <v>#VALUE!</v>
      </c>
      <c r="T728" s="1" t="str">
        <f>_xlfn.XLOOKUP(Logs[[#This Row],[ID_Client]],Clients_Log!B:B,Clients_Log!H:H,"Pas de correspondance")</f>
        <v>Pas de correspondance</v>
      </c>
      <c r="U728" s="1" t="str">
        <f>_xlfn.XLOOKUP(Logs[[#This Row],[ID_Client]],Clients_Log!B:B,Clients_Log!I:I,"Pas de correspondance")</f>
        <v>Pas de correspondance</v>
      </c>
      <c r="V72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28" s="1" t="e">
        <f>Logs[[#This Row],[Facture_Mensuelle]]*Logs[[#This Row],[Remise (%)]]</f>
        <v>#VALUE!</v>
      </c>
    </row>
    <row r="729" spans="1:23" hidden="1" x14ac:dyDescent="0.25">
      <c r="A729" s="1" t="s">
        <v>1317</v>
      </c>
      <c r="B729" s="2">
        <v>45224</v>
      </c>
      <c r="C729" s="1" t="str">
        <f>_xlfn.XLOOKUP(Logs[[#This Row],[Province_RDC]],Clients_Log!D:D,Clients_Log!B:B,"Pas de correspondance")</f>
        <v>Pas de correspondance</v>
      </c>
      <c r="D729" t="str">
        <f>_xlfn.XLOOKUP(Logs[[#This Row],[Cell_ID]],'Registre_Maintenance'!B:B,'Registre_Maintenance'!C:C,"Pas de correspondance")</f>
        <v>Pas de correspondance</v>
      </c>
      <c r="E729" s="3">
        <v>0.31041666666666667</v>
      </c>
      <c r="F729" s="1" t="s">
        <v>1237</v>
      </c>
      <c r="G729" s="3">
        <f>Logs[[#This Row],[Duree_Panne_Min]]/1440</f>
        <v>6.805555555555555E-2</v>
      </c>
      <c r="H729">
        <v>98</v>
      </c>
      <c r="I729" t="str">
        <f>_xlfn.XLOOKUP(Logs[[#This Row],[Cell_ID]],'Registre_Maintenance'!B:B,'Registre_Maintenance'!D:D,"Pas de correspondance")</f>
        <v>Pas de correspondance</v>
      </c>
      <c r="J729" t="str">
        <f>_xlfn.XLOOKUP(Logs[[#This Row],[Cell_ID]],'Registre_Maintenance'!B:B,'Registre_Maintenance'!E:E,"Pas de correspondance")</f>
        <v>Pas de correspondance</v>
      </c>
      <c r="K729" t="str">
        <f>_xlfn.XLOOKUP(Logs[[#This Row],[Cell_ID]],'Registre_Maintenance'!B:B,'Registre_Maintenance'!F:F,"Pas de correspondance")</f>
        <v>Pas de correspondance</v>
      </c>
      <c r="L729" t="str">
        <f>_xlfn.XLOOKUP(Logs[[#This Row],[Cell_ID]],'Registre_Maintenance'!B:B,'Registre_Maintenance'!G:G,"Pas de correspondance")</f>
        <v>Pas de correspondance</v>
      </c>
      <c r="M729" s="1" t="s">
        <v>809</v>
      </c>
      <c r="N729" s="1" t="str">
        <f>_xlfn.XLOOKUP(Logs[[#This Row],[ID_Client]],Clients_Log!B:B,Clients_Log!E:E,"Pas de correspondance")</f>
        <v>Pas de correspondance</v>
      </c>
      <c r="O729" s="4" t="str">
        <f>IFERROR(Logs[[#This Row],[Anciennete_Mois]]/12,"")</f>
        <v/>
      </c>
      <c r="P729" s="1" t="str">
        <f>_xlfn.XLOOKUP(Logs[[#This Row],[ID_Client]],Clients_Log!B:B,Clients_Log!F:F,"Pas de correspondance")</f>
        <v>Pas de correspondance</v>
      </c>
      <c r="Q729" s="1" t="str">
        <f>IF(Logs[[#This Row],[Type_Forfait]]="Pro Monde","B2B","B2C")</f>
        <v>B2C</v>
      </c>
      <c r="R729" s="1" t="str">
        <f>_xlfn.XLOOKUP(Logs[[#This Row],[ID_Client]],Clients_Log!B:B,Clients_Log!G:G,"Pas de correspondance")</f>
        <v>Pas de correspondance</v>
      </c>
      <c r="S729" s="1" t="e">
        <f>Logs[[#This Row],[Duree_Cumulee_Panne_Min]]/1440</f>
        <v>#VALUE!</v>
      </c>
      <c r="T729" s="1" t="str">
        <f>_xlfn.XLOOKUP(Logs[[#This Row],[ID_Client]],Clients_Log!B:B,Clients_Log!H:H,"Pas de correspondance")</f>
        <v>Pas de correspondance</v>
      </c>
      <c r="U729" s="1" t="str">
        <f>_xlfn.XLOOKUP(Logs[[#This Row],[ID_Client]],Clients_Log!B:B,Clients_Log!I:I,"Pas de correspondance")</f>
        <v>Pas de correspondance</v>
      </c>
      <c r="V72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29" s="1" t="e">
        <f>Logs[[#This Row],[Facture_Mensuelle]]*Logs[[#This Row],[Remise (%)]]</f>
        <v>#VALUE!</v>
      </c>
    </row>
    <row r="730" spans="1:23" hidden="1" x14ac:dyDescent="0.25">
      <c r="A730" s="1" t="s">
        <v>1317</v>
      </c>
      <c r="B730" s="2">
        <v>45220</v>
      </c>
      <c r="C730" s="1" t="str">
        <f>_xlfn.XLOOKUP(Logs[[#This Row],[Province_RDC]],Clients_Log!D:D,Clients_Log!B:B,"Pas de correspondance")</f>
        <v>Pas de correspondance</v>
      </c>
      <c r="D730" t="str">
        <f>_xlfn.XLOOKUP(Logs[[#This Row],[Cell_ID]],'Registre_Maintenance'!B:B,'Registre_Maintenance'!C:C,"Pas de correspondance")</f>
        <v>Pas de correspondance</v>
      </c>
      <c r="E730" s="3">
        <v>0.11458333333333333</v>
      </c>
      <c r="F730" s="1" t="s">
        <v>850</v>
      </c>
      <c r="G730" s="3">
        <f>Logs[[#This Row],[Duree_Panne_Min]]/1440</f>
        <v>3.7499999999999999E-2</v>
      </c>
      <c r="H730">
        <v>54</v>
      </c>
      <c r="I730" t="str">
        <f>_xlfn.XLOOKUP(Logs[[#This Row],[Cell_ID]],'Registre_Maintenance'!B:B,'Registre_Maintenance'!D:D,"Pas de correspondance")</f>
        <v>Pas de correspondance</v>
      </c>
      <c r="J730" t="str">
        <f>_xlfn.XLOOKUP(Logs[[#This Row],[Cell_ID]],'Registre_Maintenance'!B:B,'Registre_Maintenance'!E:E,"Pas de correspondance")</f>
        <v>Pas de correspondance</v>
      </c>
      <c r="K730" t="str">
        <f>_xlfn.XLOOKUP(Logs[[#This Row],[Cell_ID]],'Registre_Maintenance'!B:B,'Registre_Maintenance'!F:F,"Pas de correspondance")</f>
        <v>Pas de correspondance</v>
      </c>
      <c r="L730" t="str">
        <f>_xlfn.XLOOKUP(Logs[[#This Row],[Cell_ID]],'Registre_Maintenance'!B:B,'Registre_Maintenance'!G:G,"Pas de correspondance")</f>
        <v>Pas de correspondance</v>
      </c>
      <c r="M730" s="1" t="s">
        <v>809</v>
      </c>
      <c r="N730" s="1" t="str">
        <f>_xlfn.XLOOKUP(Logs[[#This Row],[ID_Client]],Clients_Log!B:B,Clients_Log!E:E,"Pas de correspondance")</f>
        <v>Pas de correspondance</v>
      </c>
      <c r="O730" s="4" t="str">
        <f>IFERROR(Logs[[#This Row],[Anciennete_Mois]]/12,"")</f>
        <v/>
      </c>
      <c r="P730" s="1" t="str">
        <f>_xlfn.XLOOKUP(Logs[[#This Row],[ID_Client]],Clients_Log!B:B,Clients_Log!F:F,"Pas de correspondance")</f>
        <v>Pas de correspondance</v>
      </c>
      <c r="Q730" s="1" t="str">
        <f>IF(Logs[[#This Row],[Type_Forfait]]="Pro Monde","B2B","B2C")</f>
        <v>B2C</v>
      </c>
      <c r="R730" s="1" t="str">
        <f>_xlfn.XLOOKUP(Logs[[#This Row],[ID_Client]],Clients_Log!B:B,Clients_Log!G:G,"Pas de correspondance")</f>
        <v>Pas de correspondance</v>
      </c>
      <c r="S730" s="1" t="e">
        <f>Logs[[#This Row],[Duree_Cumulee_Panne_Min]]/1440</f>
        <v>#VALUE!</v>
      </c>
      <c r="T730" s="1" t="str">
        <f>_xlfn.XLOOKUP(Logs[[#This Row],[ID_Client]],Clients_Log!B:B,Clients_Log!H:H,"Pas de correspondance")</f>
        <v>Pas de correspondance</v>
      </c>
      <c r="U730" s="1" t="str">
        <f>_xlfn.XLOOKUP(Logs[[#This Row],[ID_Client]],Clients_Log!B:B,Clients_Log!I:I,"Pas de correspondance")</f>
        <v>Pas de correspondance</v>
      </c>
      <c r="V73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30" s="1" t="e">
        <f>Logs[[#This Row],[Facture_Mensuelle]]*Logs[[#This Row],[Remise (%)]]</f>
        <v>#VALUE!</v>
      </c>
    </row>
    <row r="731" spans="1:23" hidden="1" x14ac:dyDescent="0.25">
      <c r="A731" s="1" t="s">
        <v>1317</v>
      </c>
      <c r="B731" s="2">
        <v>45203</v>
      </c>
      <c r="C731" s="1" t="str">
        <f>_xlfn.XLOOKUP(Logs[[#This Row],[Province_RDC]],Clients_Log!D:D,Clients_Log!B:B,"Pas de correspondance")</f>
        <v>Pas de correspondance</v>
      </c>
      <c r="D731" t="str">
        <f>_xlfn.XLOOKUP(Logs[[#This Row],[Cell_ID]],'Registre_Maintenance'!B:B,'Registre_Maintenance'!C:C,"Pas de correspondance")</f>
        <v>Pas de correspondance</v>
      </c>
      <c r="E731" s="3">
        <v>9.0277777777777769E-3</v>
      </c>
      <c r="F731" s="1" t="s">
        <v>1292</v>
      </c>
      <c r="G731" s="3">
        <f>Logs[[#This Row],[Duree_Panne_Min]]/1440</f>
        <v>3.4027777777777775E-2</v>
      </c>
      <c r="H731">
        <v>49</v>
      </c>
      <c r="I731" t="str">
        <f>_xlfn.XLOOKUP(Logs[[#This Row],[Cell_ID]],'Registre_Maintenance'!B:B,'Registre_Maintenance'!D:D,"Pas de correspondance")</f>
        <v>Pas de correspondance</v>
      </c>
      <c r="J731" t="str">
        <f>_xlfn.XLOOKUP(Logs[[#This Row],[Cell_ID]],'Registre_Maintenance'!B:B,'Registre_Maintenance'!E:E,"Pas de correspondance")</f>
        <v>Pas de correspondance</v>
      </c>
      <c r="K731" t="str">
        <f>_xlfn.XLOOKUP(Logs[[#This Row],[Cell_ID]],'Registre_Maintenance'!B:B,'Registre_Maintenance'!F:F,"Pas de correspondance")</f>
        <v>Pas de correspondance</v>
      </c>
      <c r="L731" t="str">
        <f>_xlfn.XLOOKUP(Logs[[#This Row],[Cell_ID]],'Registre_Maintenance'!B:B,'Registre_Maintenance'!G:G,"Pas de correspondance")</f>
        <v>Pas de correspondance</v>
      </c>
      <c r="M731" s="1" t="s">
        <v>806</v>
      </c>
      <c r="N731" s="1" t="str">
        <f>_xlfn.XLOOKUP(Logs[[#This Row],[ID_Client]],Clients_Log!B:B,Clients_Log!E:E,"Pas de correspondance")</f>
        <v>Pas de correspondance</v>
      </c>
      <c r="O731" s="4" t="str">
        <f>IFERROR(Logs[[#This Row],[Anciennete_Mois]]/12,"")</f>
        <v/>
      </c>
      <c r="P731" s="1" t="str">
        <f>_xlfn.XLOOKUP(Logs[[#This Row],[ID_Client]],Clients_Log!B:B,Clients_Log!F:F,"Pas de correspondance")</f>
        <v>Pas de correspondance</v>
      </c>
      <c r="Q731" s="1" t="str">
        <f>IF(Logs[[#This Row],[Type_Forfait]]="Pro Monde","B2B","B2C")</f>
        <v>B2C</v>
      </c>
      <c r="R731" s="1" t="str">
        <f>_xlfn.XLOOKUP(Logs[[#This Row],[ID_Client]],Clients_Log!B:B,Clients_Log!G:G,"Pas de correspondance")</f>
        <v>Pas de correspondance</v>
      </c>
      <c r="S731" s="1" t="e">
        <f>Logs[[#This Row],[Duree_Cumulee_Panne_Min]]/1440</f>
        <v>#VALUE!</v>
      </c>
      <c r="T731" s="1" t="str">
        <f>_xlfn.XLOOKUP(Logs[[#This Row],[ID_Client]],Clients_Log!B:B,Clients_Log!H:H,"Pas de correspondance")</f>
        <v>Pas de correspondance</v>
      </c>
      <c r="U731" s="1" t="str">
        <f>_xlfn.XLOOKUP(Logs[[#This Row],[ID_Client]],Clients_Log!B:B,Clients_Log!I:I,"Pas de correspondance")</f>
        <v>Pas de correspondance</v>
      </c>
      <c r="V73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31" s="1" t="e">
        <f>Logs[[#This Row],[Facture_Mensuelle]]*Logs[[#This Row],[Remise (%)]]</f>
        <v>#VALUE!</v>
      </c>
    </row>
    <row r="732" spans="1:23" hidden="1" x14ac:dyDescent="0.25">
      <c r="A732" s="1" t="s">
        <v>1317</v>
      </c>
      <c r="B732" s="2">
        <v>45215</v>
      </c>
      <c r="C732" s="1" t="str">
        <f>_xlfn.XLOOKUP(Logs[[#This Row],[Province_RDC]],Clients_Log!D:D,Clients_Log!B:B,"Pas de correspondance")</f>
        <v>Pas de correspondance</v>
      </c>
      <c r="D732" t="str">
        <f>_xlfn.XLOOKUP(Logs[[#This Row],[Cell_ID]],'Registre_Maintenance'!B:B,'Registre_Maintenance'!C:C,"Pas de correspondance")</f>
        <v>Pas de correspondance</v>
      </c>
      <c r="E732" s="3">
        <v>8.8888888888888892E-2</v>
      </c>
      <c r="F732" s="1" t="s">
        <v>1194</v>
      </c>
      <c r="G732" s="3">
        <f>Logs[[#This Row],[Duree_Panne_Min]]/1440</f>
        <v>4.0972222222222222E-2</v>
      </c>
      <c r="H732">
        <v>59</v>
      </c>
      <c r="I732" t="str">
        <f>_xlfn.XLOOKUP(Logs[[#This Row],[Cell_ID]],'Registre_Maintenance'!B:B,'Registre_Maintenance'!D:D,"Pas de correspondance")</f>
        <v>Pas de correspondance</v>
      </c>
      <c r="J732" t="str">
        <f>_xlfn.XLOOKUP(Logs[[#This Row],[Cell_ID]],'Registre_Maintenance'!B:B,'Registre_Maintenance'!E:E,"Pas de correspondance")</f>
        <v>Pas de correspondance</v>
      </c>
      <c r="K732" t="str">
        <f>_xlfn.XLOOKUP(Logs[[#This Row],[Cell_ID]],'Registre_Maintenance'!B:B,'Registre_Maintenance'!F:F,"Pas de correspondance")</f>
        <v>Pas de correspondance</v>
      </c>
      <c r="L732" t="str">
        <f>_xlfn.XLOOKUP(Logs[[#This Row],[Cell_ID]],'Registre_Maintenance'!B:B,'Registre_Maintenance'!G:G,"Pas de correspondance")</f>
        <v>Pas de correspondance</v>
      </c>
      <c r="M732" s="1" t="s">
        <v>811</v>
      </c>
      <c r="N732" s="1" t="str">
        <f>_xlfn.XLOOKUP(Logs[[#This Row],[ID_Client]],Clients_Log!B:B,Clients_Log!E:E,"Pas de correspondance")</f>
        <v>Pas de correspondance</v>
      </c>
      <c r="O732" s="4" t="str">
        <f>IFERROR(Logs[[#This Row],[Anciennete_Mois]]/12,"")</f>
        <v/>
      </c>
      <c r="P732" s="1" t="str">
        <f>_xlfn.XLOOKUP(Logs[[#This Row],[ID_Client]],Clients_Log!B:B,Clients_Log!F:F,"Pas de correspondance")</f>
        <v>Pas de correspondance</v>
      </c>
      <c r="Q732" s="1" t="str">
        <f>IF(Logs[[#This Row],[Type_Forfait]]="Pro Monde","B2B","B2C")</f>
        <v>B2C</v>
      </c>
      <c r="R732" s="1" t="str">
        <f>_xlfn.XLOOKUP(Logs[[#This Row],[ID_Client]],Clients_Log!B:B,Clients_Log!G:G,"Pas de correspondance")</f>
        <v>Pas de correspondance</v>
      </c>
      <c r="S732" s="1" t="e">
        <f>Logs[[#This Row],[Duree_Cumulee_Panne_Min]]/1440</f>
        <v>#VALUE!</v>
      </c>
      <c r="T732" s="1" t="str">
        <f>_xlfn.XLOOKUP(Logs[[#This Row],[ID_Client]],Clients_Log!B:B,Clients_Log!H:H,"Pas de correspondance")</f>
        <v>Pas de correspondance</v>
      </c>
      <c r="U732" s="1" t="str">
        <f>_xlfn.XLOOKUP(Logs[[#This Row],[ID_Client]],Clients_Log!B:B,Clients_Log!I:I,"Pas de correspondance")</f>
        <v>Pas de correspondance</v>
      </c>
      <c r="V73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32" s="1" t="e">
        <f>Logs[[#This Row],[Facture_Mensuelle]]*Logs[[#This Row],[Remise (%)]]</f>
        <v>#VALUE!</v>
      </c>
    </row>
    <row r="733" spans="1:23" hidden="1" x14ac:dyDescent="0.25">
      <c r="A733" s="1" t="s">
        <v>1317</v>
      </c>
      <c r="B733" s="2">
        <v>45218</v>
      </c>
      <c r="C733" s="1" t="str">
        <f>_xlfn.XLOOKUP(Logs[[#This Row],[Province_RDC]],Clients_Log!D:D,Clients_Log!B:B,"Pas de correspondance")</f>
        <v>Pas de correspondance</v>
      </c>
      <c r="D733" t="str">
        <f>_xlfn.XLOOKUP(Logs[[#This Row],[Cell_ID]],'Registre_Maintenance'!B:B,'Registre_Maintenance'!C:C,"Pas de correspondance")</f>
        <v>Pas de correspondance</v>
      </c>
      <c r="E733" s="3">
        <v>0.31458333333333333</v>
      </c>
      <c r="F733" s="1" t="s">
        <v>1331</v>
      </c>
      <c r="G733" s="3">
        <f>Logs[[#This Row],[Duree_Panne_Min]]/1440</f>
        <v>3.125E-2</v>
      </c>
      <c r="H733">
        <v>45</v>
      </c>
      <c r="I733" t="str">
        <f>_xlfn.XLOOKUP(Logs[[#This Row],[Cell_ID]],'Registre_Maintenance'!B:B,'Registre_Maintenance'!D:D,"Pas de correspondance")</f>
        <v>Pas de correspondance</v>
      </c>
      <c r="J733" t="str">
        <f>_xlfn.XLOOKUP(Logs[[#This Row],[Cell_ID]],'Registre_Maintenance'!B:B,'Registre_Maintenance'!E:E,"Pas de correspondance")</f>
        <v>Pas de correspondance</v>
      </c>
      <c r="K733" t="str">
        <f>_xlfn.XLOOKUP(Logs[[#This Row],[Cell_ID]],'Registre_Maintenance'!B:B,'Registre_Maintenance'!F:F,"Pas de correspondance")</f>
        <v>Pas de correspondance</v>
      </c>
      <c r="L733" t="str">
        <f>_xlfn.XLOOKUP(Logs[[#This Row],[Cell_ID]],'Registre_Maintenance'!B:B,'Registre_Maintenance'!G:G,"Pas de correspondance")</f>
        <v>Pas de correspondance</v>
      </c>
      <c r="M733" s="1" t="s">
        <v>806</v>
      </c>
      <c r="N733" s="1" t="str">
        <f>_xlfn.XLOOKUP(Logs[[#This Row],[ID_Client]],Clients_Log!B:B,Clients_Log!E:E,"Pas de correspondance")</f>
        <v>Pas de correspondance</v>
      </c>
      <c r="O733" s="4" t="str">
        <f>IFERROR(Logs[[#This Row],[Anciennete_Mois]]/12,"")</f>
        <v/>
      </c>
      <c r="P733" s="1" t="str">
        <f>_xlfn.XLOOKUP(Logs[[#This Row],[ID_Client]],Clients_Log!B:B,Clients_Log!F:F,"Pas de correspondance")</f>
        <v>Pas de correspondance</v>
      </c>
      <c r="Q733" s="1" t="str">
        <f>IF(Logs[[#This Row],[Type_Forfait]]="Pro Monde","B2B","B2C")</f>
        <v>B2C</v>
      </c>
      <c r="R733" s="1" t="str">
        <f>_xlfn.XLOOKUP(Logs[[#This Row],[ID_Client]],Clients_Log!B:B,Clients_Log!G:G,"Pas de correspondance")</f>
        <v>Pas de correspondance</v>
      </c>
      <c r="S733" s="1" t="e">
        <f>Logs[[#This Row],[Duree_Cumulee_Panne_Min]]/1440</f>
        <v>#VALUE!</v>
      </c>
      <c r="T733" s="1" t="str">
        <f>_xlfn.XLOOKUP(Logs[[#This Row],[ID_Client]],Clients_Log!B:B,Clients_Log!H:H,"Pas de correspondance")</f>
        <v>Pas de correspondance</v>
      </c>
      <c r="U733" s="1" t="str">
        <f>_xlfn.XLOOKUP(Logs[[#This Row],[ID_Client]],Clients_Log!B:B,Clients_Log!I:I,"Pas de correspondance")</f>
        <v>Pas de correspondance</v>
      </c>
      <c r="V73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33" s="1" t="e">
        <f>Logs[[#This Row],[Facture_Mensuelle]]*Logs[[#This Row],[Remise (%)]]</f>
        <v>#VALUE!</v>
      </c>
    </row>
    <row r="734" spans="1:23" hidden="1" x14ac:dyDescent="0.25">
      <c r="A734" s="1" t="s">
        <v>1317</v>
      </c>
      <c r="B734" s="2">
        <v>45221</v>
      </c>
      <c r="C734" s="1" t="str">
        <f>_xlfn.XLOOKUP(Logs[[#This Row],[Province_RDC]],Clients_Log!D:D,Clients_Log!B:B,"Pas de correspondance")</f>
        <v>Pas de correspondance</v>
      </c>
      <c r="D734" t="str">
        <f>_xlfn.XLOOKUP(Logs[[#This Row],[Cell_ID]],'Registre_Maintenance'!B:B,'Registre_Maintenance'!C:C,"Pas de correspondance")</f>
        <v>Pas de correspondance</v>
      </c>
      <c r="E734" s="3">
        <v>0.58333333333333337</v>
      </c>
      <c r="F734" s="1" t="s">
        <v>1332</v>
      </c>
      <c r="G734" s="3">
        <f>Logs[[#This Row],[Duree_Panne_Min]]/1440</f>
        <v>7.3611111111111113E-2</v>
      </c>
      <c r="H734">
        <v>106</v>
      </c>
      <c r="I734" t="str">
        <f>_xlfn.XLOOKUP(Logs[[#This Row],[Cell_ID]],'Registre_Maintenance'!B:B,'Registre_Maintenance'!D:D,"Pas de correspondance")</f>
        <v>Pas de correspondance</v>
      </c>
      <c r="J734" t="str">
        <f>_xlfn.XLOOKUP(Logs[[#This Row],[Cell_ID]],'Registre_Maintenance'!B:B,'Registre_Maintenance'!E:E,"Pas de correspondance")</f>
        <v>Pas de correspondance</v>
      </c>
      <c r="K734" t="str">
        <f>_xlfn.XLOOKUP(Logs[[#This Row],[Cell_ID]],'Registre_Maintenance'!B:B,'Registre_Maintenance'!F:F,"Pas de correspondance")</f>
        <v>Pas de correspondance</v>
      </c>
      <c r="L734" t="str">
        <f>_xlfn.XLOOKUP(Logs[[#This Row],[Cell_ID]],'Registre_Maintenance'!B:B,'Registre_Maintenance'!G:G,"Pas de correspondance")</f>
        <v>Pas de correspondance</v>
      </c>
      <c r="M734" s="1" t="s">
        <v>811</v>
      </c>
      <c r="N734" s="1" t="str">
        <f>_xlfn.XLOOKUP(Logs[[#This Row],[ID_Client]],Clients_Log!B:B,Clients_Log!E:E,"Pas de correspondance")</f>
        <v>Pas de correspondance</v>
      </c>
      <c r="O734" s="4" t="str">
        <f>IFERROR(Logs[[#This Row],[Anciennete_Mois]]/12,"")</f>
        <v/>
      </c>
      <c r="P734" s="1" t="str">
        <f>_xlfn.XLOOKUP(Logs[[#This Row],[ID_Client]],Clients_Log!B:B,Clients_Log!F:F,"Pas de correspondance")</f>
        <v>Pas de correspondance</v>
      </c>
      <c r="Q734" s="1" t="str">
        <f>IF(Logs[[#This Row],[Type_Forfait]]="Pro Monde","B2B","B2C")</f>
        <v>B2C</v>
      </c>
      <c r="R734" s="1" t="str">
        <f>_xlfn.XLOOKUP(Logs[[#This Row],[ID_Client]],Clients_Log!B:B,Clients_Log!G:G,"Pas de correspondance")</f>
        <v>Pas de correspondance</v>
      </c>
      <c r="S734" s="1" t="e">
        <f>Logs[[#This Row],[Duree_Cumulee_Panne_Min]]/1440</f>
        <v>#VALUE!</v>
      </c>
      <c r="T734" s="1" t="str">
        <f>_xlfn.XLOOKUP(Logs[[#This Row],[ID_Client]],Clients_Log!B:B,Clients_Log!H:H,"Pas de correspondance")</f>
        <v>Pas de correspondance</v>
      </c>
      <c r="U734" s="1" t="str">
        <f>_xlfn.XLOOKUP(Logs[[#This Row],[ID_Client]],Clients_Log!B:B,Clients_Log!I:I,"Pas de correspondance")</f>
        <v>Pas de correspondance</v>
      </c>
      <c r="V73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34" s="1" t="e">
        <f>Logs[[#This Row],[Facture_Mensuelle]]*Logs[[#This Row],[Remise (%)]]</f>
        <v>#VALUE!</v>
      </c>
    </row>
    <row r="735" spans="1:23" hidden="1" x14ac:dyDescent="0.25">
      <c r="A735" s="1" t="s">
        <v>1317</v>
      </c>
      <c r="B735" s="2">
        <v>45200</v>
      </c>
      <c r="C735" s="1" t="str">
        <f>_xlfn.XLOOKUP(Logs[[#This Row],[Province_RDC]],Clients_Log!D:D,Clients_Log!B:B,"Pas de correspondance")</f>
        <v>Pas de correspondance</v>
      </c>
      <c r="D735" t="str">
        <f>_xlfn.XLOOKUP(Logs[[#This Row],[Cell_ID]],'Registre_Maintenance'!B:B,'Registre_Maintenance'!C:C,"Pas de correspondance")</f>
        <v>Pas de correspondance</v>
      </c>
      <c r="E735" s="3">
        <v>0.93125000000000002</v>
      </c>
      <c r="F735" s="1" t="s">
        <v>1113</v>
      </c>
      <c r="G735" s="3">
        <f>Logs[[#This Row],[Duree_Panne_Min]]/1440</f>
        <v>1.5277777777777777E-2</v>
      </c>
      <c r="H735">
        <v>22</v>
      </c>
      <c r="I735" t="str">
        <f>_xlfn.XLOOKUP(Logs[[#This Row],[Cell_ID]],'Registre_Maintenance'!B:B,'Registre_Maintenance'!D:D,"Pas de correspondance")</f>
        <v>Pas de correspondance</v>
      </c>
      <c r="J735" t="str">
        <f>_xlfn.XLOOKUP(Logs[[#This Row],[Cell_ID]],'Registre_Maintenance'!B:B,'Registre_Maintenance'!E:E,"Pas de correspondance")</f>
        <v>Pas de correspondance</v>
      </c>
      <c r="K735" t="str">
        <f>_xlfn.XLOOKUP(Logs[[#This Row],[Cell_ID]],'Registre_Maintenance'!B:B,'Registre_Maintenance'!F:F,"Pas de correspondance")</f>
        <v>Pas de correspondance</v>
      </c>
      <c r="L735" t="str">
        <f>_xlfn.XLOOKUP(Logs[[#This Row],[Cell_ID]],'Registre_Maintenance'!B:B,'Registre_Maintenance'!G:G,"Pas de correspondance")</f>
        <v>Pas de correspondance</v>
      </c>
      <c r="M735" s="1" t="s">
        <v>806</v>
      </c>
      <c r="N735" s="1" t="str">
        <f>_xlfn.XLOOKUP(Logs[[#This Row],[ID_Client]],Clients_Log!B:B,Clients_Log!E:E,"Pas de correspondance")</f>
        <v>Pas de correspondance</v>
      </c>
      <c r="O735" s="4" t="str">
        <f>IFERROR(Logs[[#This Row],[Anciennete_Mois]]/12,"")</f>
        <v/>
      </c>
      <c r="P735" s="1" t="str">
        <f>_xlfn.XLOOKUP(Logs[[#This Row],[ID_Client]],Clients_Log!B:B,Clients_Log!F:F,"Pas de correspondance")</f>
        <v>Pas de correspondance</v>
      </c>
      <c r="Q735" s="1" t="str">
        <f>IF(Logs[[#This Row],[Type_Forfait]]="Pro Monde","B2B","B2C")</f>
        <v>B2C</v>
      </c>
      <c r="R735" s="1" t="str">
        <f>_xlfn.XLOOKUP(Logs[[#This Row],[ID_Client]],Clients_Log!B:B,Clients_Log!G:G,"Pas de correspondance")</f>
        <v>Pas de correspondance</v>
      </c>
      <c r="S735" s="1" t="e">
        <f>Logs[[#This Row],[Duree_Cumulee_Panne_Min]]/1440</f>
        <v>#VALUE!</v>
      </c>
      <c r="T735" s="1" t="str">
        <f>_xlfn.XLOOKUP(Logs[[#This Row],[ID_Client]],Clients_Log!B:B,Clients_Log!H:H,"Pas de correspondance")</f>
        <v>Pas de correspondance</v>
      </c>
      <c r="U735" s="1" t="str">
        <f>_xlfn.XLOOKUP(Logs[[#This Row],[ID_Client]],Clients_Log!B:B,Clients_Log!I:I,"Pas de correspondance")</f>
        <v>Pas de correspondance</v>
      </c>
      <c r="V73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35" s="1" t="e">
        <f>Logs[[#This Row],[Facture_Mensuelle]]*Logs[[#This Row],[Remise (%)]]</f>
        <v>#VALUE!</v>
      </c>
    </row>
    <row r="736" spans="1:23" hidden="1" x14ac:dyDescent="0.25">
      <c r="A736" s="1" t="s">
        <v>1317</v>
      </c>
      <c r="B736" s="2">
        <v>45226</v>
      </c>
      <c r="C736" s="1" t="str">
        <f>_xlfn.XLOOKUP(Logs[[#This Row],[Province_RDC]],Clients_Log!D:D,Clients_Log!B:B,"Pas de correspondance")</f>
        <v>Pas de correspondance</v>
      </c>
      <c r="D736" t="str">
        <f>_xlfn.XLOOKUP(Logs[[#This Row],[Cell_ID]],'Registre_Maintenance'!B:B,'Registre_Maintenance'!C:C,"Pas de correspondance")</f>
        <v>Pas de correspondance</v>
      </c>
      <c r="E736" s="3">
        <v>0.16319444444444445</v>
      </c>
      <c r="F736" s="1" t="s">
        <v>1333</v>
      </c>
      <c r="G736" s="3">
        <f>Logs[[#This Row],[Duree_Panne_Min]]/1440</f>
        <v>2.5000000000000001E-2</v>
      </c>
      <c r="H736">
        <v>36</v>
      </c>
      <c r="I736" t="str">
        <f>_xlfn.XLOOKUP(Logs[[#This Row],[Cell_ID]],'Registre_Maintenance'!B:B,'Registre_Maintenance'!D:D,"Pas de correspondance")</f>
        <v>Pas de correspondance</v>
      </c>
      <c r="J736" t="str">
        <f>_xlfn.XLOOKUP(Logs[[#This Row],[Cell_ID]],'Registre_Maintenance'!B:B,'Registre_Maintenance'!E:E,"Pas de correspondance")</f>
        <v>Pas de correspondance</v>
      </c>
      <c r="K736" t="str">
        <f>_xlfn.XLOOKUP(Logs[[#This Row],[Cell_ID]],'Registre_Maintenance'!B:B,'Registre_Maintenance'!F:F,"Pas de correspondance")</f>
        <v>Pas de correspondance</v>
      </c>
      <c r="L736" t="str">
        <f>_xlfn.XLOOKUP(Logs[[#This Row],[Cell_ID]],'Registre_Maintenance'!B:B,'Registre_Maintenance'!G:G,"Pas de correspondance")</f>
        <v>Pas de correspondance</v>
      </c>
      <c r="M736" s="1" t="s">
        <v>809</v>
      </c>
      <c r="N736" s="1" t="str">
        <f>_xlfn.XLOOKUP(Logs[[#This Row],[ID_Client]],Clients_Log!B:B,Clients_Log!E:E,"Pas de correspondance")</f>
        <v>Pas de correspondance</v>
      </c>
      <c r="O736" s="4" t="str">
        <f>IFERROR(Logs[[#This Row],[Anciennete_Mois]]/12,"")</f>
        <v/>
      </c>
      <c r="P736" s="1" t="str">
        <f>_xlfn.XLOOKUP(Logs[[#This Row],[ID_Client]],Clients_Log!B:B,Clients_Log!F:F,"Pas de correspondance")</f>
        <v>Pas de correspondance</v>
      </c>
      <c r="Q736" s="1" t="str">
        <f>IF(Logs[[#This Row],[Type_Forfait]]="Pro Monde","B2B","B2C")</f>
        <v>B2C</v>
      </c>
      <c r="R736" s="1" t="str">
        <f>_xlfn.XLOOKUP(Logs[[#This Row],[ID_Client]],Clients_Log!B:B,Clients_Log!G:G,"Pas de correspondance")</f>
        <v>Pas de correspondance</v>
      </c>
      <c r="S736" s="1" t="e">
        <f>Logs[[#This Row],[Duree_Cumulee_Panne_Min]]/1440</f>
        <v>#VALUE!</v>
      </c>
      <c r="T736" s="1" t="str">
        <f>_xlfn.XLOOKUP(Logs[[#This Row],[ID_Client]],Clients_Log!B:B,Clients_Log!H:H,"Pas de correspondance")</f>
        <v>Pas de correspondance</v>
      </c>
      <c r="U736" s="1" t="str">
        <f>_xlfn.XLOOKUP(Logs[[#This Row],[ID_Client]],Clients_Log!B:B,Clients_Log!I:I,"Pas de correspondance")</f>
        <v>Pas de correspondance</v>
      </c>
      <c r="V73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36" s="1" t="e">
        <f>Logs[[#This Row],[Facture_Mensuelle]]*Logs[[#This Row],[Remise (%)]]</f>
        <v>#VALUE!</v>
      </c>
    </row>
    <row r="737" spans="1:23" hidden="1" x14ac:dyDescent="0.25">
      <c r="A737" s="1" t="s">
        <v>1317</v>
      </c>
      <c r="B737" s="2">
        <v>45213</v>
      </c>
      <c r="C737" s="1" t="str">
        <f>_xlfn.XLOOKUP(Logs[[#This Row],[Province_RDC]],Clients_Log!D:D,Clients_Log!B:B,"Pas de correspondance")</f>
        <v>Pas de correspondance</v>
      </c>
      <c r="D737" t="str">
        <f>_xlfn.XLOOKUP(Logs[[#This Row],[Cell_ID]],'Registre_Maintenance'!B:B,'Registre_Maintenance'!C:C,"Pas de correspondance")</f>
        <v>Pas de correspondance</v>
      </c>
      <c r="E737" s="3">
        <v>0.92222222222222228</v>
      </c>
      <c r="F737" s="1" t="s">
        <v>1244</v>
      </c>
      <c r="G737" s="3">
        <f>Logs[[#This Row],[Duree_Panne_Min]]/1440</f>
        <v>2.7777777777777776E-2</v>
      </c>
      <c r="H737">
        <v>40</v>
      </c>
      <c r="I737" t="str">
        <f>_xlfn.XLOOKUP(Logs[[#This Row],[Cell_ID]],'Registre_Maintenance'!B:B,'Registre_Maintenance'!D:D,"Pas de correspondance")</f>
        <v>Pas de correspondance</v>
      </c>
      <c r="J737" t="str">
        <f>_xlfn.XLOOKUP(Logs[[#This Row],[Cell_ID]],'Registre_Maintenance'!B:B,'Registre_Maintenance'!E:E,"Pas de correspondance")</f>
        <v>Pas de correspondance</v>
      </c>
      <c r="K737" t="str">
        <f>_xlfn.XLOOKUP(Logs[[#This Row],[Cell_ID]],'Registre_Maintenance'!B:B,'Registre_Maintenance'!F:F,"Pas de correspondance")</f>
        <v>Pas de correspondance</v>
      </c>
      <c r="L737" t="str">
        <f>_xlfn.XLOOKUP(Logs[[#This Row],[Cell_ID]],'Registre_Maintenance'!B:B,'Registre_Maintenance'!G:G,"Pas de correspondance")</f>
        <v>Pas de correspondance</v>
      </c>
      <c r="M737" s="1" t="s">
        <v>806</v>
      </c>
      <c r="N737" s="1" t="str">
        <f>_xlfn.XLOOKUP(Logs[[#This Row],[ID_Client]],Clients_Log!B:B,Clients_Log!E:E,"Pas de correspondance")</f>
        <v>Pas de correspondance</v>
      </c>
      <c r="O737" s="4" t="str">
        <f>IFERROR(Logs[[#This Row],[Anciennete_Mois]]/12,"")</f>
        <v/>
      </c>
      <c r="P737" s="1" t="str">
        <f>_xlfn.XLOOKUP(Logs[[#This Row],[ID_Client]],Clients_Log!B:B,Clients_Log!F:F,"Pas de correspondance")</f>
        <v>Pas de correspondance</v>
      </c>
      <c r="Q737" s="1" t="str">
        <f>IF(Logs[[#This Row],[Type_Forfait]]="Pro Monde","B2B","B2C")</f>
        <v>B2C</v>
      </c>
      <c r="R737" s="1" t="str">
        <f>_xlfn.XLOOKUP(Logs[[#This Row],[ID_Client]],Clients_Log!B:B,Clients_Log!G:G,"Pas de correspondance")</f>
        <v>Pas de correspondance</v>
      </c>
      <c r="S737" s="1" t="e">
        <f>Logs[[#This Row],[Duree_Cumulee_Panne_Min]]/1440</f>
        <v>#VALUE!</v>
      </c>
      <c r="T737" s="1" t="str">
        <f>_xlfn.XLOOKUP(Logs[[#This Row],[ID_Client]],Clients_Log!B:B,Clients_Log!H:H,"Pas de correspondance")</f>
        <v>Pas de correspondance</v>
      </c>
      <c r="U737" s="1" t="str">
        <f>_xlfn.XLOOKUP(Logs[[#This Row],[ID_Client]],Clients_Log!B:B,Clients_Log!I:I,"Pas de correspondance")</f>
        <v>Pas de correspondance</v>
      </c>
      <c r="V73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37" s="1" t="e">
        <f>Logs[[#This Row],[Facture_Mensuelle]]*Logs[[#This Row],[Remise (%)]]</f>
        <v>#VALUE!</v>
      </c>
    </row>
    <row r="738" spans="1:23" x14ac:dyDescent="0.25">
      <c r="A738" s="1" t="s">
        <v>1317</v>
      </c>
      <c r="B738" s="2">
        <v>45215</v>
      </c>
      <c r="C738" s="1" t="str">
        <f>_xlfn.XLOOKUP(Logs[[#This Row],[Province_RDC]],Clients_Log!D:D,Clients_Log!B:B,"Pas de correspondance")</f>
        <v>CLI-00865</v>
      </c>
      <c r="D738" t="str">
        <f>_xlfn.XLOOKUP(Logs[[#This Row],[Cell_ID]],'Registre_Maintenance'!B:B,'Registre_Maintenance'!C:C,"Pas de correspondance")</f>
        <v>Mongala</v>
      </c>
      <c r="E738" s="3">
        <v>9.3055555555555558E-2</v>
      </c>
      <c r="F738" s="1" t="s">
        <v>1334</v>
      </c>
      <c r="G738" s="3">
        <f>Logs[[#This Row],[Duree_Panne_Min]]/1440</f>
        <v>6.0416666666666667E-2</v>
      </c>
      <c r="H738">
        <v>87</v>
      </c>
      <c r="I738">
        <f>_xlfn.XLOOKUP(Logs[[#This Row],[Cell_ID]],'Registre_Maintenance'!B:B,'Registre_Maintenance'!D:D,"Pas de correspondance")</f>
        <v>-7.6951369999999999</v>
      </c>
      <c r="J738">
        <f>_xlfn.XLOOKUP(Logs[[#This Row],[Cell_ID]],'Registre_Maintenance'!B:B,'Registre_Maintenance'!E:E,"Pas de correspondance")</f>
        <v>13.346605</v>
      </c>
      <c r="K738" t="str">
        <f>_xlfn.XLOOKUP(Logs[[#This Row],[Cell_ID]],'Registre_Maintenance'!B:B,'Registre_Maintenance'!F:F,"Pas de correspondance")</f>
        <v>4G</v>
      </c>
      <c r="L738" t="str">
        <f>_xlfn.XLOOKUP(Logs[[#This Row],[Cell_ID]],'Registre_Maintenance'!B:B,'Registre_Maintenance'!G:G,"Pas de correspondance")</f>
        <v>Ericsson</v>
      </c>
      <c r="M738" s="1" t="s">
        <v>806</v>
      </c>
      <c r="N738" s="1">
        <f>_xlfn.XLOOKUP(Logs[[#This Row],[ID_Client]],Clients_Log!B:B,Clients_Log!E:E,"Pas de correspondance")</f>
        <v>34</v>
      </c>
      <c r="O738" s="4">
        <f>IFERROR(Logs[[#This Row],[Anciennete_Mois]]/12,"")</f>
        <v>2.8333333333333335</v>
      </c>
      <c r="P738" s="1" t="str">
        <f>_xlfn.XLOOKUP(Logs[[#This Row],[ID_Client]],Clients_Log!B:B,Clients_Log!F:F,"Pas de correspondance")</f>
        <v>Pro Monde</v>
      </c>
      <c r="Q738" s="1" t="str">
        <f>IF(Logs[[#This Row],[Type_Forfait]]="Pro Monde","B2B","B2C")</f>
        <v>B2B</v>
      </c>
      <c r="R738" s="1">
        <f>_xlfn.XLOOKUP(Logs[[#This Row],[ID_Client]],Clients_Log!B:B,Clients_Log!G:G,"Pas de correspondance")</f>
        <v>453</v>
      </c>
      <c r="S738" s="3">
        <f>Logs[[#This Row],[Duree_Cumulee_Panne_Min]]/1440</f>
        <v>0.31458333333333333</v>
      </c>
      <c r="T738" s="1">
        <f>_xlfn.XLOOKUP(Logs[[#This Row],[ID_Client]],Clients_Log!B:B,Clients_Log!H:H,"Pas de correspondance")</f>
        <v>56.84</v>
      </c>
      <c r="U738" s="1">
        <f>_xlfn.XLOOKUP(Logs[[#This Row],[ID_Client]],Clients_Log!B:B,Clients_Log!I:I,"Pas de correspondance")</f>
        <v>0</v>
      </c>
      <c r="V73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38" s="1">
        <f>Logs[[#This Row],[Facture_Mensuelle]]*Logs[[#This Row],[Remise (%)]]</f>
        <v>25.578000000000003</v>
      </c>
    </row>
    <row r="739" spans="1:23" x14ac:dyDescent="0.25">
      <c r="A739" s="1" t="s">
        <v>1317</v>
      </c>
      <c r="B739" s="2">
        <v>45212</v>
      </c>
      <c r="C739" s="1" t="str">
        <f>_xlfn.XLOOKUP(Logs[[#This Row],[Province_RDC]],Clients_Log!D:D,Clients_Log!B:B,"Pas de correspondance")</f>
        <v>CLI-01325</v>
      </c>
      <c r="D739" t="str">
        <f>_xlfn.XLOOKUP(Logs[[#This Row],[Cell_ID]],'Registre_Maintenance'!B:B,'Registre_Maintenance'!C:C,"Pas de correspondance")</f>
        <v>Haut-Lomami</v>
      </c>
      <c r="E739" s="3">
        <v>0.11527777777777778</v>
      </c>
      <c r="F739" s="1" t="s">
        <v>1126</v>
      </c>
      <c r="G739" s="3">
        <f>Logs[[#This Row],[Duree_Panne_Min]]/1440</f>
        <v>1.0416666666666666E-2</v>
      </c>
      <c r="H739">
        <v>15</v>
      </c>
      <c r="I739">
        <f>_xlfn.XLOOKUP(Logs[[#This Row],[Cell_ID]],'Registre_Maintenance'!B:B,'Registre_Maintenance'!D:D,"Pas de correspondance")</f>
        <v>-7.1785899999999998</v>
      </c>
      <c r="J739">
        <f>_xlfn.XLOOKUP(Logs[[#This Row],[Cell_ID]],'Registre_Maintenance'!B:B,'Registre_Maintenance'!E:E,"Pas de correspondance")</f>
        <v>24.4404</v>
      </c>
      <c r="K739" t="str">
        <f>_xlfn.XLOOKUP(Logs[[#This Row],[Cell_ID]],'Registre_Maintenance'!B:B,'Registre_Maintenance'!F:F,"Pas de correspondance")</f>
        <v>4G</v>
      </c>
      <c r="L739" t="str">
        <f>_xlfn.XLOOKUP(Logs[[#This Row],[Cell_ID]],'Registre_Maintenance'!B:B,'Registre_Maintenance'!G:G,"Pas de correspondance")</f>
        <v>Nokia</v>
      </c>
      <c r="M739" s="1" t="s">
        <v>809</v>
      </c>
      <c r="N739" s="1">
        <f>_xlfn.XLOOKUP(Logs[[#This Row],[ID_Client]],Clients_Log!B:B,Clients_Log!E:E,"Pas de correspondance")</f>
        <v>44</v>
      </c>
      <c r="O739" s="4">
        <f>IFERROR(Logs[[#This Row],[Anciennete_Mois]]/12,"")</f>
        <v>3.6666666666666665</v>
      </c>
      <c r="P739" s="1" t="str">
        <f>_xlfn.XLOOKUP(Logs[[#This Row],[ID_Client]],Clients_Log!B:B,Clients_Log!F:F,"Pas de correspondance")</f>
        <v>Bloqué 5Go</v>
      </c>
      <c r="Q739" s="1" t="str">
        <f>IF(Logs[[#This Row],[Type_Forfait]]="Pro Monde","B2B","B2C")</f>
        <v>B2C</v>
      </c>
      <c r="R739" s="1">
        <f>_xlfn.XLOOKUP(Logs[[#This Row],[ID_Client]],Clients_Log!B:B,Clients_Log!G:G,"Pas de correspondance")</f>
        <v>348</v>
      </c>
      <c r="S739" s="3">
        <f>Logs[[#This Row],[Duree_Cumulee_Panne_Min]]/1440</f>
        <v>0.24166666666666667</v>
      </c>
      <c r="T739" s="1">
        <f>_xlfn.XLOOKUP(Logs[[#This Row],[ID_Client]],Clients_Log!B:B,Clients_Log!H:H,"Pas de correspondance")</f>
        <v>58.67</v>
      </c>
      <c r="U739" s="1">
        <f>_xlfn.XLOOKUP(Logs[[#This Row],[ID_Client]],Clients_Log!B:B,Clients_Log!I:I,"Pas de correspondance")</f>
        <v>0</v>
      </c>
      <c r="V73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39" s="1">
        <f>Logs[[#This Row],[Facture_Mensuelle]]*Logs[[#This Row],[Remise (%)]]</f>
        <v>26.401500000000002</v>
      </c>
    </row>
    <row r="740" spans="1:23" hidden="1" x14ac:dyDescent="0.25">
      <c r="A740" s="1" t="s">
        <v>1317</v>
      </c>
      <c r="B740" s="2">
        <v>45225</v>
      </c>
      <c r="C740" s="1" t="str">
        <f>_xlfn.XLOOKUP(Logs[[#This Row],[Province_RDC]],Clients_Log!D:D,Clients_Log!B:B,"Pas de correspondance")</f>
        <v>Pas de correspondance</v>
      </c>
      <c r="D740" t="str">
        <f>_xlfn.XLOOKUP(Logs[[#This Row],[Cell_ID]],'Registre_Maintenance'!B:B,'Registre_Maintenance'!C:C,"Pas de correspondance")</f>
        <v>Pas de correspondance</v>
      </c>
      <c r="E740" s="3">
        <v>0.12916666666666668</v>
      </c>
      <c r="F740" s="1" t="s">
        <v>900</v>
      </c>
      <c r="G740" s="3">
        <f>Logs[[#This Row],[Duree_Panne_Min]]/1440</f>
        <v>2.5000000000000001E-2</v>
      </c>
      <c r="H740">
        <v>36</v>
      </c>
      <c r="I740" t="str">
        <f>_xlfn.XLOOKUP(Logs[[#This Row],[Cell_ID]],'Registre_Maintenance'!B:B,'Registre_Maintenance'!D:D,"Pas de correspondance")</f>
        <v>Pas de correspondance</v>
      </c>
      <c r="J740" t="str">
        <f>_xlfn.XLOOKUP(Logs[[#This Row],[Cell_ID]],'Registre_Maintenance'!B:B,'Registre_Maintenance'!E:E,"Pas de correspondance")</f>
        <v>Pas de correspondance</v>
      </c>
      <c r="K740" t="str">
        <f>_xlfn.XLOOKUP(Logs[[#This Row],[Cell_ID]],'Registre_Maintenance'!B:B,'Registre_Maintenance'!F:F,"Pas de correspondance")</f>
        <v>Pas de correspondance</v>
      </c>
      <c r="L740" t="str">
        <f>_xlfn.XLOOKUP(Logs[[#This Row],[Cell_ID]],'Registre_Maintenance'!B:B,'Registre_Maintenance'!G:G,"Pas de correspondance")</f>
        <v>Pas de correspondance</v>
      </c>
      <c r="M740" s="1" t="s">
        <v>811</v>
      </c>
      <c r="N740" s="1" t="str">
        <f>_xlfn.XLOOKUP(Logs[[#This Row],[ID_Client]],Clients_Log!B:B,Clients_Log!E:E,"Pas de correspondance")</f>
        <v>Pas de correspondance</v>
      </c>
      <c r="O740" s="4" t="str">
        <f>IFERROR(Logs[[#This Row],[Anciennete_Mois]]/12,"")</f>
        <v/>
      </c>
      <c r="P740" s="1" t="str">
        <f>_xlfn.XLOOKUP(Logs[[#This Row],[ID_Client]],Clients_Log!B:B,Clients_Log!F:F,"Pas de correspondance")</f>
        <v>Pas de correspondance</v>
      </c>
      <c r="Q740" s="1" t="str">
        <f>IF(Logs[[#This Row],[Type_Forfait]]="Pro Monde","B2B","B2C")</f>
        <v>B2C</v>
      </c>
      <c r="R740" s="1" t="str">
        <f>_xlfn.XLOOKUP(Logs[[#This Row],[ID_Client]],Clients_Log!B:B,Clients_Log!G:G,"Pas de correspondance")</f>
        <v>Pas de correspondance</v>
      </c>
      <c r="S740" s="1" t="e">
        <f>Logs[[#This Row],[Duree_Cumulee_Panne_Min]]/1440</f>
        <v>#VALUE!</v>
      </c>
      <c r="T740" s="1" t="str">
        <f>_xlfn.XLOOKUP(Logs[[#This Row],[ID_Client]],Clients_Log!B:B,Clients_Log!H:H,"Pas de correspondance")</f>
        <v>Pas de correspondance</v>
      </c>
      <c r="U740" s="1" t="str">
        <f>_xlfn.XLOOKUP(Logs[[#This Row],[ID_Client]],Clients_Log!B:B,Clients_Log!I:I,"Pas de correspondance")</f>
        <v>Pas de correspondance</v>
      </c>
      <c r="V74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40" s="1" t="e">
        <f>Logs[[#This Row],[Facture_Mensuelle]]*Logs[[#This Row],[Remise (%)]]</f>
        <v>#VALUE!</v>
      </c>
    </row>
    <row r="741" spans="1:23" x14ac:dyDescent="0.25">
      <c r="A741" s="1" t="s">
        <v>1317</v>
      </c>
      <c r="B741" s="2">
        <v>45210</v>
      </c>
      <c r="C741" s="1" t="str">
        <f>_xlfn.XLOOKUP(Logs[[#This Row],[Province_RDC]],Clients_Log!D:D,Clients_Log!B:B,"Pas de correspondance")</f>
        <v>CLI-01855</v>
      </c>
      <c r="D741" t="str">
        <f>_xlfn.XLOOKUP(Logs[[#This Row],[Cell_ID]],'Registre_Maintenance'!B:B,'Registre_Maintenance'!C:C,"Pas de correspondance")</f>
        <v>Sud-Kivu</v>
      </c>
      <c r="E741" s="3">
        <v>0.49722222222222223</v>
      </c>
      <c r="F741" s="1" t="s">
        <v>1038</v>
      </c>
      <c r="G741" s="3">
        <f>Logs[[#This Row],[Duree_Panne_Min]]/1440</f>
        <v>5.2083333333333336E-2</v>
      </c>
      <c r="H741">
        <v>75</v>
      </c>
      <c r="I741">
        <f>_xlfn.XLOOKUP(Logs[[#This Row],[Cell_ID]],'Registre_Maintenance'!B:B,'Registre_Maintenance'!D:D,"Pas de correspondance")</f>
        <v>-9.3900009999999998</v>
      </c>
      <c r="J741">
        <f>_xlfn.XLOOKUP(Logs[[#This Row],[Cell_ID]],'Registre_Maintenance'!B:B,'Registre_Maintenance'!E:E,"Pas de correspondance")</f>
        <v>30.001517</v>
      </c>
      <c r="K741" t="str">
        <f>_xlfn.XLOOKUP(Logs[[#This Row],[Cell_ID]],'Registre_Maintenance'!B:B,'Registre_Maintenance'!F:F,"Pas de correspondance")</f>
        <v>3G</v>
      </c>
      <c r="L741" t="str">
        <f>_xlfn.XLOOKUP(Logs[[#This Row],[Cell_ID]],'Registre_Maintenance'!B:B,'Registre_Maintenance'!G:G,"Pas de correspondance")</f>
        <v>Nokia</v>
      </c>
      <c r="M741" s="1" t="s">
        <v>811</v>
      </c>
      <c r="N741" s="1">
        <f>_xlfn.XLOOKUP(Logs[[#This Row],[ID_Client]],Clients_Log!B:B,Clients_Log!E:E,"Pas de correspondance")</f>
        <v>101</v>
      </c>
      <c r="O741" s="4">
        <f>IFERROR(Logs[[#This Row],[Anciennete_Mois]]/12,"")</f>
        <v>8.4166666666666661</v>
      </c>
      <c r="P741" s="1" t="str">
        <f>_xlfn.XLOOKUP(Logs[[#This Row],[ID_Client]],Clients_Log!B:B,Clients_Log!F:F,"Pas de correspondance")</f>
        <v>Illimité 50Go</v>
      </c>
      <c r="Q741" s="1" t="str">
        <f>IF(Logs[[#This Row],[Type_Forfait]]="Pro Monde","B2B","B2C")</f>
        <v>B2C</v>
      </c>
      <c r="R741" s="1">
        <f>_xlfn.XLOOKUP(Logs[[#This Row],[ID_Client]],Clients_Log!B:B,Clients_Log!G:G,"Pas de correspondance")</f>
        <v>358</v>
      </c>
      <c r="S741" s="3">
        <f>Logs[[#This Row],[Duree_Cumulee_Panne_Min]]/1440</f>
        <v>0.24861111111111112</v>
      </c>
      <c r="T741" s="1">
        <f>_xlfn.XLOOKUP(Logs[[#This Row],[ID_Client]],Clients_Log!B:B,Clients_Log!H:H,"Pas de correspondance")</f>
        <v>29.24</v>
      </c>
      <c r="U741" s="1">
        <f>_xlfn.XLOOKUP(Logs[[#This Row],[ID_Client]],Clients_Log!B:B,Clients_Log!I:I,"Pas de correspondance")</f>
        <v>3</v>
      </c>
      <c r="V74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41" s="1">
        <f>Logs[[#This Row],[Facture_Mensuelle]]*Logs[[#This Row],[Remise (%)]]</f>
        <v>13.157999999999999</v>
      </c>
    </row>
    <row r="742" spans="1:23" hidden="1" x14ac:dyDescent="0.25">
      <c r="A742" s="1" t="s">
        <v>1317</v>
      </c>
      <c r="B742" s="2">
        <v>45209</v>
      </c>
      <c r="C742" s="1" t="str">
        <f>_xlfn.XLOOKUP(Logs[[#This Row],[Province_RDC]],Clients_Log!D:D,Clients_Log!B:B,"Pas de correspondance")</f>
        <v>Pas de correspondance</v>
      </c>
      <c r="D742" t="str">
        <f>_xlfn.XLOOKUP(Logs[[#This Row],[Cell_ID]],'Registre_Maintenance'!B:B,'Registre_Maintenance'!C:C,"Pas de correspondance")</f>
        <v>Pas de correspondance</v>
      </c>
      <c r="E742" s="3">
        <v>0.18333333333333332</v>
      </c>
      <c r="F742" s="1" t="s">
        <v>1335</v>
      </c>
      <c r="G742" s="3">
        <f>Logs[[#This Row],[Duree_Panne_Min]]/1440</f>
        <v>5.6250000000000001E-2</v>
      </c>
      <c r="H742">
        <v>81</v>
      </c>
      <c r="I742" t="str">
        <f>_xlfn.XLOOKUP(Logs[[#This Row],[Cell_ID]],'Registre_Maintenance'!B:B,'Registre_Maintenance'!D:D,"Pas de correspondance")</f>
        <v>Pas de correspondance</v>
      </c>
      <c r="J742" t="str">
        <f>_xlfn.XLOOKUP(Logs[[#This Row],[Cell_ID]],'Registre_Maintenance'!B:B,'Registre_Maintenance'!E:E,"Pas de correspondance")</f>
        <v>Pas de correspondance</v>
      </c>
      <c r="K742" t="str">
        <f>_xlfn.XLOOKUP(Logs[[#This Row],[Cell_ID]],'Registre_Maintenance'!B:B,'Registre_Maintenance'!F:F,"Pas de correspondance")</f>
        <v>Pas de correspondance</v>
      </c>
      <c r="L742" t="str">
        <f>_xlfn.XLOOKUP(Logs[[#This Row],[Cell_ID]],'Registre_Maintenance'!B:B,'Registre_Maintenance'!G:G,"Pas de correspondance")</f>
        <v>Pas de correspondance</v>
      </c>
      <c r="M742" s="1" t="s">
        <v>809</v>
      </c>
      <c r="N742" s="1" t="str">
        <f>_xlfn.XLOOKUP(Logs[[#This Row],[ID_Client]],Clients_Log!B:B,Clients_Log!E:E,"Pas de correspondance")</f>
        <v>Pas de correspondance</v>
      </c>
      <c r="O742" s="4" t="str">
        <f>IFERROR(Logs[[#This Row],[Anciennete_Mois]]/12,"")</f>
        <v/>
      </c>
      <c r="P742" s="1" t="str">
        <f>_xlfn.XLOOKUP(Logs[[#This Row],[ID_Client]],Clients_Log!B:B,Clients_Log!F:F,"Pas de correspondance")</f>
        <v>Pas de correspondance</v>
      </c>
      <c r="Q742" s="1" t="str">
        <f>IF(Logs[[#This Row],[Type_Forfait]]="Pro Monde","B2B","B2C")</f>
        <v>B2C</v>
      </c>
      <c r="R742" s="1" t="str">
        <f>_xlfn.XLOOKUP(Logs[[#This Row],[ID_Client]],Clients_Log!B:B,Clients_Log!G:G,"Pas de correspondance")</f>
        <v>Pas de correspondance</v>
      </c>
      <c r="S742" s="1" t="e">
        <f>Logs[[#This Row],[Duree_Cumulee_Panne_Min]]/1440</f>
        <v>#VALUE!</v>
      </c>
      <c r="T742" s="1" t="str">
        <f>_xlfn.XLOOKUP(Logs[[#This Row],[ID_Client]],Clients_Log!B:B,Clients_Log!H:H,"Pas de correspondance")</f>
        <v>Pas de correspondance</v>
      </c>
      <c r="U742" s="1" t="str">
        <f>_xlfn.XLOOKUP(Logs[[#This Row],[ID_Client]],Clients_Log!B:B,Clients_Log!I:I,"Pas de correspondance")</f>
        <v>Pas de correspondance</v>
      </c>
      <c r="V74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42" s="1" t="e">
        <f>Logs[[#This Row],[Facture_Mensuelle]]*Logs[[#This Row],[Remise (%)]]</f>
        <v>#VALUE!</v>
      </c>
    </row>
    <row r="743" spans="1:23" x14ac:dyDescent="0.25">
      <c r="A743" s="1" t="s">
        <v>1317</v>
      </c>
      <c r="B743" s="2">
        <v>45224</v>
      </c>
      <c r="C743" s="1" t="str">
        <f>_xlfn.XLOOKUP(Logs[[#This Row],[Province_RDC]],Clients_Log!D:D,Clients_Log!B:B,"Pas de correspondance")</f>
        <v>CLI-00414</v>
      </c>
      <c r="D743" t="str">
        <f>_xlfn.XLOOKUP(Logs[[#This Row],[Cell_ID]],'Registre_Maintenance'!B:B,'Registre_Maintenance'!C:C,"Pas de correspondance")</f>
        <v>Bas-Uele</v>
      </c>
      <c r="E743" s="3">
        <v>0.19513888888888889</v>
      </c>
      <c r="F743" s="1" t="s">
        <v>1336</v>
      </c>
      <c r="G743" s="3">
        <f>Logs[[#This Row],[Duree_Panne_Min]]/1440</f>
        <v>5.6250000000000001E-2</v>
      </c>
      <c r="H743">
        <v>81</v>
      </c>
      <c r="I743">
        <f>_xlfn.XLOOKUP(Logs[[#This Row],[Cell_ID]],'Registre_Maintenance'!B:B,'Registre_Maintenance'!D:D,"Pas de correspondance")</f>
        <v>-1.500685</v>
      </c>
      <c r="J743">
        <f>_xlfn.XLOOKUP(Logs[[#This Row],[Cell_ID]],'Registre_Maintenance'!B:B,'Registre_Maintenance'!E:E,"Pas de correspondance")</f>
        <v>26.563376000000002</v>
      </c>
      <c r="K743" t="str">
        <f>_xlfn.XLOOKUP(Logs[[#This Row],[Cell_ID]],'Registre_Maintenance'!B:B,'Registre_Maintenance'!F:F,"Pas de correspondance")</f>
        <v>5G</v>
      </c>
      <c r="L743" t="str">
        <f>_xlfn.XLOOKUP(Logs[[#This Row],[Cell_ID]],'Registre_Maintenance'!B:B,'Registre_Maintenance'!G:G,"Pas de correspondance")</f>
        <v>Nokia</v>
      </c>
      <c r="M743" s="1" t="s">
        <v>809</v>
      </c>
      <c r="N743" s="1">
        <f>_xlfn.XLOOKUP(Logs[[#This Row],[ID_Client]],Clients_Log!B:B,Clients_Log!E:E,"Pas de correspondance")</f>
        <v>99</v>
      </c>
      <c r="O743" s="4">
        <f>IFERROR(Logs[[#This Row],[Anciennete_Mois]]/12,"")</f>
        <v>8.25</v>
      </c>
      <c r="P743" s="1" t="str">
        <f>_xlfn.XLOOKUP(Logs[[#This Row],[ID_Client]],Clients_Log!B:B,Clients_Log!F:F,"Pas de correspondance")</f>
        <v>Premium 5G 150Go</v>
      </c>
      <c r="Q743" s="1" t="str">
        <f>IF(Logs[[#This Row],[Type_Forfait]]="Pro Monde","B2B","B2C")</f>
        <v>B2C</v>
      </c>
      <c r="R743" s="1">
        <f>_xlfn.XLOOKUP(Logs[[#This Row],[ID_Client]],Clients_Log!B:B,Clients_Log!G:G,"Pas de correspondance")</f>
        <v>447</v>
      </c>
      <c r="S743" s="3">
        <f>Logs[[#This Row],[Duree_Cumulee_Panne_Min]]/1440</f>
        <v>0.31041666666666667</v>
      </c>
      <c r="T743" s="1">
        <f>_xlfn.XLOOKUP(Logs[[#This Row],[ID_Client]],Clients_Log!B:B,Clients_Log!H:H,"Pas de correspondance")</f>
        <v>38.1</v>
      </c>
      <c r="U743" s="1">
        <f>_xlfn.XLOOKUP(Logs[[#This Row],[ID_Client]],Clients_Log!B:B,Clients_Log!I:I,"Pas de correspondance")</f>
        <v>3</v>
      </c>
      <c r="V74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43" s="1">
        <f>Logs[[#This Row],[Facture_Mensuelle]]*Logs[[#This Row],[Remise (%)]]</f>
        <v>17.145</v>
      </c>
    </row>
    <row r="744" spans="1:23" x14ac:dyDescent="0.25">
      <c r="A744" s="1" t="s">
        <v>1337</v>
      </c>
      <c r="B744" s="2">
        <v>45223</v>
      </c>
      <c r="C744" s="1" t="str">
        <f>_xlfn.XLOOKUP(Logs[[#This Row],[Province_RDC]],Clients_Log!D:D,Clients_Log!B:B,"Pas de correspondance")</f>
        <v>CLI-00076</v>
      </c>
      <c r="D744" t="str">
        <f>_xlfn.XLOOKUP(Logs[[#This Row],[Cell_ID]],'Registre_Maintenance'!B:B,'Registre_Maintenance'!C:C,"Pas de correspondance")</f>
        <v>Haut-Katanga</v>
      </c>
      <c r="E744" s="3">
        <v>0.29375000000000001</v>
      </c>
      <c r="F744" s="1" t="s">
        <v>1245</v>
      </c>
      <c r="G744" s="3">
        <f>Logs[[#This Row],[Duree_Panne_Min]]/1440</f>
        <v>2.9166666666666667E-2</v>
      </c>
      <c r="H744">
        <v>42</v>
      </c>
      <c r="I744">
        <f>_xlfn.XLOOKUP(Logs[[#This Row],[Cell_ID]],'Registre_Maintenance'!B:B,'Registre_Maintenance'!D:D,"Pas de correspondance")</f>
        <v>-4.4958720000000003</v>
      </c>
      <c r="J744">
        <f>_xlfn.XLOOKUP(Logs[[#This Row],[Cell_ID]],'Registre_Maintenance'!B:B,'Registre_Maintenance'!E:E,"Pas de correspondance")</f>
        <v>18.514112000000001</v>
      </c>
      <c r="K744" t="str">
        <f>_xlfn.XLOOKUP(Logs[[#This Row],[Cell_ID]],'Registre_Maintenance'!B:B,'Registre_Maintenance'!F:F,"Pas de correspondance")</f>
        <v>4G</v>
      </c>
      <c r="L744" t="str">
        <f>_xlfn.XLOOKUP(Logs[[#This Row],[Cell_ID]],'Registre_Maintenance'!B:B,'Registre_Maintenance'!G:G,"Pas de correspondance")</f>
        <v>Nokia</v>
      </c>
      <c r="M744" s="1" t="s">
        <v>811</v>
      </c>
      <c r="N744" s="1">
        <f>_xlfn.XLOOKUP(Logs[[#This Row],[ID_Client]],Clients_Log!B:B,Clients_Log!E:E,"Pas de correspondance")</f>
        <v>46</v>
      </c>
      <c r="O744" s="4">
        <f>IFERROR(Logs[[#This Row],[Anciennete_Mois]]/12,"")</f>
        <v>3.8333333333333335</v>
      </c>
      <c r="P744" s="1" t="str">
        <f>_xlfn.XLOOKUP(Logs[[#This Row],[ID_Client]],Clients_Log!B:B,Clients_Log!F:F,"Pas de correspondance")</f>
        <v>Premium 5G 150Go</v>
      </c>
      <c r="Q744" s="1" t="str">
        <f>IF(Logs[[#This Row],[Type_Forfait]]="Pro Monde","B2B","B2C")</f>
        <v>B2C</v>
      </c>
      <c r="R744" s="1">
        <f>_xlfn.XLOOKUP(Logs[[#This Row],[ID_Client]],Clients_Log!B:B,Clients_Log!G:G,"Pas de correspondance")</f>
        <v>283</v>
      </c>
      <c r="S744" s="3">
        <f>Logs[[#This Row],[Duree_Cumulee_Panne_Min]]/1440</f>
        <v>0.19652777777777777</v>
      </c>
      <c r="T744" s="1">
        <f>_xlfn.XLOOKUP(Logs[[#This Row],[ID_Client]],Clients_Log!B:B,Clients_Log!H:H,"Pas de correspondance")</f>
        <v>56.05</v>
      </c>
      <c r="U744" s="1">
        <f>_xlfn.XLOOKUP(Logs[[#This Row],[ID_Client]],Clients_Log!B:B,Clients_Log!I:I,"Pas de correspondance")</f>
        <v>1</v>
      </c>
      <c r="V74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44" s="1">
        <f>Logs[[#This Row],[Facture_Mensuelle]]*Logs[[#This Row],[Remise (%)]]</f>
        <v>25.2225</v>
      </c>
    </row>
    <row r="745" spans="1:23" hidden="1" x14ac:dyDescent="0.25">
      <c r="A745" s="1" t="s">
        <v>1337</v>
      </c>
      <c r="B745" s="2">
        <v>45207</v>
      </c>
      <c r="C745" s="1" t="str">
        <f>_xlfn.XLOOKUP(Logs[[#This Row],[Province_RDC]],Clients_Log!D:D,Clients_Log!B:B,"Pas de correspondance")</f>
        <v>Pas de correspondance</v>
      </c>
      <c r="D745" t="str">
        <f>_xlfn.XLOOKUP(Logs[[#This Row],[Cell_ID]],'Registre_Maintenance'!B:B,'Registre_Maintenance'!C:C,"Pas de correspondance")</f>
        <v>Pas de correspondance</v>
      </c>
      <c r="E745" s="3">
        <v>0.12430555555555556</v>
      </c>
      <c r="F745" s="1" t="s">
        <v>1338</v>
      </c>
      <c r="G745" s="3">
        <f>Logs[[#This Row],[Duree_Panne_Min]]/1440</f>
        <v>5.347222222222222E-2</v>
      </c>
      <c r="H745">
        <v>77</v>
      </c>
      <c r="I745" t="str">
        <f>_xlfn.XLOOKUP(Logs[[#This Row],[Cell_ID]],'Registre_Maintenance'!B:B,'Registre_Maintenance'!D:D,"Pas de correspondance")</f>
        <v>Pas de correspondance</v>
      </c>
      <c r="J745" t="str">
        <f>_xlfn.XLOOKUP(Logs[[#This Row],[Cell_ID]],'Registre_Maintenance'!B:B,'Registre_Maintenance'!E:E,"Pas de correspondance")</f>
        <v>Pas de correspondance</v>
      </c>
      <c r="K745" t="str">
        <f>_xlfn.XLOOKUP(Logs[[#This Row],[Cell_ID]],'Registre_Maintenance'!B:B,'Registre_Maintenance'!F:F,"Pas de correspondance")</f>
        <v>Pas de correspondance</v>
      </c>
      <c r="L745" t="str">
        <f>_xlfn.XLOOKUP(Logs[[#This Row],[Cell_ID]],'Registre_Maintenance'!B:B,'Registre_Maintenance'!G:G,"Pas de correspondance")</f>
        <v>Pas de correspondance</v>
      </c>
      <c r="M745" s="1" t="s">
        <v>811</v>
      </c>
      <c r="N745" s="1" t="str">
        <f>_xlfn.XLOOKUP(Logs[[#This Row],[ID_Client]],Clients_Log!B:B,Clients_Log!E:E,"Pas de correspondance")</f>
        <v>Pas de correspondance</v>
      </c>
      <c r="O745" s="4" t="str">
        <f>IFERROR(Logs[[#This Row],[Anciennete_Mois]]/12,"")</f>
        <v/>
      </c>
      <c r="P745" s="1" t="str">
        <f>_xlfn.XLOOKUP(Logs[[#This Row],[ID_Client]],Clients_Log!B:B,Clients_Log!F:F,"Pas de correspondance")</f>
        <v>Pas de correspondance</v>
      </c>
      <c r="Q745" s="1" t="str">
        <f>IF(Logs[[#This Row],[Type_Forfait]]="Pro Monde","B2B","B2C")</f>
        <v>B2C</v>
      </c>
      <c r="R745" s="1" t="str">
        <f>_xlfn.XLOOKUP(Logs[[#This Row],[ID_Client]],Clients_Log!B:B,Clients_Log!G:G,"Pas de correspondance")</f>
        <v>Pas de correspondance</v>
      </c>
      <c r="S745" s="1" t="e">
        <f>Logs[[#This Row],[Duree_Cumulee_Panne_Min]]/1440</f>
        <v>#VALUE!</v>
      </c>
      <c r="T745" s="1" t="str">
        <f>_xlfn.XLOOKUP(Logs[[#This Row],[ID_Client]],Clients_Log!B:B,Clients_Log!H:H,"Pas de correspondance")</f>
        <v>Pas de correspondance</v>
      </c>
      <c r="U745" s="1" t="str">
        <f>_xlfn.XLOOKUP(Logs[[#This Row],[ID_Client]],Clients_Log!B:B,Clients_Log!I:I,"Pas de correspondance")</f>
        <v>Pas de correspondance</v>
      </c>
      <c r="V74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45" s="1" t="e">
        <f>Logs[[#This Row],[Facture_Mensuelle]]*Logs[[#This Row],[Remise (%)]]</f>
        <v>#VALUE!</v>
      </c>
    </row>
    <row r="746" spans="1:23" x14ac:dyDescent="0.25">
      <c r="A746" s="1" t="s">
        <v>1337</v>
      </c>
      <c r="B746" s="2">
        <v>45213</v>
      </c>
      <c r="C746" s="1" t="str">
        <f>_xlfn.XLOOKUP(Logs[[#This Row],[Province_RDC]],Clients_Log!D:D,Clients_Log!B:B,"Pas de correspondance")</f>
        <v>CLI-00996</v>
      </c>
      <c r="D746" t="str">
        <f>_xlfn.XLOOKUP(Logs[[#This Row],[Cell_ID]],'Registre_Maintenance'!B:B,'Registre_Maintenance'!C:C,"Pas de correspondance")</f>
        <v>Kwilu</v>
      </c>
      <c r="E746" s="3">
        <v>0.1451388888888889</v>
      </c>
      <c r="F746" s="1" t="s">
        <v>1240</v>
      </c>
      <c r="G746" s="3">
        <f>Logs[[#This Row],[Duree_Panne_Min]]/1440</f>
        <v>7.2916666666666671E-2</v>
      </c>
      <c r="H746">
        <v>105</v>
      </c>
      <c r="I746">
        <f>_xlfn.XLOOKUP(Logs[[#This Row],[Cell_ID]],'Registre_Maintenance'!B:B,'Registre_Maintenance'!D:D,"Pas de correspondance")</f>
        <v>-10.939712999999999</v>
      </c>
      <c r="J746">
        <f>_xlfn.XLOOKUP(Logs[[#This Row],[Cell_ID]],'Registre_Maintenance'!B:B,'Registre_Maintenance'!E:E,"Pas de correspondance")</f>
        <v>18.276230999999999</v>
      </c>
      <c r="K746" t="str">
        <f>_xlfn.XLOOKUP(Logs[[#This Row],[Cell_ID]],'Registre_Maintenance'!B:B,'Registre_Maintenance'!F:F,"Pas de correspondance")</f>
        <v>4G</v>
      </c>
      <c r="L746" t="str">
        <f>_xlfn.XLOOKUP(Logs[[#This Row],[Cell_ID]],'Registre_Maintenance'!B:B,'Registre_Maintenance'!G:G,"Pas de correspondance")</f>
        <v>ZTE</v>
      </c>
      <c r="M746" s="1" t="s">
        <v>809</v>
      </c>
      <c r="N746" s="1">
        <f>_xlfn.XLOOKUP(Logs[[#This Row],[ID_Client]],Clients_Log!B:B,Clients_Log!E:E,"Pas de correspondance")</f>
        <v>119</v>
      </c>
      <c r="O746" s="4">
        <f>IFERROR(Logs[[#This Row],[Anciennete_Mois]]/12,"")</f>
        <v>9.9166666666666661</v>
      </c>
      <c r="P746" s="1" t="str">
        <f>_xlfn.XLOOKUP(Logs[[#This Row],[ID_Client]],Clients_Log!B:B,Clients_Log!F:F,"Pas de correspondance")</f>
        <v>Illimité 50Go</v>
      </c>
      <c r="Q746" s="1" t="str">
        <f>IF(Logs[[#This Row],[Type_Forfait]]="Pro Monde","B2B","B2C")</f>
        <v>B2C</v>
      </c>
      <c r="R746" s="1">
        <f>_xlfn.XLOOKUP(Logs[[#This Row],[ID_Client]],Clients_Log!B:B,Clients_Log!G:G,"Pas de correspondance")</f>
        <v>228</v>
      </c>
      <c r="S746" s="3">
        <f>Logs[[#This Row],[Duree_Cumulee_Panne_Min]]/1440</f>
        <v>0.15833333333333333</v>
      </c>
      <c r="T746" s="1">
        <f>_xlfn.XLOOKUP(Logs[[#This Row],[ID_Client]],Clients_Log!B:B,Clients_Log!H:H,"Pas de correspondance")</f>
        <v>94.72</v>
      </c>
      <c r="U746" s="1">
        <f>_xlfn.XLOOKUP(Logs[[#This Row],[ID_Client]],Clients_Log!B:B,Clients_Log!I:I,"Pas de correspondance")</f>
        <v>3</v>
      </c>
      <c r="V74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746" s="1">
        <f>Logs[[#This Row],[Facture_Mensuelle]]*Logs[[#This Row],[Remise (%)]]</f>
        <v>0</v>
      </c>
    </row>
    <row r="747" spans="1:23" hidden="1" x14ac:dyDescent="0.25">
      <c r="A747" s="1" t="s">
        <v>1337</v>
      </c>
      <c r="B747" s="2">
        <v>45219</v>
      </c>
      <c r="C747" s="1" t="str">
        <f>_xlfn.XLOOKUP(Logs[[#This Row],[Province_RDC]],Clients_Log!D:D,Clients_Log!B:B,"Pas de correspondance")</f>
        <v>Pas de correspondance</v>
      </c>
      <c r="D747" t="str">
        <f>_xlfn.XLOOKUP(Logs[[#This Row],[Cell_ID]],'Registre_Maintenance'!B:B,'Registre_Maintenance'!C:C,"Pas de correspondance")</f>
        <v>Pas de correspondance</v>
      </c>
      <c r="E747" s="3">
        <v>0.79374999999999996</v>
      </c>
      <c r="F747" s="1" t="s">
        <v>1339</v>
      </c>
      <c r="G747" s="3">
        <f>Logs[[#This Row],[Duree_Panne_Min]]/1440</f>
        <v>2.9861111111111113E-2</v>
      </c>
      <c r="H747">
        <v>43</v>
      </c>
      <c r="I747" t="str">
        <f>_xlfn.XLOOKUP(Logs[[#This Row],[Cell_ID]],'Registre_Maintenance'!B:B,'Registre_Maintenance'!D:D,"Pas de correspondance")</f>
        <v>Pas de correspondance</v>
      </c>
      <c r="J747" t="str">
        <f>_xlfn.XLOOKUP(Logs[[#This Row],[Cell_ID]],'Registre_Maintenance'!B:B,'Registre_Maintenance'!E:E,"Pas de correspondance")</f>
        <v>Pas de correspondance</v>
      </c>
      <c r="K747" t="str">
        <f>_xlfn.XLOOKUP(Logs[[#This Row],[Cell_ID]],'Registre_Maintenance'!B:B,'Registre_Maintenance'!F:F,"Pas de correspondance")</f>
        <v>Pas de correspondance</v>
      </c>
      <c r="L747" t="str">
        <f>_xlfn.XLOOKUP(Logs[[#This Row],[Cell_ID]],'Registre_Maintenance'!B:B,'Registre_Maintenance'!G:G,"Pas de correspondance")</f>
        <v>Pas de correspondance</v>
      </c>
      <c r="M747" s="1" t="s">
        <v>809</v>
      </c>
      <c r="N747" s="1" t="str">
        <f>_xlfn.XLOOKUP(Logs[[#This Row],[ID_Client]],Clients_Log!B:B,Clients_Log!E:E,"Pas de correspondance")</f>
        <v>Pas de correspondance</v>
      </c>
      <c r="O747" s="4" t="str">
        <f>IFERROR(Logs[[#This Row],[Anciennete_Mois]]/12,"")</f>
        <v/>
      </c>
      <c r="P747" s="1" t="str">
        <f>_xlfn.XLOOKUP(Logs[[#This Row],[ID_Client]],Clients_Log!B:B,Clients_Log!F:F,"Pas de correspondance")</f>
        <v>Pas de correspondance</v>
      </c>
      <c r="Q747" s="1" t="str">
        <f>IF(Logs[[#This Row],[Type_Forfait]]="Pro Monde","B2B","B2C")</f>
        <v>B2C</v>
      </c>
      <c r="R747" s="1" t="str">
        <f>_xlfn.XLOOKUP(Logs[[#This Row],[ID_Client]],Clients_Log!B:B,Clients_Log!G:G,"Pas de correspondance")</f>
        <v>Pas de correspondance</v>
      </c>
      <c r="S747" s="1" t="e">
        <f>Logs[[#This Row],[Duree_Cumulee_Panne_Min]]/1440</f>
        <v>#VALUE!</v>
      </c>
      <c r="T747" s="1" t="str">
        <f>_xlfn.XLOOKUP(Logs[[#This Row],[ID_Client]],Clients_Log!B:B,Clients_Log!H:H,"Pas de correspondance")</f>
        <v>Pas de correspondance</v>
      </c>
      <c r="U747" s="1" t="str">
        <f>_xlfn.XLOOKUP(Logs[[#This Row],[ID_Client]],Clients_Log!B:B,Clients_Log!I:I,"Pas de correspondance")</f>
        <v>Pas de correspondance</v>
      </c>
      <c r="V74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47" s="1" t="e">
        <f>Logs[[#This Row],[Facture_Mensuelle]]*Logs[[#This Row],[Remise (%)]]</f>
        <v>#VALUE!</v>
      </c>
    </row>
    <row r="748" spans="1:23" x14ac:dyDescent="0.25">
      <c r="A748" s="1" t="s">
        <v>1337</v>
      </c>
      <c r="B748" s="2">
        <v>45209</v>
      </c>
      <c r="C748" s="1" t="str">
        <f>_xlfn.XLOOKUP(Logs[[#This Row],[Province_RDC]],Clients_Log!D:D,Clients_Log!B:B,"Pas de correspondance")</f>
        <v>CLI-00559</v>
      </c>
      <c r="D748" t="str">
        <f>_xlfn.XLOOKUP(Logs[[#This Row],[Cell_ID]],'Registre_Maintenance'!B:B,'Registre_Maintenance'!C:C,"Pas de correspondance")</f>
        <v>Kasaï</v>
      </c>
      <c r="E748" s="3">
        <v>0.90763888888888888</v>
      </c>
      <c r="F748" s="1" t="s">
        <v>1340</v>
      </c>
      <c r="G748" s="3">
        <f>Logs[[#This Row],[Duree_Panne_Min]]/1440</f>
        <v>6.8750000000000006E-2</v>
      </c>
      <c r="H748">
        <v>99</v>
      </c>
      <c r="I748">
        <f>_xlfn.XLOOKUP(Logs[[#This Row],[Cell_ID]],'Registre_Maintenance'!B:B,'Registre_Maintenance'!D:D,"Pas de correspondance")</f>
        <v>-7.6757720000000003</v>
      </c>
      <c r="J748">
        <f>_xlfn.XLOOKUP(Logs[[#This Row],[Cell_ID]],'Registre_Maintenance'!B:B,'Registre_Maintenance'!E:E,"Pas de correspondance")</f>
        <v>30.222971000000001</v>
      </c>
      <c r="K748" t="str">
        <f>_xlfn.XLOOKUP(Logs[[#This Row],[Cell_ID]],'Registre_Maintenance'!B:B,'Registre_Maintenance'!F:F,"Pas de correspondance")</f>
        <v>5G</v>
      </c>
      <c r="L748" t="str">
        <f>_xlfn.XLOOKUP(Logs[[#This Row],[Cell_ID]],'Registre_Maintenance'!B:B,'Registre_Maintenance'!G:G,"Pas de correspondance")</f>
        <v>Ericsson</v>
      </c>
      <c r="M748" s="1" t="s">
        <v>811</v>
      </c>
      <c r="N748" s="1">
        <f>_xlfn.XLOOKUP(Logs[[#This Row],[ID_Client]],Clients_Log!B:B,Clients_Log!E:E,"Pas de correspondance")</f>
        <v>99</v>
      </c>
      <c r="O748" s="4">
        <f>IFERROR(Logs[[#This Row],[Anciennete_Mois]]/12,"")</f>
        <v>8.25</v>
      </c>
      <c r="P748" s="1" t="str">
        <f>_xlfn.XLOOKUP(Logs[[#This Row],[ID_Client]],Clients_Log!B:B,Clients_Log!F:F,"Pas de correspondance")</f>
        <v>Bloqué 5Go</v>
      </c>
      <c r="Q748" s="1" t="str">
        <f>IF(Logs[[#This Row],[Type_Forfait]]="Pro Monde","B2B","B2C")</f>
        <v>B2C</v>
      </c>
      <c r="R748" s="1">
        <f>_xlfn.XLOOKUP(Logs[[#This Row],[ID_Client]],Clients_Log!B:B,Clients_Log!G:G,"Pas de correspondance")</f>
        <v>369</v>
      </c>
      <c r="S748" s="3">
        <f>Logs[[#This Row],[Duree_Cumulee_Panne_Min]]/1440</f>
        <v>0.25624999999999998</v>
      </c>
      <c r="T748" s="1">
        <f>_xlfn.XLOOKUP(Logs[[#This Row],[ID_Client]],Clients_Log!B:B,Clients_Log!H:H,"Pas de correspondance")</f>
        <v>67.209999999999994</v>
      </c>
      <c r="U748" s="1">
        <f>_xlfn.XLOOKUP(Logs[[#This Row],[ID_Client]],Clients_Log!B:B,Clients_Log!I:I,"Pas de correspondance")</f>
        <v>3</v>
      </c>
      <c r="V74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48" s="1">
        <f>Logs[[#This Row],[Facture_Mensuelle]]*Logs[[#This Row],[Remise (%)]]</f>
        <v>30.244499999999999</v>
      </c>
    </row>
    <row r="749" spans="1:23" hidden="1" x14ac:dyDescent="0.25">
      <c r="A749" s="1" t="s">
        <v>1337</v>
      </c>
      <c r="B749" s="2">
        <v>45221</v>
      </c>
      <c r="C749" s="1" t="str">
        <f>_xlfn.XLOOKUP(Logs[[#This Row],[Province_RDC]],Clients_Log!D:D,Clients_Log!B:B,"Pas de correspondance")</f>
        <v>Pas de correspondance</v>
      </c>
      <c r="D749" t="str">
        <f>_xlfn.XLOOKUP(Logs[[#This Row],[Cell_ID]],'Registre_Maintenance'!B:B,'Registre_Maintenance'!C:C,"Pas de correspondance")</f>
        <v>Pas de correspondance</v>
      </c>
      <c r="E749" s="3">
        <v>0.96597222222222223</v>
      </c>
      <c r="F749" s="1" t="s">
        <v>1341</v>
      </c>
      <c r="G749" s="3">
        <f>Logs[[#This Row],[Duree_Panne_Min]]/1440</f>
        <v>5.8333333333333334E-2</v>
      </c>
      <c r="H749">
        <v>84</v>
      </c>
      <c r="I749" t="str">
        <f>_xlfn.XLOOKUP(Logs[[#This Row],[Cell_ID]],'Registre_Maintenance'!B:B,'Registre_Maintenance'!D:D,"Pas de correspondance")</f>
        <v>Pas de correspondance</v>
      </c>
      <c r="J749" t="str">
        <f>_xlfn.XLOOKUP(Logs[[#This Row],[Cell_ID]],'Registre_Maintenance'!B:B,'Registre_Maintenance'!E:E,"Pas de correspondance")</f>
        <v>Pas de correspondance</v>
      </c>
      <c r="K749" t="str">
        <f>_xlfn.XLOOKUP(Logs[[#This Row],[Cell_ID]],'Registre_Maintenance'!B:B,'Registre_Maintenance'!F:F,"Pas de correspondance")</f>
        <v>Pas de correspondance</v>
      </c>
      <c r="L749" t="str">
        <f>_xlfn.XLOOKUP(Logs[[#This Row],[Cell_ID]],'Registre_Maintenance'!B:B,'Registre_Maintenance'!G:G,"Pas de correspondance")</f>
        <v>Pas de correspondance</v>
      </c>
      <c r="M749" s="1" t="s">
        <v>811</v>
      </c>
      <c r="N749" s="1" t="str">
        <f>_xlfn.XLOOKUP(Logs[[#This Row],[ID_Client]],Clients_Log!B:B,Clients_Log!E:E,"Pas de correspondance")</f>
        <v>Pas de correspondance</v>
      </c>
      <c r="O749" s="4" t="str">
        <f>IFERROR(Logs[[#This Row],[Anciennete_Mois]]/12,"")</f>
        <v/>
      </c>
      <c r="P749" s="1" t="str">
        <f>_xlfn.XLOOKUP(Logs[[#This Row],[ID_Client]],Clients_Log!B:B,Clients_Log!F:F,"Pas de correspondance")</f>
        <v>Pas de correspondance</v>
      </c>
      <c r="Q749" s="1" t="str">
        <f>IF(Logs[[#This Row],[Type_Forfait]]="Pro Monde","B2B","B2C")</f>
        <v>B2C</v>
      </c>
      <c r="R749" s="1" t="str">
        <f>_xlfn.XLOOKUP(Logs[[#This Row],[ID_Client]],Clients_Log!B:B,Clients_Log!G:G,"Pas de correspondance")</f>
        <v>Pas de correspondance</v>
      </c>
      <c r="S749" s="1" t="e">
        <f>Logs[[#This Row],[Duree_Cumulee_Panne_Min]]/1440</f>
        <v>#VALUE!</v>
      </c>
      <c r="T749" s="1" t="str">
        <f>_xlfn.XLOOKUP(Logs[[#This Row],[ID_Client]],Clients_Log!B:B,Clients_Log!H:H,"Pas de correspondance")</f>
        <v>Pas de correspondance</v>
      </c>
      <c r="U749" s="1" t="str">
        <f>_xlfn.XLOOKUP(Logs[[#This Row],[ID_Client]],Clients_Log!B:B,Clients_Log!I:I,"Pas de correspondance")</f>
        <v>Pas de correspondance</v>
      </c>
      <c r="V74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49" s="1" t="e">
        <f>Logs[[#This Row],[Facture_Mensuelle]]*Logs[[#This Row],[Remise (%)]]</f>
        <v>#VALUE!</v>
      </c>
    </row>
    <row r="750" spans="1:23" hidden="1" x14ac:dyDescent="0.25">
      <c r="A750" s="1" t="s">
        <v>1337</v>
      </c>
      <c r="B750" s="2">
        <v>45203</v>
      </c>
      <c r="C750" s="1" t="str">
        <f>_xlfn.XLOOKUP(Logs[[#This Row],[Province_RDC]],Clients_Log!D:D,Clients_Log!B:B,"Pas de correspondance")</f>
        <v>Pas de correspondance</v>
      </c>
      <c r="D750" t="str">
        <f>_xlfn.XLOOKUP(Logs[[#This Row],[Cell_ID]],'Registre_Maintenance'!B:B,'Registre_Maintenance'!C:C,"Pas de correspondance")</f>
        <v>Pas de correspondance</v>
      </c>
      <c r="E750" s="3">
        <v>3.125E-2</v>
      </c>
      <c r="F750" s="1" t="s">
        <v>815</v>
      </c>
      <c r="G750" s="3">
        <f>Logs[[#This Row],[Duree_Panne_Min]]/1440</f>
        <v>2.5000000000000001E-2</v>
      </c>
      <c r="H750">
        <v>36</v>
      </c>
      <c r="I750" t="str">
        <f>_xlfn.XLOOKUP(Logs[[#This Row],[Cell_ID]],'Registre_Maintenance'!B:B,'Registre_Maintenance'!D:D,"Pas de correspondance")</f>
        <v>Pas de correspondance</v>
      </c>
      <c r="J750" t="str">
        <f>_xlfn.XLOOKUP(Logs[[#This Row],[Cell_ID]],'Registre_Maintenance'!B:B,'Registre_Maintenance'!E:E,"Pas de correspondance")</f>
        <v>Pas de correspondance</v>
      </c>
      <c r="K750" t="str">
        <f>_xlfn.XLOOKUP(Logs[[#This Row],[Cell_ID]],'Registre_Maintenance'!B:B,'Registre_Maintenance'!F:F,"Pas de correspondance")</f>
        <v>Pas de correspondance</v>
      </c>
      <c r="L750" t="str">
        <f>_xlfn.XLOOKUP(Logs[[#This Row],[Cell_ID]],'Registre_Maintenance'!B:B,'Registre_Maintenance'!G:G,"Pas de correspondance")</f>
        <v>Pas de correspondance</v>
      </c>
      <c r="M750" s="1" t="s">
        <v>811</v>
      </c>
      <c r="N750" s="1" t="str">
        <f>_xlfn.XLOOKUP(Logs[[#This Row],[ID_Client]],Clients_Log!B:B,Clients_Log!E:E,"Pas de correspondance")</f>
        <v>Pas de correspondance</v>
      </c>
      <c r="O750" s="4" t="str">
        <f>IFERROR(Logs[[#This Row],[Anciennete_Mois]]/12,"")</f>
        <v/>
      </c>
      <c r="P750" s="1" t="str">
        <f>_xlfn.XLOOKUP(Logs[[#This Row],[ID_Client]],Clients_Log!B:B,Clients_Log!F:F,"Pas de correspondance")</f>
        <v>Pas de correspondance</v>
      </c>
      <c r="Q750" s="1" t="str">
        <f>IF(Logs[[#This Row],[Type_Forfait]]="Pro Monde","B2B","B2C")</f>
        <v>B2C</v>
      </c>
      <c r="R750" s="1" t="str">
        <f>_xlfn.XLOOKUP(Logs[[#This Row],[ID_Client]],Clients_Log!B:B,Clients_Log!G:G,"Pas de correspondance")</f>
        <v>Pas de correspondance</v>
      </c>
      <c r="S750" s="1" t="e">
        <f>Logs[[#This Row],[Duree_Cumulee_Panne_Min]]/1440</f>
        <v>#VALUE!</v>
      </c>
      <c r="T750" s="1" t="str">
        <f>_xlfn.XLOOKUP(Logs[[#This Row],[ID_Client]],Clients_Log!B:B,Clients_Log!H:H,"Pas de correspondance")</f>
        <v>Pas de correspondance</v>
      </c>
      <c r="U750" s="1" t="str">
        <f>_xlfn.XLOOKUP(Logs[[#This Row],[ID_Client]],Clients_Log!B:B,Clients_Log!I:I,"Pas de correspondance")</f>
        <v>Pas de correspondance</v>
      </c>
      <c r="V75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50" s="1" t="e">
        <f>Logs[[#This Row],[Facture_Mensuelle]]*Logs[[#This Row],[Remise (%)]]</f>
        <v>#VALUE!</v>
      </c>
    </row>
    <row r="751" spans="1:23" hidden="1" x14ac:dyDescent="0.25">
      <c r="A751" s="1" t="s">
        <v>1337</v>
      </c>
      <c r="B751" s="2">
        <v>45204</v>
      </c>
      <c r="C751" s="1" t="str">
        <f>_xlfn.XLOOKUP(Logs[[#This Row],[Province_RDC]],Clients_Log!D:D,Clients_Log!B:B,"Pas de correspondance")</f>
        <v>Pas de correspondance</v>
      </c>
      <c r="D751" t="str">
        <f>_xlfn.XLOOKUP(Logs[[#This Row],[Cell_ID]],'Registre_Maintenance'!B:B,'Registre_Maintenance'!C:C,"Pas de correspondance")</f>
        <v>Pas de correspondance</v>
      </c>
      <c r="E751" s="3">
        <v>0.91666666666666663</v>
      </c>
      <c r="F751" s="1" t="s">
        <v>1342</v>
      </c>
      <c r="G751" s="3">
        <f>Logs[[#This Row],[Duree_Panne_Min]]/1440</f>
        <v>4.4444444444444446E-2</v>
      </c>
      <c r="H751">
        <v>64</v>
      </c>
      <c r="I751" t="str">
        <f>_xlfn.XLOOKUP(Logs[[#This Row],[Cell_ID]],'Registre_Maintenance'!B:B,'Registre_Maintenance'!D:D,"Pas de correspondance")</f>
        <v>Pas de correspondance</v>
      </c>
      <c r="J751" t="str">
        <f>_xlfn.XLOOKUP(Logs[[#This Row],[Cell_ID]],'Registre_Maintenance'!B:B,'Registre_Maintenance'!E:E,"Pas de correspondance")</f>
        <v>Pas de correspondance</v>
      </c>
      <c r="K751" t="str">
        <f>_xlfn.XLOOKUP(Logs[[#This Row],[Cell_ID]],'Registre_Maintenance'!B:B,'Registre_Maintenance'!F:F,"Pas de correspondance")</f>
        <v>Pas de correspondance</v>
      </c>
      <c r="L751" t="str">
        <f>_xlfn.XLOOKUP(Logs[[#This Row],[Cell_ID]],'Registre_Maintenance'!B:B,'Registre_Maintenance'!G:G,"Pas de correspondance")</f>
        <v>Pas de correspondance</v>
      </c>
      <c r="M751" s="1" t="s">
        <v>811</v>
      </c>
      <c r="N751" s="1" t="str">
        <f>_xlfn.XLOOKUP(Logs[[#This Row],[ID_Client]],Clients_Log!B:B,Clients_Log!E:E,"Pas de correspondance")</f>
        <v>Pas de correspondance</v>
      </c>
      <c r="O751" s="4" t="str">
        <f>IFERROR(Logs[[#This Row],[Anciennete_Mois]]/12,"")</f>
        <v/>
      </c>
      <c r="P751" s="1" t="str">
        <f>_xlfn.XLOOKUP(Logs[[#This Row],[ID_Client]],Clients_Log!B:B,Clients_Log!F:F,"Pas de correspondance")</f>
        <v>Pas de correspondance</v>
      </c>
      <c r="Q751" s="1" t="str">
        <f>IF(Logs[[#This Row],[Type_Forfait]]="Pro Monde","B2B","B2C")</f>
        <v>B2C</v>
      </c>
      <c r="R751" s="1" t="str">
        <f>_xlfn.XLOOKUP(Logs[[#This Row],[ID_Client]],Clients_Log!B:B,Clients_Log!G:G,"Pas de correspondance")</f>
        <v>Pas de correspondance</v>
      </c>
      <c r="S751" s="1" t="e">
        <f>Logs[[#This Row],[Duree_Cumulee_Panne_Min]]/1440</f>
        <v>#VALUE!</v>
      </c>
      <c r="T751" s="1" t="str">
        <f>_xlfn.XLOOKUP(Logs[[#This Row],[ID_Client]],Clients_Log!B:B,Clients_Log!H:H,"Pas de correspondance")</f>
        <v>Pas de correspondance</v>
      </c>
      <c r="U751" s="1" t="str">
        <f>_xlfn.XLOOKUP(Logs[[#This Row],[ID_Client]],Clients_Log!B:B,Clients_Log!I:I,"Pas de correspondance")</f>
        <v>Pas de correspondance</v>
      </c>
      <c r="V75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51" s="1" t="e">
        <f>Logs[[#This Row],[Facture_Mensuelle]]*Logs[[#This Row],[Remise (%)]]</f>
        <v>#VALUE!</v>
      </c>
    </row>
    <row r="752" spans="1:23" hidden="1" x14ac:dyDescent="0.25">
      <c r="A752" s="1" t="s">
        <v>1337</v>
      </c>
      <c r="B752" s="2">
        <v>45205</v>
      </c>
      <c r="C752" s="1" t="str">
        <f>_xlfn.XLOOKUP(Logs[[#This Row],[Province_RDC]],Clients_Log!D:D,Clients_Log!B:B,"Pas de correspondance")</f>
        <v>Pas de correspondance</v>
      </c>
      <c r="D752" t="str">
        <f>_xlfn.XLOOKUP(Logs[[#This Row],[Cell_ID]],'Registre_Maintenance'!B:B,'Registre_Maintenance'!C:C,"Pas de correspondance")</f>
        <v>Pas de correspondance</v>
      </c>
      <c r="E752" s="3">
        <v>0.64027777777777772</v>
      </c>
      <c r="F752" s="1" t="s">
        <v>954</v>
      </c>
      <c r="G752" s="3">
        <f>Logs[[#This Row],[Duree_Panne_Min]]/1440</f>
        <v>3.6111111111111108E-2</v>
      </c>
      <c r="H752">
        <v>52</v>
      </c>
      <c r="I752" t="str">
        <f>_xlfn.XLOOKUP(Logs[[#This Row],[Cell_ID]],'Registre_Maintenance'!B:B,'Registre_Maintenance'!D:D,"Pas de correspondance")</f>
        <v>Pas de correspondance</v>
      </c>
      <c r="J752" t="str">
        <f>_xlfn.XLOOKUP(Logs[[#This Row],[Cell_ID]],'Registre_Maintenance'!B:B,'Registre_Maintenance'!E:E,"Pas de correspondance")</f>
        <v>Pas de correspondance</v>
      </c>
      <c r="K752" t="str">
        <f>_xlfn.XLOOKUP(Logs[[#This Row],[Cell_ID]],'Registre_Maintenance'!B:B,'Registre_Maintenance'!F:F,"Pas de correspondance")</f>
        <v>Pas de correspondance</v>
      </c>
      <c r="L752" t="str">
        <f>_xlfn.XLOOKUP(Logs[[#This Row],[Cell_ID]],'Registre_Maintenance'!B:B,'Registre_Maintenance'!G:G,"Pas de correspondance")</f>
        <v>Pas de correspondance</v>
      </c>
      <c r="M752" s="1" t="s">
        <v>806</v>
      </c>
      <c r="N752" s="1" t="str">
        <f>_xlfn.XLOOKUP(Logs[[#This Row],[ID_Client]],Clients_Log!B:B,Clients_Log!E:E,"Pas de correspondance")</f>
        <v>Pas de correspondance</v>
      </c>
      <c r="O752" s="4" t="str">
        <f>IFERROR(Logs[[#This Row],[Anciennete_Mois]]/12,"")</f>
        <v/>
      </c>
      <c r="P752" s="1" t="str">
        <f>_xlfn.XLOOKUP(Logs[[#This Row],[ID_Client]],Clients_Log!B:B,Clients_Log!F:F,"Pas de correspondance")</f>
        <v>Pas de correspondance</v>
      </c>
      <c r="Q752" s="1" t="str">
        <f>IF(Logs[[#This Row],[Type_Forfait]]="Pro Monde","B2B","B2C")</f>
        <v>B2C</v>
      </c>
      <c r="R752" s="1" t="str">
        <f>_xlfn.XLOOKUP(Logs[[#This Row],[ID_Client]],Clients_Log!B:B,Clients_Log!G:G,"Pas de correspondance")</f>
        <v>Pas de correspondance</v>
      </c>
      <c r="S752" s="1" t="e">
        <f>Logs[[#This Row],[Duree_Cumulee_Panne_Min]]/1440</f>
        <v>#VALUE!</v>
      </c>
      <c r="T752" s="1" t="str">
        <f>_xlfn.XLOOKUP(Logs[[#This Row],[ID_Client]],Clients_Log!B:B,Clients_Log!H:H,"Pas de correspondance")</f>
        <v>Pas de correspondance</v>
      </c>
      <c r="U752" s="1" t="str">
        <f>_xlfn.XLOOKUP(Logs[[#This Row],[ID_Client]],Clients_Log!B:B,Clients_Log!I:I,"Pas de correspondance")</f>
        <v>Pas de correspondance</v>
      </c>
      <c r="V75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52" s="1" t="e">
        <f>Logs[[#This Row],[Facture_Mensuelle]]*Logs[[#This Row],[Remise (%)]]</f>
        <v>#VALUE!</v>
      </c>
    </row>
    <row r="753" spans="1:23" hidden="1" x14ac:dyDescent="0.25">
      <c r="A753" s="1" t="s">
        <v>1337</v>
      </c>
      <c r="B753" s="2">
        <v>45216</v>
      </c>
      <c r="C753" s="1" t="str">
        <f>_xlfn.XLOOKUP(Logs[[#This Row],[Province_RDC]],Clients_Log!D:D,Clients_Log!B:B,"Pas de correspondance")</f>
        <v>Pas de correspondance</v>
      </c>
      <c r="D753" t="str">
        <f>_xlfn.XLOOKUP(Logs[[#This Row],[Cell_ID]],'Registre_Maintenance'!B:B,'Registre_Maintenance'!C:C,"Pas de correspondance")</f>
        <v>Pas de correspondance</v>
      </c>
      <c r="E753" s="3">
        <v>0.70138888888888884</v>
      </c>
      <c r="F753" s="1" t="s">
        <v>936</v>
      </c>
      <c r="G753" s="3">
        <f>Logs[[#This Row],[Duree_Panne_Min]]/1440</f>
        <v>5.5555555555555552E-2</v>
      </c>
      <c r="H753">
        <v>80</v>
      </c>
      <c r="I753" t="str">
        <f>_xlfn.XLOOKUP(Logs[[#This Row],[Cell_ID]],'Registre_Maintenance'!B:B,'Registre_Maintenance'!D:D,"Pas de correspondance")</f>
        <v>Pas de correspondance</v>
      </c>
      <c r="J753" t="str">
        <f>_xlfn.XLOOKUP(Logs[[#This Row],[Cell_ID]],'Registre_Maintenance'!B:B,'Registre_Maintenance'!E:E,"Pas de correspondance")</f>
        <v>Pas de correspondance</v>
      </c>
      <c r="K753" t="str">
        <f>_xlfn.XLOOKUP(Logs[[#This Row],[Cell_ID]],'Registre_Maintenance'!B:B,'Registre_Maintenance'!F:F,"Pas de correspondance")</f>
        <v>Pas de correspondance</v>
      </c>
      <c r="L753" t="str">
        <f>_xlfn.XLOOKUP(Logs[[#This Row],[Cell_ID]],'Registre_Maintenance'!B:B,'Registre_Maintenance'!G:G,"Pas de correspondance")</f>
        <v>Pas de correspondance</v>
      </c>
      <c r="M753" s="1" t="s">
        <v>806</v>
      </c>
      <c r="N753" s="1" t="str">
        <f>_xlfn.XLOOKUP(Logs[[#This Row],[ID_Client]],Clients_Log!B:B,Clients_Log!E:E,"Pas de correspondance")</f>
        <v>Pas de correspondance</v>
      </c>
      <c r="O753" s="4" t="str">
        <f>IFERROR(Logs[[#This Row],[Anciennete_Mois]]/12,"")</f>
        <v/>
      </c>
      <c r="P753" s="1" t="str">
        <f>_xlfn.XLOOKUP(Logs[[#This Row],[ID_Client]],Clients_Log!B:B,Clients_Log!F:F,"Pas de correspondance")</f>
        <v>Pas de correspondance</v>
      </c>
      <c r="Q753" s="1" t="str">
        <f>IF(Logs[[#This Row],[Type_Forfait]]="Pro Monde","B2B","B2C")</f>
        <v>B2C</v>
      </c>
      <c r="R753" s="1" t="str">
        <f>_xlfn.XLOOKUP(Logs[[#This Row],[ID_Client]],Clients_Log!B:B,Clients_Log!G:G,"Pas de correspondance")</f>
        <v>Pas de correspondance</v>
      </c>
      <c r="S753" s="1" t="e">
        <f>Logs[[#This Row],[Duree_Cumulee_Panne_Min]]/1440</f>
        <v>#VALUE!</v>
      </c>
      <c r="T753" s="1" t="str">
        <f>_xlfn.XLOOKUP(Logs[[#This Row],[ID_Client]],Clients_Log!B:B,Clients_Log!H:H,"Pas de correspondance")</f>
        <v>Pas de correspondance</v>
      </c>
      <c r="U753" s="1" t="str">
        <f>_xlfn.XLOOKUP(Logs[[#This Row],[ID_Client]],Clients_Log!B:B,Clients_Log!I:I,"Pas de correspondance")</f>
        <v>Pas de correspondance</v>
      </c>
      <c r="V75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53" s="1" t="e">
        <f>Logs[[#This Row],[Facture_Mensuelle]]*Logs[[#This Row],[Remise (%)]]</f>
        <v>#VALUE!</v>
      </c>
    </row>
    <row r="754" spans="1:23" x14ac:dyDescent="0.25">
      <c r="A754" s="1" t="s">
        <v>1337</v>
      </c>
      <c r="B754" s="2">
        <v>45226</v>
      </c>
      <c r="C754" s="1" t="str">
        <f>_xlfn.XLOOKUP(Logs[[#This Row],[Province_RDC]],Clients_Log!D:D,Clients_Log!B:B,"Pas de correspondance")</f>
        <v>CLI-00745</v>
      </c>
      <c r="D754" t="str">
        <f>_xlfn.XLOOKUP(Logs[[#This Row],[Cell_ID]],'Registre_Maintenance'!B:B,'Registre_Maintenance'!C:C,"Pas de correspondance")</f>
        <v>Tshopo</v>
      </c>
      <c r="E754" s="3">
        <v>0.96944444444444444</v>
      </c>
      <c r="F754" s="1" t="s">
        <v>959</v>
      </c>
      <c r="G754" s="3">
        <f>Logs[[#This Row],[Duree_Panne_Min]]/1440</f>
        <v>4.7222222222222221E-2</v>
      </c>
      <c r="H754">
        <v>68</v>
      </c>
      <c r="I754">
        <f>_xlfn.XLOOKUP(Logs[[#This Row],[Cell_ID]],'Registre_Maintenance'!B:B,'Registre_Maintenance'!D:D,"Pas de correspondance")</f>
        <v>3.0603760000000002</v>
      </c>
      <c r="J754">
        <f>_xlfn.XLOOKUP(Logs[[#This Row],[Cell_ID]],'Registre_Maintenance'!B:B,'Registre_Maintenance'!E:E,"Pas de correspondance")</f>
        <v>19.708034000000001</v>
      </c>
      <c r="K754" t="str">
        <f>_xlfn.XLOOKUP(Logs[[#This Row],[Cell_ID]],'Registre_Maintenance'!B:B,'Registre_Maintenance'!F:F,"Pas de correspondance")</f>
        <v>3G</v>
      </c>
      <c r="L754" t="str">
        <f>_xlfn.XLOOKUP(Logs[[#This Row],[Cell_ID]],'Registre_Maintenance'!B:B,'Registre_Maintenance'!G:G,"Pas de correspondance")</f>
        <v>ZTE</v>
      </c>
      <c r="M754" s="1" t="s">
        <v>806</v>
      </c>
      <c r="N754" s="1">
        <f>_xlfn.XLOOKUP(Logs[[#This Row],[ID_Client]],Clients_Log!B:B,Clients_Log!E:E,"Pas de correspondance")</f>
        <v>6</v>
      </c>
      <c r="O754" s="4">
        <f>IFERROR(Logs[[#This Row],[Anciennete_Mois]]/12,"")</f>
        <v>0.5</v>
      </c>
      <c r="P754" s="1" t="str">
        <f>_xlfn.XLOOKUP(Logs[[#This Row],[ID_Client]],Clients_Log!B:B,Clients_Log!F:F,"Pas de correspondance")</f>
        <v>Premium 5G 150Go</v>
      </c>
      <c r="Q754" s="1" t="str">
        <f>IF(Logs[[#This Row],[Type_Forfait]]="Pro Monde","B2B","B2C")</f>
        <v>B2C</v>
      </c>
      <c r="R754" s="1">
        <f>_xlfn.XLOOKUP(Logs[[#This Row],[ID_Client]],Clients_Log!B:B,Clients_Log!G:G,"Pas de correspondance")</f>
        <v>207</v>
      </c>
      <c r="S754" s="3">
        <f>Logs[[#This Row],[Duree_Cumulee_Panne_Min]]/1440</f>
        <v>0.14374999999999999</v>
      </c>
      <c r="T754" s="1">
        <f>_xlfn.XLOOKUP(Logs[[#This Row],[ID_Client]],Clients_Log!B:B,Clients_Log!H:H,"Pas de correspondance")</f>
        <v>61.55</v>
      </c>
      <c r="U754" s="1">
        <f>_xlfn.XLOOKUP(Logs[[#This Row],[ID_Client]],Clients_Log!B:B,Clients_Log!I:I,"Pas de correspondance")</f>
        <v>0</v>
      </c>
      <c r="V75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54" s="1">
        <f>Logs[[#This Row],[Facture_Mensuelle]]*Logs[[#This Row],[Remise (%)]]</f>
        <v>27.697499999999998</v>
      </c>
    </row>
    <row r="755" spans="1:23" x14ac:dyDescent="0.25">
      <c r="A755" s="1" t="s">
        <v>1337</v>
      </c>
      <c r="B755" s="2">
        <v>45205</v>
      </c>
      <c r="C755" s="1" t="str">
        <f>_xlfn.XLOOKUP(Logs[[#This Row],[Province_RDC]],Clients_Log!D:D,Clients_Log!B:B,"Pas de correspondance")</f>
        <v>CLI-00837</v>
      </c>
      <c r="D755" t="str">
        <f>_xlfn.XLOOKUP(Logs[[#This Row],[Cell_ID]],'Registre_Maintenance'!B:B,'Registre_Maintenance'!C:C,"Pas de correspondance")</f>
        <v>Nord-Kivu</v>
      </c>
      <c r="E755" s="3">
        <v>0.46388888888888891</v>
      </c>
      <c r="F755" s="1" t="s">
        <v>1343</v>
      </c>
      <c r="G755" s="3">
        <f>Logs[[#This Row],[Duree_Panne_Min]]/1440</f>
        <v>7.1527777777777773E-2</v>
      </c>
      <c r="H755">
        <v>103</v>
      </c>
      <c r="I755">
        <f>_xlfn.XLOOKUP(Logs[[#This Row],[Cell_ID]],'Registre_Maintenance'!B:B,'Registre_Maintenance'!D:D,"Pas de correspondance")</f>
        <v>-0.17258100000000001</v>
      </c>
      <c r="J755">
        <f>_xlfn.XLOOKUP(Logs[[#This Row],[Cell_ID]],'Registre_Maintenance'!B:B,'Registre_Maintenance'!E:E,"Pas de correspondance")</f>
        <v>23.775555000000001</v>
      </c>
      <c r="K755" t="str">
        <f>_xlfn.XLOOKUP(Logs[[#This Row],[Cell_ID]],'Registre_Maintenance'!B:B,'Registre_Maintenance'!F:F,"Pas de correspondance")</f>
        <v>5G</v>
      </c>
      <c r="L755" t="str">
        <f>_xlfn.XLOOKUP(Logs[[#This Row],[Cell_ID]],'Registre_Maintenance'!B:B,'Registre_Maintenance'!G:G,"Pas de correspondance")</f>
        <v>Nokia</v>
      </c>
      <c r="M755" s="1" t="s">
        <v>806</v>
      </c>
      <c r="N755" s="1">
        <f>_xlfn.XLOOKUP(Logs[[#This Row],[ID_Client]],Clients_Log!B:B,Clients_Log!E:E,"Pas de correspondance")</f>
        <v>16</v>
      </c>
      <c r="O755" s="4">
        <f>IFERROR(Logs[[#This Row],[Anciennete_Mois]]/12,"")</f>
        <v>1.3333333333333333</v>
      </c>
      <c r="P755" s="1" t="str">
        <f>_xlfn.XLOOKUP(Logs[[#This Row],[ID_Client]],Clients_Log!B:B,Clients_Log!F:F,"Pas de correspondance")</f>
        <v>Bloqué 5Go</v>
      </c>
      <c r="Q755" s="1" t="str">
        <f>IF(Logs[[#This Row],[Type_Forfait]]="Pro Monde","B2B","B2C")</f>
        <v>B2C</v>
      </c>
      <c r="R755" s="1">
        <f>_xlfn.XLOOKUP(Logs[[#This Row],[ID_Client]],Clients_Log!B:B,Clients_Log!G:G,"Pas de correspondance")</f>
        <v>390</v>
      </c>
      <c r="S755" s="3">
        <f>Logs[[#This Row],[Duree_Cumulee_Panne_Min]]/1440</f>
        <v>0.27083333333333331</v>
      </c>
      <c r="T755" s="1">
        <f>_xlfn.XLOOKUP(Logs[[#This Row],[ID_Client]],Clients_Log!B:B,Clients_Log!H:H,"Pas de correspondance")</f>
        <v>98.17</v>
      </c>
      <c r="U755" s="1">
        <f>_xlfn.XLOOKUP(Logs[[#This Row],[ID_Client]],Clients_Log!B:B,Clients_Log!I:I,"Pas de correspondance")</f>
        <v>5</v>
      </c>
      <c r="V75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55" s="1">
        <f>Logs[[#This Row],[Facture_Mensuelle]]*Logs[[#This Row],[Remise (%)]]</f>
        <v>44.176500000000004</v>
      </c>
    </row>
    <row r="756" spans="1:23" hidden="1" x14ac:dyDescent="0.25">
      <c r="A756" s="1" t="s">
        <v>1337</v>
      </c>
      <c r="B756" s="2">
        <v>45223</v>
      </c>
      <c r="C756" s="1" t="str">
        <f>_xlfn.XLOOKUP(Logs[[#This Row],[Province_RDC]],Clients_Log!D:D,Clients_Log!B:B,"Pas de correspondance")</f>
        <v>Pas de correspondance</v>
      </c>
      <c r="D756" t="str">
        <f>_xlfn.XLOOKUP(Logs[[#This Row],[Cell_ID]],'Registre_Maintenance'!B:B,'Registre_Maintenance'!C:C,"Pas de correspondance")</f>
        <v>Pas de correspondance</v>
      </c>
      <c r="E756" s="3">
        <v>0.36527777777777776</v>
      </c>
      <c r="F756" s="1" t="s">
        <v>1344</v>
      </c>
      <c r="G756" s="3">
        <f>Logs[[#This Row],[Duree_Panne_Min]]/1440</f>
        <v>7.2222222222222215E-2</v>
      </c>
      <c r="H756">
        <v>104</v>
      </c>
      <c r="I756" t="str">
        <f>_xlfn.XLOOKUP(Logs[[#This Row],[Cell_ID]],'Registre_Maintenance'!B:B,'Registre_Maintenance'!D:D,"Pas de correspondance")</f>
        <v>Pas de correspondance</v>
      </c>
      <c r="J756" t="str">
        <f>_xlfn.XLOOKUP(Logs[[#This Row],[Cell_ID]],'Registre_Maintenance'!B:B,'Registre_Maintenance'!E:E,"Pas de correspondance")</f>
        <v>Pas de correspondance</v>
      </c>
      <c r="K756" t="str">
        <f>_xlfn.XLOOKUP(Logs[[#This Row],[Cell_ID]],'Registre_Maintenance'!B:B,'Registre_Maintenance'!F:F,"Pas de correspondance")</f>
        <v>Pas de correspondance</v>
      </c>
      <c r="L756" t="str">
        <f>_xlfn.XLOOKUP(Logs[[#This Row],[Cell_ID]],'Registre_Maintenance'!B:B,'Registre_Maintenance'!G:G,"Pas de correspondance")</f>
        <v>Pas de correspondance</v>
      </c>
      <c r="M756" s="1" t="s">
        <v>809</v>
      </c>
      <c r="N756" s="1" t="str">
        <f>_xlfn.XLOOKUP(Logs[[#This Row],[ID_Client]],Clients_Log!B:B,Clients_Log!E:E,"Pas de correspondance")</f>
        <v>Pas de correspondance</v>
      </c>
      <c r="O756" s="4" t="str">
        <f>IFERROR(Logs[[#This Row],[Anciennete_Mois]]/12,"")</f>
        <v/>
      </c>
      <c r="P756" s="1" t="str">
        <f>_xlfn.XLOOKUP(Logs[[#This Row],[ID_Client]],Clients_Log!B:B,Clients_Log!F:F,"Pas de correspondance")</f>
        <v>Pas de correspondance</v>
      </c>
      <c r="Q756" s="1" t="str">
        <f>IF(Logs[[#This Row],[Type_Forfait]]="Pro Monde","B2B","B2C")</f>
        <v>B2C</v>
      </c>
      <c r="R756" s="1" t="str">
        <f>_xlfn.XLOOKUP(Logs[[#This Row],[ID_Client]],Clients_Log!B:B,Clients_Log!G:G,"Pas de correspondance")</f>
        <v>Pas de correspondance</v>
      </c>
      <c r="S756" s="1" t="e">
        <f>Logs[[#This Row],[Duree_Cumulee_Panne_Min]]/1440</f>
        <v>#VALUE!</v>
      </c>
      <c r="T756" s="1" t="str">
        <f>_xlfn.XLOOKUP(Logs[[#This Row],[ID_Client]],Clients_Log!B:B,Clients_Log!H:H,"Pas de correspondance")</f>
        <v>Pas de correspondance</v>
      </c>
      <c r="U756" s="1" t="str">
        <f>_xlfn.XLOOKUP(Logs[[#This Row],[ID_Client]],Clients_Log!B:B,Clients_Log!I:I,"Pas de correspondance")</f>
        <v>Pas de correspondance</v>
      </c>
      <c r="V75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56" s="1" t="e">
        <f>Logs[[#This Row],[Facture_Mensuelle]]*Logs[[#This Row],[Remise (%)]]</f>
        <v>#VALUE!</v>
      </c>
    </row>
    <row r="757" spans="1:23" x14ac:dyDescent="0.25">
      <c r="A757" s="1" t="s">
        <v>1337</v>
      </c>
      <c r="B757" s="2">
        <v>45228</v>
      </c>
      <c r="C757" s="1" t="str">
        <f>_xlfn.XLOOKUP(Logs[[#This Row],[Province_RDC]],Clients_Log!D:D,Clients_Log!B:B,"Pas de correspondance")</f>
        <v>CLI-00996</v>
      </c>
      <c r="D757" t="str">
        <f>_xlfn.XLOOKUP(Logs[[#This Row],[Cell_ID]],'Registre_Maintenance'!B:B,'Registre_Maintenance'!C:C,"Pas de correspondance")</f>
        <v>Kwilu</v>
      </c>
      <c r="E757" s="3">
        <v>0.15902777777777777</v>
      </c>
      <c r="F757" s="1" t="s">
        <v>1211</v>
      </c>
      <c r="G757" s="3">
        <f>Logs[[#This Row],[Duree_Panne_Min]]/1440</f>
        <v>2.0833333333333332E-2</v>
      </c>
      <c r="H757">
        <v>30</v>
      </c>
      <c r="I757">
        <f>_xlfn.XLOOKUP(Logs[[#This Row],[Cell_ID]],'Registre_Maintenance'!B:B,'Registre_Maintenance'!D:D,"Pas de correspondance")</f>
        <v>0.62055499999999997</v>
      </c>
      <c r="J757">
        <f>_xlfn.XLOOKUP(Logs[[#This Row],[Cell_ID]],'Registre_Maintenance'!B:B,'Registre_Maintenance'!E:E,"Pas de correspondance")</f>
        <v>21.222035000000002</v>
      </c>
      <c r="K757" t="str">
        <f>_xlfn.XLOOKUP(Logs[[#This Row],[Cell_ID]],'Registre_Maintenance'!B:B,'Registre_Maintenance'!F:F,"Pas de correspondance")</f>
        <v>5G</v>
      </c>
      <c r="L757" t="str">
        <f>_xlfn.XLOOKUP(Logs[[#This Row],[Cell_ID]],'Registre_Maintenance'!B:B,'Registre_Maintenance'!G:G,"Pas de correspondance")</f>
        <v>Nokia</v>
      </c>
      <c r="M757" s="1" t="s">
        <v>806</v>
      </c>
      <c r="N757" s="1">
        <f>_xlfn.XLOOKUP(Logs[[#This Row],[ID_Client]],Clients_Log!B:B,Clients_Log!E:E,"Pas de correspondance")</f>
        <v>119</v>
      </c>
      <c r="O757" s="4">
        <f>IFERROR(Logs[[#This Row],[Anciennete_Mois]]/12,"")</f>
        <v>9.9166666666666661</v>
      </c>
      <c r="P757" s="1" t="str">
        <f>_xlfn.XLOOKUP(Logs[[#This Row],[ID_Client]],Clients_Log!B:B,Clients_Log!F:F,"Pas de correspondance")</f>
        <v>Illimité 50Go</v>
      </c>
      <c r="Q757" s="1" t="str">
        <f>IF(Logs[[#This Row],[Type_Forfait]]="Pro Monde","B2B","B2C")</f>
        <v>B2C</v>
      </c>
      <c r="R757" s="1">
        <f>_xlfn.XLOOKUP(Logs[[#This Row],[ID_Client]],Clients_Log!B:B,Clients_Log!G:G,"Pas de correspondance")</f>
        <v>228</v>
      </c>
      <c r="S757" s="3">
        <f>Logs[[#This Row],[Duree_Cumulee_Panne_Min]]/1440</f>
        <v>0.15833333333333333</v>
      </c>
      <c r="T757" s="1">
        <f>_xlfn.XLOOKUP(Logs[[#This Row],[ID_Client]],Clients_Log!B:B,Clients_Log!H:H,"Pas de correspondance")</f>
        <v>94.72</v>
      </c>
      <c r="U757" s="1">
        <f>_xlfn.XLOOKUP(Logs[[#This Row],[ID_Client]],Clients_Log!B:B,Clients_Log!I:I,"Pas de correspondance")</f>
        <v>3</v>
      </c>
      <c r="V75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757" s="1">
        <f>Logs[[#This Row],[Facture_Mensuelle]]*Logs[[#This Row],[Remise (%)]]</f>
        <v>0</v>
      </c>
    </row>
    <row r="758" spans="1:23" hidden="1" x14ac:dyDescent="0.25">
      <c r="A758" s="1" t="s">
        <v>1337</v>
      </c>
      <c r="B758" s="2">
        <v>45228</v>
      </c>
      <c r="C758" s="1" t="str">
        <f>_xlfn.XLOOKUP(Logs[[#This Row],[Province_RDC]],Clients_Log!D:D,Clients_Log!B:B,"Pas de correspondance")</f>
        <v>Pas de correspondance</v>
      </c>
      <c r="D758" t="str">
        <f>_xlfn.XLOOKUP(Logs[[#This Row],[Cell_ID]],'Registre_Maintenance'!B:B,'Registre_Maintenance'!C:C,"Pas de correspondance")</f>
        <v>Pas de correspondance</v>
      </c>
      <c r="E758" s="3">
        <v>1.4583333333333334E-2</v>
      </c>
      <c r="F758" s="1" t="s">
        <v>914</v>
      </c>
      <c r="G758" s="3">
        <f>Logs[[#This Row],[Duree_Panne_Min]]/1440</f>
        <v>6.805555555555555E-2</v>
      </c>
      <c r="H758">
        <v>98</v>
      </c>
      <c r="I758" t="str">
        <f>_xlfn.XLOOKUP(Logs[[#This Row],[Cell_ID]],'Registre_Maintenance'!B:B,'Registre_Maintenance'!D:D,"Pas de correspondance")</f>
        <v>Pas de correspondance</v>
      </c>
      <c r="J758" t="str">
        <f>_xlfn.XLOOKUP(Logs[[#This Row],[Cell_ID]],'Registre_Maintenance'!B:B,'Registre_Maintenance'!E:E,"Pas de correspondance")</f>
        <v>Pas de correspondance</v>
      </c>
      <c r="K758" t="str">
        <f>_xlfn.XLOOKUP(Logs[[#This Row],[Cell_ID]],'Registre_Maintenance'!B:B,'Registre_Maintenance'!F:F,"Pas de correspondance")</f>
        <v>Pas de correspondance</v>
      </c>
      <c r="L758" t="str">
        <f>_xlfn.XLOOKUP(Logs[[#This Row],[Cell_ID]],'Registre_Maintenance'!B:B,'Registre_Maintenance'!G:G,"Pas de correspondance")</f>
        <v>Pas de correspondance</v>
      </c>
      <c r="M758" s="1" t="s">
        <v>806</v>
      </c>
      <c r="N758" s="1" t="str">
        <f>_xlfn.XLOOKUP(Logs[[#This Row],[ID_Client]],Clients_Log!B:B,Clients_Log!E:E,"Pas de correspondance")</f>
        <v>Pas de correspondance</v>
      </c>
      <c r="O758" s="4" t="str">
        <f>IFERROR(Logs[[#This Row],[Anciennete_Mois]]/12,"")</f>
        <v/>
      </c>
      <c r="P758" s="1" t="str">
        <f>_xlfn.XLOOKUP(Logs[[#This Row],[ID_Client]],Clients_Log!B:B,Clients_Log!F:F,"Pas de correspondance")</f>
        <v>Pas de correspondance</v>
      </c>
      <c r="Q758" s="1" t="str">
        <f>IF(Logs[[#This Row],[Type_Forfait]]="Pro Monde","B2B","B2C")</f>
        <v>B2C</v>
      </c>
      <c r="R758" s="1" t="str">
        <f>_xlfn.XLOOKUP(Logs[[#This Row],[ID_Client]],Clients_Log!B:B,Clients_Log!G:G,"Pas de correspondance")</f>
        <v>Pas de correspondance</v>
      </c>
      <c r="S758" s="1" t="e">
        <f>Logs[[#This Row],[Duree_Cumulee_Panne_Min]]/1440</f>
        <v>#VALUE!</v>
      </c>
      <c r="T758" s="1" t="str">
        <f>_xlfn.XLOOKUP(Logs[[#This Row],[ID_Client]],Clients_Log!B:B,Clients_Log!H:H,"Pas de correspondance")</f>
        <v>Pas de correspondance</v>
      </c>
      <c r="U758" s="1" t="str">
        <f>_xlfn.XLOOKUP(Logs[[#This Row],[ID_Client]],Clients_Log!B:B,Clients_Log!I:I,"Pas de correspondance")</f>
        <v>Pas de correspondance</v>
      </c>
      <c r="V75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58" s="1" t="e">
        <f>Logs[[#This Row],[Facture_Mensuelle]]*Logs[[#This Row],[Remise (%)]]</f>
        <v>#VALUE!</v>
      </c>
    </row>
    <row r="759" spans="1:23" hidden="1" x14ac:dyDescent="0.25">
      <c r="A759" s="1" t="s">
        <v>1337</v>
      </c>
      <c r="B759" s="2">
        <v>45225</v>
      </c>
      <c r="C759" s="1" t="str">
        <f>_xlfn.XLOOKUP(Logs[[#This Row],[Province_RDC]],Clients_Log!D:D,Clients_Log!B:B,"Pas de correspondance")</f>
        <v>Pas de correspondance</v>
      </c>
      <c r="D759" t="str">
        <f>_xlfn.XLOOKUP(Logs[[#This Row],[Cell_ID]],'Registre_Maintenance'!B:B,'Registre_Maintenance'!C:C,"Pas de correspondance")</f>
        <v>Pas de correspondance</v>
      </c>
      <c r="E759" s="3">
        <v>0.55347222222222225</v>
      </c>
      <c r="F759" s="1" t="s">
        <v>1345</v>
      </c>
      <c r="G759" s="3">
        <f>Logs[[#This Row],[Duree_Panne_Min]]/1440</f>
        <v>8.3333333333333329E-2</v>
      </c>
      <c r="H759">
        <v>120</v>
      </c>
      <c r="I759" t="str">
        <f>_xlfn.XLOOKUP(Logs[[#This Row],[Cell_ID]],'Registre_Maintenance'!B:B,'Registre_Maintenance'!D:D,"Pas de correspondance")</f>
        <v>Pas de correspondance</v>
      </c>
      <c r="J759" t="str">
        <f>_xlfn.XLOOKUP(Logs[[#This Row],[Cell_ID]],'Registre_Maintenance'!B:B,'Registre_Maintenance'!E:E,"Pas de correspondance")</f>
        <v>Pas de correspondance</v>
      </c>
      <c r="K759" t="str">
        <f>_xlfn.XLOOKUP(Logs[[#This Row],[Cell_ID]],'Registre_Maintenance'!B:B,'Registre_Maintenance'!F:F,"Pas de correspondance")</f>
        <v>Pas de correspondance</v>
      </c>
      <c r="L759" t="str">
        <f>_xlfn.XLOOKUP(Logs[[#This Row],[Cell_ID]],'Registre_Maintenance'!B:B,'Registre_Maintenance'!G:G,"Pas de correspondance")</f>
        <v>Pas de correspondance</v>
      </c>
      <c r="M759" s="1" t="s">
        <v>806</v>
      </c>
      <c r="N759" s="1" t="str">
        <f>_xlfn.XLOOKUP(Logs[[#This Row],[ID_Client]],Clients_Log!B:B,Clients_Log!E:E,"Pas de correspondance")</f>
        <v>Pas de correspondance</v>
      </c>
      <c r="O759" s="4" t="str">
        <f>IFERROR(Logs[[#This Row],[Anciennete_Mois]]/12,"")</f>
        <v/>
      </c>
      <c r="P759" s="1" t="str">
        <f>_xlfn.XLOOKUP(Logs[[#This Row],[ID_Client]],Clients_Log!B:B,Clients_Log!F:F,"Pas de correspondance")</f>
        <v>Pas de correspondance</v>
      </c>
      <c r="Q759" s="1" t="str">
        <f>IF(Logs[[#This Row],[Type_Forfait]]="Pro Monde","B2B","B2C")</f>
        <v>B2C</v>
      </c>
      <c r="R759" s="1" t="str">
        <f>_xlfn.XLOOKUP(Logs[[#This Row],[ID_Client]],Clients_Log!B:B,Clients_Log!G:G,"Pas de correspondance")</f>
        <v>Pas de correspondance</v>
      </c>
      <c r="S759" s="1" t="e">
        <f>Logs[[#This Row],[Duree_Cumulee_Panne_Min]]/1440</f>
        <v>#VALUE!</v>
      </c>
      <c r="T759" s="1" t="str">
        <f>_xlfn.XLOOKUP(Logs[[#This Row],[ID_Client]],Clients_Log!B:B,Clients_Log!H:H,"Pas de correspondance")</f>
        <v>Pas de correspondance</v>
      </c>
      <c r="U759" s="1" t="str">
        <f>_xlfn.XLOOKUP(Logs[[#This Row],[ID_Client]],Clients_Log!B:B,Clients_Log!I:I,"Pas de correspondance")</f>
        <v>Pas de correspondance</v>
      </c>
      <c r="V75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59" s="1" t="e">
        <f>Logs[[#This Row],[Facture_Mensuelle]]*Logs[[#This Row],[Remise (%)]]</f>
        <v>#VALUE!</v>
      </c>
    </row>
    <row r="760" spans="1:23" x14ac:dyDescent="0.25">
      <c r="A760" s="1" t="s">
        <v>1337</v>
      </c>
      <c r="B760" s="2">
        <v>45216</v>
      </c>
      <c r="C760" s="1" t="str">
        <f>_xlfn.XLOOKUP(Logs[[#This Row],[Province_RDC]],Clients_Log!D:D,Clients_Log!B:B,"Pas de correspondance")</f>
        <v>CLI-00131</v>
      </c>
      <c r="D760" t="str">
        <f>_xlfn.XLOOKUP(Logs[[#This Row],[Cell_ID]],'Registre_Maintenance'!B:B,'Registre_Maintenance'!C:C,"Pas de correspondance")</f>
        <v>Lomami</v>
      </c>
      <c r="E760" s="3">
        <v>9.4444444444444442E-2</v>
      </c>
      <c r="F760" s="1" t="s">
        <v>1346</v>
      </c>
      <c r="G760" s="3">
        <f>Logs[[#This Row],[Duree_Panne_Min]]/1440</f>
        <v>5.1388888888888887E-2</v>
      </c>
      <c r="H760">
        <v>74</v>
      </c>
      <c r="I760">
        <f>_xlfn.XLOOKUP(Logs[[#This Row],[Cell_ID]],'Registre_Maintenance'!B:B,'Registre_Maintenance'!D:D,"Pas de correspondance")</f>
        <v>4.8265669999999998</v>
      </c>
      <c r="J760">
        <f>_xlfn.XLOOKUP(Logs[[#This Row],[Cell_ID]],'Registre_Maintenance'!B:B,'Registre_Maintenance'!E:E,"Pas de correspondance")</f>
        <v>28.535277000000001</v>
      </c>
      <c r="K760" t="str">
        <f>_xlfn.XLOOKUP(Logs[[#This Row],[Cell_ID]],'Registre_Maintenance'!B:B,'Registre_Maintenance'!F:F,"Pas de correspondance")</f>
        <v>3G</v>
      </c>
      <c r="L760" t="str">
        <f>_xlfn.XLOOKUP(Logs[[#This Row],[Cell_ID]],'Registre_Maintenance'!B:B,'Registre_Maintenance'!G:G,"Pas de correspondance")</f>
        <v>Huawei</v>
      </c>
      <c r="M760" s="1" t="s">
        <v>806</v>
      </c>
      <c r="N760" s="1">
        <f>_xlfn.XLOOKUP(Logs[[#This Row],[ID_Client]],Clients_Log!B:B,Clients_Log!E:E,"Pas de correspondance")</f>
        <v>101</v>
      </c>
      <c r="O760" s="4">
        <f>IFERROR(Logs[[#This Row],[Anciennete_Mois]]/12,"")</f>
        <v>8.4166666666666661</v>
      </c>
      <c r="P760" s="1" t="str">
        <f>_xlfn.XLOOKUP(Logs[[#This Row],[ID_Client]],Clients_Log!B:B,Clients_Log!F:F,"Pas de correspondance")</f>
        <v>Pro Monde</v>
      </c>
      <c r="Q760" s="1" t="str">
        <f>IF(Logs[[#This Row],[Type_Forfait]]="Pro Monde","B2B","B2C")</f>
        <v>B2B</v>
      </c>
      <c r="R760" s="1">
        <f>_xlfn.XLOOKUP(Logs[[#This Row],[ID_Client]],Clients_Log!B:B,Clients_Log!G:G,"Pas de correspondance")</f>
        <v>176</v>
      </c>
      <c r="S760" s="3">
        <f>Logs[[#This Row],[Duree_Cumulee_Panne_Min]]/1440</f>
        <v>0.12222222222222222</v>
      </c>
      <c r="T760" s="1">
        <f>_xlfn.XLOOKUP(Logs[[#This Row],[ID_Client]],Clients_Log!B:B,Clients_Log!H:H,"Pas de correspondance")</f>
        <v>86</v>
      </c>
      <c r="U760" s="1">
        <f>_xlfn.XLOOKUP(Logs[[#This Row],[ID_Client]],Clients_Log!B:B,Clients_Log!I:I,"Pas de correspondance")</f>
        <v>3</v>
      </c>
      <c r="V76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760" s="1">
        <f>Logs[[#This Row],[Facture_Mensuelle]]*Logs[[#This Row],[Remise (%)]]</f>
        <v>8.6</v>
      </c>
    </row>
    <row r="761" spans="1:23" hidden="1" x14ac:dyDescent="0.25">
      <c r="A761" s="1" t="s">
        <v>1337</v>
      </c>
      <c r="B761" s="2">
        <v>45222</v>
      </c>
      <c r="C761" s="1" t="str">
        <f>_xlfn.XLOOKUP(Logs[[#This Row],[Province_RDC]],Clients_Log!D:D,Clients_Log!B:B,"Pas de correspondance")</f>
        <v>Pas de correspondance</v>
      </c>
      <c r="D761" t="str">
        <f>_xlfn.XLOOKUP(Logs[[#This Row],[Cell_ID]],'Registre_Maintenance'!B:B,'Registre_Maintenance'!C:C,"Pas de correspondance")</f>
        <v>Pas de correspondance</v>
      </c>
      <c r="E761" s="3">
        <v>0.77777777777777779</v>
      </c>
      <c r="F761" s="1" t="s">
        <v>1347</v>
      </c>
      <c r="G761" s="3">
        <f>Logs[[#This Row],[Duree_Panne_Min]]/1440</f>
        <v>7.0833333333333331E-2</v>
      </c>
      <c r="H761">
        <v>102</v>
      </c>
      <c r="I761" t="str">
        <f>_xlfn.XLOOKUP(Logs[[#This Row],[Cell_ID]],'Registre_Maintenance'!B:B,'Registre_Maintenance'!D:D,"Pas de correspondance")</f>
        <v>Pas de correspondance</v>
      </c>
      <c r="J761" t="str">
        <f>_xlfn.XLOOKUP(Logs[[#This Row],[Cell_ID]],'Registre_Maintenance'!B:B,'Registre_Maintenance'!E:E,"Pas de correspondance")</f>
        <v>Pas de correspondance</v>
      </c>
      <c r="K761" t="str">
        <f>_xlfn.XLOOKUP(Logs[[#This Row],[Cell_ID]],'Registre_Maintenance'!B:B,'Registre_Maintenance'!F:F,"Pas de correspondance")</f>
        <v>Pas de correspondance</v>
      </c>
      <c r="L761" t="str">
        <f>_xlfn.XLOOKUP(Logs[[#This Row],[Cell_ID]],'Registre_Maintenance'!B:B,'Registre_Maintenance'!G:G,"Pas de correspondance")</f>
        <v>Pas de correspondance</v>
      </c>
      <c r="M761" s="1" t="s">
        <v>811</v>
      </c>
      <c r="N761" s="1" t="str">
        <f>_xlfn.XLOOKUP(Logs[[#This Row],[ID_Client]],Clients_Log!B:B,Clients_Log!E:E,"Pas de correspondance")</f>
        <v>Pas de correspondance</v>
      </c>
      <c r="O761" s="4" t="str">
        <f>IFERROR(Logs[[#This Row],[Anciennete_Mois]]/12,"")</f>
        <v/>
      </c>
      <c r="P761" s="1" t="str">
        <f>_xlfn.XLOOKUP(Logs[[#This Row],[ID_Client]],Clients_Log!B:B,Clients_Log!F:F,"Pas de correspondance")</f>
        <v>Pas de correspondance</v>
      </c>
      <c r="Q761" s="1" t="str">
        <f>IF(Logs[[#This Row],[Type_Forfait]]="Pro Monde","B2B","B2C")</f>
        <v>B2C</v>
      </c>
      <c r="R761" s="1" t="str">
        <f>_xlfn.XLOOKUP(Logs[[#This Row],[ID_Client]],Clients_Log!B:B,Clients_Log!G:G,"Pas de correspondance")</f>
        <v>Pas de correspondance</v>
      </c>
      <c r="S761" s="1" t="e">
        <f>Logs[[#This Row],[Duree_Cumulee_Panne_Min]]/1440</f>
        <v>#VALUE!</v>
      </c>
      <c r="T761" s="1" t="str">
        <f>_xlfn.XLOOKUP(Logs[[#This Row],[ID_Client]],Clients_Log!B:B,Clients_Log!H:H,"Pas de correspondance")</f>
        <v>Pas de correspondance</v>
      </c>
      <c r="U761" s="1" t="str">
        <f>_xlfn.XLOOKUP(Logs[[#This Row],[ID_Client]],Clients_Log!B:B,Clients_Log!I:I,"Pas de correspondance")</f>
        <v>Pas de correspondance</v>
      </c>
      <c r="V76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61" s="1" t="e">
        <f>Logs[[#This Row],[Facture_Mensuelle]]*Logs[[#This Row],[Remise (%)]]</f>
        <v>#VALUE!</v>
      </c>
    </row>
    <row r="762" spans="1:23" hidden="1" x14ac:dyDescent="0.25">
      <c r="A762" s="1" t="s">
        <v>1337</v>
      </c>
      <c r="B762" s="2">
        <v>45202</v>
      </c>
      <c r="C762" s="1" t="str">
        <f>_xlfn.XLOOKUP(Logs[[#This Row],[Province_RDC]],Clients_Log!D:D,Clients_Log!B:B,"Pas de correspondance")</f>
        <v>Pas de correspondance</v>
      </c>
      <c r="D762" t="str">
        <f>_xlfn.XLOOKUP(Logs[[#This Row],[Cell_ID]],'Registre_Maintenance'!B:B,'Registre_Maintenance'!C:C,"Pas de correspondance")</f>
        <v>Pas de correspondance</v>
      </c>
      <c r="E762" s="3">
        <v>0.64513888888888893</v>
      </c>
      <c r="F762" s="1" t="s">
        <v>1348</v>
      </c>
      <c r="G762" s="3">
        <f>Logs[[#This Row],[Duree_Panne_Min]]/1440</f>
        <v>7.3611111111111113E-2</v>
      </c>
      <c r="H762">
        <v>106</v>
      </c>
      <c r="I762" t="str">
        <f>_xlfn.XLOOKUP(Logs[[#This Row],[Cell_ID]],'Registre_Maintenance'!B:B,'Registre_Maintenance'!D:D,"Pas de correspondance")</f>
        <v>Pas de correspondance</v>
      </c>
      <c r="J762" t="str">
        <f>_xlfn.XLOOKUP(Logs[[#This Row],[Cell_ID]],'Registre_Maintenance'!B:B,'Registre_Maintenance'!E:E,"Pas de correspondance")</f>
        <v>Pas de correspondance</v>
      </c>
      <c r="K762" t="str">
        <f>_xlfn.XLOOKUP(Logs[[#This Row],[Cell_ID]],'Registre_Maintenance'!B:B,'Registre_Maintenance'!F:F,"Pas de correspondance")</f>
        <v>Pas de correspondance</v>
      </c>
      <c r="L762" t="str">
        <f>_xlfn.XLOOKUP(Logs[[#This Row],[Cell_ID]],'Registre_Maintenance'!B:B,'Registre_Maintenance'!G:G,"Pas de correspondance")</f>
        <v>Pas de correspondance</v>
      </c>
      <c r="M762" s="1" t="s">
        <v>811</v>
      </c>
      <c r="N762" s="1" t="str">
        <f>_xlfn.XLOOKUP(Logs[[#This Row],[ID_Client]],Clients_Log!B:B,Clients_Log!E:E,"Pas de correspondance")</f>
        <v>Pas de correspondance</v>
      </c>
      <c r="O762" s="4" t="str">
        <f>IFERROR(Logs[[#This Row],[Anciennete_Mois]]/12,"")</f>
        <v/>
      </c>
      <c r="P762" s="1" t="str">
        <f>_xlfn.XLOOKUP(Logs[[#This Row],[ID_Client]],Clients_Log!B:B,Clients_Log!F:F,"Pas de correspondance")</f>
        <v>Pas de correspondance</v>
      </c>
      <c r="Q762" s="1" t="str">
        <f>IF(Logs[[#This Row],[Type_Forfait]]="Pro Monde","B2B","B2C")</f>
        <v>B2C</v>
      </c>
      <c r="R762" s="1" t="str">
        <f>_xlfn.XLOOKUP(Logs[[#This Row],[ID_Client]],Clients_Log!B:B,Clients_Log!G:G,"Pas de correspondance")</f>
        <v>Pas de correspondance</v>
      </c>
      <c r="S762" s="1" t="e">
        <f>Logs[[#This Row],[Duree_Cumulee_Panne_Min]]/1440</f>
        <v>#VALUE!</v>
      </c>
      <c r="T762" s="1" t="str">
        <f>_xlfn.XLOOKUP(Logs[[#This Row],[ID_Client]],Clients_Log!B:B,Clients_Log!H:H,"Pas de correspondance")</f>
        <v>Pas de correspondance</v>
      </c>
      <c r="U762" s="1" t="str">
        <f>_xlfn.XLOOKUP(Logs[[#This Row],[ID_Client]],Clients_Log!B:B,Clients_Log!I:I,"Pas de correspondance")</f>
        <v>Pas de correspondance</v>
      </c>
      <c r="V76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62" s="1" t="e">
        <f>Logs[[#This Row],[Facture_Mensuelle]]*Logs[[#This Row],[Remise (%)]]</f>
        <v>#VALUE!</v>
      </c>
    </row>
    <row r="763" spans="1:23" x14ac:dyDescent="0.25">
      <c r="A763" s="1" t="s">
        <v>1337</v>
      </c>
      <c r="B763" s="2">
        <v>45216</v>
      </c>
      <c r="C763" s="1" t="str">
        <f>_xlfn.XLOOKUP(Logs[[#This Row],[Province_RDC]],Clients_Log!D:D,Clients_Log!B:B,"Pas de correspondance")</f>
        <v>CLI-00837</v>
      </c>
      <c r="D763" t="str">
        <f>_xlfn.XLOOKUP(Logs[[#This Row],[Cell_ID]],'Registre_Maintenance'!B:B,'Registre_Maintenance'!C:C,"Pas de correspondance")</f>
        <v>Nord-Kivu</v>
      </c>
      <c r="E763" s="3">
        <v>0.46041666666666664</v>
      </c>
      <c r="F763" s="1" t="s">
        <v>1349</v>
      </c>
      <c r="G763" s="3">
        <f>Logs[[#This Row],[Duree_Panne_Min]]/1440</f>
        <v>2.5000000000000001E-2</v>
      </c>
      <c r="H763">
        <v>36</v>
      </c>
      <c r="I763">
        <f>_xlfn.XLOOKUP(Logs[[#This Row],[Cell_ID]],'Registre_Maintenance'!B:B,'Registre_Maintenance'!D:D,"Pas de correspondance")</f>
        <v>-11.231472</v>
      </c>
      <c r="J763">
        <f>_xlfn.XLOOKUP(Logs[[#This Row],[Cell_ID]],'Registre_Maintenance'!B:B,'Registre_Maintenance'!E:E,"Pas de correspondance")</f>
        <v>25.388874000000001</v>
      </c>
      <c r="K763" t="str">
        <f>_xlfn.XLOOKUP(Logs[[#This Row],[Cell_ID]],'Registre_Maintenance'!B:B,'Registre_Maintenance'!F:F,"Pas de correspondance")</f>
        <v>4G</v>
      </c>
      <c r="L763" t="str">
        <f>_xlfn.XLOOKUP(Logs[[#This Row],[Cell_ID]],'Registre_Maintenance'!B:B,'Registre_Maintenance'!G:G,"Pas de correspondance")</f>
        <v>Huawei</v>
      </c>
      <c r="M763" s="1" t="s">
        <v>811</v>
      </c>
      <c r="N763" s="1">
        <f>_xlfn.XLOOKUP(Logs[[#This Row],[ID_Client]],Clients_Log!B:B,Clients_Log!E:E,"Pas de correspondance")</f>
        <v>16</v>
      </c>
      <c r="O763" s="4">
        <f>IFERROR(Logs[[#This Row],[Anciennete_Mois]]/12,"")</f>
        <v>1.3333333333333333</v>
      </c>
      <c r="P763" s="1" t="str">
        <f>_xlfn.XLOOKUP(Logs[[#This Row],[ID_Client]],Clients_Log!B:B,Clients_Log!F:F,"Pas de correspondance")</f>
        <v>Bloqué 5Go</v>
      </c>
      <c r="Q763" s="1" t="str">
        <f>IF(Logs[[#This Row],[Type_Forfait]]="Pro Monde","B2B","B2C")</f>
        <v>B2C</v>
      </c>
      <c r="R763" s="1">
        <f>_xlfn.XLOOKUP(Logs[[#This Row],[ID_Client]],Clients_Log!B:B,Clients_Log!G:G,"Pas de correspondance")</f>
        <v>390</v>
      </c>
      <c r="S763" s="3">
        <f>Logs[[#This Row],[Duree_Cumulee_Panne_Min]]/1440</f>
        <v>0.27083333333333331</v>
      </c>
      <c r="T763" s="1">
        <f>_xlfn.XLOOKUP(Logs[[#This Row],[ID_Client]],Clients_Log!B:B,Clients_Log!H:H,"Pas de correspondance")</f>
        <v>98.17</v>
      </c>
      <c r="U763" s="1">
        <f>_xlfn.XLOOKUP(Logs[[#This Row],[ID_Client]],Clients_Log!B:B,Clients_Log!I:I,"Pas de correspondance")</f>
        <v>5</v>
      </c>
      <c r="V76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63" s="1">
        <f>Logs[[#This Row],[Facture_Mensuelle]]*Logs[[#This Row],[Remise (%)]]</f>
        <v>44.176500000000004</v>
      </c>
    </row>
    <row r="764" spans="1:23" hidden="1" x14ac:dyDescent="0.25">
      <c r="A764" s="1" t="s">
        <v>1337</v>
      </c>
      <c r="B764" s="2">
        <v>45215</v>
      </c>
      <c r="C764" s="1" t="str">
        <f>_xlfn.XLOOKUP(Logs[[#This Row],[Province_RDC]],Clients_Log!D:D,Clients_Log!B:B,"Pas de correspondance")</f>
        <v>Pas de correspondance</v>
      </c>
      <c r="D764" t="str">
        <f>_xlfn.XLOOKUP(Logs[[#This Row],[Cell_ID]],'Registre_Maintenance'!B:B,'Registre_Maintenance'!C:C,"Pas de correspondance")</f>
        <v>Pas de correspondance</v>
      </c>
      <c r="E764" s="3">
        <v>0.75694444444444442</v>
      </c>
      <c r="F764" s="1" t="s">
        <v>1350</v>
      </c>
      <c r="G764" s="3">
        <f>Logs[[#This Row],[Duree_Panne_Min]]/1440</f>
        <v>1.6666666666666666E-2</v>
      </c>
      <c r="H764">
        <v>24</v>
      </c>
      <c r="I764" t="str">
        <f>_xlfn.XLOOKUP(Logs[[#This Row],[Cell_ID]],'Registre_Maintenance'!B:B,'Registre_Maintenance'!D:D,"Pas de correspondance")</f>
        <v>Pas de correspondance</v>
      </c>
      <c r="J764" t="str">
        <f>_xlfn.XLOOKUP(Logs[[#This Row],[Cell_ID]],'Registre_Maintenance'!B:B,'Registre_Maintenance'!E:E,"Pas de correspondance")</f>
        <v>Pas de correspondance</v>
      </c>
      <c r="K764" t="str">
        <f>_xlfn.XLOOKUP(Logs[[#This Row],[Cell_ID]],'Registre_Maintenance'!B:B,'Registre_Maintenance'!F:F,"Pas de correspondance")</f>
        <v>Pas de correspondance</v>
      </c>
      <c r="L764" t="str">
        <f>_xlfn.XLOOKUP(Logs[[#This Row],[Cell_ID]],'Registre_Maintenance'!B:B,'Registre_Maintenance'!G:G,"Pas de correspondance")</f>
        <v>Pas de correspondance</v>
      </c>
      <c r="M764" s="1" t="s">
        <v>811</v>
      </c>
      <c r="N764" s="1" t="str">
        <f>_xlfn.XLOOKUP(Logs[[#This Row],[ID_Client]],Clients_Log!B:B,Clients_Log!E:E,"Pas de correspondance")</f>
        <v>Pas de correspondance</v>
      </c>
      <c r="O764" s="4" t="str">
        <f>IFERROR(Logs[[#This Row],[Anciennete_Mois]]/12,"")</f>
        <v/>
      </c>
      <c r="P764" s="1" t="str">
        <f>_xlfn.XLOOKUP(Logs[[#This Row],[ID_Client]],Clients_Log!B:B,Clients_Log!F:F,"Pas de correspondance")</f>
        <v>Pas de correspondance</v>
      </c>
      <c r="Q764" s="1" t="str">
        <f>IF(Logs[[#This Row],[Type_Forfait]]="Pro Monde","B2B","B2C")</f>
        <v>B2C</v>
      </c>
      <c r="R764" s="1" t="str">
        <f>_xlfn.XLOOKUP(Logs[[#This Row],[ID_Client]],Clients_Log!B:B,Clients_Log!G:G,"Pas de correspondance")</f>
        <v>Pas de correspondance</v>
      </c>
      <c r="S764" s="1" t="e">
        <f>Logs[[#This Row],[Duree_Cumulee_Panne_Min]]/1440</f>
        <v>#VALUE!</v>
      </c>
      <c r="T764" s="1" t="str">
        <f>_xlfn.XLOOKUP(Logs[[#This Row],[ID_Client]],Clients_Log!B:B,Clients_Log!H:H,"Pas de correspondance")</f>
        <v>Pas de correspondance</v>
      </c>
      <c r="U764" s="1" t="str">
        <f>_xlfn.XLOOKUP(Logs[[#This Row],[ID_Client]],Clients_Log!B:B,Clients_Log!I:I,"Pas de correspondance")</f>
        <v>Pas de correspondance</v>
      </c>
      <c r="V76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64" s="1" t="e">
        <f>Logs[[#This Row],[Facture_Mensuelle]]*Logs[[#This Row],[Remise (%)]]</f>
        <v>#VALUE!</v>
      </c>
    </row>
    <row r="765" spans="1:23" hidden="1" x14ac:dyDescent="0.25">
      <c r="A765" s="1" t="s">
        <v>1337</v>
      </c>
      <c r="B765" s="2">
        <v>45211</v>
      </c>
      <c r="C765" s="1" t="str">
        <f>_xlfn.XLOOKUP(Logs[[#This Row],[Province_RDC]],Clients_Log!D:D,Clients_Log!B:B,"Pas de correspondance")</f>
        <v>Pas de correspondance</v>
      </c>
      <c r="D765" t="str">
        <f>_xlfn.XLOOKUP(Logs[[#This Row],[Cell_ID]],'Registre_Maintenance'!B:B,'Registre_Maintenance'!C:C,"Pas de correspondance")</f>
        <v>Pas de correspondance</v>
      </c>
      <c r="E765" s="3">
        <v>0.21944444444444444</v>
      </c>
      <c r="F765" s="1" t="s">
        <v>1351</v>
      </c>
      <c r="G765" s="3">
        <f>Logs[[#This Row],[Duree_Panne_Min]]/1440</f>
        <v>3.472222222222222E-3</v>
      </c>
      <c r="H765">
        <v>5</v>
      </c>
      <c r="I765" t="str">
        <f>_xlfn.XLOOKUP(Logs[[#This Row],[Cell_ID]],'Registre_Maintenance'!B:B,'Registre_Maintenance'!D:D,"Pas de correspondance")</f>
        <v>Pas de correspondance</v>
      </c>
      <c r="J765" t="str">
        <f>_xlfn.XLOOKUP(Logs[[#This Row],[Cell_ID]],'Registre_Maintenance'!B:B,'Registre_Maintenance'!E:E,"Pas de correspondance")</f>
        <v>Pas de correspondance</v>
      </c>
      <c r="K765" t="str">
        <f>_xlfn.XLOOKUP(Logs[[#This Row],[Cell_ID]],'Registre_Maintenance'!B:B,'Registre_Maintenance'!F:F,"Pas de correspondance")</f>
        <v>Pas de correspondance</v>
      </c>
      <c r="L765" t="str">
        <f>_xlfn.XLOOKUP(Logs[[#This Row],[Cell_ID]],'Registre_Maintenance'!B:B,'Registre_Maintenance'!G:G,"Pas de correspondance")</f>
        <v>Pas de correspondance</v>
      </c>
      <c r="M765" s="1" t="s">
        <v>806</v>
      </c>
      <c r="N765" s="1" t="str">
        <f>_xlfn.XLOOKUP(Logs[[#This Row],[ID_Client]],Clients_Log!B:B,Clients_Log!E:E,"Pas de correspondance")</f>
        <v>Pas de correspondance</v>
      </c>
      <c r="O765" s="4" t="str">
        <f>IFERROR(Logs[[#This Row],[Anciennete_Mois]]/12,"")</f>
        <v/>
      </c>
      <c r="P765" s="1" t="str">
        <f>_xlfn.XLOOKUP(Logs[[#This Row],[ID_Client]],Clients_Log!B:B,Clients_Log!F:F,"Pas de correspondance")</f>
        <v>Pas de correspondance</v>
      </c>
      <c r="Q765" s="1" t="str">
        <f>IF(Logs[[#This Row],[Type_Forfait]]="Pro Monde","B2B","B2C")</f>
        <v>B2C</v>
      </c>
      <c r="R765" s="1" t="str">
        <f>_xlfn.XLOOKUP(Logs[[#This Row],[ID_Client]],Clients_Log!B:B,Clients_Log!G:G,"Pas de correspondance")</f>
        <v>Pas de correspondance</v>
      </c>
      <c r="S765" s="1" t="e">
        <f>Logs[[#This Row],[Duree_Cumulee_Panne_Min]]/1440</f>
        <v>#VALUE!</v>
      </c>
      <c r="T765" s="1" t="str">
        <f>_xlfn.XLOOKUP(Logs[[#This Row],[ID_Client]],Clients_Log!B:B,Clients_Log!H:H,"Pas de correspondance")</f>
        <v>Pas de correspondance</v>
      </c>
      <c r="U765" s="1" t="str">
        <f>_xlfn.XLOOKUP(Logs[[#This Row],[ID_Client]],Clients_Log!B:B,Clients_Log!I:I,"Pas de correspondance")</f>
        <v>Pas de correspondance</v>
      </c>
      <c r="V76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65" s="1" t="e">
        <f>Logs[[#This Row],[Facture_Mensuelle]]*Logs[[#This Row],[Remise (%)]]</f>
        <v>#VALUE!</v>
      </c>
    </row>
    <row r="766" spans="1:23" hidden="1" x14ac:dyDescent="0.25">
      <c r="A766" s="1" t="s">
        <v>1337</v>
      </c>
      <c r="B766" s="2">
        <v>45224</v>
      </c>
      <c r="C766" s="1" t="str">
        <f>_xlfn.XLOOKUP(Logs[[#This Row],[Province_RDC]],Clients_Log!D:D,Clients_Log!B:B,"Pas de correspondance")</f>
        <v>Pas de correspondance</v>
      </c>
      <c r="D766" t="str">
        <f>_xlfn.XLOOKUP(Logs[[#This Row],[Cell_ID]],'Registre_Maintenance'!B:B,'Registre_Maintenance'!C:C,"Pas de correspondance")</f>
        <v>Pas de correspondance</v>
      </c>
      <c r="E766" s="3">
        <v>0.16458333333333333</v>
      </c>
      <c r="F766" s="1" t="s">
        <v>1352</v>
      </c>
      <c r="G766" s="3">
        <f>Logs[[#This Row],[Duree_Panne_Min]]/1440</f>
        <v>3.9583333333333331E-2</v>
      </c>
      <c r="H766">
        <v>57</v>
      </c>
      <c r="I766" t="str">
        <f>_xlfn.XLOOKUP(Logs[[#This Row],[Cell_ID]],'Registre_Maintenance'!B:B,'Registre_Maintenance'!D:D,"Pas de correspondance")</f>
        <v>Pas de correspondance</v>
      </c>
      <c r="J766" t="str">
        <f>_xlfn.XLOOKUP(Logs[[#This Row],[Cell_ID]],'Registre_Maintenance'!B:B,'Registre_Maintenance'!E:E,"Pas de correspondance")</f>
        <v>Pas de correspondance</v>
      </c>
      <c r="K766" t="str">
        <f>_xlfn.XLOOKUP(Logs[[#This Row],[Cell_ID]],'Registre_Maintenance'!B:B,'Registre_Maintenance'!F:F,"Pas de correspondance")</f>
        <v>Pas de correspondance</v>
      </c>
      <c r="L766" t="str">
        <f>_xlfn.XLOOKUP(Logs[[#This Row],[Cell_ID]],'Registre_Maintenance'!B:B,'Registre_Maintenance'!G:G,"Pas de correspondance")</f>
        <v>Pas de correspondance</v>
      </c>
      <c r="M766" s="1" t="s">
        <v>809</v>
      </c>
      <c r="N766" s="1" t="str">
        <f>_xlfn.XLOOKUP(Logs[[#This Row],[ID_Client]],Clients_Log!B:B,Clients_Log!E:E,"Pas de correspondance")</f>
        <v>Pas de correspondance</v>
      </c>
      <c r="O766" s="4" t="str">
        <f>IFERROR(Logs[[#This Row],[Anciennete_Mois]]/12,"")</f>
        <v/>
      </c>
      <c r="P766" s="1" t="str">
        <f>_xlfn.XLOOKUP(Logs[[#This Row],[ID_Client]],Clients_Log!B:B,Clients_Log!F:F,"Pas de correspondance")</f>
        <v>Pas de correspondance</v>
      </c>
      <c r="Q766" s="1" t="str">
        <f>IF(Logs[[#This Row],[Type_Forfait]]="Pro Monde","B2B","B2C")</f>
        <v>B2C</v>
      </c>
      <c r="R766" s="1" t="str">
        <f>_xlfn.XLOOKUP(Logs[[#This Row],[ID_Client]],Clients_Log!B:B,Clients_Log!G:G,"Pas de correspondance")</f>
        <v>Pas de correspondance</v>
      </c>
      <c r="S766" s="1" t="e">
        <f>Logs[[#This Row],[Duree_Cumulee_Panne_Min]]/1440</f>
        <v>#VALUE!</v>
      </c>
      <c r="T766" s="1" t="str">
        <f>_xlfn.XLOOKUP(Logs[[#This Row],[ID_Client]],Clients_Log!B:B,Clients_Log!H:H,"Pas de correspondance")</f>
        <v>Pas de correspondance</v>
      </c>
      <c r="U766" s="1" t="str">
        <f>_xlfn.XLOOKUP(Logs[[#This Row],[ID_Client]],Clients_Log!B:B,Clients_Log!I:I,"Pas de correspondance")</f>
        <v>Pas de correspondance</v>
      </c>
      <c r="V76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66" s="1" t="e">
        <f>Logs[[#This Row],[Facture_Mensuelle]]*Logs[[#This Row],[Remise (%)]]</f>
        <v>#VALUE!</v>
      </c>
    </row>
    <row r="767" spans="1:23" hidden="1" x14ac:dyDescent="0.25">
      <c r="A767" s="1" t="s">
        <v>1337</v>
      </c>
      <c r="B767" s="2">
        <v>45218</v>
      </c>
      <c r="C767" s="1" t="str">
        <f>_xlfn.XLOOKUP(Logs[[#This Row],[Province_RDC]],Clients_Log!D:D,Clients_Log!B:B,"Pas de correspondance")</f>
        <v>Pas de correspondance</v>
      </c>
      <c r="D767" t="str">
        <f>_xlfn.XLOOKUP(Logs[[#This Row],[Cell_ID]],'Registre_Maintenance'!B:B,'Registre_Maintenance'!C:C,"Pas de correspondance")</f>
        <v>Pas de correspondance</v>
      </c>
      <c r="E767" s="3">
        <v>0.90694444444444444</v>
      </c>
      <c r="F767" s="1" t="s">
        <v>1034</v>
      </c>
      <c r="G767" s="3">
        <f>Logs[[#This Row],[Duree_Panne_Min]]/1440</f>
        <v>5.5555555555555558E-3</v>
      </c>
      <c r="H767">
        <v>8</v>
      </c>
      <c r="I767" t="str">
        <f>_xlfn.XLOOKUP(Logs[[#This Row],[Cell_ID]],'Registre_Maintenance'!B:B,'Registre_Maintenance'!D:D,"Pas de correspondance")</f>
        <v>Pas de correspondance</v>
      </c>
      <c r="J767" t="str">
        <f>_xlfn.XLOOKUP(Logs[[#This Row],[Cell_ID]],'Registre_Maintenance'!B:B,'Registre_Maintenance'!E:E,"Pas de correspondance")</f>
        <v>Pas de correspondance</v>
      </c>
      <c r="K767" t="str">
        <f>_xlfn.XLOOKUP(Logs[[#This Row],[Cell_ID]],'Registre_Maintenance'!B:B,'Registre_Maintenance'!F:F,"Pas de correspondance")</f>
        <v>Pas de correspondance</v>
      </c>
      <c r="L767" t="str">
        <f>_xlfn.XLOOKUP(Logs[[#This Row],[Cell_ID]],'Registre_Maintenance'!B:B,'Registre_Maintenance'!G:G,"Pas de correspondance")</f>
        <v>Pas de correspondance</v>
      </c>
      <c r="M767" s="1" t="s">
        <v>811</v>
      </c>
      <c r="N767" s="1" t="str">
        <f>_xlfn.XLOOKUP(Logs[[#This Row],[ID_Client]],Clients_Log!B:B,Clients_Log!E:E,"Pas de correspondance")</f>
        <v>Pas de correspondance</v>
      </c>
      <c r="O767" s="4" t="str">
        <f>IFERROR(Logs[[#This Row],[Anciennete_Mois]]/12,"")</f>
        <v/>
      </c>
      <c r="P767" s="1" t="str">
        <f>_xlfn.XLOOKUP(Logs[[#This Row],[ID_Client]],Clients_Log!B:B,Clients_Log!F:F,"Pas de correspondance")</f>
        <v>Pas de correspondance</v>
      </c>
      <c r="Q767" s="1" t="str">
        <f>IF(Logs[[#This Row],[Type_Forfait]]="Pro Monde","B2B","B2C")</f>
        <v>B2C</v>
      </c>
      <c r="R767" s="1" t="str">
        <f>_xlfn.XLOOKUP(Logs[[#This Row],[ID_Client]],Clients_Log!B:B,Clients_Log!G:G,"Pas de correspondance")</f>
        <v>Pas de correspondance</v>
      </c>
      <c r="S767" s="1" t="e">
        <f>Logs[[#This Row],[Duree_Cumulee_Panne_Min]]/1440</f>
        <v>#VALUE!</v>
      </c>
      <c r="T767" s="1" t="str">
        <f>_xlfn.XLOOKUP(Logs[[#This Row],[ID_Client]],Clients_Log!B:B,Clients_Log!H:H,"Pas de correspondance")</f>
        <v>Pas de correspondance</v>
      </c>
      <c r="U767" s="1" t="str">
        <f>_xlfn.XLOOKUP(Logs[[#This Row],[ID_Client]],Clients_Log!B:B,Clients_Log!I:I,"Pas de correspondance")</f>
        <v>Pas de correspondance</v>
      </c>
      <c r="V76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67" s="1" t="e">
        <f>Logs[[#This Row],[Facture_Mensuelle]]*Logs[[#This Row],[Remise (%)]]</f>
        <v>#VALUE!</v>
      </c>
    </row>
    <row r="768" spans="1:23" hidden="1" x14ac:dyDescent="0.25">
      <c r="A768" s="1" t="s">
        <v>1337</v>
      </c>
      <c r="B768" s="2">
        <v>45203</v>
      </c>
      <c r="C768" s="1" t="str">
        <f>_xlfn.XLOOKUP(Logs[[#This Row],[Province_RDC]],Clients_Log!D:D,Clients_Log!B:B,"Pas de correspondance")</f>
        <v>Pas de correspondance</v>
      </c>
      <c r="D768" t="str">
        <f>_xlfn.XLOOKUP(Logs[[#This Row],[Cell_ID]],'Registre_Maintenance'!B:B,'Registre_Maintenance'!C:C,"Pas de correspondance")</f>
        <v>Pas de correspondance</v>
      </c>
      <c r="E768" s="3">
        <v>0.32430555555555557</v>
      </c>
      <c r="F768" s="1" t="s">
        <v>1353</v>
      </c>
      <c r="G768" s="3">
        <f>Logs[[#This Row],[Duree_Panne_Min]]/1440</f>
        <v>2.361111111111111E-2</v>
      </c>
      <c r="H768">
        <v>34</v>
      </c>
      <c r="I768" t="str">
        <f>_xlfn.XLOOKUP(Logs[[#This Row],[Cell_ID]],'Registre_Maintenance'!B:B,'Registre_Maintenance'!D:D,"Pas de correspondance")</f>
        <v>Pas de correspondance</v>
      </c>
      <c r="J768" t="str">
        <f>_xlfn.XLOOKUP(Logs[[#This Row],[Cell_ID]],'Registre_Maintenance'!B:B,'Registre_Maintenance'!E:E,"Pas de correspondance")</f>
        <v>Pas de correspondance</v>
      </c>
      <c r="K768" t="str">
        <f>_xlfn.XLOOKUP(Logs[[#This Row],[Cell_ID]],'Registre_Maintenance'!B:B,'Registre_Maintenance'!F:F,"Pas de correspondance")</f>
        <v>Pas de correspondance</v>
      </c>
      <c r="L768" t="str">
        <f>_xlfn.XLOOKUP(Logs[[#This Row],[Cell_ID]],'Registre_Maintenance'!B:B,'Registre_Maintenance'!G:G,"Pas de correspondance")</f>
        <v>Pas de correspondance</v>
      </c>
      <c r="M768" s="1" t="s">
        <v>806</v>
      </c>
      <c r="N768" s="1" t="str">
        <f>_xlfn.XLOOKUP(Logs[[#This Row],[ID_Client]],Clients_Log!B:B,Clients_Log!E:E,"Pas de correspondance")</f>
        <v>Pas de correspondance</v>
      </c>
      <c r="O768" s="4" t="str">
        <f>IFERROR(Logs[[#This Row],[Anciennete_Mois]]/12,"")</f>
        <v/>
      </c>
      <c r="P768" s="1" t="str">
        <f>_xlfn.XLOOKUP(Logs[[#This Row],[ID_Client]],Clients_Log!B:B,Clients_Log!F:F,"Pas de correspondance")</f>
        <v>Pas de correspondance</v>
      </c>
      <c r="Q768" s="1" t="str">
        <f>IF(Logs[[#This Row],[Type_Forfait]]="Pro Monde","B2B","B2C")</f>
        <v>B2C</v>
      </c>
      <c r="R768" s="1" t="str">
        <f>_xlfn.XLOOKUP(Logs[[#This Row],[ID_Client]],Clients_Log!B:B,Clients_Log!G:G,"Pas de correspondance")</f>
        <v>Pas de correspondance</v>
      </c>
      <c r="S768" s="1" t="e">
        <f>Logs[[#This Row],[Duree_Cumulee_Panne_Min]]/1440</f>
        <v>#VALUE!</v>
      </c>
      <c r="T768" s="1" t="str">
        <f>_xlfn.XLOOKUP(Logs[[#This Row],[ID_Client]],Clients_Log!B:B,Clients_Log!H:H,"Pas de correspondance")</f>
        <v>Pas de correspondance</v>
      </c>
      <c r="U768" s="1" t="str">
        <f>_xlfn.XLOOKUP(Logs[[#This Row],[ID_Client]],Clients_Log!B:B,Clients_Log!I:I,"Pas de correspondance")</f>
        <v>Pas de correspondance</v>
      </c>
      <c r="V76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68" s="1" t="e">
        <f>Logs[[#This Row],[Facture_Mensuelle]]*Logs[[#This Row],[Remise (%)]]</f>
        <v>#VALUE!</v>
      </c>
    </row>
    <row r="769" spans="1:23" hidden="1" x14ac:dyDescent="0.25">
      <c r="A769" s="1" t="s">
        <v>1337</v>
      </c>
      <c r="B769" s="2">
        <v>45216</v>
      </c>
      <c r="C769" s="1" t="str">
        <f>_xlfn.XLOOKUP(Logs[[#This Row],[Province_RDC]],Clients_Log!D:D,Clients_Log!B:B,"Pas de correspondance")</f>
        <v>Pas de correspondance</v>
      </c>
      <c r="D769" t="str">
        <f>_xlfn.XLOOKUP(Logs[[#This Row],[Cell_ID]],'Registre_Maintenance'!B:B,'Registre_Maintenance'!C:C,"Pas de correspondance")</f>
        <v>Pas de correspondance</v>
      </c>
      <c r="E769" s="3">
        <v>1.3888888888888889E-3</v>
      </c>
      <c r="F769" s="1" t="s">
        <v>1354</v>
      </c>
      <c r="G769" s="3">
        <f>Logs[[#This Row],[Duree_Panne_Min]]/1440</f>
        <v>5.1388888888888887E-2</v>
      </c>
      <c r="H769">
        <v>74</v>
      </c>
      <c r="I769" t="str">
        <f>_xlfn.XLOOKUP(Logs[[#This Row],[Cell_ID]],'Registre_Maintenance'!B:B,'Registre_Maintenance'!D:D,"Pas de correspondance")</f>
        <v>Pas de correspondance</v>
      </c>
      <c r="J769" t="str">
        <f>_xlfn.XLOOKUP(Logs[[#This Row],[Cell_ID]],'Registre_Maintenance'!B:B,'Registre_Maintenance'!E:E,"Pas de correspondance")</f>
        <v>Pas de correspondance</v>
      </c>
      <c r="K769" t="str">
        <f>_xlfn.XLOOKUP(Logs[[#This Row],[Cell_ID]],'Registre_Maintenance'!B:B,'Registre_Maintenance'!F:F,"Pas de correspondance")</f>
        <v>Pas de correspondance</v>
      </c>
      <c r="L769" t="str">
        <f>_xlfn.XLOOKUP(Logs[[#This Row],[Cell_ID]],'Registre_Maintenance'!B:B,'Registre_Maintenance'!G:G,"Pas de correspondance")</f>
        <v>Pas de correspondance</v>
      </c>
      <c r="M769" s="1" t="s">
        <v>811</v>
      </c>
      <c r="N769" s="1" t="str">
        <f>_xlfn.XLOOKUP(Logs[[#This Row],[ID_Client]],Clients_Log!B:B,Clients_Log!E:E,"Pas de correspondance")</f>
        <v>Pas de correspondance</v>
      </c>
      <c r="O769" s="4" t="str">
        <f>IFERROR(Logs[[#This Row],[Anciennete_Mois]]/12,"")</f>
        <v/>
      </c>
      <c r="P769" s="1" t="str">
        <f>_xlfn.XLOOKUP(Logs[[#This Row],[ID_Client]],Clients_Log!B:B,Clients_Log!F:F,"Pas de correspondance")</f>
        <v>Pas de correspondance</v>
      </c>
      <c r="Q769" s="1" t="str">
        <f>IF(Logs[[#This Row],[Type_Forfait]]="Pro Monde","B2B","B2C")</f>
        <v>B2C</v>
      </c>
      <c r="R769" s="1" t="str">
        <f>_xlfn.XLOOKUP(Logs[[#This Row],[ID_Client]],Clients_Log!B:B,Clients_Log!G:G,"Pas de correspondance")</f>
        <v>Pas de correspondance</v>
      </c>
      <c r="S769" s="1" t="e">
        <f>Logs[[#This Row],[Duree_Cumulee_Panne_Min]]/1440</f>
        <v>#VALUE!</v>
      </c>
      <c r="T769" s="1" t="str">
        <f>_xlfn.XLOOKUP(Logs[[#This Row],[ID_Client]],Clients_Log!B:B,Clients_Log!H:H,"Pas de correspondance")</f>
        <v>Pas de correspondance</v>
      </c>
      <c r="U769" s="1" t="str">
        <f>_xlfn.XLOOKUP(Logs[[#This Row],[ID_Client]],Clients_Log!B:B,Clients_Log!I:I,"Pas de correspondance")</f>
        <v>Pas de correspondance</v>
      </c>
      <c r="V76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69" s="1" t="e">
        <f>Logs[[#This Row],[Facture_Mensuelle]]*Logs[[#This Row],[Remise (%)]]</f>
        <v>#VALUE!</v>
      </c>
    </row>
    <row r="770" spans="1:23" hidden="1" x14ac:dyDescent="0.25">
      <c r="A770" s="1" t="s">
        <v>1337</v>
      </c>
      <c r="B770" s="2">
        <v>45227</v>
      </c>
      <c r="C770" s="1" t="str">
        <f>_xlfn.XLOOKUP(Logs[[#This Row],[Province_RDC]],Clients_Log!D:D,Clients_Log!B:B,"Pas de correspondance")</f>
        <v>Pas de correspondance</v>
      </c>
      <c r="D770" t="str">
        <f>_xlfn.XLOOKUP(Logs[[#This Row],[Cell_ID]],'Registre_Maintenance'!B:B,'Registre_Maintenance'!C:C,"Pas de correspondance")</f>
        <v>Pas de correspondance</v>
      </c>
      <c r="E770" s="3">
        <v>1.0416666666666666E-2</v>
      </c>
      <c r="F770" s="1" t="s">
        <v>1355</v>
      </c>
      <c r="G770" s="3">
        <f>Logs[[#This Row],[Duree_Panne_Min]]/1440</f>
        <v>3.4027777777777775E-2</v>
      </c>
      <c r="H770">
        <v>49</v>
      </c>
      <c r="I770" t="str">
        <f>_xlfn.XLOOKUP(Logs[[#This Row],[Cell_ID]],'Registre_Maintenance'!B:B,'Registre_Maintenance'!D:D,"Pas de correspondance")</f>
        <v>Pas de correspondance</v>
      </c>
      <c r="J770" t="str">
        <f>_xlfn.XLOOKUP(Logs[[#This Row],[Cell_ID]],'Registre_Maintenance'!B:B,'Registre_Maintenance'!E:E,"Pas de correspondance")</f>
        <v>Pas de correspondance</v>
      </c>
      <c r="K770" t="str">
        <f>_xlfn.XLOOKUP(Logs[[#This Row],[Cell_ID]],'Registre_Maintenance'!B:B,'Registre_Maintenance'!F:F,"Pas de correspondance")</f>
        <v>Pas de correspondance</v>
      </c>
      <c r="L770" t="str">
        <f>_xlfn.XLOOKUP(Logs[[#This Row],[Cell_ID]],'Registre_Maintenance'!B:B,'Registre_Maintenance'!G:G,"Pas de correspondance")</f>
        <v>Pas de correspondance</v>
      </c>
      <c r="M770" s="1" t="s">
        <v>811</v>
      </c>
      <c r="N770" s="1" t="str">
        <f>_xlfn.XLOOKUP(Logs[[#This Row],[ID_Client]],Clients_Log!B:B,Clients_Log!E:E,"Pas de correspondance")</f>
        <v>Pas de correspondance</v>
      </c>
      <c r="O770" s="4" t="str">
        <f>IFERROR(Logs[[#This Row],[Anciennete_Mois]]/12,"")</f>
        <v/>
      </c>
      <c r="P770" s="1" t="str">
        <f>_xlfn.XLOOKUP(Logs[[#This Row],[ID_Client]],Clients_Log!B:B,Clients_Log!F:F,"Pas de correspondance")</f>
        <v>Pas de correspondance</v>
      </c>
      <c r="Q770" s="1" t="str">
        <f>IF(Logs[[#This Row],[Type_Forfait]]="Pro Monde","B2B","B2C")</f>
        <v>B2C</v>
      </c>
      <c r="R770" s="1" t="str">
        <f>_xlfn.XLOOKUP(Logs[[#This Row],[ID_Client]],Clients_Log!B:B,Clients_Log!G:G,"Pas de correspondance")</f>
        <v>Pas de correspondance</v>
      </c>
      <c r="S770" s="1" t="e">
        <f>Logs[[#This Row],[Duree_Cumulee_Panne_Min]]/1440</f>
        <v>#VALUE!</v>
      </c>
      <c r="T770" s="1" t="str">
        <f>_xlfn.XLOOKUP(Logs[[#This Row],[ID_Client]],Clients_Log!B:B,Clients_Log!H:H,"Pas de correspondance")</f>
        <v>Pas de correspondance</v>
      </c>
      <c r="U770" s="1" t="str">
        <f>_xlfn.XLOOKUP(Logs[[#This Row],[ID_Client]],Clients_Log!B:B,Clients_Log!I:I,"Pas de correspondance")</f>
        <v>Pas de correspondance</v>
      </c>
      <c r="V77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70" s="1" t="e">
        <f>Logs[[#This Row],[Facture_Mensuelle]]*Logs[[#This Row],[Remise (%)]]</f>
        <v>#VALUE!</v>
      </c>
    </row>
    <row r="771" spans="1:23" hidden="1" x14ac:dyDescent="0.25">
      <c r="A771" s="1" t="s">
        <v>1337</v>
      </c>
      <c r="B771" s="2">
        <v>45201</v>
      </c>
      <c r="C771" s="1" t="str">
        <f>_xlfn.XLOOKUP(Logs[[#This Row],[Province_RDC]],Clients_Log!D:D,Clients_Log!B:B,"Pas de correspondance")</f>
        <v>Pas de correspondance</v>
      </c>
      <c r="D771" t="str">
        <f>_xlfn.XLOOKUP(Logs[[#This Row],[Cell_ID]],'Registre_Maintenance'!B:B,'Registre_Maintenance'!C:C,"Pas de correspondance")</f>
        <v>Pas de correspondance</v>
      </c>
      <c r="E771" s="3">
        <v>0.64097222222222228</v>
      </c>
      <c r="F771" s="1" t="s">
        <v>857</v>
      </c>
      <c r="G771" s="3">
        <f>Logs[[#This Row],[Duree_Panne_Min]]/1440</f>
        <v>5.9722222222222225E-2</v>
      </c>
      <c r="H771">
        <v>86</v>
      </c>
      <c r="I771" t="str">
        <f>_xlfn.XLOOKUP(Logs[[#This Row],[Cell_ID]],'Registre_Maintenance'!B:B,'Registre_Maintenance'!D:D,"Pas de correspondance")</f>
        <v>Pas de correspondance</v>
      </c>
      <c r="J771" t="str">
        <f>_xlfn.XLOOKUP(Logs[[#This Row],[Cell_ID]],'Registre_Maintenance'!B:B,'Registre_Maintenance'!E:E,"Pas de correspondance")</f>
        <v>Pas de correspondance</v>
      </c>
      <c r="K771" t="str">
        <f>_xlfn.XLOOKUP(Logs[[#This Row],[Cell_ID]],'Registre_Maintenance'!B:B,'Registre_Maintenance'!F:F,"Pas de correspondance")</f>
        <v>Pas de correspondance</v>
      </c>
      <c r="L771" t="str">
        <f>_xlfn.XLOOKUP(Logs[[#This Row],[Cell_ID]],'Registre_Maintenance'!B:B,'Registre_Maintenance'!G:G,"Pas de correspondance")</f>
        <v>Pas de correspondance</v>
      </c>
      <c r="M771" s="1" t="s">
        <v>811</v>
      </c>
      <c r="N771" s="1" t="str">
        <f>_xlfn.XLOOKUP(Logs[[#This Row],[ID_Client]],Clients_Log!B:B,Clients_Log!E:E,"Pas de correspondance")</f>
        <v>Pas de correspondance</v>
      </c>
      <c r="O771" s="4" t="str">
        <f>IFERROR(Logs[[#This Row],[Anciennete_Mois]]/12,"")</f>
        <v/>
      </c>
      <c r="P771" s="1" t="str">
        <f>_xlfn.XLOOKUP(Logs[[#This Row],[ID_Client]],Clients_Log!B:B,Clients_Log!F:F,"Pas de correspondance")</f>
        <v>Pas de correspondance</v>
      </c>
      <c r="Q771" s="1" t="str">
        <f>IF(Logs[[#This Row],[Type_Forfait]]="Pro Monde","B2B","B2C")</f>
        <v>B2C</v>
      </c>
      <c r="R771" s="1" t="str">
        <f>_xlfn.XLOOKUP(Logs[[#This Row],[ID_Client]],Clients_Log!B:B,Clients_Log!G:G,"Pas de correspondance")</f>
        <v>Pas de correspondance</v>
      </c>
      <c r="S771" s="1" t="e">
        <f>Logs[[#This Row],[Duree_Cumulee_Panne_Min]]/1440</f>
        <v>#VALUE!</v>
      </c>
      <c r="T771" s="1" t="str">
        <f>_xlfn.XLOOKUP(Logs[[#This Row],[ID_Client]],Clients_Log!B:B,Clients_Log!H:H,"Pas de correspondance")</f>
        <v>Pas de correspondance</v>
      </c>
      <c r="U771" s="1" t="str">
        <f>_xlfn.XLOOKUP(Logs[[#This Row],[ID_Client]],Clients_Log!B:B,Clients_Log!I:I,"Pas de correspondance")</f>
        <v>Pas de correspondance</v>
      </c>
      <c r="V77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71" s="1" t="e">
        <f>Logs[[#This Row],[Facture_Mensuelle]]*Logs[[#This Row],[Remise (%)]]</f>
        <v>#VALUE!</v>
      </c>
    </row>
    <row r="772" spans="1:23" hidden="1" x14ac:dyDescent="0.25">
      <c r="A772" s="1" t="s">
        <v>1337</v>
      </c>
      <c r="B772" s="2">
        <v>45212</v>
      </c>
      <c r="C772" s="1" t="str">
        <f>_xlfn.XLOOKUP(Logs[[#This Row],[Province_RDC]],Clients_Log!D:D,Clients_Log!B:B,"Pas de correspondance")</f>
        <v>Pas de correspondance</v>
      </c>
      <c r="D772" t="str">
        <f>_xlfn.XLOOKUP(Logs[[#This Row],[Cell_ID]],'Registre_Maintenance'!B:B,'Registre_Maintenance'!C:C,"Pas de correspondance")</f>
        <v>Pas de correspondance</v>
      </c>
      <c r="E772" s="3">
        <v>0.17430555555555555</v>
      </c>
      <c r="F772" s="1" t="s">
        <v>1356</v>
      </c>
      <c r="G772" s="3">
        <f>Logs[[#This Row],[Duree_Panne_Min]]/1440</f>
        <v>7.7777777777777779E-2</v>
      </c>
      <c r="H772">
        <v>112</v>
      </c>
      <c r="I772" t="str">
        <f>_xlfn.XLOOKUP(Logs[[#This Row],[Cell_ID]],'Registre_Maintenance'!B:B,'Registre_Maintenance'!D:D,"Pas de correspondance")</f>
        <v>Pas de correspondance</v>
      </c>
      <c r="J772" t="str">
        <f>_xlfn.XLOOKUP(Logs[[#This Row],[Cell_ID]],'Registre_Maintenance'!B:B,'Registre_Maintenance'!E:E,"Pas de correspondance")</f>
        <v>Pas de correspondance</v>
      </c>
      <c r="K772" t="str">
        <f>_xlfn.XLOOKUP(Logs[[#This Row],[Cell_ID]],'Registre_Maintenance'!B:B,'Registre_Maintenance'!F:F,"Pas de correspondance")</f>
        <v>Pas de correspondance</v>
      </c>
      <c r="L772" t="str">
        <f>_xlfn.XLOOKUP(Logs[[#This Row],[Cell_ID]],'Registre_Maintenance'!B:B,'Registre_Maintenance'!G:G,"Pas de correspondance")</f>
        <v>Pas de correspondance</v>
      </c>
      <c r="M772" s="1" t="s">
        <v>811</v>
      </c>
      <c r="N772" s="1" t="str">
        <f>_xlfn.XLOOKUP(Logs[[#This Row],[ID_Client]],Clients_Log!B:B,Clients_Log!E:E,"Pas de correspondance")</f>
        <v>Pas de correspondance</v>
      </c>
      <c r="O772" s="4" t="str">
        <f>IFERROR(Logs[[#This Row],[Anciennete_Mois]]/12,"")</f>
        <v/>
      </c>
      <c r="P772" s="1" t="str">
        <f>_xlfn.XLOOKUP(Logs[[#This Row],[ID_Client]],Clients_Log!B:B,Clients_Log!F:F,"Pas de correspondance")</f>
        <v>Pas de correspondance</v>
      </c>
      <c r="Q772" s="1" t="str">
        <f>IF(Logs[[#This Row],[Type_Forfait]]="Pro Monde","B2B","B2C")</f>
        <v>B2C</v>
      </c>
      <c r="R772" s="1" t="str">
        <f>_xlfn.XLOOKUP(Logs[[#This Row],[ID_Client]],Clients_Log!B:B,Clients_Log!G:G,"Pas de correspondance")</f>
        <v>Pas de correspondance</v>
      </c>
      <c r="S772" s="1" t="e">
        <f>Logs[[#This Row],[Duree_Cumulee_Panne_Min]]/1440</f>
        <v>#VALUE!</v>
      </c>
      <c r="T772" s="1" t="str">
        <f>_xlfn.XLOOKUP(Logs[[#This Row],[ID_Client]],Clients_Log!B:B,Clients_Log!H:H,"Pas de correspondance")</f>
        <v>Pas de correspondance</v>
      </c>
      <c r="U772" s="1" t="str">
        <f>_xlfn.XLOOKUP(Logs[[#This Row],[ID_Client]],Clients_Log!B:B,Clients_Log!I:I,"Pas de correspondance")</f>
        <v>Pas de correspondance</v>
      </c>
      <c r="V77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72" s="1" t="e">
        <f>Logs[[#This Row],[Facture_Mensuelle]]*Logs[[#This Row],[Remise (%)]]</f>
        <v>#VALUE!</v>
      </c>
    </row>
    <row r="773" spans="1:23" x14ac:dyDescent="0.25">
      <c r="A773" s="1" t="s">
        <v>1337</v>
      </c>
      <c r="B773" s="2">
        <v>45229</v>
      </c>
      <c r="C773" s="1" t="str">
        <f>_xlfn.XLOOKUP(Logs[[#This Row],[Province_RDC]],Clients_Log!D:D,Clients_Log!B:B,"Pas de correspondance")</f>
        <v>CLI-00837</v>
      </c>
      <c r="D773" t="str">
        <f>_xlfn.XLOOKUP(Logs[[#This Row],[Cell_ID]],'Registre_Maintenance'!B:B,'Registre_Maintenance'!C:C,"Pas de correspondance")</f>
        <v>Nord-Kivu</v>
      </c>
      <c r="E773" s="3">
        <v>6.5972222222222224E-2</v>
      </c>
      <c r="F773" s="1" t="s">
        <v>871</v>
      </c>
      <c r="G773" s="3">
        <f>Logs[[#This Row],[Duree_Panne_Min]]/1440</f>
        <v>6.458333333333334E-2</v>
      </c>
      <c r="H773">
        <v>93</v>
      </c>
      <c r="I773">
        <f>_xlfn.XLOOKUP(Logs[[#This Row],[Cell_ID]],'Registre_Maintenance'!B:B,'Registre_Maintenance'!D:D,"Pas de correspondance")</f>
        <v>0.82868600000000003</v>
      </c>
      <c r="J773">
        <f>_xlfn.XLOOKUP(Logs[[#This Row],[Cell_ID]],'Registre_Maintenance'!B:B,'Registre_Maintenance'!E:E,"Pas de correspondance")</f>
        <v>26.958843999999999</v>
      </c>
      <c r="K773" t="str">
        <f>_xlfn.XLOOKUP(Logs[[#This Row],[Cell_ID]],'Registre_Maintenance'!B:B,'Registre_Maintenance'!F:F,"Pas de correspondance")</f>
        <v>5G</v>
      </c>
      <c r="L773" t="str">
        <f>_xlfn.XLOOKUP(Logs[[#This Row],[Cell_ID]],'Registre_Maintenance'!B:B,'Registre_Maintenance'!G:G,"Pas de correspondance")</f>
        <v>ZTE</v>
      </c>
      <c r="M773" s="1" t="s">
        <v>806</v>
      </c>
      <c r="N773" s="1">
        <f>_xlfn.XLOOKUP(Logs[[#This Row],[ID_Client]],Clients_Log!B:B,Clients_Log!E:E,"Pas de correspondance")</f>
        <v>16</v>
      </c>
      <c r="O773" s="4">
        <f>IFERROR(Logs[[#This Row],[Anciennete_Mois]]/12,"")</f>
        <v>1.3333333333333333</v>
      </c>
      <c r="P773" s="1" t="str">
        <f>_xlfn.XLOOKUP(Logs[[#This Row],[ID_Client]],Clients_Log!B:B,Clients_Log!F:F,"Pas de correspondance")</f>
        <v>Bloqué 5Go</v>
      </c>
      <c r="Q773" s="1" t="str">
        <f>IF(Logs[[#This Row],[Type_Forfait]]="Pro Monde","B2B","B2C")</f>
        <v>B2C</v>
      </c>
      <c r="R773" s="1">
        <f>_xlfn.XLOOKUP(Logs[[#This Row],[ID_Client]],Clients_Log!B:B,Clients_Log!G:G,"Pas de correspondance")</f>
        <v>390</v>
      </c>
      <c r="S773" s="3">
        <f>Logs[[#This Row],[Duree_Cumulee_Panne_Min]]/1440</f>
        <v>0.27083333333333331</v>
      </c>
      <c r="T773" s="1">
        <f>_xlfn.XLOOKUP(Logs[[#This Row],[ID_Client]],Clients_Log!B:B,Clients_Log!H:H,"Pas de correspondance")</f>
        <v>98.17</v>
      </c>
      <c r="U773" s="1">
        <f>_xlfn.XLOOKUP(Logs[[#This Row],[ID_Client]],Clients_Log!B:B,Clients_Log!I:I,"Pas de correspondance")</f>
        <v>5</v>
      </c>
      <c r="V77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73" s="1">
        <f>Logs[[#This Row],[Facture_Mensuelle]]*Logs[[#This Row],[Remise (%)]]</f>
        <v>44.176500000000004</v>
      </c>
    </row>
    <row r="774" spans="1:23" hidden="1" x14ac:dyDescent="0.25">
      <c r="A774" s="1" t="s">
        <v>1337</v>
      </c>
      <c r="B774" s="2">
        <v>45225</v>
      </c>
      <c r="C774" s="1" t="str">
        <f>_xlfn.XLOOKUP(Logs[[#This Row],[Province_RDC]],Clients_Log!D:D,Clients_Log!B:B,"Pas de correspondance")</f>
        <v>Pas de correspondance</v>
      </c>
      <c r="D774" t="str">
        <f>_xlfn.XLOOKUP(Logs[[#This Row],[Cell_ID]],'Registre_Maintenance'!B:B,'Registre_Maintenance'!C:C,"Pas de correspondance")</f>
        <v>Pas de correspondance</v>
      </c>
      <c r="E774" s="3">
        <v>0.94930555555555551</v>
      </c>
      <c r="F774" s="1" t="s">
        <v>1357</v>
      </c>
      <c r="G774" s="3">
        <f>Logs[[#This Row],[Duree_Panne_Min]]/1440</f>
        <v>8.1250000000000003E-2</v>
      </c>
      <c r="H774">
        <v>117</v>
      </c>
      <c r="I774" t="str">
        <f>_xlfn.XLOOKUP(Logs[[#This Row],[Cell_ID]],'Registre_Maintenance'!B:B,'Registre_Maintenance'!D:D,"Pas de correspondance")</f>
        <v>Pas de correspondance</v>
      </c>
      <c r="J774" t="str">
        <f>_xlfn.XLOOKUP(Logs[[#This Row],[Cell_ID]],'Registre_Maintenance'!B:B,'Registre_Maintenance'!E:E,"Pas de correspondance")</f>
        <v>Pas de correspondance</v>
      </c>
      <c r="K774" t="str">
        <f>_xlfn.XLOOKUP(Logs[[#This Row],[Cell_ID]],'Registre_Maintenance'!B:B,'Registre_Maintenance'!F:F,"Pas de correspondance")</f>
        <v>Pas de correspondance</v>
      </c>
      <c r="L774" t="str">
        <f>_xlfn.XLOOKUP(Logs[[#This Row],[Cell_ID]],'Registre_Maintenance'!B:B,'Registre_Maintenance'!G:G,"Pas de correspondance")</f>
        <v>Pas de correspondance</v>
      </c>
      <c r="M774" s="1" t="s">
        <v>806</v>
      </c>
      <c r="N774" s="1" t="str">
        <f>_xlfn.XLOOKUP(Logs[[#This Row],[ID_Client]],Clients_Log!B:B,Clients_Log!E:E,"Pas de correspondance")</f>
        <v>Pas de correspondance</v>
      </c>
      <c r="O774" s="4" t="str">
        <f>IFERROR(Logs[[#This Row],[Anciennete_Mois]]/12,"")</f>
        <v/>
      </c>
      <c r="P774" s="1" t="str">
        <f>_xlfn.XLOOKUP(Logs[[#This Row],[ID_Client]],Clients_Log!B:B,Clients_Log!F:F,"Pas de correspondance")</f>
        <v>Pas de correspondance</v>
      </c>
      <c r="Q774" s="1" t="str">
        <f>IF(Logs[[#This Row],[Type_Forfait]]="Pro Monde","B2B","B2C")</f>
        <v>B2C</v>
      </c>
      <c r="R774" s="1" t="str">
        <f>_xlfn.XLOOKUP(Logs[[#This Row],[ID_Client]],Clients_Log!B:B,Clients_Log!G:G,"Pas de correspondance")</f>
        <v>Pas de correspondance</v>
      </c>
      <c r="S774" s="1" t="e">
        <f>Logs[[#This Row],[Duree_Cumulee_Panne_Min]]/1440</f>
        <v>#VALUE!</v>
      </c>
      <c r="T774" s="1" t="str">
        <f>_xlfn.XLOOKUP(Logs[[#This Row],[ID_Client]],Clients_Log!B:B,Clients_Log!H:H,"Pas de correspondance")</f>
        <v>Pas de correspondance</v>
      </c>
      <c r="U774" s="1" t="str">
        <f>_xlfn.XLOOKUP(Logs[[#This Row],[ID_Client]],Clients_Log!B:B,Clients_Log!I:I,"Pas de correspondance")</f>
        <v>Pas de correspondance</v>
      </c>
      <c r="V77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74" s="1" t="e">
        <f>Logs[[#This Row],[Facture_Mensuelle]]*Logs[[#This Row],[Remise (%)]]</f>
        <v>#VALUE!</v>
      </c>
    </row>
    <row r="775" spans="1:23" hidden="1" x14ac:dyDescent="0.25">
      <c r="A775" s="1" t="s">
        <v>1337</v>
      </c>
      <c r="B775" s="2">
        <v>45220</v>
      </c>
      <c r="C775" s="1" t="str">
        <f>_xlfn.XLOOKUP(Logs[[#This Row],[Province_RDC]],Clients_Log!D:D,Clients_Log!B:B,"Pas de correspondance")</f>
        <v>Pas de correspondance</v>
      </c>
      <c r="D775" t="str">
        <f>_xlfn.XLOOKUP(Logs[[#This Row],[Cell_ID]],'Registre_Maintenance'!B:B,'Registre_Maintenance'!C:C,"Pas de correspondance")</f>
        <v>Pas de correspondance</v>
      </c>
      <c r="E775" s="3">
        <v>0.55138888888888893</v>
      </c>
      <c r="F775" s="1" t="s">
        <v>1358</v>
      </c>
      <c r="G775" s="3">
        <f>Logs[[#This Row],[Duree_Panne_Min]]/1440</f>
        <v>4.1666666666666666E-3</v>
      </c>
      <c r="H775">
        <v>6</v>
      </c>
      <c r="I775" t="str">
        <f>_xlfn.XLOOKUP(Logs[[#This Row],[Cell_ID]],'Registre_Maintenance'!B:B,'Registre_Maintenance'!D:D,"Pas de correspondance")</f>
        <v>Pas de correspondance</v>
      </c>
      <c r="J775" t="str">
        <f>_xlfn.XLOOKUP(Logs[[#This Row],[Cell_ID]],'Registre_Maintenance'!B:B,'Registre_Maintenance'!E:E,"Pas de correspondance")</f>
        <v>Pas de correspondance</v>
      </c>
      <c r="K775" t="str">
        <f>_xlfn.XLOOKUP(Logs[[#This Row],[Cell_ID]],'Registre_Maintenance'!B:B,'Registre_Maintenance'!F:F,"Pas de correspondance")</f>
        <v>Pas de correspondance</v>
      </c>
      <c r="L775" t="str">
        <f>_xlfn.XLOOKUP(Logs[[#This Row],[Cell_ID]],'Registre_Maintenance'!B:B,'Registre_Maintenance'!G:G,"Pas de correspondance")</f>
        <v>Pas de correspondance</v>
      </c>
      <c r="M775" s="1" t="s">
        <v>806</v>
      </c>
      <c r="N775" s="1" t="str">
        <f>_xlfn.XLOOKUP(Logs[[#This Row],[ID_Client]],Clients_Log!B:B,Clients_Log!E:E,"Pas de correspondance")</f>
        <v>Pas de correspondance</v>
      </c>
      <c r="O775" s="4" t="str">
        <f>IFERROR(Logs[[#This Row],[Anciennete_Mois]]/12,"")</f>
        <v/>
      </c>
      <c r="P775" s="1" t="str">
        <f>_xlfn.XLOOKUP(Logs[[#This Row],[ID_Client]],Clients_Log!B:B,Clients_Log!F:F,"Pas de correspondance")</f>
        <v>Pas de correspondance</v>
      </c>
      <c r="Q775" s="1" t="str">
        <f>IF(Logs[[#This Row],[Type_Forfait]]="Pro Monde","B2B","B2C")</f>
        <v>B2C</v>
      </c>
      <c r="R775" s="1" t="str">
        <f>_xlfn.XLOOKUP(Logs[[#This Row],[ID_Client]],Clients_Log!B:B,Clients_Log!G:G,"Pas de correspondance")</f>
        <v>Pas de correspondance</v>
      </c>
      <c r="S775" s="1" t="e">
        <f>Logs[[#This Row],[Duree_Cumulee_Panne_Min]]/1440</f>
        <v>#VALUE!</v>
      </c>
      <c r="T775" s="1" t="str">
        <f>_xlfn.XLOOKUP(Logs[[#This Row],[ID_Client]],Clients_Log!B:B,Clients_Log!H:H,"Pas de correspondance")</f>
        <v>Pas de correspondance</v>
      </c>
      <c r="U775" s="1" t="str">
        <f>_xlfn.XLOOKUP(Logs[[#This Row],[ID_Client]],Clients_Log!B:B,Clients_Log!I:I,"Pas de correspondance")</f>
        <v>Pas de correspondance</v>
      </c>
      <c r="V77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75" s="1" t="e">
        <f>Logs[[#This Row],[Facture_Mensuelle]]*Logs[[#This Row],[Remise (%)]]</f>
        <v>#VALUE!</v>
      </c>
    </row>
    <row r="776" spans="1:23" hidden="1" x14ac:dyDescent="0.25">
      <c r="A776" s="1" t="s">
        <v>1337</v>
      </c>
      <c r="B776" s="2">
        <v>45210</v>
      </c>
      <c r="C776" s="1" t="str">
        <f>_xlfn.XLOOKUP(Logs[[#This Row],[Province_RDC]],Clients_Log!D:D,Clients_Log!B:B,"Pas de correspondance")</f>
        <v>Pas de correspondance</v>
      </c>
      <c r="D776" t="str">
        <f>_xlfn.XLOOKUP(Logs[[#This Row],[Cell_ID]],'Registre_Maintenance'!B:B,'Registre_Maintenance'!C:C,"Pas de correspondance")</f>
        <v>Pas de correspondance</v>
      </c>
      <c r="E776" s="3">
        <v>0.30972222222222223</v>
      </c>
      <c r="F776" s="1" t="s">
        <v>1144</v>
      </c>
      <c r="G776" s="3">
        <f>Logs[[#This Row],[Duree_Panne_Min]]/1440</f>
        <v>3.2638888888888891E-2</v>
      </c>
      <c r="H776">
        <v>47</v>
      </c>
      <c r="I776" t="str">
        <f>_xlfn.XLOOKUP(Logs[[#This Row],[Cell_ID]],'Registre_Maintenance'!B:B,'Registre_Maintenance'!D:D,"Pas de correspondance")</f>
        <v>Pas de correspondance</v>
      </c>
      <c r="J776" t="str">
        <f>_xlfn.XLOOKUP(Logs[[#This Row],[Cell_ID]],'Registre_Maintenance'!B:B,'Registre_Maintenance'!E:E,"Pas de correspondance")</f>
        <v>Pas de correspondance</v>
      </c>
      <c r="K776" t="str">
        <f>_xlfn.XLOOKUP(Logs[[#This Row],[Cell_ID]],'Registre_Maintenance'!B:B,'Registre_Maintenance'!F:F,"Pas de correspondance")</f>
        <v>Pas de correspondance</v>
      </c>
      <c r="L776" t="str">
        <f>_xlfn.XLOOKUP(Logs[[#This Row],[Cell_ID]],'Registre_Maintenance'!B:B,'Registre_Maintenance'!G:G,"Pas de correspondance")</f>
        <v>Pas de correspondance</v>
      </c>
      <c r="M776" s="1" t="s">
        <v>809</v>
      </c>
      <c r="N776" s="1" t="str">
        <f>_xlfn.XLOOKUP(Logs[[#This Row],[ID_Client]],Clients_Log!B:B,Clients_Log!E:E,"Pas de correspondance")</f>
        <v>Pas de correspondance</v>
      </c>
      <c r="O776" s="4" t="str">
        <f>IFERROR(Logs[[#This Row],[Anciennete_Mois]]/12,"")</f>
        <v/>
      </c>
      <c r="P776" s="1" t="str">
        <f>_xlfn.XLOOKUP(Logs[[#This Row],[ID_Client]],Clients_Log!B:B,Clients_Log!F:F,"Pas de correspondance")</f>
        <v>Pas de correspondance</v>
      </c>
      <c r="Q776" s="1" t="str">
        <f>IF(Logs[[#This Row],[Type_Forfait]]="Pro Monde","B2B","B2C")</f>
        <v>B2C</v>
      </c>
      <c r="R776" s="1" t="str">
        <f>_xlfn.XLOOKUP(Logs[[#This Row],[ID_Client]],Clients_Log!B:B,Clients_Log!G:G,"Pas de correspondance")</f>
        <v>Pas de correspondance</v>
      </c>
      <c r="S776" s="1" t="e">
        <f>Logs[[#This Row],[Duree_Cumulee_Panne_Min]]/1440</f>
        <v>#VALUE!</v>
      </c>
      <c r="T776" s="1" t="str">
        <f>_xlfn.XLOOKUP(Logs[[#This Row],[ID_Client]],Clients_Log!B:B,Clients_Log!H:H,"Pas de correspondance")</f>
        <v>Pas de correspondance</v>
      </c>
      <c r="U776" s="1" t="str">
        <f>_xlfn.XLOOKUP(Logs[[#This Row],[ID_Client]],Clients_Log!B:B,Clients_Log!I:I,"Pas de correspondance")</f>
        <v>Pas de correspondance</v>
      </c>
      <c r="V77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76" s="1" t="e">
        <f>Logs[[#This Row],[Facture_Mensuelle]]*Logs[[#This Row],[Remise (%)]]</f>
        <v>#VALUE!</v>
      </c>
    </row>
    <row r="777" spans="1:23" x14ac:dyDescent="0.25">
      <c r="A777" s="1" t="s">
        <v>1337</v>
      </c>
      <c r="B777" s="2">
        <v>45229</v>
      </c>
      <c r="C777" s="1" t="str">
        <f>_xlfn.XLOOKUP(Logs[[#This Row],[Province_RDC]],Clients_Log!D:D,Clients_Log!B:B,"Pas de correspondance")</f>
        <v>CLI-01170</v>
      </c>
      <c r="D777" t="str">
        <f>_xlfn.XLOOKUP(Logs[[#This Row],[Cell_ID]],'Registre_Maintenance'!B:B,'Registre_Maintenance'!C:C,"Pas de correspondance")</f>
        <v>Nord-Ubangi</v>
      </c>
      <c r="E777" s="3">
        <v>0.97222222222222221</v>
      </c>
      <c r="F777" s="1" t="s">
        <v>1277</v>
      </c>
      <c r="G777" s="3">
        <f>Logs[[#This Row],[Duree_Panne_Min]]/1440</f>
        <v>3.472222222222222E-3</v>
      </c>
      <c r="H777">
        <v>5</v>
      </c>
      <c r="I777">
        <f>_xlfn.XLOOKUP(Logs[[#This Row],[Cell_ID]],'Registre_Maintenance'!B:B,'Registre_Maintenance'!D:D,"Pas de correspondance")</f>
        <v>-8.4985189999999999</v>
      </c>
      <c r="J777">
        <f>_xlfn.XLOOKUP(Logs[[#This Row],[Cell_ID]],'Registre_Maintenance'!B:B,'Registre_Maintenance'!E:E,"Pas de correspondance")</f>
        <v>12.929456999999999</v>
      </c>
      <c r="K777" t="str">
        <f>_xlfn.XLOOKUP(Logs[[#This Row],[Cell_ID]],'Registre_Maintenance'!B:B,'Registre_Maintenance'!F:F,"Pas de correspondance")</f>
        <v>4G</v>
      </c>
      <c r="L777" t="str">
        <f>_xlfn.XLOOKUP(Logs[[#This Row],[Cell_ID]],'Registre_Maintenance'!B:B,'Registre_Maintenance'!G:G,"Pas de correspondance")</f>
        <v>Ericsson</v>
      </c>
      <c r="M777" s="1" t="s">
        <v>811</v>
      </c>
      <c r="N777" s="1">
        <f>_xlfn.XLOOKUP(Logs[[#This Row],[ID_Client]],Clients_Log!B:B,Clients_Log!E:E,"Pas de correspondance")</f>
        <v>98</v>
      </c>
      <c r="O777" s="4">
        <f>IFERROR(Logs[[#This Row],[Anciennete_Mois]]/12,"")</f>
        <v>8.1666666666666661</v>
      </c>
      <c r="P777" s="1" t="str">
        <f>_xlfn.XLOOKUP(Logs[[#This Row],[ID_Client]],Clients_Log!B:B,Clients_Log!F:F,"Pas de correspondance")</f>
        <v>Pro Monde</v>
      </c>
      <c r="Q777" s="1" t="str">
        <f>IF(Logs[[#This Row],[Type_Forfait]]="Pro Monde","B2B","B2C")</f>
        <v>B2B</v>
      </c>
      <c r="R777" s="1">
        <f>_xlfn.XLOOKUP(Logs[[#This Row],[ID_Client]],Clients_Log!B:B,Clients_Log!G:G,"Pas de correspondance")</f>
        <v>482</v>
      </c>
      <c r="S777" s="3">
        <f>Logs[[#This Row],[Duree_Cumulee_Panne_Min]]/1440</f>
        <v>0.3347222222222222</v>
      </c>
      <c r="T777" s="1">
        <f>_xlfn.XLOOKUP(Logs[[#This Row],[ID_Client]],Clients_Log!B:B,Clients_Log!H:H,"Pas de correspondance")</f>
        <v>55.04</v>
      </c>
      <c r="U777" s="1">
        <f>_xlfn.XLOOKUP(Logs[[#This Row],[ID_Client]],Clients_Log!B:B,Clients_Log!I:I,"Pas de correspondance")</f>
        <v>5</v>
      </c>
      <c r="V77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77" s="1">
        <f>Logs[[#This Row],[Facture_Mensuelle]]*Logs[[#This Row],[Remise (%)]]</f>
        <v>24.768000000000001</v>
      </c>
    </row>
    <row r="778" spans="1:23" hidden="1" x14ac:dyDescent="0.25">
      <c r="A778" s="1" t="s">
        <v>1337</v>
      </c>
      <c r="B778" s="2">
        <v>45208</v>
      </c>
      <c r="C778" s="1" t="str">
        <f>_xlfn.XLOOKUP(Logs[[#This Row],[Province_RDC]],Clients_Log!D:D,Clients_Log!B:B,"Pas de correspondance")</f>
        <v>Pas de correspondance</v>
      </c>
      <c r="D778" t="str">
        <f>_xlfn.XLOOKUP(Logs[[#This Row],[Cell_ID]],'Registre_Maintenance'!B:B,'Registre_Maintenance'!C:C,"Pas de correspondance")</f>
        <v>Pas de correspondance</v>
      </c>
      <c r="E778" s="3">
        <v>0.10833333333333334</v>
      </c>
      <c r="F778" s="1" t="s">
        <v>1359</v>
      </c>
      <c r="G778" s="3">
        <f>Logs[[#This Row],[Duree_Panne_Min]]/1440</f>
        <v>7.0833333333333331E-2</v>
      </c>
      <c r="H778">
        <v>102</v>
      </c>
      <c r="I778" t="str">
        <f>_xlfn.XLOOKUP(Logs[[#This Row],[Cell_ID]],'Registre_Maintenance'!B:B,'Registre_Maintenance'!D:D,"Pas de correspondance")</f>
        <v>Pas de correspondance</v>
      </c>
      <c r="J778" t="str">
        <f>_xlfn.XLOOKUP(Logs[[#This Row],[Cell_ID]],'Registre_Maintenance'!B:B,'Registre_Maintenance'!E:E,"Pas de correspondance")</f>
        <v>Pas de correspondance</v>
      </c>
      <c r="K778" t="str">
        <f>_xlfn.XLOOKUP(Logs[[#This Row],[Cell_ID]],'Registre_Maintenance'!B:B,'Registre_Maintenance'!F:F,"Pas de correspondance")</f>
        <v>Pas de correspondance</v>
      </c>
      <c r="L778" t="str">
        <f>_xlfn.XLOOKUP(Logs[[#This Row],[Cell_ID]],'Registre_Maintenance'!B:B,'Registre_Maintenance'!G:G,"Pas de correspondance")</f>
        <v>Pas de correspondance</v>
      </c>
      <c r="M778" s="1" t="s">
        <v>809</v>
      </c>
      <c r="N778" s="1" t="str">
        <f>_xlfn.XLOOKUP(Logs[[#This Row],[ID_Client]],Clients_Log!B:B,Clients_Log!E:E,"Pas de correspondance")</f>
        <v>Pas de correspondance</v>
      </c>
      <c r="O778" s="4" t="str">
        <f>IFERROR(Logs[[#This Row],[Anciennete_Mois]]/12,"")</f>
        <v/>
      </c>
      <c r="P778" s="1" t="str">
        <f>_xlfn.XLOOKUP(Logs[[#This Row],[ID_Client]],Clients_Log!B:B,Clients_Log!F:F,"Pas de correspondance")</f>
        <v>Pas de correspondance</v>
      </c>
      <c r="Q778" s="1" t="str">
        <f>IF(Logs[[#This Row],[Type_Forfait]]="Pro Monde","B2B","B2C")</f>
        <v>B2C</v>
      </c>
      <c r="R778" s="1" t="str">
        <f>_xlfn.XLOOKUP(Logs[[#This Row],[ID_Client]],Clients_Log!B:B,Clients_Log!G:G,"Pas de correspondance")</f>
        <v>Pas de correspondance</v>
      </c>
      <c r="S778" s="1" t="e">
        <f>Logs[[#This Row],[Duree_Cumulee_Panne_Min]]/1440</f>
        <v>#VALUE!</v>
      </c>
      <c r="T778" s="1" t="str">
        <f>_xlfn.XLOOKUP(Logs[[#This Row],[ID_Client]],Clients_Log!B:B,Clients_Log!H:H,"Pas de correspondance")</f>
        <v>Pas de correspondance</v>
      </c>
      <c r="U778" s="1" t="str">
        <f>_xlfn.XLOOKUP(Logs[[#This Row],[ID_Client]],Clients_Log!B:B,Clients_Log!I:I,"Pas de correspondance")</f>
        <v>Pas de correspondance</v>
      </c>
      <c r="V77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78" s="1" t="e">
        <f>Logs[[#This Row],[Facture_Mensuelle]]*Logs[[#This Row],[Remise (%)]]</f>
        <v>#VALUE!</v>
      </c>
    </row>
    <row r="779" spans="1:23" hidden="1" x14ac:dyDescent="0.25">
      <c r="A779" s="1" t="s">
        <v>1337</v>
      </c>
      <c r="B779" s="2">
        <v>45211</v>
      </c>
      <c r="C779" s="1" t="str">
        <f>_xlfn.XLOOKUP(Logs[[#This Row],[Province_RDC]],Clients_Log!D:D,Clients_Log!B:B,"Pas de correspondance")</f>
        <v>Pas de correspondance</v>
      </c>
      <c r="D779" t="str">
        <f>_xlfn.XLOOKUP(Logs[[#This Row],[Cell_ID]],'Registre_Maintenance'!B:B,'Registre_Maintenance'!C:C,"Pas de correspondance")</f>
        <v>Pas de correspondance</v>
      </c>
      <c r="E779" s="3">
        <v>0.14722222222222223</v>
      </c>
      <c r="F779" s="1" t="s">
        <v>1360</v>
      </c>
      <c r="G779" s="3">
        <f>Logs[[#This Row],[Duree_Panne_Min]]/1440</f>
        <v>6.1805555555555558E-2</v>
      </c>
      <c r="H779">
        <v>89</v>
      </c>
      <c r="I779" t="str">
        <f>_xlfn.XLOOKUP(Logs[[#This Row],[Cell_ID]],'Registre_Maintenance'!B:B,'Registre_Maintenance'!D:D,"Pas de correspondance")</f>
        <v>Pas de correspondance</v>
      </c>
      <c r="J779" t="str">
        <f>_xlfn.XLOOKUP(Logs[[#This Row],[Cell_ID]],'Registre_Maintenance'!B:B,'Registre_Maintenance'!E:E,"Pas de correspondance")</f>
        <v>Pas de correspondance</v>
      </c>
      <c r="K779" t="str">
        <f>_xlfn.XLOOKUP(Logs[[#This Row],[Cell_ID]],'Registre_Maintenance'!B:B,'Registre_Maintenance'!F:F,"Pas de correspondance")</f>
        <v>Pas de correspondance</v>
      </c>
      <c r="L779" t="str">
        <f>_xlfn.XLOOKUP(Logs[[#This Row],[Cell_ID]],'Registre_Maintenance'!B:B,'Registre_Maintenance'!G:G,"Pas de correspondance")</f>
        <v>Pas de correspondance</v>
      </c>
      <c r="M779" s="1" t="s">
        <v>809</v>
      </c>
      <c r="N779" s="1" t="str">
        <f>_xlfn.XLOOKUP(Logs[[#This Row],[ID_Client]],Clients_Log!B:B,Clients_Log!E:E,"Pas de correspondance")</f>
        <v>Pas de correspondance</v>
      </c>
      <c r="O779" s="4" t="str">
        <f>IFERROR(Logs[[#This Row],[Anciennete_Mois]]/12,"")</f>
        <v/>
      </c>
      <c r="P779" s="1" t="str">
        <f>_xlfn.XLOOKUP(Logs[[#This Row],[ID_Client]],Clients_Log!B:B,Clients_Log!F:F,"Pas de correspondance")</f>
        <v>Pas de correspondance</v>
      </c>
      <c r="Q779" s="1" t="str">
        <f>IF(Logs[[#This Row],[Type_Forfait]]="Pro Monde","B2B","B2C")</f>
        <v>B2C</v>
      </c>
      <c r="R779" s="1" t="str">
        <f>_xlfn.XLOOKUP(Logs[[#This Row],[ID_Client]],Clients_Log!B:B,Clients_Log!G:G,"Pas de correspondance")</f>
        <v>Pas de correspondance</v>
      </c>
      <c r="S779" s="1" t="e">
        <f>Logs[[#This Row],[Duree_Cumulee_Panne_Min]]/1440</f>
        <v>#VALUE!</v>
      </c>
      <c r="T779" s="1" t="str">
        <f>_xlfn.XLOOKUP(Logs[[#This Row],[ID_Client]],Clients_Log!B:B,Clients_Log!H:H,"Pas de correspondance")</f>
        <v>Pas de correspondance</v>
      </c>
      <c r="U779" s="1" t="str">
        <f>_xlfn.XLOOKUP(Logs[[#This Row],[ID_Client]],Clients_Log!B:B,Clients_Log!I:I,"Pas de correspondance")</f>
        <v>Pas de correspondance</v>
      </c>
      <c r="V77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79" s="1" t="e">
        <f>Logs[[#This Row],[Facture_Mensuelle]]*Logs[[#This Row],[Remise (%)]]</f>
        <v>#VALUE!</v>
      </c>
    </row>
    <row r="780" spans="1:23" x14ac:dyDescent="0.25">
      <c r="A780" s="1" t="s">
        <v>1337</v>
      </c>
      <c r="B780" s="2">
        <v>45221</v>
      </c>
      <c r="C780" s="1" t="str">
        <f>_xlfn.XLOOKUP(Logs[[#This Row],[Province_RDC]],Clients_Log!D:D,Clients_Log!B:B,"Pas de correspondance")</f>
        <v>CLI-01005</v>
      </c>
      <c r="D780" t="str">
        <f>_xlfn.XLOOKUP(Logs[[#This Row],[Cell_ID]],'Registre_Maintenance'!B:B,'Registre_Maintenance'!C:C,"Pas de correspondance")</f>
        <v>Lualaba</v>
      </c>
      <c r="E780" s="3">
        <v>4.9305555555555554E-2</v>
      </c>
      <c r="F780" s="1" t="s">
        <v>1141</v>
      </c>
      <c r="G780" s="3">
        <f>Logs[[#This Row],[Duree_Panne_Min]]/1440</f>
        <v>3.6805555555555557E-2</v>
      </c>
      <c r="H780">
        <v>53</v>
      </c>
      <c r="I780">
        <f>_xlfn.XLOOKUP(Logs[[#This Row],[Cell_ID]],'Registre_Maintenance'!B:B,'Registre_Maintenance'!D:D,"Pas de correspondance")</f>
        <v>1.286548</v>
      </c>
      <c r="J780">
        <f>_xlfn.XLOOKUP(Logs[[#This Row],[Cell_ID]],'Registre_Maintenance'!B:B,'Registre_Maintenance'!E:E,"Pas de correspondance")</f>
        <v>29.823702999999998</v>
      </c>
      <c r="K780" t="str">
        <f>_xlfn.XLOOKUP(Logs[[#This Row],[Cell_ID]],'Registre_Maintenance'!B:B,'Registre_Maintenance'!F:F,"Pas de correspondance")</f>
        <v>4G</v>
      </c>
      <c r="L780" t="str">
        <f>_xlfn.XLOOKUP(Logs[[#This Row],[Cell_ID]],'Registre_Maintenance'!B:B,'Registre_Maintenance'!G:G,"Pas de correspondance")</f>
        <v>ZTE</v>
      </c>
      <c r="M780" s="1" t="s">
        <v>809</v>
      </c>
      <c r="N780" s="1">
        <f>_xlfn.XLOOKUP(Logs[[#This Row],[ID_Client]],Clients_Log!B:B,Clients_Log!E:E,"Pas de correspondance")</f>
        <v>80</v>
      </c>
      <c r="O780" s="4">
        <f>IFERROR(Logs[[#This Row],[Anciennete_Mois]]/12,"")</f>
        <v>6.666666666666667</v>
      </c>
      <c r="P780" s="1" t="str">
        <f>_xlfn.XLOOKUP(Logs[[#This Row],[ID_Client]],Clients_Log!B:B,Clients_Log!F:F,"Pas de correspondance")</f>
        <v>Illimité 50Go</v>
      </c>
      <c r="Q780" s="1" t="str">
        <f>IF(Logs[[#This Row],[Type_Forfait]]="Pro Monde","B2B","B2C")</f>
        <v>B2C</v>
      </c>
      <c r="R780" s="1">
        <f>_xlfn.XLOOKUP(Logs[[#This Row],[ID_Client]],Clients_Log!B:B,Clients_Log!G:G,"Pas de correspondance")</f>
        <v>155</v>
      </c>
      <c r="S780" s="3">
        <f>Logs[[#This Row],[Duree_Cumulee_Panne_Min]]/1440</f>
        <v>0.1076388888888889</v>
      </c>
      <c r="T780" s="1">
        <f>_xlfn.XLOOKUP(Logs[[#This Row],[ID_Client]],Clients_Log!B:B,Clients_Log!H:H,"Pas de correspondance")</f>
        <v>28.96</v>
      </c>
      <c r="U780" s="1">
        <f>_xlfn.XLOOKUP(Logs[[#This Row],[ID_Client]],Clients_Log!B:B,Clients_Log!I:I,"Pas de correspondance")</f>
        <v>2</v>
      </c>
      <c r="V78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780" s="1">
        <f>Logs[[#This Row],[Facture_Mensuelle]]*Logs[[#This Row],[Remise (%)]]</f>
        <v>0</v>
      </c>
    </row>
    <row r="781" spans="1:23" x14ac:dyDescent="0.25">
      <c r="A781" s="1" t="s">
        <v>1337</v>
      </c>
      <c r="B781" s="2">
        <v>45207</v>
      </c>
      <c r="C781" s="1" t="str">
        <f>_xlfn.XLOOKUP(Logs[[#This Row],[Province_RDC]],Clients_Log!D:D,Clients_Log!B:B,"Pas de correspondance")</f>
        <v>CLI-01233</v>
      </c>
      <c r="D781" t="str">
        <f>_xlfn.XLOOKUP(Logs[[#This Row],[Cell_ID]],'Registre_Maintenance'!B:B,'Registre_Maintenance'!C:C,"Pas de correspondance")</f>
        <v>Kongo-Central</v>
      </c>
      <c r="E781" s="3">
        <v>0.66805555555555551</v>
      </c>
      <c r="F781" s="1" t="s">
        <v>1361</v>
      </c>
      <c r="G781" s="3">
        <f>Logs[[#This Row],[Duree_Panne_Min]]/1440</f>
        <v>7.8472222222222221E-2</v>
      </c>
      <c r="H781">
        <v>113</v>
      </c>
      <c r="I781">
        <f>_xlfn.XLOOKUP(Logs[[#This Row],[Cell_ID]],'Registre_Maintenance'!B:B,'Registre_Maintenance'!D:D,"Pas de correspondance")</f>
        <v>-7.1587569999999996</v>
      </c>
      <c r="J781">
        <f>_xlfn.XLOOKUP(Logs[[#This Row],[Cell_ID]],'Registre_Maintenance'!B:B,'Registre_Maintenance'!E:E,"Pas de correspondance")</f>
        <v>18.975141000000001</v>
      </c>
      <c r="K781" t="str">
        <f>_xlfn.XLOOKUP(Logs[[#This Row],[Cell_ID]],'Registre_Maintenance'!B:B,'Registre_Maintenance'!F:F,"Pas de correspondance")</f>
        <v>5G</v>
      </c>
      <c r="L781" t="str">
        <f>_xlfn.XLOOKUP(Logs[[#This Row],[Cell_ID]],'Registre_Maintenance'!B:B,'Registre_Maintenance'!G:G,"Pas de correspondance")</f>
        <v>Ericsson</v>
      </c>
      <c r="M781" s="1" t="s">
        <v>806</v>
      </c>
      <c r="N781" s="1">
        <f>_xlfn.XLOOKUP(Logs[[#This Row],[ID_Client]],Clients_Log!B:B,Clients_Log!E:E,"Pas de correspondance")</f>
        <v>101</v>
      </c>
      <c r="O781" s="4">
        <f>IFERROR(Logs[[#This Row],[Anciennete_Mois]]/12,"")</f>
        <v>8.4166666666666661</v>
      </c>
      <c r="P781" s="1" t="str">
        <f>_xlfn.XLOOKUP(Logs[[#This Row],[ID_Client]],Clients_Log!B:B,Clients_Log!F:F,"Pas de correspondance")</f>
        <v>Pro Monde</v>
      </c>
      <c r="Q781" s="1" t="str">
        <f>IF(Logs[[#This Row],[Type_Forfait]]="Pro Monde","B2B","B2C")</f>
        <v>B2B</v>
      </c>
      <c r="R781" s="1">
        <f>_xlfn.XLOOKUP(Logs[[#This Row],[ID_Client]],Clients_Log!B:B,Clients_Log!G:G,"Pas de correspondance")</f>
        <v>333</v>
      </c>
      <c r="S781" s="3">
        <f>Logs[[#This Row],[Duree_Cumulee_Panne_Min]]/1440</f>
        <v>0.23125000000000001</v>
      </c>
      <c r="T781" s="1">
        <f>_xlfn.XLOOKUP(Logs[[#This Row],[ID_Client]],Clients_Log!B:B,Clients_Log!H:H,"Pas de correspondance")</f>
        <v>74.319999999999993</v>
      </c>
      <c r="U781" s="1">
        <f>_xlfn.XLOOKUP(Logs[[#This Row],[ID_Client]],Clients_Log!B:B,Clients_Log!I:I,"Pas de correspondance")</f>
        <v>1</v>
      </c>
      <c r="V78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81" s="1">
        <f>Logs[[#This Row],[Facture_Mensuelle]]*Logs[[#This Row],[Remise (%)]]</f>
        <v>33.443999999999996</v>
      </c>
    </row>
    <row r="782" spans="1:23" hidden="1" x14ac:dyDescent="0.25">
      <c r="A782" s="1" t="s">
        <v>1337</v>
      </c>
      <c r="B782" s="2">
        <v>45230</v>
      </c>
      <c r="C782" s="1" t="str">
        <f>_xlfn.XLOOKUP(Logs[[#This Row],[Province_RDC]],Clients_Log!D:D,Clients_Log!B:B,"Pas de correspondance")</f>
        <v>Pas de correspondance</v>
      </c>
      <c r="D782" t="str">
        <f>_xlfn.XLOOKUP(Logs[[#This Row],[Cell_ID]],'Registre_Maintenance'!B:B,'Registre_Maintenance'!C:C,"Pas de correspondance")</f>
        <v>Pas de correspondance</v>
      </c>
      <c r="E782" s="3">
        <v>0.50277777777777777</v>
      </c>
      <c r="F782" s="1" t="s">
        <v>1200</v>
      </c>
      <c r="G782" s="3">
        <f>Logs[[#This Row],[Duree_Panne_Min]]/1440</f>
        <v>6.8750000000000006E-2</v>
      </c>
      <c r="H782">
        <v>99</v>
      </c>
      <c r="I782" t="str">
        <f>_xlfn.XLOOKUP(Logs[[#This Row],[Cell_ID]],'Registre_Maintenance'!B:B,'Registre_Maintenance'!D:D,"Pas de correspondance")</f>
        <v>Pas de correspondance</v>
      </c>
      <c r="J782" t="str">
        <f>_xlfn.XLOOKUP(Logs[[#This Row],[Cell_ID]],'Registre_Maintenance'!B:B,'Registre_Maintenance'!E:E,"Pas de correspondance")</f>
        <v>Pas de correspondance</v>
      </c>
      <c r="K782" t="str">
        <f>_xlfn.XLOOKUP(Logs[[#This Row],[Cell_ID]],'Registre_Maintenance'!B:B,'Registre_Maintenance'!F:F,"Pas de correspondance")</f>
        <v>Pas de correspondance</v>
      </c>
      <c r="L782" t="str">
        <f>_xlfn.XLOOKUP(Logs[[#This Row],[Cell_ID]],'Registre_Maintenance'!B:B,'Registre_Maintenance'!G:G,"Pas de correspondance")</f>
        <v>Pas de correspondance</v>
      </c>
      <c r="M782" s="1" t="s">
        <v>806</v>
      </c>
      <c r="N782" s="1" t="str">
        <f>_xlfn.XLOOKUP(Logs[[#This Row],[ID_Client]],Clients_Log!B:B,Clients_Log!E:E,"Pas de correspondance")</f>
        <v>Pas de correspondance</v>
      </c>
      <c r="O782" s="4" t="str">
        <f>IFERROR(Logs[[#This Row],[Anciennete_Mois]]/12,"")</f>
        <v/>
      </c>
      <c r="P782" s="1" t="str">
        <f>_xlfn.XLOOKUP(Logs[[#This Row],[ID_Client]],Clients_Log!B:B,Clients_Log!F:F,"Pas de correspondance")</f>
        <v>Pas de correspondance</v>
      </c>
      <c r="Q782" s="1" t="str">
        <f>IF(Logs[[#This Row],[Type_Forfait]]="Pro Monde","B2B","B2C")</f>
        <v>B2C</v>
      </c>
      <c r="R782" s="1" t="str">
        <f>_xlfn.XLOOKUP(Logs[[#This Row],[ID_Client]],Clients_Log!B:B,Clients_Log!G:G,"Pas de correspondance")</f>
        <v>Pas de correspondance</v>
      </c>
      <c r="S782" s="1" t="e">
        <f>Logs[[#This Row],[Duree_Cumulee_Panne_Min]]/1440</f>
        <v>#VALUE!</v>
      </c>
      <c r="T782" s="1" t="str">
        <f>_xlfn.XLOOKUP(Logs[[#This Row],[ID_Client]],Clients_Log!B:B,Clients_Log!H:H,"Pas de correspondance")</f>
        <v>Pas de correspondance</v>
      </c>
      <c r="U782" s="1" t="str">
        <f>_xlfn.XLOOKUP(Logs[[#This Row],[ID_Client]],Clients_Log!B:B,Clients_Log!I:I,"Pas de correspondance")</f>
        <v>Pas de correspondance</v>
      </c>
      <c r="V78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82" s="1" t="e">
        <f>Logs[[#This Row],[Facture_Mensuelle]]*Logs[[#This Row],[Remise (%)]]</f>
        <v>#VALUE!</v>
      </c>
    </row>
    <row r="783" spans="1:23" x14ac:dyDescent="0.25">
      <c r="A783" s="1" t="s">
        <v>1337</v>
      </c>
      <c r="B783" s="2">
        <v>45228</v>
      </c>
      <c r="C783" s="1" t="str">
        <f>_xlfn.XLOOKUP(Logs[[#This Row],[Province_RDC]],Clients_Log!D:D,Clients_Log!B:B,"Pas de correspondance")</f>
        <v>CLI-00569</v>
      </c>
      <c r="D783" t="str">
        <f>_xlfn.XLOOKUP(Logs[[#This Row],[Cell_ID]],'Registre_Maintenance'!B:B,'Registre_Maintenance'!C:C,"Pas de correspondance")</f>
        <v>Kwango</v>
      </c>
      <c r="E783" s="3">
        <v>0.62152777777777779</v>
      </c>
      <c r="F783" s="1" t="s">
        <v>870</v>
      </c>
      <c r="G783" s="3">
        <f>Logs[[#This Row],[Duree_Panne_Min]]/1440</f>
        <v>6.805555555555555E-2</v>
      </c>
      <c r="H783">
        <v>98</v>
      </c>
      <c r="I783">
        <f>_xlfn.XLOOKUP(Logs[[#This Row],[Cell_ID]],'Registre_Maintenance'!B:B,'Registre_Maintenance'!D:D,"Pas de correspondance")</f>
        <v>-10.963041</v>
      </c>
      <c r="J783">
        <f>_xlfn.XLOOKUP(Logs[[#This Row],[Cell_ID]],'Registre_Maintenance'!B:B,'Registre_Maintenance'!E:E,"Pas de correspondance")</f>
        <v>12.269857</v>
      </c>
      <c r="K783" t="str">
        <f>_xlfn.XLOOKUP(Logs[[#This Row],[Cell_ID]],'Registre_Maintenance'!B:B,'Registre_Maintenance'!F:F,"Pas de correspondance")</f>
        <v>4G</v>
      </c>
      <c r="L783" t="str">
        <f>_xlfn.XLOOKUP(Logs[[#This Row],[Cell_ID]],'Registre_Maintenance'!B:B,'Registre_Maintenance'!G:G,"Pas de correspondance")</f>
        <v>Huawei</v>
      </c>
      <c r="M783" s="1" t="s">
        <v>811</v>
      </c>
      <c r="N783" s="1">
        <f>_xlfn.XLOOKUP(Logs[[#This Row],[ID_Client]],Clients_Log!B:B,Clients_Log!E:E,"Pas de correspondance")</f>
        <v>110</v>
      </c>
      <c r="O783" s="4">
        <f>IFERROR(Logs[[#This Row],[Anciennete_Mois]]/12,"")</f>
        <v>9.1666666666666661</v>
      </c>
      <c r="P783" s="1" t="str">
        <f>_xlfn.XLOOKUP(Logs[[#This Row],[ID_Client]],Clients_Log!B:B,Clients_Log!F:F,"Pas de correspondance")</f>
        <v>Pro Monde</v>
      </c>
      <c r="Q783" s="1" t="str">
        <f>IF(Logs[[#This Row],[Type_Forfait]]="Pro Monde","B2B","B2C")</f>
        <v>B2B</v>
      </c>
      <c r="R783" s="1">
        <f>_xlfn.XLOOKUP(Logs[[#This Row],[ID_Client]],Clients_Log!B:B,Clients_Log!G:G,"Pas de correspondance")</f>
        <v>423</v>
      </c>
      <c r="S783" s="3">
        <f>Logs[[#This Row],[Duree_Cumulee_Panne_Min]]/1440</f>
        <v>0.29375000000000001</v>
      </c>
      <c r="T783" s="1">
        <f>_xlfn.XLOOKUP(Logs[[#This Row],[ID_Client]],Clients_Log!B:B,Clients_Log!H:H,"Pas de correspondance")</f>
        <v>37.35</v>
      </c>
      <c r="U783" s="1">
        <f>_xlfn.XLOOKUP(Logs[[#This Row],[ID_Client]],Clients_Log!B:B,Clients_Log!I:I,"Pas de correspondance")</f>
        <v>4</v>
      </c>
      <c r="V78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83" s="1">
        <f>Logs[[#This Row],[Facture_Mensuelle]]*Logs[[#This Row],[Remise (%)]]</f>
        <v>16.807500000000001</v>
      </c>
    </row>
    <row r="784" spans="1:23" hidden="1" x14ac:dyDescent="0.25">
      <c r="A784" s="1" t="s">
        <v>1337</v>
      </c>
      <c r="B784" s="2">
        <v>45209</v>
      </c>
      <c r="C784" s="1" t="str">
        <f>_xlfn.XLOOKUP(Logs[[#This Row],[Province_RDC]],Clients_Log!D:D,Clients_Log!B:B,"Pas de correspondance")</f>
        <v>Pas de correspondance</v>
      </c>
      <c r="D784" t="str">
        <f>_xlfn.XLOOKUP(Logs[[#This Row],[Cell_ID]],'Registre_Maintenance'!B:B,'Registre_Maintenance'!C:C,"Pas de correspondance")</f>
        <v>Pas de correspondance</v>
      </c>
      <c r="E784" s="3">
        <v>0.3888888888888889</v>
      </c>
      <c r="F784" s="1" t="s">
        <v>1362</v>
      </c>
      <c r="G784" s="3">
        <f>Logs[[#This Row],[Duree_Panne_Min]]/1440</f>
        <v>3.0555555555555555E-2</v>
      </c>
      <c r="H784">
        <v>44</v>
      </c>
      <c r="I784" t="str">
        <f>_xlfn.XLOOKUP(Logs[[#This Row],[Cell_ID]],'Registre_Maintenance'!B:B,'Registre_Maintenance'!D:D,"Pas de correspondance")</f>
        <v>Pas de correspondance</v>
      </c>
      <c r="J784" t="str">
        <f>_xlfn.XLOOKUP(Logs[[#This Row],[Cell_ID]],'Registre_Maintenance'!B:B,'Registre_Maintenance'!E:E,"Pas de correspondance")</f>
        <v>Pas de correspondance</v>
      </c>
      <c r="K784" t="str">
        <f>_xlfn.XLOOKUP(Logs[[#This Row],[Cell_ID]],'Registre_Maintenance'!B:B,'Registre_Maintenance'!F:F,"Pas de correspondance")</f>
        <v>Pas de correspondance</v>
      </c>
      <c r="L784" t="str">
        <f>_xlfn.XLOOKUP(Logs[[#This Row],[Cell_ID]],'Registre_Maintenance'!B:B,'Registre_Maintenance'!G:G,"Pas de correspondance")</f>
        <v>Pas de correspondance</v>
      </c>
      <c r="M784" s="1" t="s">
        <v>806</v>
      </c>
      <c r="N784" s="1" t="str">
        <f>_xlfn.XLOOKUP(Logs[[#This Row],[ID_Client]],Clients_Log!B:B,Clients_Log!E:E,"Pas de correspondance")</f>
        <v>Pas de correspondance</v>
      </c>
      <c r="O784" s="4" t="str">
        <f>IFERROR(Logs[[#This Row],[Anciennete_Mois]]/12,"")</f>
        <v/>
      </c>
      <c r="P784" s="1" t="str">
        <f>_xlfn.XLOOKUP(Logs[[#This Row],[ID_Client]],Clients_Log!B:B,Clients_Log!F:F,"Pas de correspondance")</f>
        <v>Pas de correspondance</v>
      </c>
      <c r="Q784" s="1" t="str">
        <f>IF(Logs[[#This Row],[Type_Forfait]]="Pro Monde","B2B","B2C")</f>
        <v>B2C</v>
      </c>
      <c r="R784" s="1" t="str">
        <f>_xlfn.XLOOKUP(Logs[[#This Row],[ID_Client]],Clients_Log!B:B,Clients_Log!G:G,"Pas de correspondance")</f>
        <v>Pas de correspondance</v>
      </c>
      <c r="S784" s="1" t="e">
        <f>Logs[[#This Row],[Duree_Cumulee_Panne_Min]]/1440</f>
        <v>#VALUE!</v>
      </c>
      <c r="T784" s="1" t="str">
        <f>_xlfn.XLOOKUP(Logs[[#This Row],[ID_Client]],Clients_Log!B:B,Clients_Log!H:H,"Pas de correspondance")</f>
        <v>Pas de correspondance</v>
      </c>
      <c r="U784" s="1" t="str">
        <f>_xlfn.XLOOKUP(Logs[[#This Row],[ID_Client]],Clients_Log!B:B,Clients_Log!I:I,"Pas de correspondance")</f>
        <v>Pas de correspondance</v>
      </c>
      <c r="V78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84" s="1" t="e">
        <f>Logs[[#This Row],[Facture_Mensuelle]]*Logs[[#This Row],[Remise (%)]]</f>
        <v>#VALUE!</v>
      </c>
    </row>
    <row r="785" spans="1:23" hidden="1" x14ac:dyDescent="0.25">
      <c r="A785" s="1" t="s">
        <v>1337</v>
      </c>
      <c r="B785" s="2">
        <v>45202</v>
      </c>
      <c r="C785" s="1" t="str">
        <f>_xlfn.XLOOKUP(Logs[[#This Row],[Province_RDC]],Clients_Log!D:D,Clients_Log!B:B,"Pas de correspondance")</f>
        <v>Pas de correspondance</v>
      </c>
      <c r="D785" t="str">
        <f>_xlfn.XLOOKUP(Logs[[#This Row],[Cell_ID]],'Registre_Maintenance'!B:B,'Registre_Maintenance'!C:C,"Pas de correspondance")</f>
        <v>Pas de correspondance</v>
      </c>
      <c r="E785" s="3">
        <v>0.72847222222222219</v>
      </c>
      <c r="F785" s="1" t="s">
        <v>1287</v>
      </c>
      <c r="G785" s="3">
        <f>Logs[[#This Row],[Duree_Panne_Min]]/1440</f>
        <v>1.2500000000000001E-2</v>
      </c>
      <c r="H785">
        <v>18</v>
      </c>
      <c r="I785" t="str">
        <f>_xlfn.XLOOKUP(Logs[[#This Row],[Cell_ID]],'Registre_Maintenance'!B:B,'Registre_Maintenance'!D:D,"Pas de correspondance")</f>
        <v>Pas de correspondance</v>
      </c>
      <c r="J785" t="str">
        <f>_xlfn.XLOOKUP(Logs[[#This Row],[Cell_ID]],'Registre_Maintenance'!B:B,'Registre_Maintenance'!E:E,"Pas de correspondance")</f>
        <v>Pas de correspondance</v>
      </c>
      <c r="K785" t="str">
        <f>_xlfn.XLOOKUP(Logs[[#This Row],[Cell_ID]],'Registre_Maintenance'!B:B,'Registre_Maintenance'!F:F,"Pas de correspondance")</f>
        <v>Pas de correspondance</v>
      </c>
      <c r="L785" t="str">
        <f>_xlfn.XLOOKUP(Logs[[#This Row],[Cell_ID]],'Registre_Maintenance'!B:B,'Registre_Maintenance'!G:G,"Pas de correspondance")</f>
        <v>Pas de correspondance</v>
      </c>
      <c r="M785" s="1" t="s">
        <v>806</v>
      </c>
      <c r="N785" s="1" t="str">
        <f>_xlfn.XLOOKUP(Logs[[#This Row],[ID_Client]],Clients_Log!B:B,Clients_Log!E:E,"Pas de correspondance")</f>
        <v>Pas de correspondance</v>
      </c>
      <c r="O785" s="4" t="str">
        <f>IFERROR(Logs[[#This Row],[Anciennete_Mois]]/12,"")</f>
        <v/>
      </c>
      <c r="P785" s="1" t="str">
        <f>_xlfn.XLOOKUP(Logs[[#This Row],[ID_Client]],Clients_Log!B:B,Clients_Log!F:F,"Pas de correspondance")</f>
        <v>Pas de correspondance</v>
      </c>
      <c r="Q785" s="1" t="str">
        <f>IF(Logs[[#This Row],[Type_Forfait]]="Pro Monde","B2B","B2C")</f>
        <v>B2C</v>
      </c>
      <c r="R785" s="1" t="str">
        <f>_xlfn.XLOOKUP(Logs[[#This Row],[ID_Client]],Clients_Log!B:B,Clients_Log!G:G,"Pas de correspondance")</f>
        <v>Pas de correspondance</v>
      </c>
      <c r="S785" s="1" t="e">
        <f>Logs[[#This Row],[Duree_Cumulee_Panne_Min]]/1440</f>
        <v>#VALUE!</v>
      </c>
      <c r="T785" s="1" t="str">
        <f>_xlfn.XLOOKUP(Logs[[#This Row],[ID_Client]],Clients_Log!B:B,Clients_Log!H:H,"Pas de correspondance")</f>
        <v>Pas de correspondance</v>
      </c>
      <c r="U785" s="1" t="str">
        <f>_xlfn.XLOOKUP(Logs[[#This Row],[ID_Client]],Clients_Log!B:B,Clients_Log!I:I,"Pas de correspondance")</f>
        <v>Pas de correspondance</v>
      </c>
      <c r="V78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85" s="1" t="e">
        <f>Logs[[#This Row],[Facture_Mensuelle]]*Logs[[#This Row],[Remise (%)]]</f>
        <v>#VALUE!</v>
      </c>
    </row>
    <row r="786" spans="1:23" x14ac:dyDescent="0.25">
      <c r="A786" s="1" t="s">
        <v>1337</v>
      </c>
      <c r="B786" s="2">
        <v>45200</v>
      </c>
      <c r="C786" s="1" t="str">
        <f>_xlfn.XLOOKUP(Logs[[#This Row],[Province_RDC]],Clients_Log!D:D,Clients_Log!B:B,"Pas de correspondance")</f>
        <v>CLI-00131</v>
      </c>
      <c r="D786" t="str">
        <f>_xlfn.XLOOKUP(Logs[[#This Row],[Cell_ID]],'Registre_Maintenance'!B:B,'Registre_Maintenance'!C:C,"Pas de correspondance")</f>
        <v>Lomami</v>
      </c>
      <c r="E786" s="3">
        <v>0.46666666666666667</v>
      </c>
      <c r="F786" s="1" t="s">
        <v>1363</v>
      </c>
      <c r="G786" s="3">
        <f>Logs[[#This Row],[Duree_Panne_Min]]/1440</f>
        <v>2.1527777777777778E-2</v>
      </c>
      <c r="H786">
        <v>31</v>
      </c>
      <c r="I786">
        <f>_xlfn.XLOOKUP(Logs[[#This Row],[Cell_ID]],'Registre_Maintenance'!B:B,'Registre_Maintenance'!D:D,"Pas de correspondance")</f>
        <v>-9.5619429999999994</v>
      </c>
      <c r="J786">
        <f>_xlfn.XLOOKUP(Logs[[#This Row],[Cell_ID]],'Registre_Maintenance'!B:B,'Registre_Maintenance'!E:E,"Pas de correspondance")</f>
        <v>21.445726000000001</v>
      </c>
      <c r="K786" t="str">
        <f>_xlfn.XLOOKUP(Logs[[#This Row],[Cell_ID]],'Registre_Maintenance'!B:B,'Registre_Maintenance'!F:F,"Pas de correspondance")</f>
        <v>4G</v>
      </c>
      <c r="L786" t="str">
        <f>_xlfn.XLOOKUP(Logs[[#This Row],[Cell_ID]],'Registre_Maintenance'!B:B,'Registre_Maintenance'!G:G,"Pas de correspondance")</f>
        <v>Nokia</v>
      </c>
      <c r="M786" s="1" t="s">
        <v>809</v>
      </c>
      <c r="N786" s="1">
        <f>_xlfn.XLOOKUP(Logs[[#This Row],[ID_Client]],Clients_Log!B:B,Clients_Log!E:E,"Pas de correspondance")</f>
        <v>101</v>
      </c>
      <c r="O786" s="4">
        <f>IFERROR(Logs[[#This Row],[Anciennete_Mois]]/12,"")</f>
        <v>8.4166666666666661</v>
      </c>
      <c r="P786" s="1" t="str">
        <f>_xlfn.XLOOKUP(Logs[[#This Row],[ID_Client]],Clients_Log!B:B,Clients_Log!F:F,"Pas de correspondance")</f>
        <v>Pro Monde</v>
      </c>
      <c r="Q786" s="1" t="str">
        <f>IF(Logs[[#This Row],[Type_Forfait]]="Pro Monde","B2B","B2C")</f>
        <v>B2B</v>
      </c>
      <c r="R786" s="1">
        <f>_xlfn.XLOOKUP(Logs[[#This Row],[ID_Client]],Clients_Log!B:B,Clients_Log!G:G,"Pas de correspondance")</f>
        <v>176</v>
      </c>
      <c r="S786" s="3">
        <f>Logs[[#This Row],[Duree_Cumulee_Panne_Min]]/1440</f>
        <v>0.12222222222222222</v>
      </c>
      <c r="T786" s="1">
        <f>_xlfn.XLOOKUP(Logs[[#This Row],[ID_Client]],Clients_Log!B:B,Clients_Log!H:H,"Pas de correspondance")</f>
        <v>86</v>
      </c>
      <c r="U786" s="1">
        <f>_xlfn.XLOOKUP(Logs[[#This Row],[ID_Client]],Clients_Log!B:B,Clients_Log!I:I,"Pas de correspondance")</f>
        <v>3</v>
      </c>
      <c r="V78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786" s="1">
        <f>Logs[[#This Row],[Facture_Mensuelle]]*Logs[[#This Row],[Remise (%)]]</f>
        <v>8.6</v>
      </c>
    </row>
    <row r="787" spans="1:23" hidden="1" x14ac:dyDescent="0.25">
      <c r="A787" s="1" t="s">
        <v>1337</v>
      </c>
      <c r="B787" s="2">
        <v>45225</v>
      </c>
      <c r="C787" s="1" t="str">
        <f>_xlfn.XLOOKUP(Logs[[#This Row],[Province_RDC]],Clients_Log!D:D,Clients_Log!B:B,"Pas de correspondance")</f>
        <v>Pas de correspondance</v>
      </c>
      <c r="D787" t="str">
        <f>_xlfn.XLOOKUP(Logs[[#This Row],[Cell_ID]],'Registre_Maintenance'!B:B,'Registre_Maintenance'!C:C,"Pas de correspondance")</f>
        <v>Pas de correspondance</v>
      </c>
      <c r="E787" s="3">
        <v>0.55347222222222225</v>
      </c>
      <c r="F787" s="1" t="s">
        <v>1345</v>
      </c>
      <c r="G787" s="3">
        <f>Logs[[#This Row],[Duree_Panne_Min]]/1440</f>
        <v>8.3333333333333329E-2</v>
      </c>
      <c r="H787">
        <v>120</v>
      </c>
      <c r="I787" t="str">
        <f>_xlfn.XLOOKUP(Logs[[#This Row],[Cell_ID]],'Registre_Maintenance'!B:B,'Registre_Maintenance'!D:D,"Pas de correspondance")</f>
        <v>Pas de correspondance</v>
      </c>
      <c r="J787" t="str">
        <f>_xlfn.XLOOKUP(Logs[[#This Row],[Cell_ID]],'Registre_Maintenance'!B:B,'Registre_Maintenance'!E:E,"Pas de correspondance")</f>
        <v>Pas de correspondance</v>
      </c>
      <c r="K787" t="str">
        <f>_xlfn.XLOOKUP(Logs[[#This Row],[Cell_ID]],'Registre_Maintenance'!B:B,'Registre_Maintenance'!F:F,"Pas de correspondance")</f>
        <v>Pas de correspondance</v>
      </c>
      <c r="L787" t="str">
        <f>_xlfn.XLOOKUP(Logs[[#This Row],[Cell_ID]],'Registre_Maintenance'!B:B,'Registre_Maintenance'!G:G,"Pas de correspondance")</f>
        <v>Pas de correspondance</v>
      </c>
      <c r="M787" s="1" t="s">
        <v>806</v>
      </c>
      <c r="N787" s="1" t="str">
        <f>_xlfn.XLOOKUP(Logs[[#This Row],[ID_Client]],Clients_Log!B:B,Clients_Log!E:E,"Pas de correspondance")</f>
        <v>Pas de correspondance</v>
      </c>
      <c r="O787" s="4" t="str">
        <f>IFERROR(Logs[[#This Row],[Anciennete_Mois]]/12,"")</f>
        <v/>
      </c>
      <c r="P787" s="1" t="str">
        <f>_xlfn.XLOOKUP(Logs[[#This Row],[ID_Client]],Clients_Log!B:B,Clients_Log!F:F,"Pas de correspondance")</f>
        <v>Pas de correspondance</v>
      </c>
      <c r="Q787" s="1" t="str">
        <f>IF(Logs[[#This Row],[Type_Forfait]]="Pro Monde","B2B","B2C")</f>
        <v>B2C</v>
      </c>
      <c r="R787" s="1" t="str">
        <f>_xlfn.XLOOKUP(Logs[[#This Row],[ID_Client]],Clients_Log!B:B,Clients_Log!G:G,"Pas de correspondance")</f>
        <v>Pas de correspondance</v>
      </c>
      <c r="S787" s="1" t="e">
        <f>Logs[[#This Row],[Duree_Cumulee_Panne_Min]]/1440</f>
        <v>#VALUE!</v>
      </c>
      <c r="T787" s="1" t="str">
        <f>_xlfn.XLOOKUP(Logs[[#This Row],[ID_Client]],Clients_Log!B:B,Clients_Log!H:H,"Pas de correspondance")</f>
        <v>Pas de correspondance</v>
      </c>
      <c r="U787" s="1" t="str">
        <f>_xlfn.XLOOKUP(Logs[[#This Row],[ID_Client]],Clients_Log!B:B,Clients_Log!I:I,"Pas de correspondance")</f>
        <v>Pas de correspondance</v>
      </c>
      <c r="V78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87" s="1" t="e">
        <f>Logs[[#This Row],[Facture_Mensuelle]]*Logs[[#This Row],[Remise (%)]]</f>
        <v>#VALUE!</v>
      </c>
    </row>
    <row r="788" spans="1:23" x14ac:dyDescent="0.25">
      <c r="A788" s="1" t="s">
        <v>1364</v>
      </c>
      <c r="B788" s="2">
        <v>45226</v>
      </c>
      <c r="C788" s="1" t="str">
        <f>_xlfn.XLOOKUP(Logs[[#This Row],[Province_RDC]],Clients_Log!D:D,Clients_Log!B:B,"Pas de correspondance")</f>
        <v>CLI-01170</v>
      </c>
      <c r="D788" t="str">
        <f>_xlfn.XLOOKUP(Logs[[#This Row],[Cell_ID]],'Registre_Maintenance'!B:B,'Registre_Maintenance'!C:C,"Pas de correspondance")</f>
        <v>Nord-Ubangi</v>
      </c>
      <c r="E788" s="3">
        <v>0.20902777777777778</v>
      </c>
      <c r="F788" s="1" t="s">
        <v>1277</v>
      </c>
      <c r="G788" s="3">
        <f>Logs[[#This Row],[Duree_Panne_Min]]/1440</f>
        <v>5.6250000000000001E-2</v>
      </c>
      <c r="H788">
        <v>81</v>
      </c>
      <c r="I788">
        <f>_xlfn.XLOOKUP(Logs[[#This Row],[Cell_ID]],'Registre_Maintenance'!B:B,'Registre_Maintenance'!D:D,"Pas de correspondance")</f>
        <v>-8.4985189999999999</v>
      </c>
      <c r="J788">
        <f>_xlfn.XLOOKUP(Logs[[#This Row],[Cell_ID]],'Registre_Maintenance'!B:B,'Registre_Maintenance'!E:E,"Pas de correspondance")</f>
        <v>12.929456999999999</v>
      </c>
      <c r="K788" t="str">
        <f>_xlfn.XLOOKUP(Logs[[#This Row],[Cell_ID]],'Registre_Maintenance'!B:B,'Registre_Maintenance'!F:F,"Pas de correspondance")</f>
        <v>4G</v>
      </c>
      <c r="L788" t="str">
        <f>_xlfn.XLOOKUP(Logs[[#This Row],[Cell_ID]],'Registre_Maintenance'!B:B,'Registre_Maintenance'!G:G,"Pas de correspondance")</f>
        <v>Ericsson</v>
      </c>
      <c r="M788" s="1" t="s">
        <v>811</v>
      </c>
      <c r="N788" s="1">
        <f>_xlfn.XLOOKUP(Logs[[#This Row],[ID_Client]],Clients_Log!B:B,Clients_Log!E:E,"Pas de correspondance")</f>
        <v>98</v>
      </c>
      <c r="O788" s="4">
        <f>IFERROR(Logs[[#This Row],[Anciennete_Mois]]/12,"")</f>
        <v>8.1666666666666661</v>
      </c>
      <c r="P788" s="1" t="str">
        <f>_xlfn.XLOOKUP(Logs[[#This Row],[ID_Client]],Clients_Log!B:B,Clients_Log!F:F,"Pas de correspondance")</f>
        <v>Pro Monde</v>
      </c>
      <c r="Q788" s="1" t="str">
        <f>IF(Logs[[#This Row],[Type_Forfait]]="Pro Monde","B2B","B2C")</f>
        <v>B2B</v>
      </c>
      <c r="R788" s="1">
        <f>_xlfn.XLOOKUP(Logs[[#This Row],[ID_Client]],Clients_Log!B:B,Clients_Log!G:G,"Pas de correspondance")</f>
        <v>482</v>
      </c>
      <c r="S788" s="3">
        <f>Logs[[#This Row],[Duree_Cumulee_Panne_Min]]/1440</f>
        <v>0.3347222222222222</v>
      </c>
      <c r="T788" s="1">
        <f>_xlfn.XLOOKUP(Logs[[#This Row],[ID_Client]],Clients_Log!B:B,Clients_Log!H:H,"Pas de correspondance")</f>
        <v>55.04</v>
      </c>
      <c r="U788" s="1">
        <f>_xlfn.XLOOKUP(Logs[[#This Row],[ID_Client]],Clients_Log!B:B,Clients_Log!I:I,"Pas de correspondance")</f>
        <v>5</v>
      </c>
      <c r="V78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88" s="1">
        <f>Logs[[#This Row],[Facture_Mensuelle]]*Logs[[#This Row],[Remise (%)]]</f>
        <v>24.768000000000001</v>
      </c>
    </row>
    <row r="789" spans="1:23" hidden="1" x14ac:dyDescent="0.25">
      <c r="A789" s="1" t="s">
        <v>1364</v>
      </c>
      <c r="B789" s="2">
        <v>45230</v>
      </c>
      <c r="C789" s="1" t="str">
        <f>_xlfn.XLOOKUP(Logs[[#This Row],[Province_RDC]],Clients_Log!D:D,Clients_Log!B:B,"Pas de correspondance")</f>
        <v>Pas de correspondance</v>
      </c>
      <c r="D789" t="str">
        <f>_xlfn.XLOOKUP(Logs[[#This Row],[Cell_ID]],'Registre_Maintenance'!B:B,'Registre_Maintenance'!C:C,"Pas de correspondance")</f>
        <v>Pas de correspondance</v>
      </c>
      <c r="E789" s="3">
        <v>0.53749999999999998</v>
      </c>
      <c r="F789" s="1" t="s">
        <v>1365</v>
      </c>
      <c r="G789" s="3">
        <f>Logs[[#This Row],[Duree_Panne_Min]]/1440</f>
        <v>2.2916666666666665E-2</v>
      </c>
      <c r="H789">
        <v>33</v>
      </c>
      <c r="I789" t="str">
        <f>_xlfn.XLOOKUP(Logs[[#This Row],[Cell_ID]],'Registre_Maintenance'!B:B,'Registre_Maintenance'!D:D,"Pas de correspondance")</f>
        <v>Pas de correspondance</v>
      </c>
      <c r="J789" t="str">
        <f>_xlfn.XLOOKUP(Logs[[#This Row],[Cell_ID]],'Registre_Maintenance'!B:B,'Registre_Maintenance'!E:E,"Pas de correspondance")</f>
        <v>Pas de correspondance</v>
      </c>
      <c r="K789" t="str">
        <f>_xlfn.XLOOKUP(Logs[[#This Row],[Cell_ID]],'Registre_Maintenance'!B:B,'Registre_Maintenance'!F:F,"Pas de correspondance")</f>
        <v>Pas de correspondance</v>
      </c>
      <c r="L789" t="str">
        <f>_xlfn.XLOOKUP(Logs[[#This Row],[Cell_ID]],'Registre_Maintenance'!B:B,'Registre_Maintenance'!G:G,"Pas de correspondance")</f>
        <v>Pas de correspondance</v>
      </c>
      <c r="M789" s="1" t="s">
        <v>809</v>
      </c>
      <c r="N789" s="1" t="str">
        <f>_xlfn.XLOOKUP(Logs[[#This Row],[ID_Client]],Clients_Log!B:B,Clients_Log!E:E,"Pas de correspondance")</f>
        <v>Pas de correspondance</v>
      </c>
      <c r="O789" s="4" t="str">
        <f>IFERROR(Logs[[#This Row],[Anciennete_Mois]]/12,"")</f>
        <v/>
      </c>
      <c r="P789" s="1" t="str">
        <f>_xlfn.XLOOKUP(Logs[[#This Row],[ID_Client]],Clients_Log!B:B,Clients_Log!F:F,"Pas de correspondance")</f>
        <v>Pas de correspondance</v>
      </c>
      <c r="Q789" s="1" t="str">
        <f>IF(Logs[[#This Row],[Type_Forfait]]="Pro Monde","B2B","B2C")</f>
        <v>B2C</v>
      </c>
      <c r="R789" s="1" t="str">
        <f>_xlfn.XLOOKUP(Logs[[#This Row],[ID_Client]],Clients_Log!B:B,Clients_Log!G:G,"Pas de correspondance")</f>
        <v>Pas de correspondance</v>
      </c>
      <c r="S789" s="1" t="e">
        <f>Logs[[#This Row],[Duree_Cumulee_Panne_Min]]/1440</f>
        <v>#VALUE!</v>
      </c>
      <c r="T789" s="1" t="str">
        <f>_xlfn.XLOOKUP(Logs[[#This Row],[ID_Client]],Clients_Log!B:B,Clients_Log!H:H,"Pas de correspondance")</f>
        <v>Pas de correspondance</v>
      </c>
      <c r="U789" s="1" t="str">
        <f>_xlfn.XLOOKUP(Logs[[#This Row],[ID_Client]],Clients_Log!B:B,Clients_Log!I:I,"Pas de correspondance")</f>
        <v>Pas de correspondance</v>
      </c>
      <c r="V78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89" s="1" t="e">
        <f>Logs[[#This Row],[Facture_Mensuelle]]*Logs[[#This Row],[Remise (%)]]</f>
        <v>#VALUE!</v>
      </c>
    </row>
    <row r="790" spans="1:23" x14ac:dyDescent="0.25">
      <c r="A790" s="1" t="s">
        <v>1364</v>
      </c>
      <c r="B790" s="2">
        <v>45214</v>
      </c>
      <c r="C790" s="1" t="str">
        <f>_xlfn.XLOOKUP(Logs[[#This Row],[Province_RDC]],Clients_Log!D:D,Clients_Log!B:B,"Pas de correspondance")</f>
        <v>CLI-00837</v>
      </c>
      <c r="D790" t="str">
        <f>_xlfn.XLOOKUP(Logs[[#This Row],[Cell_ID]],'Registre_Maintenance'!B:B,'Registre_Maintenance'!C:C,"Pas de correspondance")</f>
        <v>Nord-Kivu</v>
      </c>
      <c r="E790" s="3">
        <v>0.74097222222222225</v>
      </c>
      <c r="F790" s="1" t="s">
        <v>1051</v>
      </c>
      <c r="G790" s="3">
        <f>Logs[[#This Row],[Duree_Panne_Min]]/1440</f>
        <v>5.5555555555555558E-3</v>
      </c>
      <c r="H790">
        <v>8</v>
      </c>
      <c r="I790">
        <f>_xlfn.XLOOKUP(Logs[[#This Row],[Cell_ID]],'Registre_Maintenance'!B:B,'Registre_Maintenance'!D:D,"Pas de correspondance")</f>
        <v>-10.846306999999999</v>
      </c>
      <c r="J790">
        <f>_xlfn.XLOOKUP(Logs[[#This Row],[Cell_ID]],'Registre_Maintenance'!B:B,'Registre_Maintenance'!E:E,"Pas de correspondance")</f>
        <v>19.201827999999999</v>
      </c>
      <c r="K790" t="str">
        <f>_xlfn.XLOOKUP(Logs[[#This Row],[Cell_ID]],'Registre_Maintenance'!B:B,'Registre_Maintenance'!F:F,"Pas de correspondance")</f>
        <v>4G</v>
      </c>
      <c r="L790" t="str">
        <f>_xlfn.XLOOKUP(Logs[[#This Row],[Cell_ID]],'Registre_Maintenance'!B:B,'Registre_Maintenance'!G:G,"Pas de correspondance")</f>
        <v>Ericsson</v>
      </c>
      <c r="M790" s="1" t="s">
        <v>806</v>
      </c>
      <c r="N790" s="1">
        <f>_xlfn.XLOOKUP(Logs[[#This Row],[ID_Client]],Clients_Log!B:B,Clients_Log!E:E,"Pas de correspondance")</f>
        <v>16</v>
      </c>
      <c r="O790" s="4">
        <f>IFERROR(Logs[[#This Row],[Anciennete_Mois]]/12,"")</f>
        <v>1.3333333333333333</v>
      </c>
      <c r="P790" s="1" t="str">
        <f>_xlfn.XLOOKUP(Logs[[#This Row],[ID_Client]],Clients_Log!B:B,Clients_Log!F:F,"Pas de correspondance")</f>
        <v>Bloqué 5Go</v>
      </c>
      <c r="Q790" s="1" t="str">
        <f>IF(Logs[[#This Row],[Type_Forfait]]="Pro Monde","B2B","B2C")</f>
        <v>B2C</v>
      </c>
      <c r="R790" s="1">
        <f>_xlfn.XLOOKUP(Logs[[#This Row],[ID_Client]],Clients_Log!B:B,Clients_Log!G:G,"Pas de correspondance")</f>
        <v>390</v>
      </c>
      <c r="S790" s="3">
        <f>Logs[[#This Row],[Duree_Cumulee_Panne_Min]]/1440</f>
        <v>0.27083333333333331</v>
      </c>
      <c r="T790" s="1">
        <f>_xlfn.XLOOKUP(Logs[[#This Row],[ID_Client]],Clients_Log!B:B,Clients_Log!H:H,"Pas de correspondance")</f>
        <v>98.17</v>
      </c>
      <c r="U790" s="1">
        <f>_xlfn.XLOOKUP(Logs[[#This Row],[ID_Client]],Clients_Log!B:B,Clients_Log!I:I,"Pas de correspondance")</f>
        <v>5</v>
      </c>
      <c r="V79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90" s="1">
        <f>Logs[[#This Row],[Facture_Mensuelle]]*Logs[[#This Row],[Remise (%)]]</f>
        <v>44.176500000000004</v>
      </c>
    </row>
    <row r="791" spans="1:23" hidden="1" x14ac:dyDescent="0.25">
      <c r="A791" s="1" t="s">
        <v>1364</v>
      </c>
      <c r="B791" s="2">
        <v>45217</v>
      </c>
      <c r="C791" s="1" t="str">
        <f>_xlfn.XLOOKUP(Logs[[#This Row],[Province_RDC]],Clients_Log!D:D,Clients_Log!B:B,"Pas de correspondance")</f>
        <v>Pas de correspondance</v>
      </c>
      <c r="D791" t="str">
        <f>_xlfn.XLOOKUP(Logs[[#This Row],[Cell_ID]],'Registre_Maintenance'!B:B,'Registre_Maintenance'!C:C,"Pas de correspondance")</f>
        <v>Pas de correspondance</v>
      </c>
      <c r="E791" s="3">
        <v>0.29583333333333334</v>
      </c>
      <c r="F791" s="1" t="s">
        <v>1366</v>
      </c>
      <c r="G791" s="3">
        <f>Logs[[#This Row],[Duree_Panne_Min]]/1440</f>
        <v>8.2638888888888887E-2</v>
      </c>
      <c r="H791">
        <v>119</v>
      </c>
      <c r="I791" t="str">
        <f>_xlfn.XLOOKUP(Logs[[#This Row],[Cell_ID]],'Registre_Maintenance'!B:B,'Registre_Maintenance'!D:D,"Pas de correspondance")</f>
        <v>Pas de correspondance</v>
      </c>
      <c r="J791" t="str">
        <f>_xlfn.XLOOKUP(Logs[[#This Row],[Cell_ID]],'Registre_Maintenance'!B:B,'Registre_Maintenance'!E:E,"Pas de correspondance")</f>
        <v>Pas de correspondance</v>
      </c>
      <c r="K791" t="str">
        <f>_xlfn.XLOOKUP(Logs[[#This Row],[Cell_ID]],'Registre_Maintenance'!B:B,'Registre_Maintenance'!F:F,"Pas de correspondance")</f>
        <v>Pas de correspondance</v>
      </c>
      <c r="L791" t="str">
        <f>_xlfn.XLOOKUP(Logs[[#This Row],[Cell_ID]],'Registre_Maintenance'!B:B,'Registre_Maintenance'!G:G,"Pas de correspondance")</f>
        <v>Pas de correspondance</v>
      </c>
      <c r="M791" s="1" t="s">
        <v>806</v>
      </c>
      <c r="N791" s="1" t="str">
        <f>_xlfn.XLOOKUP(Logs[[#This Row],[ID_Client]],Clients_Log!B:B,Clients_Log!E:E,"Pas de correspondance")</f>
        <v>Pas de correspondance</v>
      </c>
      <c r="O791" s="4" t="str">
        <f>IFERROR(Logs[[#This Row],[Anciennete_Mois]]/12,"")</f>
        <v/>
      </c>
      <c r="P791" s="1" t="str">
        <f>_xlfn.XLOOKUP(Logs[[#This Row],[ID_Client]],Clients_Log!B:B,Clients_Log!F:F,"Pas de correspondance")</f>
        <v>Pas de correspondance</v>
      </c>
      <c r="Q791" s="1" t="str">
        <f>IF(Logs[[#This Row],[Type_Forfait]]="Pro Monde","B2B","B2C")</f>
        <v>B2C</v>
      </c>
      <c r="R791" s="1" t="str">
        <f>_xlfn.XLOOKUP(Logs[[#This Row],[ID_Client]],Clients_Log!B:B,Clients_Log!G:G,"Pas de correspondance")</f>
        <v>Pas de correspondance</v>
      </c>
      <c r="S791" s="1" t="e">
        <f>Logs[[#This Row],[Duree_Cumulee_Panne_Min]]/1440</f>
        <v>#VALUE!</v>
      </c>
      <c r="T791" s="1" t="str">
        <f>_xlfn.XLOOKUP(Logs[[#This Row],[ID_Client]],Clients_Log!B:B,Clients_Log!H:H,"Pas de correspondance")</f>
        <v>Pas de correspondance</v>
      </c>
      <c r="U791" s="1" t="str">
        <f>_xlfn.XLOOKUP(Logs[[#This Row],[ID_Client]],Clients_Log!B:B,Clients_Log!I:I,"Pas de correspondance")</f>
        <v>Pas de correspondance</v>
      </c>
      <c r="V79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91" s="1" t="e">
        <f>Logs[[#This Row],[Facture_Mensuelle]]*Logs[[#This Row],[Remise (%)]]</f>
        <v>#VALUE!</v>
      </c>
    </row>
    <row r="792" spans="1:23" x14ac:dyDescent="0.25">
      <c r="A792" s="1" t="s">
        <v>1364</v>
      </c>
      <c r="B792" s="2">
        <v>45214</v>
      </c>
      <c r="C792" s="1" t="str">
        <f>_xlfn.XLOOKUP(Logs[[#This Row],[Province_RDC]],Clients_Log!D:D,Clients_Log!B:B,"Pas de correspondance")</f>
        <v>CLI-00865</v>
      </c>
      <c r="D792" t="str">
        <f>_xlfn.XLOOKUP(Logs[[#This Row],[Cell_ID]],'Registre_Maintenance'!B:B,'Registre_Maintenance'!C:C,"Pas de correspondance")</f>
        <v>Mongala</v>
      </c>
      <c r="E792" s="3">
        <v>0.16041666666666668</v>
      </c>
      <c r="F792" s="1" t="s">
        <v>1249</v>
      </c>
      <c r="G792" s="3">
        <f>Logs[[#This Row],[Duree_Panne_Min]]/1440</f>
        <v>7.4999999999999997E-2</v>
      </c>
      <c r="H792">
        <v>108</v>
      </c>
      <c r="I792">
        <f>_xlfn.XLOOKUP(Logs[[#This Row],[Cell_ID]],'Registre_Maintenance'!B:B,'Registre_Maintenance'!D:D,"Pas de correspondance")</f>
        <v>-11.407966</v>
      </c>
      <c r="J792">
        <f>_xlfn.XLOOKUP(Logs[[#This Row],[Cell_ID]],'Registre_Maintenance'!B:B,'Registre_Maintenance'!E:E,"Pas de correspondance")</f>
        <v>28.378274000000001</v>
      </c>
      <c r="K792" t="str">
        <f>_xlfn.XLOOKUP(Logs[[#This Row],[Cell_ID]],'Registre_Maintenance'!B:B,'Registre_Maintenance'!F:F,"Pas de correspondance")</f>
        <v>4G</v>
      </c>
      <c r="L792" t="str">
        <f>_xlfn.XLOOKUP(Logs[[#This Row],[Cell_ID]],'Registre_Maintenance'!B:B,'Registre_Maintenance'!G:G,"Pas de correspondance")</f>
        <v>ZTE</v>
      </c>
      <c r="M792" s="1" t="s">
        <v>811</v>
      </c>
      <c r="N792" s="1">
        <f>_xlfn.XLOOKUP(Logs[[#This Row],[ID_Client]],Clients_Log!B:B,Clients_Log!E:E,"Pas de correspondance")</f>
        <v>34</v>
      </c>
      <c r="O792" s="4">
        <f>IFERROR(Logs[[#This Row],[Anciennete_Mois]]/12,"")</f>
        <v>2.8333333333333335</v>
      </c>
      <c r="P792" s="1" t="str">
        <f>_xlfn.XLOOKUP(Logs[[#This Row],[ID_Client]],Clients_Log!B:B,Clients_Log!F:F,"Pas de correspondance")</f>
        <v>Pro Monde</v>
      </c>
      <c r="Q792" s="1" t="str">
        <f>IF(Logs[[#This Row],[Type_Forfait]]="Pro Monde","B2B","B2C")</f>
        <v>B2B</v>
      </c>
      <c r="R792" s="1">
        <f>_xlfn.XLOOKUP(Logs[[#This Row],[ID_Client]],Clients_Log!B:B,Clients_Log!G:G,"Pas de correspondance")</f>
        <v>453</v>
      </c>
      <c r="S792" s="3">
        <f>Logs[[#This Row],[Duree_Cumulee_Panne_Min]]/1440</f>
        <v>0.31458333333333333</v>
      </c>
      <c r="T792" s="1">
        <f>_xlfn.XLOOKUP(Logs[[#This Row],[ID_Client]],Clients_Log!B:B,Clients_Log!H:H,"Pas de correspondance")</f>
        <v>56.84</v>
      </c>
      <c r="U792" s="1">
        <f>_xlfn.XLOOKUP(Logs[[#This Row],[ID_Client]],Clients_Log!B:B,Clients_Log!I:I,"Pas de correspondance")</f>
        <v>0</v>
      </c>
      <c r="V79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92" s="1">
        <f>Logs[[#This Row],[Facture_Mensuelle]]*Logs[[#This Row],[Remise (%)]]</f>
        <v>25.578000000000003</v>
      </c>
    </row>
    <row r="793" spans="1:23" x14ac:dyDescent="0.25">
      <c r="A793" s="1" t="s">
        <v>1364</v>
      </c>
      <c r="B793" s="2">
        <v>45225</v>
      </c>
      <c r="C793" s="1" t="str">
        <f>_xlfn.XLOOKUP(Logs[[#This Row],[Province_RDC]],Clients_Log!D:D,Clients_Log!B:B,"Pas de correspondance")</f>
        <v>CLI-01233</v>
      </c>
      <c r="D793" t="str">
        <f>_xlfn.XLOOKUP(Logs[[#This Row],[Cell_ID]],'Registre_Maintenance'!B:B,'Registre_Maintenance'!C:C,"Pas de correspondance")</f>
        <v>Kongo-Central</v>
      </c>
      <c r="E793" s="3">
        <v>0.17152777777777778</v>
      </c>
      <c r="F793" s="1" t="s">
        <v>1367</v>
      </c>
      <c r="G793" s="3">
        <f>Logs[[#This Row],[Duree_Panne_Min]]/1440</f>
        <v>7.2222222222222215E-2</v>
      </c>
      <c r="H793">
        <v>104</v>
      </c>
      <c r="I793">
        <f>_xlfn.XLOOKUP(Logs[[#This Row],[Cell_ID]],'Registre_Maintenance'!B:B,'Registre_Maintenance'!D:D,"Pas de correspondance")</f>
        <v>1.2463919999999999</v>
      </c>
      <c r="J793">
        <f>_xlfn.XLOOKUP(Logs[[#This Row],[Cell_ID]],'Registre_Maintenance'!B:B,'Registre_Maintenance'!E:E,"Pas de correspondance")</f>
        <v>13.266916999999999</v>
      </c>
      <c r="K793" t="str">
        <f>_xlfn.XLOOKUP(Logs[[#This Row],[Cell_ID]],'Registre_Maintenance'!B:B,'Registre_Maintenance'!F:F,"Pas de correspondance")</f>
        <v>5G</v>
      </c>
      <c r="L793" t="str">
        <f>_xlfn.XLOOKUP(Logs[[#This Row],[Cell_ID]],'Registre_Maintenance'!B:B,'Registre_Maintenance'!G:G,"Pas de correspondance")</f>
        <v>Huawei</v>
      </c>
      <c r="M793" s="1" t="s">
        <v>809</v>
      </c>
      <c r="N793" s="1">
        <f>_xlfn.XLOOKUP(Logs[[#This Row],[ID_Client]],Clients_Log!B:B,Clients_Log!E:E,"Pas de correspondance")</f>
        <v>101</v>
      </c>
      <c r="O793" s="4">
        <f>IFERROR(Logs[[#This Row],[Anciennete_Mois]]/12,"")</f>
        <v>8.4166666666666661</v>
      </c>
      <c r="P793" s="1" t="str">
        <f>_xlfn.XLOOKUP(Logs[[#This Row],[ID_Client]],Clients_Log!B:B,Clients_Log!F:F,"Pas de correspondance")</f>
        <v>Pro Monde</v>
      </c>
      <c r="Q793" s="1" t="str">
        <f>IF(Logs[[#This Row],[Type_Forfait]]="Pro Monde","B2B","B2C")</f>
        <v>B2B</v>
      </c>
      <c r="R793" s="1">
        <f>_xlfn.XLOOKUP(Logs[[#This Row],[ID_Client]],Clients_Log!B:B,Clients_Log!G:G,"Pas de correspondance")</f>
        <v>333</v>
      </c>
      <c r="S793" s="3">
        <f>Logs[[#This Row],[Duree_Cumulee_Panne_Min]]/1440</f>
        <v>0.23125000000000001</v>
      </c>
      <c r="T793" s="1">
        <f>_xlfn.XLOOKUP(Logs[[#This Row],[ID_Client]],Clients_Log!B:B,Clients_Log!H:H,"Pas de correspondance")</f>
        <v>74.319999999999993</v>
      </c>
      <c r="U793" s="1">
        <f>_xlfn.XLOOKUP(Logs[[#This Row],[ID_Client]],Clients_Log!B:B,Clients_Log!I:I,"Pas de correspondance")</f>
        <v>1</v>
      </c>
      <c r="V79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93" s="1">
        <f>Logs[[#This Row],[Facture_Mensuelle]]*Logs[[#This Row],[Remise (%)]]</f>
        <v>33.443999999999996</v>
      </c>
    </row>
    <row r="794" spans="1:23" x14ac:dyDescent="0.25">
      <c r="A794" s="1" t="s">
        <v>1364</v>
      </c>
      <c r="B794" s="2">
        <v>45200</v>
      </c>
      <c r="C794" s="1" t="str">
        <f>_xlfn.XLOOKUP(Logs[[#This Row],[Province_RDC]],Clients_Log!D:D,Clients_Log!B:B,"Pas de correspondance")</f>
        <v>CLI-00559</v>
      </c>
      <c r="D794" t="str">
        <f>_xlfn.XLOOKUP(Logs[[#This Row],[Cell_ID]],'Registre_Maintenance'!B:B,'Registre_Maintenance'!C:C,"Pas de correspondance")</f>
        <v>Kasaï</v>
      </c>
      <c r="E794" s="3">
        <v>7.8472222222222221E-2</v>
      </c>
      <c r="F794" s="1" t="s">
        <v>1044</v>
      </c>
      <c r="G794" s="3">
        <f>Logs[[#This Row],[Duree_Panne_Min]]/1440</f>
        <v>2.7777777777777776E-2</v>
      </c>
      <c r="H794">
        <v>40</v>
      </c>
      <c r="I794">
        <f>_xlfn.XLOOKUP(Logs[[#This Row],[Cell_ID]],'Registre_Maintenance'!B:B,'Registre_Maintenance'!D:D,"Pas de correspondance")</f>
        <v>-10.165072</v>
      </c>
      <c r="J794">
        <f>_xlfn.XLOOKUP(Logs[[#This Row],[Cell_ID]],'Registre_Maintenance'!B:B,'Registre_Maintenance'!E:E,"Pas de correspondance")</f>
        <v>29.428024000000001</v>
      </c>
      <c r="K794" t="str">
        <f>_xlfn.XLOOKUP(Logs[[#This Row],[Cell_ID]],'Registre_Maintenance'!B:B,'Registre_Maintenance'!F:F,"Pas de correspondance")</f>
        <v>5G</v>
      </c>
      <c r="L794" t="str">
        <f>_xlfn.XLOOKUP(Logs[[#This Row],[Cell_ID]],'Registre_Maintenance'!B:B,'Registre_Maintenance'!G:G,"Pas de correspondance")</f>
        <v>Huawei</v>
      </c>
      <c r="M794" s="1" t="s">
        <v>806</v>
      </c>
      <c r="N794" s="1">
        <f>_xlfn.XLOOKUP(Logs[[#This Row],[ID_Client]],Clients_Log!B:B,Clients_Log!E:E,"Pas de correspondance")</f>
        <v>99</v>
      </c>
      <c r="O794" s="4">
        <f>IFERROR(Logs[[#This Row],[Anciennete_Mois]]/12,"")</f>
        <v>8.25</v>
      </c>
      <c r="P794" s="1" t="str">
        <f>_xlfn.XLOOKUP(Logs[[#This Row],[ID_Client]],Clients_Log!B:B,Clients_Log!F:F,"Pas de correspondance")</f>
        <v>Bloqué 5Go</v>
      </c>
      <c r="Q794" s="1" t="str">
        <f>IF(Logs[[#This Row],[Type_Forfait]]="Pro Monde","B2B","B2C")</f>
        <v>B2C</v>
      </c>
      <c r="R794" s="1">
        <f>_xlfn.XLOOKUP(Logs[[#This Row],[ID_Client]],Clients_Log!B:B,Clients_Log!G:G,"Pas de correspondance")</f>
        <v>369</v>
      </c>
      <c r="S794" s="3">
        <f>Logs[[#This Row],[Duree_Cumulee_Panne_Min]]/1440</f>
        <v>0.25624999999999998</v>
      </c>
      <c r="T794" s="1">
        <f>_xlfn.XLOOKUP(Logs[[#This Row],[ID_Client]],Clients_Log!B:B,Clients_Log!H:H,"Pas de correspondance")</f>
        <v>67.209999999999994</v>
      </c>
      <c r="U794" s="1">
        <f>_xlfn.XLOOKUP(Logs[[#This Row],[ID_Client]],Clients_Log!B:B,Clients_Log!I:I,"Pas de correspondance")</f>
        <v>3</v>
      </c>
      <c r="V79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794" s="1">
        <f>Logs[[#This Row],[Facture_Mensuelle]]*Logs[[#This Row],[Remise (%)]]</f>
        <v>30.244499999999999</v>
      </c>
    </row>
    <row r="795" spans="1:23" hidden="1" x14ac:dyDescent="0.25">
      <c r="A795" s="1" t="s">
        <v>1364</v>
      </c>
      <c r="B795" s="2">
        <v>45224</v>
      </c>
      <c r="C795" s="1" t="str">
        <f>_xlfn.XLOOKUP(Logs[[#This Row],[Province_RDC]],Clients_Log!D:D,Clients_Log!B:B,"Pas de correspondance")</f>
        <v>Pas de correspondance</v>
      </c>
      <c r="D795" t="str">
        <f>_xlfn.XLOOKUP(Logs[[#This Row],[Cell_ID]],'Registre_Maintenance'!B:B,'Registre_Maintenance'!C:C,"Pas de correspondance")</f>
        <v>Pas de correspondance</v>
      </c>
      <c r="E795" s="3">
        <v>0.29722222222222222</v>
      </c>
      <c r="F795" s="1" t="s">
        <v>1368</v>
      </c>
      <c r="G795" s="3">
        <f>Logs[[#This Row],[Duree_Panne_Min]]/1440</f>
        <v>8.3333333333333332E-3</v>
      </c>
      <c r="H795">
        <v>12</v>
      </c>
      <c r="I795" t="str">
        <f>_xlfn.XLOOKUP(Logs[[#This Row],[Cell_ID]],'Registre_Maintenance'!B:B,'Registre_Maintenance'!D:D,"Pas de correspondance")</f>
        <v>Pas de correspondance</v>
      </c>
      <c r="J795" t="str">
        <f>_xlfn.XLOOKUP(Logs[[#This Row],[Cell_ID]],'Registre_Maintenance'!B:B,'Registre_Maintenance'!E:E,"Pas de correspondance")</f>
        <v>Pas de correspondance</v>
      </c>
      <c r="K795" t="str">
        <f>_xlfn.XLOOKUP(Logs[[#This Row],[Cell_ID]],'Registre_Maintenance'!B:B,'Registre_Maintenance'!F:F,"Pas de correspondance")</f>
        <v>Pas de correspondance</v>
      </c>
      <c r="L795" t="str">
        <f>_xlfn.XLOOKUP(Logs[[#This Row],[Cell_ID]],'Registre_Maintenance'!B:B,'Registre_Maintenance'!G:G,"Pas de correspondance")</f>
        <v>Pas de correspondance</v>
      </c>
      <c r="M795" s="1" t="s">
        <v>811</v>
      </c>
      <c r="N795" s="1" t="str">
        <f>_xlfn.XLOOKUP(Logs[[#This Row],[ID_Client]],Clients_Log!B:B,Clients_Log!E:E,"Pas de correspondance")</f>
        <v>Pas de correspondance</v>
      </c>
      <c r="O795" s="4" t="str">
        <f>IFERROR(Logs[[#This Row],[Anciennete_Mois]]/12,"")</f>
        <v/>
      </c>
      <c r="P795" s="1" t="str">
        <f>_xlfn.XLOOKUP(Logs[[#This Row],[ID_Client]],Clients_Log!B:B,Clients_Log!F:F,"Pas de correspondance")</f>
        <v>Pas de correspondance</v>
      </c>
      <c r="Q795" s="1" t="str">
        <f>IF(Logs[[#This Row],[Type_Forfait]]="Pro Monde","B2B","B2C")</f>
        <v>B2C</v>
      </c>
      <c r="R795" s="1" t="str">
        <f>_xlfn.XLOOKUP(Logs[[#This Row],[ID_Client]],Clients_Log!B:B,Clients_Log!G:G,"Pas de correspondance")</f>
        <v>Pas de correspondance</v>
      </c>
      <c r="S795" s="1" t="e">
        <f>Logs[[#This Row],[Duree_Cumulee_Panne_Min]]/1440</f>
        <v>#VALUE!</v>
      </c>
      <c r="T795" s="1" t="str">
        <f>_xlfn.XLOOKUP(Logs[[#This Row],[ID_Client]],Clients_Log!B:B,Clients_Log!H:H,"Pas de correspondance")</f>
        <v>Pas de correspondance</v>
      </c>
      <c r="U795" s="1" t="str">
        <f>_xlfn.XLOOKUP(Logs[[#This Row],[ID_Client]],Clients_Log!B:B,Clients_Log!I:I,"Pas de correspondance")</f>
        <v>Pas de correspondance</v>
      </c>
      <c r="V79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95" s="1" t="e">
        <f>Logs[[#This Row],[Facture_Mensuelle]]*Logs[[#This Row],[Remise (%)]]</f>
        <v>#VALUE!</v>
      </c>
    </row>
    <row r="796" spans="1:23" hidden="1" x14ac:dyDescent="0.25">
      <c r="A796" s="1" t="s">
        <v>1364</v>
      </c>
      <c r="B796" s="2">
        <v>45206</v>
      </c>
      <c r="C796" s="1" t="str">
        <f>_xlfn.XLOOKUP(Logs[[#This Row],[Province_RDC]],Clients_Log!D:D,Clients_Log!B:B,"Pas de correspondance")</f>
        <v>Pas de correspondance</v>
      </c>
      <c r="D796" t="str">
        <f>_xlfn.XLOOKUP(Logs[[#This Row],[Cell_ID]],'Registre_Maintenance'!B:B,'Registre_Maintenance'!C:C,"Pas de correspondance")</f>
        <v>Pas de correspondance</v>
      </c>
      <c r="E796" s="3">
        <v>0.51597222222222228</v>
      </c>
      <c r="F796" s="1" t="s">
        <v>1369</v>
      </c>
      <c r="G796" s="3">
        <f>Logs[[#This Row],[Duree_Panne_Min]]/1440</f>
        <v>7.4999999999999997E-2</v>
      </c>
      <c r="H796">
        <v>108</v>
      </c>
      <c r="I796" t="str">
        <f>_xlfn.XLOOKUP(Logs[[#This Row],[Cell_ID]],'Registre_Maintenance'!B:B,'Registre_Maintenance'!D:D,"Pas de correspondance")</f>
        <v>Pas de correspondance</v>
      </c>
      <c r="J796" t="str">
        <f>_xlfn.XLOOKUP(Logs[[#This Row],[Cell_ID]],'Registre_Maintenance'!B:B,'Registre_Maintenance'!E:E,"Pas de correspondance")</f>
        <v>Pas de correspondance</v>
      </c>
      <c r="K796" t="str">
        <f>_xlfn.XLOOKUP(Logs[[#This Row],[Cell_ID]],'Registre_Maintenance'!B:B,'Registre_Maintenance'!F:F,"Pas de correspondance")</f>
        <v>Pas de correspondance</v>
      </c>
      <c r="L796" t="str">
        <f>_xlfn.XLOOKUP(Logs[[#This Row],[Cell_ID]],'Registre_Maintenance'!B:B,'Registre_Maintenance'!G:G,"Pas de correspondance")</f>
        <v>Pas de correspondance</v>
      </c>
      <c r="M796" s="1" t="s">
        <v>806</v>
      </c>
      <c r="N796" s="1" t="str">
        <f>_xlfn.XLOOKUP(Logs[[#This Row],[ID_Client]],Clients_Log!B:B,Clients_Log!E:E,"Pas de correspondance")</f>
        <v>Pas de correspondance</v>
      </c>
      <c r="O796" s="4" t="str">
        <f>IFERROR(Logs[[#This Row],[Anciennete_Mois]]/12,"")</f>
        <v/>
      </c>
      <c r="P796" s="1" t="str">
        <f>_xlfn.XLOOKUP(Logs[[#This Row],[ID_Client]],Clients_Log!B:B,Clients_Log!F:F,"Pas de correspondance")</f>
        <v>Pas de correspondance</v>
      </c>
      <c r="Q796" s="1" t="str">
        <f>IF(Logs[[#This Row],[Type_Forfait]]="Pro Monde","B2B","B2C")</f>
        <v>B2C</v>
      </c>
      <c r="R796" s="1" t="str">
        <f>_xlfn.XLOOKUP(Logs[[#This Row],[ID_Client]],Clients_Log!B:B,Clients_Log!G:G,"Pas de correspondance")</f>
        <v>Pas de correspondance</v>
      </c>
      <c r="S796" s="1" t="e">
        <f>Logs[[#This Row],[Duree_Cumulee_Panne_Min]]/1440</f>
        <v>#VALUE!</v>
      </c>
      <c r="T796" s="1" t="str">
        <f>_xlfn.XLOOKUP(Logs[[#This Row],[ID_Client]],Clients_Log!B:B,Clients_Log!H:H,"Pas de correspondance")</f>
        <v>Pas de correspondance</v>
      </c>
      <c r="U796" s="1" t="str">
        <f>_xlfn.XLOOKUP(Logs[[#This Row],[ID_Client]],Clients_Log!B:B,Clients_Log!I:I,"Pas de correspondance")</f>
        <v>Pas de correspondance</v>
      </c>
      <c r="V79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96" s="1" t="e">
        <f>Logs[[#This Row],[Facture_Mensuelle]]*Logs[[#This Row],[Remise (%)]]</f>
        <v>#VALUE!</v>
      </c>
    </row>
    <row r="797" spans="1:23" x14ac:dyDescent="0.25">
      <c r="A797" s="1" t="s">
        <v>1364</v>
      </c>
      <c r="B797" s="2">
        <v>45221</v>
      </c>
      <c r="C797" s="1" t="str">
        <f>_xlfn.XLOOKUP(Logs[[#This Row],[Province_RDC]],Clients_Log!D:D,Clients_Log!B:B,"Pas de correspondance")</f>
        <v>CLI-01618</v>
      </c>
      <c r="D797" t="str">
        <f>_xlfn.XLOOKUP(Logs[[#This Row],[Cell_ID]],'Registre_Maintenance'!B:B,'Registre_Maintenance'!C:C,"Pas de correspondance")</f>
        <v>Tanganyika</v>
      </c>
      <c r="E797" s="3">
        <v>0.8618055555555556</v>
      </c>
      <c r="F797" s="1" t="s">
        <v>1370</v>
      </c>
      <c r="G797" s="3">
        <f>Logs[[#This Row],[Duree_Panne_Min]]/1440</f>
        <v>4.5138888888888888E-2</v>
      </c>
      <c r="H797">
        <v>65</v>
      </c>
      <c r="I797">
        <f>_xlfn.XLOOKUP(Logs[[#This Row],[Cell_ID]],'Registre_Maintenance'!B:B,'Registre_Maintenance'!D:D,"Pas de correspondance")</f>
        <v>-3.9148719999999999</v>
      </c>
      <c r="J797">
        <f>_xlfn.XLOOKUP(Logs[[#This Row],[Cell_ID]],'Registre_Maintenance'!B:B,'Registre_Maintenance'!E:E,"Pas de correspondance")</f>
        <v>12.260933</v>
      </c>
      <c r="K797" t="str">
        <f>_xlfn.XLOOKUP(Logs[[#This Row],[Cell_ID]],'Registre_Maintenance'!B:B,'Registre_Maintenance'!F:F,"Pas de correspondance")</f>
        <v>4G</v>
      </c>
      <c r="L797" t="str">
        <f>_xlfn.XLOOKUP(Logs[[#This Row],[Cell_ID]],'Registre_Maintenance'!B:B,'Registre_Maintenance'!G:G,"Pas de correspondance")</f>
        <v>Ericsson</v>
      </c>
      <c r="M797" s="1" t="s">
        <v>806</v>
      </c>
      <c r="N797" s="1">
        <f>_xlfn.XLOOKUP(Logs[[#This Row],[ID_Client]],Clients_Log!B:B,Clients_Log!E:E,"Pas de correspondance")</f>
        <v>115</v>
      </c>
      <c r="O797" s="4">
        <f>IFERROR(Logs[[#This Row],[Anciennete_Mois]]/12,"")</f>
        <v>9.5833333333333339</v>
      </c>
      <c r="P797" s="1" t="str">
        <f>_xlfn.XLOOKUP(Logs[[#This Row],[ID_Client]],Clients_Log!B:B,Clients_Log!F:F,"Pas de correspondance")</f>
        <v>Bloqué 5Go</v>
      </c>
      <c r="Q797" s="1" t="str">
        <f>IF(Logs[[#This Row],[Type_Forfait]]="Pro Monde","B2B","B2C")</f>
        <v>B2C</v>
      </c>
      <c r="R797" s="1">
        <f>_xlfn.XLOOKUP(Logs[[#This Row],[ID_Client]],Clients_Log!B:B,Clients_Log!G:G,"Pas de correspondance")</f>
        <v>176</v>
      </c>
      <c r="S797" s="3">
        <f>Logs[[#This Row],[Duree_Cumulee_Panne_Min]]/1440</f>
        <v>0.12222222222222222</v>
      </c>
      <c r="T797" s="1">
        <f>_xlfn.XLOOKUP(Logs[[#This Row],[ID_Client]],Clients_Log!B:B,Clients_Log!H:H,"Pas de correspondance")</f>
        <v>33.28</v>
      </c>
      <c r="U797" s="1">
        <f>_xlfn.XLOOKUP(Logs[[#This Row],[ID_Client]],Clients_Log!B:B,Clients_Log!I:I,"Pas de correspondance")</f>
        <v>4</v>
      </c>
      <c r="V79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797" s="1">
        <f>Logs[[#This Row],[Facture_Mensuelle]]*Logs[[#This Row],[Remise (%)]]</f>
        <v>0</v>
      </c>
    </row>
    <row r="798" spans="1:23" hidden="1" x14ac:dyDescent="0.25">
      <c r="A798" s="1" t="s">
        <v>1364</v>
      </c>
      <c r="B798" s="2">
        <v>45202</v>
      </c>
      <c r="C798" s="1" t="str">
        <f>_xlfn.XLOOKUP(Logs[[#This Row],[Province_RDC]],Clients_Log!D:D,Clients_Log!B:B,"Pas de correspondance")</f>
        <v>Pas de correspondance</v>
      </c>
      <c r="D798" t="str">
        <f>_xlfn.XLOOKUP(Logs[[#This Row],[Cell_ID]],'Registre_Maintenance'!B:B,'Registre_Maintenance'!C:C,"Pas de correspondance")</f>
        <v>Pas de correspondance</v>
      </c>
      <c r="E798" s="3">
        <v>0.77569444444444446</v>
      </c>
      <c r="F798" s="1" t="s">
        <v>1348</v>
      </c>
      <c r="G798" s="3">
        <f>Logs[[#This Row],[Duree_Panne_Min]]/1440</f>
        <v>0.05</v>
      </c>
      <c r="H798">
        <v>72</v>
      </c>
      <c r="I798" t="str">
        <f>_xlfn.XLOOKUP(Logs[[#This Row],[Cell_ID]],'Registre_Maintenance'!B:B,'Registre_Maintenance'!D:D,"Pas de correspondance")</f>
        <v>Pas de correspondance</v>
      </c>
      <c r="J798" t="str">
        <f>_xlfn.XLOOKUP(Logs[[#This Row],[Cell_ID]],'Registre_Maintenance'!B:B,'Registre_Maintenance'!E:E,"Pas de correspondance")</f>
        <v>Pas de correspondance</v>
      </c>
      <c r="K798" t="str">
        <f>_xlfn.XLOOKUP(Logs[[#This Row],[Cell_ID]],'Registre_Maintenance'!B:B,'Registre_Maintenance'!F:F,"Pas de correspondance")</f>
        <v>Pas de correspondance</v>
      </c>
      <c r="L798" t="str">
        <f>_xlfn.XLOOKUP(Logs[[#This Row],[Cell_ID]],'Registre_Maintenance'!B:B,'Registre_Maintenance'!G:G,"Pas de correspondance")</f>
        <v>Pas de correspondance</v>
      </c>
      <c r="M798" s="1" t="s">
        <v>806</v>
      </c>
      <c r="N798" s="1" t="str">
        <f>_xlfn.XLOOKUP(Logs[[#This Row],[ID_Client]],Clients_Log!B:B,Clients_Log!E:E,"Pas de correspondance")</f>
        <v>Pas de correspondance</v>
      </c>
      <c r="O798" s="4" t="str">
        <f>IFERROR(Logs[[#This Row],[Anciennete_Mois]]/12,"")</f>
        <v/>
      </c>
      <c r="P798" s="1" t="str">
        <f>_xlfn.XLOOKUP(Logs[[#This Row],[ID_Client]],Clients_Log!B:B,Clients_Log!F:F,"Pas de correspondance")</f>
        <v>Pas de correspondance</v>
      </c>
      <c r="Q798" s="1" t="str">
        <f>IF(Logs[[#This Row],[Type_Forfait]]="Pro Monde","B2B","B2C")</f>
        <v>B2C</v>
      </c>
      <c r="R798" s="1" t="str">
        <f>_xlfn.XLOOKUP(Logs[[#This Row],[ID_Client]],Clients_Log!B:B,Clients_Log!G:G,"Pas de correspondance")</f>
        <v>Pas de correspondance</v>
      </c>
      <c r="S798" s="1" t="e">
        <f>Logs[[#This Row],[Duree_Cumulee_Panne_Min]]/1440</f>
        <v>#VALUE!</v>
      </c>
      <c r="T798" s="1" t="str">
        <f>_xlfn.XLOOKUP(Logs[[#This Row],[ID_Client]],Clients_Log!B:B,Clients_Log!H:H,"Pas de correspondance")</f>
        <v>Pas de correspondance</v>
      </c>
      <c r="U798" s="1" t="str">
        <f>_xlfn.XLOOKUP(Logs[[#This Row],[ID_Client]],Clients_Log!B:B,Clients_Log!I:I,"Pas de correspondance")</f>
        <v>Pas de correspondance</v>
      </c>
      <c r="V79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98" s="1" t="e">
        <f>Logs[[#This Row],[Facture_Mensuelle]]*Logs[[#This Row],[Remise (%)]]</f>
        <v>#VALUE!</v>
      </c>
    </row>
    <row r="799" spans="1:23" hidden="1" x14ac:dyDescent="0.25">
      <c r="A799" s="1" t="s">
        <v>1364</v>
      </c>
      <c r="B799" s="2">
        <v>45208</v>
      </c>
      <c r="C799" s="1" t="str">
        <f>_xlfn.XLOOKUP(Logs[[#This Row],[Province_RDC]],Clients_Log!D:D,Clients_Log!B:B,"Pas de correspondance")</f>
        <v>Pas de correspondance</v>
      </c>
      <c r="D799" t="str">
        <f>_xlfn.XLOOKUP(Logs[[#This Row],[Cell_ID]],'Registre_Maintenance'!B:B,'Registre_Maintenance'!C:C,"Pas de correspondance")</f>
        <v>Pas de correspondance</v>
      </c>
      <c r="E799" s="3">
        <v>8.4027777777777785E-2</v>
      </c>
      <c r="F799" s="1" t="s">
        <v>1371</v>
      </c>
      <c r="G799" s="3">
        <f>Logs[[#This Row],[Duree_Panne_Min]]/1440</f>
        <v>3.4722222222222224E-2</v>
      </c>
      <c r="H799">
        <v>50</v>
      </c>
      <c r="I799" t="str">
        <f>_xlfn.XLOOKUP(Logs[[#This Row],[Cell_ID]],'Registre_Maintenance'!B:B,'Registre_Maintenance'!D:D,"Pas de correspondance")</f>
        <v>Pas de correspondance</v>
      </c>
      <c r="J799" t="str">
        <f>_xlfn.XLOOKUP(Logs[[#This Row],[Cell_ID]],'Registre_Maintenance'!B:B,'Registre_Maintenance'!E:E,"Pas de correspondance")</f>
        <v>Pas de correspondance</v>
      </c>
      <c r="K799" t="str">
        <f>_xlfn.XLOOKUP(Logs[[#This Row],[Cell_ID]],'Registre_Maintenance'!B:B,'Registre_Maintenance'!F:F,"Pas de correspondance")</f>
        <v>Pas de correspondance</v>
      </c>
      <c r="L799" t="str">
        <f>_xlfn.XLOOKUP(Logs[[#This Row],[Cell_ID]],'Registre_Maintenance'!B:B,'Registre_Maintenance'!G:G,"Pas de correspondance")</f>
        <v>Pas de correspondance</v>
      </c>
      <c r="M799" s="1" t="s">
        <v>809</v>
      </c>
      <c r="N799" s="1" t="str">
        <f>_xlfn.XLOOKUP(Logs[[#This Row],[ID_Client]],Clients_Log!B:B,Clients_Log!E:E,"Pas de correspondance")</f>
        <v>Pas de correspondance</v>
      </c>
      <c r="O799" s="4" t="str">
        <f>IFERROR(Logs[[#This Row],[Anciennete_Mois]]/12,"")</f>
        <v/>
      </c>
      <c r="P799" s="1" t="str">
        <f>_xlfn.XLOOKUP(Logs[[#This Row],[ID_Client]],Clients_Log!B:B,Clients_Log!F:F,"Pas de correspondance")</f>
        <v>Pas de correspondance</v>
      </c>
      <c r="Q799" s="1" t="str">
        <f>IF(Logs[[#This Row],[Type_Forfait]]="Pro Monde","B2B","B2C")</f>
        <v>B2C</v>
      </c>
      <c r="R799" s="1" t="str">
        <f>_xlfn.XLOOKUP(Logs[[#This Row],[ID_Client]],Clients_Log!B:B,Clients_Log!G:G,"Pas de correspondance")</f>
        <v>Pas de correspondance</v>
      </c>
      <c r="S799" s="1" t="e">
        <f>Logs[[#This Row],[Duree_Cumulee_Panne_Min]]/1440</f>
        <v>#VALUE!</v>
      </c>
      <c r="T799" s="1" t="str">
        <f>_xlfn.XLOOKUP(Logs[[#This Row],[ID_Client]],Clients_Log!B:B,Clients_Log!H:H,"Pas de correspondance")</f>
        <v>Pas de correspondance</v>
      </c>
      <c r="U799" s="1" t="str">
        <f>_xlfn.XLOOKUP(Logs[[#This Row],[ID_Client]],Clients_Log!B:B,Clients_Log!I:I,"Pas de correspondance")</f>
        <v>Pas de correspondance</v>
      </c>
      <c r="V79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799" s="1" t="e">
        <f>Logs[[#This Row],[Facture_Mensuelle]]*Logs[[#This Row],[Remise (%)]]</f>
        <v>#VALUE!</v>
      </c>
    </row>
    <row r="800" spans="1:23" hidden="1" x14ac:dyDescent="0.25">
      <c r="A800" s="1" t="s">
        <v>1364</v>
      </c>
      <c r="B800" s="2">
        <v>45202</v>
      </c>
      <c r="C800" s="1" t="str">
        <f>_xlfn.XLOOKUP(Logs[[#This Row],[Province_RDC]],Clients_Log!D:D,Clients_Log!B:B,"Pas de correspondance")</f>
        <v>Pas de correspondance</v>
      </c>
      <c r="D800" t="str">
        <f>_xlfn.XLOOKUP(Logs[[#This Row],[Cell_ID]],'Registre_Maintenance'!B:B,'Registre_Maintenance'!C:C,"Pas de correspondance")</f>
        <v>Pas de correspondance</v>
      </c>
      <c r="E800" s="3">
        <v>0.28958333333333336</v>
      </c>
      <c r="F800" s="1" t="s">
        <v>944</v>
      </c>
      <c r="G800" s="3">
        <f>Logs[[#This Row],[Duree_Panne_Min]]/1440</f>
        <v>7.1527777777777773E-2</v>
      </c>
      <c r="H800">
        <v>103</v>
      </c>
      <c r="I800" t="str">
        <f>_xlfn.XLOOKUP(Logs[[#This Row],[Cell_ID]],'Registre_Maintenance'!B:B,'Registre_Maintenance'!D:D,"Pas de correspondance")</f>
        <v>Pas de correspondance</v>
      </c>
      <c r="J800" t="str">
        <f>_xlfn.XLOOKUP(Logs[[#This Row],[Cell_ID]],'Registre_Maintenance'!B:B,'Registre_Maintenance'!E:E,"Pas de correspondance")</f>
        <v>Pas de correspondance</v>
      </c>
      <c r="K800" t="str">
        <f>_xlfn.XLOOKUP(Logs[[#This Row],[Cell_ID]],'Registre_Maintenance'!B:B,'Registre_Maintenance'!F:F,"Pas de correspondance")</f>
        <v>Pas de correspondance</v>
      </c>
      <c r="L800" t="str">
        <f>_xlfn.XLOOKUP(Logs[[#This Row],[Cell_ID]],'Registre_Maintenance'!B:B,'Registre_Maintenance'!G:G,"Pas de correspondance")</f>
        <v>Pas de correspondance</v>
      </c>
      <c r="M800" s="1" t="s">
        <v>809</v>
      </c>
      <c r="N800" s="1" t="str">
        <f>_xlfn.XLOOKUP(Logs[[#This Row],[ID_Client]],Clients_Log!B:B,Clients_Log!E:E,"Pas de correspondance")</f>
        <v>Pas de correspondance</v>
      </c>
      <c r="O800" s="4" t="str">
        <f>IFERROR(Logs[[#This Row],[Anciennete_Mois]]/12,"")</f>
        <v/>
      </c>
      <c r="P800" s="1" t="str">
        <f>_xlfn.XLOOKUP(Logs[[#This Row],[ID_Client]],Clients_Log!B:B,Clients_Log!F:F,"Pas de correspondance")</f>
        <v>Pas de correspondance</v>
      </c>
      <c r="Q800" s="1" t="str">
        <f>IF(Logs[[#This Row],[Type_Forfait]]="Pro Monde","B2B","B2C")</f>
        <v>B2C</v>
      </c>
      <c r="R800" s="1" t="str">
        <f>_xlfn.XLOOKUP(Logs[[#This Row],[ID_Client]],Clients_Log!B:B,Clients_Log!G:G,"Pas de correspondance")</f>
        <v>Pas de correspondance</v>
      </c>
      <c r="S800" s="1" t="e">
        <f>Logs[[#This Row],[Duree_Cumulee_Panne_Min]]/1440</f>
        <v>#VALUE!</v>
      </c>
      <c r="T800" s="1" t="str">
        <f>_xlfn.XLOOKUP(Logs[[#This Row],[ID_Client]],Clients_Log!B:B,Clients_Log!H:H,"Pas de correspondance")</f>
        <v>Pas de correspondance</v>
      </c>
      <c r="U800" s="1" t="str">
        <f>_xlfn.XLOOKUP(Logs[[#This Row],[ID_Client]],Clients_Log!B:B,Clients_Log!I:I,"Pas de correspondance")</f>
        <v>Pas de correspondance</v>
      </c>
      <c r="V80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00" s="1" t="e">
        <f>Logs[[#This Row],[Facture_Mensuelle]]*Logs[[#This Row],[Remise (%)]]</f>
        <v>#VALUE!</v>
      </c>
    </row>
    <row r="801" spans="1:23" hidden="1" x14ac:dyDescent="0.25">
      <c r="A801" s="1" t="s">
        <v>1364</v>
      </c>
      <c r="B801" s="2">
        <v>45220</v>
      </c>
      <c r="C801" s="1" t="str">
        <f>_xlfn.XLOOKUP(Logs[[#This Row],[Province_RDC]],Clients_Log!D:D,Clients_Log!B:B,"Pas de correspondance")</f>
        <v>Pas de correspondance</v>
      </c>
      <c r="D801" t="str">
        <f>_xlfn.XLOOKUP(Logs[[#This Row],[Cell_ID]],'Registre_Maintenance'!B:B,'Registre_Maintenance'!C:C,"Pas de correspondance")</f>
        <v>Pas de correspondance</v>
      </c>
      <c r="E801" s="3">
        <v>0.61875000000000002</v>
      </c>
      <c r="F801" s="1" t="s">
        <v>1359</v>
      </c>
      <c r="G801" s="3">
        <f>Logs[[#This Row],[Duree_Panne_Min]]/1440</f>
        <v>5.486111111111111E-2</v>
      </c>
      <c r="H801">
        <v>79</v>
      </c>
      <c r="I801" t="str">
        <f>_xlfn.XLOOKUP(Logs[[#This Row],[Cell_ID]],'Registre_Maintenance'!B:B,'Registre_Maintenance'!D:D,"Pas de correspondance")</f>
        <v>Pas de correspondance</v>
      </c>
      <c r="J801" t="str">
        <f>_xlfn.XLOOKUP(Logs[[#This Row],[Cell_ID]],'Registre_Maintenance'!B:B,'Registre_Maintenance'!E:E,"Pas de correspondance")</f>
        <v>Pas de correspondance</v>
      </c>
      <c r="K801" t="str">
        <f>_xlfn.XLOOKUP(Logs[[#This Row],[Cell_ID]],'Registre_Maintenance'!B:B,'Registre_Maintenance'!F:F,"Pas de correspondance")</f>
        <v>Pas de correspondance</v>
      </c>
      <c r="L801" t="str">
        <f>_xlfn.XLOOKUP(Logs[[#This Row],[Cell_ID]],'Registre_Maintenance'!B:B,'Registre_Maintenance'!G:G,"Pas de correspondance")</f>
        <v>Pas de correspondance</v>
      </c>
      <c r="M801" s="1" t="s">
        <v>806</v>
      </c>
      <c r="N801" s="1" t="str">
        <f>_xlfn.XLOOKUP(Logs[[#This Row],[ID_Client]],Clients_Log!B:B,Clients_Log!E:E,"Pas de correspondance")</f>
        <v>Pas de correspondance</v>
      </c>
      <c r="O801" s="4" t="str">
        <f>IFERROR(Logs[[#This Row],[Anciennete_Mois]]/12,"")</f>
        <v/>
      </c>
      <c r="P801" s="1" t="str">
        <f>_xlfn.XLOOKUP(Logs[[#This Row],[ID_Client]],Clients_Log!B:B,Clients_Log!F:F,"Pas de correspondance")</f>
        <v>Pas de correspondance</v>
      </c>
      <c r="Q801" s="1" t="str">
        <f>IF(Logs[[#This Row],[Type_Forfait]]="Pro Monde","B2B","B2C")</f>
        <v>B2C</v>
      </c>
      <c r="R801" s="1" t="str">
        <f>_xlfn.XLOOKUP(Logs[[#This Row],[ID_Client]],Clients_Log!B:B,Clients_Log!G:G,"Pas de correspondance")</f>
        <v>Pas de correspondance</v>
      </c>
      <c r="S801" s="1" t="e">
        <f>Logs[[#This Row],[Duree_Cumulee_Panne_Min]]/1440</f>
        <v>#VALUE!</v>
      </c>
      <c r="T801" s="1" t="str">
        <f>_xlfn.XLOOKUP(Logs[[#This Row],[ID_Client]],Clients_Log!B:B,Clients_Log!H:H,"Pas de correspondance")</f>
        <v>Pas de correspondance</v>
      </c>
      <c r="U801" s="1" t="str">
        <f>_xlfn.XLOOKUP(Logs[[#This Row],[ID_Client]],Clients_Log!B:B,Clients_Log!I:I,"Pas de correspondance")</f>
        <v>Pas de correspondance</v>
      </c>
      <c r="V80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01" s="1" t="e">
        <f>Logs[[#This Row],[Facture_Mensuelle]]*Logs[[#This Row],[Remise (%)]]</f>
        <v>#VALUE!</v>
      </c>
    </row>
    <row r="802" spans="1:23" x14ac:dyDescent="0.25">
      <c r="A802" s="1" t="s">
        <v>1364</v>
      </c>
      <c r="B802" s="2">
        <v>45204</v>
      </c>
      <c r="C802" s="1" t="str">
        <f>_xlfn.XLOOKUP(Logs[[#This Row],[Province_RDC]],Clients_Log!D:D,Clients_Log!B:B,"Pas de correspondance")</f>
        <v>CLI-00643</v>
      </c>
      <c r="D802" t="str">
        <f>_xlfn.XLOOKUP(Logs[[#This Row],[Cell_ID]],'Registre_Maintenance'!B:B,'Registre_Maintenance'!C:C,"Pas de correspondance")</f>
        <v>Equateur</v>
      </c>
      <c r="E802" s="3">
        <v>0.12291666666666666</v>
      </c>
      <c r="F802" s="1" t="s">
        <v>1276</v>
      </c>
      <c r="G802" s="3">
        <f>Logs[[#This Row],[Duree_Panne_Min]]/1440</f>
        <v>2.361111111111111E-2</v>
      </c>
      <c r="H802">
        <v>34</v>
      </c>
      <c r="I802">
        <f>_xlfn.XLOOKUP(Logs[[#This Row],[Cell_ID]],'Registre_Maintenance'!B:B,'Registre_Maintenance'!D:D,"Pas de correspondance")</f>
        <v>-6.1490739999999997</v>
      </c>
      <c r="J802">
        <f>_xlfn.XLOOKUP(Logs[[#This Row],[Cell_ID]],'Registre_Maintenance'!B:B,'Registre_Maintenance'!E:E,"Pas de correspondance")</f>
        <v>23.304411000000002</v>
      </c>
      <c r="K802" t="str">
        <f>_xlfn.XLOOKUP(Logs[[#This Row],[Cell_ID]],'Registre_Maintenance'!B:B,'Registre_Maintenance'!F:F,"Pas de correspondance")</f>
        <v>5G</v>
      </c>
      <c r="L802" t="str">
        <f>_xlfn.XLOOKUP(Logs[[#This Row],[Cell_ID]],'Registre_Maintenance'!B:B,'Registre_Maintenance'!G:G,"Pas de correspondance")</f>
        <v>ZTE</v>
      </c>
      <c r="M802" s="1" t="s">
        <v>806</v>
      </c>
      <c r="N802" s="1">
        <f>_xlfn.XLOOKUP(Logs[[#This Row],[ID_Client]],Clients_Log!B:B,Clients_Log!E:E,"Pas de correspondance")</f>
        <v>14</v>
      </c>
      <c r="O802" s="4">
        <f>IFERROR(Logs[[#This Row],[Anciennete_Mois]]/12,"")</f>
        <v>1.1666666666666667</v>
      </c>
      <c r="P802" s="1" t="str">
        <f>_xlfn.XLOOKUP(Logs[[#This Row],[ID_Client]],Clients_Log!B:B,Clients_Log!F:F,"Pas de correspondance")</f>
        <v>Pro Monde</v>
      </c>
      <c r="Q802" s="1" t="str">
        <f>IF(Logs[[#This Row],[Type_Forfait]]="Pro Monde","B2B","B2C")</f>
        <v>B2B</v>
      </c>
      <c r="R802" s="1">
        <f>_xlfn.XLOOKUP(Logs[[#This Row],[ID_Client]],Clients_Log!B:B,Clients_Log!G:G,"Pas de correspondance")</f>
        <v>316</v>
      </c>
      <c r="S802" s="3">
        <f>Logs[[#This Row],[Duree_Cumulee_Panne_Min]]/1440</f>
        <v>0.21944444444444444</v>
      </c>
      <c r="T802" s="1">
        <f>_xlfn.XLOOKUP(Logs[[#This Row],[ID_Client]],Clients_Log!B:B,Clients_Log!H:H,"Pas de correspondance")</f>
        <v>62.34</v>
      </c>
      <c r="U802" s="1">
        <f>_xlfn.XLOOKUP(Logs[[#This Row],[ID_Client]],Clients_Log!B:B,Clients_Log!I:I,"Pas de correspondance")</f>
        <v>4</v>
      </c>
      <c r="V80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02" s="1">
        <f>Logs[[#This Row],[Facture_Mensuelle]]*Logs[[#This Row],[Remise (%)]]</f>
        <v>28.053000000000001</v>
      </c>
    </row>
    <row r="803" spans="1:23" hidden="1" x14ac:dyDescent="0.25">
      <c r="A803" s="1" t="s">
        <v>1364</v>
      </c>
      <c r="B803" s="2">
        <v>45227</v>
      </c>
      <c r="C803" s="1" t="str">
        <f>_xlfn.XLOOKUP(Logs[[#This Row],[Province_RDC]],Clients_Log!D:D,Clients_Log!B:B,"Pas de correspondance")</f>
        <v>Pas de correspondance</v>
      </c>
      <c r="D803" t="str">
        <f>_xlfn.XLOOKUP(Logs[[#This Row],[Cell_ID]],'Registre_Maintenance'!B:B,'Registre_Maintenance'!C:C,"Pas de correspondance")</f>
        <v>Pas de correspondance</v>
      </c>
      <c r="E803" s="3">
        <v>0.42152777777777778</v>
      </c>
      <c r="F803" s="1" t="s">
        <v>1342</v>
      </c>
      <c r="G803" s="3">
        <f>Logs[[#This Row],[Duree_Panne_Min]]/1440</f>
        <v>1.7361111111111112E-2</v>
      </c>
      <c r="H803">
        <v>25</v>
      </c>
      <c r="I803" t="str">
        <f>_xlfn.XLOOKUP(Logs[[#This Row],[Cell_ID]],'Registre_Maintenance'!B:B,'Registre_Maintenance'!D:D,"Pas de correspondance")</f>
        <v>Pas de correspondance</v>
      </c>
      <c r="J803" t="str">
        <f>_xlfn.XLOOKUP(Logs[[#This Row],[Cell_ID]],'Registre_Maintenance'!B:B,'Registre_Maintenance'!E:E,"Pas de correspondance")</f>
        <v>Pas de correspondance</v>
      </c>
      <c r="K803" t="str">
        <f>_xlfn.XLOOKUP(Logs[[#This Row],[Cell_ID]],'Registre_Maintenance'!B:B,'Registre_Maintenance'!F:F,"Pas de correspondance")</f>
        <v>Pas de correspondance</v>
      </c>
      <c r="L803" t="str">
        <f>_xlfn.XLOOKUP(Logs[[#This Row],[Cell_ID]],'Registre_Maintenance'!B:B,'Registre_Maintenance'!G:G,"Pas de correspondance")</f>
        <v>Pas de correspondance</v>
      </c>
      <c r="M803" s="1" t="s">
        <v>809</v>
      </c>
      <c r="N803" s="1" t="str">
        <f>_xlfn.XLOOKUP(Logs[[#This Row],[ID_Client]],Clients_Log!B:B,Clients_Log!E:E,"Pas de correspondance")</f>
        <v>Pas de correspondance</v>
      </c>
      <c r="O803" s="4" t="str">
        <f>IFERROR(Logs[[#This Row],[Anciennete_Mois]]/12,"")</f>
        <v/>
      </c>
      <c r="P803" s="1" t="str">
        <f>_xlfn.XLOOKUP(Logs[[#This Row],[ID_Client]],Clients_Log!B:B,Clients_Log!F:F,"Pas de correspondance")</f>
        <v>Pas de correspondance</v>
      </c>
      <c r="Q803" s="1" t="str">
        <f>IF(Logs[[#This Row],[Type_Forfait]]="Pro Monde","B2B","B2C")</f>
        <v>B2C</v>
      </c>
      <c r="R803" s="1" t="str">
        <f>_xlfn.XLOOKUP(Logs[[#This Row],[ID_Client]],Clients_Log!B:B,Clients_Log!G:G,"Pas de correspondance")</f>
        <v>Pas de correspondance</v>
      </c>
      <c r="S803" s="1" t="e">
        <f>Logs[[#This Row],[Duree_Cumulee_Panne_Min]]/1440</f>
        <v>#VALUE!</v>
      </c>
      <c r="T803" s="1" t="str">
        <f>_xlfn.XLOOKUP(Logs[[#This Row],[ID_Client]],Clients_Log!B:B,Clients_Log!H:H,"Pas de correspondance")</f>
        <v>Pas de correspondance</v>
      </c>
      <c r="U803" s="1" t="str">
        <f>_xlfn.XLOOKUP(Logs[[#This Row],[ID_Client]],Clients_Log!B:B,Clients_Log!I:I,"Pas de correspondance")</f>
        <v>Pas de correspondance</v>
      </c>
      <c r="V80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03" s="1" t="e">
        <f>Logs[[#This Row],[Facture_Mensuelle]]*Logs[[#This Row],[Remise (%)]]</f>
        <v>#VALUE!</v>
      </c>
    </row>
    <row r="804" spans="1:23" hidden="1" x14ac:dyDescent="0.25">
      <c r="A804" s="1" t="s">
        <v>1364</v>
      </c>
      <c r="B804" s="2">
        <v>45201</v>
      </c>
      <c r="C804" s="1" t="str">
        <f>_xlfn.XLOOKUP(Logs[[#This Row],[Province_RDC]],Clients_Log!D:D,Clients_Log!B:B,"Pas de correspondance")</f>
        <v>Pas de correspondance</v>
      </c>
      <c r="D804" t="str">
        <f>_xlfn.XLOOKUP(Logs[[#This Row],[Cell_ID]],'Registre_Maintenance'!B:B,'Registre_Maintenance'!C:C,"Pas de correspondance")</f>
        <v>Pas de correspondance</v>
      </c>
      <c r="E804" s="3">
        <v>0.5854166666666667</v>
      </c>
      <c r="F804" s="1" t="s">
        <v>1372</v>
      </c>
      <c r="G804" s="3">
        <f>Logs[[#This Row],[Duree_Panne_Min]]/1440</f>
        <v>1.1805555555555555E-2</v>
      </c>
      <c r="H804">
        <v>17</v>
      </c>
      <c r="I804" t="str">
        <f>_xlfn.XLOOKUP(Logs[[#This Row],[Cell_ID]],'Registre_Maintenance'!B:B,'Registre_Maintenance'!D:D,"Pas de correspondance")</f>
        <v>Pas de correspondance</v>
      </c>
      <c r="J804" t="str">
        <f>_xlfn.XLOOKUP(Logs[[#This Row],[Cell_ID]],'Registre_Maintenance'!B:B,'Registre_Maintenance'!E:E,"Pas de correspondance")</f>
        <v>Pas de correspondance</v>
      </c>
      <c r="K804" t="str">
        <f>_xlfn.XLOOKUP(Logs[[#This Row],[Cell_ID]],'Registre_Maintenance'!B:B,'Registre_Maintenance'!F:F,"Pas de correspondance")</f>
        <v>Pas de correspondance</v>
      </c>
      <c r="L804" t="str">
        <f>_xlfn.XLOOKUP(Logs[[#This Row],[Cell_ID]],'Registre_Maintenance'!B:B,'Registre_Maintenance'!G:G,"Pas de correspondance")</f>
        <v>Pas de correspondance</v>
      </c>
      <c r="M804" s="1" t="s">
        <v>811</v>
      </c>
      <c r="N804" s="1" t="str">
        <f>_xlfn.XLOOKUP(Logs[[#This Row],[ID_Client]],Clients_Log!B:B,Clients_Log!E:E,"Pas de correspondance")</f>
        <v>Pas de correspondance</v>
      </c>
      <c r="O804" s="4" t="str">
        <f>IFERROR(Logs[[#This Row],[Anciennete_Mois]]/12,"")</f>
        <v/>
      </c>
      <c r="P804" s="1" t="str">
        <f>_xlfn.XLOOKUP(Logs[[#This Row],[ID_Client]],Clients_Log!B:B,Clients_Log!F:F,"Pas de correspondance")</f>
        <v>Pas de correspondance</v>
      </c>
      <c r="Q804" s="1" t="str">
        <f>IF(Logs[[#This Row],[Type_Forfait]]="Pro Monde","B2B","B2C")</f>
        <v>B2C</v>
      </c>
      <c r="R804" s="1" t="str">
        <f>_xlfn.XLOOKUP(Logs[[#This Row],[ID_Client]],Clients_Log!B:B,Clients_Log!G:G,"Pas de correspondance")</f>
        <v>Pas de correspondance</v>
      </c>
      <c r="S804" s="1" t="e">
        <f>Logs[[#This Row],[Duree_Cumulee_Panne_Min]]/1440</f>
        <v>#VALUE!</v>
      </c>
      <c r="T804" s="1" t="str">
        <f>_xlfn.XLOOKUP(Logs[[#This Row],[ID_Client]],Clients_Log!B:B,Clients_Log!H:H,"Pas de correspondance")</f>
        <v>Pas de correspondance</v>
      </c>
      <c r="U804" s="1" t="str">
        <f>_xlfn.XLOOKUP(Logs[[#This Row],[ID_Client]],Clients_Log!B:B,Clients_Log!I:I,"Pas de correspondance")</f>
        <v>Pas de correspondance</v>
      </c>
      <c r="V80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04" s="1" t="e">
        <f>Logs[[#This Row],[Facture_Mensuelle]]*Logs[[#This Row],[Remise (%)]]</f>
        <v>#VALUE!</v>
      </c>
    </row>
    <row r="805" spans="1:23" x14ac:dyDescent="0.25">
      <c r="A805" s="1" t="s">
        <v>1364</v>
      </c>
      <c r="B805" s="2">
        <v>45205</v>
      </c>
      <c r="C805" s="1" t="str">
        <f>_xlfn.XLOOKUP(Logs[[#This Row],[Province_RDC]],Clients_Log!D:D,Clients_Log!B:B,"Pas de correspondance")</f>
        <v>CLI-01233</v>
      </c>
      <c r="D805" t="str">
        <f>_xlfn.XLOOKUP(Logs[[#This Row],[Cell_ID]],'Registre_Maintenance'!B:B,'Registre_Maintenance'!C:C,"Pas de correspondance")</f>
        <v>Kongo-Central</v>
      </c>
      <c r="E805" s="3">
        <v>0.76875000000000004</v>
      </c>
      <c r="F805" s="1" t="s">
        <v>1373</v>
      </c>
      <c r="G805" s="3">
        <f>Logs[[#This Row],[Duree_Panne_Min]]/1440</f>
        <v>2.5000000000000001E-2</v>
      </c>
      <c r="H805">
        <v>36</v>
      </c>
      <c r="I805">
        <f>_xlfn.XLOOKUP(Logs[[#This Row],[Cell_ID]],'Registre_Maintenance'!B:B,'Registre_Maintenance'!D:D,"Pas de correspondance")</f>
        <v>-0.469945</v>
      </c>
      <c r="J805">
        <f>_xlfn.XLOOKUP(Logs[[#This Row],[Cell_ID]],'Registre_Maintenance'!B:B,'Registre_Maintenance'!E:E,"Pas de correspondance")</f>
        <v>21.038527999999999</v>
      </c>
      <c r="K805" t="str">
        <f>_xlfn.XLOOKUP(Logs[[#This Row],[Cell_ID]],'Registre_Maintenance'!B:B,'Registre_Maintenance'!F:F,"Pas de correspondance")</f>
        <v>3G</v>
      </c>
      <c r="L805" t="str">
        <f>_xlfn.XLOOKUP(Logs[[#This Row],[Cell_ID]],'Registre_Maintenance'!B:B,'Registre_Maintenance'!G:G,"Pas de correspondance")</f>
        <v>Ericsson</v>
      </c>
      <c r="M805" s="1" t="s">
        <v>806</v>
      </c>
      <c r="N805" s="1">
        <f>_xlfn.XLOOKUP(Logs[[#This Row],[ID_Client]],Clients_Log!B:B,Clients_Log!E:E,"Pas de correspondance")</f>
        <v>101</v>
      </c>
      <c r="O805" s="4">
        <f>IFERROR(Logs[[#This Row],[Anciennete_Mois]]/12,"")</f>
        <v>8.4166666666666661</v>
      </c>
      <c r="P805" s="1" t="str">
        <f>_xlfn.XLOOKUP(Logs[[#This Row],[ID_Client]],Clients_Log!B:B,Clients_Log!F:F,"Pas de correspondance")</f>
        <v>Pro Monde</v>
      </c>
      <c r="Q805" s="1" t="str">
        <f>IF(Logs[[#This Row],[Type_Forfait]]="Pro Monde","B2B","B2C")</f>
        <v>B2B</v>
      </c>
      <c r="R805" s="1">
        <f>_xlfn.XLOOKUP(Logs[[#This Row],[ID_Client]],Clients_Log!B:B,Clients_Log!G:G,"Pas de correspondance")</f>
        <v>333</v>
      </c>
      <c r="S805" s="3">
        <f>Logs[[#This Row],[Duree_Cumulee_Panne_Min]]/1440</f>
        <v>0.23125000000000001</v>
      </c>
      <c r="T805" s="1">
        <f>_xlfn.XLOOKUP(Logs[[#This Row],[ID_Client]],Clients_Log!B:B,Clients_Log!H:H,"Pas de correspondance")</f>
        <v>74.319999999999993</v>
      </c>
      <c r="U805" s="1">
        <f>_xlfn.XLOOKUP(Logs[[#This Row],[ID_Client]],Clients_Log!B:B,Clients_Log!I:I,"Pas de correspondance")</f>
        <v>1</v>
      </c>
      <c r="V80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05" s="1">
        <f>Logs[[#This Row],[Facture_Mensuelle]]*Logs[[#This Row],[Remise (%)]]</f>
        <v>33.443999999999996</v>
      </c>
    </row>
    <row r="806" spans="1:23" hidden="1" x14ac:dyDescent="0.25">
      <c r="A806" s="1" t="s">
        <v>1364</v>
      </c>
      <c r="B806" s="2">
        <v>45226</v>
      </c>
      <c r="C806" s="1" t="str">
        <f>_xlfn.XLOOKUP(Logs[[#This Row],[Province_RDC]],Clients_Log!D:D,Clients_Log!B:B,"Pas de correspondance")</f>
        <v>Pas de correspondance</v>
      </c>
      <c r="D806" t="str">
        <f>_xlfn.XLOOKUP(Logs[[#This Row],[Cell_ID]],'Registre_Maintenance'!B:B,'Registre_Maintenance'!C:C,"Pas de correspondance")</f>
        <v>Pas de correspondance</v>
      </c>
      <c r="E806" s="3">
        <v>0.97569444444444442</v>
      </c>
      <c r="F806" s="1" t="s">
        <v>992</v>
      </c>
      <c r="G806" s="3">
        <f>Logs[[#This Row],[Duree_Panne_Min]]/1440</f>
        <v>6.1805555555555558E-2</v>
      </c>
      <c r="H806">
        <v>89</v>
      </c>
      <c r="I806" t="str">
        <f>_xlfn.XLOOKUP(Logs[[#This Row],[Cell_ID]],'Registre_Maintenance'!B:B,'Registre_Maintenance'!D:D,"Pas de correspondance")</f>
        <v>Pas de correspondance</v>
      </c>
      <c r="J806" t="str">
        <f>_xlfn.XLOOKUP(Logs[[#This Row],[Cell_ID]],'Registre_Maintenance'!B:B,'Registre_Maintenance'!E:E,"Pas de correspondance")</f>
        <v>Pas de correspondance</v>
      </c>
      <c r="K806" t="str">
        <f>_xlfn.XLOOKUP(Logs[[#This Row],[Cell_ID]],'Registre_Maintenance'!B:B,'Registre_Maintenance'!F:F,"Pas de correspondance")</f>
        <v>Pas de correspondance</v>
      </c>
      <c r="L806" t="str">
        <f>_xlfn.XLOOKUP(Logs[[#This Row],[Cell_ID]],'Registre_Maintenance'!B:B,'Registre_Maintenance'!G:G,"Pas de correspondance")</f>
        <v>Pas de correspondance</v>
      </c>
      <c r="M806" s="1" t="s">
        <v>811</v>
      </c>
      <c r="N806" s="1" t="str">
        <f>_xlfn.XLOOKUP(Logs[[#This Row],[ID_Client]],Clients_Log!B:B,Clients_Log!E:E,"Pas de correspondance")</f>
        <v>Pas de correspondance</v>
      </c>
      <c r="O806" s="4" t="str">
        <f>IFERROR(Logs[[#This Row],[Anciennete_Mois]]/12,"")</f>
        <v/>
      </c>
      <c r="P806" s="1" t="str">
        <f>_xlfn.XLOOKUP(Logs[[#This Row],[ID_Client]],Clients_Log!B:B,Clients_Log!F:F,"Pas de correspondance")</f>
        <v>Pas de correspondance</v>
      </c>
      <c r="Q806" s="1" t="str">
        <f>IF(Logs[[#This Row],[Type_Forfait]]="Pro Monde","B2B","B2C")</f>
        <v>B2C</v>
      </c>
      <c r="R806" s="1" t="str">
        <f>_xlfn.XLOOKUP(Logs[[#This Row],[ID_Client]],Clients_Log!B:B,Clients_Log!G:G,"Pas de correspondance")</f>
        <v>Pas de correspondance</v>
      </c>
      <c r="S806" s="1" t="e">
        <f>Logs[[#This Row],[Duree_Cumulee_Panne_Min]]/1440</f>
        <v>#VALUE!</v>
      </c>
      <c r="T806" s="1" t="str">
        <f>_xlfn.XLOOKUP(Logs[[#This Row],[ID_Client]],Clients_Log!B:B,Clients_Log!H:H,"Pas de correspondance")</f>
        <v>Pas de correspondance</v>
      </c>
      <c r="U806" s="1" t="str">
        <f>_xlfn.XLOOKUP(Logs[[#This Row],[ID_Client]],Clients_Log!B:B,Clients_Log!I:I,"Pas de correspondance")</f>
        <v>Pas de correspondance</v>
      </c>
      <c r="V80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06" s="1" t="e">
        <f>Logs[[#This Row],[Facture_Mensuelle]]*Logs[[#This Row],[Remise (%)]]</f>
        <v>#VALUE!</v>
      </c>
    </row>
    <row r="807" spans="1:23" hidden="1" x14ac:dyDescent="0.25">
      <c r="A807" s="1" t="s">
        <v>1364</v>
      </c>
      <c r="B807" s="2">
        <v>45215</v>
      </c>
      <c r="C807" s="1" t="str">
        <f>_xlfn.XLOOKUP(Logs[[#This Row],[Province_RDC]],Clients_Log!D:D,Clients_Log!B:B,"Pas de correspondance")</f>
        <v>Pas de correspondance</v>
      </c>
      <c r="D807" t="str">
        <f>_xlfn.XLOOKUP(Logs[[#This Row],[Cell_ID]],'Registre_Maintenance'!B:B,'Registre_Maintenance'!C:C,"Pas de correspondance")</f>
        <v>Pas de correspondance</v>
      </c>
      <c r="E807" s="3">
        <v>1.6666666666666666E-2</v>
      </c>
      <c r="F807" s="1" t="s">
        <v>1374</v>
      </c>
      <c r="G807" s="3">
        <f>Logs[[#This Row],[Duree_Panne_Min]]/1440</f>
        <v>2.4305555555555556E-2</v>
      </c>
      <c r="H807">
        <v>35</v>
      </c>
      <c r="I807" t="str">
        <f>_xlfn.XLOOKUP(Logs[[#This Row],[Cell_ID]],'Registre_Maintenance'!B:B,'Registre_Maintenance'!D:D,"Pas de correspondance")</f>
        <v>Pas de correspondance</v>
      </c>
      <c r="J807" t="str">
        <f>_xlfn.XLOOKUP(Logs[[#This Row],[Cell_ID]],'Registre_Maintenance'!B:B,'Registre_Maintenance'!E:E,"Pas de correspondance")</f>
        <v>Pas de correspondance</v>
      </c>
      <c r="K807" t="str">
        <f>_xlfn.XLOOKUP(Logs[[#This Row],[Cell_ID]],'Registre_Maintenance'!B:B,'Registre_Maintenance'!F:F,"Pas de correspondance")</f>
        <v>Pas de correspondance</v>
      </c>
      <c r="L807" t="str">
        <f>_xlfn.XLOOKUP(Logs[[#This Row],[Cell_ID]],'Registre_Maintenance'!B:B,'Registre_Maintenance'!G:G,"Pas de correspondance")</f>
        <v>Pas de correspondance</v>
      </c>
      <c r="M807" s="1" t="s">
        <v>809</v>
      </c>
      <c r="N807" s="1" t="str">
        <f>_xlfn.XLOOKUP(Logs[[#This Row],[ID_Client]],Clients_Log!B:B,Clients_Log!E:E,"Pas de correspondance")</f>
        <v>Pas de correspondance</v>
      </c>
      <c r="O807" s="4" t="str">
        <f>IFERROR(Logs[[#This Row],[Anciennete_Mois]]/12,"")</f>
        <v/>
      </c>
      <c r="P807" s="1" t="str">
        <f>_xlfn.XLOOKUP(Logs[[#This Row],[ID_Client]],Clients_Log!B:B,Clients_Log!F:F,"Pas de correspondance")</f>
        <v>Pas de correspondance</v>
      </c>
      <c r="Q807" s="1" t="str">
        <f>IF(Logs[[#This Row],[Type_Forfait]]="Pro Monde","B2B","B2C")</f>
        <v>B2C</v>
      </c>
      <c r="R807" s="1" t="str">
        <f>_xlfn.XLOOKUP(Logs[[#This Row],[ID_Client]],Clients_Log!B:B,Clients_Log!G:G,"Pas de correspondance")</f>
        <v>Pas de correspondance</v>
      </c>
      <c r="S807" s="1" t="e">
        <f>Logs[[#This Row],[Duree_Cumulee_Panne_Min]]/1440</f>
        <v>#VALUE!</v>
      </c>
      <c r="T807" s="1" t="str">
        <f>_xlfn.XLOOKUP(Logs[[#This Row],[ID_Client]],Clients_Log!B:B,Clients_Log!H:H,"Pas de correspondance")</f>
        <v>Pas de correspondance</v>
      </c>
      <c r="U807" s="1" t="str">
        <f>_xlfn.XLOOKUP(Logs[[#This Row],[ID_Client]],Clients_Log!B:B,Clients_Log!I:I,"Pas de correspondance")</f>
        <v>Pas de correspondance</v>
      </c>
      <c r="V80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07" s="1" t="e">
        <f>Logs[[#This Row],[Facture_Mensuelle]]*Logs[[#This Row],[Remise (%)]]</f>
        <v>#VALUE!</v>
      </c>
    </row>
    <row r="808" spans="1:23" hidden="1" x14ac:dyDescent="0.25">
      <c r="A808" s="1" t="s">
        <v>1364</v>
      </c>
      <c r="B808" s="2">
        <v>45221</v>
      </c>
      <c r="C808" s="1" t="str">
        <f>_xlfn.XLOOKUP(Logs[[#This Row],[Province_RDC]],Clients_Log!D:D,Clients_Log!B:B,"Pas de correspondance")</f>
        <v>Pas de correspondance</v>
      </c>
      <c r="D808" t="str">
        <f>_xlfn.XLOOKUP(Logs[[#This Row],[Cell_ID]],'Registre_Maintenance'!B:B,'Registre_Maintenance'!C:C,"Pas de correspondance")</f>
        <v>Pas de correspondance</v>
      </c>
      <c r="E808" s="3">
        <v>0.5493055555555556</v>
      </c>
      <c r="F808" s="1" t="s">
        <v>1375</v>
      </c>
      <c r="G808" s="3">
        <f>Logs[[#This Row],[Duree_Panne_Min]]/1440</f>
        <v>2.7083333333333334E-2</v>
      </c>
      <c r="H808">
        <v>39</v>
      </c>
      <c r="I808" t="str">
        <f>_xlfn.XLOOKUP(Logs[[#This Row],[Cell_ID]],'Registre_Maintenance'!B:B,'Registre_Maintenance'!D:D,"Pas de correspondance")</f>
        <v>Pas de correspondance</v>
      </c>
      <c r="J808" t="str">
        <f>_xlfn.XLOOKUP(Logs[[#This Row],[Cell_ID]],'Registre_Maintenance'!B:B,'Registre_Maintenance'!E:E,"Pas de correspondance")</f>
        <v>Pas de correspondance</v>
      </c>
      <c r="K808" t="str">
        <f>_xlfn.XLOOKUP(Logs[[#This Row],[Cell_ID]],'Registre_Maintenance'!B:B,'Registre_Maintenance'!F:F,"Pas de correspondance")</f>
        <v>Pas de correspondance</v>
      </c>
      <c r="L808" t="str">
        <f>_xlfn.XLOOKUP(Logs[[#This Row],[Cell_ID]],'Registre_Maintenance'!B:B,'Registre_Maintenance'!G:G,"Pas de correspondance")</f>
        <v>Pas de correspondance</v>
      </c>
      <c r="M808" s="1" t="s">
        <v>809</v>
      </c>
      <c r="N808" s="1" t="str">
        <f>_xlfn.XLOOKUP(Logs[[#This Row],[ID_Client]],Clients_Log!B:B,Clients_Log!E:E,"Pas de correspondance")</f>
        <v>Pas de correspondance</v>
      </c>
      <c r="O808" s="4" t="str">
        <f>IFERROR(Logs[[#This Row],[Anciennete_Mois]]/12,"")</f>
        <v/>
      </c>
      <c r="P808" s="1" t="str">
        <f>_xlfn.XLOOKUP(Logs[[#This Row],[ID_Client]],Clients_Log!B:B,Clients_Log!F:F,"Pas de correspondance")</f>
        <v>Pas de correspondance</v>
      </c>
      <c r="Q808" s="1" t="str">
        <f>IF(Logs[[#This Row],[Type_Forfait]]="Pro Monde","B2B","B2C")</f>
        <v>B2C</v>
      </c>
      <c r="R808" s="1" t="str">
        <f>_xlfn.XLOOKUP(Logs[[#This Row],[ID_Client]],Clients_Log!B:B,Clients_Log!G:G,"Pas de correspondance")</f>
        <v>Pas de correspondance</v>
      </c>
      <c r="S808" s="1" t="e">
        <f>Logs[[#This Row],[Duree_Cumulee_Panne_Min]]/1440</f>
        <v>#VALUE!</v>
      </c>
      <c r="T808" s="1" t="str">
        <f>_xlfn.XLOOKUP(Logs[[#This Row],[ID_Client]],Clients_Log!B:B,Clients_Log!H:H,"Pas de correspondance")</f>
        <v>Pas de correspondance</v>
      </c>
      <c r="U808" s="1" t="str">
        <f>_xlfn.XLOOKUP(Logs[[#This Row],[ID_Client]],Clients_Log!B:B,Clients_Log!I:I,"Pas de correspondance")</f>
        <v>Pas de correspondance</v>
      </c>
      <c r="V80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08" s="1" t="e">
        <f>Logs[[#This Row],[Facture_Mensuelle]]*Logs[[#This Row],[Remise (%)]]</f>
        <v>#VALUE!</v>
      </c>
    </row>
    <row r="809" spans="1:23" hidden="1" x14ac:dyDescent="0.25">
      <c r="A809" s="1" t="s">
        <v>1364</v>
      </c>
      <c r="B809" s="2">
        <v>45211</v>
      </c>
      <c r="C809" s="1" t="str">
        <f>_xlfn.XLOOKUP(Logs[[#This Row],[Province_RDC]],Clients_Log!D:D,Clients_Log!B:B,"Pas de correspondance")</f>
        <v>Pas de correspondance</v>
      </c>
      <c r="D809" t="str">
        <f>_xlfn.XLOOKUP(Logs[[#This Row],[Cell_ID]],'Registre_Maintenance'!B:B,'Registre_Maintenance'!C:C,"Pas de correspondance")</f>
        <v>Pas de correspondance</v>
      </c>
      <c r="E809" s="3">
        <v>0.2902777777777778</v>
      </c>
      <c r="F809" s="1" t="s">
        <v>1376</v>
      </c>
      <c r="G809" s="3">
        <f>Logs[[#This Row],[Duree_Panne_Min]]/1440</f>
        <v>5.0694444444444445E-2</v>
      </c>
      <c r="H809">
        <v>73</v>
      </c>
      <c r="I809" t="str">
        <f>_xlfn.XLOOKUP(Logs[[#This Row],[Cell_ID]],'Registre_Maintenance'!B:B,'Registre_Maintenance'!D:D,"Pas de correspondance")</f>
        <v>Pas de correspondance</v>
      </c>
      <c r="J809" t="str">
        <f>_xlfn.XLOOKUP(Logs[[#This Row],[Cell_ID]],'Registre_Maintenance'!B:B,'Registre_Maintenance'!E:E,"Pas de correspondance")</f>
        <v>Pas de correspondance</v>
      </c>
      <c r="K809" t="str">
        <f>_xlfn.XLOOKUP(Logs[[#This Row],[Cell_ID]],'Registre_Maintenance'!B:B,'Registre_Maintenance'!F:F,"Pas de correspondance")</f>
        <v>Pas de correspondance</v>
      </c>
      <c r="L809" t="str">
        <f>_xlfn.XLOOKUP(Logs[[#This Row],[Cell_ID]],'Registre_Maintenance'!B:B,'Registre_Maintenance'!G:G,"Pas de correspondance")</f>
        <v>Pas de correspondance</v>
      </c>
      <c r="M809" s="1" t="s">
        <v>811</v>
      </c>
      <c r="N809" s="1" t="str">
        <f>_xlfn.XLOOKUP(Logs[[#This Row],[ID_Client]],Clients_Log!B:B,Clients_Log!E:E,"Pas de correspondance")</f>
        <v>Pas de correspondance</v>
      </c>
      <c r="O809" s="4" t="str">
        <f>IFERROR(Logs[[#This Row],[Anciennete_Mois]]/12,"")</f>
        <v/>
      </c>
      <c r="P809" s="1" t="str">
        <f>_xlfn.XLOOKUP(Logs[[#This Row],[ID_Client]],Clients_Log!B:B,Clients_Log!F:F,"Pas de correspondance")</f>
        <v>Pas de correspondance</v>
      </c>
      <c r="Q809" s="1" t="str">
        <f>IF(Logs[[#This Row],[Type_Forfait]]="Pro Monde","B2B","B2C")</f>
        <v>B2C</v>
      </c>
      <c r="R809" s="1" t="str">
        <f>_xlfn.XLOOKUP(Logs[[#This Row],[ID_Client]],Clients_Log!B:B,Clients_Log!G:G,"Pas de correspondance")</f>
        <v>Pas de correspondance</v>
      </c>
      <c r="S809" s="1" t="e">
        <f>Logs[[#This Row],[Duree_Cumulee_Panne_Min]]/1440</f>
        <v>#VALUE!</v>
      </c>
      <c r="T809" s="1" t="str">
        <f>_xlfn.XLOOKUP(Logs[[#This Row],[ID_Client]],Clients_Log!B:B,Clients_Log!H:H,"Pas de correspondance")</f>
        <v>Pas de correspondance</v>
      </c>
      <c r="U809" s="1" t="str">
        <f>_xlfn.XLOOKUP(Logs[[#This Row],[ID_Client]],Clients_Log!B:B,Clients_Log!I:I,"Pas de correspondance")</f>
        <v>Pas de correspondance</v>
      </c>
      <c r="V80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09" s="1" t="e">
        <f>Logs[[#This Row],[Facture_Mensuelle]]*Logs[[#This Row],[Remise (%)]]</f>
        <v>#VALUE!</v>
      </c>
    </row>
    <row r="810" spans="1:23" x14ac:dyDescent="0.25">
      <c r="A810" s="1" t="s">
        <v>1364</v>
      </c>
      <c r="B810" s="2">
        <v>45205</v>
      </c>
      <c r="C810" s="1" t="str">
        <f>_xlfn.XLOOKUP(Logs[[#This Row],[Province_RDC]],Clients_Log!D:D,Clients_Log!B:B,"Pas de correspondance")</f>
        <v>CLI-00131</v>
      </c>
      <c r="D810" t="str">
        <f>_xlfn.XLOOKUP(Logs[[#This Row],[Cell_ID]],'Registre_Maintenance'!B:B,'Registre_Maintenance'!C:C,"Pas de correspondance")</f>
        <v>Lomami</v>
      </c>
      <c r="E810" s="3">
        <v>0.34513888888888888</v>
      </c>
      <c r="F810" s="1" t="s">
        <v>979</v>
      </c>
      <c r="G810" s="3">
        <f>Logs[[#This Row],[Duree_Panne_Min]]/1440</f>
        <v>7.5694444444444439E-2</v>
      </c>
      <c r="H810">
        <v>109</v>
      </c>
      <c r="I810">
        <f>_xlfn.XLOOKUP(Logs[[#This Row],[Cell_ID]],'Registre_Maintenance'!B:B,'Registre_Maintenance'!D:D,"Pas de correspondance")</f>
        <v>-2.2681789999999999</v>
      </c>
      <c r="J810">
        <f>_xlfn.XLOOKUP(Logs[[#This Row],[Cell_ID]],'Registre_Maintenance'!B:B,'Registre_Maintenance'!E:E,"Pas de correspondance")</f>
        <v>25.699068</v>
      </c>
      <c r="K810" t="str">
        <f>_xlfn.XLOOKUP(Logs[[#This Row],[Cell_ID]],'Registre_Maintenance'!B:B,'Registre_Maintenance'!F:F,"Pas de correspondance")</f>
        <v>3G</v>
      </c>
      <c r="L810" t="str">
        <f>_xlfn.XLOOKUP(Logs[[#This Row],[Cell_ID]],'Registre_Maintenance'!B:B,'Registre_Maintenance'!G:G,"Pas de correspondance")</f>
        <v>ZTE</v>
      </c>
      <c r="M810" s="1" t="s">
        <v>809</v>
      </c>
      <c r="N810" s="1">
        <f>_xlfn.XLOOKUP(Logs[[#This Row],[ID_Client]],Clients_Log!B:B,Clients_Log!E:E,"Pas de correspondance")</f>
        <v>101</v>
      </c>
      <c r="O810" s="4">
        <f>IFERROR(Logs[[#This Row],[Anciennete_Mois]]/12,"")</f>
        <v>8.4166666666666661</v>
      </c>
      <c r="P810" s="1" t="str">
        <f>_xlfn.XLOOKUP(Logs[[#This Row],[ID_Client]],Clients_Log!B:B,Clients_Log!F:F,"Pas de correspondance")</f>
        <v>Pro Monde</v>
      </c>
      <c r="Q810" s="1" t="str">
        <f>IF(Logs[[#This Row],[Type_Forfait]]="Pro Monde","B2B","B2C")</f>
        <v>B2B</v>
      </c>
      <c r="R810" s="1">
        <f>_xlfn.XLOOKUP(Logs[[#This Row],[ID_Client]],Clients_Log!B:B,Clients_Log!G:G,"Pas de correspondance")</f>
        <v>176</v>
      </c>
      <c r="S810" s="3">
        <f>Logs[[#This Row],[Duree_Cumulee_Panne_Min]]/1440</f>
        <v>0.12222222222222222</v>
      </c>
      <c r="T810" s="1">
        <f>_xlfn.XLOOKUP(Logs[[#This Row],[ID_Client]],Clients_Log!B:B,Clients_Log!H:H,"Pas de correspondance")</f>
        <v>86</v>
      </c>
      <c r="U810" s="1">
        <f>_xlfn.XLOOKUP(Logs[[#This Row],[ID_Client]],Clients_Log!B:B,Clients_Log!I:I,"Pas de correspondance")</f>
        <v>3</v>
      </c>
      <c r="V81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810" s="1">
        <f>Logs[[#This Row],[Facture_Mensuelle]]*Logs[[#This Row],[Remise (%)]]</f>
        <v>8.6</v>
      </c>
    </row>
    <row r="811" spans="1:23" hidden="1" x14ac:dyDescent="0.25">
      <c r="A811" s="1" t="s">
        <v>1364</v>
      </c>
      <c r="B811" s="2">
        <v>45214</v>
      </c>
      <c r="C811" s="1" t="str">
        <f>_xlfn.XLOOKUP(Logs[[#This Row],[Province_RDC]],Clients_Log!D:D,Clients_Log!B:B,"Pas de correspondance")</f>
        <v>Pas de correspondance</v>
      </c>
      <c r="D811" t="str">
        <f>_xlfn.XLOOKUP(Logs[[#This Row],[Cell_ID]],'Registre_Maintenance'!B:B,'Registre_Maintenance'!C:C,"Pas de correspondance")</f>
        <v>Pas de correspondance</v>
      </c>
      <c r="E811" s="3">
        <v>0.16805555555555557</v>
      </c>
      <c r="F811" s="1" t="s">
        <v>1377</v>
      </c>
      <c r="G811" s="3">
        <f>Logs[[#This Row],[Duree_Panne_Min]]/1440</f>
        <v>7.3611111111111113E-2</v>
      </c>
      <c r="H811">
        <v>106</v>
      </c>
      <c r="I811" t="str">
        <f>_xlfn.XLOOKUP(Logs[[#This Row],[Cell_ID]],'Registre_Maintenance'!B:B,'Registre_Maintenance'!D:D,"Pas de correspondance")</f>
        <v>Pas de correspondance</v>
      </c>
      <c r="J811" t="str">
        <f>_xlfn.XLOOKUP(Logs[[#This Row],[Cell_ID]],'Registre_Maintenance'!B:B,'Registre_Maintenance'!E:E,"Pas de correspondance")</f>
        <v>Pas de correspondance</v>
      </c>
      <c r="K811" t="str">
        <f>_xlfn.XLOOKUP(Logs[[#This Row],[Cell_ID]],'Registre_Maintenance'!B:B,'Registre_Maintenance'!F:F,"Pas de correspondance")</f>
        <v>Pas de correspondance</v>
      </c>
      <c r="L811" t="str">
        <f>_xlfn.XLOOKUP(Logs[[#This Row],[Cell_ID]],'Registre_Maintenance'!B:B,'Registre_Maintenance'!G:G,"Pas de correspondance")</f>
        <v>Pas de correspondance</v>
      </c>
      <c r="M811" s="1" t="s">
        <v>806</v>
      </c>
      <c r="N811" s="1" t="str">
        <f>_xlfn.XLOOKUP(Logs[[#This Row],[ID_Client]],Clients_Log!B:B,Clients_Log!E:E,"Pas de correspondance")</f>
        <v>Pas de correspondance</v>
      </c>
      <c r="O811" s="4" t="str">
        <f>IFERROR(Logs[[#This Row],[Anciennete_Mois]]/12,"")</f>
        <v/>
      </c>
      <c r="P811" s="1" t="str">
        <f>_xlfn.XLOOKUP(Logs[[#This Row],[ID_Client]],Clients_Log!B:B,Clients_Log!F:F,"Pas de correspondance")</f>
        <v>Pas de correspondance</v>
      </c>
      <c r="Q811" s="1" t="str">
        <f>IF(Logs[[#This Row],[Type_Forfait]]="Pro Monde","B2B","B2C")</f>
        <v>B2C</v>
      </c>
      <c r="R811" s="1" t="str">
        <f>_xlfn.XLOOKUP(Logs[[#This Row],[ID_Client]],Clients_Log!B:B,Clients_Log!G:G,"Pas de correspondance")</f>
        <v>Pas de correspondance</v>
      </c>
      <c r="S811" s="1" t="e">
        <f>Logs[[#This Row],[Duree_Cumulee_Panne_Min]]/1440</f>
        <v>#VALUE!</v>
      </c>
      <c r="T811" s="1" t="str">
        <f>_xlfn.XLOOKUP(Logs[[#This Row],[ID_Client]],Clients_Log!B:B,Clients_Log!H:H,"Pas de correspondance")</f>
        <v>Pas de correspondance</v>
      </c>
      <c r="U811" s="1" t="str">
        <f>_xlfn.XLOOKUP(Logs[[#This Row],[ID_Client]],Clients_Log!B:B,Clients_Log!I:I,"Pas de correspondance")</f>
        <v>Pas de correspondance</v>
      </c>
      <c r="V81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11" s="1" t="e">
        <f>Logs[[#This Row],[Facture_Mensuelle]]*Logs[[#This Row],[Remise (%)]]</f>
        <v>#VALUE!</v>
      </c>
    </row>
    <row r="812" spans="1:23" hidden="1" x14ac:dyDescent="0.25">
      <c r="A812" s="1" t="s">
        <v>1364</v>
      </c>
      <c r="B812" s="2">
        <v>45219</v>
      </c>
      <c r="C812" s="1" t="str">
        <f>_xlfn.XLOOKUP(Logs[[#This Row],[Province_RDC]],Clients_Log!D:D,Clients_Log!B:B,"Pas de correspondance")</f>
        <v>Pas de correspondance</v>
      </c>
      <c r="D812" t="str">
        <f>_xlfn.XLOOKUP(Logs[[#This Row],[Cell_ID]],'Registre_Maintenance'!B:B,'Registre_Maintenance'!C:C,"Pas de correspondance")</f>
        <v>Pas de correspondance</v>
      </c>
      <c r="E812" s="3">
        <v>0.81874999999999998</v>
      </c>
      <c r="F812" s="1" t="s">
        <v>988</v>
      </c>
      <c r="G812" s="3">
        <f>Logs[[#This Row],[Duree_Panne_Min]]/1440</f>
        <v>6.8750000000000006E-2</v>
      </c>
      <c r="H812">
        <v>99</v>
      </c>
      <c r="I812" t="str">
        <f>_xlfn.XLOOKUP(Logs[[#This Row],[Cell_ID]],'Registre_Maintenance'!B:B,'Registre_Maintenance'!D:D,"Pas de correspondance")</f>
        <v>Pas de correspondance</v>
      </c>
      <c r="J812" t="str">
        <f>_xlfn.XLOOKUP(Logs[[#This Row],[Cell_ID]],'Registre_Maintenance'!B:B,'Registre_Maintenance'!E:E,"Pas de correspondance")</f>
        <v>Pas de correspondance</v>
      </c>
      <c r="K812" t="str">
        <f>_xlfn.XLOOKUP(Logs[[#This Row],[Cell_ID]],'Registre_Maintenance'!B:B,'Registre_Maintenance'!F:F,"Pas de correspondance")</f>
        <v>Pas de correspondance</v>
      </c>
      <c r="L812" t="str">
        <f>_xlfn.XLOOKUP(Logs[[#This Row],[Cell_ID]],'Registre_Maintenance'!B:B,'Registre_Maintenance'!G:G,"Pas de correspondance")</f>
        <v>Pas de correspondance</v>
      </c>
      <c r="M812" s="1" t="s">
        <v>811</v>
      </c>
      <c r="N812" s="1" t="str">
        <f>_xlfn.XLOOKUP(Logs[[#This Row],[ID_Client]],Clients_Log!B:B,Clients_Log!E:E,"Pas de correspondance")</f>
        <v>Pas de correspondance</v>
      </c>
      <c r="O812" s="4" t="str">
        <f>IFERROR(Logs[[#This Row],[Anciennete_Mois]]/12,"")</f>
        <v/>
      </c>
      <c r="P812" s="1" t="str">
        <f>_xlfn.XLOOKUP(Logs[[#This Row],[ID_Client]],Clients_Log!B:B,Clients_Log!F:F,"Pas de correspondance")</f>
        <v>Pas de correspondance</v>
      </c>
      <c r="Q812" s="1" t="str">
        <f>IF(Logs[[#This Row],[Type_Forfait]]="Pro Monde","B2B","B2C")</f>
        <v>B2C</v>
      </c>
      <c r="R812" s="1" t="str">
        <f>_xlfn.XLOOKUP(Logs[[#This Row],[ID_Client]],Clients_Log!B:B,Clients_Log!G:G,"Pas de correspondance")</f>
        <v>Pas de correspondance</v>
      </c>
      <c r="S812" s="1" t="e">
        <f>Logs[[#This Row],[Duree_Cumulee_Panne_Min]]/1440</f>
        <v>#VALUE!</v>
      </c>
      <c r="T812" s="1" t="str">
        <f>_xlfn.XLOOKUP(Logs[[#This Row],[ID_Client]],Clients_Log!B:B,Clients_Log!H:H,"Pas de correspondance")</f>
        <v>Pas de correspondance</v>
      </c>
      <c r="U812" s="1" t="str">
        <f>_xlfn.XLOOKUP(Logs[[#This Row],[ID_Client]],Clients_Log!B:B,Clients_Log!I:I,"Pas de correspondance")</f>
        <v>Pas de correspondance</v>
      </c>
      <c r="V81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12" s="1" t="e">
        <f>Logs[[#This Row],[Facture_Mensuelle]]*Logs[[#This Row],[Remise (%)]]</f>
        <v>#VALUE!</v>
      </c>
    </row>
    <row r="813" spans="1:23" hidden="1" x14ac:dyDescent="0.25">
      <c r="A813" s="1" t="s">
        <v>1364</v>
      </c>
      <c r="B813" s="2">
        <v>45207</v>
      </c>
      <c r="C813" s="1" t="str">
        <f>_xlfn.XLOOKUP(Logs[[#This Row],[Province_RDC]],Clients_Log!D:D,Clients_Log!B:B,"Pas de correspondance")</f>
        <v>Pas de correspondance</v>
      </c>
      <c r="D813" t="str">
        <f>_xlfn.XLOOKUP(Logs[[#This Row],[Cell_ID]],'Registre_Maintenance'!B:B,'Registre_Maintenance'!C:C,"Pas de correspondance")</f>
        <v>Pas de correspondance</v>
      </c>
      <c r="E813" s="3">
        <v>0.84583333333333333</v>
      </c>
      <c r="F813" s="1" t="s">
        <v>1023</v>
      </c>
      <c r="G813" s="3">
        <f>Logs[[#This Row],[Duree_Panne_Min]]/1440</f>
        <v>8.3333333333333332E-3</v>
      </c>
      <c r="H813">
        <v>12</v>
      </c>
      <c r="I813" t="str">
        <f>_xlfn.XLOOKUP(Logs[[#This Row],[Cell_ID]],'Registre_Maintenance'!B:B,'Registre_Maintenance'!D:D,"Pas de correspondance")</f>
        <v>Pas de correspondance</v>
      </c>
      <c r="J813" t="str">
        <f>_xlfn.XLOOKUP(Logs[[#This Row],[Cell_ID]],'Registre_Maintenance'!B:B,'Registre_Maintenance'!E:E,"Pas de correspondance")</f>
        <v>Pas de correspondance</v>
      </c>
      <c r="K813" t="str">
        <f>_xlfn.XLOOKUP(Logs[[#This Row],[Cell_ID]],'Registre_Maintenance'!B:B,'Registre_Maintenance'!F:F,"Pas de correspondance")</f>
        <v>Pas de correspondance</v>
      </c>
      <c r="L813" t="str">
        <f>_xlfn.XLOOKUP(Logs[[#This Row],[Cell_ID]],'Registre_Maintenance'!B:B,'Registre_Maintenance'!G:G,"Pas de correspondance")</f>
        <v>Pas de correspondance</v>
      </c>
      <c r="M813" s="1" t="s">
        <v>811</v>
      </c>
      <c r="N813" s="1" t="str">
        <f>_xlfn.XLOOKUP(Logs[[#This Row],[ID_Client]],Clients_Log!B:B,Clients_Log!E:E,"Pas de correspondance")</f>
        <v>Pas de correspondance</v>
      </c>
      <c r="O813" s="4" t="str">
        <f>IFERROR(Logs[[#This Row],[Anciennete_Mois]]/12,"")</f>
        <v/>
      </c>
      <c r="P813" s="1" t="str">
        <f>_xlfn.XLOOKUP(Logs[[#This Row],[ID_Client]],Clients_Log!B:B,Clients_Log!F:F,"Pas de correspondance")</f>
        <v>Pas de correspondance</v>
      </c>
      <c r="Q813" s="1" t="str">
        <f>IF(Logs[[#This Row],[Type_Forfait]]="Pro Monde","B2B","B2C")</f>
        <v>B2C</v>
      </c>
      <c r="R813" s="1" t="str">
        <f>_xlfn.XLOOKUP(Logs[[#This Row],[ID_Client]],Clients_Log!B:B,Clients_Log!G:G,"Pas de correspondance")</f>
        <v>Pas de correspondance</v>
      </c>
      <c r="S813" s="1" t="e">
        <f>Logs[[#This Row],[Duree_Cumulee_Panne_Min]]/1440</f>
        <v>#VALUE!</v>
      </c>
      <c r="T813" s="1" t="str">
        <f>_xlfn.XLOOKUP(Logs[[#This Row],[ID_Client]],Clients_Log!B:B,Clients_Log!H:H,"Pas de correspondance")</f>
        <v>Pas de correspondance</v>
      </c>
      <c r="U813" s="1" t="str">
        <f>_xlfn.XLOOKUP(Logs[[#This Row],[ID_Client]],Clients_Log!B:B,Clients_Log!I:I,"Pas de correspondance")</f>
        <v>Pas de correspondance</v>
      </c>
      <c r="V81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13" s="1" t="e">
        <f>Logs[[#This Row],[Facture_Mensuelle]]*Logs[[#This Row],[Remise (%)]]</f>
        <v>#VALUE!</v>
      </c>
    </row>
    <row r="814" spans="1:23" x14ac:dyDescent="0.25">
      <c r="A814" s="1" t="s">
        <v>1364</v>
      </c>
      <c r="B814" s="2">
        <v>45215</v>
      </c>
      <c r="C814" s="1" t="str">
        <f>_xlfn.XLOOKUP(Logs[[#This Row],[Province_RDC]],Clients_Log!D:D,Clients_Log!B:B,"Pas de correspondance")</f>
        <v>CLI-00745</v>
      </c>
      <c r="D814" t="str">
        <f>_xlfn.XLOOKUP(Logs[[#This Row],[Cell_ID]],'Registre_Maintenance'!B:B,'Registre_Maintenance'!C:C,"Pas de correspondance")</f>
        <v>Tshopo</v>
      </c>
      <c r="E814" s="3">
        <v>0.5805555555555556</v>
      </c>
      <c r="F814" s="1" t="s">
        <v>1036</v>
      </c>
      <c r="G814" s="3">
        <f>Logs[[#This Row],[Duree_Panne_Min]]/1440</f>
        <v>7.0833333333333331E-2</v>
      </c>
      <c r="H814">
        <v>102</v>
      </c>
      <c r="I814">
        <f>_xlfn.XLOOKUP(Logs[[#This Row],[Cell_ID]],'Registre_Maintenance'!B:B,'Registre_Maintenance'!D:D,"Pas de correspondance")</f>
        <v>2.4425979999999998</v>
      </c>
      <c r="J814">
        <f>_xlfn.XLOOKUP(Logs[[#This Row],[Cell_ID]],'Registre_Maintenance'!B:B,'Registre_Maintenance'!E:E,"Pas de correspondance")</f>
        <v>24.924308</v>
      </c>
      <c r="K814" t="str">
        <f>_xlfn.XLOOKUP(Logs[[#This Row],[Cell_ID]],'Registre_Maintenance'!B:B,'Registre_Maintenance'!F:F,"Pas de correspondance")</f>
        <v>5G</v>
      </c>
      <c r="L814" t="str">
        <f>_xlfn.XLOOKUP(Logs[[#This Row],[Cell_ID]],'Registre_Maintenance'!B:B,'Registre_Maintenance'!G:G,"Pas de correspondance")</f>
        <v>Ericsson</v>
      </c>
      <c r="M814" s="1" t="s">
        <v>811</v>
      </c>
      <c r="N814" s="1">
        <f>_xlfn.XLOOKUP(Logs[[#This Row],[ID_Client]],Clients_Log!B:B,Clients_Log!E:E,"Pas de correspondance")</f>
        <v>6</v>
      </c>
      <c r="O814" s="4">
        <f>IFERROR(Logs[[#This Row],[Anciennete_Mois]]/12,"")</f>
        <v>0.5</v>
      </c>
      <c r="P814" s="1" t="str">
        <f>_xlfn.XLOOKUP(Logs[[#This Row],[ID_Client]],Clients_Log!B:B,Clients_Log!F:F,"Pas de correspondance")</f>
        <v>Premium 5G 150Go</v>
      </c>
      <c r="Q814" s="1" t="str">
        <f>IF(Logs[[#This Row],[Type_Forfait]]="Pro Monde","B2B","B2C")</f>
        <v>B2C</v>
      </c>
      <c r="R814" s="1">
        <f>_xlfn.XLOOKUP(Logs[[#This Row],[ID_Client]],Clients_Log!B:B,Clients_Log!G:G,"Pas de correspondance")</f>
        <v>207</v>
      </c>
      <c r="S814" s="3">
        <f>Logs[[#This Row],[Duree_Cumulee_Panne_Min]]/1440</f>
        <v>0.14374999999999999</v>
      </c>
      <c r="T814" s="1">
        <f>_xlfn.XLOOKUP(Logs[[#This Row],[ID_Client]],Clients_Log!B:B,Clients_Log!H:H,"Pas de correspondance")</f>
        <v>61.55</v>
      </c>
      <c r="U814" s="1">
        <f>_xlfn.XLOOKUP(Logs[[#This Row],[ID_Client]],Clients_Log!B:B,Clients_Log!I:I,"Pas de correspondance")</f>
        <v>0</v>
      </c>
      <c r="V81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14" s="1">
        <f>Logs[[#This Row],[Facture_Mensuelle]]*Logs[[#This Row],[Remise (%)]]</f>
        <v>27.697499999999998</v>
      </c>
    </row>
    <row r="815" spans="1:23" hidden="1" x14ac:dyDescent="0.25">
      <c r="A815" s="1" t="s">
        <v>1364</v>
      </c>
      <c r="B815" s="2">
        <v>45217</v>
      </c>
      <c r="C815" s="1" t="str">
        <f>_xlfn.XLOOKUP(Logs[[#This Row],[Province_RDC]],Clients_Log!D:D,Clients_Log!B:B,"Pas de correspondance")</f>
        <v>Pas de correspondance</v>
      </c>
      <c r="D815" t="str">
        <f>_xlfn.XLOOKUP(Logs[[#This Row],[Cell_ID]],'Registre_Maintenance'!B:B,'Registre_Maintenance'!C:C,"Pas de correspondance")</f>
        <v>Pas de correspondance</v>
      </c>
      <c r="E815" s="3">
        <v>0.62708333333333333</v>
      </c>
      <c r="F815" s="1" t="s">
        <v>955</v>
      </c>
      <c r="G815" s="3">
        <f>Logs[[#This Row],[Duree_Panne_Min]]/1440</f>
        <v>2.2916666666666665E-2</v>
      </c>
      <c r="H815">
        <v>33</v>
      </c>
      <c r="I815" t="str">
        <f>_xlfn.XLOOKUP(Logs[[#This Row],[Cell_ID]],'Registre_Maintenance'!B:B,'Registre_Maintenance'!D:D,"Pas de correspondance")</f>
        <v>Pas de correspondance</v>
      </c>
      <c r="J815" t="str">
        <f>_xlfn.XLOOKUP(Logs[[#This Row],[Cell_ID]],'Registre_Maintenance'!B:B,'Registre_Maintenance'!E:E,"Pas de correspondance")</f>
        <v>Pas de correspondance</v>
      </c>
      <c r="K815" t="str">
        <f>_xlfn.XLOOKUP(Logs[[#This Row],[Cell_ID]],'Registre_Maintenance'!B:B,'Registre_Maintenance'!F:F,"Pas de correspondance")</f>
        <v>Pas de correspondance</v>
      </c>
      <c r="L815" t="str">
        <f>_xlfn.XLOOKUP(Logs[[#This Row],[Cell_ID]],'Registre_Maintenance'!B:B,'Registre_Maintenance'!G:G,"Pas de correspondance")</f>
        <v>Pas de correspondance</v>
      </c>
      <c r="M815" s="1" t="s">
        <v>806</v>
      </c>
      <c r="N815" s="1" t="str">
        <f>_xlfn.XLOOKUP(Logs[[#This Row],[ID_Client]],Clients_Log!B:B,Clients_Log!E:E,"Pas de correspondance")</f>
        <v>Pas de correspondance</v>
      </c>
      <c r="O815" s="4" t="str">
        <f>IFERROR(Logs[[#This Row],[Anciennete_Mois]]/12,"")</f>
        <v/>
      </c>
      <c r="P815" s="1" t="str">
        <f>_xlfn.XLOOKUP(Logs[[#This Row],[ID_Client]],Clients_Log!B:B,Clients_Log!F:F,"Pas de correspondance")</f>
        <v>Pas de correspondance</v>
      </c>
      <c r="Q815" s="1" t="str">
        <f>IF(Logs[[#This Row],[Type_Forfait]]="Pro Monde","B2B","B2C")</f>
        <v>B2C</v>
      </c>
      <c r="R815" s="1" t="str">
        <f>_xlfn.XLOOKUP(Logs[[#This Row],[ID_Client]],Clients_Log!B:B,Clients_Log!G:G,"Pas de correspondance")</f>
        <v>Pas de correspondance</v>
      </c>
      <c r="S815" s="1" t="e">
        <f>Logs[[#This Row],[Duree_Cumulee_Panne_Min]]/1440</f>
        <v>#VALUE!</v>
      </c>
      <c r="T815" s="1" t="str">
        <f>_xlfn.XLOOKUP(Logs[[#This Row],[ID_Client]],Clients_Log!B:B,Clients_Log!H:H,"Pas de correspondance")</f>
        <v>Pas de correspondance</v>
      </c>
      <c r="U815" s="1" t="str">
        <f>_xlfn.XLOOKUP(Logs[[#This Row],[ID_Client]],Clients_Log!B:B,Clients_Log!I:I,"Pas de correspondance")</f>
        <v>Pas de correspondance</v>
      </c>
      <c r="V81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15" s="1" t="e">
        <f>Logs[[#This Row],[Facture_Mensuelle]]*Logs[[#This Row],[Remise (%)]]</f>
        <v>#VALUE!</v>
      </c>
    </row>
    <row r="816" spans="1:23" x14ac:dyDescent="0.25">
      <c r="A816" s="1" t="s">
        <v>1364</v>
      </c>
      <c r="B816" s="2">
        <v>45202</v>
      </c>
      <c r="C816" s="1" t="str">
        <f>_xlfn.XLOOKUP(Logs[[#This Row],[Province_RDC]],Clients_Log!D:D,Clients_Log!B:B,"Pas de correspondance")</f>
        <v>CLI-00865</v>
      </c>
      <c r="D816" t="str">
        <f>_xlfn.XLOOKUP(Logs[[#This Row],[Cell_ID]],'Registre_Maintenance'!B:B,'Registre_Maintenance'!C:C,"Pas de correspondance")</f>
        <v>Mongala</v>
      </c>
      <c r="E816" s="3">
        <v>0.35</v>
      </c>
      <c r="F816" s="1" t="s">
        <v>1378</v>
      </c>
      <c r="G816" s="3">
        <f>Logs[[#This Row],[Duree_Panne_Min]]/1440</f>
        <v>5.4166666666666669E-2</v>
      </c>
      <c r="H816">
        <v>78</v>
      </c>
      <c r="I816">
        <f>_xlfn.XLOOKUP(Logs[[#This Row],[Cell_ID]],'Registre_Maintenance'!B:B,'Registre_Maintenance'!D:D,"Pas de correspondance")</f>
        <v>4.0988100000000003</v>
      </c>
      <c r="J816">
        <f>_xlfn.XLOOKUP(Logs[[#This Row],[Cell_ID]],'Registre_Maintenance'!B:B,'Registre_Maintenance'!E:E,"Pas de correspondance")</f>
        <v>29.843810999999999</v>
      </c>
      <c r="K816" t="str">
        <f>_xlfn.XLOOKUP(Logs[[#This Row],[Cell_ID]],'Registre_Maintenance'!B:B,'Registre_Maintenance'!F:F,"Pas de correspondance")</f>
        <v>3G</v>
      </c>
      <c r="L816" t="str">
        <f>_xlfn.XLOOKUP(Logs[[#This Row],[Cell_ID]],'Registre_Maintenance'!B:B,'Registre_Maintenance'!G:G,"Pas de correspondance")</f>
        <v>Huawei</v>
      </c>
      <c r="M816" s="1" t="s">
        <v>806</v>
      </c>
      <c r="N816" s="1">
        <f>_xlfn.XLOOKUP(Logs[[#This Row],[ID_Client]],Clients_Log!B:B,Clients_Log!E:E,"Pas de correspondance")</f>
        <v>34</v>
      </c>
      <c r="O816" s="4">
        <f>IFERROR(Logs[[#This Row],[Anciennete_Mois]]/12,"")</f>
        <v>2.8333333333333335</v>
      </c>
      <c r="P816" s="1" t="str">
        <f>_xlfn.XLOOKUP(Logs[[#This Row],[ID_Client]],Clients_Log!B:B,Clients_Log!F:F,"Pas de correspondance")</f>
        <v>Pro Monde</v>
      </c>
      <c r="Q816" s="1" t="str">
        <f>IF(Logs[[#This Row],[Type_Forfait]]="Pro Monde","B2B","B2C")</f>
        <v>B2B</v>
      </c>
      <c r="R816" s="1">
        <f>_xlfn.XLOOKUP(Logs[[#This Row],[ID_Client]],Clients_Log!B:B,Clients_Log!G:G,"Pas de correspondance")</f>
        <v>453</v>
      </c>
      <c r="S816" s="3">
        <f>Logs[[#This Row],[Duree_Cumulee_Panne_Min]]/1440</f>
        <v>0.31458333333333333</v>
      </c>
      <c r="T816" s="1">
        <f>_xlfn.XLOOKUP(Logs[[#This Row],[ID_Client]],Clients_Log!B:B,Clients_Log!H:H,"Pas de correspondance")</f>
        <v>56.84</v>
      </c>
      <c r="U816" s="1">
        <f>_xlfn.XLOOKUP(Logs[[#This Row],[ID_Client]],Clients_Log!B:B,Clients_Log!I:I,"Pas de correspondance")</f>
        <v>0</v>
      </c>
      <c r="V81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16" s="1">
        <f>Logs[[#This Row],[Facture_Mensuelle]]*Logs[[#This Row],[Remise (%)]]</f>
        <v>25.578000000000003</v>
      </c>
    </row>
    <row r="817" spans="1:23" x14ac:dyDescent="0.25">
      <c r="A817" s="1" t="s">
        <v>1364</v>
      </c>
      <c r="B817" s="2">
        <v>45204</v>
      </c>
      <c r="C817" s="1" t="str">
        <f>_xlfn.XLOOKUP(Logs[[#This Row],[Province_RDC]],Clients_Log!D:D,Clients_Log!B:B,"Pas de correspondance")</f>
        <v>CLI-01233</v>
      </c>
      <c r="D817" t="str">
        <f>_xlfn.XLOOKUP(Logs[[#This Row],[Cell_ID]],'Registre_Maintenance'!B:B,'Registre_Maintenance'!C:C,"Pas de correspondance")</f>
        <v>Kongo-Central</v>
      </c>
      <c r="E817" s="3">
        <v>0.55000000000000004</v>
      </c>
      <c r="F817" s="1" t="s">
        <v>1030</v>
      </c>
      <c r="G817" s="3">
        <f>Logs[[#This Row],[Duree_Panne_Min]]/1440</f>
        <v>7.8472222222222221E-2</v>
      </c>
      <c r="H817">
        <v>113</v>
      </c>
      <c r="I817">
        <f>_xlfn.XLOOKUP(Logs[[#This Row],[Cell_ID]],'Registre_Maintenance'!B:B,'Registre_Maintenance'!D:D,"Pas de correspondance")</f>
        <v>2.975352</v>
      </c>
      <c r="J817">
        <f>_xlfn.XLOOKUP(Logs[[#This Row],[Cell_ID]],'Registre_Maintenance'!B:B,'Registre_Maintenance'!E:E,"Pas de correspondance")</f>
        <v>22.535886000000001</v>
      </c>
      <c r="K817" t="str">
        <f>_xlfn.XLOOKUP(Logs[[#This Row],[Cell_ID]],'Registre_Maintenance'!B:B,'Registre_Maintenance'!F:F,"Pas de correspondance")</f>
        <v>4G</v>
      </c>
      <c r="L817" t="str">
        <f>_xlfn.XLOOKUP(Logs[[#This Row],[Cell_ID]],'Registre_Maintenance'!B:B,'Registre_Maintenance'!G:G,"Pas de correspondance")</f>
        <v>Huawei</v>
      </c>
      <c r="M817" s="1" t="s">
        <v>809</v>
      </c>
      <c r="N817" s="1">
        <f>_xlfn.XLOOKUP(Logs[[#This Row],[ID_Client]],Clients_Log!B:B,Clients_Log!E:E,"Pas de correspondance")</f>
        <v>101</v>
      </c>
      <c r="O817" s="4">
        <f>IFERROR(Logs[[#This Row],[Anciennete_Mois]]/12,"")</f>
        <v>8.4166666666666661</v>
      </c>
      <c r="P817" s="1" t="str">
        <f>_xlfn.XLOOKUP(Logs[[#This Row],[ID_Client]],Clients_Log!B:B,Clients_Log!F:F,"Pas de correspondance")</f>
        <v>Pro Monde</v>
      </c>
      <c r="Q817" s="1" t="str">
        <f>IF(Logs[[#This Row],[Type_Forfait]]="Pro Monde","B2B","B2C")</f>
        <v>B2B</v>
      </c>
      <c r="R817" s="1">
        <f>_xlfn.XLOOKUP(Logs[[#This Row],[ID_Client]],Clients_Log!B:B,Clients_Log!G:G,"Pas de correspondance")</f>
        <v>333</v>
      </c>
      <c r="S817" s="3">
        <f>Logs[[#This Row],[Duree_Cumulee_Panne_Min]]/1440</f>
        <v>0.23125000000000001</v>
      </c>
      <c r="T817" s="1">
        <f>_xlfn.XLOOKUP(Logs[[#This Row],[ID_Client]],Clients_Log!B:B,Clients_Log!H:H,"Pas de correspondance")</f>
        <v>74.319999999999993</v>
      </c>
      <c r="U817" s="1">
        <f>_xlfn.XLOOKUP(Logs[[#This Row],[ID_Client]],Clients_Log!B:B,Clients_Log!I:I,"Pas de correspondance")</f>
        <v>1</v>
      </c>
      <c r="V81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17" s="1">
        <f>Logs[[#This Row],[Facture_Mensuelle]]*Logs[[#This Row],[Remise (%)]]</f>
        <v>33.443999999999996</v>
      </c>
    </row>
    <row r="818" spans="1:23" x14ac:dyDescent="0.25">
      <c r="A818" s="1" t="s">
        <v>1364</v>
      </c>
      <c r="B818" s="2">
        <v>45220</v>
      </c>
      <c r="C818" s="1" t="str">
        <f>_xlfn.XLOOKUP(Logs[[#This Row],[Province_RDC]],Clients_Log!D:D,Clients_Log!B:B,"Pas de correspondance")</f>
        <v>CLI-00745</v>
      </c>
      <c r="D818" t="str">
        <f>_xlfn.XLOOKUP(Logs[[#This Row],[Cell_ID]],'Registre_Maintenance'!B:B,'Registre_Maintenance'!C:C,"Pas de correspondance")</f>
        <v>Tshopo</v>
      </c>
      <c r="E818" s="3">
        <v>0.67708333333333337</v>
      </c>
      <c r="F818" s="1" t="s">
        <v>1379</v>
      </c>
      <c r="G818" s="3">
        <f>Logs[[#This Row],[Duree_Panne_Min]]/1440</f>
        <v>7.4305555555555555E-2</v>
      </c>
      <c r="H818">
        <v>107</v>
      </c>
      <c r="I818">
        <f>_xlfn.XLOOKUP(Logs[[#This Row],[Cell_ID]],'Registre_Maintenance'!B:B,'Registre_Maintenance'!D:D,"Pas de correspondance")</f>
        <v>-6.4670189999999996</v>
      </c>
      <c r="J818">
        <f>_xlfn.XLOOKUP(Logs[[#This Row],[Cell_ID]],'Registre_Maintenance'!B:B,'Registre_Maintenance'!E:E,"Pas de correspondance")</f>
        <v>29.487309</v>
      </c>
      <c r="K818" t="str">
        <f>_xlfn.XLOOKUP(Logs[[#This Row],[Cell_ID]],'Registre_Maintenance'!B:B,'Registre_Maintenance'!F:F,"Pas de correspondance")</f>
        <v>4G</v>
      </c>
      <c r="L818" t="str">
        <f>_xlfn.XLOOKUP(Logs[[#This Row],[Cell_ID]],'Registre_Maintenance'!B:B,'Registre_Maintenance'!G:G,"Pas de correspondance")</f>
        <v>ZTE</v>
      </c>
      <c r="M818" s="1" t="s">
        <v>811</v>
      </c>
      <c r="N818" s="1">
        <f>_xlfn.XLOOKUP(Logs[[#This Row],[ID_Client]],Clients_Log!B:B,Clients_Log!E:E,"Pas de correspondance")</f>
        <v>6</v>
      </c>
      <c r="O818" s="4">
        <f>IFERROR(Logs[[#This Row],[Anciennete_Mois]]/12,"")</f>
        <v>0.5</v>
      </c>
      <c r="P818" s="1" t="str">
        <f>_xlfn.XLOOKUP(Logs[[#This Row],[ID_Client]],Clients_Log!B:B,Clients_Log!F:F,"Pas de correspondance")</f>
        <v>Premium 5G 150Go</v>
      </c>
      <c r="Q818" s="1" t="str">
        <f>IF(Logs[[#This Row],[Type_Forfait]]="Pro Monde","B2B","B2C")</f>
        <v>B2C</v>
      </c>
      <c r="R818" s="1">
        <f>_xlfn.XLOOKUP(Logs[[#This Row],[ID_Client]],Clients_Log!B:B,Clients_Log!G:G,"Pas de correspondance")</f>
        <v>207</v>
      </c>
      <c r="S818" s="3">
        <f>Logs[[#This Row],[Duree_Cumulee_Panne_Min]]/1440</f>
        <v>0.14374999999999999</v>
      </c>
      <c r="T818" s="1">
        <f>_xlfn.XLOOKUP(Logs[[#This Row],[ID_Client]],Clients_Log!B:B,Clients_Log!H:H,"Pas de correspondance")</f>
        <v>61.55</v>
      </c>
      <c r="U818" s="1">
        <f>_xlfn.XLOOKUP(Logs[[#This Row],[ID_Client]],Clients_Log!B:B,Clients_Log!I:I,"Pas de correspondance")</f>
        <v>0</v>
      </c>
      <c r="V81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18" s="1">
        <f>Logs[[#This Row],[Facture_Mensuelle]]*Logs[[#This Row],[Remise (%)]]</f>
        <v>27.697499999999998</v>
      </c>
    </row>
    <row r="819" spans="1:23" x14ac:dyDescent="0.25">
      <c r="A819" s="1" t="s">
        <v>1364</v>
      </c>
      <c r="B819" s="2">
        <v>45220</v>
      </c>
      <c r="C819" s="1" t="str">
        <f>_xlfn.XLOOKUP(Logs[[#This Row],[Province_RDC]],Clients_Log!D:D,Clients_Log!B:B,"Pas de correspondance")</f>
        <v>CLI-00837</v>
      </c>
      <c r="D819" t="str">
        <f>_xlfn.XLOOKUP(Logs[[#This Row],[Cell_ID]],'Registre_Maintenance'!B:B,'Registre_Maintenance'!C:C,"Pas de correspondance")</f>
        <v>Nord-Kivu</v>
      </c>
      <c r="E819" s="3">
        <v>0.74305555555555558</v>
      </c>
      <c r="F819" s="1" t="s">
        <v>1195</v>
      </c>
      <c r="G819" s="3">
        <f>Logs[[#This Row],[Duree_Panne_Min]]/1440</f>
        <v>3.7499999999999999E-2</v>
      </c>
      <c r="H819">
        <v>54</v>
      </c>
      <c r="I819">
        <f>_xlfn.XLOOKUP(Logs[[#This Row],[Cell_ID]],'Registre_Maintenance'!B:B,'Registre_Maintenance'!D:D,"Pas de correspondance")</f>
        <v>-5.42171</v>
      </c>
      <c r="J819">
        <f>_xlfn.XLOOKUP(Logs[[#This Row],[Cell_ID]],'Registre_Maintenance'!B:B,'Registre_Maintenance'!E:E,"Pas de correspondance")</f>
        <v>24.202960999999998</v>
      </c>
      <c r="K819" t="str">
        <f>_xlfn.XLOOKUP(Logs[[#This Row],[Cell_ID]],'Registre_Maintenance'!B:B,'Registre_Maintenance'!F:F,"Pas de correspondance")</f>
        <v>5G</v>
      </c>
      <c r="L819" t="str">
        <f>_xlfn.XLOOKUP(Logs[[#This Row],[Cell_ID]],'Registre_Maintenance'!B:B,'Registre_Maintenance'!G:G,"Pas de correspondance")</f>
        <v>Ericsson</v>
      </c>
      <c r="M819" s="1" t="s">
        <v>809</v>
      </c>
      <c r="N819" s="1">
        <f>_xlfn.XLOOKUP(Logs[[#This Row],[ID_Client]],Clients_Log!B:B,Clients_Log!E:E,"Pas de correspondance")</f>
        <v>16</v>
      </c>
      <c r="O819" s="4">
        <f>IFERROR(Logs[[#This Row],[Anciennete_Mois]]/12,"")</f>
        <v>1.3333333333333333</v>
      </c>
      <c r="P819" s="1" t="str">
        <f>_xlfn.XLOOKUP(Logs[[#This Row],[ID_Client]],Clients_Log!B:B,Clients_Log!F:F,"Pas de correspondance")</f>
        <v>Bloqué 5Go</v>
      </c>
      <c r="Q819" s="1" t="str">
        <f>IF(Logs[[#This Row],[Type_Forfait]]="Pro Monde","B2B","B2C")</f>
        <v>B2C</v>
      </c>
      <c r="R819" s="1">
        <f>_xlfn.XLOOKUP(Logs[[#This Row],[ID_Client]],Clients_Log!B:B,Clients_Log!G:G,"Pas de correspondance")</f>
        <v>390</v>
      </c>
      <c r="S819" s="3">
        <f>Logs[[#This Row],[Duree_Cumulee_Panne_Min]]/1440</f>
        <v>0.27083333333333331</v>
      </c>
      <c r="T819" s="1">
        <f>_xlfn.XLOOKUP(Logs[[#This Row],[ID_Client]],Clients_Log!B:B,Clients_Log!H:H,"Pas de correspondance")</f>
        <v>98.17</v>
      </c>
      <c r="U819" s="1">
        <f>_xlfn.XLOOKUP(Logs[[#This Row],[ID_Client]],Clients_Log!B:B,Clients_Log!I:I,"Pas de correspondance")</f>
        <v>5</v>
      </c>
      <c r="V81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19" s="1">
        <f>Logs[[#This Row],[Facture_Mensuelle]]*Logs[[#This Row],[Remise (%)]]</f>
        <v>44.176500000000004</v>
      </c>
    </row>
    <row r="820" spans="1:23" x14ac:dyDescent="0.25">
      <c r="A820" s="1" t="s">
        <v>1364</v>
      </c>
      <c r="B820" s="2">
        <v>45200</v>
      </c>
      <c r="C820" s="1" t="str">
        <f>_xlfn.XLOOKUP(Logs[[#This Row],[Province_RDC]],Clients_Log!D:D,Clients_Log!B:B,"Pas de correspondance")</f>
        <v>CLI-00894</v>
      </c>
      <c r="D820" t="str">
        <f>_xlfn.XLOOKUP(Logs[[#This Row],[Cell_ID]],'Registre_Maintenance'!B:B,'Registre_Maintenance'!C:C,"Pas de correspondance")</f>
        <v>Tshuapa</v>
      </c>
      <c r="E820" s="3">
        <v>0.53472222222222221</v>
      </c>
      <c r="F820" s="1" t="s">
        <v>1380</v>
      </c>
      <c r="G820" s="3">
        <f>Logs[[#This Row],[Duree_Panne_Min]]/1440</f>
        <v>3.4722222222222224E-2</v>
      </c>
      <c r="H820">
        <v>50</v>
      </c>
      <c r="I820">
        <f>_xlfn.XLOOKUP(Logs[[#This Row],[Cell_ID]],'Registre_Maintenance'!B:B,'Registre_Maintenance'!D:D,"Pas de correspondance")</f>
        <v>-7.7587710000000003</v>
      </c>
      <c r="J820">
        <f>_xlfn.XLOOKUP(Logs[[#This Row],[Cell_ID]],'Registre_Maintenance'!B:B,'Registre_Maintenance'!E:E,"Pas de correspondance")</f>
        <v>17.880848</v>
      </c>
      <c r="K820" t="str">
        <f>_xlfn.XLOOKUP(Logs[[#This Row],[Cell_ID]],'Registre_Maintenance'!B:B,'Registre_Maintenance'!F:F,"Pas de correspondance")</f>
        <v>3G</v>
      </c>
      <c r="L820" t="str">
        <f>_xlfn.XLOOKUP(Logs[[#This Row],[Cell_ID]],'Registre_Maintenance'!B:B,'Registre_Maintenance'!G:G,"Pas de correspondance")</f>
        <v>Ericsson</v>
      </c>
      <c r="M820" s="1" t="s">
        <v>811</v>
      </c>
      <c r="N820" s="1">
        <f>_xlfn.XLOOKUP(Logs[[#This Row],[ID_Client]],Clients_Log!B:B,Clients_Log!E:E,"Pas de correspondance")</f>
        <v>63</v>
      </c>
      <c r="O820" s="4">
        <f>IFERROR(Logs[[#This Row],[Anciennete_Mois]]/12,"")</f>
        <v>5.25</v>
      </c>
      <c r="P820" s="1" t="str">
        <f>_xlfn.XLOOKUP(Logs[[#This Row],[ID_Client]],Clients_Log!B:B,Clients_Log!F:F,"Pas de correspondance")</f>
        <v>Pro Monde</v>
      </c>
      <c r="Q820" s="1" t="str">
        <f>IF(Logs[[#This Row],[Type_Forfait]]="Pro Monde","B2B","B2C")</f>
        <v>B2B</v>
      </c>
      <c r="R820" s="1">
        <f>_xlfn.XLOOKUP(Logs[[#This Row],[ID_Client]],Clients_Log!B:B,Clients_Log!G:G,"Pas de correspondance")</f>
        <v>205</v>
      </c>
      <c r="S820" s="3">
        <f>Logs[[#This Row],[Duree_Cumulee_Panne_Min]]/1440</f>
        <v>0.1423611111111111</v>
      </c>
      <c r="T820" s="1">
        <f>_xlfn.XLOOKUP(Logs[[#This Row],[ID_Client]],Clients_Log!B:B,Clients_Log!H:H,"Pas de correspondance")</f>
        <v>89.19</v>
      </c>
      <c r="U820" s="1">
        <f>_xlfn.XLOOKUP(Logs[[#This Row],[ID_Client]],Clients_Log!B:B,Clients_Log!I:I,"Pas de correspondance")</f>
        <v>0</v>
      </c>
      <c r="V82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820" s="1">
        <f>Logs[[#This Row],[Facture_Mensuelle]]*Logs[[#This Row],[Remise (%)]]</f>
        <v>8.9190000000000005</v>
      </c>
    </row>
    <row r="821" spans="1:23" x14ac:dyDescent="0.25">
      <c r="A821" s="1" t="s">
        <v>1364</v>
      </c>
      <c r="B821" s="2">
        <v>45222</v>
      </c>
      <c r="C821" s="1" t="str">
        <f>_xlfn.XLOOKUP(Logs[[#This Row],[Province_RDC]],Clients_Log!D:D,Clients_Log!B:B,"Pas de correspondance")</f>
        <v>CLI-00439</v>
      </c>
      <c r="D821" t="str">
        <f>_xlfn.XLOOKUP(Logs[[#This Row],[Cell_ID]],'Registre_Maintenance'!B:B,'Registre_Maintenance'!C:C,"Pas de correspondance")</f>
        <v>Haut-Uele</v>
      </c>
      <c r="E821" s="3">
        <v>0.47916666666666669</v>
      </c>
      <c r="F821" s="1" t="s">
        <v>1381</v>
      </c>
      <c r="G821" s="3">
        <f>Logs[[#This Row],[Duree_Panne_Min]]/1440</f>
        <v>7.7777777777777779E-2</v>
      </c>
      <c r="H821">
        <v>112</v>
      </c>
      <c r="I821">
        <f>_xlfn.XLOOKUP(Logs[[#This Row],[Cell_ID]],'Registre_Maintenance'!B:B,'Registre_Maintenance'!D:D,"Pas de correspondance")</f>
        <v>-8.8118569999999998</v>
      </c>
      <c r="J821">
        <f>_xlfn.XLOOKUP(Logs[[#This Row],[Cell_ID]],'Registre_Maintenance'!B:B,'Registre_Maintenance'!E:E,"Pas de correspondance")</f>
        <v>14.465711000000001</v>
      </c>
      <c r="K821" t="str">
        <f>_xlfn.XLOOKUP(Logs[[#This Row],[Cell_ID]],'Registre_Maintenance'!B:B,'Registre_Maintenance'!F:F,"Pas de correspondance")</f>
        <v>5G</v>
      </c>
      <c r="L821" t="str">
        <f>_xlfn.XLOOKUP(Logs[[#This Row],[Cell_ID]],'Registre_Maintenance'!B:B,'Registre_Maintenance'!G:G,"Pas de correspondance")</f>
        <v>Nokia</v>
      </c>
      <c r="M821" s="1" t="s">
        <v>809</v>
      </c>
      <c r="N821" s="1">
        <f>_xlfn.XLOOKUP(Logs[[#This Row],[ID_Client]],Clients_Log!B:B,Clients_Log!E:E,"Pas de correspondance")</f>
        <v>40</v>
      </c>
      <c r="O821" s="4">
        <f>IFERROR(Logs[[#This Row],[Anciennete_Mois]]/12,"")</f>
        <v>3.3333333333333335</v>
      </c>
      <c r="P821" s="1" t="str">
        <f>_xlfn.XLOOKUP(Logs[[#This Row],[ID_Client]],Clients_Log!B:B,Clients_Log!F:F,"Pas de correspondance")</f>
        <v>Premium 5G 150Go</v>
      </c>
      <c r="Q821" s="1" t="str">
        <f>IF(Logs[[#This Row],[Type_Forfait]]="Pro Monde","B2B","B2C")</f>
        <v>B2C</v>
      </c>
      <c r="R821" s="1">
        <f>_xlfn.XLOOKUP(Logs[[#This Row],[ID_Client]],Clients_Log!B:B,Clients_Log!G:G,"Pas de correspondance")</f>
        <v>345</v>
      </c>
      <c r="S821" s="3">
        <f>Logs[[#This Row],[Duree_Cumulee_Panne_Min]]/1440</f>
        <v>0.23958333333333334</v>
      </c>
      <c r="T821" s="1">
        <f>_xlfn.XLOOKUP(Logs[[#This Row],[ID_Client]],Clients_Log!B:B,Clients_Log!H:H,"Pas de correspondance")</f>
        <v>89.55</v>
      </c>
      <c r="U821" s="1">
        <f>_xlfn.XLOOKUP(Logs[[#This Row],[ID_Client]],Clients_Log!B:B,Clients_Log!I:I,"Pas de correspondance")</f>
        <v>3</v>
      </c>
      <c r="V82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21" s="1">
        <f>Logs[[#This Row],[Facture_Mensuelle]]*Logs[[#This Row],[Remise (%)]]</f>
        <v>40.297499999999999</v>
      </c>
    </row>
    <row r="822" spans="1:23" hidden="1" x14ac:dyDescent="0.25">
      <c r="A822" s="1" t="s">
        <v>1364</v>
      </c>
      <c r="B822" s="2">
        <v>45217</v>
      </c>
      <c r="C822" s="1" t="str">
        <f>_xlfn.XLOOKUP(Logs[[#This Row],[Province_RDC]],Clients_Log!D:D,Clients_Log!B:B,"Pas de correspondance")</f>
        <v>Pas de correspondance</v>
      </c>
      <c r="D822" t="str">
        <f>_xlfn.XLOOKUP(Logs[[#This Row],[Cell_ID]],'Registre_Maintenance'!B:B,'Registre_Maintenance'!C:C,"Pas de correspondance")</f>
        <v>Pas de correspondance</v>
      </c>
      <c r="E822" s="3">
        <v>0.64027777777777772</v>
      </c>
      <c r="F822" s="1" t="s">
        <v>1382</v>
      </c>
      <c r="G822" s="3">
        <f>Logs[[#This Row],[Duree_Panne_Min]]/1440</f>
        <v>7.8472222222222221E-2</v>
      </c>
      <c r="H822">
        <v>113</v>
      </c>
      <c r="I822" t="str">
        <f>_xlfn.XLOOKUP(Logs[[#This Row],[Cell_ID]],'Registre_Maintenance'!B:B,'Registre_Maintenance'!D:D,"Pas de correspondance")</f>
        <v>Pas de correspondance</v>
      </c>
      <c r="J822" t="str">
        <f>_xlfn.XLOOKUP(Logs[[#This Row],[Cell_ID]],'Registre_Maintenance'!B:B,'Registre_Maintenance'!E:E,"Pas de correspondance")</f>
        <v>Pas de correspondance</v>
      </c>
      <c r="K822" t="str">
        <f>_xlfn.XLOOKUP(Logs[[#This Row],[Cell_ID]],'Registre_Maintenance'!B:B,'Registre_Maintenance'!F:F,"Pas de correspondance")</f>
        <v>Pas de correspondance</v>
      </c>
      <c r="L822" t="str">
        <f>_xlfn.XLOOKUP(Logs[[#This Row],[Cell_ID]],'Registre_Maintenance'!B:B,'Registre_Maintenance'!G:G,"Pas de correspondance")</f>
        <v>Pas de correspondance</v>
      </c>
      <c r="M822" s="1" t="s">
        <v>811</v>
      </c>
      <c r="N822" s="1" t="str">
        <f>_xlfn.XLOOKUP(Logs[[#This Row],[ID_Client]],Clients_Log!B:B,Clients_Log!E:E,"Pas de correspondance")</f>
        <v>Pas de correspondance</v>
      </c>
      <c r="O822" s="4" t="str">
        <f>IFERROR(Logs[[#This Row],[Anciennete_Mois]]/12,"")</f>
        <v/>
      </c>
      <c r="P822" s="1" t="str">
        <f>_xlfn.XLOOKUP(Logs[[#This Row],[ID_Client]],Clients_Log!B:B,Clients_Log!F:F,"Pas de correspondance")</f>
        <v>Pas de correspondance</v>
      </c>
      <c r="Q822" s="1" t="str">
        <f>IF(Logs[[#This Row],[Type_Forfait]]="Pro Monde","B2B","B2C")</f>
        <v>B2C</v>
      </c>
      <c r="R822" s="1" t="str">
        <f>_xlfn.XLOOKUP(Logs[[#This Row],[ID_Client]],Clients_Log!B:B,Clients_Log!G:G,"Pas de correspondance")</f>
        <v>Pas de correspondance</v>
      </c>
      <c r="S822" s="1" t="e">
        <f>Logs[[#This Row],[Duree_Cumulee_Panne_Min]]/1440</f>
        <v>#VALUE!</v>
      </c>
      <c r="T822" s="1" t="str">
        <f>_xlfn.XLOOKUP(Logs[[#This Row],[ID_Client]],Clients_Log!B:B,Clients_Log!H:H,"Pas de correspondance")</f>
        <v>Pas de correspondance</v>
      </c>
      <c r="U822" s="1" t="str">
        <f>_xlfn.XLOOKUP(Logs[[#This Row],[ID_Client]],Clients_Log!B:B,Clients_Log!I:I,"Pas de correspondance")</f>
        <v>Pas de correspondance</v>
      </c>
      <c r="V82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22" s="1" t="e">
        <f>Logs[[#This Row],[Facture_Mensuelle]]*Logs[[#This Row],[Remise (%)]]</f>
        <v>#VALUE!</v>
      </c>
    </row>
    <row r="823" spans="1:23" hidden="1" x14ac:dyDescent="0.25">
      <c r="A823" s="1" t="s">
        <v>1364</v>
      </c>
      <c r="B823" s="2">
        <v>45229</v>
      </c>
      <c r="C823" s="1" t="str">
        <f>_xlfn.XLOOKUP(Logs[[#This Row],[Province_RDC]],Clients_Log!D:D,Clients_Log!B:B,"Pas de correspondance")</f>
        <v>Pas de correspondance</v>
      </c>
      <c r="D823" t="str">
        <f>_xlfn.XLOOKUP(Logs[[#This Row],[Cell_ID]],'Registre_Maintenance'!B:B,'Registre_Maintenance'!C:C,"Pas de correspondance")</f>
        <v>Pas de correspondance</v>
      </c>
      <c r="E823" s="3">
        <v>0.77222222222222225</v>
      </c>
      <c r="F823" s="1" t="s">
        <v>1257</v>
      </c>
      <c r="G823" s="3">
        <f>Logs[[#This Row],[Duree_Panne_Min]]/1440</f>
        <v>1.8749999999999999E-2</v>
      </c>
      <c r="H823">
        <v>27</v>
      </c>
      <c r="I823" t="str">
        <f>_xlfn.XLOOKUP(Logs[[#This Row],[Cell_ID]],'Registre_Maintenance'!B:B,'Registre_Maintenance'!D:D,"Pas de correspondance")</f>
        <v>Pas de correspondance</v>
      </c>
      <c r="J823" t="str">
        <f>_xlfn.XLOOKUP(Logs[[#This Row],[Cell_ID]],'Registre_Maintenance'!B:B,'Registre_Maintenance'!E:E,"Pas de correspondance")</f>
        <v>Pas de correspondance</v>
      </c>
      <c r="K823" t="str">
        <f>_xlfn.XLOOKUP(Logs[[#This Row],[Cell_ID]],'Registre_Maintenance'!B:B,'Registre_Maintenance'!F:F,"Pas de correspondance")</f>
        <v>Pas de correspondance</v>
      </c>
      <c r="L823" t="str">
        <f>_xlfn.XLOOKUP(Logs[[#This Row],[Cell_ID]],'Registre_Maintenance'!B:B,'Registre_Maintenance'!G:G,"Pas de correspondance")</f>
        <v>Pas de correspondance</v>
      </c>
      <c r="M823" s="1" t="s">
        <v>806</v>
      </c>
      <c r="N823" s="1" t="str">
        <f>_xlfn.XLOOKUP(Logs[[#This Row],[ID_Client]],Clients_Log!B:B,Clients_Log!E:E,"Pas de correspondance")</f>
        <v>Pas de correspondance</v>
      </c>
      <c r="O823" s="4" t="str">
        <f>IFERROR(Logs[[#This Row],[Anciennete_Mois]]/12,"")</f>
        <v/>
      </c>
      <c r="P823" s="1" t="str">
        <f>_xlfn.XLOOKUP(Logs[[#This Row],[ID_Client]],Clients_Log!B:B,Clients_Log!F:F,"Pas de correspondance")</f>
        <v>Pas de correspondance</v>
      </c>
      <c r="Q823" s="1" t="str">
        <f>IF(Logs[[#This Row],[Type_Forfait]]="Pro Monde","B2B","B2C")</f>
        <v>B2C</v>
      </c>
      <c r="R823" s="1" t="str">
        <f>_xlfn.XLOOKUP(Logs[[#This Row],[ID_Client]],Clients_Log!B:B,Clients_Log!G:G,"Pas de correspondance")</f>
        <v>Pas de correspondance</v>
      </c>
      <c r="S823" s="1" t="e">
        <f>Logs[[#This Row],[Duree_Cumulee_Panne_Min]]/1440</f>
        <v>#VALUE!</v>
      </c>
      <c r="T823" s="1" t="str">
        <f>_xlfn.XLOOKUP(Logs[[#This Row],[ID_Client]],Clients_Log!B:B,Clients_Log!H:H,"Pas de correspondance")</f>
        <v>Pas de correspondance</v>
      </c>
      <c r="U823" s="1" t="str">
        <f>_xlfn.XLOOKUP(Logs[[#This Row],[ID_Client]],Clients_Log!B:B,Clients_Log!I:I,"Pas de correspondance")</f>
        <v>Pas de correspondance</v>
      </c>
      <c r="V82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23" s="1" t="e">
        <f>Logs[[#This Row],[Facture_Mensuelle]]*Logs[[#This Row],[Remise (%)]]</f>
        <v>#VALUE!</v>
      </c>
    </row>
    <row r="824" spans="1:23" hidden="1" x14ac:dyDescent="0.25">
      <c r="A824" s="1" t="s">
        <v>1364</v>
      </c>
      <c r="B824" s="2">
        <v>45210</v>
      </c>
      <c r="C824" s="1" t="str">
        <f>_xlfn.XLOOKUP(Logs[[#This Row],[Province_RDC]],Clients_Log!D:D,Clients_Log!B:B,"Pas de correspondance")</f>
        <v>Pas de correspondance</v>
      </c>
      <c r="D824" t="str">
        <f>_xlfn.XLOOKUP(Logs[[#This Row],[Cell_ID]],'Registre_Maintenance'!B:B,'Registre_Maintenance'!C:C,"Pas de correspondance")</f>
        <v>Pas de correspondance</v>
      </c>
      <c r="E824" s="3">
        <v>0.51180555555555551</v>
      </c>
      <c r="F824" s="1" t="s">
        <v>1383</v>
      </c>
      <c r="G824" s="3">
        <f>Logs[[#This Row],[Duree_Panne_Min]]/1440</f>
        <v>1.8749999999999999E-2</v>
      </c>
      <c r="H824">
        <v>27</v>
      </c>
      <c r="I824" t="str">
        <f>_xlfn.XLOOKUP(Logs[[#This Row],[Cell_ID]],'Registre_Maintenance'!B:B,'Registre_Maintenance'!D:D,"Pas de correspondance")</f>
        <v>Pas de correspondance</v>
      </c>
      <c r="J824" t="str">
        <f>_xlfn.XLOOKUP(Logs[[#This Row],[Cell_ID]],'Registre_Maintenance'!B:B,'Registre_Maintenance'!E:E,"Pas de correspondance")</f>
        <v>Pas de correspondance</v>
      </c>
      <c r="K824" t="str">
        <f>_xlfn.XLOOKUP(Logs[[#This Row],[Cell_ID]],'Registre_Maintenance'!B:B,'Registre_Maintenance'!F:F,"Pas de correspondance")</f>
        <v>Pas de correspondance</v>
      </c>
      <c r="L824" t="str">
        <f>_xlfn.XLOOKUP(Logs[[#This Row],[Cell_ID]],'Registre_Maintenance'!B:B,'Registre_Maintenance'!G:G,"Pas de correspondance")</f>
        <v>Pas de correspondance</v>
      </c>
      <c r="M824" s="1" t="s">
        <v>809</v>
      </c>
      <c r="N824" s="1" t="str">
        <f>_xlfn.XLOOKUP(Logs[[#This Row],[ID_Client]],Clients_Log!B:B,Clients_Log!E:E,"Pas de correspondance")</f>
        <v>Pas de correspondance</v>
      </c>
      <c r="O824" s="4" t="str">
        <f>IFERROR(Logs[[#This Row],[Anciennete_Mois]]/12,"")</f>
        <v/>
      </c>
      <c r="P824" s="1" t="str">
        <f>_xlfn.XLOOKUP(Logs[[#This Row],[ID_Client]],Clients_Log!B:B,Clients_Log!F:F,"Pas de correspondance")</f>
        <v>Pas de correspondance</v>
      </c>
      <c r="Q824" s="1" t="str">
        <f>IF(Logs[[#This Row],[Type_Forfait]]="Pro Monde","B2B","B2C")</f>
        <v>B2C</v>
      </c>
      <c r="R824" s="1" t="str">
        <f>_xlfn.XLOOKUP(Logs[[#This Row],[ID_Client]],Clients_Log!B:B,Clients_Log!G:G,"Pas de correspondance")</f>
        <v>Pas de correspondance</v>
      </c>
      <c r="S824" s="1" t="e">
        <f>Logs[[#This Row],[Duree_Cumulee_Panne_Min]]/1440</f>
        <v>#VALUE!</v>
      </c>
      <c r="T824" s="1" t="str">
        <f>_xlfn.XLOOKUP(Logs[[#This Row],[ID_Client]],Clients_Log!B:B,Clients_Log!H:H,"Pas de correspondance")</f>
        <v>Pas de correspondance</v>
      </c>
      <c r="U824" s="1" t="str">
        <f>_xlfn.XLOOKUP(Logs[[#This Row],[ID_Client]],Clients_Log!B:B,Clients_Log!I:I,"Pas de correspondance")</f>
        <v>Pas de correspondance</v>
      </c>
      <c r="V82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24" s="1" t="e">
        <f>Logs[[#This Row],[Facture_Mensuelle]]*Logs[[#This Row],[Remise (%)]]</f>
        <v>#VALUE!</v>
      </c>
    </row>
    <row r="825" spans="1:23" x14ac:dyDescent="0.25">
      <c r="A825" s="1" t="s">
        <v>1364</v>
      </c>
      <c r="B825" s="2">
        <v>45205</v>
      </c>
      <c r="C825" s="1" t="str">
        <f>_xlfn.XLOOKUP(Logs[[#This Row],[Province_RDC]],Clients_Log!D:D,Clients_Log!B:B,"Pas de correspondance")</f>
        <v>CLI-01170</v>
      </c>
      <c r="D825" t="str">
        <f>_xlfn.XLOOKUP(Logs[[#This Row],[Cell_ID]],'Registre_Maintenance'!B:B,'Registre_Maintenance'!C:C,"Pas de correspondance")</f>
        <v>Nord-Ubangi</v>
      </c>
      <c r="E825" s="3">
        <v>1.3888888888888888E-2</v>
      </c>
      <c r="F825" s="1" t="s">
        <v>837</v>
      </c>
      <c r="G825" s="3">
        <f>Logs[[#This Row],[Duree_Panne_Min]]/1440</f>
        <v>2.4305555555555556E-2</v>
      </c>
      <c r="H825">
        <v>35</v>
      </c>
      <c r="I825">
        <f>_xlfn.XLOOKUP(Logs[[#This Row],[Cell_ID]],'Registre_Maintenance'!B:B,'Registre_Maintenance'!D:D,"Pas de correspondance")</f>
        <v>-8.1437910000000002</v>
      </c>
      <c r="J825">
        <f>_xlfn.XLOOKUP(Logs[[#This Row],[Cell_ID]],'Registre_Maintenance'!B:B,'Registre_Maintenance'!E:E,"Pas de correspondance")</f>
        <v>28.946161</v>
      </c>
      <c r="K825" t="str">
        <f>_xlfn.XLOOKUP(Logs[[#This Row],[Cell_ID]],'Registre_Maintenance'!B:B,'Registre_Maintenance'!F:F,"Pas de correspondance")</f>
        <v>4G</v>
      </c>
      <c r="L825" t="str">
        <f>_xlfn.XLOOKUP(Logs[[#This Row],[Cell_ID]],'Registre_Maintenance'!B:B,'Registre_Maintenance'!G:G,"Pas de correspondance")</f>
        <v>ZTE</v>
      </c>
      <c r="M825" s="1" t="s">
        <v>809</v>
      </c>
      <c r="N825" s="1">
        <f>_xlfn.XLOOKUP(Logs[[#This Row],[ID_Client]],Clients_Log!B:B,Clients_Log!E:E,"Pas de correspondance")</f>
        <v>98</v>
      </c>
      <c r="O825" s="4">
        <f>IFERROR(Logs[[#This Row],[Anciennete_Mois]]/12,"")</f>
        <v>8.1666666666666661</v>
      </c>
      <c r="P825" s="1" t="str">
        <f>_xlfn.XLOOKUP(Logs[[#This Row],[ID_Client]],Clients_Log!B:B,Clients_Log!F:F,"Pas de correspondance")</f>
        <v>Pro Monde</v>
      </c>
      <c r="Q825" s="1" t="str">
        <f>IF(Logs[[#This Row],[Type_Forfait]]="Pro Monde","B2B","B2C")</f>
        <v>B2B</v>
      </c>
      <c r="R825" s="1">
        <f>_xlfn.XLOOKUP(Logs[[#This Row],[ID_Client]],Clients_Log!B:B,Clients_Log!G:G,"Pas de correspondance")</f>
        <v>482</v>
      </c>
      <c r="S825" s="3">
        <f>Logs[[#This Row],[Duree_Cumulee_Panne_Min]]/1440</f>
        <v>0.3347222222222222</v>
      </c>
      <c r="T825" s="1">
        <f>_xlfn.XLOOKUP(Logs[[#This Row],[ID_Client]],Clients_Log!B:B,Clients_Log!H:H,"Pas de correspondance")</f>
        <v>55.04</v>
      </c>
      <c r="U825" s="1">
        <f>_xlfn.XLOOKUP(Logs[[#This Row],[ID_Client]],Clients_Log!B:B,Clients_Log!I:I,"Pas de correspondance")</f>
        <v>5</v>
      </c>
      <c r="V82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25" s="1">
        <f>Logs[[#This Row],[Facture_Mensuelle]]*Logs[[#This Row],[Remise (%)]]</f>
        <v>24.768000000000001</v>
      </c>
    </row>
    <row r="826" spans="1:23" hidden="1" x14ac:dyDescent="0.25">
      <c r="A826" s="1" t="s">
        <v>1384</v>
      </c>
      <c r="B826" s="2">
        <v>45226</v>
      </c>
      <c r="C826" s="1" t="str">
        <f>_xlfn.XLOOKUP(Logs[[#This Row],[Province_RDC]],Clients_Log!D:D,Clients_Log!B:B,"Pas de correspondance")</f>
        <v>Pas de correspondance</v>
      </c>
      <c r="D826" t="str">
        <f>_xlfn.XLOOKUP(Logs[[#This Row],[Cell_ID]],'Registre_Maintenance'!B:B,'Registre_Maintenance'!C:C,"Pas de correspondance")</f>
        <v>Pas de correspondance</v>
      </c>
      <c r="E826" s="3">
        <v>0.22500000000000001</v>
      </c>
      <c r="F826" s="1" t="s">
        <v>1385</v>
      </c>
      <c r="G826" s="3">
        <f>Logs[[#This Row],[Duree_Panne_Min]]/1440</f>
        <v>7.6388888888888886E-3</v>
      </c>
      <c r="H826">
        <v>11</v>
      </c>
      <c r="I826" t="str">
        <f>_xlfn.XLOOKUP(Logs[[#This Row],[Cell_ID]],'Registre_Maintenance'!B:B,'Registre_Maintenance'!D:D,"Pas de correspondance")</f>
        <v>Pas de correspondance</v>
      </c>
      <c r="J826" t="str">
        <f>_xlfn.XLOOKUP(Logs[[#This Row],[Cell_ID]],'Registre_Maintenance'!B:B,'Registre_Maintenance'!E:E,"Pas de correspondance")</f>
        <v>Pas de correspondance</v>
      </c>
      <c r="K826" t="str">
        <f>_xlfn.XLOOKUP(Logs[[#This Row],[Cell_ID]],'Registre_Maintenance'!B:B,'Registre_Maintenance'!F:F,"Pas de correspondance")</f>
        <v>Pas de correspondance</v>
      </c>
      <c r="L826" t="str">
        <f>_xlfn.XLOOKUP(Logs[[#This Row],[Cell_ID]],'Registre_Maintenance'!B:B,'Registre_Maintenance'!G:G,"Pas de correspondance")</f>
        <v>Pas de correspondance</v>
      </c>
      <c r="M826" s="1" t="s">
        <v>809</v>
      </c>
      <c r="N826" s="1" t="str">
        <f>_xlfn.XLOOKUP(Logs[[#This Row],[ID_Client]],Clients_Log!B:B,Clients_Log!E:E,"Pas de correspondance")</f>
        <v>Pas de correspondance</v>
      </c>
      <c r="O826" s="4" t="str">
        <f>IFERROR(Logs[[#This Row],[Anciennete_Mois]]/12,"")</f>
        <v/>
      </c>
      <c r="P826" s="1" t="str">
        <f>_xlfn.XLOOKUP(Logs[[#This Row],[ID_Client]],Clients_Log!B:B,Clients_Log!F:F,"Pas de correspondance")</f>
        <v>Pas de correspondance</v>
      </c>
      <c r="Q826" s="1" t="str">
        <f>IF(Logs[[#This Row],[Type_Forfait]]="Pro Monde","B2B","B2C")</f>
        <v>B2C</v>
      </c>
      <c r="R826" s="1" t="str">
        <f>_xlfn.XLOOKUP(Logs[[#This Row],[ID_Client]],Clients_Log!B:B,Clients_Log!G:G,"Pas de correspondance")</f>
        <v>Pas de correspondance</v>
      </c>
      <c r="S826" s="1" t="e">
        <f>Logs[[#This Row],[Duree_Cumulee_Panne_Min]]/1440</f>
        <v>#VALUE!</v>
      </c>
      <c r="T826" s="1" t="str">
        <f>_xlfn.XLOOKUP(Logs[[#This Row],[ID_Client]],Clients_Log!B:B,Clients_Log!H:H,"Pas de correspondance")</f>
        <v>Pas de correspondance</v>
      </c>
      <c r="U826" s="1" t="str">
        <f>_xlfn.XLOOKUP(Logs[[#This Row],[ID_Client]],Clients_Log!B:B,Clients_Log!I:I,"Pas de correspondance")</f>
        <v>Pas de correspondance</v>
      </c>
      <c r="V82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26" s="1" t="e">
        <f>Logs[[#This Row],[Facture_Mensuelle]]*Logs[[#This Row],[Remise (%)]]</f>
        <v>#VALUE!</v>
      </c>
    </row>
    <row r="827" spans="1:23" x14ac:dyDescent="0.25">
      <c r="A827" s="1" t="s">
        <v>1384</v>
      </c>
      <c r="B827" s="2">
        <v>45209</v>
      </c>
      <c r="C827" s="1" t="str">
        <f>_xlfn.XLOOKUP(Logs[[#This Row],[Province_RDC]],Clients_Log!D:D,Clients_Log!B:B,"Pas de correspondance")</f>
        <v>CLI-00643</v>
      </c>
      <c r="D827" t="str">
        <f>_xlfn.XLOOKUP(Logs[[#This Row],[Cell_ID]],'Registre_Maintenance'!B:B,'Registre_Maintenance'!C:C,"Pas de correspondance")</f>
        <v>Equateur</v>
      </c>
      <c r="E827" s="3">
        <v>0.98888888888888893</v>
      </c>
      <c r="F827" s="1" t="s">
        <v>1276</v>
      </c>
      <c r="G827" s="3">
        <f>Logs[[#This Row],[Duree_Panne_Min]]/1440</f>
        <v>3.5416666666666666E-2</v>
      </c>
      <c r="H827">
        <v>51</v>
      </c>
      <c r="I827">
        <f>_xlfn.XLOOKUP(Logs[[#This Row],[Cell_ID]],'Registre_Maintenance'!B:B,'Registre_Maintenance'!D:D,"Pas de correspondance")</f>
        <v>-6.1490739999999997</v>
      </c>
      <c r="J827">
        <f>_xlfn.XLOOKUP(Logs[[#This Row],[Cell_ID]],'Registre_Maintenance'!B:B,'Registre_Maintenance'!E:E,"Pas de correspondance")</f>
        <v>23.304411000000002</v>
      </c>
      <c r="K827" t="str">
        <f>_xlfn.XLOOKUP(Logs[[#This Row],[Cell_ID]],'Registre_Maintenance'!B:B,'Registre_Maintenance'!F:F,"Pas de correspondance")</f>
        <v>5G</v>
      </c>
      <c r="L827" t="str">
        <f>_xlfn.XLOOKUP(Logs[[#This Row],[Cell_ID]],'Registre_Maintenance'!B:B,'Registre_Maintenance'!G:G,"Pas de correspondance")</f>
        <v>ZTE</v>
      </c>
      <c r="M827" s="1" t="s">
        <v>809</v>
      </c>
      <c r="N827" s="1">
        <f>_xlfn.XLOOKUP(Logs[[#This Row],[ID_Client]],Clients_Log!B:B,Clients_Log!E:E,"Pas de correspondance")</f>
        <v>14</v>
      </c>
      <c r="O827" s="4">
        <f>IFERROR(Logs[[#This Row],[Anciennete_Mois]]/12,"")</f>
        <v>1.1666666666666667</v>
      </c>
      <c r="P827" s="1" t="str">
        <f>_xlfn.XLOOKUP(Logs[[#This Row],[ID_Client]],Clients_Log!B:B,Clients_Log!F:F,"Pas de correspondance")</f>
        <v>Pro Monde</v>
      </c>
      <c r="Q827" s="1" t="str">
        <f>IF(Logs[[#This Row],[Type_Forfait]]="Pro Monde","B2B","B2C")</f>
        <v>B2B</v>
      </c>
      <c r="R827" s="1">
        <f>_xlfn.XLOOKUP(Logs[[#This Row],[ID_Client]],Clients_Log!B:B,Clients_Log!G:G,"Pas de correspondance")</f>
        <v>316</v>
      </c>
      <c r="S827" s="3">
        <f>Logs[[#This Row],[Duree_Cumulee_Panne_Min]]/1440</f>
        <v>0.21944444444444444</v>
      </c>
      <c r="T827" s="1">
        <f>_xlfn.XLOOKUP(Logs[[#This Row],[ID_Client]],Clients_Log!B:B,Clients_Log!H:H,"Pas de correspondance")</f>
        <v>62.34</v>
      </c>
      <c r="U827" s="1">
        <f>_xlfn.XLOOKUP(Logs[[#This Row],[ID_Client]],Clients_Log!B:B,Clients_Log!I:I,"Pas de correspondance")</f>
        <v>4</v>
      </c>
      <c r="V82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27" s="1">
        <f>Logs[[#This Row],[Facture_Mensuelle]]*Logs[[#This Row],[Remise (%)]]</f>
        <v>28.053000000000001</v>
      </c>
    </row>
    <row r="828" spans="1:23" hidden="1" x14ac:dyDescent="0.25">
      <c r="A828" s="1" t="s">
        <v>1384</v>
      </c>
      <c r="B828" s="2">
        <v>45209</v>
      </c>
      <c r="C828" s="1" t="str">
        <f>_xlfn.XLOOKUP(Logs[[#This Row],[Province_RDC]],Clients_Log!D:D,Clients_Log!B:B,"Pas de correspondance")</f>
        <v>Pas de correspondance</v>
      </c>
      <c r="D828" t="str">
        <f>_xlfn.XLOOKUP(Logs[[#This Row],[Cell_ID]],'Registre_Maintenance'!B:B,'Registre_Maintenance'!C:C,"Pas de correspondance")</f>
        <v>Pas de correspondance</v>
      </c>
      <c r="E828" s="3">
        <v>0.17430555555555555</v>
      </c>
      <c r="F828" s="1" t="s">
        <v>1360</v>
      </c>
      <c r="G828" s="3">
        <f>Logs[[#This Row],[Duree_Panne_Min]]/1440</f>
        <v>3.472222222222222E-3</v>
      </c>
      <c r="H828">
        <v>5</v>
      </c>
      <c r="I828" t="str">
        <f>_xlfn.XLOOKUP(Logs[[#This Row],[Cell_ID]],'Registre_Maintenance'!B:B,'Registre_Maintenance'!D:D,"Pas de correspondance")</f>
        <v>Pas de correspondance</v>
      </c>
      <c r="J828" t="str">
        <f>_xlfn.XLOOKUP(Logs[[#This Row],[Cell_ID]],'Registre_Maintenance'!B:B,'Registre_Maintenance'!E:E,"Pas de correspondance")</f>
        <v>Pas de correspondance</v>
      </c>
      <c r="K828" t="str">
        <f>_xlfn.XLOOKUP(Logs[[#This Row],[Cell_ID]],'Registre_Maintenance'!B:B,'Registre_Maintenance'!F:F,"Pas de correspondance")</f>
        <v>Pas de correspondance</v>
      </c>
      <c r="L828" t="str">
        <f>_xlfn.XLOOKUP(Logs[[#This Row],[Cell_ID]],'Registre_Maintenance'!B:B,'Registre_Maintenance'!G:G,"Pas de correspondance")</f>
        <v>Pas de correspondance</v>
      </c>
      <c r="M828" s="1" t="s">
        <v>806</v>
      </c>
      <c r="N828" s="1" t="str">
        <f>_xlfn.XLOOKUP(Logs[[#This Row],[ID_Client]],Clients_Log!B:B,Clients_Log!E:E,"Pas de correspondance")</f>
        <v>Pas de correspondance</v>
      </c>
      <c r="O828" s="4" t="str">
        <f>IFERROR(Logs[[#This Row],[Anciennete_Mois]]/12,"")</f>
        <v/>
      </c>
      <c r="P828" s="1" t="str">
        <f>_xlfn.XLOOKUP(Logs[[#This Row],[ID_Client]],Clients_Log!B:B,Clients_Log!F:F,"Pas de correspondance")</f>
        <v>Pas de correspondance</v>
      </c>
      <c r="Q828" s="1" t="str">
        <f>IF(Logs[[#This Row],[Type_Forfait]]="Pro Monde","B2B","B2C")</f>
        <v>B2C</v>
      </c>
      <c r="R828" s="1" t="str">
        <f>_xlfn.XLOOKUP(Logs[[#This Row],[ID_Client]],Clients_Log!B:B,Clients_Log!G:G,"Pas de correspondance")</f>
        <v>Pas de correspondance</v>
      </c>
      <c r="S828" s="1" t="e">
        <f>Logs[[#This Row],[Duree_Cumulee_Panne_Min]]/1440</f>
        <v>#VALUE!</v>
      </c>
      <c r="T828" s="1" t="str">
        <f>_xlfn.XLOOKUP(Logs[[#This Row],[ID_Client]],Clients_Log!B:B,Clients_Log!H:H,"Pas de correspondance")</f>
        <v>Pas de correspondance</v>
      </c>
      <c r="U828" s="1" t="str">
        <f>_xlfn.XLOOKUP(Logs[[#This Row],[ID_Client]],Clients_Log!B:B,Clients_Log!I:I,"Pas de correspondance")</f>
        <v>Pas de correspondance</v>
      </c>
      <c r="V82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28" s="1" t="e">
        <f>Logs[[#This Row],[Facture_Mensuelle]]*Logs[[#This Row],[Remise (%)]]</f>
        <v>#VALUE!</v>
      </c>
    </row>
    <row r="829" spans="1:23" hidden="1" x14ac:dyDescent="0.25">
      <c r="A829" s="1" t="s">
        <v>1384</v>
      </c>
      <c r="B829" s="2">
        <v>45223</v>
      </c>
      <c r="C829" s="1" t="str">
        <f>_xlfn.XLOOKUP(Logs[[#This Row],[Province_RDC]],Clients_Log!D:D,Clients_Log!B:B,"Pas de correspondance")</f>
        <v>Pas de correspondance</v>
      </c>
      <c r="D829" t="str">
        <f>_xlfn.XLOOKUP(Logs[[#This Row],[Cell_ID]],'Registre_Maintenance'!B:B,'Registre_Maintenance'!C:C,"Pas de correspondance")</f>
        <v>Pas de correspondance</v>
      </c>
      <c r="E829" s="3">
        <v>3.0555555555555555E-2</v>
      </c>
      <c r="F829" s="1" t="s">
        <v>1386</v>
      </c>
      <c r="G829" s="3">
        <f>Logs[[#This Row],[Duree_Panne_Min]]/1440</f>
        <v>4.0972222222222222E-2</v>
      </c>
      <c r="H829">
        <v>59</v>
      </c>
      <c r="I829" t="str">
        <f>_xlfn.XLOOKUP(Logs[[#This Row],[Cell_ID]],'Registre_Maintenance'!B:B,'Registre_Maintenance'!D:D,"Pas de correspondance")</f>
        <v>Pas de correspondance</v>
      </c>
      <c r="J829" t="str">
        <f>_xlfn.XLOOKUP(Logs[[#This Row],[Cell_ID]],'Registre_Maintenance'!B:B,'Registre_Maintenance'!E:E,"Pas de correspondance")</f>
        <v>Pas de correspondance</v>
      </c>
      <c r="K829" t="str">
        <f>_xlfn.XLOOKUP(Logs[[#This Row],[Cell_ID]],'Registre_Maintenance'!B:B,'Registre_Maintenance'!F:F,"Pas de correspondance")</f>
        <v>Pas de correspondance</v>
      </c>
      <c r="L829" t="str">
        <f>_xlfn.XLOOKUP(Logs[[#This Row],[Cell_ID]],'Registre_Maintenance'!B:B,'Registre_Maintenance'!G:G,"Pas de correspondance")</f>
        <v>Pas de correspondance</v>
      </c>
      <c r="M829" s="1" t="s">
        <v>806</v>
      </c>
      <c r="N829" s="1" t="str">
        <f>_xlfn.XLOOKUP(Logs[[#This Row],[ID_Client]],Clients_Log!B:B,Clients_Log!E:E,"Pas de correspondance")</f>
        <v>Pas de correspondance</v>
      </c>
      <c r="O829" s="4" t="str">
        <f>IFERROR(Logs[[#This Row],[Anciennete_Mois]]/12,"")</f>
        <v/>
      </c>
      <c r="P829" s="1" t="str">
        <f>_xlfn.XLOOKUP(Logs[[#This Row],[ID_Client]],Clients_Log!B:B,Clients_Log!F:F,"Pas de correspondance")</f>
        <v>Pas de correspondance</v>
      </c>
      <c r="Q829" s="1" t="str">
        <f>IF(Logs[[#This Row],[Type_Forfait]]="Pro Monde","B2B","B2C")</f>
        <v>B2C</v>
      </c>
      <c r="R829" s="1" t="str">
        <f>_xlfn.XLOOKUP(Logs[[#This Row],[ID_Client]],Clients_Log!B:B,Clients_Log!G:G,"Pas de correspondance")</f>
        <v>Pas de correspondance</v>
      </c>
      <c r="S829" s="1" t="e">
        <f>Logs[[#This Row],[Duree_Cumulee_Panne_Min]]/1440</f>
        <v>#VALUE!</v>
      </c>
      <c r="T829" s="1" t="str">
        <f>_xlfn.XLOOKUP(Logs[[#This Row],[ID_Client]],Clients_Log!B:B,Clients_Log!H:H,"Pas de correspondance")</f>
        <v>Pas de correspondance</v>
      </c>
      <c r="U829" s="1" t="str">
        <f>_xlfn.XLOOKUP(Logs[[#This Row],[ID_Client]],Clients_Log!B:B,Clients_Log!I:I,"Pas de correspondance")</f>
        <v>Pas de correspondance</v>
      </c>
      <c r="V82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29" s="1" t="e">
        <f>Logs[[#This Row],[Facture_Mensuelle]]*Logs[[#This Row],[Remise (%)]]</f>
        <v>#VALUE!</v>
      </c>
    </row>
    <row r="830" spans="1:23" hidden="1" x14ac:dyDescent="0.25">
      <c r="A830" s="1" t="s">
        <v>1384</v>
      </c>
      <c r="B830" s="2">
        <v>45230</v>
      </c>
      <c r="C830" s="1" t="str">
        <f>_xlfn.XLOOKUP(Logs[[#This Row],[Province_RDC]],Clients_Log!D:D,Clients_Log!B:B,"Pas de correspondance")</f>
        <v>Pas de correspondance</v>
      </c>
      <c r="D830" t="str">
        <f>_xlfn.XLOOKUP(Logs[[#This Row],[Cell_ID]],'Registre_Maintenance'!B:B,'Registre_Maintenance'!C:C,"Pas de correspondance")</f>
        <v>Pas de correspondance</v>
      </c>
      <c r="E830" s="3">
        <v>0.76736111111111116</v>
      </c>
      <c r="F830" s="1" t="s">
        <v>1387</v>
      </c>
      <c r="G830" s="3">
        <f>Logs[[#This Row],[Duree_Panne_Min]]/1440</f>
        <v>1.1111111111111112E-2</v>
      </c>
      <c r="H830">
        <v>16</v>
      </c>
      <c r="I830" t="str">
        <f>_xlfn.XLOOKUP(Logs[[#This Row],[Cell_ID]],'Registre_Maintenance'!B:B,'Registre_Maintenance'!D:D,"Pas de correspondance")</f>
        <v>Pas de correspondance</v>
      </c>
      <c r="J830" t="str">
        <f>_xlfn.XLOOKUP(Logs[[#This Row],[Cell_ID]],'Registre_Maintenance'!B:B,'Registre_Maintenance'!E:E,"Pas de correspondance")</f>
        <v>Pas de correspondance</v>
      </c>
      <c r="K830" t="str">
        <f>_xlfn.XLOOKUP(Logs[[#This Row],[Cell_ID]],'Registre_Maintenance'!B:B,'Registre_Maintenance'!F:F,"Pas de correspondance")</f>
        <v>Pas de correspondance</v>
      </c>
      <c r="L830" t="str">
        <f>_xlfn.XLOOKUP(Logs[[#This Row],[Cell_ID]],'Registre_Maintenance'!B:B,'Registre_Maintenance'!G:G,"Pas de correspondance")</f>
        <v>Pas de correspondance</v>
      </c>
      <c r="M830" s="1" t="s">
        <v>811</v>
      </c>
      <c r="N830" s="1" t="str">
        <f>_xlfn.XLOOKUP(Logs[[#This Row],[ID_Client]],Clients_Log!B:B,Clients_Log!E:E,"Pas de correspondance")</f>
        <v>Pas de correspondance</v>
      </c>
      <c r="O830" s="4" t="str">
        <f>IFERROR(Logs[[#This Row],[Anciennete_Mois]]/12,"")</f>
        <v/>
      </c>
      <c r="P830" s="1" t="str">
        <f>_xlfn.XLOOKUP(Logs[[#This Row],[ID_Client]],Clients_Log!B:B,Clients_Log!F:F,"Pas de correspondance")</f>
        <v>Pas de correspondance</v>
      </c>
      <c r="Q830" s="1" t="str">
        <f>IF(Logs[[#This Row],[Type_Forfait]]="Pro Monde","B2B","B2C")</f>
        <v>B2C</v>
      </c>
      <c r="R830" s="1" t="str">
        <f>_xlfn.XLOOKUP(Logs[[#This Row],[ID_Client]],Clients_Log!B:B,Clients_Log!G:G,"Pas de correspondance")</f>
        <v>Pas de correspondance</v>
      </c>
      <c r="S830" s="1" t="e">
        <f>Logs[[#This Row],[Duree_Cumulee_Panne_Min]]/1440</f>
        <v>#VALUE!</v>
      </c>
      <c r="T830" s="1" t="str">
        <f>_xlfn.XLOOKUP(Logs[[#This Row],[ID_Client]],Clients_Log!B:B,Clients_Log!H:H,"Pas de correspondance")</f>
        <v>Pas de correspondance</v>
      </c>
      <c r="U830" s="1" t="str">
        <f>_xlfn.XLOOKUP(Logs[[#This Row],[ID_Client]],Clients_Log!B:B,Clients_Log!I:I,"Pas de correspondance")</f>
        <v>Pas de correspondance</v>
      </c>
      <c r="V83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30" s="1" t="e">
        <f>Logs[[#This Row],[Facture_Mensuelle]]*Logs[[#This Row],[Remise (%)]]</f>
        <v>#VALUE!</v>
      </c>
    </row>
    <row r="831" spans="1:23" x14ac:dyDescent="0.25">
      <c r="A831" s="1" t="s">
        <v>1384</v>
      </c>
      <c r="B831" s="2">
        <v>45227</v>
      </c>
      <c r="C831" s="1" t="str">
        <f>_xlfn.XLOOKUP(Logs[[#This Row],[Province_RDC]],Clients_Log!D:D,Clients_Log!B:B,"Pas de correspondance")</f>
        <v>CLI-00280</v>
      </c>
      <c r="D831" t="str">
        <f>_xlfn.XLOOKUP(Logs[[#This Row],[Cell_ID]],'Registre_Maintenance'!B:B,'Registre_Maintenance'!C:C,"Pas de correspondance")</f>
        <v>Sud-Ubangi</v>
      </c>
      <c r="E831" s="3">
        <v>0.75138888888888888</v>
      </c>
      <c r="F831" s="1" t="s">
        <v>1264</v>
      </c>
      <c r="G831" s="3">
        <f>Logs[[#This Row],[Duree_Panne_Min]]/1440</f>
        <v>2.9166666666666667E-2</v>
      </c>
      <c r="H831">
        <v>42</v>
      </c>
      <c r="I831">
        <f>_xlfn.XLOOKUP(Logs[[#This Row],[Cell_ID]],'Registre_Maintenance'!B:B,'Registre_Maintenance'!D:D,"Pas de correspondance")</f>
        <v>-12.050063</v>
      </c>
      <c r="J831">
        <f>_xlfn.XLOOKUP(Logs[[#This Row],[Cell_ID]],'Registre_Maintenance'!B:B,'Registre_Maintenance'!E:E,"Pas de correspondance")</f>
        <v>26.636987999999999</v>
      </c>
      <c r="K831" t="str">
        <f>_xlfn.XLOOKUP(Logs[[#This Row],[Cell_ID]],'Registre_Maintenance'!B:B,'Registre_Maintenance'!F:F,"Pas de correspondance")</f>
        <v>3G</v>
      </c>
      <c r="L831" t="str">
        <f>_xlfn.XLOOKUP(Logs[[#This Row],[Cell_ID]],'Registre_Maintenance'!B:B,'Registre_Maintenance'!G:G,"Pas de correspondance")</f>
        <v>Nokia</v>
      </c>
      <c r="M831" s="1" t="s">
        <v>806</v>
      </c>
      <c r="N831" s="1">
        <f>_xlfn.XLOOKUP(Logs[[#This Row],[ID_Client]],Clients_Log!B:B,Clients_Log!E:E,"Pas de correspondance")</f>
        <v>113</v>
      </c>
      <c r="O831" s="4">
        <f>IFERROR(Logs[[#This Row],[Anciennete_Mois]]/12,"")</f>
        <v>9.4166666666666661</v>
      </c>
      <c r="P831" s="1" t="str">
        <f>_xlfn.XLOOKUP(Logs[[#This Row],[ID_Client]],Clients_Log!B:B,Clients_Log!F:F,"Pas de correspondance")</f>
        <v>Illimité 50Go</v>
      </c>
      <c r="Q831" s="1" t="str">
        <f>IF(Logs[[#This Row],[Type_Forfait]]="Pro Monde","B2B","B2C")</f>
        <v>B2C</v>
      </c>
      <c r="R831" s="1">
        <f>_xlfn.XLOOKUP(Logs[[#This Row],[ID_Client]],Clients_Log!B:B,Clients_Log!G:G,"Pas de correspondance")</f>
        <v>380</v>
      </c>
      <c r="S831" s="3">
        <f>Logs[[#This Row],[Duree_Cumulee_Panne_Min]]/1440</f>
        <v>0.2638888888888889</v>
      </c>
      <c r="T831" s="1">
        <f>_xlfn.XLOOKUP(Logs[[#This Row],[ID_Client]],Clients_Log!B:B,Clients_Log!H:H,"Pas de correspondance")</f>
        <v>12.11</v>
      </c>
      <c r="U831" s="1">
        <f>_xlfn.XLOOKUP(Logs[[#This Row],[ID_Client]],Clients_Log!B:B,Clients_Log!I:I,"Pas de correspondance")</f>
        <v>0</v>
      </c>
      <c r="V83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31" s="1">
        <f>Logs[[#This Row],[Facture_Mensuelle]]*Logs[[#This Row],[Remise (%)]]</f>
        <v>5.4494999999999996</v>
      </c>
    </row>
    <row r="832" spans="1:23" hidden="1" x14ac:dyDescent="0.25">
      <c r="A832" s="1" t="s">
        <v>1384</v>
      </c>
      <c r="B832" s="2">
        <v>45205</v>
      </c>
      <c r="C832" s="1" t="str">
        <f>_xlfn.XLOOKUP(Logs[[#This Row],[Province_RDC]],Clients_Log!D:D,Clients_Log!B:B,"Pas de correspondance")</f>
        <v>Pas de correspondance</v>
      </c>
      <c r="D832" t="str">
        <f>_xlfn.XLOOKUP(Logs[[#This Row],[Cell_ID]],'Registre_Maintenance'!B:B,'Registre_Maintenance'!C:C,"Pas de correspondance")</f>
        <v>Pas de correspondance</v>
      </c>
      <c r="E832" s="3">
        <v>0.80555555555555558</v>
      </c>
      <c r="F832" s="1" t="s">
        <v>1388</v>
      </c>
      <c r="G832" s="3">
        <f>Logs[[#This Row],[Duree_Panne_Min]]/1440</f>
        <v>7.6388888888888895E-2</v>
      </c>
      <c r="H832">
        <v>110</v>
      </c>
      <c r="I832" t="str">
        <f>_xlfn.XLOOKUP(Logs[[#This Row],[Cell_ID]],'Registre_Maintenance'!B:B,'Registre_Maintenance'!D:D,"Pas de correspondance")</f>
        <v>Pas de correspondance</v>
      </c>
      <c r="J832" t="str">
        <f>_xlfn.XLOOKUP(Logs[[#This Row],[Cell_ID]],'Registre_Maintenance'!B:B,'Registre_Maintenance'!E:E,"Pas de correspondance")</f>
        <v>Pas de correspondance</v>
      </c>
      <c r="K832" t="str">
        <f>_xlfn.XLOOKUP(Logs[[#This Row],[Cell_ID]],'Registre_Maintenance'!B:B,'Registre_Maintenance'!F:F,"Pas de correspondance")</f>
        <v>Pas de correspondance</v>
      </c>
      <c r="L832" t="str">
        <f>_xlfn.XLOOKUP(Logs[[#This Row],[Cell_ID]],'Registre_Maintenance'!B:B,'Registre_Maintenance'!G:G,"Pas de correspondance")</f>
        <v>Pas de correspondance</v>
      </c>
      <c r="M832" s="1" t="s">
        <v>806</v>
      </c>
      <c r="N832" s="1" t="str">
        <f>_xlfn.XLOOKUP(Logs[[#This Row],[ID_Client]],Clients_Log!B:B,Clients_Log!E:E,"Pas de correspondance")</f>
        <v>Pas de correspondance</v>
      </c>
      <c r="O832" s="4" t="str">
        <f>IFERROR(Logs[[#This Row],[Anciennete_Mois]]/12,"")</f>
        <v/>
      </c>
      <c r="P832" s="1" t="str">
        <f>_xlfn.XLOOKUP(Logs[[#This Row],[ID_Client]],Clients_Log!B:B,Clients_Log!F:F,"Pas de correspondance")</f>
        <v>Pas de correspondance</v>
      </c>
      <c r="Q832" s="1" t="str">
        <f>IF(Logs[[#This Row],[Type_Forfait]]="Pro Monde","B2B","B2C")</f>
        <v>B2C</v>
      </c>
      <c r="R832" s="1" t="str">
        <f>_xlfn.XLOOKUP(Logs[[#This Row],[ID_Client]],Clients_Log!B:B,Clients_Log!G:G,"Pas de correspondance")</f>
        <v>Pas de correspondance</v>
      </c>
      <c r="S832" s="1" t="e">
        <f>Logs[[#This Row],[Duree_Cumulee_Panne_Min]]/1440</f>
        <v>#VALUE!</v>
      </c>
      <c r="T832" s="1" t="str">
        <f>_xlfn.XLOOKUP(Logs[[#This Row],[ID_Client]],Clients_Log!B:B,Clients_Log!H:H,"Pas de correspondance")</f>
        <v>Pas de correspondance</v>
      </c>
      <c r="U832" s="1" t="str">
        <f>_xlfn.XLOOKUP(Logs[[#This Row],[ID_Client]],Clients_Log!B:B,Clients_Log!I:I,"Pas de correspondance")</f>
        <v>Pas de correspondance</v>
      </c>
      <c r="V83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32" s="1" t="e">
        <f>Logs[[#This Row],[Facture_Mensuelle]]*Logs[[#This Row],[Remise (%)]]</f>
        <v>#VALUE!</v>
      </c>
    </row>
    <row r="833" spans="1:23" hidden="1" x14ac:dyDescent="0.25">
      <c r="A833" s="1" t="s">
        <v>1384</v>
      </c>
      <c r="B833" s="2">
        <v>45229</v>
      </c>
      <c r="C833" s="1" t="str">
        <f>_xlfn.XLOOKUP(Logs[[#This Row],[Province_RDC]],Clients_Log!D:D,Clients_Log!B:B,"Pas de correspondance")</f>
        <v>Pas de correspondance</v>
      </c>
      <c r="D833" t="str">
        <f>_xlfn.XLOOKUP(Logs[[#This Row],[Cell_ID]],'Registre_Maintenance'!B:B,'Registre_Maintenance'!C:C,"Pas de correspondance")</f>
        <v>Pas de correspondance</v>
      </c>
      <c r="E833" s="3">
        <v>0.80138888888888893</v>
      </c>
      <c r="F833" s="1" t="s">
        <v>1020</v>
      </c>
      <c r="G833" s="3">
        <f>Logs[[#This Row],[Duree_Panne_Min]]/1440</f>
        <v>6.1805555555555558E-2</v>
      </c>
      <c r="H833">
        <v>89</v>
      </c>
      <c r="I833" t="str">
        <f>_xlfn.XLOOKUP(Logs[[#This Row],[Cell_ID]],'Registre_Maintenance'!B:B,'Registre_Maintenance'!D:D,"Pas de correspondance")</f>
        <v>Pas de correspondance</v>
      </c>
      <c r="J833" t="str">
        <f>_xlfn.XLOOKUP(Logs[[#This Row],[Cell_ID]],'Registre_Maintenance'!B:B,'Registre_Maintenance'!E:E,"Pas de correspondance")</f>
        <v>Pas de correspondance</v>
      </c>
      <c r="K833" t="str">
        <f>_xlfn.XLOOKUP(Logs[[#This Row],[Cell_ID]],'Registre_Maintenance'!B:B,'Registre_Maintenance'!F:F,"Pas de correspondance")</f>
        <v>Pas de correspondance</v>
      </c>
      <c r="L833" t="str">
        <f>_xlfn.XLOOKUP(Logs[[#This Row],[Cell_ID]],'Registre_Maintenance'!B:B,'Registre_Maintenance'!G:G,"Pas de correspondance")</f>
        <v>Pas de correspondance</v>
      </c>
      <c r="M833" s="1" t="s">
        <v>806</v>
      </c>
      <c r="N833" s="1" t="str">
        <f>_xlfn.XLOOKUP(Logs[[#This Row],[ID_Client]],Clients_Log!B:B,Clients_Log!E:E,"Pas de correspondance")</f>
        <v>Pas de correspondance</v>
      </c>
      <c r="O833" s="4" t="str">
        <f>IFERROR(Logs[[#This Row],[Anciennete_Mois]]/12,"")</f>
        <v/>
      </c>
      <c r="P833" s="1" t="str">
        <f>_xlfn.XLOOKUP(Logs[[#This Row],[ID_Client]],Clients_Log!B:B,Clients_Log!F:F,"Pas de correspondance")</f>
        <v>Pas de correspondance</v>
      </c>
      <c r="Q833" s="1" t="str">
        <f>IF(Logs[[#This Row],[Type_Forfait]]="Pro Monde","B2B","B2C")</f>
        <v>B2C</v>
      </c>
      <c r="R833" s="1" t="str">
        <f>_xlfn.XLOOKUP(Logs[[#This Row],[ID_Client]],Clients_Log!B:B,Clients_Log!G:G,"Pas de correspondance")</f>
        <v>Pas de correspondance</v>
      </c>
      <c r="S833" s="1" t="e">
        <f>Logs[[#This Row],[Duree_Cumulee_Panne_Min]]/1440</f>
        <v>#VALUE!</v>
      </c>
      <c r="T833" s="1" t="str">
        <f>_xlfn.XLOOKUP(Logs[[#This Row],[ID_Client]],Clients_Log!B:B,Clients_Log!H:H,"Pas de correspondance")</f>
        <v>Pas de correspondance</v>
      </c>
      <c r="U833" s="1" t="str">
        <f>_xlfn.XLOOKUP(Logs[[#This Row],[ID_Client]],Clients_Log!B:B,Clients_Log!I:I,"Pas de correspondance")</f>
        <v>Pas de correspondance</v>
      </c>
      <c r="V83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33" s="1" t="e">
        <f>Logs[[#This Row],[Facture_Mensuelle]]*Logs[[#This Row],[Remise (%)]]</f>
        <v>#VALUE!</v>
      </c>
    </row>
    <row r="834" spans="1:23" x14ac:dyDescent="0.25">
      <c r="A834" s="1" t="s">
        <v>1384</v>
      </c>
      <c r="B834" s="2">
        <v>45220</v>
      </c>
      <c r="C834" s="1" t="str">
        <f>_xlfn.XLOOKUP(Logs[[#This Row],[Province_RDC]],Clients_Log!D:D,Clients_Log!B:B,"Pas de correspondance")</f>
        <v>CLI-01005</v>
      </c>
      <c r="D834" t="str">
        <f>_xlfn.XLOOKUP(Logs[[#This Row],[Cell_ID]],'Registre_Maintenance'!B:B,'Registre_Maintenance'!C:C,"Pas de correspondance")</f>
        <v>Lualaba</v>
      </c>
      <c r="E834" s="3">
        <v>0.75416666666666665</v>
      </c>
      <c r="F834" s="1" t="s">
        <v>946</v>
      </c>
      <c r="G834" s="3">
        <f>Logs[[#This Row],[Duree_Panne_Min]]/1440</f>
        <v>5.9027777777777776E-2</v>
      </c>
      <c r="H834">
        <v>85</v>
      </c>
      <c r="I834">
        <f>_xlfn.XLOOKUP(Logs[[#This Row],[Cell_ID]],'Registre_Maintenance'!B:B,'Registre_Maintenance'!D:D,"Pas de correspondance")</f>
        <v>-9.7803979999999999</v>
      </c>
      <c r="J834">
        <f>_xlfn.XLOOKUP(Logs[[#This Row],[Cell_ID]],'Registre_Maintenance'!B:B,'Registre_Maintenance'!E:E,"Pas de correspondance")</f>
        <v>17.686595000000001</v>
      </c>
      <c r="K834" t="str">
        <f>_xlfn.XLOOKUP(Logs[[#This Row],[Cell_ID]],'Registre_Maintenance'!B:B,'Registre_Maintenance'!F:F,"Pas de correspondance")</f>
        <v>4G</v>
      </c>
      <c r="L834" t="str">
        <f>_xlfn.XLOOKUP(Logs[[#This Row],[Cell_ID]],'Registre_Maintenance'!B:B,'Registre_Maintenance'!G:G,"Pas de correspondance")</f>
        <v>Ericsson</v>
      </c>
      <c r="M834" s="1" t="s">
        <v>806</v>
      </c>
      <c r="N834" s="1">
        <f>_xlfn.XLOOKUP(Logs[[#This Row],[ID_Client]],Clients_Log!B:B,Clients_Log!E:E,"Pas de correspondance")</f>
        <v>80</v>
      </c>
      <c r="O834" s="4">
        <f>IFERROR(Logs[[#This Row],[Anciennete_Mois]]/12,"")</f>
        <v>6.666666666666667</v>
      </c>
      <c r="P834" s="1" t="str">
        <f>_xlfn.XLOOKUP(Logs[[#This Row],[ID_Client]],Clients_Log!B:B,Clients_Log!F:F,"Pas de correspondance")</f>
        <v>Illimité 50Go</v>
      </c>
      <c r="Q834" s="1" t="str">
        <f>IF(Logs[[#This Row],[Type_Forfait]]="Pro Monde","B2B","B2C")</f>
        <v>B2C</v>
      </c>
      <c r="R834" s="1">
        <f>_xlfn.XLOOKUP(Logs[[#This Row],[ID_Client]],Clients_Log!B:B,Clients_Log!G:G,"Pas de correspondance")</f>
        <v>155</v>
      </c>
      <c r="S834" s="3">
        <f>Logs[[#This Row],[Duree_Cumulee_Panne_Min]]/1440</f>
        <v>0.1076388888888889</v>
      </c>
      <c r="T834" s="1">
        <f>_xlfn.XLOOKUP(Logs[[#This Row],[ID_Client]],Clients_Log!B:B,Clients_Log!H:H,"Pas de correspondance")</f>
        <v>28.96</v>
      </c>
      <c r="U834" s="1">
        <f>_xlfn.XLOOKUP(Logs[[#This Row],[ID_Client]],Clients_Log!B:B,Clients_Log!I:I,"Pas de correspondance")</f>
        <v>2</v>
      </c>
      <c r="V83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834" s="1">
        <f>Logs[[#This Row],[Facture_Mensuelle]]*Logs[[#This Row],[Remise (%)]]</f>
        <v>0</v>
      </c>
    </row>
    <row r="835" spans="1:23" x14ac:dyDescent="0.25">
      <c r="A835" s="1" t="s">
        <v>1384</v>
      </c>
      <c r="B835" s="2">
        <v>45229</v>
      </c>
      <c r="C835" s="1" t="str">
        <f>_xlfn.XLOOKUP(Logs[[#This Row],[Province_RDC]],Clients_Log!D:D,Clients_Log!B:B,"Pas de correspondance")</f>
        <v>CLI-00894</v>
      </c>
      <c r="D835" t="str">
        <f>_xlfn.XLOOKUP(Logs[[#This Row],[Cell_ID]],'Registre_Maintenance'!B:B,'Registre_Maintenance'!C:C,"Pas de correspondance")</f>
        <v>Tshuapa</v>
      </c>
      <c r="E835" s="3">
        <v>0.63124999999999998</v>
      </c>
      <c r="F835" s="1" t="s">
        <v>1389</v>
      </c>
      <c r="G835" s="3">
        <f>Logs[[#This Row],[Duree_Panne_Min]]/1440</f>
        <v>5.6250000000000001E-2</v>
      </c>
      <c r="H835">
        <v>81</v>
      </c>
      <c r="I835">
        <f>_xlfn.XLOOKUP(Logs[[#This Row],[Cell_ID]],'Registre_Maintenance'!B:B,'Registre_Maintenance'!D:D,"Pas de correspondance")</f>
        <v>-10.574821</v>
      </c>
      <c r="J835">
        <f>_xlfn.XLOOKUP(Logs[[#This Row],[Cell_ID]],'Registre_Maintenance'!B:B,'Registre_Maintenance'!E:E,"Pas de correspondance")</f>
        <v>25.324966</v>
      </c>
      <c r="K835" t="str">
        <f>_xlfn.XLOOKUP(Logs[[#This Row],[Cell_ID]],'Registre_Maintenance'!B:B,'Registre_Maintenance'!F:F,"Pas de correspondance")</f>
        <v>5G</v>
      </c>
      <c r="L835" t="str">
        <f>_xlfn.XLOOKUP(Logs[[#This Row],[Cell_ID]],'Registre_Maintenance'!B:B,'Registre_Maintenance'!G:G,"Pas de correspondance")</f>
        <v>Ericsson</v>
      </c>
      <c r="M835" s="1" t="s">
        <v>806</v>
      </c>
      <c r="N835" s="1">
        <f>_xlfn.XLOOKUP(Logs[[#This Row],[ID_Client]],Clients_Log!B:B,Clients_Log!E:E,"Pas de correspondance")</f>
        <v>63</v>
      </c>
      <c r="O835" s="4">
        <f>IFERROR(Logs[[#This Row],[Anciennete_Mois]]/12,"")</f>
        <v>5.25</v>
      </c>
      <c r="P835" s="1" t="str">
        <f>_xlfn.XLOOKUP(Logs[[#This Row],[ID_Client]],Clients_Log!B:B,Clients_Log!F:F,"Pas de correspondance")</f>
        <v>Pro Monde</v>
      </c>
      <c r="Q835" s="1" t="str">
        <f>IF(Logs[[#This Row],[Type_Forfait]]="Pro Monde","B2B","B2C")</f>
        <v>B2B</v>
      </c>
      <c r="R835" s="1">
        <f>_xlfn.XLOOKUP(Logs[[#This Row],[ID_Client]],Clients_Log!B:B,Clients_Log!G:G,"Pas de correspondance")</f>
        <v>205</v>
      </c>
      <c r="S835" s="3">
        <f>Logs[[#This Row],[Duree_Cumulee_Panne_Min]]/1440</f>
        <v>0.1423611111111111</v>
      </c>
      <c r="T835" s="1">
        <f>_xlfn.XLOOKUP(Logs[[#This Row],[ID_Client]],Clients_Log!B:B,Clients_Log!H:H,"Pas de correspondance")</f>
        <v>89.19</v>
      </c>
      <c r="U835" s="1">
        <f>_xlfn.XLOOKUP(Logs[[#This Row],[ID_Client]],Clients_Log!B:B,Clients_Log!I:I,"Pas de correspondance")</f>
        <v>0</v>
      </c>
      <c r="V83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835" s="1">
        <f>Logs[[#This Row],[Facture_Mensuelle]]*Logs[[#This Row],[Remise (%)]]</f>
        <v>8.9190000000000005</v>
      </c>
    </row>
    <row r="836" spans="1:23" x14ac:dyDescent="0.25">
      <c r="A836" s="1" t="s">
        <v>1384</v>
      </c>
      <c r="B836" s="2">
        <v>45210</v>
      </c>
      <c r="C836" s="1" t="str">
        <f>_xlfn.XLOOKUP(Logs[[#This Row],[Province_RDC]],Clients_Log!D:D,Clients_Log!B:B,"Pas de correspondance")</f>
        <v>CLI-00611</v>
      </c>
      <c r="D836" t="str">
        <f>_xlfn.XLOOKUP(Logs[[#This Row],[Cell_ID]],'Registre_Maintenance'!B:B,'Registre_Maintenance'!C:C,"Pas de correspondance")</f>
        <v>Kinshasa</v>
      </c>
      <c r="E836" s="3">
        <v>0.96111111111111114</v>
      </c>
      <c r="F836" s="1" t="s">
        <v>971</v>
      </c>
      <c r="G836" s="3">
        <f>Logs[[#This Row],[Duree_Panne_Min]]/1440</f>
        <v>4.583333333333333E-2</v>
      </c>
      <c r="H836">
        <v>66</v>
      </c>
      <c r="I836">
        <f>_xlfn.XLOOKUP(Logs[[#This Row],[Cell_ID]],'Registre_Maintenance'!B:B,'Registre_Maintenance'!D:D,"Pas de correspondance")</f>
        <v>-11.991020000000001</v>
      </c>
      <c r="J836">
        <f>_xlfn.XLOOKUP(Logs[[#This Row],[Cell_ID]],'Registre_Maintenance'!B:B,'Registre_Maintenance'!E:E,"Pas de correspondance")</f>
        <v>22.514747</v>
      </c>
      <c r="K836" t="str">
        <f>_xlfn.XLOOKUP(Logs[[#This Row],[Cell_ID]],'Registre_Maintenance'!B:B,'Registre_Maintenance'!F:F,"Pas de correspondance")</f>
        <v>5G</v>
      </c>
      <c r="L836" t="str">
        <f>_xlfn.XLOOKUP(Logs[[#This Row],[Cell_ID]],'Registre_Maintenance'!B:B,'Registre_Maintenance'!G:G,"Pas de correspondance")</f>
        <v>ZTE</v>
      </c>
      <c r="M836" s="1" t="s">
        <v>806</v>
      </c>
      <c r="N836" s="1">
        <f>_xlfn.XLOOKUP(Logs[[#This Row],[ID_Client]],Clients_Log!B:B,Clients_Log!E:E,"Pas de correspondance")</f>
        <v>79</v>
      </c>
      <c r="O836" s="4">
        <f>IFERROR(Logs[[#This Row],[Anciennete_Mois]]/12,"")</f>
        <v>6.583333333333333</v>
      </c>
      <c r="P836" s="1" t="str">
        <f>_xlfn.XLOOKUP(Logs[[#This Row],[ID_Client]],Clients_Log!B:B,Clients_Log!F:F,"Pas de correspondance")</f>
        <v>Premium 5G 150Go</v>
      </c>
      <c r="Q836" s="1" t="str">
        <f>IF(Logs[[#This Row],[Type_Forfait]]="Pro Monde","B2B","B2C")</f>
        <v>B2C</v>
      </c>
      <c r="R836" s="1">
        <f>_xlfn.XLOOKUP(Logs[[#This Row],[ID_Client]],Clients_Log!B:B,Clients_Log!G:G,"Pas de correspondance")</f>
        <v>226</v>
      </c>
      <c r="S836" s="3">
        <f>Logs[[#This Row],[Duree_Cumulee_Panne_Min]]/1440</f>
        <v>0.15694444444444444</v>
      </c>
      <c r="T836" s="1">
        <f>_xlfn.XLOOKUP(Logs[[#This Row],[ID_Client]],Clients_Log!B:B,Clients_Log!H:H,"Pas de correspondance")</f>
        <v>94.38</v>
      </c>
      <c r="U836" s="1">
        <f>_xlfn.XLOOKUP(Logs[[#This Row],[ID_Client]],Clients_Log!B:B,Clients_Log!I:I,"Pas de correspondance")</f>
        <v>3</v>
      </c>
      <c r="V83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836" s="1">
        <f>Logs[[#This Row],[Facture_Mensuelle]]*Logs[[#This Row],[Remise (%)]]</f>
        <v>0</v>
      </c>
    </row>
    <row r="837" spans="1:23" hidden="1" x14ac:dyDescent="0.25">
      <c r="A837" s="1" t="s">
        <v>1384</v>
      </c>
      <c r="B837" s="2">
        <v>45207</v>
      </c>
      <c r="C837" s="1" t="str">
        <f>_xlfn.XLOOKUP(Logs[[#This Row],[Province_RDC]],Clients_Log!D:D,Clients_Log!B:B,"Pas de correspondance")</f>
        <v>Pas de correspondance</v>
      </c>
      <c r="D837" t="str">
        <f>_xlfn.XLOOKUP(Logs[[#This Row],[Cell_ID]],'Registre_Maintenance'!B:B,'Registre_Maintenance'!C:C,"Pas de correspondance")</f>
        <v>Pas de correspondance</v>
      </c>
      <c r="E837" s="3">
        <v>0.47222222222222221</v>
      </c>
      <c r="F837" s="1" t="s">
        <v>1390</v>
      </c>
      <c r="G837" s="3">
        <f>Logs[[#This Row],[Duree_Panne_Min]]/1440</f>
        <v>2.0833333333333332E-2</v>
      </c>
      <c r="H837">
        <v>30</v>
      </c>
      <c r="I837" t="str">
        <f>_xlfn.XLOOKUP(Logs[[#This Row],[Cell_ID]],'Registre_Maintenance'!B:B,'Registre_Maintenance'!D:D,"Pas de correspondance")</f>
        <v>Pas de correspondance</v>
      </c>
      <c r="J837" t="str">
        <f>_xlfn.XLOOKUP(Logs[[#This Row],[Cell_ID]],'Registre_Maintenance'!B:B,'Registre_Maintenance'!E:E,"Pas de correspondance")</f>
        <v>Pas de correspondance</v>
      </c>
      <c r="K837" t="str">
        <f>_xlfn.XLOOKUP(Logs[[#This Row],[Cell_ID]],'Registre_Maintenance'!B:B,'Registre_Maintenance'!F:F,"Pas de correspondance")</f>
        <v>Pas de correspondance</v>
      </c>
      <c r="L837" t="str">
        <f>_xlfn.XLOOKUP(Logs[[#This Row],[Cell_ID]],'Registre_Maintenance'!B:B,'Registre_Maintenance'!G:G,"Pas de correspondance")</f>
        <v>Pas de correspondance</v>
      </c>
      <c r="M837" s="1" t="s">
        <v>811</v>
      </c>
      <c r="N837" s="1" t="str">
        <f>_xlfn.XLOOKUP(Logs[[#This Row],[ID_Client]],Clients_Log!B:B,Clients_Log!E:E,"Pas de correspondance")</f>
        <v>Pas de correspondance</v>
      </c>
      <c r="O837" s="4" t="str">
        <f>IFERROR(Logs[[#This Row],[Anciennete_Mois]]/12,"")</f>
        <v/>
      </c>
      <c r="P837" s="1" t="str">
        <f>_xlfn.XLOOKUP(Logs[[#This Row],[ID_Client]],Clients_Log!B:B,Clients_Log!F:F,"Pas de correspondance")</f>
        <v>Pas de correspondance</v>
      </c>
      <c r="Q837" s="1" t="str">
        <f>IF(Logs[[#This Row],[Type_Forfait]]="Pro Monde","B2B","B2C")</f>
        <v>B2C</v>
      </c>
      <c r="R837" s="1" t="str">
        <f>_xlfn.XLOOKUP(Logs[[#This Row],[ID_Client]],Clients_Log!B:B,Clients_Log!G:G,"Pas de correspondance")</f>
        <v>Pas de correspondance</v>
      </c>
      <c r="S837" s="1" t="e">
        <f>Logs[[#This Row],[Duree_Cumulee_Panne_Min]]/1440</f>
        <v>#VALUE!</v>
      </c>
      <c r="T837" s="1" t="str">
        <f>_xlfn.XLOOKUP(Logs[[#This Row],[ID_Client]],Clients_Log!B:B,Clients_Log!H:H,"Pas de correspondance")</f>
        <v>Pas de correspondance</v>
      </c>
      <c r="U837" s="1" t="str">
        <f>_xlfn.XLOOKUP(Logs[[#This Row],[ID_Client]],Clients_Log!B:B,Clients_Log!I:I,"Pas de correspondance")</f>
        <v>Pas de correspondance</v>
      </c>
      <c r="V83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37" s="1" t="e">
        <f>Logs[[#This Row],[Facture_Mensuelle]]*Logs[[#This Row],[Remise (%)]]</f>
        <v>#VALUE!</v>
      </c>
    </row>
    <row r="838" spans="1:23" hidden="1" x14ac:dyDescent="0.25">
      <c r="A838" s="1" t="s">
        <v>1384</v>
      </c>
      <c r="B838" s="2">
        <v>45205</v>
      </c>
      <c r="C838" s="1" t="str">
        <f>_xlfn.XLOOKUP(Logs[[#This Row],[Province_RDC]],Clients_Log!D:D,Clients_Log!B:B,"Pas de correspondance")</f>
        <v>Pas de correspondance</v>
      </c>
      <c r="D838" t="str">
        <f>_xlfn.XLOOKUP(Logs[[#This Row],[Cell_ID]],'Registre_Maintenance'!B:B,'Registre_Maintenance'!C:C,"Pas de correspondance")</f>
        <v>Pas de correspondance</v>
      </c>
      <c r="E838" s="3">
        <v>0.87222222222222223</v>
      </c>
      <c r="F838" s="1" t="s">
        <v>1391</v>
      </c>
      <c r="G838" s="3">
        <f>Logs[[#This Row],[Duree_Panne_Min]]/1440</f>
        <v>1.1805555555555555E-2</v>
      </c>
      <c r="H838">
        <v>17</v>
      </c>
      <c r="I838" t="str">
        <f>_xlfn.XLOOKUP(Logs[[#This Row],[Cell_ID]],'Registre_Maintenance'!B:B,'Registre_Maintenance'!D:D,"Pas de correspondance")</f>
        <v>Pas de correspondance</v>
      </c>
      <c r="J838" t="str">
        <f>_xlfn.XLOOKUP(Logs[[#This Row],[Cell_ID]],'Registre_Maintenance'!B:B,'Registre_Maintenance'!E:E,"Pas de correspondance")</f>
        <v>Pas de correspondance</v>
      </c>
      <c r="K838" t="str">
        <f>_xlfn.XLOOKUP(Logs[[#This Row],[Cell_ID]],'Registre_Maintenance'!B:B,'Registre_Maintenance'!F:F,"Pas de correspondance")</f>
        <v>Pas de correspondance</v>
      </c>
      <c r="L838" t="str">
        <f>_xlfn.XLOOKUP(Logs[[#This Row],[Cell_ID]],'Registre_Maintenance'!B:B,'Registre_Maintenance'!G:G,"Pas de correspondance")</f>
        <v>Pas de correspondance</v>
      </c>
      <c r="M838" s="1" t="s">
        <v>806</v>
      </c>
      <c r="N838" s="1" t="str">
        <f>_xlfn.XLOOKUP(Logs[[#This Row],[ID_Client]],Clients_Log!B:B,Clients_Log!E:E,"Pas de correspondance")</f>
        <v>Pas de correspondance</v>
      </c>
      <c r="O838" s="4" t="str">
        <f>IFERROR(Logs[[#This Row],[Anciennete_Mois]]/12,"")</f>
        <v/>
      </c>
      <c r="P838" s="1" t="str">
        <f>_xlfn.XLOOKUP(Logs[[#This Row],[ID_Client]],Clients_Log!B:B,Clients_Log!F:F,"Pas de correspondance")</f>
        <v>Pas de correspondance</v>
      </c>
      <c r="Q838" s="1" t="str">
        <f>IF(Logs[[#This Row],[Type_Forfait]]="Pro Monde","B2B","B2C")</f>
        <v>B2C</v>
      </c>
      <c r="R838" s="1" t="str">
        <f>_xlfn.XLOOKUP(Logs[[#This Row],[ID_Client]],Clients_Log!B:B,Clients_Log!G:G,"Pas de correspondance")</f>
        <v>Pas de correspondance</v>
      </c>
      <c r="S838" s="1" t="e">
        <f>Logs[[#This Row],[Duree_Cumulee_Panne_Min]]/1440</f>
        <v>#VALUE!</v>
      </c>
      <c r="T838" s="1" t="str">
        <f>_xlfn.XLOOKUP(Logs[[#This Row],[ID_Client]],Clients_Log!B:B,Clients_Log!H:H,"Pas de correspondance")</f>
        <v>Pas de correspondance</v>
      </c>
      <c r="U838" s="1" t="str">
        <f>_xlfn.XLOOKUP(Logs[[#This Row],[ID_Client]],Clients_Log!B:B,Clients_Log!I:I,"Pas de correspondance")</f>
        <v>Pas de correspondance</v>
      </c>
      <c r="V83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38" s="1" t="e">
        <f>Logs[[#This Row],[Facture_Mensuelle]]*Logs[[#This Row],[Remise (%)]]</f>
        <v>#VALUE!</v>
      </c>
    </row>
    <row r="839" spans="1:23" x14ac:dyDescent="0.25">
      <c r="A839" s="1" t="s">
        <v>1384</v>
      </c>
      <c r="B839" s="2">
        <v>45230</v>
      </c>
      <c r="C839" s="1" t="str">
        <f>_xlfn.XLOOKUP(Logs[[#This Row],[Province_RDC]],Clients_Log!D:D,Clients_Log!B:B,"Pas de correspondance")</f>
        <v>CLI-01005</v>
      </c>
      <c r="D839" t="str">
        <f>_xlfn.XLOOKUP(Logs[[#This Row],[Cell_ID]],'Registre_Maintenance'!B:B,'Registre_Maintenance'!C:C,"Pas de correspondance")</f>
        <v>Lualaba</v>
      </c>
      <c r="E839" s="3">
        <v>0.11944444444444445</v>
      </c>
      <c r="F839" s="1" t="s">
        <v>990</v>
      </c>
      <c r="G839" s="3">
        <f>Logs[[#This Row],[Duree_Panne_Min]]/1440</f>
        <v>5.5555555555555558E-3</v>
      </c>
      <c r="H839">
        <v>8</v>
      </c>
      <c r="I839">
        <f>_xlfn.XLOOKUP(Logs[[#This Row],[Cell_ID]],'Registre_Maintenance'!B:B,'Registre_Maintenance'!D:D,"Pas de correspondance")</f>
        <v>-9.5243310000000001</v>
      </c>
      <c r="J839">
        <f>_xlfn.XLOOKUP(Logs[[#This Row],[Cell_ID]],'Registre_Maintenance'!B:B,'Registre_Maintenance'!E:E,"Pas de correspondance")</f>
        <v>30.541212000000002</v>
      </c>
      <c r="K839" t="str">
        <f>_xlfn.XLOOKUP(Logs[[#This Row],[Cell_ID]],'Registre_Maintenance'!B:B,'Registre_Maintenance'!F:F,"Pas de correspondance")</f>
        <v>3G</v>
      </c>
      <c r="L839" t="str">
        <f>_xlfn.XLOOKUP(Logs[[#This Row],[Cell_ID]],'Registre_Maintenance'!B:B,'Registre_Maintenance'!G:G,"Pas de correspondance")</f>
        <v>Ericsson</v>
      </c>
      <c r="M839" s="1" t="s">
        <v>809</v>
      </c>
      <c r="N839" s="1">
        <f>_xlfn.XLOOKUP(Logs[[#This Row],[ID_Client]],Clients_Log!B:B,Clients_Log!E:E,"Pas de correspondance")</f>
        <v>80</v>
      </c>
      <c r="O839" s="4">
        <f>IFERROR(Logs[[#This Row],[Anciennete_Mois]]/12,"")</f>
        <v>6.666666666666667</v>
      </c>
      <c r="P839" s="1" t="str">
        <f>_xlfn.XLOOKUP(Logs[[#This Row],[ID_Client]],Clients_Log!B:B,Clients_Log!F:F,"Pas de correspondance")</f>
        <v>Illimité 50Go</v>
      </c>
      <c r="Q839" s="1" t="str">
        <f>IF(Logs[[#This Row],[Type_Forfait]]="Pro Monde","B2B","B2C")</f>
        <v>B2C</v>
      </c>
      <c r="R839" s="1">
        <f>_xlfn.XLOOKUP(Logs[[#This Row],[ID_Client]],Clients_Log!B:B,Clients_Log!G:G,"Pas de correspondance")</f>
        <v>155</v>
      </c>
      <c r="S839" s="3">
        <f>Logs[[#This Row],[Duree_Cumulee_Panne_Min]]/1440</f>
        <v>0.1076388888888889</v>
      </c>
      <c r="T839" s="1">
        <f>_xlfn.XLOOKUP(Logs[[#This Row],[ID_Client]],Clients_Log!B:B,Clients_Log!H:H,"Pas de correspondance")</f>
        <v>28.96</v>
      </c>
      <c r="U839" s="1">
        <f>_xlfn.XLOOKUP(Logs[[#This Row],[ID_Client]],Clients_Log!B:B,Clients_Log!I:I,"Pas de correspondance")</f>
        <v>2</v>
      </c>
      <c r="V83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839" s="1">
        <f>Logs[[#This Row],[Facture_Mensuelle]]*Logs[[#This Row],[Remise (%)]]</f>
        <v>0</v>
      </c>
    </row>
    <row r="840" spans="1:23" hidden="1" x14ac:dyDescent="0.25">
      <c r="A840" s="1" t="s">
        <v>1384</v>
      </c>
      <c r="B840" s="2">
        <v>45222</v>
      </c>
      <c r="C840" s="1" t="str">
        <f>_xlfn.XLOOKUP(Logs[[#This Row],[Province_RDC]],Clients_Log!D:D,Clients_Log!B:B,"Pas de correspondance")</f>
        <v>Pas de correspondance</v>
      </c>
      <c r="D840" t="str">
        <f>_xlfn.XLOOKUP(Logs[[#This Row],[Cell_ID]],'Registre_Maintenance'!B:B,'Registre_Maintenance'!C:C,"Pas de correspondance")</f>
        <v>Pas de correspondance</v>
      </c>
      <c r="E840" s="3">
        <v>0.90277777777777779</v>
      </c>
      <c r="F840" s="1" t="s">
        <v>1041</v>
      </c>
      <c r="G840" s="3">
        <f>Logs[[#This Row],[Duree_Panne_Min]]/1440</f>
        <v>2.1527777777777778E-2</v>
      </c>
      <c r="H840">
        <v>31</v>
      </c>
      <c r="I840" t="str">
        <f>_xlfn.XLOOKUP(Logs[[#This Row],[Cell_ID]],'Registre_Maintenance'!B:B,'Registre_Maintenance'!D:D,"Pas de correspondance")</f>
        <v>Pas de correspondance</v>
      </c>
      <c r="J840" t="str">
        <f>_xlfn.XLOOKUP(Logs[[#This Row],[Cell_ID]],'Registre_Maintenance'!B:B,'Registre_Maintenance'!E:E,"Pas de correspondance")</f>
        <v>Pas de correspondance</v>
      </c>
      <c r="K840" t="str">
        <f>_xlfn.XLOOKUP(Logs[[#This Row],[Cell_ID]],'Registre_Maintenance'!B:B,'Registre_Maintenance'!F:F,"Pas de correspondance")</f>
        <v>Pas de correspondance</v>
      </c>
      <c r="L840" t="str">
        <f>_xlfn.XLOOKUP(Logs[[#This Row],[Cell_ID]],'Registre_Maintenance'!B:B,'Registre_Maintenance'!G:G,"Pas de correspondance")</f>
        <v>Pas de correspondance</v>
      </c>
      <c r="M840" s="1" t="s">
        <v>811</v>
      </c>
      <c r="N840" s="1" t="str">
        <f>_xlfn.XLOOKUP(Logs[[#This Row],[ID_Client]],Clients_Log!B:B,Clients_Log!E:E,"Pas de correspondance")</f>
        <v>Pas de correspondance</v>
      </c>
      <c r="O840" s="4" t="str">
        <f>IFERROR(Logs[[#This Row],[Anciennete_Mois]]/12,"")</f>
        <v/>
      </c>
      <c r="P840" s="1" t="str">
        <f>_xlfn.XLOOKUP(Logs[[#This Row],[ID_Client]],Clients_Log!B:B,Clients_Log!F:F,"Pas de correspondance")</f>
        <v>Pas de correspondance</v>
      </c>
      <c r="Q840" s="1" t="str">
        <f>IF(Logs[[#This Row],[Type_Forfait]]="Pro Monde","B2B","B2C")</f>
        <v>B2C</v>
      </c>
      <c r="R840" s="1" t="str">
        <f>_xlfn.XLOOKUP(Logs[[#This Row],[ID_Client]],Clients_Log!B:B,Clients_Log!G:G,"Pas de correspondance")</f>
        <v>Pas de correspondance</v>
      </c>
      <c r="S840" s="1" t="e">
        <f>Logs[[#This Row],[Duree_Cumulee_Panne_Min]]/1440</f>
        <v>#VALUE!</v>
      </c>
      <c r="T840" s="1" t="str">
        <f>_xlfn.XLOOKUP(Logs[[#This Row],[ID_Client]],Clients_Log!B:B,Clients_Log!H:H,"Pas de correspondance")</f>
        <v>Pas de correspondance</v>
      </c>
      <c r="U840" s="1" t="str">
        <f>_xlfn.XLOOKUP(Logs[[#This Row],[ID_Client]],Clients_Log!B:B,Clients_Log!I:I,"Pas de correspondance")</f>
        <v>Pas de correspondance</v>
      </c>
      <c r="V84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40" s="1" t="e">
        <f>Logs[[#This Row],[Facture_Mensuelle]]*Logs[[#This Row],[Remise (%)]]</f>
        <v>#VALUE!</v>
      </c>
    </row>
    <row r="841" spans="1:23" x14ac:dyDescent="0.25">
      <c r="A841" s="1" t="s">
        <v>1384</v>
      </c>
      <c r="B841" s="2">
        <v>45223</v>
      </c>
      <c r="C841" s="1" t="str">
        <f>_xlfn.XLOOKUP(Logs[[#This Row],[Province_RDC]],Clients_Log!D:D,Clients_Log!B:B,"Pas de correspondance")</f>
        <v>CLI-00414</v>
      </c>
      <c r="D841" t="str">
        <f>_xlfn.XLOOKUP(Logs[[#This Row],[Cell_ID]],'Registre_Maintenance'!B:B,'Registre_Maintenance'!C:C,"Pas de correspondance")</f>
        <v>Bas-Uele</v>
      </c>
      <c r="E841" s="3">
        <v>0.43611111111111112</v>
      </c>
      <c r="F841" s="1" t="s">
        <v>996</v>
      </c>
      <c r="G841" s="3">
        <f>Logs[[#This Row],[Duree_Panne_Min]]/1440</f>
        <v>1.8055555555555554E-2</v>
      </c>
      <c r="H841">
        <v>26</v>
      </c>
      <c r="I841">
        <f>_xlfn.XLOOKUP(Logs[[#This Row],[Cell_ID]],'Registre_Maintenance'!B:B,'Registre_Maintenance'!D:D,"Pas de correspondance")</f>
        <v>1.5278670000000001</v>
      </c>
      <c r="J841">
        <f>_xlfn.XLOOKUP(Logs[[#This Row],[Cell_ID]],'Registre_Maintenance'!B:B,'Registre_Maintenance'!E:E,"Pas de correspondance")</f>
        <v>13.899388999999999</v>
      </c>
      <c r="K841" t="str">
        <f>_xlfn.XLOOKUP(Logs[[#This Row],[Cell_ID]],'Registre_Maintenance'!B:B,'Registre_Maintenance'!F:F,"Pas de correspondance")</f>
        <v>3G</v>
      </c>
      <c r="L841" t="str">
        <f>_xlfn.XLOOKUP(Logs[[#This Row],[Cell_ID]],'Registre_Maintenance'!B:B,'Registre_Maintenance'!G:G,"Pas de correspondance")</f>
        <v>Huawei</v>
      </c>
      <c r="M841" s="1" t="s">
        <v>806</v>
      </c>
      <c r="N841" s="1">
        <f>_xlfn.XLOOKUP(Logs[[#This Row],[ID_Client]],Clients_Log!B:B,Clients_Log!E:E,"Pas de correspondance")</f>
        <v>99</v>
      </c>
      <c r="O841" s="4">
        <f>IFERROR(Logs[[#This Row],[Anciennete_Mois]]/12,"")</f>
        <v>8.25</v>
      </c>
      <c r="P841" s="1" t="str">
        <f>_xlfn.XLOOKUP(Logs[[#This Row],[ID_Client]],Clients_Log!B:B,Clients_Log!F:F,"Pas de correspondance")</f>
        <v>Premium 5G 150Go</v>
      </c>
      <c r="Q841" s="1" t="str">
        <f>IF(Logs[[#This Row],[Type_Forfait]]="Pro Monde","B2B","B2C")</f>
        <v>B2C</v>
      </c>
      <c r="R841" s="1">
        <f>_xlfn.XLOOKUP(Logs[[#This Row],[ID_Client]],Clients_Log!B:B,Clients_Log!G:G,"Pas de correspondance")</f>
        <v>447</v>
      </c>
      <c r="S841" s="3">
        <f>Logs[[#This Row],[Duree_Cumulee_Panne_Min]]/1440</f>
        <v>0.31041666666666667</v>
      </c>
      <c r="T841" s="1">
        <f>_xlfn.XLOOKUP(Logs[[#This Row],[ID_Client]],Clients_Log!B:B,Clients_Log!H:H,"Pas de correspondance")</f>
        <v>38.1</v>
      </c>
      <c r="U841" s="1">
        <f>_xlfn.XLOOKUP(Logs[[#This Row],[ID_Client]],Clients_Log!B:B,Clients_Log!I:I,"Pas de correspondance")</f>
        <v>3</v>
      </c>
      <c r="V84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41" s="1">
        <f>Logs[[#This Row],[Facture_Mensuelle]]*Logs[[#This Row],[Remise (%)]]</f>
        <v>17.145</v>
      </c>
    </row>
    <row r="842" spans="1:23" x14ac:dyDescent="0.25">
      <c r="A842" s="1" t="s">
        <v>1384</v>
      </c>
      <c r="B842" s="2">
        <v>45200</v>
      </c>
      <c r="C842" s="1" t="str">
        <f>_xlfn.XLOOKUP(Logs[[#This Row],[Province_RDC]],Clients_Log!D:D,Clients_Log!B:B,"Pas de correspondance")</f>
        <v>CLI-01325</v>
      </c>
      <c r="D842" t="str">
        <f>_xlfn.XLOOKUP(Logs[[#This Row],[Cell_ID]],'Registre_Maintenance'!B:B,'Registre_Maintenance'!C:C,"Pas de correspondance")</f>
        <v>Haut-Lomami</v>
      </c>
      <c r="E842" s="3">
        <v>0.34236111111111112</v>
      </c>
      <c r="F842" s="1" t="s">
        <v>1088</v>
      </c>
      <c r="G842" s="3">
        <f>Logs[[#This Row],[Duree_Panne_Min]]/1440</f>
        <v>5.9722222222222225E-2</v>
      </c>
      <c r="H842">
        <v>86</v>
      </c>
      <c r="I842">
        <f>_xlfn.XLOOKUP(Logs[[#This Row],[Cell_ID]],'Registre_Maintenance'!B:B,'Registre_Maintenance'!D:D,"Pas de correspondance")</f>
        <v>2.628638</v>
      </c>
      <c r="J842">
        <f>_xlfn.XLOOKUP(Logs[[#This Row],[Cell_ID]],'Registre_Maintenance'!B:B,'Registre_Maintenance'!E:E,"Pas de correspondance")</f>
        <v>28.420582</v>
      </c>
      <c r="K842" t="str">
        <f>_xlfn.XLOOKUP(Logs[[#This Row],[Cell_ID]],'Registre_Maintenance'!B:B,'Registre_Maintenance'!F:F,"Pas de correspondance")</f>
        <v>4G</v>
      </c>
      <c r="L842" t="str">
        <f>_xlfn.XLOOKUP(Logs[[#This Row],[Cell_ID]],'Registre_Maintenance'!B:B,'Registre_Maintenance'!G:G,"Pas de correspondance")</f>
        <v>Huawei</v>
      </c>
      <c r="M842" s="1" t="s">
        <v>809</v>
      </c>
      <c r="N842" s="1">
        <f>_xlfn.XLOOKUP(Logs[[#This Row],[ID_Client]],Clients_Log!B:B,Clients_Log!E:E,"Pas de correspondance")</f>
        <v>44</v>
      </c>
      <c r="O842" s="4">
        <f>IFERROR(Logs[[#This Row],[Anciennete_Mois]]/12,"")</f>
        <v>3.6666666666666665</v>
      </c>
      <c r="P842" s="1" t="str">
        <f>_xlfn.XLOOKUP(Logs[[#This Row],[ID_Client]],Clients_Log!B:B,Clients_Log!F:F,"Pas de correspondance")</f>
        <v>Bloqué 5Go</v>
      </c>
      <c r="Q842" s="1" t="str">
        <f>IF(Logs[[#This Row],[Type_Forfait]]="Pro Monde","B2B","B2C")</f>
        <v>B2C</v>
      </c>
      <c r="R842" s="1">
        <f>_xlfn.XLOOKUP(Logs[[#This Row],[ID_Client]],Clients_Log!B:B,Clients_Log!G:G,"Pas de correspondance")</f>
        <v>348</v>
      </c>
      <c r="S842" s="3">
        <f>Logs[[#This Row],[Duree_Cumulee_Panne_Min]]/1440</f>
        <v>0.24166666666666667</v>
      </c>
      <c r="T842" s="1">
        <f>_xlfn.XLOOKUP(Logs[[#This Row],[ID_Client]],Clients_Log!B:B,Clients_Log!H:H,"Pas de correspondance")</f>
        <v>58.67</v>
      </c>
      <c r="U842" s="1">
        <f>_xlfn.XLOOKUP(Logs[[#This Row],[ID_Client]],Clients_Log!B:B,Clients_Log!I:I,"Pas de correspondance")</f>
        <v>0</v>
      </c>
      <c r="V84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42" s="1">
        <f>Logs[[#This Row],[Facture_Mensuelle]]*Logs[[#This Row],[Remise (%)]]</f>
        <v>26.401500000000002</v>
      </c>
    </row>
    <row r="843" spans="1:23" hidden="1" x14ac:dyDescent="0.25">
      <c r="A843" s="1" t="s">
        <v>1384</v>
      </c>
      <c r="B843" s="2">
        <v>45207</v>
      </c>
      <c r="C843" s="1" t="str">
        <f>_xlfn.XLOOKUP(Logs[[#This Row],[Province_RDC]],Clients_Log!D:D,Clients_Log!B:B,"Pas de correspondance")</f>
        <v>Pas de correspondance</v>
      </c>
      <c r="D843" t="str">
        <f>_xlfn.XLOOKUP(Logs[[#This Row],[Cell_ID]],'Registre_Maintenance'!B:B,'Registre_Maintenance'!C:C,"Pas de correspondance")</f>
        <v>Pas de correspondance</v>
      </c>
      <c r="E843" s="3">
        <v>0.9194444444444444</v>
      </c>
      <c r="F843" s="1" t="s">
        <v>1392</v>
      </c>
      <c r="G843" s="3">
        <f>Logs[[#This Row],[Duree_Panne_Min]]/1440</f>
        <v>2.9166666666666667E-2</v>
      </c>
      <c r="H843">
        <v>42</v>
      </c>
      <c r="I843" t="str">
        <f>_xlfn.XLOOKUP(Logs[[#This Row],[Cell_ID]],'Registre_Maintenance'!B:B,'Registre_Maintenance'!D:D,"Pas de correspondance")</f>
        <v>Pas de correspondance</v>
      </c>
      <c r="J843" t="str">
        <f>_xlfn.XLOOKUP(Logs[[#This Row],[Cell_ID]],'Registre_Maintenance'!B:B,'Registre_Maintenance'!E:E,"Pas de correspondance")</f>
        <v>Pas de correspondance</v>
      </c>
      <c r="K843" t="str">
        <f>_xlfn.XLOOKUP(Logs[[#This Row],[Cell_ID]],'Registre_Maintenance'!B:B,'Registre_Maintenance'!F:F,"Pas de correspondance")</f>
        <v>Pas de correspondance</v>
      </c>
      <c r="L843" t="str">
        <f>_xlfn.XLOOKUP(Logs[[#This Row],[Cell_ID]],'Registre_Maintenance'!B:B,'Registre_Maintenance'!G:G,"Pas de correspondance")</f>
        <v>Pas de correspondance</v>
      </c>
      <c r="M843" s="1" t="s">
        <v>806</v>
      </c>
      <c r="N843" s="1" t="str">
        <f>_xlfn.XLOOKUP(Logs[[#This Row],[ID_Client]],Clients_Log!B:B,Clients_Log!E:E,"Pas de correspondance")</f>
        <v>Pas de correspondance</v>
      </c>
      <c r="O843" s="4" t="str">
        <f>IFERROR(Logs[[#This Row],[Anciennete_Mois]]/12,"")</f>
        <v/>
      </c>
      <c r="P843" s="1" t="str">
        <f>_xlfn.XLOOKUP(Logs[[#This Row],[ID_Client]],Clients_Log!B:B,Clients_Log!F:F,"Pas de correspondance")</f>
        <v>Pas de correspondance</v>
      </c>
      <c r="Q843" s="1" t="str">
        <f>IF(Logs[[#This Row],[Type_Forfait]]="Pro Monde","B2B","B2C")</f>
        <v>B2C</v>
      </c>
      <c r="R843" s="1" t="str">
        <f>_xlfn.XLOOKUP(Logs[[#This Row],[ID_Client]],Clients_Log!B:B,Clients_Log!G:G,"Pas de correspondance")</f>
        <v>Pas de correspondance</v>
      </c>
      <c r="S843" s="1" t="e">
        <f>Logs[[#This Row],[Duree_Cumulee_Panne_Min]]/1440</f>
        <v>#VALUE!</v>
      </c>
      <c r="T843" s="1" t="str">
        <f>_xlfn.XLOOKUP(Logs[[#This Row],[ID_Client]],Clients_Log!B:B,Clients_Log!H:H,"Pas de correspondance")</f>
        <v>Pas de correspondance</v>
      </c>
      <c r="U843" s="1" t="str">
        <f>_xlfn.XLOOKUP(Logs[[#This Row],[ID_Client]],Clients_Log!B:B,Clients_Log!I:I,"Pas de correspondance")</f>
        <v>Pas de correspondance</v>
      </c>
      <c r="V84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43" s="1" t="e">
        <f>Logs[[#This Row],[Facture_Mensuelle]]*Logs[[#This Row],[Remise (%)]]</f>
        <v>#VALUE!</v>
      </c>
    </row>
    <row r="844" spans="1:23" hidden="1" x14ac:dyDescent="0.25">
      <c r="A844" s="1" t="s">
        <v>1384</v>
      </c>
      <c r="B844" s="2">
        <v>45211</v>
      </c>
      <c r="C844" s="1" t="str">
        <f>_xlfn.XLOOKUP(Logs[[#This Row],[Province_RDC]],Clients_Log!D:D,Clients_Log!B:B,"Pas de correspondance")</f>
        <v>Pas de correspondance</v>
      </c>
      <c r="D844" t="str">
        <f>_xlfn.XLOOKUP(Logs[[#This Row],[Cell_ID]],'Registre_Maintenance'!B:B,'Registre_Maintenance'!C:C,"Pas de correspondance")</f>
        <v>Pas de correspondance</v>
      </c>
      <c r="E844" s="3">
        <v>0.36805555555555558</v>
      </c>
      <c r="F844" s="1" t="s">
        <v>970</v>
      </c>
      <c r="G844" s="3">
        <f>Logs[[#This Row],[Duree_Panne_Min]]/1440</f>
        <v>1.0416666666666666E-2</v>
      </c>
      <c r="H844">
        <v>15</v>
      </c>
      <c r="I844" t="str">
        <f>_xlfn.XLOOKUP(Logs[[#This Row],[Cell_ID]],'Registre_Maintenance'!B:B,'Registre_Maintenance'!D:D,"Pas de correspondance")</f>
        <v>Pas de correspondance</v>
      </c>
      <c r="J844" t="str">
        <f>_xlfn.XLOOKUP(Logs[[#This Row],[Cell_ID]],'Registre_Maintenance'!B:B,'Registre_Maintenance'!E:E,"Pas de correspondance")</f>
        <v>Pas de correspondance</v>
      </c>
      <c r="K844" t="str">
        <f>_xlfn.XLOOKUP(Logs[[#This Row],[Cell_ID]],'Registre_Maintenance'!B:B,'Registre_Maintenance'!F:F,"Pas de correspondance")</f>
        <v>Pas de correspondance</v>
      </c>
      <c r="L844" t="str">
        <f>_xlfn.XLOOKUP(Logs[[#This Row],[Cell_ID]],'Registre_Maintenance'!B:B,'Registre_Maintenance'!G:G,"Pas de correspondance")</f>
        <v>Pas de correspondance</v>
      </c>
      <c r="M844" s="1" t="s">
        <v>809</v>
      </c>
      <c r="N844" s="1" t="str">
        <f>_xlfn.XLOOKUP(Logs[[#This Row],[ID_Client]],Clients_Log!B:B,Clients_Log!E:E,"Pas de correspondance")</f>
        <v>Pas de correspondance</v>
      </c>
      <c r="O844" s="4" t="str">
        <f>IFERROR(Logs[[#This Row],[Anciennete_Mois]]/12,"")</f>
        <v/>
      </c>
      <c r="P844" s="1" t="str">
        <f>_xlfn.XLOOKUP(Logs[[#This Row],[ID_Client]],Clients_Log!B:B,Clients_Log!F:F,"Pas de correspondance")</f>
        <v>Pas de correspondance</v>
      </c>
      <c r="Q844" s="1" t="str">
        <f>IF(Logs[[#This Row],[Type_Forfait]]="Pro Monde","B2B","B2C")</f>
        <v>B2C</v>
      </c>
      <c r="R844" s="1" t="str">
        <f>_xlfn.XLOOKUP(Logs[[#This Row],[ID_Client]],Clients_Log!B:B,Clients_Log!G:G,"Pas de correspondance")</f>
        <v>Pas de correspondance</v>
      </c>
      <c r="S844" s="1" t="e">
        <f>Logs[[#This Row],[Duree_Cumulee_Panne_Min]]/1440</f>
        <v>#VALUE!</v>
      </c>
      <c r="T844" s="1" t="str">
        <f>_xlfn.XLOOKUP(Logs[[#This Row],[ID_Client]],Clients_Log!B:B,Clients_Log!H:H,"Pas de correspondance")</f>
        <v>Pas de correspondance</v>
      </c>
      <c r="U844" s="1" t="str">
        <f>_xlfn.XLOOKUP(Logs[[#This Row],[ID_Client]],Clients_Log!B:B,Clients_Log!I:I,"Pas de correspondance")</f>
        <v>Pas de correspondance</v>
      </c>
      <c r="V84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44" s="1" t="e">
        <f>Logs[[#This Row],[Facture_Mensuelle]]*Logs[[#This Row],[Remise (%)]]</f>
        <v>#VALUE!</v>
      </c>
    </row>
    <row r="845" spans="1:23" hidden="1" x14ac:dyDescent="0.25">
      <c r="A845" s="1" t="s">
        <v>1384</v>
      </c>
      <c r="B845" s="2">
        <v>45203</v>
      </c>
      <c r="C845" s="1" t="str">
        <f>_xlfn.XLOOKUP(Logs[[#This Row],[Province_RDC]],Clients_Log!D:D,Clients_Log!B:B,"Pas de correspondance")</f>
        <v>Pas de correspondance</v>
      </c>
      <c r="D845" t="str">
        <f>_xlfn.XLOOKUP(Logs[[#This Row],[Cell_ID]],'Registre_Maintenance'!B:B,'Registre_Maintenance'!C:C,"Pas de correspondance")</f>
        <v>Pas de correspondance</v>
      </c>
      <c r="E845" s="3">
        <v>0.95833333333333337</v>
      </c>
      <c r="F845" s="1" t="s">
        <v>1393</v>
      </c>
      <c r="G845" s="3">
        <f>Logs[[#This Row],[Duree_Panne_Min]]/1440</f>
        <v>4.5138888888888888E-2</v>
      </c>
      <c r="H845">
        <v>65</v>
      </c>
      <c r="I845" t="str">
        <f>_xlfn.XLOOKUP(Logs[[#This Row],[Cell_ID]],'Registre_Maintenance'!B:B,'Registre_Maintenance'!D:D,"Pas de correspondance")</f>
        <v>Pas de correspondance</v>
      </c>
      <c r="J845" t="str">
        <f>_xlfn.XLOOKUP(Logs[[#This Row],[Cell_ID]],'Registre_Maintenance'!B:B,'Registre_Maintenance'!E:E,"Pas de correspondance")</f>
        <v>Pas de correspondance</v>
      </c>
      <c r="K845" t="str">
        <f>_xlfn.XLOOKUP(Logs[[#This Row],[Cell_ID]],'Registre_Maintenance'!B:B,'Registre_Maintenance'!F:F,"Pas de correspondance")</f>
        <v>Pas de correspondance</v>
      </c>
      <c r="L845" t="str">
        <f>_xlfn.XLOOKUP(Logs[[#This Row],[Cell_ID]],'Registre_Maintenance'!B:B,'Registre_Maintenance'!G:G,"Pas de correspondance")</f>
        <v>Pas de correspondance</v>
      </c>
      <c r="M845" s="1" t="s">
        <v>811</v>
      </c>
      <c r="N845" s="1" t="str">
        <f>_xlfn.XLOOKUP(Logs[[#This Row],[ID_Client]],Clients_Log!B:B,Clients_Log!E:E,"Pas de correspondance")</f>
        <v>Pas de correspondance</v>
      </c>
      <c r="O845" s="4" t="str">
        <f>IFERROR(Logs[[#This Row],[Anciennete_Mois]]/12,"")</f>
        <v/>
      </c>
      <c r="P845" s="1" t="str">
        <f>_xlfn.XLOOKUP(Logs[[#This Row],[ID_Client]],Clients_Log!B:B,Clients_Log!F:F,"Pas de correspondance")</f>
        <v>Pas de correspondance</v>
      </c>
      <c r="Q845" s="1" t="str">
        <f>IF(Logs[[#This Row],[Type_Forfait]]="Pro Monde","B2B","B2C")</f>
        <v>B2C</v>
      </c>
      <c r="R845" s="1" t="str">
        <f>_xlfn.XLOOKUP(Logs[[#This Row],[ID_Client]],Clients_Log!B:B,Clients_Log!G:G,"Pas de correspondance")</f>
        <v>Pas de correspondance</v>
      </c>
      <c r="S845" s="1" t="e">
        <f>Logs[[#This Row],[Duree_Cumulee_Panne_Min]]/1440</f>
        <v>#VALUE!</v>
      </c>
      <c r="T845" s="1" t="str">
        <f>_xlfn.XLOOKUP(Logs[[#This Row],[ID_Client]],Clients_Log!B:B,Clients_Log!H:H,"Pas de correspondance")</f>
        <v>Pas de correspondance</v>
      </c>
      <c r="U845" s="1" t="str">
        <f>_xlfn.XLOOKUP(Logs[[#This Row],[ID_Client]],Clients_Log!B:B,Clients_Log!I:I,"Pas de correspondance")</f>
        <v>Pas de correspondance</v>
      </c>
      <c r="V84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45" s="1" t="e">
        <f>Logs[[#This Row],[Facture_Mensuelle]]*Logs[[#This Row],[Remise (%)]]</f>
        <v>#VALUE!</v>
      </c>
    </row>
    <row r="846" spans="1:23" hidden="1" x14ac:dyDescent="0.25">
      <c r="A846" s="1" t="s">
        <v>1384</v>
      </c>
      <c r="B846" s="2">
        <v>45201</v>
      </c>
      <c r="C846" s="1" t="str">
        <f>_xlfn.XLOOKUP(Logs[[#This Row],[Province_RDC]],Clients_Log!D:D,Clients_Log!B:B,"Pas de correspondance")</f>
        <v>Pas de correspondance</v>
      </c>
      <c r="D846" t="str">
        <f>_xlfn.XLOOKUP(Logs[[#This Row],[Cell_ID]],'Registre_Maintenance'!B:B,'Registre_Maintenance'!C:C,"Pas de correspondance")</f>
        <v>Pas de correspondance</v>
      </c>
      <c r="E846" s="3">
        <v>0.51944444444444449</v>
      </c>
      <c r="F846" s="1" t="s">
        <v>923</v>
      </c>
      <c r="G846" s="3">
        <f>Logs[[#This Row],[Duree_Panne_Min]]/1440</f>
        <v>7.8472222222222221E-2</v>
      </c>
      <c r="H846">
        <v>113</v>
      </c>
      <c r="I846" t="str">
        <f>_xlfn.XLOOKUP(Logs[[#This Row],[Cell_ID]],'Registre_Maintenance'!B:B,'Registre_Maintenance'!D:D,"Pas de correspondance")</f>
        <v>Pas de correspondance</v>
      </c>
      <c r="J846" t="str">
        <f>_xlfn.XLOOKUP(Logs[[#This Row],[Cell_ID]],'Registre_Maintenance'!B:B,'Registre_Maintenance'!E:E,"Pas de correspondance")</f>
        <v>Pas de correspondance</v>
      </c>
      <c r="K846" t="str">
        <f>_xlfn.XLOOKUP(Logs[[#This Row],[Cell_ID]],'Registre_Maintenance'!B:B,'Registre_Maintenance'!F:F,"Pas de correspondance")</f>
        <v>Pas de correspondance</v>
      </c>
      <c r="L846" t="str">
        <f>_xlfn.XLOOKUP(Logs[[#This Row],[Cell_ID]],'Registre_Maintenance'!B:B,'Registre_Maintenance'!G:G,"Pas de correspondance")</f>
        <v>Pas de correspondance</v>
      </c>
      <c r="M846" s="1" t="s">
        <v>811</v>
      </c>
      <c r="N846" s="1" t="str">
        <f>_xlfn.XLOOKUP(Logs[[#This Row],[ID_Client]],Clients_Log!B:B,Clients_Log!E:E,"Pas de correspondance")</f>
        <v>Pas de correspondance</v>
      </c>
      <c r="O846" s="4" t="str">
        <f>IFERROR(Logs[[#This Row],[Anciennete_Mois]]/12,"")</f>
        <v/>
      </c>
      <c r="P846" s="1" t="str">
        <f>_xlfn.XLOOKUP(Logs[[#This Row],[ID_Client]],Clients_Log!B:B,Clients_Log!F:F,"Pas de correspondance")</f>
        <v>Pas de correspondance</v>
      </c>
      <c r="Q846" s="1" t="str">
        <f>IF(Logs[[#This Row],[Type_Forfait]]="Pro Monde","B2B","B2C")</f>
        <v>B2C</v>
      </c>
      <c r="R846" s="1" t="str">
        <f>_xlfn.XLOOKUP(Logs[[#This Row],[ID_Client]],Clients_Log!B:B,Clients_Log!G:G,"Pas de correspondance")</f>
        <v>Pas de correspondance</v>
      </c>
      <c r="S846" s="1" t="e">
        <f>Logs[[#This Row],[Duree_Cumulee_Panne_Min]]/1440</f>
        <v>#VALUE!</v>
      </c>
      <c r="T846" s="1" t="str">
        <f>_xlfn.XLOOKUP(Logs[[#This Row],[ID_Client]],Clients_Log!B:B,Clients_Log!H:H,"Pas de correspondance")</f>
        <v>Pas de correspondance</v>
      </c>
      <c r="U846" s="1" t="str">
        <f>_xlfn.XLOOKUP(Logs[[#This Row],[ID_Client]],Clients_Log!B:B,Clients_Log!I:I,"Pas de correspondance")</f>
        <v>Pas de correspondance</v>
      </c>
      <c r="V84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46" s="1" t="e">
        <f>Logs[[#This Row],[Facture_Mensuelle]]*Logs[[#This Row],[Remise (%)]]</f>
        <v>#VALUE!</v>
      </c>
    </row>
    <row r="847" spans="1:23" hidden="1" x14ac:dyDescent="0.25">
      <c r="A847" s="1" t="s">
        <v>1384</v>
      </c>
      <c r="B847" s="2">
        <v>45223</v>
      </c>
      <c r="C847" s="1" t="str">
        <f>_xlfn.XLOOKUP(Logs[[#This Row],[Province_RDC]],Clients_Log!D:D,Clients_Log!B:B,"Pas de correspondance")</f>
        <v>Pas de correspondance</v>
      </c>
      <c r="D847" t="str">
        <f>_xlfn.XLOOKUP(Logs[[#This Row],[Cell_ID]],'Registre_Maintenance'!B:B,'Registre_Maintenance'!C:C,"Pas de correspondance")</f>
        <v>Pas de correspondance</v>
      </c>
      <c r="E847" s="3">
        <v>0.54861111111111116</v>
      </c>
      <c r="F847" s="1" t="s">
        <v>1335</v>
      </c>
      <c r="G847" s="3">
        <f>Logs[[#This Row],[Duree_Panne_Min]]/1440</f>
        <v>1.3194444444444444E-2</v>
      </c>
      <c r="H847">
        <v>19</v>
      </c>
      <c r="I847" t="str">
        <f>_xlfn.XLOOKUP(Logs[[#This Row],[Cell_ID]],'Registre_Maintenance'!B:B,'Registre_Maintenance'!D:D,"Pas de correspondance")</f>
        <v>Pas de correspondance</v>
      </c>
      <c r="J847" t="str">
        <f>_xlfn.XLOOKUP(Logs[[#This Row],[Cell_ID]],'Registre_Maintenance'!B:B,'Registre_Maintenance'!E:E,"Pas de correspondance")</f>
        <v>Pas de correspondance</v>
      </c>
      <c r="K847" t="str">
        <f>_xlfn.XLOOKUP(Logs[[#This Row],[Cell_ID]],'Registre_Maintenance'!B:B,'Registre_Maintenance'!F:F,"Pas de correspondance")</f>
        <v>Pas de correspondance</v>
      </c>
      <c r="L847" t="str">
        <f>_xlfn.XLOOKUP(Logs[[#This Row],[Cell_ID]],'Registre_Maintenance'!B:B,'Registre_Maintenance'!G:G,"Pas de correspondance")</f>
        <v>Pas de correspondance</v>
      </c>
      <c r="M847" s="1" t="s">
        <v>809</v>
      </c>
      <c r="N847" s="1" t="str">
        <f>_xlfn.XLOOKUP(Logs[[#This Row],[ID_Client]],Clients_Log!B:B,Clients_Log!E:E,"Pas de correspondance")</f>
        <v>Pas de correspondance</v>
      </c>
      <c r="O847" s="4" t="str">
        <f>IFERROR(Logs[[#This Row],[Anciennete_Mois]]/12,"")</f>
        <v/>
      </c>
      <c r="P847" s="1" t="str">
        <f>_xlfn.XLOOKUP(Logs[[#This Row],[ID_Client]],Clients_Log!B:B,Clients_Log!F:F,"Pas de correspondance")</f>
        <v>Pas de correspondance</v>
      </c>
      <c r="Q847" s="1" t="str">
        <f>IF(Logs[[#This Row],[Type_Forfait]]="Pro Monde","B2B","B2C")</f>
        <v>B2C</v>
      </c>
      <c r="R847" s="1" t="str">
        <f>_xlfn.XLOOKUP(Logs[[#This Row],[ID_Client]],Clients_Log!B:B,Clients_Log!G:G,"Pas de correspondance")</f>
        <v>Pas de correspondance</v>
      </c>
      <c r="S847" s="1" t="e">
        <f>Logs[[#This Row],[Duree_Cumulee_Panne_Min]]/1440</f>
        <v>#VALUE!</v>
      </c>
      <c r="T847" s="1" t="str">
        <f>_xlfn.XLOOKUP(Logs[[#This Row],[ID_Client]],Clients_Log!B:B,Clients_Log!H:H,"Pas de correspondance")</f>
        <v>Pas de correspondance</v>
      </c>
      <c r="U847" s="1" t="str">
        <f>_xlfn.XLOOKUP(Logs[[#This Row],[ID_Client]],Clients_Log!B:B,Clients_Log!I:I,"Pas de correspondance")</f>
        <v>Pas de correspondance</v>
      </c>
      <c r="V84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47" s="1" t="e">
        <f>Logs[[#This Row],[Facture_Mensuelle]]*Logs[[#This Row],[Remise (%)]]</f>
        <v>#VALUE!</v>
      </c>
    </row>
    <row r="848" spans="1:23" hidden="1" x14ac:dyDescent="0.25">
      <c r="A848" s="1" t="s">
        <v>1384</v>
      </c>
      <c r="B848" s="2">
        <v>45228</v>
      </c>
      <c r="C848" s="1" t="str">
        <f>_xlfn.XLOOKUP(Logs[[#This Row],[Province_RDC]],Clients_Log!D:D,Clients_Log!B:B,"Pas de correspondance")</f>
        <v>Pas de correspondance</v>
      </c>
      <c r="D848" t="str">
        <f>_xlfn.XLOOKUP(Logs[[#This Row],[Cell_ID]],'Registre_Maintenance'!B:B,'Registre_Maintenance'!C:C,"Pas de correspondance")</f>
        <v>Pas de correspondance</v>
      </c>
      <c r="E848" s="3">
        <v>0.56319444444444444</v>
      </c>
      <c r="F848" s="1" t="s">
        <v>1290</v>
      </c>
      <c r="G848" s="3">
        <f>Logs[[#This Row],[Duree_Panne_Min]]/1440</f>
        <v>3.0555555555555555E-2</v>
      </c>
      <c r="H848">
        <v>44</v>
      </c>
      <c r="I848" t="str">
        <f>_xlfn.XLOOKUP(Logs[[#This Row],[Cell_ID]],'Registre_Maintenance'!B:B,'Registre_Maintenance'!D:D,"Pas de correspondance")</f>
        <v>Pas de correspondance</v>
      </c>
      <c r="J848" t="str">
        <f>_xlfn.XLOOKUP(Logs[[#This Row],[Cell_ID]],'Registre_Maintenance'!B:B,'Registre_Maintenance'!E:E,"Pas de correspondance")</f>
        <v>Pas de correspondance</v>
      </c>
      <c r="K848" t="str">
        <f>_xlfn.XLOOKUP(Logs[[#This Row],[Cell_ID]],'Registre_Maintenance'!B:B,'Registre_Maintenance'!F:F,"Pas de correspondance")</f>
        <v>Pas de correspondance</v>
      </c>
      <c r="L848" t="str">
        <f>_xlfn.XLOOKUP(Logs[[#This Row],[Cell_ID]],'Registre_Maintenance'!B:B,'Registre_Maintenance'!G:G,"Pas de correspondance")</f>
        <v>Pas de correspondance</v>
      </c>
      <c r="M848" s="1" t="s">
        <v>806</v>
      </c>
      <c r="N848" s="1" t="str">
        <f>_xlfn.XLOOKUP(Logs[[#This Row],[ID_Client]],Clients_Log!B:B,Clients_Log!E:E,"Pas de correspondance")</f>
        <v>Pas de correspondance</v>
      </c>
      <c r="O848" s="4" t="str">
        <f>IFERROR(Logs[[#This Row],[Anciennete_Mois]]/12,"")</f>
        <v/>
      </c>
      <c r="P848" s="1" t="str">
        <f>_xlfn.XLOOKUP(Logs[[#This Row],[ID_Client]],Clients_Log!B:B,Clients_Log!F:F,"Pas de correspondance")</f>
        <v>Pas de correspondance</v>
      </c>
      <c r="Q848" s="1" t="str">
        <f>IF(Logs[[#This Row],[Type_Forfait]]="Pro Monde","B2B","B2C")</f>
        <v>B2C</v>
      </c>
      <c r="R848" s="1" t="str">
        <f>_xlfn.XLOOKUP(Logs[[#This Row],[ID_Client]],Clients_Log!B:B,Clients_Log!G:G,"Pas de correspondance")</f>
        <v>Pas de correspondance</v>
      </c>
      <c r="S848" s="1" t="e">
        <f>Logs[[#This Row],[Duree_Cumulee_Panne_Min]]/1440</f>
        <v>#VALUE!</v>
      </c>
      <c r="T848" s="1" t="str">
        <f>_xlfn.XLOOKUP(Logs[[#This Row],[ID_Client]],Clients_Log!B:B,Clients_Log!H:H,"Pas de correspondance")</f>
        <v>Pas de correspondance</v>
      </c>
      <c r="U848" s="1" t="str">
        <f>_xlfn.XLOOKUP(Logs[[#This Row],[ID_Client]],Clients_Log!B:B,Clients_Log!I:I,"Pas de correspondance")</f>
        <v>Pas de correspondance</v>
      </c>
      <c r="V84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48" s="1" t="e">
        <f>Logs[[#This Row],[Facture_Mensuelle]]*Logs[[#This Row],[Remise (%)]]</f>
        <v>#VALUE!</v>
      </c>
    </row>
    <row r="849" spans="1:23" x14ac:dyDescent="0.25">
      <c r="A849" s="1" t="s">
        <v>1384</v>
      </c>
      <c r="B849" s="2">
        <v>45228</v>
      </c>
      <c r="C849" s="1" t="str">
        <f>_xlfn.XLOOKUP(Logs[[#This Row],[Province_RDC]],Clients_Log!D:D,Clients_Log!B:B,"Pas de correspondance")</f>
        <v>CLI-00745</v>
      </c>
      <c r="D849" t="str">
        <f>_xlfn.XLOOKUP(Logs[[#This Row],[Cell_ID]],'Registre_Maintenance'!B:B,'Registre_Maintenance'!C:C,"Pas de correspondance")</f>
        <v>Tshopo</v>
      </c>
      <c r="E849" s="3">
        <v>0.51527777777777772</v>
      </c>
      <c r="F849" s="1" t="s">
        <v>1394</v>
      </c>
      <c r="G849" s="3">
        <f>Logs[[#This Row],[Duree_Panne_Min]]/1440</f>
        <v>7.2916666666666671E-2</v>
      </c>
      <c r="H849">
        <v>105</v>
      </c>
      <c r="I849">
        <f>_xlfn.XLOOKUP(Logs[[#This Row],[Cell_ID]],'Registre_Maintenance'!B:B,'Registre_Maintenance'!D:D,"Pas de correspondance")</f>
        <v>-0.919767</v>
      </c>
      <c r="J849">
        <f>_xlfn.XLOOKUP(Logs[[#This Row],[Cell_ID]],'Registre_Maintenance'!B:B,'Registre_Maintenance'!E:E,"Pas de correspondance")</f>
        <v>18.905538</v>
      </c>
      <c r="K849" t="str">
        <f>_xlfn.XLOOKUP(Logs[[#This Row],[Cell_ID]],'Registre_Maintenance'!B:B,'Registre_Maintenance'!F:F,"Pas de correspondance")</f>
        <v>5G</v>
      </c>
      <c r="L849" t="str">
        <f>_xlfn.XLOOKUP(Logs[[#This Row],[Cell_ID]],'Registre_Maintenance'!B:B,'Registre_Maintenance'!G:G,"Pas de correspondance")</f>
        <v>Ericsson</v>
      </c>
      <c r="M849" s="1" t="s">
        <v>806</v>
      </c>
      <c r="N849" s="1">
        <f>_xlfn.XLOOKUP(Logs[[#This Row],[ID_Client]],Clients_Log!B:B,Clients_Log!E:E,"Pas de correspondance")</f>
        <v>6</v>
      </c>
      <c r="O849" s="4">
        <f>IFERROR(Logs[[#This Row],[Anciennete_Mois]]/12,"")</f>
        <v>0.5</v>
      </c>
      <c r="P849" s="1" t="str">
        <f>_xlfn.XLOOKUP(Logs[[#This Row],[ID_Client]],Clients_Log!B:B,Clients_Log!F:F,"Pas de correspondance")</f>
        <v>Premium 5G 150Go</v>
      </c>
      <c r="Q849" s="1" t="str">
        <f>IF(Logs[[#This Row],[Type_Forfait]]="Pro Monde","B2B","B2C")</f>
        <v>B2C</v>
      </c>
      <c r="R849" s="1">
        <f>_xlfn.XLOOKUP(Logs[[#This Row],[ID_Client]],Clients_Log!B:B,Clients_Log!G:G,"Pas de correspondance")</f>
        <v>207</v>
      </c>
      <c r="S849" s="3">
        <f>Logs[[#This Row],[Duree_Cumulee_Panne_Min]]/1440</f>
        <v>0.14374999999999999</v>
      </c>
      <c r="T849" s="1">
        <f>_xlfn.XLOOKUP(Logs[[#This Row],[ID_Client]],Clients_Log!B:B,Clients_Log!H:H,"Pas de correspondance")</f>
        <v>61.55</v>
      </c>
      <c r="U849" s="1">
        <f>_xlfn.XLOOKUP(Logs[[#This Row],[ID_Client]],Clients_Log!B:B,Clients_Log!I:I,"Pas de correspondance")</f>
        <v>0</v>
      </c>
      <c r="V84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49" s="1">
        <f>Logs[[#This Row],[Facture_Mensuelle]]*Logs[[#This Row],[Remise (%)]]</f>
        <v>27.697499999999998</v>
      </c>
    </row>
    <row r="850" spans="1:23" hidden="1" x14ac:dyDescent="0.25">
      <c r="A850" s="1" t="s">
        <v>1384</v>
      </c>
      <c r="B850" s="2">
        <v>45217</v>
      </c>
      <c r="C850" s="1" t="str">
        <f>_xlfn.XLOOKUP(Logs[[#This Row],[Province_RDC]],Clients_Log!D:D,Clients_Log!B:B,"Pas de correspondance")</f>
        <v>Pas de correspondance</v>
      </c>
      <c r="D850" t="str">
        <f>_xlfn.XLOOKUP(Logs[[#This Row],[Cell_ID]],'Registre_Maintenance'!B:B,'Registre_Maintenance'!C:C,"Pas de correspondance")</f>
        <v>Pas de correspondance</v>
      </c>
      <c r="E850" s="3">
        <v>0.50416666666666665</v>
      </c>
      <c r="F850" s="1" t="s">
        <v>1114</v>
      </c>
      <c r="G850" s="3">
        <f>Logs[[#This Row],[Duree_Panne_Min]]/1440</f>
        <v>3.8194444444444448E-2</v>
      </c>
      <c r="H850">
        <v>55</v>
      </c>
      <c r="I850" t="str">
        <f>_xlfn.XLOOKUP(Logs[[#This Row],[Cell_ID]],'Registre_Maintenance'!B:B,'Registre_Maintenance'!D:D,"Pas de correspondance")</f>
        <v>Pas de correspondance</v>
      </c>
      <c r="J850" t="str">
        <f>_xlfn.XLOOKUP(Logs[[#This Row],[Cell_ID]],'Registre_Maintenance'!B:B,'Registre_Maintenance'!E:E,"Pas de correspondance")</f>
        <v>Pas de correspondance</v>
      </c>
      <c r="K850" t="str">
        <f>_xlfn.XLOOKUP(Logs[[#This Row],[Cell_ID]],'Registre_Maintenance'!B:B,'Registre_Maintenance'!F:F,"Pas de correspondance")</f>
        <v>Pas de correspondance</v>
      </c>
      <c r="L850" t="str">
        <f>_xlfn.XLOOKUP(Logs[[#This Row],[Cell_ID]],'Registre_Maintenance'!B:B,'Registre_Maintenance'!G:G,"Pas de correspondance")</f>
        <v>Pas de correspondance</v>
      </c>
      <c r="M850" s="1" t="s">
        <v>811</v>
      </c>
      <c r="N850" s="1" t="str">
        <f>_xlfn.XLOOKUP(Logs[[#This Row],[ID_Client]],Clients_Log!B:B,Clients_Log!E:E,"Pas de correspondance")</f>
        <v>Pas de correspondance</v>
      </c>
      <c r="O850" s="4" t="str">
        <f>IFERROR(Logs[[#This Row],[Anciennete_Mois]]/12,"")</f>
        <v/>
      </c>
      <c r="P850" s="1" t="str">
        <f>_xlfn.XLOOKUP(Logs[[#This Row],[ID_Client]],Clients_Log!B:B,Clients_Log!F:F,"Pas de correspondance")</f>
        <v>Pas de correspondance</v>
      </c>
      <c r="Q850" s="1" t="str">
        <f>IF(Logs[[#This Row],[Type_Forfait]]="Pro Monde","B2B","B2C")</f>
        <v>B2C</v>
      </c>
      <c r="R850" s="1" t="str">
        <f>_xlfn.XLOOKUP(Logs[[#This Row],[ID_Client]],Clients_Log!B:B,Clients_Log!G:G,"Pas de correspondance")</f>
        <v>Pas de correspondance</v>
      </c>
      <c r="S850" s="1" t="e">
        <f>Logs[[#This Row],[Duree_Cumulee_Panne_Min]]/1440</f>
        <v>#VALUE!</v>
      </c>
      <c r="T850" s="1" t="str">
        <f>_xlfn.XLOOKUP(Logs[[#This Row],[ID_Client]],Clients_Log!B:B,Clients_Log!H:H,"Pas de correspondance")</f>
        <v>Pas de correspondance</v>
      </c>
      <c r="U850" s="1" t="str">
        <f>_xlfn.XLOOKUP(Logs[[#This Row],[ID_Client]],Clients_Log!B:B,Clients_Log!I:I,"Pas de correspondance")</f>
        <v>Pas de correspondance</v>
      </c>
      <c r="V85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50" s="1" t="e">
        <f>Logs[[#This Row],[Facture_Mensuelle]]*Logs[[#This Row],[Remise (%)]]</f>
        <v>#VALUE!</v>
      </c>
    </row>
    <row r="851" spans="1:23" x14ac:dyDescent="0.25">
      <c r="A851" s="1" t="s">
        <v>1384</v>
      </c>
      <c r="B851" s="2">
        <v>45226</v>
      </c>
      <c r="C851" s="1" t="str">
        <f>_xlfn.XLOOKUP(Logs[[#This Row],[Province_RDC]],Clients_Log!D:D,Clients_Log!B:B,"Pas de correspondance")</f>
        <v>CLI-00076</v>
      </c>
      <c r="D851" t="str">
        <f>_xlfn.XLOOKUP(Logs[[#This Row],[Cell_ID]],'Registre_Maintenance'!B:B,'Registre_Maintenance'!C:C,"Pas de correspondance")</f>
        <v>Haut-Katanga</v>
      </c>
      <c r="E851" s="3">
        <v>0.65972222222222221</v>
      </c>
      <c r="F851" s="1" t="s">
        <v>1099</v>
      </c>
      <c r="G851" s="3">
        <f>Logs[[#This Row],[Duree_Panne_Min]]/1440</f>
        <v>4.5138888888888888E-2</v>
      </c>
      <c r="H851">
        <v>65</v>
      </c>
      <c r="I851">
        <f>_xlfn.XLOOKUP(Logs[[#This Row],[Cell_ID]],'Registre_Maintenance'!B:B,'Registre_Maintenance'!D:D,"Pas de correspondance")</f>
        <v>-11.594525000000001</v>
      </c>
      <c r="J851">
        <f>_xlfn.XLOOKUP(Logs[[#This Row],[Cell_ID]],'Registre_Maintenance'!B:B,'Registre_Maintenance'!E:E,"Pas de correspondance")</f>
        <v>29.744895</v>
      </c>
      <c r="K851" t="str">
        <f>_xlfn.XLOOKUP(Logs[[#This Row],[Cell_ID]],'Registre_Maintenance'!B:B,'Registre_Maintenance'!F:F,"Pas de correspondance")</f>
        <v>3G</v>
      </c>
      <c r="L851" t="str">
        <f>_xlfn.XLOOKUP(Logs[[#This Row],[Cell_ID]],'Registre_Maintenance'!B:B,'Registre_Maintenance'!G:G,"Pas de correspondance")</f>
        <v>ZTE</v>
      </c>
      <c r="M851" s="1" t="s">
        <v>809</v>
      </c>
      <c r="N851" s="1">
        <f>_xlfn.XLOOKUP(Logs[[#This Row],[ID_Client]],Clients_Log!B:B,Clients_Log!E:E,"Pas de correspondance")</f>
        <v>46</v>
      </c>
      <c r="O851" s="4">
        <f>IFERROR(Logs[[#This Row],[Anciennete_Mois]]/12,"")</f>
        <v>3.8333333333333335</v>
      </c>
      <c r="P851" s="1" t="str">
        <f>_xlfn.XLOOKUP(Logs[[#This Row],[ID_Client]],Clients_Log!B:B,Clients_Log!F:F,"Pas de correspondance")</f>
        <v>Premium 5G 150Go</v>
      </c>
      <c r="Q851" s="1" t="str">
        <f>IF(Logs[[#This Row],[Type_Forfait]]="Pro Monde","B2B","B2C")</f>
        <v>B2C</v>
      </c>
      <c r="R851" s="1">
        <f>_xlfn.XLOOKUP(Logs[[#This Row],[ID_Client]],Clients_Log!B:B,Clients_Log!G:G,"Pas de correspondance")</f>
        <v>283</v>
      </c>
      <c r="S851" s="3">
        <f>Logs[[#This Row],[Duree_Cumulee_Panne_Min]]/1440</f>
        <v>0.19652777777777777</v>
      </c>
      <c r="T851" s="1">
        <f>_xlfn.XLOOKUP(Logs[[#This Row],[ID_Client]],Clients_Log!B:B,Clients_Log!H:H,"Pas de correspondance")</f>
        <v>56.05</v>
      </c>
      <c r="U851" s="1">
        <f>_xlfn.XLOOKUP(Logs[[#This Row],[ID_Client]],Clients_Log!B:B,Clients_Log!I:I,"Pas de correspondance")</f>
        <v>1</v>
      </c>
      <c r="V85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51" s="1">
        <f>Logs[[#This Row],[Facture_Mensuelle]]*Logs[[#This Row],[Remise (%)]]</f>
        <v>25.2225</v>
      </c>
    </row>
    <row r="852" spans="1:23" x14ac:dyDescent="0.25">
      <c r="A852" s="1" t="s">
        <v>1384</v>
      </c>
      <c r="B852" s="2">
        <v>45227</v>
      </c>
      <c r="C852" s="1" t="str">
        <f>_xlfn.XLOOKUP(Logs[[#This Row],[Province_RDC]],Clients_Log!D:D,Clients_Log!B:B,"Pas de correspondance")</f>
        <v>CLI-00361</v>
      </c>
      <c r="D852" t="str">
        <f>_xlfn.XLOOKUP(Logs[[#This Row],[Cell_ID]],'Registre_Maintenance'!B:B,'Registre_Maintenance'!C:C,"Pas de correspondance")</f>
        <v>Mai-Ndombe</v>
      </c>
      <c r="E852" s="3">
        <v>0.77847222222222223</v>
      </c>
      <c r="F852" s="1" t="s">
        <v>1246</v>
      </c>
      <c r="G852" s="3">
        <f>Logs[[#This Row],[Duree_Panne_Min]]/1440</f>
        <v>4.6527777777777779E-2</v>
      </c>
      <c r="H852">
        <v>67</v>
      </c>
      <c r="I852">
        <f>_xlfn.XLOOKUP(Logs[[#This Row],[Cell_ID]],'Registre_Maintenance'!B:B,'Registre_Maintenance'!D:D,"Pas de correspondance")</f>
        <v>-0.47411900000000001</v>
      </c>
      <c r="J852">
        <f>_xlfn.XLOOKUP(Logs[[#This Row],[Cell_ID]],'Registre_Maintenance'!B:B,'Registre_Maintenance'!E:E,"Pas de correspondance")</f>
        <v>27.184329000000002</v>
      </c>
      <c r="K852" t="str">
        <f>_xlfn.XLOOKUP(Logs[[#This Row],[Cell_ID]],'Registre_Maintenance'!B:B,'Registre_Maintenance'!F:F,"Pas de correspondance")</f>
        <v>5G</v>
      </c>
      <c r="L852" t="str">
        <f>_xlfn.XLOOKUP(Logs[[#This Row],[Cell_ID]],'Registre_Maintenance'!B:B,'Registre_Maintenance'!G:G,"Pas de correspondance")</f>
        <v>ZTE</v>
      </c>
      <c r="M852" s="1" t="s">
        <v>811</v>
      </c>
      <c r="N852" s="1">
        <f>_xlfn.XLOOKUP(Logs[[#This Row],[ID_Client]],Clients_Log!B:B,Clients_Log!E:E,"Pas de correspondance")</f>
        <v>66</v>
      </c>
      <c r="O852" s="4">
        <f>IFERROR(Logs[[#This Row],[Anciennete_Mois]]/12,"")</f>
        <v>5.5</v>
      </c>
      <c r="P852" s="1" t="str">
        <f>_xlfn.XLOOKUP(Logs[[#This Row],[ID_Client]],Clients_Log!B:B,Clients_Log!F:F,"Pas de correspondance")</f>
        <v>Illimité 50Go</v>
      </c>
      <c r="Q852" s="1" t="str">
        <f>IF(Logs[[#This Row],[Type_Forfait]]="Pro Monde","B2B","B2C")</f>
        <v>B2C</v>
      </c>
      <c r="R852" s="1">
        <f>_xlfn.XLOOKUP(Logs[[#This Row],[ID_Client]],Clients_Log!B:B,Clients_Log!G:G,"Pas de correspondance")</f>
        <v>270</v>
      </c>
      <c r="S852" s="3">
        <f>Logs[[#This Row],[Duree_Cumulee_Panne_Min]]/1440</f>
        <v>0.1875</v>
      </c>
      <c r="T852" s="1">
        <f>_xlfn.XLOOKUP(Logs[[#This Row],[ID_Client]],Clients_Log!B:B,Clients_Log!H:H,"Pas de correspondance")</f>
        <v>75.88</v>
      </c>
      <c r="U852" s="1">
        <f>_xlfn.XLOOKUP(Logs[[#This Row],[ID_Client]],Clients_Log!B:B,Clients_Log!I:I,"Pas de correspondance")</f>
        <v>3</v>
      </c>
      <c r="V85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52" s="1">
        <f>Logs[[#This Row],[Facture_Mensuelle]]*Logs[[#This Row],[Remise (%)]]</f>
        <v>34.146000000000001</v>
      </c>
    </row>
    <row r="853" spans="1:23" hidden="1" x14ac:dyDescent="0.25">
      <c r="A853" s="1" t="s">
        <v>1384</v>
      </c>
      <c r="B853" s="2">
        <v>45224</v>
      </c>
      <c r="C853" s="1" t="str">
        <f>_xlfn.XLOOKUP(Logs[[#This Row],[Province_RDC]],Clients_Log!D:D,Clients_Log!B:B,"Pas de correspondance")</f>
        <v>Pas de correspondance</v>
      </c>
      <c r="D853" t="str">
        <f>_xlfn.XLOOKUP(Logs[[#This Row],[Cell_ID]],'Registre_Maintenance'!B:B,'Registre_Maintenance'!C:C,"Pas de correspondance")</f>
        <v>Pas de correspondance</v>
      </c>
      <c r="E853" s="3">
        <v>0.88472222222222219</v>
      </c>
      <c r="F853" s="1" t="s">
        <v>1395</v>
      </c>
      <c r="G853" s="3">
        <f>Logs[[#This Row],[Duree_Panne_Min]]/1440</f>
        <v>8.2638888888888887E-2</v>
      </c>
      <c r="H853">
        <v>119</v>
      </c>
      <c r="I853" t="str">
        <f>_xlfn.XLOOKUP(Logs[[#This Row],[Cell_ID]],'Registre_Maintenance'!B:B,'Registre_Maintenance'!D:D,"Pas de correspondance")</f>
        <v>Pas de correspondance</v>
      </c>
      <c r="J853" t="str">
        <f>_xlfn.XLOOKUP(Logs[[#This Row],[Cell_ID]],'Registre_Maintenance'!B:B,'Registre_Maintenance'!E:E,"Pas de correspondance")</f>
        <v>Pas de correspondance</v>
      </c>
      <c r="K853" t="str">
        <f>_xlfn.XLOOKUP(Logs[[#This Row],[Cell_ID]],'Registre_Maintenance'!B:B,'Registre_Maintenance'!F:F,"Pas de correspondance")</f>
        <v>Pas de correspondance</v>
      </c>
      <c r="L853" t="str">
        <f>_xlfn.XLOOKUP(Logs[[#This Row],[Cell_ID]],'Registre_Maintenance'!B:B,'Registre_Maintenance'!G:G,"Pas de correspondance")</f>
        <v>Pas de correspondance</v>
      </c>
      <c r="M853" s="1" t="s">
        <v>809</v>
      </c>
      <c r="N853" s="1" t="str">
        <f>_xlfn.XLOOKUP(Logs[[#This Row],[ID_Client]],Clients_Log!B:B,Clients_Log!E:E,"Pas de correspondance")</f>
        <v>Pas de correspondance</v>
      </c>
      <c r="O853" s="4" t="str">
        <f>IFERROR(Logs[[#This Row],[Anciennete_Mois]]/12,"")</f>
        <v/>
      </c>
      <c r="P853" s="1" t="str">
        <f>_xlfn.XLOOKUP(Logs[[#This Row],[ID_Client]],Clients_Log!B:B,Clients_Log!F:F,"Pas de correspondance")</f>
        <v>Pas de correspondance</v>
      </c>
      <c r="Q853" s="1" t="str">
        <f>IF(Logs[[#This Row],[Type_Forfait]]="Pro Monde","B2B","B2C")</f>
        <v>B2C</v>
      </c>
      <c r="R853" s="1" t="str">
        <f>_xlfn.XLOOKUP(Logs[[#This Row],[ID_Client]],Clients_Log!B:B,Clients_Log!G:G,"Pas de correspondance")</f>
        <v>Pas de correspondance</v>
      </c>
      <c r="S853" s="1" t="e">
        <f>Logs[[#This Row],[Duree_Cumulee_Panne_Min]]/1440</f>
        <v>#VALUE!</v>
      </c>
      <c r="T853" s="1" t="str">
        <f>_xlfn.XLOOKUP(Logs[[#This Row],[ID_Client]],Clients_Log!B:B,Clients_Log!H:H,"Pas de correspondance")</f>
        <v>Pas de correspondance</v>
      </c>
      <c r="U853" s="1" t="str">
        <f>_xlfn.XLOOKUP(Logs[[#This Row],[ID_Client]],Clients_Log!B:B,Clients_Log!I:I,"Pas de correspondance")</f>
        <v>Pas de correspondance</v>
      </c>
      <c r="V85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53" s="1" t="e">
        <f>Logs[[#This Row],[Facture_Mensuelle]]*Logs[[#This Row],[Remise (%)]]</f>
        <v>#VALUE!</v>
      </c>
    </row>
    <row r="854" spans="1:23" hidden="1" x14ac:dyDescent="0.25">
      <c r="A854" s="1" t="s">
        <v>1384</v>
      </c>
      <c r="B854" s="2">
        <v>45205</v>
      </c>
      <c r="C854" s="1" t="str">
        <f>_xlfn.XLOOKUP(Logs[[#This Row],[Province_RDC]],Clients_Log!D:D,Clients_Log!B:B,"Pas de correspondance")</f>
        <v>Pas de correspondance</v>
      </c>
      <c r="D854" t="str">
        <f>_xlfn.XLOOKUP(Logs[[#This Row],[Cell_ID]],'Registre_Maintenance'!B:B,'Registre_Maintenance'!C:C,"Pas de correspondance")</f>
        <v>Pas de correspondance</v>
      </c>
      <c r="E854" s="3">
        <v>0.58611111111111114</v>
      </c>
      <c r="F854" s="1" t="s">
        <v>1396</v>
      </c>
      <c r="G854" s="3">
        <f>Logs[[#This Row],[Duree_Panne_Min]]/1440</f>
        <v>6.1805555555555558E-2</v>
      </c>
      <c r="H854">
        <v>89</v>
      </c>
      <c r="I854" t="str">
        <f>_xlfn.XLOOKUP(Logs[[#This Row],[Cell_ID]],'Registre_Maintenance'!B:B,'Registre_Maintenance'!D:D,"Pas de correspondance")</f>
        <v>Pas de correspondance</v>
      </c>
      <c r="J854" t="str">
        <f>_xlfn.XLOOKUP(Logs[[#This Row],[Cell_ID]],'Registre_Maintenance'!B:B,'Registre_Maintenance'!E:E,"Pas de correspondance")</f>
        <v>Pas de correspondance</v>
      </c>
      <c r="K854" t="str">
        <f>_xlfn.XLOOKUP(Logs[[#This Row],[Cell_ID]],'Registre_Maintenance'!B:B,'Registre_Maintenance'!F:F,"Pas de correspondance")</f>
        <v>Pas de correspondance</v>
      </c>
      <c r="L854" t="str">
        <f>_xlfn.XLOOKUP(Logs[[#This Row],[Cell_ID]],'Registre_Maintenance'!B:B,'Registre_Maintenance'!G:G,"Pas de correspondance")</f>
        <v>Pas de correspondance</v>
      </c>
      <c r="M854" s="1" t="s">
        <v>811</v>
      </c>
      <c r="N854" s="1" t="str">
        <f>_xlfn.XLOOKUP(Logs[[#This Row],[ID_Client]],Clients_Log!B:B,Clients_Log!E:E,"Pas de correspondance")</f>
        <v>Pas de correspondance</v>
      </c>
      <c r="O854" s="4" t="str">
        <f>IFERROR(Logs[[#This Row],[Anciennete_Mois]]/12,"")</f>
        <v/>
      </c>
      <c r="P854" s="1" t="str">
        <f>_xlfn.XLOOKUP(Logs[[#This Row],[ID_Client]],Clients_Log!B:B,Clients_Log!F:F,"Pas de correspondance")</f>
        <v>Pas de correspondance</v>
      </c>
      <c r="Q854" s="1" t="str">
        <f>IF(Logs[[#This Row],[Type_Forfait]]="Pro Monde","B2B","B2C")</f>
        <v>B2C</v>
      </c>
      <c r="R854" s="1" t="str">
        <f>_xlfn.XLOOKUP(Logs[[#This Row],[ID_Client]],Clients_Log!B:B,Clients_Log!G:G,"Pas de correspondance")</f>
        <v>Pas de correspondance</v>
      </c>
      <c r="S854" s="1" t="e">
        <f>Logs[[#This Row],[Duree_Cumulee_Panne_Min]]/1440</f>
        <v>#VALUE!</v>
      </c>
      <c r="T854" s="1" t="str">
        <f>_xlfn.XLOOKUP(Logs[[#This Row],[ID_Client]],Clients_Log!B:B,Clients_Log!H:H,"Pas de correspondance")</f>
        <v>Pas de correspondance</v>
      </c>
      <c r="U854" s="1" t="str">
        <f>_xlfn.XLOOKUP(Logs[[#This Row],[ID_Client]],Clients_Log!B:B,Clients_Log!I:I,"Pas de correspondance")</f>
        <v>Pas de correspondance</v>
      </c>
      <c r="V85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54" s="1" t="e">
        <f>Logs[[#This Row],[Facture_Mensuelle]]*Logs[[#This Row],[Remise (%)]]</f>
        <v>#VALUE!</v>
      </c>
    </row>
    <row r="855" spans="1:23" x14ac:dyDescent="0.25">
      <c r="A855" s="1" t="s">
        <v>1384</v>
      </c>
      <c r="B855" s="2">
        <v>45225</v>
      </c>
      <c r="C855" s="1" t="str">
        <f>_xlfn.XLOOKUP(Logs[[#This Row],[Province_RDC]],Clients_Log!D:D,Clients_Log!B:B,"Pas de correspondance")</f>
        <v>CLI-01005</v>
      </c>
      <c r="D855" t="str">
        <f>_xlfn.XLOOKUP(Logs[[#This Row],[Cell_ID]],'Registre_Maintenance'!B:B,'Registre_Maintenance'!C:C,"Pas de correspondance")</f>
        <v>Lualaba</v>
      </c>
      <c r="E855" s="3">
        <v>5.4166666666666669E-2</v>
      </c>
      <c r="F855" s="1" t="s">
        <v>1397</v>
      </c>
      <c r="G855" s="3">
        <f>Logs[[#This Row],[Duree_Panne_Min]]/1440</f>
        <v>2.6388888888888889E-2</v>
      </c>
      <c r="H855">
        <v>38</v>
      </c>
      <c r="I855">
        <f>_xlfn.XLOOKUP(Logs[[#This Row],[Cell_ID]],'Registre_Maintenance'!B:B,'Registre_Maintenance'!D:D,"Pas de correspondance")</f>
        <v>-4.2184999999999997</v>
      </c>
      <c r="J855">
        <f>_xlfn.XLOOKUP(Logs[[#This Row],[Cell_ID]],'Registre_Maintenance'!B:B,'Registre_Maintenance'!E:E,"Pas de correspondance")</f>
        <v>23.077093999999999</v>
      </c>
      <c r="K855" t="str">
        <f>_xlfn.XLOOKUP(Logs[[#This Row],[Cell_ID]],'Registre_Maintenance'!B:B,'Registre_Maintenance'!F:F,"Pas de correspondance")</f>
        <v>4G</v>
      </c>
      <c r="L855" t="str">
        <f>_xlfn.XLOOKUP(Logs[[#This Row],[Cell_ID]],'Registre_Maintenance'!B:B,'Registre_Maintenance'!G:G,"Pas de correspondance")</f>
        <v>Ericsson</v>
      </c>
      <c r="M855" s="1" t="s">
        <v>811</v>
      </c>
      <c r="N855" s="1">
        <f>_xlfn.XLOOKUP(Logs[[#This Row],[ID_Client]],Clients_Log!B:B,Clients_Log!E:E,"Pas de correspondance")</f>
        <v>80</v>
      </c>
      <c r="O855" s="4">
        <f>IFERROR(Logs[[#This Row],[Anciennete_Mois]]/12,"")</f>
        <v>6.666666666666667</v>
      </c>
      <c r="P855" s="1" t="str">
        <f>_xlfn.XLOOKUP(Logs[[#This Row],[ID_Client]],Clients_Log!B:B,Clients_Log!F:F,"Pas de correspondance")</f>
        <v>Illimité 50Go</v>
      </c>
      <c r="Q855" s="1" t="str">
        <f>IF(Logs[[#This Row],[Type_Forfait]]="Pro Monde","B2B","B2C")</f>
        <v>B2C</v>
      </c>
      <c r="R855" s="1">
        <f>_xlfn.XLOOKUP(Logs[[#This Row],[ID_Client]],Clients_Log!B:B,Clients_Log!G:G,"Pas de correspondance")</f>
        <v>155</v>
      </c>
      <c r="S855" s="3">
        <f>Logs[[#This Row],[Duree_Cumulee_Panne_Min]]/1440</f>
        <v>0.1076388888888889</v>
      </c>
      <c r="T855" s="1">
        <f>_xlfn.XLOOKUP(Logs[[#This Row],[ID_Client]],Clients_Log!B:B,Clients_Log!H:H,"Pas de correspondance")</f>
        <v>28.96</v>
      </c>
      <c r="U855" s="1">
        <f>_xlfn.XLOOKUP(Logs[[#This Row],[ID_Client]],Clients_Log!B:B,Clients_Log!I:I,"Pas de correspondance")</f>
        <v>2</v>
      </c>
      <c r="V85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855" s="1">
        <f>Logs[[#This Row],[Facture_Mensuelle]]*Logs[[#This Row],[Remise (%)]]</f>
        <v>0</v>
      </c>
    </row>
    <row r="856" spans="1:23" hidden="1" x14ac:dyDescent="0.25">
      <c r="A856" s="1" t="s">
        <v>1384</v>
      </c>
      <c r="B856" s="2">
        <v>45200</v>
      </c>
      <c r="C856" s="1" t="str">
        <f>_xlfn.XLOOKUP(Logs[[#This Row],[Province_RDC]],Clients_Log!D:D,Clients_Log!B:B,"Pas de correspondance")</f>
        <v>Pas de correspondance</v>
      </c>
      <c r="D856" t="str">
        <f>_xlfn.XLOOKUP(Logs[[#This Row],[Cell_ID]],'Registre_Maintenance'!B:B,'Registre_Maintenance'!C:C,"Pas de correspondance")</f>
        <v>Pas de correspondance</v>
      </c>
      <c r="E856" s="3">
        <v>0.42777777777777776</v>
      </c>
      <c r="F856" s="1" t="s">
        <v>918</v>
      </c>
      <c r="G856" s="3">
        <f>Logs[[#This Row],[Duree_Panne_Min]]/1440</f>
        <v>1.1111111111111112E-2</v>
      </c>
      <c r="H856">
        <v>16</v>
      </c>
      <c r="I856" t="str">
        <f>_xlfn.XLOOKUP(Logs[[#This Row],[Cell_ID]],'Registre_Maintenance'!B:B,'Registre_Maintenance'!D:D,"Pas de correspondance")</f>
        <v>Pas de correspondance</v>
      </c>
      <c r="J856" t="str">
        <f>_xlfn.XLOOKUP(Logs[[#This Row],[Cell_ID]],'Registre_Maintenance'!B:B,'Registre_Maintenance'!E:E,"Pas de correspondance")</f>
        <v>Pas de correspondance</v>
      </c>
      <c r="K856" t="str">
        <f>_xlfn.XLOOKUP(Logs[[#This Row],[Cell_ID]],'Registre_Maintenance'!B:B,'Registre_Maintenance'!F:F,"Pas de correspondance")</f>
        <v>Pas de correspondance</v>
      </c>
      <c r="L856" t="str">
        <f>_xlfn.XLOOKUP(Logs[[#This Row],[Cell_ID]],'Registre_Maintenance'!B:B,'Registre_Maintenance'!G:G,"Pas de correspondance")</f>
        <v>Pas de correspondance</v>
      </c>
      <c r="M856" s="1" t="s">
        <v>809</v>
      </c>
      <c r="N856" s="1" t="str">
        <f>_xlfn.XLOOKUP(Logs[[#This Row],[ID_Client]],Clients_Log!B:B,Clients_Log!E:E,"Pas de correspondance")</f>
        <v>Pas de correspondance</v>
      </c>
      <c r="O856" s="4" t="str">
        <f>IFERROR(Logs[[#This Row],[Anciennete_Mois]]/12,"")</f>
        <v/>
      </c>
      <c r="P856" s="1" t="str">
        <f>_xlfn.XLOOKUP(Logs[[#This Row],[ID_Client]],Clients_Log!B:B,Clients_Log!F:F,"Pas de correspondance")</f>
        <v>Pas de correspondance</v>
      </c>
      <c r="Q856" s="1" t="str">
        <f>IF(Logs[[#This Row],[Type_Forfait]]="Pro Monde","B2B","B2C")</f>
        <v>B2C</v>
      </c>
      <c r="R856" s="1" t="str">
        <f>_xlfn.XLOOKUP(Logs[[#This Row],[ID_Client]],Clients_Log!B:B,Clients_Log!G:G,"Pas de correspondance")</f>
        <v>Pas de correspondance</v>
      </c>
      <c r="S856" s="1" t="e">
        <f>Logs[[#This Row],[Duree_Cumulee_Panne_Min]]/1440</f>
        <v>#VALUE!</v>
      </c>
      <c r="T856" s="1" t="str">
        <f>_xlfn.XLOOKUP(Logs[[#This Row],[ID_Client]],Clients_Log!B:B,Clients_Log!H:H,"Pas de correspondance")</f>
        <v>Pas de correspondance</v>
      </c>
      <c r="U856" s="1" t="str">
        <f>_xlfn.XLOOKUP(Logs[[#This Row],[ID_Client]],Clients_Log!B:B,Clients_Log!I:I,"Pas de correspondance")</f>
        <v>Pas de correspondance</v>
      </c>
      <c r="V85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56" s="1" t="e">
        <f>Logs[[#This Row],[Facture_Mensuelle]]*Logs[[#This Row],[Remise (%)]]</f>
        <v>#VALUE!</v>
      </c>
    </row>
    <row r="857" spans="1:23" x14ac:dyDescent="0.25">
      <c r="A857" s="1" t="s">
        <v>1384</v>
      </c>
      <c r="B857" s="2">
        <v>45230</v>
      </c>
      <c r="C857" s="1" t="str">
        <f>_xlfn.XLOOKUP(Logs[[#This Row],[Province_RDC]],Clients_Log!D:D,Clients_Log!B:B,"Pas de correspondance")</f>
        <v>CLI-00076</v>
      </c>
      <c r="D857" t="str">
        <f>_xlfn.XLOOKUP(Logs[[#This Row],[Cell_ID]],'Registre_Maintenance'!B:B,'Registre_Maintenance'!C:C,"Pas de correspondance")</f>
        <v>Haut-Katanga</v>
      </c>
      <c r="E857" s="3">
        <v>0.12777777777777777</v>
      </c>
      <c r="F857" s="1" t="s">
        <v>1303</v>
      </c>
      <c r="G857" s="3">
        <f>Logs[[#This Row],[Duree_Panne_Min]]/1440</f>
        <v>6.0416666666666667E-2</v>
      </c>
      <c r="H857">
        <v>87</v>
      </c>
      <c r="I857">
        <f>_xlfn.XLOOKUP(Logs[[#This Row],[Cell_ID]],'Registre_Maintenance'!B:B,'Registre_Maintenance'!D:D,"Pas de correspondance")</f>
        <v>-10.945031</v>
      </c>
      <c r="J857">
        <f>_xlfn.XLOOKUP(Logs[[#This Row],[Cell_ID]],'Registre_Maintenance'!B:B,'Registre_Maintenance'!E:E,"Pas de correspondance")</f>
        <v>27.922274000000002</v>
      </c>
      <c r="K857" t="str">
        <f>_xlfn.XLOOKUP(Logs[[#This Row],[Cell_ID]],'Registre_Maintenance'!B:B,'Registre_Maintenance'!F:F,"Pas de correspondance")</f>
        <v>4G</v>
      </c>
      <c r="L857" t="str">
        <f>_xlfn.XLOOKUP(Logs[[#This Row],[Cell_ID]],'Registre_Maintenance'!B:B,'Registre_Maintenance'!G:G,"Pas de correspondance")</f>
        <v>Ericsson</v>
      </c>
      <c r="M857" s="1" t="s">
        <v>811</v>
      </c>
      <c r="N857" s="1">
        <f>_xlfn.XLOOKUP(Logs[[#This Row],[ID_Client]],Clients_Log!B:B,Clients_Log!E:E,"Pas de correspondance")</f>
        <v>46</v>
      </c>
      <c r="O857" s="4">
        <f>IFERROR(Logs[[#This Row],[Anciennete_Mois]]/12,"")</f>
        <v>3.8333333333333335</v>
      </c>
      <c r="P857" s="1" t="str">
        <f>_xlfn.XLOOKUP(Logs[[#This Row],[ID_Client]],Clients_Log!B:B,Clients_Log!F:F,"Pas de correspondance")</f>
        <v>Premium 5G 150Go</v>
      </c>
      <c r="Q857" s="1" t="str">
        <f>IF(Logs[[#This Row],[Type_Forfait]]="Pro Monde","B2B","B2C")</f>
        <v>B2C</v>
      </c>
      <c r="R857" s="1">
        <f>_xlfn.XLOOKUP(Logs[[#This Row],[ID_Client]],Clients_Log!B:B,Clients_Log!G:G,"Pas de correspondance")</f>
        <v>283</v>
      </c>
      <c r="S857" s="3">
        <f>Logs[[#This Row],[Duree_Cumulee_Panne_Min]]/1440</f>
        <v>0.19652777777777777</v>
      </c>
      <c r="T857" s="1">
        <f>_xlfn.XLOOKUP(Logs[[#This Row],[ID_Client]],Clients_Log!B:B,Clients_Log!H:H,"Pas de correspondance")</f>
        <v>56.05</v>
      </c>
      <c r="U857" s="1">
        <f>_xlfn.XLOOKUP(Logs[[#This Row],[ID_Client]],Clients_Log!B:B,Clients_Log!I:I,"Pas de correspondance")</f>
        <v>1</v>
      </c>
      <c r="V85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57" s="1">
        <f>Logs[[#This Row],[Facture_Mensuelle]]*Logs[[#This Row],[Remise (%)]]</f>
        <v>25.2225</v>
      </c>
    </row>
    <row r="858" spans="1:23" hidden="1" x14ac:dyDescent="0.25">
      <c r="A858" s="1" t="s">
        <v>1384</v>
      </c>
      <c r="B858" s="2">
        <v>45210</v>
      </c>
      <c r="C858" s="1" t="str">
        <f>_xlfn.XLOOKUP(Logs[[#This Row],[Province_RDC]],Clients_Log!D:D,Clients_Log!B:B,"Pas de correspondance")</f>
        <v>Pas de correspondance</v>
      </c>
      <c r="D858" t="str">
        <f>_xlfn.XLOOKUP(Logs[[#This Row],[Cell_ID]],'Registre_Maintenance'!B:B,'Registre_Maintenance'!C:C,"Pas de correspondance")</f>
        <v>Pas de correspondance</v>
      </c>
      <c r="E858" s="3">
        <v>0.24722222222222223</v>
      </c>
      <c r="F858" s="1" t="s">
        <v>1376</v>
      </c>
      <c r="G858" s="3">
        <f>Logs[[#This Row],[Duree_Panne_Min]]/1440</f>
        <v>5.1388888888888887E-2</v>
      </c>
      <c r="H858">
        <v>74</v>
      </c>
      <c r="I858" t="str">
        <f>_xlfn.XLOOKUP(Logs[[#This Row],[Cell_ID]],'Registre_Maintenance'!B:B,'Registre_Maintenance'!D:D,"Pas de correspondance")</f>
        <v>Pas de correspondance</v>
      </c>
      <c r="J858" t="str">
        <f>_xlfn.XLOOKUP(Logs[[#This Row],[Cell_ID]],'Registre_Maintenance'!B:B,'Registre_Maintenance'!E:E,"Pas de correspondance")</f>
        <v>Pas de correspondance</v>
      </c>
      <c r="K858" t="str">
        <f>_xlfn.XLOOKUP(Logs[[#This Row],[Cell_ID]],'Registre_Maintenance'!B:B,'Registre_Maintenance'!F:F,"Pas de correspondance")</f>
        <v>Pas de correspondance</v>
      </c>
      <c r="L858" t="str">
        <f>_xlfn.XLOOKUP(Logs[[#This Row],[Cell_ID]],'Registre_Maintenance'!B:B,'Registre_Maintenance'!G:G,"Pas de correspondance")</f>
        <v>Pas de correspondance</v>
      </c>
      <c r="M858" s="1" t="s">
        <v>806</v>
      </c>
      <c r="N858" s="1" t="str">
        <f>_xlfn.XLOOKUP(Logs[[#This Row],[ID_Client]],Clients_Log!B:B,Clients_Log!E:E,"Pas de correspondance")</f>
        <v>Pas de correspondance</v>
      </c>
      <c r="O858" s="4" t="str">
        <f>IFERROR(Logs[[#This Row],[Anciennete_Mois]]/12,"")</f>
        <v/>
      </c>
      <c r="P858" s="1" t="str">
        <f>_xlfn.XLOOKUP(Logs[[#This Row],[ID_Client]],Clients_Log!B:B,Clients_Log!F:F,"Pas de correspondance")</f>
        <v>Pas de correspondance</v>
      </c>
      <c r="Q858" s="1" t="str">
        <f>IF(Logs[[#This Row],[Type_Forfait]]="Pro Monde","B2B","B2C")</f>
        <v>B2C</v>
      </c>
      <c r="R858" s="1" t="str">
        <f>_xlfn.XLOOKUP(Logs[[#This Row],[ID_Client]],Clients_Log!B:B,Clients_Log!G:G,"Pas de correspondance")</f>
        <v>Pas de correspondance</v>
      </c>
      <c r="S858" s="1" t="e">
        <f>Logs[[#This Row],[Duree_Cumulee_Panne_Min]]/1440</f>
        <v>#VALUE!</v>
      </c>
      <c r="T858" s="1" t="str">
        <f>_xlfn.XLOOKUP(Logs[[#This Row],[ID_Client]],Clients_Log!B:B,Clients_Log!H:H,"Pas de correspondance")</f>
        <v>Pas de correspondance</v>
      </c>
      <c r="U858" s="1" t="str">
        <f>_xlfn.XLOOKUP(Logs[[#This Row],[ID_Client]],Clients_Log!B:B,Clients_Log!I:I,"Pas de correspondance")</f>
        <v>Pas de correspondance</v>
      </c>
      <c r="V85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58" s="1" t="e">
        <f>Logs[[#This Row],[Facture_Mensuelle]]*Logs[[#This Row],[Remise (%)]]</f>
        <v>#VALUE!</v>
      </c>
    </row>
    <row r="859" spans="1:23" hidden="1" x14ac:dyDescent="0.25">
      <c r="A859" s="1" t="s">
        <v>1384</v>
      </c>
      <c r="B859" s="2">
        <v>45212</v>
      </c>
      <c r="C859" s="1" t="str">
        <f>_xlfn.XLOOKUP(Logs[[#This Row],[Province_RDC]],Clients_Log!D:D,Clients_Log!B:B,"Pas de correspondance")</f>
        <v>Pas de correspondance</v>
      </c>
      <c r="D859" t="str">
        <f>_xlfn.XLOOKUP(Logs[[#This Row],[Cell_ID]],'Registre_Maintenance'!B:B,'Registre_Maintenance'!C:C,"Pas de correspondance")</f>
        <v>Pas de correspondance</v>
      </c>
      <c r="E859" s="3">
        <v>0.24027777777777778</v>
      </c>
      <c r="F859" s="1" t="s">
        <v>1159</v>
      </c>
      <c r="G859" s="3">
        <f>Logs[[#This Row],[Duree_Panne_Min]]/1440</f>
        <v>3.7499999999999999E-2</v>
      </c>
      <c r="H859">
        <v>54</v>
      </c>
      <c r="I859" t="str">
        <f>_xlfn.XLOOKUP(Logs[[#This Row],[Cell_ID]],'Registre_Maintenance'!B:B,'Registre_Maintenance'!D:D,"Pas de correspondance")</f>
        <v>Pas de correspondance</v>
      </c>
      <c r="J859" t="str">
        <f>_xlfn.XLOOKUP(Logs[[#This Row],[Cell_ID]],'Registre_Maintenance'!B:B,'Registre_Maintenance'!E:E,"Pas de correspondance")</f>
        <v>Pas de correspondance</v>
      </c>
      <c r="K859" t="str">
        <f>_xlfn.XLOOKUP(Logs[[#This Row],[Cell_ID]],'Registre_Maintenance'!B:B,'Registre_Maintenance'!F:F,"Pas de correspondance")</f>
        <v>Pas de correspondance</v>
      </c>
      <c r="L859" t="str">
        <f>_xlfn.XLOOKUP(Logs[[#This Row],[Cell_ID]],'Registre_Maintenance'!B:B,'Registre_Maintenance'!G:G,"Pas de correspondance")</f>
        <v>Pas de correspondance</v>
      </c>
      <c r="M859" s="1" t="s">
        <v>809</v>
      </c>
      <c r="N859" s="1" t="str">
        <f>_xlfn.XLOOKUP(Logs[[#This Row],[ID_Client]],Clients_Log!B:B,Clients_Log!E:E,"Pas de correspondance")</f>
        <v>Pas de correspondance</v>
      </c>
      <c r="O859" s="4" t="str">
        <f>IFERROR(Logs[[#This Row],[Anciennete_Mois]]/12,"")</f>
        <v/>
      </c>
      <c r="P859" s="1" t="str">
        <f>_xlfn.XLOOKUP(Logs[[#This Row],[ID_Client]],Clients_Log!B:B,Clients_Log!F:F,"Pas de correspondance")</f>
        <v>Pas de correspondance</v>
      </c>
      <c r="Q859" s="1" t="str">
        <f>IF(Logs[[#This Row],[Type_Forfait]]="Pro Monde","B2B","B2C")</f>
        <v>B2C</v>
      </c>
      <c r="R859" s="1" t="str">
        <f>_xlfn.XLOOKUP(Logs[[#This Row],[ID_Client]],Clients_Log!B:B,Clients_Log!G:G,"Pas de correspondance")</f>
        <v>Pas de correspondance</v>
      </c>
      <c r="S859" s="1" t="e">
        <f>Logs[[#This Row],[Duree_Cumulee_Panne_Min]]/1440</f>
        <v>#VALUE!</v>
      </c>
      <c r="T859" s="1" t="str">
        <f>_xlfn.XLOOKUP(Logs[[#This Row],[ID_Client]],Clients_Log!B:B,Clients_Log!H:H,"Pas de correspondance")</f>
        <v>Pas de correspondance</v>
      </c>
      <c r="U859" s="1" t="str">
        <f>_xlfn.XLOOKUP(Logs[[#This Row],[ID_Client]],Clients_Log!B:B,Clients_Log!I:I,"Pas de correspondance")</f>
        <v>Pas de correspondance</v>
      </c>
      <c r="V85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59" s="1" t="e">
        <f>Logs[[#This Row],[Facture_Mensuelle]]*Logs[[#This Row],[Remise (%)]]</f>
        <v>#VALUE!</v>
      </c>
    </row>
    <row r="860" spans="1:23" x14ac:dyDescent="0.25">
      <c r="A860" s="1" t="s">
        <v>1384</v>
      </c>
      <c r="B860" s="2">
        <v>45202</v>
      </c>
      <c r="C860" s="1" t="str">
        <f>_xlfn.XLOOKUP(Logs[[#This Row],[Province_RDC]],Clients_Log!D:D,Clients_Log!B:B,"Pas de correspondance")</f>
        <v>CLI-00060</v>
      </c>
      <c r="D860" t="str">
        <f>_xlfn.XLOOKUP(Logs[[#This Row],[Cell_ID]],'Registre_Maintenance'!B:B,'Registre_Maintenance'!C:C,"Pas de correspondance")</f>
        <v>Kasaï-Central</v>
      </c>
      <c r="E860" s="3">
        <v>0.74791666666666667</v>
      </c>
      <c r="F860" s="1" t="s">
        <v>952</v>
      </c>
      <c r="G860" s="3">
        <f>Logs[[#This Row],[Duree_Panne_Min]]/1440</f>
        <v>1.9444444444444445E-2</v>
      </c>
      <c r="H860">
        <v>28</v>
      </c>
      <c r="I860">
        <f>_xlfn.XLOOKUP(Logs[[#This Row],[Cell_ID]],'Registre_Maintenance'!B:B,'Registre_Maintenance'!D:D,"Pas de correspondance")</f>
        <v>-3.111418</v>
      </c>
      <c r="J860">
        <f>_xlfn.XLOOKUP(Logs[[#This Row],[Cell_ID]],'Registre_Maintenance'!B:B,'Registre_Maintenance'!E:E,"Pas de correspondance")</f>
        <v>14.144854</v>
      </c>
      <c r="K860" t="str">
        <f>_xlfn.XLOOKUP(Logs[[#This Row],[Cell_ID]],'Registre_Maintenance'!B:B,'Registre_Maintenance'!F:F,"Pas de correspondance")</f>
        <v>4G</v>
      </c>
      <c r="L860" t="str">
        <f>_xlfn.XLOOKUP(Logs[[#This Row],[Cell_ID]],'Registre_Maintenance'!B:B,'Registre_Maintenance'!G:G,"Pas de correspondance")</f>
        <v>ZTE</v>
      </c>
      <c r="M860" s="1" t="s">
        <v>809</v>
      </c>
      <c r="N860" s="1">
        <f>_xlfn.XLOOKUP(Logs[[#This Row],[ID_Client]],Clients_Log!B:B,Clients_Log!E:E,"Pas de correspondance")</f>
        <v>72</v>
      </c>
      <c r="O860" s="4">
        <f>IFERROR(Logs[[#This Row],[Anciennete_Mois]]/12,"")</f>
        <v>6</v>
      </c>
      <c r="P860" s="1" t="str">
        <f>_xlfn.XLOOKUP(Logs[[#This Row],[ID_Client]],Clients_Log!B:B,Clients_Log!F:F,"Pas de correspondance")</f>
        <v>Pro Monde</v>
      </c>
      <c r="Q860" s="1" t="str">
        <f>IF(Logs[[#This Row],[Type_Forfait]]="Pro Monde","B2B","B2C")</f>
        <v>B2B</v>
      </c>
      <c r="R860" s="1">
        <f>_xlfn.XLOOKUP(Logs[[#This Row],[ID_Client]],Clients_Log!B:B,Clients_Log!G:G,"Pas de correspondance")</f>
        <v>160</v>
      </c>
      <c r="S860" s="3">
        <f>Logs[[#This Row],[Duree_Cumulee_Panne_Min]]/1440</f>
        <v>0.1111111111111111</v>
      </c>
      <c r="T860" s="1">
        <f>_xlfn.XLOOKUP(Logs[[#This Row],[ID_Client]],Clients_Log!B:B,Clients_Log!H:H,"Pas de correspondance")</f>
        <v>90.13</v>
      </c>
      <c r="U860" s="1">
        <f>_xlfn.XLOOKUP(Logs[[#This Row],[ID_Client]],Clients_Log!B:B,Clients_Log!I:I,"Pas de correspondance")</f>
        <v>2</v>
      </c>
      <c r="V86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860" s="1">
        <f>Logs[[#This Row],[Facture_Mensuelle]]*Logs[[#This Row],[Remise (%)]]</f>
        <v>9.0129999999999999</v>
      </c>
    </row>
    <row r="861" spans="1:23" hidden="1" x14ac:dyDescent="0.25">
      <c r="A861" s="1" t="s">
        <v>1384</v>
      </c>
      <c r="B861" s="2">
        <v>45202</v>
      </c>
      <c r="C861" s="1" t="str">
        <f>_xlfn.XLOOKUP(Logs[[#This Row],[Province_RDC]],Clients_Log!D:D,Clients_Log!B:B,"Pas de correspondance")</f>
        <v>Pas de correspondance</v>
      </c>
      <c r="D861" t="str">
        <f>_xlfn.XLOOKUP(Logs[[#This Row],[Cell_ID]],'Registre_Maintenance'!B:B,'Registre_Maintenance'!C:C,"Pas de correspondance")</f>
        <v>Pas de correspondance</v>
      </c>
      <c r="E861" s="3">
        <v>0.44305555555555554</v>
      </c>
      <c r="F861" s="1" t="s">
        <v>1398</v>
      </c>
      <c r="G861" s="3">
        <f>Logs[[#This Row],[Duree_Panne_Min]]/1440</f>
        <v>3.6111111111111108E-2</v>
      </c>
      <c r="H861">
        <v>52</v>
      </c>
      <c r="I861" t="str">
        <f>_xlfn.XLOOKUP(Logs[[#This Row],[Cell_ID]],'Registre_Maintenance'!B:B,'Registre_Maintenance'!D:D,"Pas de correspondance")</f>
        <v>Pas de correspondance</v>
      </c>
      <c r="J861" t="str">
        <f>_xlfn.XLOOKUP(Logs[[#This Row],[Cell_ID]],'Registre_Maintenance'!B:B,'Registre_Maintenance'!E:E,"Pas de correspondance")</f>
        <v>Pas de correspondance</v>
      </c>
      <c r="K861" t="str">
        <f>_xlfn.XLOOKUP(Logs[[#This Row],[Cell_ID]],'Registre_Maintenance'!B:B,'Registre_Maintenance'!F:F,"Pas de correspondance")</f>
        <v>Pas de correspondance</v>
      </c>
      <c r="L861" t="str">
        <f>_xlfn.XLOOKUP(Logs[[#This Row],[Cell_ID]],'Registre_Maintenance'!B:B,'Registre_Maintenance'!G:G,"Pas de correspondance")</f>
        <v>Pas de correspondance</v>
      </c>
      <c r="M861" s="1" t="s">
        <v>809</v>
      </c>
      <c r="N861" s="1" t="str">
        <f>_xlfn.XLOOKUP(Logs[[#This Row],[ID_Client]],Clients_Log!B:B,Clients_Log!E:E,"Pas de correspondance")</f>
        <v>Pas de correspondance</v>
      </c>
      <c r="O861" s="4" t="str">
        <f>IFERROR(Logs[[#This Row],[Anciennete_Mois]]/12,"")</f>
        <v/>
      </c>
      <c r="P861" s="1" t="str">
        <f>_xlfn.XLOOKUP(Logs[[#This Row],[ID_Client]],Clients_Log!B:B,Clients_Log!F:F,"Pas de correspondance")</f>
        <v>Pas de correspondance</v>
      </c>
      <c r="Q861" s="1" t="str">
        <f>IF(Logs[[#This Row],[Type_Forfait]]="Pro Monde","B2B","B2C")</f>
        <v>B2C</v>
      </c>
      <c r="R861" s="1" t="str">
        <f>_xlfn.XLOOKUP(Logs[[#This Row],[ID_Client]],Clients_Log!B:B,Clients_Log!G:G,"Pas de correspondance")</f>
        <v>Pas de correspondance</v>
      </c>
      <c r="S861" s="1" t="e">
        <f>Logs[[#This Row],[Duree_Cumulee_Panne_Min]]/1440</f>
        <v>#VALUE!</v>
      </c>
      <c r="T861" s="1" t="str">
        <f>_xlfn.XLOOKUP(Logs[[#This Row],[ID_Client]],Clients_Log!B:B,Clients_Log!H:H,"Pas de correspondance")</f>
        <v>Pas de correspondance</v>
      </c>
      <c r="U861" s="1" t="str">
        <f>_xlfn.XLOOKUP(Logs[[#This Row],[ID_Client]],Clients_Log!B:B,Clients_Log!I:I,"Pas de correspondance")</f>
        <v>Pas de correspondance</v>
      </c>
      <c r="V86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61" s="1" t="e">
        <f>Logs[[#This Row],[Facture_Mensuelle]]*Logs[[#This Row],[Remise (%)]]</f>
        <v>#VALUE!</v>
      </c>
    </row>
    <row r="862" spans="1:23" hidden="1" x14ac:dyDescent="0.25">
      <c r="A862" s="1" t="s">
        <v>1384</v>
      </c>
      <c r="B862" s="2">
        <v>45219</v>
      </c>
      <c r="C862" s="1" t="str">
        <f>_xlfn.XLOOKUP(Logs[[#This Row],[Province_RDC]],Clients_Log!D:D,Clients_Log!B:B,"Pas de correspondance")</f>
        <v>Pas de correspondance</v>
      </c>
      <c r="D862" t="str">
        <f>_xlfn.XLOOKUP(Logs[[#This Row],[Cell_ID]],'Registre_Maintenance'!B:B,'Registre_Maintenance'!C:C,"Pas de correspondance")</f>
        <v>Pas de correspondance</v>
      </c>
      <c r="E862" s="3">
        <v>0.65625</v>
      </c>
      <c r="F862" s="1" t="s">
        <v>1091</v>
      </c>
      <c r="G862" s="3">
        <f>Logs[[#This Row],[Duree_Panne_Min]]/1440</f>
        <v>8.1944444444444445E-2</v>
      </c>
      <c r="H862">
        <v>118</v>
      </c>
      <c r="I862" t="str">
        <f>_xlfn.XLOOKUP(Logs[[#This Row],[Cell_ID]],'Registre_Maintenance'!B:B,'Registre_Maintenance'!D:D,"Pas de correspondance")</f>
        <v>Pas de correspondance</v>
      </c>
      <c r="J862" t="str">
        <f>_xlfn.XLOOKUP(Logs[[#This Row],[Cell_ID]],'Registre_Maintenance'!B:B,'Registre_Maintenance'!E:E,"Pas de correspondance")</f>
        <v>Pas de correspondance</v>
      </c>
      <c r="K862" t="str">
        <f>_xlfn.XLOOKUP(Logs[[#This Row],[Cell_ID]],'Registre_Maintenance'!B:B,'Registre_Maintenance'!F:F,"Pas de correspondance")</f>
        <v>Pas de correspondance</v>
      </c>
      <c r="L862" t="str">
        <f>_xlfn.XLOOKUP(Logs[[#This Row],[Cell_ID]],'Registre_Maintenance'!B:B,'Registre_Maintenance'!G:G,"Pas de correspondance")</f>
        <v>Pas de correspondance</v>
      </c>
      <c r="M862" s="1" t="s">
        <v>809</v>
      </c>
      <c r="N862" s="1" t="str">
        <f>_xlfn.XLOOKUP(Logs[[#This Row],[ID_Client]],Clients_Log!B:B,Clients_Log!E:E,"Pas de correspondance")</f>
        <v>Pas de correspondance</v>
      </c>
      <c r="O862" s="4" t="str">
        <f>IFERROR(Logs[[#This Row],[Anciennete_Mois]]/12,"")</f>
        <v/>
      </c>
      <c r="P862" s="1" t="str">
        <f>_xlfn.XLOOKUP(Logs[[#This Row],[ID_Client]],Clients_Log!B:B,Clients_Log!F:F,"Pas de correspondance")</f>
        <v>Pas de correspondance</v>
      </c>
      <c r="Q862" s="1" t="str">
        <f>IF(Logs[[#This Row],[Type_Forfait]]="Pro Monde","B2B","B2C")</f>
        <v>B2C</v>
      </c>
      <c r="R862" s="1" t="str">
        <f>_xlfn.XLOOKUP(Logs[[#This Row],[ID_Client]],Clients_Log!B:B,Clients_Log!G:G,"Pas de correspondance")</f>
        <v>Pas de correspondance</v>
      </c>
      <c r="S862" s="1" t="e">
        <f>Logs[[#This Row],[Duree_Cumulee_Panne_Min]]/1440</f>
        <v>#VALUE!</v>
      </c>
      <c r="T862" s="1" t="str">
        <f>_xlfn.XLOOKUP(Logs[[#This Row],[ID_Client]],Clients_Log!B:B,Clients_Log!H:H,"Pas de correspondance")</f>
        <v>Pas de correspondance</v>
      </c>
      <c r="U862" s="1" t="str">
        <f>_xlfn.XLOOKUP(Logs[[#This Row],[ID_Client]],Clients_Log!B:B,Clients_Log!I:I,"Pas de correspondance")</f>
        <v>Pas de correspondance</v>
      </c>
      <c r="V86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62" s="1" t="e">
        <f>Logs[[#This Row],[Facture_Mensuelle]]*Logs[[#This Row],[Remise (%)]]</f>
        <v>#VALUE!</v>
      </c>
    </row>
    <row r="863" spans="1:23" x14ac:dyDescent="0.25">
      <c r="A863" s="1" t="s">
        <v>1384</v>
      </c>
      <c r="B863" s="2">
        <v>45200</v>
      </c>
      <c r="C863" s="1" t="str">
        <f>_xlfn.XLOOKUP(Logs[[#This Row],[Province_RDC]],Clients_Log!D:D,Clients_Log!B:B,"Pas de correspondance")</f>
        <v>CLI-01233</v>
      </c>
      <c r="D863" t="str">
        <f>_xlfn.XLOOKUP(Logs[[#This Row],[Cell_ID]],'Registre_Maintenance'!B:B,'Registre_Maintenance'!C:C,"Pas de correspondance")</f>
        <v>Kongo-Central</v>
      </c>
      <c r="E863" s="3">
        <v>0.57013888888888886</v>
      </c>
      <c r="F863" s="1" t="s">
        <v>1399</v>
      </c>
      <c r="G863" s="3">
        <f>Logs[[#This Row],[Duree_Panne_Min]]/1440</f>
        <v>3.6805555555555557E-2</v>
      </c>
      <c r="H863">
        <v>53</v>
      </c>
      <c r="I863">
        <f>_xlfn.XLOOKUP(Logs[[#This Row],[Cell_ID]],'Registre_Maintenance'!B:B,'Registre_Maintenance'!D:D,"Pas de correspondance")</f>
        <v>2.8552499999999998</v>
      </c>
      <c r="J863">
        <f>_xlfn.XLOOKUP(Logs[[#This Row],[Cell_ID]],'Registre_Maintenance'!B:B,'Registre_Maintenance'!E:E,"Pas de correspondance")</f>
        <v>14.077933</v>
      </c>
      <c r="K863" t="str">
        <f>_xlfn.XLOOKUP(Logs[[#This Row],[Cell_ID]],'Registre_Maintenance'!B:B,'Registre_Maintenance'!F:F,"Pas de correspondance")</f>
        <v>4G</v>
      </c>
      <c r="L863" t="str">
        <f>_xlfn.XLOOKUP(Logs[[#This Row],[Cell_ID]],'Registre_Maintenance'!B:B,'Registre_Maintenance'!G:G,"Pas de correspondance")</f>
        <v>ZTE</v>
      </c>
      <c r="M863" s="1" t="s">
        <v>811</v>
      </c>
      <c r="N863" s="1">
        <f>_xlfn.XLOOKUP(Logs[[#This Row],[ID_Client]],Clients_Log!B:B,Clients_Log!E:E,"Pas de correspondance")</f>
        <v>101</v>
      </c>
      <c r="O863" s="4">
        <f>IFERROR(Logs[[#This Row],[Anciennete_Mois]]/12,"")</f>
        <v>8.4166666666666661</v>
      </c>
      <c r="P863" s="1" t="str">
        <f>_xlfn.XLOOKUP(Logs[[#This Row],[ID_Client]],Clients_Log!B:B,Clients_Log!F:F,"Pas de correspondance")</f>
        <v>Pro Monde</v>
      </c>
      <c r="Q863" s="1" t="str">
        <f>IF(Logs[[#This Row],[Type_Forfait]]="Pro Monde","B2B","B2C")</f>
        <v>B2B</v>
      </c>
      <c r="R863" s="1">
        <f>_xlfn.XLOOKUP(Logs[[#This Row],[ID_Client]],Clients_Log!B:B,Clients_Log!G:G,"Pas de correspondance")</f>
        <v>333</v>
      </c>
      <c r="S863" s="3">
        <f>Logs[[#This Row],[Duree_Cumulee_Panne_Min]]/1440</f>
        <v>0.23125000000000001</v>
      </c>
      <c r="T863" s="1">
        <f>_xlfn.XLOOKUP(Logs[[#This Row],[ID_Client]],Clients_Log!B:B,Clients_Log!H:H,"Pas de correspondance")</f>
        <v>74.319999999999993</v>
      </c>
      <c r="U863" s="1">
        <f>_xlfn.XLOOKUP(Logs[[#This Row],[ID_Client]],Clients_Log!B:B,Clients_Log!I:I,"Pas de correspondance")</f>
        <v>1</v>
      </c>
      <c r="V86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63" s="1">
        <f>Logs[[#This Row],[Facture_Mensuelle]]*Logs[[#This Row],[Remise (%)]]</f>
        <v>33.443999999999996</v>
      </c>
    </row>
    <row r="864" spans="1:23" hidden="1" x14ac:dyDescent="0.25">
      <c r="A864" s="1" t="s">
        <v>1384</v>
      </c>
      <c r="B864" s="2">
        <v>45205</v>
      </c>
      <c r="C864" s="1" t="str">
        <f>_xlfn.XLOOKUP(Logs[[#This Row],[Province_RDC]],Clients_Log!D:D,Clients_Log!B:B,"Pas de correspondance")</f>
        <v>Pas de correspondance</v>
      </c>
      <c r="D864" t="str">
        <f>_xlfn.XLOOKUP(Logs[[#This Row],[Cell_ID]],'Registre_Maintenance'!B:B,'Registre_Maintenance'!C:C,"Pas de correspondance")</f>
        <v>Pas de correspondance</v>
      </c>
      <c r="E864" s="3">
        <v>0.8305555555555556</v>
      </c>
      <c r="F864" s="1" t="s">
        <v>1400</v>
      </c>
      <c r="G864" s="3">
        <f>Logs[[#This Row],[Duree_Panne_Min]]/1440</f>
        <v>3.6111111111111108E-2</v>
      </c>
      <c r="H864">
        <v>52</v>
      </c>
      <c r="I864" t="str">
        <f>_xlfn.XLOOKUP(Logs[[#This Row],[Cell_ID]],'Registre_Maintenance'!B:B,'Registre_Maintenance'!D:D,"Pas de correspondance")</f>
        <v>Pas de correspondance</v>
      </c>
      <c r="J864" t="str">
        <f>_xlfn.XLOOKUP(Logs[[#This Row],[Cell_ID]],'Registre_Maintenance'!B:B,'Registre_Maintenance'!E:E,"Pas de correspondance")</f>
        <v>Pas de correspondance</v>
      </c>
      <c r="K864" t="str">
        <f>_xlfn.XLOOKUP(Logs[[#This Row],[Cell_ID]],'Registre_Maintenance'!B:B,'Registre_Maintenance'!F:F,"Pas de correspondance")</f>
        <v>Pas de correspondance</v>
      </c>
      <c r="L864" t="str">
        <f>_xlfn.XLOOKUP(Logs[[#This Row],[Cell_ID]],'Registre_Maintenance'!B:B,'Registre_Maintenance'!G:G,"Pas de correspondance")</f>
        <v>Pas de correspondance</v>
      </c>
      <c r="M864" s="1" t="s">
        <v>806</v>
      </c>
      <c r="N864" s="1" t="str">
        <f>_xlfn.XLOOKUP(Logs[[#This Row],[ID_Client]],Clients_Log!B:B,Clients_Log!E:E,"Pas de correspondance")</f>
        <v>Pas de correspondance</v>
      </c>
      <c r="O864" s="4" t="str">
        <f>IFERROR(Logs[[#This Row],[Anciennete_Mois]]/12,"")</f>
        <v/>
      </c>
      <c r="P864" s="1" t="str">
        <f>_xlfn.XLOOKUP(Logs[[#This Row],[ID_Client]],Clients_Log!B:B,Clients_Log!F:F,"Pas de correspondance")</f>
        <v>Pas de correspondance</v>
      </c>
      <c r="Q864" s="1" t="str">
        <f>IF(Logs[[#This Row],[Type_Forfait]]="Pro Monde","B2B","B2C")</f>
        <v>B2C</v>
      </c>
      <c r="R864" s="1" t="str">
        <f>_xlfn.XLOOKUP(Logs[[#This Row],[ID_Client]],Clients_Log!B:B,Clients_Log!G:G,"Pas de correspondance")</f>
        <v>Pas de correspondance</v>
      </c>
      <c r="S864" s="1" t="e">
        <f>Logs[[#This Row],[Duree_Cumulee_Panne_Min]]/1440</f>
        <v>#VALUE!</v>
      </c>
      <c r="T864" s="1" t="str">
        <f>_xlfn.XLOOKUP(Logs[[#This Row],[ID_Client]],Clients_Log!B:B,Clients_Log!H:H,"Pas de correspondance")</f>
        <v>Pas de correspondance</v>
      </c>
      <c r="U864" s="1" t="str">
        <f>_xlfn.XLOOKUP(Logs[[#This Row],[ID_Client]],Clients_Log!B:B,Clients_Log!I:I,"Pas de correspondance")</f>
        <v>Pas de correspondance</v>
      </c>
      <c r="V86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64" s="1" t="e">
        <f>Logs[[#This Row],[Facture_Mensuelle]]*Logs[[#This Row],[Remise (%)]]</f>
        <v>#VALUE!</v>
      </c>
    </row>
    <row r="865" spans="1:23" hidden="1" x14ac:dyDescent="0.25">
      <c r="A865" s="1" t="s">
        <v>1384</v>
      </c>
      <c r="B865" s="2">
        <v>45213</v>
      </c>
      <c r="C865" s="1" t="str">
        <f>_xlfn.XLOOKUP(Logs[[#This Row],[Province_RDC]],Clients_Log!D:D,Clients_Log!B:B,"Pas de correspondance")</f>
        <v>Pas de correspondance</v>
      </c>
      <c r="D865" t="str">
        <f>_xlfn.XLOOKUP(Logs[[#This Row],[Cell_ID]],'Registre_Maintenance'!B:B,'Registre_Maintenance'!C:C,"Pas de correspondance")</f>
        <v>Pas de correspondance</v>
      </c>
      <c r="E865" s="3">
        <v>0.21041666666666667</v>
      </c>
      <c r="F865" s="1" t="s">
        <v>1401</v>
      </c>
      <c r="G865" s="3">
        <f>Logs[[#This Row],[Duree_Panne_Min]]/1440</f>
        <v>1.9444444444444445E-2</v>
      </c>
      <c r="H865">
        <v>28</v>
      </c>
      <c r="I865" t="str">
        <f>_xlfn.XLOOKUP(Logs[[#This Row],[Cell_ID]],'Registre_Maintenance'!B:B,'Registre_Maintenance'!D:D,"Pas de correspondance")</f>
        <v>Pas de correspondance</v>
      </c>
      <c r="J865" t="str">
        <f>_xlfn.XLOOKUP(Logs[[#This Row],[Cell_ID]],'Registre_Maintenance'!B:B,'Registre_Maintenance'!E:E,"Pas de correspondance")</f>
        <v>Pas de correspondance</v>
      </c>
      <c r="K865" t="str">
        <f>_xlfn.XLOOKUP(Logs[[#This Row],[Cell_ID]],'Registre_Maintenance'!B:B,'Registre_Maintenance'!F:F,"Pas de correspondance")</f>
        <v>Pas de correspondance</v>
      </c>
      <c r="L865" t="str">
        <f>_xlfn.XLOOKUP(Logs[[#This Row],[Cell_ID]],'Registre_Maintenance'!B:B,'Registre_Maintenance'!G:G,"Pas de correspondance")</f>
        <v>Pas de correspondance</v>
      </c>
      <c r="M865" s="1" t="s">
        <v>811</v>
      </c>
      <c r="N865" s="1" t="str">
        <f>_xlfn.XLOOKUP(Logs[[#This Row],[ID_Client]],Clients_Log!B:B,Clients_Log!E:E,"Pas de correspondance")</f>
        <v>Pas de correspondance</v>
      </c>
      <c r="O865" s="4" t="str">
        <f>IFERROR(Logs[[#This Row],[Anciennete_Mois]]/12,"")</f>
        <v/>
      </c>
      <c r="P865" s="1" t="str">
        <f>_xlfn.XLOOKUP(Logs[[#This Row],[ID_Client]],Clients_Log!B:B,Clients_Log!F:F,"Pas de correspondance")</f>
        <v>Pas de correspondance</v>
      </c>
      <c r="Q865" s="1" t="str">
        <f>IF(Logs[[#This Row],[Type_Forfait]]="Pro Monde","B2B","B2C")</f>
        <v>B2C</v>
      </c>
      <c r="R865" s="1" t="str">
        <f>_xlfn.XLOOKUP(Logs[[#This Row],[ID_Client]],Clients_Log!B:B,Clients_Log!G:G,"Pas de correspondance")</f>
        <v>Pas de correspondance</v>
      </c>
      <c r="S865" s="1" t="e">
        <f>Logs[[#This Row],[Duree_Cumulee_Panne_Min]]/1440</f>
        <v>#VALUE!</v>
      </c>
      <c r="T865" s="1" t="str">
        <f>_xlfn.XLOOKUP(Logs[[#This Row],[ID_Client]],Clients_Log!B:B,Clients_Log!H:H,"Pas de correspondance")</f>
        <v>Pas de correspondance</v>
      </c>
      <c r="U865" s="1" t="str">
        <f>_xlfn.XLOOKUP(Logs[[#This Row],[ID_Client]],Clients_Log!B:B,Clients_Log!I:I,"Pas de correspondance")</f>
        <v>Pas de correspondance</v>
      </c>
      <c r="V86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65" s="1" t="e">
        <f>Logs[[#This Row],[Facture_Mensuelle]]*Logs[[#This Row],[Remise (%)]]</f>
        <v>#VALUE!</v>
      </c>
    </row>
    <row r="866" spans="1:23" hidden="1" x14ac:dyDescent="0.25">
      <c r="A866" s="1" t="s">
        <v>1384</v>
      </c>
      <c r="B866" s="2">
        <v>45203</v>
      </c>
      <c r="C866" s="1" t="str">
        <f>_xlfn.XLOOKUP(Logs[[#This Row],[Province_RDC]],Clients_Log!D:D,Clients_Log!B:B,"Pas de correspondance")</f>
        <v>Pas de correspondance</v>
      </c>
      <c r="D866" t="str">
        <f>_xlfn.XLOOKUP(Logs[[#This Row],[Cell_ID]],'Registre_Maintenance'!B:B,'Registre_Maintenance'!C:C,"Pas de correspondance")</f>
        <v>Pas de correspondance</v>
      </c>
      <c r="E866" s="3">
        <v>0.42569444444444443</v>
      </c>
      <c r="F866" s="1" t="s">
        <v>1402</v>
      </c>
      <c r="G866" s="3">
        <f>Logs[[#This Row],[Duree_Panne_Min]]/1440</f>
        <v>4.3055555555555555E-2</v>
      </c>
      <c r="H866">
        <v>62</v>
      </c>
      <c r="I866" t="str">
        <f>_xlfn.XLOOKUP(Logs[[#This Row],[Cell_ID]],'Registre_Maintenance'!B:B,'Registre_Maintenance'!D:D,"Pas de correspondance")</f>
        <v>Pas de correspondance</v>
      </c>
      <c r="J866" t="str">
        <f>_xlfn.XLOOKUP(Logs[[#This Row],[Cell_ID]],'Registre_Maintenance'!B:B,'Registre_Maintenance'!E:E,"Pas de correspondance")</f>
        <v>Pas de correspondance</v>
      </c>
      <c r="K866" t="str">
        <f>_xlfn.XLOOKUP(Logs[[#This Row],[Cell_ID]],'Registre_Maintenance'!B:B,'Registre_Maintenance'!F:F,"Pas de correspondance")</f>
        <v>Pas de correspondance</v>
      </c>
      <c r="L866" t="str">
        <f>_xlfn.XLOOKUP(Logs[[#This Row],[Cell_ID]],'Registre_Maintenance'!B:B,'Registre_Maintenance'!G:G,"Pas de correspondance")</f>
        <v>Pas de correspondance</v>
      </c>
      <c r="M866" s="1" t="s">
        <v>806</v>
      </c>
      <c r="N866" s="1" t="str">
        <f>_xlfn.XLOOKUP(Logs[[#This Row],[ID_Client]],Clients_Log!B:B,Clients_Log!E:E,"Pas de correspondance")</f>
        <v>Pas de correspondance</v>
      </c>
      <c r="O866" s="4" t="str">
        <f>IFERROR(Logs[[#This Row],[Anciennete_Mois]]/12,"")</f>
        <v/>
      </c>
      <c r="P866" s="1" t="str">
        <f>_xlfn.XLOOKUP(Logs[[#This Row],[ID_Client]],Clients_Log!B:B,Clients_Log!F:F,"Pas de correspondance")</f>
        <v>Pas de correspondance</v>
      </c>
      <c r="Q866" s="1" t="str">
        <f>IF(Logs[[#This Row],[Type_Forfait]]="Pro Monde","B2B","B2C")</f>
        <v>B2C</v>
      </c>
      <c r="R866" s="1" t="str">
        <f>_xlfn.XLOOKUP(Logs[[#This Row],[ID_Client]],Clients_Log!B:B,Clients_Log!G:G,"Pas de correspondance")</f>
        <v>Pas de correspondance</v>
      </c>
      <c r="S866" s="1" t="e">
        <f>Logs[[#This Row],[Duree_Cumulee_Panne_Min]]/1440</f>
        <v>#VALUE!</v>
      </c>
      <c r="T866" s="1" t="str">
        <f>_xlfn.XLOOKUP(Logs[[#This Row],[ID_Client]],Clients_Log!B:B,Clients_Log!H:H,"Pas de correspondance")</f>
        <v>Pas de correspondance</v>
      </c>
      <c r="U866" s="1" t="str">
        <f>_xlfn.XLOOKUP(Logs[[#This Row],[ID_Client]],Clients_Log!B:B,Clients_Log!I:I,"Pas de correspondance")</f>
        <v>Pas de correspondance</v>
      </c>
      <c r="V86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66" s="1" t="e">
        <f>Logs[[#This Row],[Facture_Mensuelle]]*Logs[[#This Row],[Remise (%)]]</f>
        <v>#VALUE!</v>
      </c>
    </row>
    <row r="867" spans="1:23" hidden="1" x14ac:dyDescent="0.25">
      <c r="A867" s="1" t="s">
        <v>1384</v>
      </c>
      <c r="B867" s="2">
        <v>45206</v>
      </c>
      <c r="C867" s="1" t="str">
        <f>_xlfn.XLOOKUP(Logs[[#This Row],[Province_RDC]],Clients_Log!D:D,Clients_Log!B:B,"Pas de correspondance")</f>
        <v>Pas de correspondance</v>
      </c>
      <c r="D867" t="str">
        <f>_xlfn.XLOOKUP(Logs[[#This Row],[Cell_ID]],'Registre_Maintenance'!B:B,'Registre_Maintenance'!C:C,"Pas de correspondance")</f>
        <v>Pas de correspondance</v>
      </c>
      <c r="E867" s="3">
        <v>0.57222222222222219</v>
      </c>
      <c r="F867" s="1" t="s">
        <v>1157</v>
      </c>
      <c r="G867" s="3">
        <f>Logs[[#This Row],[Duree_Panne_Min]]/1440</f>
        <v>6.9444444444444441E-3</v>
      </c>
      <c r="H867">
        <v>10</v>
      </c>
      <c r="I867" t="str">
        <f>_xlfn.XLOOKUP(Logs[[#This Row],[Cell_ID]],'Registre_Maintenance'!B:B,'Registre_Maintenance'!D:D,"Pas de correspondance")</f>
        <v>Pas de correspondance</v>
      </c>
      <c r="J867" t="str">
        <f>_xlfn.XLOOKUP(Logs[[#This Row],[Cell_ID]],'Registre_Maintenance'!B:B,'Registre_Maintenance'!E:E,"Pas de correspondance")</f>
        <v>Pas de correspondance</v>
      </c>
      <c r="K867" t="str">
        <f>_xlfn.XLOOKUP(Logs[[#This Row],[Cell_ID]],'Registre_Maintenance'!B:B,'Registre_Maintenance'!F:F,"Pas de correspondance")</f>
        <v>Pas de correspondance</v>
      </c>
      <c r="L867" t="str">
        <f>_xlfn.XLOOKUP(Logs[[#This Row],[Cell_ID]],'Registre_Maintenance'!B:B,'Registre_Maintenance'!G:G,"Pas de correspondance")</f>
        <v>Pas de correspondance</v>
      </c>
      <c r="M867" s="1" t="s">
        <v>806</v>
      </c>
      <c r="N867" s="1" t="str">
        <f>_xlfn.XLOOKUP(Logs[[#This Row],[ID_Client]],Clients_Log!B:B,Clients_Log!E:E,"Pas de correspondance")</f>
        <v>Pas de correspondance</v>
      </c>
      <c r="O867" s="4" t="str">
        <f>IFERROR(Logs[[#This Row],[Anciennete_Mois]]/12,"")</f>
        <v/>
      </c>
      <c r="P867" s="1" t="str">
        <f>_xlfn.XLOOKUP(Logs[[#This Row],[ID_Client]],Clients_Log!B:B,Clients_Log!F:F,"Pas de correspondance")</f>
        <v>Pas de correspondance</v>
      </c>
      <c r="Q867" s="1" t="str">
        <f>IF(Logs[[#This Row],[Type_Forfait]]="Pro Monde","B2B","B2C")</f>
        <v>B2C</v>
      </c>
      <c r="R867" s="1" t="str">
        <f>_xlfn.XLOOKUP(Logs[[#This Row],[ID_Client]],Clients_Log!B:B,Clients_Log!G:G,"Pas de correspondance")</f>
        <v>Pas de correspondance</v>
      </c>
      <c r="S867" s="1" t="e">
        <f>Logs[[#This Row],[Duree_Cumulee_Panne_Min]]/1440</f>
        <v>#VALUE!</v>
      </c>
      <c r="T867" s="1" t="str">
        <f>_xlfn.XLOOKUP(Logs[[#This Row],[ID_Client]],Clients_Log!B:B,Clients_Log!H:H,"Pas de correspondance")</f>
        <v>Pas de correspondance</v>
      </c>
      <c r="U867" s="1" t="str">
        <f>_xlfn.XLOOKUP(Logs[[#This Row],[ID_Client]],Clients_Log!B:B,Clients_Log!I:I,"Pas de correspondance")</f>
        <v>Pas de correspondance</v>
      </c>
      <c r="V86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67" s="1" t="e">
        <f>Logs[[#This Row],[Facture_Mensuelle]]*Logs[[#This Row],[Remise (%)]]</f>
        <v>#VALUE!</v>
      </c>
    </row>
    <row r="868" spans="1:23" x14ac:dyDescent="0.25">
      <c r="A868" s="1" t="s">
        <v>1384</v>
      </c>
      <c r="B868" s="2">
        <v>45217</v>
      </c>
      <c r="C868" s="1" t="str">
        <f>_xlfn.XLOOKUP(Logs[[#This Row],[Province_RDC]],Clients_Log!D:D,Clients_Log!B:B,"Pas de correspondance")</f>
        <v>CLI-01005</v>
      </c>
      <c r="D868" t="str">
        <f>_xlfn.XLOOKUP(Logs[[#This Row],[Cell_ID]],'Registre_Maintenance'!B:B,'Registre_Maintenance'!C:C,"Pas de correspondance")</f>
        <v>Lualaba</v>
      </c>
      <c r="E868" s="3">
        <v>0.99930555555555556</v>
      </c>
      <c r="F868" s="1" t="s">
        <v>1112</v>
      </c>
      <c r="G868" s="3">
        <f>Logs[[#This Row],[Duree_Panne_Min]]/1440</f>
        <v>2.6388888888888889E-2</v>
      </c>
      <c r="H868">
        <v>38</v>
      </c>
      <c r="I868">
        <f>_xlfn.XLOOKUP(Logs[[#This Row],[Cell_ID]],'Registre_Maintenance'!B:B,'Registre_Maintenance'!D:D,"Pas de correspondance")</f>
        <v>-10.967288</v>
      </c>
      <c r="J868">
        <f>_xlfn.XLOOKUP(Logs[[#This Row],[Cell_ID]],'Registre_Maintenance'!B:B,'Registre_Maintenance'!E:E,"Pas de correspondance")</f>
        <v>17.617781000000001</v>
      </c>
      <c r="K868" t="str">
        <f>_xlfn.XLOOKUP(Logs[[#This Row],[Cell_ID]],'Registre_Maintenance'!B:B,'Registre_Maintenance'!F:F,"Pas de correspondance")</f>
        <v>4G</v>
      </c>
      <c r="L868" t="str">
        <f>_xlfn.XLOOKUP(Logs[[#This Row],[Cell_ID]],'Registre_Maintenance'!B:B,'Registre_Maintenance'!G:G,"Pas de correspondance")</f>
        <v>Ericsson</v>
      </c>
      <c r="M868" s="1" t="s">
        <v>809</v>
      </c>
      <c r="N868" s="1">
        <f>_xlfn.XLOOKUP(Logs[[#This Row],[ID_Client]],Clients_Log!B:B,Clients_Log!E:E,"Pas de correspondance")</f>
        <v>80</v>
      </c>
      <c r="O868" s="4">
        <f>IFERROR(Logs[[#This Row],[Anciennete_Mois]]/12,"")</f>
        <v>6.666666666666667</v>
      </c>
      <c r="P868" s="1" t="str">
        <f>_xlfn.XLOOKUP(Logs[[#This Row],[ID_Client]],Clients_Log!B:B,Clients_Log!F:F,"Pas de correspondance")</f>
        <v>Illimité 50Go</v>
      </c>
      <c r="Q868" s="1" t="str">
        <f>IF(Logs[[#This Row],[Type_Forfait]]="Pro Monde","B2B","B2C")</f>
        <v>B2C</v>
      </c>
      <c r="R868" s="1">
        <f>_xlfn.XLOOKUP(Logs[[#This Row],[ID_Client]],Clients_Log!B:B,Clients_Log!G:G,"Pas de correspondance")</f>
        <v>155</v>
      </c>
      <c r="S868" s="3">
        <f>Logs[[#This Row],[Duree_Cumulee_Panne_Min]]/1440</f>
        <v>0.1076388888888889</v>
      </c>
      <c r="T868" s="1">
        <f>_xlfn.XLOOKUP(Logs[[#This Row],[ID_Client]],Clients_Log!B:B,Clients_Log!H:H,"Pas de correspondance")</f>
        <v>28.96</v>
      </c>
      <c r="U868" s="1">
        <f>_xlfn.XLOOKUP(Logs[[#This Row],[ID_Client]],Clients_Log!B:B,Clients_Log!I:I,"Pas de correspondance")</f>
        <v>2</v>
      </c>
      <c r="V86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868" s="1">
        <f>Logs[[#This Row],[Facture_Mensuelle]]*Logs[[#This Row],[Remise (%)]]</f>
        <v>0</v>
      </c>
    </row>
    <row r="869" spans="1:23" hidden="1" x14ac:dyDescent="0.25">
      <c r="A869" s="1" t="s">
        <v>1384</v>
      </c>
      <c r="B869" s="2">
        <v>45223</v>
      </c>
      <c r="C869" s="1" t="str">
        <f>_xlfn.XLOOKUP(Logs[[#This Row],[Province_RDC]],Clients_Log!D:D,Clients_Log!B:B,"Pas de correspondance")</f>
        <v>Pas de correspondance</v>
      </c>
      <c r="D869" t="str">
        <f>_xlfn.XLOOKUP(Logs[[#This Row],[Cell_ID]],'Registre_Maintenance'!B:B,'Registre_Maintenance'!C:C,"Pas de correspondance")</f>
        <v>Pas de correspondance</v>
      </c>
      <c r="E869" s="3">
        <v>0.71944444444444444</v>
      </c>
      <c r="F869" s="1" t="s">
        <v>1107</v>
      </c>
      <c r="G869" s="3">
        <f>Logs[[#This Row],[Duree_Panne_Min]]/1440</f>
        <v>4.2361111111111113E-2</v>
      </c>
      <c r="H869">
        <v>61</v>
      </c>
      <c r="I869" t="str">
        <f>_xlfn.XLOOKUP(Logs[[#This Row],[Cell_ID]],'Registre_Maintenance'!B:B,'Registre_Maintenance'!D:D,"Pas de correspondance")</f>
        <v>Pas de correspondance</v>
      </c>
      <c r="J869" t="str">
        <f>_xlfn.XLOOKUP(Logs[[#This Row],[Cell_ID]],'Registre_Maintenance'!B:B,'Registre_Maintenance'!E:E,"Pas de correspondance")</f>
        <v>Pas de correspondance</v>
      </c>
      <c r="K869" t="str">
        <f>_xlfn.XLOOKUP(Logs[[#This Row],[Cell_ID]],'Registre_Maintenance'!B:B,'Registre_Maintenance'!F:F,"Pas de correspondance")</f>
        <v>Pas de correspondance</v>
      </c>
      <c r="L869" t="str">
        <f>_xlfn.XLOOKUP(Logs[[#This Row],[Cell_ID]],'Registre_Maintenance'!B:B,'Registre_Maintenance'!G:G,"Pas de correspondance")</f>
        <v>Pas de correspondance</v>
      </c>
      <c r="M869" s="1" t="s">
        <v>809</v>
      </c>
      <c r="N869" s="1" t="str">
        <f>_xlfn.XLOOKUP(Logs[[#This Row],[ID_Client]],Clients_Log!B:B,Clients_Log!E:E,"Pas de correspondance")</f>
        <v>Pas de correspondance</v>
      </c>
      <c r="O869" s="4" t="str">
        <f>IFERROR(Logs[[#This Row],[Anciennete_Mois]]/12,"")</f>
        <v/>
      </c>
      <c r="P869" s="1" t="str">
        <f>_xlfn.XLOOKUP(Logs[[#This Row],[ID_Client]],Clients_Log!B:B,Clients_Log!F:F,"Pas de correspondance")</f>
        <v>Pas de correspondance</v>
      </c>
      <c r="Q869" s="1" t="str">
        <f>IF(Logs[[#This Row],[Type_Forfait]]="Pro Monde","B2B","B2C")</f>
        <v>B2C</v>
      </c>
      <c r="R869" s="1" t="str">
        <f>_xlfn.XLOOKUP(Logs[[#This Row],[ID_Client]],Clients_Log!B:B,Clients_Log!G:G,"Pas de correspondance")</f>
        <v>Pas de correspondance</v>
      </c>
      <c r="S869" s="1" t="e">
        <f>Logs[[#This Row],[Duree_Cumulee_Panne_Min]]/1440</f>
        <v>#VALUE!</v>
      </c>
      <c r="T869" s="1" t="str">
        <f>_xlfn.XLOOKUP(Logs[[#This Row],[ID_Client]],Clients_Log!B:B,Clients_Log!H:H,"Pas de correspondance")</f>
        <v>Pas de correspondance</v>
      </c>
      <c r="U869" s="1" t="str">
        <f>_xlfn.XLOOKUP(Logs[[#This Row],[ID_Client]],Clients_Log!B:B,Clients_Log!I:I,"Pas de correspondance")</f>
        <v>Pas de correspondance</v>
      </c>
      <c r="V86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69" s="1" t="e">
        <f>Logs[[#This Row],[Facture_Mensuelle]]*Logs[[#This Row],[Remise (%)]]</f>
        <v>#VALUE!</v>
      </c>
    </row>
    <row r="870" spans="1:23" x14ac:dyDescent="0.25">
      <c r="A870" s="1" t="s">
        <v>1384</v>
      </c>
      <c r="B870" s="2">
        <v>45221</v>
      </c>
      <c r="C870" s="1" t="str">
        <f>_xlfn.XLOOKUP(Logs[[#This Row],[Province_RDC]],Clients_Log!D:D,Clients_Log!B:B,"Pas de correspondance")</f>
        <v>CLI-00745</v>
      </c>
      <c r="D870" t="str">
        <f>_xlfn.XLOOKUP(Logs[[#This Row],[Cell_ID]],'Registre_Maintenance'!B:B,'Registre_Maintenance'!C:C,"Pas de correspondance")</f>
        <v>Tshopo</v>
      </c>
      <c r="E870" s="3">
        <v>0.38819444444444445</v>
      </c>
      <c r="F870" s="1" t="s">
        <v>1403</v>
      </c>
      <c r="G870" s="3">
        <f>Logs[[#This Row],[Duree_Panne_Min]]/1440</f>
        <v>4.4444444444444446E-2</v>
      </c>
      <c r="H870">
        <v>64</v>
      </c>
      <c r="I870">
        <f>_xlfn.XLOOKUP(Logs[[#This Row],[Cell_ID]],'Registre_Maintenance'!B:B,'Registre_Maintenance'!D:D,"Pas de correspondance")</f>
        <v>-12.070842000000001</v>
      </c>
      <c r="J870">
        <f>_xlfn.XLOOKUP(Logs[[#This Row],[Cell_ID]],'Registre_Maintenance'!B:B,'Registre_Maintenance'!E:E,"Pas de correspondance")</f>
        <v>14.757847</v>
      </c>
      <c r="K870" t="str">
        <f>_xlfn.XLOOKUP(Logs[[#This Row],[Cell_ID]],'Registre_Maintenance'!B:B,'Registre_Maintenance'!F:F,"Pas de correspondance")</f>
        <v>4G</v>
      </c>
      <c r="L870" t="str">
        <f>_xlfn.XLOOKUP(Logs[[#This Row],[Cell_ID]],'Registre_Maintenance'!B:B,'Registre_Maintenance'!G:G,"Pas de correspondance")</f>
        <v>ZTE</v>
      </c>
      <c r="M870" s="1" t="s">
        <v>809</v>
      </c>
      <c r="N870" s="1">
        <f>_xlfn.XLOOKUP(Logs[[#This Row],[ID_Client]],Clients_Log!B:B,Clients_Log!E:E,"Pas de correspondance")</f>
        <v>6</v>
      </c>
      <c r="O870" s="4">
        <f>IFERROR(Logs[[#This Row],[Anciennete_Mois]]/12,"")</f>
        <v>0.5</v>
      </c>
      <c r="P870" s="1" t="str">
        <f>_xlfn.XLOOKUP(Logs[[#This Row],[ID_Client]],Clients_Log!B:B,Clients_Log!F:F,"Pas de correspondance")</f>
        <v>Premium 5G 150Go</v>
      </c>
      <c r="Q870" s="1" t="str">
        <f>IF(Logs[[#This Row],[Type_Forfait]]="Pro Monde","B2B","B2C")</f>
        <v>B2C</v>
      </c>
      <c r="R870" s="1">
        <f>_xlfn.XLOOKUP(Logs[[#This Row],[ID_Client]],Clients_Log!B:B,Clients_Log!G:G,"Pas de correspondance")</f>
        <v>207</v>
      </c>
      <c r="S870" s="3">
        <f>Logs[[#This Row],[Duree_Cumulee_Panne_Min]]/1440</f>
        <v>0.14374999999999999</v>
      </c>
      <c r="T870" s="1">
        <f>_xlfn.XLOOKUP(Logs[[#This Row],[ID_Client]],Clients_Log!B:B,Clients_Log!H:H,"Pas de correspondance")</f>
        <v>61.55</v>
      </c>
      <c r="U870" s="1">
        <f>_xlfn.XLOOKUP(Logs[[#This Row],[ID_Client]],Clients_Log!B:B,Clients_Log!I:I,"Pas de correspondance")</f>
        <v>0</v>
      </c>
      <c r="V87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70" s="1">
        <f>Logs[[#This Row],[Facture_Mensuelle]]*Logs[[#This Row],[Remise (%)]]</f>
        <v>27.697499999999998</v>
      </c>
    </row>
    <row r="871" spans="1:23" x14ac:dyDescent="0.25">
      <c r="A871" s="1" t="s">
        <v>1384</v>
      </c>
      <c r="B871" s="2">
        <v>45207</v>
      </c>
      <c r="C871" s="1" t="str">
        <f>_xlfn.XLOOKUP(Logs[[#This Row],[Province_RDC]],Clients_Log!D:D,Clients_Log!B:B,"Pas de correspondance")</f>
        <v>CLI-00996</v>
      </c>
      <c r="D871" t="str">
        <f>_xlfn.XLOOKUP(Logs[[#This Row],[Cell_ID]],'Registre_Maintenance'!B:B,'Registre_Maintenance'!C:C,"Pas de correspondance")</f>
        <v>Kwilu</v>
      </c>
      <c r="E871" s="3">
        <v>0.12708333333333333</v>
      </c>
      <c r="F871" s="1" t="s">
        <v>943</v>
      </c>
      <c r="G871" s="3">
        <f>Logs[[#This Row],[Duree_Panne_Min]]/1440</f>
        <v>2.6388888888888889E-2</v>
      </c>
      <c r="H871">
        <v>38</v>
      </c>
      <c r="I871">
        <f>_xlfn.XLOOKUP(Logs[[#This Row],[Cell_ID]],'Registre_Maintenance'!B:B,'Registre_Maintenance'!D:D,"Pas de correspondance")</f>
        <v>-8.5675749999999997</v>
      </c>
      <c r="J871">
        <f>_xlfn.XLOOKUP(Logs[[#This Row],[Cell_ID]],'Registre_Maintenance'!B:B,'Registre_Maintenance'!E:E,"Pas de correspondance")</f>
        <v>26.994581</v>
      </c>
      <c r="K871" t="str">
        <f>_xlfn.XLOOKUP(Logs[[#This Row],[Cell_ID]],'Registre_Maintenance'!B:B,'Registre_Maintenance'!F:F,"Pas de correspondance")</f>
        <v>3G</v>
      </c>
      <c r="L871" t="str">
        <f>_xlfn.XLOOKUP(Logs[[#This Row],[Cell_ID]],'Registre_Maintenance'!B:B,'Registre_Maintenance'!G:G,"Pas de correspondance")</f>
        <v>Nokia</v>
      </c>
      <c r="M871" s="1" t="s">
        <v>806</v>
      </c>
      <c r="N871" s="1">
        <f>_xlfn.XLOOKUP(Logs[[#This Row],[ID_Client]],Clients_Log!B:B,Clients_Log!E:E,"Pas de correspondance")</f>
        <v>119</v>
      </c>
      <c r="O871" s="4">
        <f>IFERROR(Logs[[#This Row],[Anciennete_Mois]]/12,"")</f>
        <v>9.9166666666666661</v>
      </c>
      <c r="P871" s="1" t="str">
        <f>_xlfn.XLOOKUP(Logs[[#This Row],[ID_Client]],Clients_Log!B:B,Clients_Log!F:F,"Pas de correspondance")</f>
        <v>Illimité 50Go</v>
      </c>
      <c r="Q871" s="1" t="str">
        <f>IF(Logs[[#This Row],[Type_Forfait]]="Pro Monde","B2B","B2C")</f>
        <v>B2C</v>
      </c>
      <c r="R871" s="1">
        <f>_xlfn.XLOOKUP(Logs[[#This Row],[ID_Client]],Clients_Log!B:B,Clients_Log!G:G,"Pas de correspondance")</f>
        <v>228</v>
      </c>
      <c r="S871" s="3">
        <f>Logs[[#This Row],[Duree_Cumulee_Panne_Min]]/1440</f>
        <v>0.15833333333333333</v>
      </c>
      <c r="T871" s="1">
        <f>_xlfn.XLOOKUP(Logs[[#This Row],[ID_Client]],Clients_Log!B:B,Clients_Log!H:H,"Pas de correspondance")</f>
        <v>94.72</v>
      </c>
      <c r="U871" s="1">
        <f>_xlfn.XLOOKUP(Logs[[#This Row],[ID_Client]],Clients_Log!B:B,Clients_Log!I:I,"Pas de correspondance")</f>
        <v>3</v>
      </c>
      <c r="V87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871" s="1">
        <f>Logs[[#This Row],[Facture_Mensuelle]]*Logs[[#This Row],[Remise (%)]]</f>
        <v>0</v>
      </c>
    </row>
    <row r="872" spans="1:23" hidden="1" x14ac:dyDescent="0.25">
      <c r="A872" s="1" t="s">
        <v>1384</v>
      </c>
      <c r="B872" s="2">
        <v>45212</v>
      </c>
      <c r="C872" s="1" t="str">
        <f>_xlfn.XLOOKUP(Logs[[#This Row],[Province_RDC]],Clients_Log!D:D,Clients_Log!B:B,"Pas de correspondance")</f>
        <v>Pas de correspondance</v>
      </c>
      <c r="D872" t="str">
        <f>_xlfn.XLOOKUP(Logs[[#This Row],[Cell_ID]],'Registre_Maintenance'!B:B,'Registre_Maintenance'!C:C,"Pas de correspondance")</f>
        <v>Pas de correspondance</v>
      </c>
      <c r="E872" s="3">
        <v>0.77430555555555558</v>
      </c>
      <c r="F872" s="1" t="s">
        <v>1404</v>
      </c>
      <c r="G872" s="3">
        <f>Logs[[#This Row],[Duree_Panne_Min]]/1440</f>
        <v>2.2916666666666665E-2</v>
      </c>
      <c r="H872">
        <v>33</v>
      </c>
      <c r="I872" t="str">
        <f>_xlfn.XLOOKUP(Logs[[#This Row],[Cell_ID]],'Registre_Maintenance'!B:B,'Registre_Maintenance'!D:D,"Pas de correspondance")</f>
        <v>Pas de correspondance</v>
      </c>
      <c r="J872" t="str">
        <f>_xlfn.XLOOKUP(Logs[[#This Row],[Cell_ID]],'Registre_Maintenance'!B:B,'Registre_Maintenance'!E:E,"Pas de correspondance")</f>
        <v>Pas de correspondance</v>
      </c>
      <c r="K872" t="str">
        <f>_xlfn.XLOOKUP(Logs[[#This Row],[Cell_ID]],'Registre_Maintenance'!B:B,'Registre_Maintenance'!F:F,"Pas de correspondance")</f>
        <v>Pas de correspondance</v>
      </c>
      <c r="L872" t="str">
        <f>_xlfn.XLOOKUP(Logs[[#This Row],[Cell_ID]],'Registre_Maintenance'!B:B,'Registre_Maintenance'!G:G,"Pas de correspondance")</f>
        <v>Pas de correspondance</v>
      </c>
      <c r="M872" s="1" t="s">
        <v>806</v>
      </c>
      <c r="N872" s="1" t="str">
        <f>_xlfn.XLOOKUP(Logs[[#This Row],[ID_Client]],Clients_Log!B:B,Clients_Log!E:E,"Pas de correspondance")</f>
        <v>Pas de correspondance</v>
      </c>
      <c r="O872" s="4" t="str">
        <f>IFERROR(Logs[[#This Row],[Anciennete_Mois]]/12,"")</f>
        <v/>
      </c>
      <c r="P872" s="1" t="str">
        <f>_xlfn.XLOOKUP(Logs[[#This Row],[ID_Client]],Clients_Log!B:B,Clients_Log!F:F,"Pas de correspondance")</f>
        <v>Pas de correspondance</v>
      </c>
      <c r="Q872" s="1" t="str">
        <f>IF(Logs[[#This Row],[Type_Forfait]]="Pro Monde","B2B","B2C")</f>
        <v>B2C</v>
      </c>
      <c r="R872" s="1" t="str">
        <f>_xlfn.XLOOKUP(Logs[[#This Row],[ID_Client]],Clients_Log!B:B,Clients_Log!G:G,"Pas de correspondance")</f>
        <v>Pas de correspondance</v>
      </c>
      <c r="S872" s="1" t="e">
        <f>Logs[[#This Row],[Duree_Cumulee_Panne_Min]]/1440</f>
        <v>#VALUE!</v>
      </c>
      <c r="T872" s="1" t="str">
        <f>_xlfn.XLOOKUP(Logs[[#This Row],[ID_Client]],Clients_Log!B:B,Clients_Log!H:H,"Pas de correspondance")</f>
        <v>Pas de correspondance</v>
      </c>
      <c r="U872" s="1" t="str">
        <f>_xlfn.XLOOKUP(Logs[[#This Row],[ID_Client]],Clients_Log!B:B,Clients_Log!I:I,"Pas de correspondance")</f>
        <v>Pas de correspondance</v>
      </c>
      <c r="V87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72" s="1" t="e">
        <f>Logs[[#This Row],[Facture_Mensuelle]]*Logs[[#This Row],[Remise (%)]]</f>
        <v>#VALUE!</v>
      </c>
    </row>
    <row r="873" spans="1:23" hidden="1" x14ac:dyDescent="0.25">
      <c r="A873" s="1" t="s">
        <v>1384</v>
      </c>
      <c r="B873" s="2">
        <v>45226</v>
      </c>
      <c r="C873" s="1" t="str">
        <f>_xlfn.XLOOKUP(Logs[[#This Row],[Province_RDC]],Clients_Log!D:D,Clients_Log!B:B,"Pas de correspondance")</f>
        <v>Pas de correspondance</v>
      </c>
      <c r="D873" t="str">
        <f>_xlfn.XLOOKUP(Logs[[#This Row],[Cell_ID]],'Registre_Maintenance'!B:B,'Registre_Maintenance'!C:C,"Pas de correspondance")</f>
        <v>Pas de correspondance</v>
      </c>
      <c r="E873" s="3">
        <v>0.63124999999999998</v>
      </c>
      <c r="F873" s="1" t="s">
        <v>1405</v>
      </c>
      <c r="G873" s="3">
        <f>Logs[[#This Row],[Duree_Panne_Min]]/1440</f>
        <v>7.7777777777777779E-2</v>
      </c>
      <c r="H873">
        <v>112</v>
      </c>
      <c r="I873" t="str">
        <f>_xlfn.XLOOKUP(Logs[[#This Row],[Cell_ID]],'Registre_Maintenance'!B:B,'Registre_Maintenance'!D:D,"Pas de correspondance")</f>
        <v>Pas de correspondance</v>
      </c>
      <c r="J873" t="str">
        <f>_xlfn.XLOOKUP(Logs[[#This Row],[Cell_ID]],'Registre_Maintenance'!B:B,'Registre_Maintenance'!E:E,"Pas de correspondance")</f>
        <v>Pas de correspondance</v>
      </c>
      <c r="K873" t="str">
        <f>_xlfn.XLOOKUP(Logs[[#This Row],[Cell_ID]],'Registre_Maintenance'!B:B,'Registre_Maintenance'!F:F,"Pas de correspondance")</f>
        <v>Pas de correspondance</v>
      </c>
      <c r="L873" t="str">
        <f>_xlfn.XLOOKUP(Logs[[#This Row],[Cell_ID]],'Registre_Maintenance'!B:B,'Registre_Maintenance'!G:G,"Pas de correspondance")</f>
        <v>Pas de correspondance</v>
      </c>
      <c r="M873" s="1" t="s">
        <v>809</v>
      </c>
      <c r="N873" s="1" t="str">
        <f>_xlfn.XLOOKUP(Logs[[#This Row],[ID_Client]],Clients_Log!B:B,Clients_Log!E:E,"Pas de correspondance")</f>
        <v>Pas de correspondance</v>
      </c>
      <c r="O873" s="4" t="str">
        <f>IFERROR(Logs[[#This Row],[Anciennete_Mois]]/12,"")</f>
        <v/>
      </c>
      <c r="P873" s="1" t="str">
        <f>_xlfn.XLOOKUP(Logs[[#This Row],[ID_Client]],Clients_Log!B:B,Clients_Log!F:F,"Pas de correspondance")</f>
        <v>Pas de correspondance</v>
      </c>
      <c r="Q873" s="1" t="str">
        <f>IF(Logs[[#This Row],[Type_Forfait]]="Pro Monde","B2B","B2C")</f>
        <v>B2C</v>
      </c>
      <c r="R873" s="1" t="str">
        <f>_xlfn.XLOOKUP(Logs[[#This Row],[ID_Client]],Clients_Log!B:B,Clients_Log!G:G,"Pas de correspondance")</f>
        <v>Pas de correspondance</v>
      </c>
      <c r="S873" s="1" t="e">
        <f>Logs[[#This Row],[Duree_Cumulee_Panne_Min]]/1440</f>
        <v>#VALUE!</v>
      </c>
      <c r="T873" s="1" t="str">
        <f>_xlfn.XLOOKUP(Logs[[#This Row],[ID_Client]],Clients_Log!B:B,Clients_Log!H:H,"Pas de correspondance")</f>
        <v>Pas de correspondance</v>
      </c>
      <c r="U873" s="1" t="str">
        <f>_xlfn.XLOOKUP(Logs[[#This Row],[ID_Client]],Clients_Log!B:B,Clients_Log!I:I,"Pas de correspondance")</f>
        <v>Pas de correspondance</v>
      </c>
      <c r="V87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73" s="1" t="e">
        <f>Logs[[#This Row],[Facture_Mensuelle]]*Logs[[#This Row],[Remise (%)]]</f>
        <v>#VALUE!</v>
      </c>
    </row>
    <row r="874" spans="1:23" x14ac:dyDescent="0.25">
      <c r="A874" s="1" t="s">
        <v>1406</v>
      </c>
      <c r="B874" s="2">
        <v>45208</v>
      </c>
      <c r="C874" s="1" t="str">
        <f>_xlfn.XLOOKUP(Logs[[#This Row],[Province_RDC]],Clients_Log!D:D,Clients_Log!B:B,"Pas de correspondance")</f>
        <v>CLI-01005</v>
      </c>
      <c r="D874" t="str">
        <f>_xlfn.XLOOKUP(Logs[[#This Row],[Cell_ID]],'Registre_Maintenance'!B:B,'Registre_Maintenance'!C:C,"Pas de correspondance")</f>
        <v>Lualaba</v>
      </c>
      <c r="E874" s="3">
        <v>0.52847222222222223</v>
      </c>
      <c r="F874" s="1" t="s">
        <v>984</v>
      </c>
      <c r="G874" s="3">
        <f>Logs[[#This Row],[Duree_Panne_Min]]/1440</f>
        <v>2.2916666666666665E-2</v>
      </c>
      <c r="H874">
        <v>33</v>
      </c>
      <c r="I874">
        <f>_xlfn.XLOOKUP(Logs[[#This Row],[Cell_ID]],'Registre_Maintenance'!B:B,'Registre_Maintenance'!D:D,"Pas de correspondance")</f>
        <v>-10.872631999999999</v>
      </c>
      <c r="J874">
        <f>_xlfn.XLOOKUP(Logs[[#This Row],[Cell_ID]],'Registre_Maintenance'!B:B,'Registre_Maintenance'!E:E,"Pas de correspondance")</f>
        <v>12.773279</v>
      </c>
      <c r="K874" t="str">
        <f>_xlfn.XLOOKUP(Logs[[#This Row],[Cell_ID]],'Registre_Maintenance'!B:B,'Registre_Maintenance'!F:F,"Pas de correspondance")</f>
        <v>3G</v>
      </c>
      <c r="L874" t="str">
        <f>_xlfn.XLOOKUP(Logs[[#This Row],[Cell_ID]],'Registre_Maintenance'!B:B,'Registre_Maintenance'!G:G,"Pas de correspondance")</f>
        <v>ZTE</v>
      </c>
      <c r="M874" s="1" t="s">
        <v>809</v>
      </c>
      <c r="N874" s="1">
        <f>_xlfn.XLOOKUP(Logs[[#This Row],[ID_Client]],Clients_Log!B:B,Clients_Log!E:E,"Pas de correspondance")</f>
        <v>80</v>
      </c>
      <c r="O874" s="4">
        <f>IFERROR(Logs[[#This Row],[Anciennete_Mois]]/12,"")</f>
        <v>6.666666666666667</v>
      </c>
      <c r="P874" s="1" t="str">
        <f>_xlfn.XLOOKUP(Logs[[#This Row],[ID_Client]],Clients_Log!B:B,Clients_Log!F:F,"Pas de correspondance")</f>
        <v>Illimité 50Go</v>
      </c>
      <c r="Q874" s="1" t="str">
        <f>IF(Logs[[#This Row],[Type_Forfait]]="Pro Monde","B2B","B2C")</f>
        <v>B2C</v>
      </c>
      <c r="R874" s="1">
        <f>_xlfn.XLOOKUP(Logs[[#This Row],[ID_Client]],Clients_Log!B:B,Clients_Log!G:G,"Pas de correspondance")</f>
        <v>155</v>
      </c>
      <c r="S874" s="3">
        <f>Logs[[#This Row],[Duree_Cumulee_Panne_Min]]/1440</f>
        <v>0.1076388888888889</v>
      </c>
      <c r="T874" s="1">
        <f>_xlfn.XLOOKUP(Logs[[#This Row],[ID_Client]],Clients_Log!B:B,Clients_Log!H:H,"Pas de correspondance")</f>
        <v>28.96</v>
      </c>
      <c r="U874" s="1">
        <f>_xlfn.XLOOKUP(Logs[[#This Row],[ID_Client]],Clients_Log!B:B,Clients_Log!I:I,"Pas de correspondance")</f>
        <v>2</v>
      </c>
      <c r="V87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874" s="1">
        <f>Logs[[#This Row],[Facture_Mensuelle]]*Logs[[#This Row],[Remise (%)]]</f>
        <v>0</v>
      </c>
    </row>
    <row r="875" spans="1:23" x14ac:dyDescent="0.25">
      <c r="A875" s="1" t="s">
        <v>1406</v>
      </c>
      <c r="B875" s="2">
        <v>45215</v>
      </c>
      <c r="C875" s="1" t="str">
        <f>_xlfn.XLOOKUP(Logs[[#This Row],[Province_RDC]],Clients_Log!D:D,Clients_Log!B:B,"Pas de correspondance")</f>
        <v>CLI-00559</v>
      </c>
      <c r="D875" t="str">
        <f>_xlfn.XLOOKUP(Logs[[#This Row],[Cell_ID]],'Registre_Maintenance'!B:B,'Registre_Maintenance'!C:C,"Pas de correspondance")</f>
        <v>Kasaï</v>
      </c>
      <c r="E875" s="3">
        <v>0.77638888888888891</v>
      </c>
      <c r="F875" s="1" t="s">
        <v>1407</v>
      </c>
      <c r="G875" s="3">
        <f>Logs[[#This Row],[Duree_Panne_Min]]/1440</f>
        <v>6.0416666666666667E-2</v>
      </c>
      <c r="H875">
        <v>87</v>
      </c>
      <c r="I875">
        <f>_xlfn.XLOOKUP(Logs[[#This Row],[Cell_ID]],'Registre_Maintenance'!B:B,'Registre_Maintenance'!D:D,"Pas de correspondance")</f>
        <v>2.5665840000000002</v>
      </c>
      <c r="J875">
        <f>_xlfn.XLOOKUP(Logs[[#This Row],[Cell_ID]],'Registre_Maintenance'!B:B,'Registre_Maintenance'!E:E,"Pas de correspondance")</f>
        <v>15.764796</v>
      </c>
      <c r="K875" t="str">
        <f>_xlfn.XLOOKUP(Logs[[#This Row],[Cell_ID]],'Registre_Maintenance'!B:B,'Registre_Maintenance'!F:F,"Pas de correspondance")</f>
        <v>3G</v>
      </c>
      <c r="L875" t="str">
        <f>_xlfn.XLOOKUP(Logs[[#This Row],[Cell_ID]],'Registre_Maintenance'!B:B,'Registre_Maintenance'!G:G,"Pas de correspondance")</f>
        <v>ZTE</v>
      </c>
      <c r="M875" s="1" t="s">
        <v>811</v>
      </c>
      <c r="N875" s="1">
        <f>_xlfn.XLOOKUP(Logs[[#This Row],[ID_Client]],Clients_Log!B:B,Clients_Log!E:E,"Pas de correspondance")</f>
        <v>99</v>
      </c>
      <c r="O875" s="4">
        <f>IFERROR(Logs[[#This Row],[Anciennete_Mois]]/12,"")</f>
        <v>8.25</v>
      </c>
      <c r="P875" s="1" t="str">
        <f>_xlfn.XLOOKUP(Logs[[#This Row],[ID_Client]],Clients_Log!B:B,Clients_Log!F:F,"Pas de correspondance")</f>
        <v>Bloqué 5Go</v>
      </c>
      <c r="Q875" s="1" t="str">
        <f>IF(Logs[[#This Row],[Type_Forfait]]="Pro Monde","B2B","B2C")</f>
        <v>B2C</v>
      </c>
      <c r="R875" s="1">
        <f>_xlfn.XLOOKUP(Logs[[#This Row],[ID_Client]],Clients_Log!B:B,Clients_Log!G:G,"Pas de correspondance")</f>
        <v>369</v>
      </c>
      <c r="S875" s="3">
        <f>Logs[[#This Row],[Duree_Cumulee_Panne_Min]]/1440</f>
        <v>0.25624999999999998</v>
      </c>
      <c r="T875" s="1">
        <f>_xlfn.XLOOKUP(Logs[[#This Row],[ID_Client]],Clients_Log!B:B,Clients_Log!H:H,"Pas de correspondance")</f>
        <v>67.209999999999994</v>
      </c>
      <c r="U875" s="1">
        <f>_xlfn.XLOOKUP(Logs[[#This Row],[ID_Client]],Clients_Log!B:B,Clients_Log!I:I,"Pas de correspondance")</f>
        <v>3</v>
      </c>
      <c r="V87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75" s="1">
        <f>Logs[[#This Row],[Facture_Mensuelle]]*Logs[[#This Row],[Remise (%)]]</f>
        <v>30.244499999999999</v>
      </c>
    </row>
    <row r="876" spans="1:23" x14ac:dyDescent="0.25">
      <c r="A876" s="1" t="s">
        <v>1406</v>
      </c>
      <c r="B876" s="2">
        <v>45215</v>
      </c>
      <c r="C876" s="1" t="str">
        <f>_xlfn.XLOOKUP(Logs[[#This Row],[Province_RDC]],Clients_Log!D:D,Clients_Log!B:B,"Pas de correspondance")</f>
        <v>CLI-00185</v>
      </c>
      <c r="D876" t="str">
        <f>_xlfn.XLOOKUP(Logs[[#This Row],[Cell_ID]],'Registre_Maintenance'!B:B,'Registre_Maintenance'!C:C,"Pas de correspondance")</f>
        <v>Maniema</v>
      </c>
      <c r="E876" s="3">
        <v>4.9305555555555554E-2</v>
      </c>
      <c r="F876" s="1" t="s">
        <v>1260</v>
      </c>
      <c r="G876" s="3">
        <f>Logs[[#This Row],[Duree_Panne_Min]]/1440</f>
        <v>2.2916666666666665E-2</v>
      </c>
      <c r="H876">
        <v>33</v>
      </c>
      <c r="I876">
        <f>_xlfn.XLOOKUP(Logs[[#This Row],[Cell_ID]],'Registre_Maintenance'!B:B,'Registre_Maintenance'!D:D,"Pas de correspondance")</f>
        <v>2.5458379999999998</v>
      </c>
      <c r="J876">
        <f>_xlfn.XLOOKUP(Logs[[#This Row],[Cell_ID]],'Registre_Maintenance'!B:B,'Registre_Maintenance'!E:E,"Pas de correspondance")</f>
        <v>13.308655</v>
      </c>
      <c r="K876" t="str">
        <f>_xlfn.XLOOKUP(Logs[[#This Row],[Cell_ID]],'Registre_Maintenance'!B:B,'Registre_Maintenance'!F:F,"Pas de correspondance")</f>
        <v>5G</v>
      </c>
      <c r="L876" t="str">
        <f>_xlfn.XLOOKUP(Logs[[#This Row],[Cell_ID]],'Registre_Maintenance'!B:B,'Registre_Maintenance'!G:G,"Pas de correspondance")</f>
        <v>ZTE</v>
      </c>
      <c r="M876" s="1" t="s">
        <v>809</v>
      </c>
      <c r="N876" s="1">
        <f>_xlfn.XLOOKUP(Logs[[#This Row],[ID_Client]],Clients_Log!B:B,Clients_Log!E:E,"Pas de correspondance")</f>
        <v>81</v>
      </c>
      <c r="O876" s="4">
        <f>IFERROR(Logs[[#This Row],[Anciennete_Mois]]/12,"")</f>
        <v>6.75</v>
      </c>
      <c r="P876" s="1" t="str">
        <f>_xlfn.XLOOKUP(Logs[[#This Row],[ID_Client]],Clients_Log!B:B,Clients_Log!F:F,"Pas de correspondance")</f>
        <v>Pro Monde</v>
      </c>
      <c r="Q876" s="1" t="str">
        <f>IF(Logs[[#This Row],[Type_Forfait]]="Pro Monde","B2B","B2C")</f>
        <v>B2B</v>
      </c>
      <c r="R876" s="1">
        <f>_xlfn.XLOOKUP(Logs[[#This Row],[ID_Client]],Clients_Log!B:B,Clients_Log!G:G,"Pas de correspondance")</f>
        <v>154</v>
      </c>
      <c r="S876" s="3">
        <f>Logs[[#This Row],[Duree_Cumulee_Panne_Min]]/1440</f>
        <v>0.10694444444444444</v>
      </c>
      <c r="T876" s="1">
        <f>_xlfn.XLOOKUP(Logs[[#This Row],[ID_Client]],Clients_Log!B:B,Clients_Log!H:H,"Pas de correspondance")</f>
        <v>19.47</v>
      </c>
      <c r="U876" s="1">
        <f>_xlfn.XLOOKUP(Logs[[#This Row],[ID_Client]],Clients_Log!B:B,Clients_Log!I:I,"Pas de correspondance")</f>
        <v>3</v>
      </c>
      <c r="V87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876" s="1">
        <f>Logs[[#This Row],[Facture_Mensuelle]]*Logs[[#This Row],[Remise (%)]]</f>
        <v>1.9470000000000001</v>
      </c>
    </row>
    <row r="877" spans="1:23" hidden="1" x14ac:dyDescent="0.25">
      <c r="A877" s="1" t="s">
        <v>1406</v>
      </c>
      <c r="B877" s="2">
        <v>45208</v>
      </c>
      <c r="C877" s="1" t="str">
        <f>_xlfn.XLOOKUP(Logs[[#This Row],[Province_RDC]],Clients_Log!D:D,Clients_Log!B:B,"Pas de correspondance")</f>
        <v>Pas de correspondance</v>
      </c>
      <c r="D877" t="str">
        <f>_xlfn.XLOOKUP(Logs[[#This Row],[Cell_ID]],'Registre_Maintenance'!B:B,'Registre_Maintenance'!C:C,"Pas de correspondance")</f>
        <v>Pas de correspondance</v>
      </c>
      <c r="E877" s="3">
        <v>0.50624999999999998</v>
      </c>
      <c r="F877" s="1" t="s">
        <v>1408</v>
      </c>
      <c r="G877" s="3">
        <f>Logs[[#This Row],[Duree_Panne_Min]]/1440</f>
        <v>6.3194444444444442E-2</v>
      </c>
      <c r="H877">
        <v>91</v>
      </c>
      <c r="I877" t="str">
        <f>_xlfn.XLOOKUP(Logs[[#This Row],[Cell_ID]],'Registre_Maintenance'!B:B,'Registre_Maintenance'!D:D,"Pas de correspondance")</f>
        <v>Pas de correspondance</v>
      </c>
      <c r="J877" t="str">
        <f>_xlfn.XLOOKUP(Logs[[#This Row],[Cell_ID]],'Registre_Maintenance'!B:B,'Registre_Maintenance'!E:E,"Pas de correspondance")</f>
        <v>Pas de correspondance</v>
      </c>
      <c r="K877" t="str">
        <f>_xlfn.XLOOKUP(Logs[[#This Row],[Cell_ID]],'Registre_Maintenance'!B:B,'Registre_Maintenance'!F:F,"Pas de correspondance")</f>
        <v>Pas de correspondance</v>
      </c>
      <c r="L877" t="str">
        <f>_xlfn.XLOOKUP(Logs[[#This Row],[Cell_ID]],'Registre_Maintenance'!B:B,'Registre_Maintenance'!G:G,"Pas de correspondance")</f>
        <v>Pas de correspondance</v>
      </c>
      <c r="M877" s="1" t="s">
        <v>811</v>
      </c>
      <c r="N877" s="1" t="str">
        <f>_xlfn.XLOOKUP(Logs[[#This Row],[ID_Client]],Clients_Log!B:B,Clients_Log!E:E,"Pas de correspondance")</f>
        <v>Pas de correspondance</v>
      </c>
      <c r="O877" s="4" t="str">
        <f>IFERROR(Logs[[#This Row],[Anciennete_Mois]]/12,"")</f>
        <v/>
      </c>
      <c r="P877" s="1" t="str">
        <f>_xlfn.XLOOKUP(Logs[[#This Row],[ID_Client]],Clients_Log!B:B,Clients_Log!F:F,"Pas de correspondance")</f>
        <v>Pas de correspondance</v>
      </c>
      <c r="Q877" s="1" t="str">
        <f>IF(Logs[[#This Row],[Type_Forfait]]="Pro Monde","B2B","B2C")</f>
        <v>B2C</v>
      </c>
      <c r="R877" s="1" t="str">
        <f>_xlfn.XLOOKUP(Logs[[#This Row],[ID_Client]],Clients_Log!B:B,Clients_Log!G:G,"Pas de correspondance")</f>
        <v>Pas de correspondance</v>
      </c>
      <c r="S877" s="1" t="e">
        <f>Logs[[#This Row],[Duree_Cumulee_Panne_Min]]/1440</f>
        <v>#VALUE!</v>
      </c>
      <c r="T877" s="1" t="str">
        <f>_xlfn.XLOOKUP(Logs[[#This Row],[ID_Client]],Clients_Log!B:B,Clients_Log!H:H,"Pas de correspondance")</f>
        <v>Pas de correspondance</v>
      </c>
      <c r="U877" s="1" t="str">
        <f>_xlfn.XLOOKUP(Logs[[#This Row],[ID_Client]],Clients_Log!B:B,Clients_Log!I:I,"Pas de correspondance")</f>
        <v>Pas de correspondance</v>
      </c>
      <c r="V87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77" s="1" t="e">
        <f>Logs[[#This Row],[Facture_Mensuelle]]*Logs[[#This Row],[Remise (%)]]</f>
        <v>#VALUE!</v>
      </c>
    </row>
    <row r="878" spans="1:23" hidden="1" x14ac:dyDescent="0.25">
      <c r="A878" s="1" t="s">
        <v>1406</v>
      </c>
      <c r="B878" s="2">
        <v>45219</v>
      </c>
      <c r="C878" s="1" t="str">
        <f>_xlfn.XLOOKUP(Logs[[#This Row],[Province_RDC]],Clients_Log!D:D,Clients_Log!B:B,"Pas de correspondance")</f>
        <v>Pas de correspondance</v>
      </c>
      <c r="D878" t="str">
        <f>_xlfn.XLOOKUP(Logs[[#This Row],[Cell_ID]],'Registre_Maintenance'!B:B,'Registre_Maintenance'!C:C,"Pas de correspondance")</f>
        <v>Pas de correspondance</v>
      </c>
      <c r="E878" s="3">
        <v>0.82152777777777775</v>
      </c>
      <c r="F878" s="1" t="s">
        <v>1311</v>
      </c>
      <c r="G878" s="3">
        <f>Logs[[#This Row],[Duree_Panne_Min]]/1440</f>
        <v>2.1527777777777778E-2</v>
      </c>
      <c r="H878">
        <v>31</v>
      </c>
      <c r="I878" t="str">
        <f>_xlfn.XLOOKUP(Logs[[#This Row],[Cell_ID]],'Registre_Maintenance'!B:B,'Registre_Maintenance'!D:D,"Pas de correspondance")</f>
        <v>Pas de correspondance</v>
      </c>
      <c r="J878" t="str">
        <f>_xlfn.XLOOKUP(Logs[[#This Row],[Cell_ID]],'Registre_Maintenance'!B:B,'Registre_Maintenance'!E:E,"Pas de correspondance")</f>
        <v>Pas de correspondance</v>
      </c>
      <c r="K878" t="str">
        <f>_xlfn.XLOOKUP(Logs[[#This Row],[Cell_ID]],'Registre_Maintenance'!B:B,'Registre_Maintenance'!F:F,"Pas de correspondance")</f>
        <v>Pas de correspondance</v>
      </c>
      <c r="L878" t="str">
        <f>_xlfn.XLOOKUP(Logs[[#This Row],[Cell_ID]],'Registre_Maintenance'!B:B,'Registre_Maintenance'!G:G,"Pas de correspondance")</f>
        <v>Pas de correspondance</v>
      </c>
      <c r="M878" s="1" t="s">
        <v>809</v>
      </c>
      <c r="N878" s="1" t="str">
        <f>_xlfn.XLOOKUP(Logs[[#This Row],[ID_Client]],Clients_Log!B:B,Clients_Log!E:E,"Pas de correspondance")</f>
        <v>Pas de correspondance</v>
      </c>
      <c r="O878" s="4" t="str">
        <f>IFERROR(Logs[[#This Row],[Anciennete_Mois]]/12,"")</f>
        <v/>
      </c>
      <c r="P878" s="1" t="str">
        <f>_xlfn.XLOOKUP(Logs[[#This Row],[ID_Client]],Clients_Log!B:B,Clients_Log!F:F,"Pas de correspondance")</f>
        <v>Pas de correspondance</v>
      </c>
      <c r="Q878" s="1" t="str">
        <f>IF(Logs[[#This Row],[Type_Forfait]]="Pro Monde","B2B","B2C")</f>
        <v>B2C</v>
      </c>
      <c r="R878" s="1" t="str">
        <f>_xlfn.XLOOKUP(Logs[[#This Row],[ID_Client]],Clients_Log!B:B,Clients_Log!G:G,"Pas de correspondance")</f>
        <v>Pas de correspondance</v>
      </c>
      <c r="S878" s="1" t="e">
        <f>Logs[[#This Row],[Duree_Cumulee_Panne_Min]]/1440</f>
        <v>#VALUE!</v>
      </c>
      <c r="T878" s="1" t="str">
        <f>_xlfn.XLOOKUP(Logs[[#This Row],[ID_Client]],Clients_Log!B:B,Clients_Log!H:H,"Pas de correspondance")</f>
        <v>Pas de correspondance</v>
      </c>
      <c r="U878" s="1" t="str">
        <f>_xlfn.XLOOKUP(Logs[[#This Row],[ID_Client]],Clients_Log!B:B,Clients_Log!I:I,"Pas de correspondance")</f>
        <v>Pas de correspondance</v>
      </c>
      <c r="V87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78" s="1" t="e">
        <f>Logs[[#This Row],[Facture_Mensuelle]]*Logs[[#This Row],[Remise (%)]]</f>
        <v>#VALUE!</v>
      </c>
    </row>
    <row r="879" spans="1:23" x14ac:dyDescent="0.25">
      <c r="A879" s="1" t="s">
        <v>1406</v>
      </c>
      <c r="B879" s="2">
        <v>45222</v>
      </c>
      <c r="C879" s="1" t="str">
        <f>_xlfn.XLOOKUP(Logs[[#This Row],[Province_RDC]],Clients_Log!D:D,Clients_Log!B:B,"Pas de correspondance")</f>
        <v>CLI-01325</v>
      </c>
      <c r="D879" t="str">
        <f>_xlfn.XLOOKUP(Logs[[#This Row],[Cell_ID]],'Registre_Maintenance'!B:B,'Registre_Maintenance'!C:C,"Pas de correspondance")</f>
        <v>Haut-Lomami</v>
      </c>
      <c r="E879" s="3">
        <v>0.50138888888888888</v>
      </c>
      <c r="F879" s="1" t="s">
        <v>1409</v>
      </c>
      <c r="G879" s="3">
        <f>Logs[[#This Row],[Duree_Panne_Min]]/1440</f>
        <v>2.7083333333333334E-2</v>
      </c>
      <c r="H879">
        <v>39</v>
      </c>
      <c r="I879">
        <f>_xlfn.XLOOKUP(Logs[[#This Row],[Cell_ID]],'Registre_Maintenance'!B:B,'Registre_Maintenance'!D:D,"Pas de correspondance")</f>
        <v>-11.89448</v>
      </c>
      <c r="J879">
        <f>_xlfn.XLOOKUP(Logs[[#This Row],[Cell_ID]],'Registre_Maintenance'!B:B,'Registre_Maintenance'!E:E,"Pas de correspondance")</f>
        <v>19.216214999999998</v>
      </c>
      <c r="K879" t="str">
        <f>_xlfn.XLOOKUP(Logs[[#This Row],[Cell_ID]],'Registre_Maintenance'!B:B,'Registre_Maintenance'!F:F,"Pas de correspondance")</f>
        <v>3G</v>
      </c>
      <c r="L879" t="str">
        <f>_xlfn.XLOOKUP(Logs[[#This Row],[Cell_ID]],'Registre_Maintenance'!B:B,'Registre_Maintenance'!G:G,"Pas de correspondance")</f>
        <v>ZTE</v>
      </c>
      <c r="M879" s="1" t="s">
        <v>806</v>
      </c>
      <c r="N879" s="1">
        <f>_xlfn.XLOOKUP(Logs[[#This Row],[ID_Client]],Clients_Log!B:B,Clients_Log!E:E,"Pas de correspondance")</f>
        <v>44</v>
      </c>
      <c r="O879" s="4">
        <f>IFERROR(Logs[[#This Row],[Anciennete_Mois]]/12,"")</f>
        <v>3.6666666666666665</v>
      </c>
      <c r="P879" s="1" t="str">
        <f>_xlfn.XLOOKUP(Logs[[#This Row],[ID_Client]],Clients_Log!B:B,Clients_Log!F:F,"Pas de correspondance")</f>
        <v>Bloqué 5Go</v>
      </c>
      <c r="Q879" s="1" t="str">
        <f>IF(Logs[[#This Row],[Type_Forfait]]="Pro Monde","B2B","B2C")</f>
        <v>B2C</v>
      </c>
      <c r="R879" s="1">
        <f>_xlfn.XLOOKUP(Logs[[#This Row],[ID_Client]],Clients_Log!B:B,Clients_Log!G:G,"Pas de correspondance")</f>
        <v>348</v>
      </c>
      <c r="S879" s="3">
        <f>Logs[[#This Row],[Duree_Cumulee_Panne_Min]]/1440</f>
        <v>0.24166666666666667</v>
      </c>
      <c r="T879" s="1">
        <f>_xlfn.XLOOKUP(Logs[[#This Row],[ID_Client]],Clients_Log!B:B,Clients_Log!H:H,"Pas de correspondance")</f>
        <v>58.67</v>
      </c>
      <c r="U879" s="1">
        <f>_xlfn.XLOOKUP(Logs[[#This Row],[ID_Client]],Clients_Log!B:B,Clients_Log!I:I,"Pas de correspondance")</f>
        <v>0</v>
      </c>
      <c r="V87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79" s="1">
        <f>Logs[[#This Row],[Facture_Mensuelle]]*Logs[[#This Row],[Remise (%)]]</f>
        <v>26.401500000000002</v>
      </c>
    </row>
    <row r="880" spans="1:23" x14ac:dyDescent="0.25">
      <c r="A880" s="1" t="s">
        <v>1406</v>
      </c>
      <c r="B880" s="2">
        <v>45212</v>
      </c>
      <c r="C880" s="1" t="str">
        <f>_xlfn.XLOOKUP(Logs[[#This Row],[Province_RDC]],Clients_Log!D:D,Clients_Log!B:B,"Pas de correspondance")</f>
        <v>CLI-00996</v>
      </c>
      <c r="D880" t="str">
        <f>_xlfn.XLOOKUP(Logs[[#This Row],[Cell_ID]],'Registre_Maintenance'!B:B,'Registre_Maintenance'!C:C,"Pas de correspondance")</f>
        <v>Kwilu</v>
      </c>
      <c r="E880" s="3">
        <v>0.44722222222222224</v>
      </c>
      <c r="F880" s="1" t="s">
        <v>1302</v>
      </c>
      <c r="G880" s="3">
        <f>Logs[[#This Row],[Duree_Panne_Min]]/1440</f>
        <v>6.1111111111111109E-2</v>
      </c>
      <c r="H880">
        <v>88</v>
      </c>
      <c r="I880">
        <f>_xlfn.XLOOKUP(Logs[[#This Row],[Cell_ID]],'Registre_Maintenance'!B:B,'Registre_Maintenance'!D:D,"Pas de correspondance")</f>
        <v>-7.402336</v>
      </c>
      <c r="J880">
        <f>_xlfn.XLOOKUP(Logs[[#This Row],[Cell_ID]],'Registre_Maintenance'!B:B,'Registre_Maintenance'!E:E,"Pas de correspondance")</f>
        <v>27.376697</v>
      </c>
      <c r="K880" t="str">
        <f>_xlfn.XLOOKUP(Logs[[#This Row],[Cell_ID]],'Registre_Maintenance'!B:B,'Registre_Maintenance'!F:F,"Pas de correspondance")</f>
        <v>4G</v>
      </c>
      <c r="L880" t="str">
        <f>_xlfn.XLOOKUP(Logs[[#This Row],[Cell_ID]],'Registre_Maintenance'!B:B,'Registre_Maintenance'!G:G,"Pas de correspondance")</f>
        <v>Huawei</v>
      </c>
      <c r="M880" s="1" t="s">
        <v>809</v>
      </c>
      <c r="N880" s="1">
        <f>_xlfn.XLOOKUP(Logs[[#This Row],[ID_Client]],Clients_Log!B:B,Clients_Log!E:E,"Pas de correspondance")</f>
        <v>119</v>
      </c>
      <c r="O880" s="4">
        <f>IFERROR(Logs[[#This Row],[Anciennete_Mois]]/12,"")</f>
        <v>9.9166666666666661</v>
      </c>
      <c r="P880" s="1" t="str">
        <f>_xlfn.XLOOKUP(Logs[[#This Row],[ID_Client]],Clients_Log!B:B,Clients_Log!F:F,"Pas de correspondance")</f>
        <v>Illimité 50Go</v>
      </c>
      <c r="Q880" s="1" t="str">
        <f>IF(Logs[[#This Row],[Type_Forfait]]="Pro Monde","B2B","B2C")</f>
        <v>B2C</v>
      </c>
      <c r="R880" s="1">
        <f>_xlfn.XLOOKUP(Logs[[#This Row],[ID_Client]],Clients_Log!B:B,Clients_Log!G:G,"Pas de correspondance")</f>
        <v>228</v>
      </c>
      <c r="S880" s="3">
        <f>Logs[[#This Row],[Duree_Cumulee_Panne_Min]]/1440</f>
        <v>0.15833333333333333</v>
      </c>
      <c r="T880" s="1">
        <f>_xlfn.XLOOKUP(Logs[[#This Row],[ID_Client]],Clients_Log!B:B,Clients_Log!H:H,"Pas de correspondance")</f>
        <v>94.72</v>
      </c>
      <c r="U880" s="1">
        <f>_xlfn.XLOOKUP(Logs[[#This Row],[ID_Client]],Clients_Log!B:B,Clients_Log!I:I,"Pas de correspondance")</f>
        <v>3</v>
      </c>
      <c r="V88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880" s="1">
        <f>Logs[[#This Row],[Facture_Mensuelle]]*Logs[[#This Row],[Remise (%)]]</f>
        <v>0</v>
      </c>
    </row>
    <row r="881" spans="1:23" x14ac:dyDescent="0.25">
      <c r="A881" s="1" t="s">
        <v>1406</v>
      </c>
      <c r="B881" s="2">
        <v>45207</v>
      </c>
      <c r="C881" s="1" t="str">
        <f>_xlfn.XLOOKUP(Logs[[#This Row],[Province_RDC]],Clients_Log!D:D,Clients_Log!B:B,"Pas de correspondance")</f>
        <v>CLI-01233</v>
      </c>
      <c r="D881" t="str">
        <f>_xlfn.XLOOKUP(Logs[[#This Row],[Cell_ID]],'Registre_Maintenance'!B:B,'Registre_Maintenance'!C:C,"Pas de correspondance")</f>
        <v>Kongo-Central</v>
      </c>
      <c r="E881" s="3">
        <v>7.4305555555555555E-2</v>
      </c>
      <c r="F881" s="1" t="s">
        <v>1361</v>
      </c>
      <c r="G881" s="3">
        <f>Logs[[#This Row],[Duree_Panne_Min]]/1440</f>
        <v>3.9583333333333331E-2</v>
      </c>
      <c r="H881">
        <v>57</v>
      </c>
      <c r="I881">
        <f>_xlfn.XLOOKUP(Logs[[#This Row],[Cell_ID]],'Registre_Maintenance'!B:B,'Registre_Maintenance'!D:D,"Pas de correspondance")</f>
        <v>-7.1587569999999996</v>
      </c>
      <c r="J881">
        <f>_xlfn.XLOOKUP(Logs[[#This Row],[Cell_ID]],'Registre_Maintenance'!B:B,'Registre_Maintenance'!E:E,"Pas de correspondance")</f>
        <v>18.975141000000001</v>
      </c>
      <c r="K881" t="str">
        <f>_xlfn.XLOOKUP(Logs[[#This Row],[Cell_ID]],'Registre_Maintenance'!B:B,'Registre_Maintenance'!F:F,"Pas de correspondance")</f>
        <v>5G</v>
      </c>
      <c r="L881" t="str">
        <f>_xlfn.XLOOKUP(Logs[[#This Row],[Cell_ID]],'Registre_Maintenance'!B:B,'Registre_Maintenance'!G:G,"Pas de correspondance")</f>
        <v>Ericsson</v>
      </c>
      <c r="M881" s="1" t="s">
        <v>806</v>
      </c>
      <c r="N881" s="1">
        <f>_xlfn.XLOOKUP(Logs[[#This Row],[ID_Client]],Clients_Log!B:B,Clients_Log!E:E,"Pas de correspondance")</f>
        <v>101</v>
      </c>
      <c r="O881" s="4">
        <f>IFERROR(Logs[[#This Row],[Anciennete_Mois]]/12,"")</f>
        <v>8.4166666666666661</v>
      </c>
      <c r="P881" s="1" t="str">
        <f>_xlfn.XLOOKUP(Logs[[#This Row],[ID_Client]],Clients_Log!B:B,Clients_Log!F:F,"Pas de correspondance")</f>
        <v>Pro Monde</v>
      </c>
      <c r="Q881" s="1" t="str">
        <f>IF(Logs[[#This Row],[Type_Forfait]]="Pro Monde","B2B","B2C")</f>
        <v>B2B</v>
      </c>
      <c r="R881" s="1">
        <f>_xlfn.XLOOKUP(Logs[[#This Row],[ID_Client]],Clients_Log!B:B,Clients_Log!G:G,"Pas de correspondance")</f>
        <v>333</v>
      </c>
      <c r="S881" s="3">
        <f>Logs[[#This Row],[Duree_Cumulee_Panne_Min]]/1440</f>
        <v>0.23125000000000001</v>
      </c>
      <c r="T881" s="1">
        <f>_xlfn.XLOOKUP(Logs[[#This Row],[ID_Client]],Clients_Log!B:B,Clients_Log!H:H,"Pas de correspondance")</f>
        <v>74.319999999999993</v>
      </c>
      <c r="U881" s="1">
        <f>_xlfn.XLOOKUP(Logs[[#This Row],[ID_Client]],Clients_Log!B:B,Clients_Log!I:I,"Pas de correspondance")</f>
        <v>1</v>
      </c>
      <c r="V88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81" s="1">
        <f>Logs[[#This Row],[Facture_Mensuelle]]*Logs[[#This Row],[Remise (%)]]</f>
        <v>33.443999999999996</v>
      </c>
    </row>
    <row r="882" spans="1:23" x14ac:dyDescent="0.25">
      <c r="A882" s="1" t="s">
        <v>1406</v>
      </c>
      <c r="B882" s="2">
        <v>45215</v>
      </c>
      <c r="C882" s="1" t="str">
        <f>_xlfn.XLOOKUP(Logs[[#This Row],[Province_RDC]],Clients_Log!D:D,Clients_Log!B:B,"Pas de correspondance")</f>
        <v>CLI-01233</v>
      </c>
      <c r="D882" t="str">
        <f>_xlfn.XLOOKUP(Logs[[#This Row],[Cell_ID]],'Registre_Maintenance'!B:B,'Registre_Maintenance'!C:C,"Pas de correspondance")</f>
        <v>Kongo-Central</v>
      </c>
      <c r="E882" s="3">
        <v>0.37291666666666667</v>
      </c>
      <c r="F882" s="1" t="s">
        <v>1077</v>
      </c>
      <c r="G882" s="3">
        <f>Logs[[#This Row],[Duree_Panne_Min]]/1440</f>
        <v>4.8611111111111112E-2</v>
      </c>
      <c r="H882">
        <v>70</v>
      </c>
      <c r="I882">
        <f>_xlfn.XLOOKUP(Logs[[#This Row],[Cell_ID]],'Registre_Maintenance'!B:B,'Registre_Maintenance'!D:D,"Pas de correspondance")</f>
        <v>-12.112399999999999</v>
      </c>
      <c r="J882">
        <f>_xlfn.XLOOKUP(Logs[[#This Row],[Cell_ID]],'Registre_Maintenance'!B:B,'Registre_Maintenance'!E:E,"Pas de correspondance")</f>
        <v>15.872226</v>
      </c>
      <c r="K882" t="str">
        <f>_xlfn.XLOOKUP(Logs[[#This Row],[Cell_ID]],'Registre_Maintenance'!B:B,'Registre_Maintenance'!F:F,"Pas de correspondance")</f>
        <v>4G</v>
      </c>
      <c r="L882" t="str">
        <f>_xlfn.XLOOKUP(Logs[[#This Row],[Cell_ID]],'Registre_Maintenance'!B:B,'Registre_Maintenance'!G:G,"Pas de correspondance")</f>
        <v>Nokia</v>
      </c>
      <c r="M882" s="1" t="s">
        <v>809</v>
      </c>
      <c r="N882" s="1">
        <f>_xlfn.XLOOKUP(Logs[[#This Row],[ID_Client]],Clients_Log!B:B,Clients_Log!E:E,"Pas de correspondance")</f>
        <v>101</v>
      </c>
      <c r="O882" s="4">
        <f>IFERROR(Logs[[#This Row],[Anciennete_Mois]]/12,"")</f>
        <v>8.4166666666666661</v>
      </c>
      <c r="P882" s="1" t="str">
        <f>_xlfn.XLOOKUP(Logs[[#This Row],[ID_Client]],Clients_Log!B:B,Clients_Log!F:F,"Pas de correspondance")</f>
        <v>Pro Monde</v>
      </c>
      <c r="Q882" s="1" t="str">
        <f>IF(Logs[[#This Row],[Type_Forfait]]="Pro Monde","B2B","B2C")</f>
        <v>B2B</v>
      </c>
      <c r="R882" s="1">
        <f>_xlfn.XLOOKUP(Logs[[#This Row],[ID_Client]],Clients_Log!B:B,Clients_Log!G:G,"Pas de correspondance")</f>
        <v>333</v>
      </c>
      <c r="S882" s="3">
        <f>Logs[[#This Row],[Duree_Cumulee_Panne_Min]]/1440</f>
        <v>0.23125000000000001</v>
      </c>
      <c r="T882" s="1">
        <f>_xlfn.XLOOKUP(Logs[[#This Row],[ID_Client]],Clients_Log!B:B,Clients_Log!H:H,"Pas de correspondance")</f>
        <v>74.319999999999993</v>
      </c>
      <c r="U882" s="1">
        <f>_xlfn.XLOOKUP(Logs[[#This Row],[ID_Client]],Clients_Log!B:B,Clients_Log!I:I,"Pas de correspondance")</f>
        <v>1</v>
      </c>
      <c r="V88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82" s="1">
        <f>Logs[[#This Row],[Facture_Mensuelle]]*Logs[[#This Row],[Remise (%)]]</f>
        <v>33.443999999999996</v>
      </c>
    </row>
    <row r="883" spans="1:23" hidden="1" x14ac:dyDescent="0.25">
      <c r="A883" s="1" t="s">
        <v>1406</v>
      </c>
      <c r="B883" s="2">
        <v>45211</v>
      </c>
      <c r="C883" s="1" t="str">
        <f>_xlfn.XLOOKUP(Logs[[#This Row],[Province_RDC]],Clients_Log!D:D,Clients_Log!B:B,"Pas de correspondance")</f>
        <v>Pas de correspondance</v>
      </c>
      <c r="D883" t="str">
        <f>_xlfn.XLOOKUP(Logs[[#This Row],[Cell_ID]],'Registre_Maintenance'!B:B,'Registre_Maintenance'!C:C,"Pas de correspondance")</f>
        <v>Pas de correspondance</v>
      </c>
      <c r="E883" s="3">
        <v>1.4583333333333334E-2</v>
      </c>
      <c r="F883" s="1" t="s">
        <v>1410</v>
      </c>
      <c r="G883" s="3">
        <f>Logs[[#This Row],[Duree_Panne_Min]]/1440</f>
        <v>4.8611111111111112E-3</v>
      </c>
      <c r="H883">
        <v>7</v>
      </c>
      <c r="I883" t="str">
        <f>_xlfn.XLOOKUP(Logs[[#This Row],[Cell_ID]],'Registre_Maintenance'!B:B,'Registre_Maintenance'!D:D,"Pas de correspondance")</f>
        <v>Pas de correspondance</v>
      </c>
      <c r="J883" t="str">
        <f>_xlfn.XLOOKUP(Logs[[#This Row],[Cell_ID]],'Registre_Maintenance'!B:B,'Registre_Maintenance'!E:E,"Pas de correspondance")</f>
        <v>Pas de correspondance</v>
      </c>
      <c r="K883" t="str">
        <f>_xlfn.XLOOKUP(Logs[[#This Row],[Cell_ID]],'Registre_Maintenance'!B:B,'Registre_Maintenance'!F:F,"Pas de correspondance")</f>
        <v>Pas de correspondance</v>
      </c>
      <c r="L883" t="str">
        <f>_xlfn.XLOOKUP(Logs[[#This Row],[Cell_ID]],'Registre_Maintenance'!B:B,'Registre_Maintenance'!G:G,"Pas de correspondance")</f>
        <v>Pas de correspondance</v>
      </c>
      <c r="M883" s="1" t="s">
        <v>811</v>
      </c>
      <c r="N883" s="1" t="str">
        <f>_xlfn.XLOOKUP(Logs[[#This Row],[ID_Client]],Clients_Log!B:B,Clients_Log!E:E,"Pas de correspondance")</f>
        <v>Pas de correspondance</v>
      </c>
      <c r="O883" s="4" t="str">
        <f>IFERROR(Logs[[#This Row],[Anciennete_Mois]]/12,"")</f>
        <v/>
      </c>
      <c r="P883" s="1" t="str">
        <f>_xlfn.XLOOKUP(Logs[[#This Row],[ID_Client]],Clients_Log!B:B,Clients_Log!F:F,"Pas de correspondance")</f>
        <v>Pas de correspondance</v>
      </c>
      <c r="Q883" s="1" t="str">
        <f>IF(Logs[[#This Row],[Type_Forfait]]="Pro Monde","B2B","B2C")</f>
        <v>B2C</v>
      </c>
      <c r="R883" s="1" t="str">
        <f>_xlfn.XLOOKUP(Logs[[#This Row],[ID_Client]],Clients_Log!B:B,Clients_Log!G:G,"Pas de correspondance")</f>
        <v>Pas de correspondance</v>
      </c>
      <c r="S883" s="1" t="e">
        <f>Logs[[#This Row],[Duree_Cumulee_Panne_Min]]/1440</f>
        <v>#VALUE!</v>
      </c>
      <c r="T883" s="1" t="str">
        <f>_xlfn.XLOOKUP(Logs[[#This Row],[ID_Client]],Clients_Log!B:B,Clients_Log!H:H,"Pas de correspondance")</f>
        <v>Pas de correspondance</v>
      </c>
      <c r="U883" s="1" t="str">
        <f>_xlfn.XLOOKUP(Logs[[#This Row],[ID_Client]],Clients_Log!B:B,Clients_Log!I:I,"Pas de correspondance")</f>
        <v>Pas de correspondance</v>
      </c>
      <c r="V88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83" s="1" t="e">
        <f>Logs[[#This Row],[Facture_Mensuelle]]*Logs[[#This Row],[Remise (%)]]</f>
        <v>#VALUE!</v>
      </c>
    </row>
    <row r="884" spans="1:23" hidden="1" x14ac:dyDescent="0.25">
      <c r="A884" s="1" t="s">
        <v>1406</v>
      </c>
      <c r="B884" s="2">
        <v>45226</v>
      </c>
      <c r="C884" s="1" t="str">
        <f>_xlfn.XLOOKUP(Logs[[#This Row],[Province_RDC]],Clients_Log!D:D,Clients_Log!B:B,"Pas de correspondance")</f>
        <v>Pas de correspondance</v>
      </c>
      <c r="D884" t="str">
        <f>_xlfn.XLOOKUP(Logs[[#This Row],[Cell_ID]],'Registre_Maintenance'!B:B,'Registre_Maintenance'!C:C,"Pas de correspondance")</f>
        <v>Pas de correspondance</v>
      </c>
      <c r="E884" s="3">
        <v>0.38819444444444445</v>
      </c>
      <c r="F884" s="1" t="s">
        <v>1411</v>
      </c>
      <c r="G884" s="3">
        <f>Logs[[#This Row],[Duree_Panne_Min]]/1440</f>
        <v>7.9861111111111105E-2</v>
      </c>
      <c r="H884">
        <v>115</v>
      </c>
      <c r="I884" t="str">
        <f>_xlfn.XLOOKUP(Logs[[#This Row],[Cell_ID]],'Registre_Maintenance'!B:B,'Registre_Maintenance'!D:D,"Pas de correspondance")</f>
        <v>Pas de correspondance</v>
      </c>
      <c r="J884" t="str">
        <f>_xlfn.XLOOKUP(Logs[[#This Row],[Cell_ID]],'Registre_Maintenance'!B:B,'Registre_Maintenance'!E:E,"Pas de correspondance")</f>
        <v>Pas de correspondance</v>
      </c>
      <c r="K884" t="str">
        <f>_xlfn.XLOOKUP(Logs[[#This Row],[Cell_ID]],'Registre_Maintenance'!B:B,'Registre_Maintenance'!F:F,"Pas de correspondance")</f>
        <v>Pas de correspondance</v>
      </c>
      <c r="L884" t="str">
        <f>_xlfn.XLOOKUP(Logs[[#This Row],[Cell_ID]],'Registre_Maintenance'!B:B,'Registre_Maintenance'!G:G,"Pas de correspondance")</f>
        <v>Pas de correspondance</v>
      </c>
      <c r="M884" s="1" t="s">
        <v>811</v>
      </c>
      <c r="N884" s="1" t="str">
        <f>_xlfn.XLOOKUP(Logs[[#This Row],[ID_Client]],Clients_Log!B:B,Clients_Log!E:E,"Pas de correspondance")</f>
        <v>Pas de correspondance</v>
      </c>
      <c r="O884" s="4" t="str">
        <f>IFERROR(Logs[[#This Row],[Anciennete_Mois]]/12,"")</f>
        <v/>
      </c>
      <c r="P884" s="1" t="str">
        <f>_xlfn.XLOOKUP(Logs[[#This Row],[ID_Client]],Clients_Log!B:B,Clients_Log!F:F,"Pas de correspondance")</f>
        <v>Pas de correspondance</v>
      </c>
      <c r="Q884" s="1" t="str">
        <f>IF(Logs[[#This Row],[Type_Forfait]]="Pro Monde","B2B","B2C")</f>
        <v>B2C</v>
      </c>
      <c r="R884" s="1" t="str">
        <f>_xlfn.XLOOKUP(Logs[[#This Row],[ID_Client]],Clients_Log!B:B,Clients_Log!G:G,"Pas de correspondance")</f>
        <v>Pas de correspondance</v>
      </c>
      <c r="S884" s="1" t="e">
        <f>Logs[[#This Row],[Duree_Cumulee_Panne_Min]]/1440</f>
        <v>#VALUE!</v>
      </c>
      <c r="T884" s="1" t="str">
        <f>_xlfn.XLOOKUP(Logs[[#This Row],[ID_Client]],Clients_Log!B:B,Clients_Log!H:H,"Pas de correspondance")</f>
        <v>Pas de correspondance</v>
      </c>
      <c r="U884" s="1" t="str">
        <f>_xlfn.XLOOKUP(Logs[[#This Row],[ID_Client]],Clients_Log!B:B,Clients_Log!I:I,"Pas de correspondance")</f>
        <v>Pas de correspondance</v>
      </c>
      <c r="V88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84" s="1" t="e">
        <f>Logs[[#This Row],[Facture_Mensuelle]]*Logs[[#This Row],[Remise (%)]]</f>
        <v>#VALUE!</v>
      </c>
    </row>
    <row r="885" spans="1:23" hidden="1" x14ac:dyDescent="0.25">
      <c r="A885" s="1" t="s">
        <v>1406</v>
      </c>
      <c r="B885" s="2">
        <v>45208</v>
      </c>
      <c r="C885" s="1" t="str">
        <f>_xlfn.XLOOKUP(Logs[[#This Row],[Province_RDC]],Clients_Log!D:D,Clients_Log!B:B,"Pas de correspondance")</f>
        <v>Pas de correspondance</v>
      </c>
      <c r="D885" t="str">
        <f>_xlfn.XLOOKUP(Logs[[#This Row],[Cell_ID]],'Registre_Maintenance'!B:B,'Registre_Maintenance'!C:C,"Pas de correspondance")</f>
        <v>Pas de correspondance</v>
      </c>
      <c r="E885" s="3">
        <v>0.66249999999999998</v>
      </c>
      <c r="F885" s="1" t="s">
        <v>1412</v>
      </c>
      <c r="G885" s="3">
        <f>Logs[[#This Row],[Duree_Panne_Min]]/1440</f>
        <v>7.2222222222222215E-2</v>
      </c>
      <c r="H885">
        <v>104</v>
      </c>
      <c r="I885" t="str">
        <f>_xlfn.XLOOKUP(Logs[[#This Row],[Cell_ID]],'Registre_Maintenance'!B:B,'Registre_Maintenance'!D:D,"Pas de correspondance")</f>
        <v>Pas de correspondance</v>
      </c>
      <c r="J885" t="str">
        <f>_xlfn.XLOOKUP(Logs[[#This Row],[Cell_ID]],'Registre_Maintenance'!B:B,'Registre_Maintenance'!E:E,"Pas de correspondance")</f>
        <v>Pas de correspondance</v>
      </c>
      <c r="K885" t="str">
        <f>_xlfn.XLOOKUP(Logs[[#This Row],[Cell_ID]],'Registre_Maintenance'!B:B,'Registre_Maintenance'!F:F,"Pas de correspondance")</f>
        <v>Pas de correspondance</v>
      </c>
      <c r="L885" t="str">
        <f>_xlfn.XLOOKUP(Logs[[#This Row],[Cell_ID]],'Registre_Maintenance'!B:B,'Registre_Maintenance'!G:G,"Pas de correspondance")</f>
        <v>Pas de correspondance</v>
      </c>
      <c r="M885" s="1" t="s">
        <v>811</v>
      </c>
      <c r="N885" s="1" t="str">
        <f>_xlfn.XLOOKUP(Logs[[#This Row],[ID_Client]],Clients_Log!B:B,Clients_Log!E:E,"Pas de correspondance")</f>
        <v>Pas de correspondance</v>
      </c>
      <c r="O885" s="4" t="str">
        <f>IFERROR(Logs[[#This Row],[Anciennete_Mois]]/12,"")</f>
        <v/>
      </c>
      <c r="P885" s="1" t="str">
        <f>_xlfn.XLOOKUP(Logs[[#This Row],[ID_Client]],Clients_Log!B:B,Clients_Log!F:F,"Pas de correspondance")</f>
        <v>Pas de correspondance</v>
      </c>
      <c r="Q885" s="1" t="str">
        <f>IF(Logs[[#This Row],[Type_Forfait]]="Pro Monde","B2B","B2C")</f>
        <v>B2C</v>
      </c>
      <c r="R885" s="1" t="str">
        <f>_xlfn.XLOOKUP(Logs[[#This Row],[ID_Client]],Clients_Log!B:B,Clients_Log!G:G,"Pas de correspondance")</f>
        <v>Pas de correspondance</v>
      </c>
      <c r="S885" s="1" t="e">
        <f>Logs[[#This Row],[Duree_Cumulee_Panne_Min]]/1440</f>
        <v>#VALUE!</v>
      </c>
      <c r="T885" s="1" t="str">
        <f>_xlfn.XLOOKUP(Logs[[#This Row],[ID_Client]],Clients_Log!B:B,Clients_Log!H:H,"Pas de correspondance")</f>
        <v>Pas de correspondance</v>
      </c>
      <c r="U885" s="1" t="str">
        <f>_xlfn.XLOOKUP(Logs[[#This Row],[ID_Client]],Clients_Log!B:B,Clients_Log!I:I,"Pas de correspondance")</f>
        <v>Pas de correspondance</v>
      </c>
      <c r="V88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85" s="1" t="e">
        <f>Logs[[#This Row],[Facture_Mensuelle]]*Logs[[#This Row],[Remise (%)]]</f>
        <v>#VALUE!</v>
      </c>
    </row>
    <row r="886" spans="1:23" hidden="1" x14ac:dyDescent="0.25">
      <c r="A886" s="1" t="s">
        <v>1406</v>
      </c>
      <c r="B886" s="2">
        <v>45222</v>
      </c>
      <c r="C886" s="1" t="str">
        <f>_xlfn.XLOOKUP(Logs[[#This Row],[Province_RDC]],Clients_Log!D:D,Clients_Log!B:B,"Pas de correspondance")</f>
        <v>Pas de correspondance</v>
      </c>
      <c r="D886" t="str">
        <f>_xlfn.XLOOKUP(Logs[[#This Row],[Cell_ID]],'Registre_Maintenance'!B:B,'Registre_Maintenance'!C:C,"Pas de correspondance")</f>
        <v>Pas de correspondance</v>
      </c>
      <c r="E886" s="3">
        <v>0.87916666666666665</v>
      </c>
      <c r="F886" s="1" t="s">
        <v>878</v>
      </c>
      <c r="G886" s="3">
        <f>Logs[[#This Row],[Duree_Panne_Min]]/1440</f>
        <v>7.1527777777777773E-2</v>
      </c>
      <c r="H886">
        <v>103</v>
      </c>
      <c r="I886" t="str">
        <f>_xlfn.XLOOKUP(Logs[[#This Row],[Cell_ID]],'Registre_Maintenance'!B:B,'Registre_Maintenance'!D:D,"Pas de correspondance")</f>
        <v>Pas de correspondance</v>
      </c>
      <c r="J886" t="str">
        <f>_xlfn.XLOOKUP(Logs[[#This Row],[Cell_ID]],'Registre_Maintenance'!B:B,'Registre_Maintenance'!E:E,"Pas de correspondance")</f>
        <v>Pas de correspondance</v>
      </c>
      <c r="K886" t="str">
        <f>_xlfn.XLOOKUP(Logs[[#This Row],[Cell_ID]],'Registre_Maintenance'!B:B,'Registre_Maintenance'!F:F,"Pas de correspondance")</f>
        <v>Pas de correspondance</v>
      </c>
      <c r="L886" t="str">
        <f>_xlfn.XLOOKUP(Logs[[#This Row],[Cell_ID]],'Registre_Maintenance'!B:B,'Registre_Maintenance'!G:G,"Pas de correspondance")</f>
        <v>Pas de correspondance</v>
      </c>
      <c r="M886" s="1" t="s">
        <v>811</v>
      </c>
      <c r="N886" s="1" t="str">
        <f>_xlfn.XLOOKUP(Logs[[#This Row],[ID_Client]],Clients_Log!B:B,Clients_Log!E:E,"Pas de correspondance")</f>
        <v>Pas de correspondance</v>
      </c>
      <c r="O886" s="4" t="str">
        <f>IFERROR(Logs[[#This Row],[Anciennete_Mois]]/12,"")</f>
        <v/>
      </c>
      <c r="P886" s="1" t="str">
        <f>_xlfn.XLOOKUP(Logs[[#This Row],[ID_Client]],Clients_Log!B:B,Clients_Log!F:F,"Pas de correspondance")</f>
        <v>Pas de correspondance</v>
      </c>
      <c r="Q886" s="1" t="str">
        <f>IF(Logs[[#This Row],[Type_Forfait]]="Pro Monde","B2B","B2C")</f>
        <v>B2C</v>
      </c>
      <c r="R886" s="1" t="str">
        <f>_xlfn.XLOOKUP(Logs[[#This Row],[ID_Client]],Clients_Log!B:B,Clients_Log!G:G,"Pas de correspondance")</f>
        <v>Pas de correspondance</v>
      </c>
      <c r="S886" s="1" t="e">
        <f>Logs[[#This Row],[Duree_Cumulee_Panne_Min]]/1440</f>
        <v>#VALUE!</v>
      </c>
      <c r="T886" s="1" t="str">
        <f>_xlfn.XLOOKUP(Logs[[#This Row],[ID_Client]],Clients_Log!B:B,Clients_Log!H:H,"Pas de correspondance")</f>
        <v>Pas de correspondance</v>
      </c>
      <c r="U886" s="1" t="str">
        <f>_xlfn.XLOOKUP(Logs[[#This Row],[ID_Client]],Clients_Log!B:B,Clients_Log!I:I,"Pas de correspondance")</f>
        <v>Pas de correspondance</v>
      </c>
      <c r="V88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86" s="1" t="e">
        <f>Logs[[#This Row],[Facture_Mensuelle]]*Logs[[#This Row],[Remise (%)]]</f>
        <v>#VALUE!</v>
      </c>
    </row>
    <row r="887" spans="1:23" x14ac:dyDescent="0.25">
      <c r="A887" s="1" t="s">
        <v>1406</v>
      </c>
      <c r="B887" s="2">
        <v>45227</v>
      </c>
      <c r="C887" s="1" t="str">
        <f>_xlfn.XLOOKUP(Logs[[#This Row],[Province_RDC]],Clients_Log!D:D,Clients_Log!B:B,"Pas de correspondance")</f>
        <v>CLI-01325</v>
      </c>
      <c r="D887" t="str">
        <f>_xlfn.XLOOKUP(Logs[[#This Row],[Cell_ID]],'Registre_Maintenance'!B:B,'Registre_Maintenance'!C:C,"Pas de correspondance")</f>
        <v>Haut-Lomami</v>
      </c>
      <c r="E887" s="3">
        <v>0.29722222222222222</v>
      </c>
      <c r="F887" s="1" t="s">
        <v>1413</v>
      </c>
      <c r="G887" s="3">
        <f>Logs[[#This Row],[Duree_Panne_Min]]/1440</f>
        <v>6.3888888888888884E-2</v>
      </c>
      <c r="H887">
        <v>92</v>
      </c>
      <c r="I887">
        <f>_xlfn.XLOOKUP(Logs[[#This Row],[Cell_ID]],'Registre_Maintenance'!B:B,'Registre_Maintenance'!D:D,"Pas de correspondance")</f>
        <v>-5.5559329999999996</v>
      </c>
      <c r="J887">
        <f>_xlfn.XLOOKUP(Logs[[#This Row],[Cell_ID]],'Registre_Maintenance'!B:B,'Registre_Maintenance'!E:E,"Pas de correspondance")</f>
        <v>13.508692999999999</v>
      </c>
      <c r="K887" t="str">
        <f>_xlfn.XLOOKUP(Logs[[#This Row],[Cell_ID]],'Registre_Maintenance'!B:B,'Registre_Maintenance'!F:F,"Pas de correspondance")</f>
        <v>3G</v>
      </c>
      <c r="L887" t="str">
        <f>_xlfn.XLOOKUP(Logs[[#This Row],[Cell_ID]],'Registre_Maintenance'!B:B,'Registre_Maintenance'!G:G,"Pas de correspondance")</f>
        <v>Nokia</v>
      </c>
      <c r="M887" s="1" t="s">
        <v>811</v>
      </c>
      <c r="N887" s="1">
        <f>_xlfn.XLOOKUP(Logs[[#This Row],[ID_Client]],Clients_Log!B:B,Clients_Log!E:E,"Pas de correspondance")</f>
        <v>44</v>
      </c>
      <c r="O887" s="4">
        <f>IFERROR(Logs[[#This Row],[Anciennete_Mois]]/12,"")</f>
        <v>3.6666666666666665</v>
      </c>
      <c r="P887" s="1" t="str">
        <f>_xlfn.XLOOKUP(Logs[[#This Row],[ID_Client]],Clients_Log!B:B,Clients_Log!F:F,"Pas de correspondance")</f>
        <v>Bloqué 5Go</v>
      </c>
      <c r="Q887" s="1" t="str">
        <f>IF(Logs[[#This Row],[Type_Forfait]]="Pro Monde","B2B","B2C")</f>
        <v>B2C</v>
      </c>
      <c r="R887" s="1">
        <f>_xlfn.XLOOKUP(Logs[[#This Row],[ID_Client]],Clients_Log!B:B,Clients_Log!G:G,"Pas de correspondance")</f>
        <v>348</v>
      </c>
      <c r="S887" s="3">
        <f>Logs[[#This Row],[Duree_Cumulee_Panne_Min]]/1440</f>
        <v>0.24166666666666667</v>
      </c>
      <c r="T887" s="1">
        <f>_xlfn.XLOOKUP(Logs[[#This Row],[ID_Client]],Clients_Log!B:B,Clients_Log!H:H,"Pas de correspondance")</f>
        <v>58.67</v>
      </c>
      <c r="U887" s="1">
        <f>_xlfn.XLOOKUP(Logs[[#This Row],[ID_Client]],Clients_Log!B:B,Clients_Log!I:I,"Pas de correspondance")</f>
        <v>0</v>
      </c>
      <c r="V88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87" s="1">
        <f>Logs[[#This Row],[Facture_Mensuelle]]*Logs[[#This Row],[Remise (%)]]</f>
        <v>26.401500000000002</v>
      </c>
    </row>
    <row r="888" spans="1:23" hidden="1" x14ac:dyDescent="0.25">
      <c r="A888" s="1" t="s">
        <v>1406</v>
      </c>
      <c r="B888" s="2">
        <v>45209</v>
      </c>
      <c r="C888" s="1" t="str">
        <f>_xlfn.XLOOKUP(Logs[[#This Row],[Province_RDC]],Clients_Log!D:D,Clients_Log!B:B,"Pas de correspondance")</f>
        <v>Pas de correspondance</v>
      </c>
      <c r="D888" t="str">
        <f>_xlfn.XLOOKUP(Logs[[#This Row],[Cell_ID]],'Registre_Maintenance'!B:B,'Registre_Maintenance'!C:C,"Pas de correspondance")</f>
        <v>Pas de correspondance</v>
      </c>
      <c r="E888" s="3">
        <v>0.97777777777777775</v>
      </c>
      <c r="F888" s="1" t="s">
        <v>1331</v>
      </c>
      <c r="G888" s="3">
        <f>Logs[[#This Row],[Duree_Panne_Min]]/1440</f>
        <v>4.1666666666666666E-3</v>
      </c>
      <c r="H888">
        <v>6</v>
      </c>
      <c r="I888" t="str">
        <f>_xlfn.XLOOKUP(Logs[[#This Row],[Cell_ID]],'Registre_Maintenance'!B:B,'Registre_Maintenance'!D:D,"Pas de correspondance")</f>
        <v>Pas de correspondance</v>
      </c>
      <c r="J888" t="str">
        <f>_xlfn.XLOOKUP(Logs[[#This Row],[Cell_ID]],'Registre_Maintenance'!B:B,'Registre_Maintenance'!E:E,"Pas de correspondance")</f>
        <v>Pas de correspondance</v>
      </c>
      <c r="K888" t="str">
        <f>_xlfn.XLOOKUP(Logs[[#This Row],[Cell_ID]],'Registre_Maintenance'!B:B,'Registre_Maintenance'!F:F,"Pas de correspondance")</f>
        <v>Pas de correspondance</v>
      </c>
      <c r="L888" t="str">
        <f>_xlfn.XLOOKUP(Logs[[#This Row],[Cell_ID]],'Registre_Maintenance'!B:B,'Registre_Maintenance'!G:G,"Pas de correspondance")</f>
        <v>Pas de correspondance</v>
      </c>
      <c r="M888" s="1" t="s">
        <v>811</v>
      </c>
      <c r="N888" s="1" t="str">
        <f>_xlfn.XLOOKUP(Logs[[#This Row],[ID_Client]],Clients_Log!B:B,Clients_Log!E:E,"Pas de correspondance")</f>
        <v>Pas de correspondance</v>
      </c>
      <c r="O888" s="4" t="str">
        <f>IFERROR(Logs[[#This Row],[Anciennete_Mois]]/12,"")</f>
        <v/>
      </c>
      <c r="P888" s="1" t="str">
        <f>_xlfn.XLOOKUP(Logs[[#This Row],[ID_Client]],Clients_Log!B:B,Clients_Log!F:F,"Pas de correspondance")</f>
        <v>Pas de correspondance</v>
      </c>
      <c r="Q888" s="1" t="str">
        <f>IF(Logs[[#This Row],[Type_Forfait]]="Pro Monde","B2B","B2C")</f>
        <v>B2C</v>
      </c>
      <c r="R888" s="1" t="str">
        <f>_xlfn.XLOOKUP(Logs[[#This Row],[ID_Client]],Clients_Log!B:B,Clients_Log!G:G,"Pas de correspondance")</f>
        <v>Pas de correspondance</v>
      </c>
      <c r="S888" s="1" t="e">
        <f>Logs[[#This Row],[Duree_Cumulee_Panne_Min]]/1440</f>
        <v>#VALUE!</v>
      </c>
      <c r="T888" s="1" t="str">
        <f>_xlfn.XLOOKUP(Logs[[#This Row],[ID_Client]],Clients_Log!B:B,Clients_Log!H:H,"Pas de correspondance")</f>
        <v>Pas de correspondance</v>
      </c>
      <c r="U888" s="1" t="str">
        <f>_xlfn.XLOOKUP(Logs[[#This Row],[ID_Client]],Clients_Log!B:B,Clients_Log!I:I,"Pas de correspondance")</f>
        <v>Pas de correspondance</v>
      </c>
      <c r="V88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88" s="1" t="e">
        <f>Logs[[#This Row],[Facture_Mensuelle]]*Logs[[#This Row],[Remise (%)]]</f>
        <v>#VALUE!</v>
      </c>
    </row>
    <row r="889" spans="1:23" x14ac:dyDescent="0.25">
      <c r="A889" s="1" t="s">
        <v>1406</v>
      </c>
      <c r="B889" s="2">
        <v>45224</v>
      </c>
      <c r="C889" s="1" t="str">
        <f>_xlfn.XLOOKUP(Logs[[#This Row],[Province_RDC]],Clients_Log!D:D,Clients_Log!B:B,"Pas de correspondance")</f>
        <v>CLI-00076</v>
      </c>
      <c r="D889" t="str">
        <f>_xlfn.XLOOKUP(Logs[[#This Row],[Cell_ID]],'Registre_Maintenance'!B:B,'Registre_Maintenance'!C:C,"Pas de correspondance")</f>
        <v>Haut-Katanga</v>
      </c>
      <c r="E889" s="3">
        <v>0.4284722222222222</v>
      </c>
      <c r="F889" s="1" t="s">
        <v>827</v>
      </c>
      <c r="G889" s="3">
        <f>Logs[[#This Row],[Duree_Panne_Min]]/1440</f>
        <v>4.5138888888888888E-2</v>
      </c>
      <c r="H889">
        <v>65</v>
      </c>
      <c r="I889">
        <f>_xlfn.XLOOKUP(Logs[[#This Row],[Cell_ID]],'Registre_Maintenance'!B:B,'Registre_Maintenance'!D:D,"Pas de correspondance")</f>
        <v>0.172153</v>
      </c>
      <c r="J889">
        <f>_xlfn.XLOOKUP(Logs[[#This Row],[Cell_ID]],'Registre_Maintenance'!B:B,'Registre_Maintenance'!E:E,"Pas de correspondance")</f>
        <v>21.091376</v>
      </c>
      <c r="K889" t="str">
        <f>_xlfn.XLOOKUP(Logs[[#This Row],[Cell_ID]],'Registre_Maintenance'!B:B,'Registre_Maintenance'!F:F,"Pas de correspondance")</f>
        <v>3G</v>
      </c>
      <c r="L889" t="str">
        <f>_xlfn.XLOOKUP(Logs[[#This Row],[Cell_ID]],'Registre_Maintenance'!B:B,'Registre_Maintenance'!G:G,"Pas de correspondance")</f>
        <v>Ericsson</v>
      </c>
      <c r="M889" s="1" t="s">
        <v>809</v>
      </c>
      <c r="N889" s="1">
        <f>_xlfn.XLOOKUP(Logs[[#This Row],[ID_Client]],Clients_Log!B:B,Clients_Log!E:E,"Pas de correspondance")</f>
        <v>46</v>
      </c>
      <c r="O889" s="4">
        <f>IFERROR(Logs[[#This Row],[Anciennete_Mois]]/12,"")</f>
        <v>3.8333333333333335</v>
      </c>
      <c r="P889" s="1" t="str">
        <f>_xlfn.XLOOKUP(Logs[[#This Row],[ID_Client]],Clients_Log!B:B,Clients_Log!F:F,"Pas de correspondance")</f>
        <v>Premium 5G 150Go</v>
      </c>
      <c r="Q889" s="1" t="str">
        <f>IF(Logs[[#This Row],[Type_Forfait]]="Pro Monde","B2B","B2C")</f>
        <v>B2C</v>
      </c>
      <c r="R889" s="1">
        <f>_xlfn.XLOOKUP(Logs[[#This Row],[ID_Client]],Clients_Log!B:B,Clients_Log!G:G,"Pas de correspondance")</f>
        <v>283</v>
      </c>
      <c r="S889" s="3">
        <f>Logs[[#This Row],[Duree_Cumulee_Panne_Min]]/1440</f>
        <v>0.19652777777777777</v>
      </c>
      <c r="T889" s="1">
        <f>_xlfn.XLOOKUP(Logs[[#This Row],[ID_Client]],Clients_Log!B:B,Clients_Log!H:H,"Pas de correspondance")</f>
        <v>56.05</v>
      </c>
      <c r="U889" s="1">
        <f>_xlfn.XLOOKUP(Logs[[#This Row],[ID_Client]],Clients_Log!B:B,Clients_Log!I:I,"Pas de correspondance")</f>
        <v>1</v>
      </c>
      <c r="V88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89" s="1">
        <f>Logs[[#This Row],[Facture_Mensuelle]]*Logs[[#This Row],[Remise (%)]]</f>
        <v>25.2225</v>
      </c>
    </row>
    <row r="890" spans="1:23" hidden="1" x14ac:dyDescent="0.25">
      <c r="A890" s="1" t="s">
        <v>1406</v>
      </c>
      <c r="B890" s="2">
        <v>45223</v>
      </c>
      <c r="C890" s="1" t="str">
        <f>_xlfn.XLOOKUP(Logs[[#This Row],[Province_RDC]],Clients_Log!D:D,Clients_Log!B:B,"Pas de correspondance")</f>
        <v>Pas de correspondance</v>
      </c>
      <c r="D890" t="str">
        <f>_xlfn.XLOOKUP(Logs[[#This Row],[Cell_ID]],'Registre_Maintenance'!B:B,'Registre_Maintenance'!C:C,"Pas de correspondance")</f>
        <v>Pas de correspondance</v>
      </c>
      <c r="E890" s="3">
        <v>0.56805555555555554</v>
      </c>
      <c r="F890" s="1" t="s">
        <v>1414</v>
      </c>
      <c r="G890" s="3">
        <f>Logs[[#This Row],[Duree_Panne_Min]]/1440</f>
        <v>1.4583333333333334E-2</v>
      </c>
      <c r="H890">
        <v>21</v>
      </c>
      <c r="I890" t="str">
        <f>_xlfn.XLOOKUP(Logs[[#This Row],[Cell_ID]],'Registre_Maintenance'!B:B,'Registre_Maintenance'!D:D,"Pas de correspondance")</f>
        <v>Pas de correspondance</v>
      </c>
      <c r="J890" t="str">
        <f>_xlfn.XLOOKUP(Logs[[#This Row],[Cell_ID]],'Registre_Maintenance'!B:B,'Registre_Maintenance'!E:E,"Pas de correspondance")</f>
        <v>Pas de correspondance</v>
      </c>
      <c r="K890" t="str">
        <f>_xlfn.XLOOKUP(Logs[[#This Row],[Cell_ID]],'Registre_Maintenance'!B:B,'Registre_Maintenance'!F:F,"Pas de correspondance")</f>
        <v>Pas de correspondance</v>
      </c>
      <c r="L890" t="str">
        <f>_xlfn.XLOOKUP(Logs[[#This Row],[Cell_ID]],'Registre_Maintenance'!B:B,'Registre_Maintenance'!G:G,"Pas de correspondance")</f>
        <v>Pas de correspondance</v>
      </c>
      <c r="M890" s="1" t="s">
        <v>806</v>
      </c>
      <c r="N890" s="1" t="str">
        <f>_xlfn.XLOOKUP(Logs[[#This Row],[ID_Client]],Clients_Log!B:B,Clients_Log!E:E,"Pas de correspondance")</f>
        <v>Pas de correspondance</v>
      </c>
      <c r="O890" s="4" t="str">
        <f>IFERROR(Logs[[#This Row],[Anciennete_Mois]]/12,"")</f>
        <v/>
      </c>
      <c r="P890" s="1" t="str">
        <f>_xlfn.XLOOKUP(Logs[[#This Row],[ID_Client]],Clients_Log!B:B,Clients_Log!F:F,"Pas de correspondance")</f>
        <v>Pas de correspondance</v>
      </c>
      <c r="Q890" s="1" t="str">
        <f>IF(Logs[[#This Row],[Type_Forfait]]="Pro Monde","B2B","B2C")</f>
        <v>B2C</v>
      </c>
      <c r="R890" s="1" t="str">
        <f>_xlfn.XLOOKUP(Logs[[#This Row],[ID_Client]],Clients_Log!B:B,Clients_Log!G:G,"Pas de correspondance")</f>
        <v>Pas de correspondance</v>
      </c>
      <c r="S890" s="1" t="e">
        <f>Logs[[#This Row],[Duree_Cumulee_Panne_Min]]/1440</f>
        <v>#VALUE!</v>
      </c>
      <c r="T890" s="1" t="str">
        <f>_xlfn.XLOOKUP(Logs[[#This Row],[ID_Client]],Clients_Log!B:B,Clients_Log!H:H,"Pas de correspondance")</f>
        <v>Pas de correspondance</v>
      </c>
      <c r="U890" s="1" t="str">
        <f>_xlfn.XLOOKUP(Logs[[#This Row],[ID_Client]],Clients_Log!B:B,Clients_Log!I:I,"Pas de correspondance")</f>
        <v>Pas de correspondance</v>
      </c>
      <c r="V89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90" s="1" t="e">
        <f>Logs[[#This Row],[Facture_Mensuelle]]*Logs[[#This Row],[Remise (%)]]</f>
        <v>#VALUE!</v>
      </c>
    </row>
    <row r="891" spans="1:23" hidden="1" x14ac:dyDescent="0.25">
      <c r="A891" s="1" t="s">
        <v>1406</v>
      </c>
      <c r="B891" s="2">
        <v>45220</v>
      </c>
      <c r="C891" s="1" t="str">
        <f>_xlfn.XLOOKUP(Logs[[#This Row],[Province_RDC]],Clients_Log!D:D,Clients_Log!B:B,"Pas de correspondance")</f>
        <v>Pas de correspondance</v>
      </c>
      <c r="D891" t="str">
        <f>_xlfn.XLOOKUP(Logs[[#This Row],[Cell_ID]],'Registre_Maintenance'!B:B,'Registre_Maintenance'!C:C,"Pas de correspondance")</f>
        <v>Pas de correspondance</v>
      </c>
      <c r="E891" s="3">
        <v>9.166666666666666E-2</v>
      </c>
      <c r="F891" s="1" t="s">
        <v>824</v>
      </c>
      <c r="G891" s="3">
        <f>Logs[[#This Row],[Duree_Panne_Min]]/1440</f>
        <v>6.0416666666666667E-2</v>
      </c>
      <c r="H891">
        <v>87</v>
      </c>
      <c r="I891" t="str">
        <f>_xlfn.XLOOKUP(Logs[[#This Row],[Cell_ID]],'Registre_Maintenance'!B:B,'Registre_Maintenance'!D:D,"Pas de correspondance")</f>
        <v>Pas de correspondance</v>
      </c>
      <c r="J891" t="str">
        <f>_xlfn.XLOOKUP(Logs[[#This Row],[Cell_ID]],'Registre_Maintenance'!B:B,'Registre_Maintenance'!E:E,"Pas de correspondance")</f>
        <v>Pas de correspondance</v>
      </c>
      <c r="K891" t="str">
        <f>_xlfn.XLOOKUP(Logs[[#This Row],[Cell_ID]],'Registre_Maintenance'!B:B,'Registre_Maintenance'!F:F,"Pas de correspondance")</f>
        <v>Pas de correspondance</v>
      </c>
      <c r="L891" t="str">
        <f>_xlfn.XLOOKUP(Logs[[#This Row],[Cell_ID]],'Registre_Maintenance'!B:B,'Registre_Maintenance'!G:G,"Pas de correspondance")</f>
        <v>Pas de correspondance</v>
      </c>
      <c r="M891" s="1" t="s">
        <v>809</v>
      </c>
      <c r="N891" s="1" t="str">
        <f>_xlfn.XLOOKUP(Logs[[#This Row],[ID_Client]],Clients_Log!B:B,Clients_Log!E:E,"Pas de correspondance")</f>
        <v>Pas de correspondance</v>
      </c>
      <c r="O891" s="4" t="str">
        <f>IFERROR(Logs[[#This Row],[Anciennete_Mois]]/12,"")</f>
        <v/>
      </c>
      <c r="P891" s="1" t="str">
        <f>_xlfn.XLOOKUP(Logs[[#This Row],[ID_Client]],Clients_Log!B:B,Clients_Log!F:F,"Pas de correspondance")</f>
        <v>Pas de correspondance</v>
      </c>
      <c r="Q891" s="1" t="str">
        <f>IF(Logs[[#This Row],[Type_Forfait]]="Pro Monde","B2B","B2C")</f>
        <v>B2C</v>
      </c>
      <c r="R891" s="1" t="str">
        <f>_xlfn.XLOOKUP(Logs[[#This Row],[ID_Client]],Clients_Log!B:B,Clients_Log!G:G,"Pas de correspondance")</f>
        <v>Pas de correspondance</v>
      </c>
      <c r="S891" s="1" t="e">
        <f>Logs[[#This Row],[Duree_Cumulee_Panne_Min]]/1440</f>
        <v>#VALUE!</v>
      </c>
      <c r="T891" s="1" t="str">
        <f>_xlfn.XLOOKUP(Logs[[#This Row],[ID_Client]],Clients_Log!B:B,Clients_Log!H:H,"Pas de correspondance")</f>
        <v>Pas de correspondance</v>
      </c>
      <c r="U891" s="1" t="str">
        <f>_xlfn.XLOOKUP(Logs[[#This Row],[ID_Client]],Clients_Log!B:B,Clients_Log!I:I,"Pas de correspondance")</f>
        <v>Pas de correspondance</v>
      </c>
      <c r="V89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91" s="1" t="e">
        <f>Logs[[#This Row],[Facture_Mensuelle]]*Logs[[#This Row],[Remise (%)]]</f>
        <v>#VALUE!</v>
      </c>
    </row>
    <row r="892" spans="1:23" x14ac:dyDescent="0.25">
      <c r="A892" s="1" t="s">
        <v>1406</v>
      </c>
      <c r="B892" s="2">
        <v>45214</v>
      </c>
      <c r="C892" s="1" t="str">
        <f>_xlfn.XLOOKUP(Logs[[#This Row],[Province_RDC]],Clients_Log!D:D,Clients_Log!B:B,"Pas de correspondance")</f>
        <v>CLI-00643</v>
      </c>
      <c r="D892" t="str">
        <f>_xlfn.XLOOKUP(Logs[[#This Row],[Cell_ID]],'Registre_Maintenance'!B:B,'Registre_Maintenance'!C:C,"Pas de correspondance")</f>
        <v>Equateur</v>
      </c>
      <c r="E892" s="3">
        <v>0.2902777777777778</v>
      </c>
      <c r="F892" s="1" t="s">
        <v>1266</v>
      </c>
      <c r="G892" s="3">
        <f>Logs[[#This Row],[Duree_Panne_Min]]/1440</f>
        <v>1.8749999999999999E-2</v>
      </c>
      <c r="H892">
        <v>27</v>
      </c>
      <c r="I892">
        <f>_xlfn.XLOOKUP(Logs[[#This Row],[Cell_ID]],'Registre_Maintenance'!B:B,'Registre_Maintenance'!D:D,"Pas de correspondance")</f>
        <v>-12.839263000000001</v>
      </c>
      <c r="J892">
        <f>_xlfn.XLOOKUP(Logs[[#This Row],[Cell_ID]],'Registre_Maintenance'!B:B,'Registre_Maintenance'!E:E,"Pas de correspondance")</f>
        <v>12.355677</v>
      </c>
      <c r="K892" t="str">
        <f>_xlfn.XLOOKUP(Logs[[#This Row],[Cell_ID]],'Registre_Maintenance'!B:B,'Registre_Maintenance'!F:F,"Pas de correspondance")</f>
        <v>3G</v>
      </c>
      <c r="L892" t="str">
        <f>_xlfn.XLOOKUP(Logs[[#This Row],[Cell_ID]],'Registre_Maintenance'!B:B,'Registre_Maintenance'!G:G,"Pas de correspondance")</f>
        <v>Huawei</v>
      </c>
      <c r="M892" s="1" t="s">
        <v>809</v>
      </c>
      <c r="N892" s="1">
        <f>_xlfn.XLOOKUP(Logs[[#This Row],[ID_Client]],Clients_Log!B:B,Clients_Log!E:E,"Pas de correspondance")</f>
        <v>14</v>
      </c>
      <c r="O892" s="4">
        <f>IFERROR(Logs[[#This Row],[Anciennete_Mois]]/12,"")</f>
        <v>1.1666666666666667</v>
      </c>
      <c r="P892" s="1" t="str">
        <f>_xlfn.XLOOKUP(Logs[[#This Row],[ID_Client]],Clients_Log!B:B,Clients_Log!F:F,"Pas de correspondance")</f>
        <v>Pro Monde</v>
      </c>
      <c r="Q892" s="1" t="str">
        <f>IF(Logs[[#This Row],[Type_Forfait]]="Pro Monde","B2B","B2C")</f>
        <v>B2B</v>
      </c>
      <c r="R892" s="1">
        <f>_xlfn.XLOOKUP(Logs[[#This Row],[ID_Client]],Clients_Log!B:B,Clients_Log!G:G,"Pas de correspondance")</f>
        <v>316</v>
      </c>
      <c r="S892" s="3">
        <f>Logs[[#This Row],[Duree_Cumulee_Panne_Min]]/1440</f>
        <v>0.21944444444444444</v>
      </c>
      <c r="T892" s="1">
        <f>_xlfn.XLOOKUP(Logs[[#This Row],[ID_Client]],Clients_Log!B:B,Clients_Log!H:H,"Pas de correspondance")</f>
        <v>62.34</v>
      </c>
      <c r="U892" s="1">
        <f>_xlfn.XLOOKUP(Logs[[#This Row],[ID_Client]],Clients_Log!B:B,Clients_Log!I:I,"Pas de correspondance")</f>
        <v>4</v>
      </c>
      <c r="V89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92" s="1">
        <f>Logs[[#This Row],[Facture_Mensuelle]]*Logs[[#This Row],[Remise (%)]]</f>
        <v>28.053000000000001</v>
      </c>
    </row>
    <row r="893" spans="1:23" hidden="1" x14ac:dyDescent="0.25">
      <c r="A893" s="1" t="s">
        <v>1406</v>
      </c>
      <c r="B893" s="2">
        <v>45226</v>
      </c>
      <c r="C893" s="1" t="str">
        <f>_xlfn.XLOOKUP(Logs[[#This Row],[Province_RDC]],Clients_Log!D:D,Clients_Log!B:B,"Pas de correspondance")</f>
        <v>Pas de correspondance</v>
      </c>
      <c r="D893" t="str">
        <f>_xlfn.XLOOKUP(Logs[[#This Row],[Cell_ID]],'Registre_Maintenance'!B:B,'Registre_Maintenance'!C:C,"Pas de correspondance")</f>
        <v>Pas de correspondance</v>
      </c>
      <c r="E893" s="3">
        <v>0.57430555555555551</v>
      </c>
      <c r="F893" s="1" t="s">
        <v>1053</v>
      </c>
      <c r="G893" s="3">
        <f>Logs[[#This Row],[Duree_Panne_Min]]/1440</f>
        <v>5.6250000000000001E-2</v>
      </c>
      <c r="H893">
        <v>81</v>
      </c>
      <c r="I893" t="str">
        <f>_xlfn.XLOOKUP(Logs[[#This Row],[Cell_ID]],'Registre_Maintenance'!B:B,'Registre_Maintenance'!D:D,"Pas de correspondance")</f>
        <v>Pas de correspondance</v>
      </c>
      <c r="J893" t="str">
        <f>_xlfn.XLOOKUP(Logs[[#This Row],[Cell_ID]],'Registre_Maintenance'!B:B,'Registre_Maintenance'!E:E,"Pas de correspondance")</f>
        <v>Pas de correspondance</v>
      </c>
      <c r="K893" t="str">
        <f>_xlfn.XLOOKUP(Logs[[#This Row],[Cell_ID]],'Registre_Maintenance'!B:B,'Registre_Maintenance'!F:F,"Pas de correspondance")</f>
        <v>Pas de correspondance</v>
      </c>
      <c r="L893" t="str">
        <f>_xlfn.XLOOKUP(Logs[[#This Row],[Cell_ID]],'Registre_Maintenance'!B:B,'Registre_Maintenance'!G:G,"Pas de correspondance")</f>
        <v>Pas de correspondance</v>
      </c>
      <c r="M893" s="1" t="s">
        <v>809</v>
      </c>
      <c r="N893" s="1" t="str">
        <f>_xlfn.XLOOKUP(Logs[[#This Row],[ID_Client]],Clients_Log!B:B,Clients_Log!E:E,"Pas de correspondance")</f>
        <v>Pas de correspondance</v>
      </c>
      <c r="O893" s="4" t="str">
        <f>IFERROR(Logs[[#This Row],[Anciennete_Mois]]/12,"")</f>
        <v/>
      </c>
      <c r="P893" s="1" t="str">
        <f>_xlfn.XLOOKUP(Logs[[#This Row],[ID_Client]],Clients_Log!B:B,Clients_Log!F:F,"Pas de correspondance")</f>
        <v>Pas de correspondance</v>
      </c>
      <c r="Q893" s="1" t="str">
        <f>IF(Logs[[#This Row],[Type_Forfait]]="Pro Monde","B2B","B2C")</f>
        <v>B2C</v>
      </c>
      <c r="R893" s="1" t="str">
        <f>_xlfn.XLOOKUP(Logs[[#This Row],[ID_Client]],Clients_Log!B:B,Clients_Log!G:G,"Pas de correspondance")</f>
        <v>Pas de correspondance</v>
      </c>
      <c r="S893" s="1" t="e">
        <f>Logs[[#This Row],[Duree_Cumulee_Panne_Min]]/1440</f>
        <v>#VALUE!</v>
      </c>
      <c r="T893" s="1" t="str">
        <f>_xlfn.XLOOKUP(Logs[[#This Row],[ID_Client]],Clients_Log!B:B,Clients_Log!H:H,"Pas de correspondance")</f>
        <v>Pas de correspondance</v>
      </c>
      <c r="U893" s="1" t="str">
        <f>_xlfn.XLOOKUP(Logs[[#This Row],[ID_Client]],Clients_Log!B:B,Clients_Log!I:I,"Pas de correspondance")</f>
        <v>Pas de correspondance</v>
      </c>
      <c r="V89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93" s="1" t="e">
        <f>Logs[[#This Row],[Facture_Mensuelle]]*Logs[[#This Row],[Remise (%)]]</f>
        <v>#VALUE!</v>
      </c>
    </row>
    <row r="894" spans="1:23" x14ac:dyDescent="0.25">
      <c r="A894" s="1" t="s">
        <v>1406</v>
      </c>
      <c r="B894" s="2">
        <v>45215</v>
      </c>
      <c r="C894" s="1" t="str">
        <f>_xlfn.XLOOKUP(Logs[[#This Row],[Province_RDC]],Clients_Log!D:D,Clients_Log!B:B,"Pas de correspondance")</f>
        <v>CLI-01233</v>
      </c>
      <c r="D894" t="str">
        <f>_xlfn.XLOOKUP(Logs[[#This Row],[Cell_ID]],'Registre_Maintenance'!B:B,'Registre_Maintenance'!C:C,"Pas de correspondance")</f>
        <v>Kongo-Central</v>
      </c>
      <c r="E894" s="3">
        <v>0.70486111111111116</v>
      </c>
      <c r="F894" s="1" t="s">
        <v>1049</v>
      </c>
      <c r="G894" s="3">
        <f>Logs[[#This Row],[Duree_Panne_Min]]/1440</f>
        <v>7.4305555555555555E-2</v>
      </c>
      <c r="H894">
        <v>107</v>
      </c>
      <c r="I894">
        <f>_xlfn.XLOOKUP(Logs[[#This Row],[Cell_ID]],'Registre_Maintenance'!B:B,'Registre_Maintenance'!D:D,"Pas de correspondance")</f>
        <v>-12.564277000000001</v>
      </c>
      <c r="J894">
        <f>_xlfn.XLOOKUP(Logs[[#This Row],[Cell_ID]],'Registre_Maintenance'!B:B,'Registre_Maintenance'!E:E,"Pas de correspondance")</f>
        <v>28.480798</v>
      </c>
      <c r="K894" t="str">
        <f>_xlfn.XLOOKUP(Logs[[#This Row],[Cell_ID]],'Registre_Maintenance'!B:B,'Registre_Maintenance'!F:F,"Pas de correspondance")</f>
        <v>5G</v>
      </c>
      <c r="L894" t="str">
        <f>_xlfn.XLOOKUP(Logs[[#This Row],[Cell_ID]],'Registre_Maintenance'!B:B,'Registre_Maintenance'!G:G,"Pas de correspondance")</f>
        <v>ZTE</v>
      </c>
      <c r="M894" s="1" t="s">
        <v>806</v>
      </c>
      <c r="N894" s="1">
        <f>_xlfn.XLOOKUP(Logs[[#This Row],[ID_Client]],Clients_Log!B:B,Clients_Log!E:E,"Pas de correspondance")</f>
        <v>101</v>
      </c>
      <c r="O894" s="4">
        <f>IFERROR(Logs[[#This Row],[Anciennete_Mois]]/12,"")</f>
        <v>8.4166666666666661</v>
      </c>
      <c r="P894" s="1" t="str">
        <f>_xlfn.XLOOKUP(Logs[[#This Row],[ID_Client]],Clients_Log!B:B,Clients_Log!F:F,"Pas de correspondance")</f>
        <v>Pro Monde</v>
      </c>
      <c r="Q894" s="1" t="str">
        <f>IF(Logs[[#This Row],[Type_Forfait]]="Pro Monde","B2B","B2C")</f>
        <v>B2B</v>
      </c>
      <c r="R894" s="1">
        <f>_xlfn.XLOOKUP(Logs[[#This Row],[ID_Client]],Clients_Log!B:B,Clients_Log!G:G,"Pas de correspondance")</f>
        <v>333</v>
      </c>
      <c r="S894" s="3">
        <f>Logs[[#This Row],[Duree_Cumulee_Panne_Min]]/1440</f>
        <v>0.23125000000000001</v>
      </c>
      <c r="T894" s="1">
        <f>_xlfn.XLOOKUP(Logs[[#This Row],[ID_Client]],Clients_Log!B:B,Clients_Log!H:H,"Pas de correspondance")</f>
        <v>74.319999999999993</v>
      </c>
      <c r="U894" s="1">
        <f>_xlfn.XLOOKUP(Logs[[#This Row],[ID_Client]],Clients_Log!B:B,Clients_Log!I:I,"Pas de correspondance")</f>
        <v>1</v>
      </c>
      <c r="V89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94" s="1">
        <f>Logs[[#This Row],[Facture_Mensuelle]]*Logs[[#This Row],[Remise (%)]]</f>
        <v>33.443999999999996</v>
      </c>
    </row>
    <row r="895" spans="1:23" x14ac:dyDescent="0.25">
      <c r="A895" s="1" t="s">
        <v>1406</v>
      </c>
      <c r="B895" s="2">
        <v>45211</v>
      </c>
      <c r="C895" s="1" t="str">
        <f>_xlfn.XLOOKUP(Logs[[#This Row],[Province_RDC]],Clients_Log!D:D,Clients_Log!B:B,"Pas de correspondance")</f>
        <v>CLI-01837</v>
      </c>
      <c r="D895" t="str">
        <f>_xlfn.XLOOKUP(Logs[[#This Row],[Cell_ID]],'Registre_Maintenance'!B:B,'Registre_Maintenance'!C:C,"Pas de correspondance")</f>
        <v>Kasaï-Oriental</v>
      </c>
      <c r="E895" s="3">
        <v>6.3888888888888884E-2</v>
      </c>
      <c r="F895" s="1" t="s">
        <v>1415</v>
      </c>
      <c r="G895" s="3">
        <f>Logs[[#This Row],[Duree_Panne_Min]]/1440</f>
        <v>4.1666666666666666E-3</v>
      </c>
      <c r="H895">
        <v>6</v>
      </c>
      <c r="I895">
        <f>_xlfn.XLOOKUP(Logs[[#This Row],[Cell_ID]],'Registre_Maintenance'!B:B,'Registre_Maintenance'!D:D,"Pas de correspondance")</f>
        <v>1.7832440000000001</v>
      </c>
      <c r="J895">
        <f>_xlfn.XLOOKUP(Logs[[#This Row],[Cell_ID]],'Registre_Maintenance'!B:B,'Registre_Maintenance'!E:E,"Pas de correspondance")</f>
        <v>25.477405999999998</v>
      </c>
      <c r="K895" t="str">
        <f>_xlfn.XLOOKUP(Logs[[#This Row],[Cell_ID]],'Registre_Maintenance'!B:B,'Registre_Maintenance'!F:F,"Pas de correspondance")</f>
        <v>5G</v>
      </c>
      <c r="L895" t="str">
        <f>_xlfn.XLOOKUP(Logs[[#This Row],[Cell_ID]],'Registre_Maintenance'!B:B,'Registre_Maintenance'!G:G,"Pas de correspondance")</f>
        <v>Huawei</v>
      </c>
      <c r="M895" s="1" t="s">
        <v>811</v>
      </c>
      <c r="N895" s="1">
        <f>_xlfn.XLOOKUP(Logs[[#This Row],[ID_Client]],Clients_Log!B:B,Clients_Log!E:E,"Pas de correspondance")</f>
        <v>97</v>
      </c>
      <c r="O895" s="4">
        <f>IFERROR(Logs[[#This Row],[Anciennete_Mois]]/12,"")</f>
        <v>8.0833333333333339</v>
      </c>
      <c r="P895" s="1" t="str">
        <f>_xlfn.XLOOKUP(Logs[[#This Row],[ID_Client]],Clients_Log!B:B,Clients_Log!F:F,"Pas de correspondance")</f>
        <v>Pro Monde</v>
      </c>
      <c r="Q895" s="1" t="str">
        <f>IF(Logs[[#This Row],[Type_Forfait]]="Pro Monde","B2B","B2C")</f>
        <v>B2B</v>
      </c>
      <c r="R895" s="1">
        <f>_xlfn.XLOOKUP(Logs[[#This Row],[ID_Client]],Clients_Log!B:B,Clients_Log!G:G,"Pas de correspondance")</f>
        <v>319</v>
      </c>
      <c r="S895" s="3">
        <f>Logs[[#This Row],[Duree_Cumulee_Panne_Min]]/1440</f>
        <v>0.22152777777777777</v>
      </c>
      <c r="T895" s="1">
        <f>_xlfn.XLOOKUP(Logs[[#This Row],[ID_Client]],Clients_Log!B:B,Clients_Log!H:H,"Pas de correspondance")</f>
        <v>31.25</v>
      </c>
      <c r="U895" s="1">
        <f>_xlfn.XLOOKUP(Logs[[#This Row],[ID_Client]],Clients_Log!B:B,Clients_Log!I:I,"Pas de correspondance")</f>
        <v>1</v>
      </c>
      <c r="V89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895" s="1">
        <f>Logs[[#This Row],[Facture_Mensuelle]]*Logs[[#This Row],[Remise (%)]]</f>
        <v>14.0625</v>
      </c>
    </row>
    <row r="896" spans="1:23" hidden="1" x14ac:dyDescent="0.25">
      <c r="A896" s="1" t="s">
        <v>1406</v>
      </c>
      <c r="B896" s="2">
        <v>45225</v>
      </c>
      <c r="C896" s="1" t="str">
        <f>_xlfn.XLOOKUP(Logs[[#This Row],[Province_RDC]],Clients_Log!D:D,Clients_Log!B:B,"Pas de correspondance")</f>
        <v>Pas de correspondance</v>
      </c>
      <c r="D896" t="str">
        <f>_xlfn.XLOOKUP(Logs[[#This Row],[Cell_ID]],'Registre_Maintenance'!B:B,'Registre_Maintenance'!C:C,"Pas de correspondance")</f>
        <v>Pas de correspondance</v>
      </c>
      <c r="E896" s="3">
        <v>0.21111111111111111</v>
      </c>
      <c r="F896" s="1" t="s">
        <v>1416</v>
      </c>
      <c r="G896" s="3">
        <f>Logs[[#This Row],[Duree_Panne_Min]]/1440</f>
        <v>2.2916666666666665E-2</v>
      </c>
      <c r="H896">
        <v>33</v>
      </c>
      <c r="I896" t="str">
        <f>_xlfn.XLOOKUP(Logs[[#This Row],[Cell_ID]],'Registre_Maintenance'!B:B,'Registre_Maintenance'!D:D,"Pas de correspondance")</f>
        <v>Pas de correspondance</v>
      </c>
      <c r="J896" t="str">
        <f>_xlfn.XLOOKUP(Logs[[#This Row],[Cell_ID]],'Registre_Maintenance'!B:B,'Registre_Maintenance'!E:E,"Pas de correspondance")</f>
        <v>Pas de correspondance</v>
      </c>
      <c r="K896" t="str">
        <f>_xlfn.XLOOKUP(Logs[[#This Row],[Cell_ID]],'Registre_Maintenance'!B:B,'Registre_Maintenance'!F:F,"Pas de correspondance")</f>
        <v>Pas de correspondance</v>
      </c>
      <c r="L896" t="str">
        <f>_xlfn.XLOOKUP(Logs[[#This Row],[Cell_ID]],'Registre_Maintenance'!B:B,'Registre_Maintenance'!G:G,"Pas de correspondance")</f>
        <v>Pas de correspondance</v>
      </c>
      <c r="M896" s="1" t="s">
        <v>809</v>
      </c>
      <c r="N896" s="1" t="str">
        <f>_xlfn.XLOOKUP(Logs[[#This Row],[ID_Client]],Clients_Log!B:B,Clients_Log!E:E,"Pas de correspondance")</f>
        <v>Pas de correspondance</v>
      </c>
      <c r="O896" s="4" t="str">
        <f>IFERROR(Logs[[#This Row],[Anciennete_Mois]]/12,"")</f>
        <v/>
      </c>
      <c r="P896" s="1" t="str">
        <f>_xlfn.XLOOKUP(Logs[[#This Row],[ID_Client]],Clients_Log!B:B,Clients_Log!F:F,"Pas de correspondance")</f>
        <v>Pas de correspondance</v>
      </c>
      <c r="Q896" s="1" t="str">
        <f>IF(Logs[[#This Row],[Type_Forfait]]="Pro Monde","B2B","B2C")</f>
        <v>B2C</v>
      </c>
      <c r="R896" s="1" t="str">
        <f>_xlfn.XLOOKUP(Logs[[#This Row],[ID_Client]],Clients_Log!B:B,Clients_Log!G:G,"Pas de correspondance")</f>
        <v>Pas de correspondance</v>
      </c>
      <c r="S896" s="1" t="e">
        <f>Logs[[#This Row],[Duree_Cumulee_Panne_Min]]/1440</f>
        <v>#VALUE!</v>
      </c>
      <c r="T896" s="1" t="str">
        <f>_xlfn.XLOOKUP(Logs[[#This Row],[ID_Client]],Clients_Log!B:B,Clients_Log!H:H,"Pas de correspondance")</f>
        <v>Pas de correspondance</v>
      </c>
      <c r="U896" s="1" t="str">
        <f>_xlfn.XLOOKUP(Logs[[#This Row],[ID_Client]],Clients_Log!B:B,Clients_Log!I:I,"Pas de correspondance")</f>
        <v>Pas de correspondance</v>
      </c>
      <c r="V89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96" s="1" t="e">
        <f>Logs[[#This Row],[Facture_Mensuelle]]*Logs[[#This Row],[Remise (%)]]</f>
        <v>#VALUE!</v>
      </c>
    </row>
    <row r="897" spans="1:23" hidden="1" x14ac:dyDescent="0.25">
      <c r="A897" s="1" t="s">
        <v>1406</v>
      </c>
      <c r="B897" s="2">
        <v>45209</v>
      </c>
      <c r="C897" s="1" t="str">
        <f>_xlfn.XLOOKUP(Logs[[#This Row],[Province_RDC]],Clients_Log!D:D,Clients_Log!B:B,"Pas de correspondance")</f>
        <v>Pas de correspondance</v>
      </c>
      <c r="D897" t="str">
        <f>_xlfn.XLOOKUP(Logs[[#This Row],[Cell_ID]],'Registre_Maintenance'!B:B,'Registre_Maintenance'!C:C,"Pas de correspondance")</f>
        <v>Pas de correspondance</v>
      </c>
      <c r="E897" s="3">
        <v>0.93888888888888888</v>
      </c>
      <c r="F897" s="1" t="s">
        <v>866</v>
      </c>
      <c r="G897" s="3">
        <f>Logs[[#This Row],[Duree_Panne_Min]]/1440</f>
        <v>2.5694444444444443E-2</v>
      </c>
      <c r="H897">
        <v>37</v>
      </c>
      <c r="I897" t="str">
        <f>_xlfn.XLOOKUP(Logs[[#This Row],[Cell_ID]],'Registre_Maintenance'!B:B,'Registre_Maintenance'!D:D,"Pas de correspondance")</f>
        <v>Pas de correspondance</v>
      </c>
      <c r="J897" t="str">
        <f>_xlfn.XLOOKUP(Logs[[#This Row],[Cell_ID]],'Registre_Maintenance'!B:B,'Registre_Maintenance'!E:E,"Pas de correspondance")</f>
        <v>Pas de correspondance</v>
      </c>
      <c r="K897" t="str">
        <f>_xlfn.XLOOKUP(Logs[[#This Row],[Cell_ID]],'Registre_Maintenance'!B:B,'Registre_Maintenance'!F:F,"Pas de correspondance")</f>
        <v>Pas de correspondance</v>
      </c>
      <c r="L897" t="str">
        <f>_xlfn.XLOOKUP(Logs[[#This Row],[Cell_ID]],'Registre_Maintenance'!B:B,'Registre_Maintenance'!G:G,"Pas de correspondance")</f>
        <v>Pas de correspondance</v>
      </c>
      <c r="M897" s="1" t="s">
        <v>809</v>
      </c>
      <c r="N897" s="1" t="str">
        <f>_xlfn.XLOOKUP(Logs[[#This Row],[ID_Client]],Clients_Log!B:B,Clients_Log!E:E,"Pas de correspondance")</f>
        <v>Pas de correspondance</v>
      </c>
      <c r="O897" s="4" t="str">
        <f>IFERROR(Logs[[#This Row],[Anciennete_Mois]]/12,"")</f>
        <v/>
      </c>
      <c r="P897" s="1" t="str">
        <f>_xlfn.XLOOKUP(Logs[[#This Row],[ID_Client]],Clients_Log!B:B,Clients_Log!F:F,"Pas de correspondance")</f>
        <v>Pas de correspondance</v>
      </c>
      <c r="Q897" s="1" t="str">
        <f>IF(Logs[[#This Row],[Type_Forfait]]="Pro Monde","B2B","B2C")</f>
        <v>B2C</v>
      </c>
      <c r="R897" s="1" t="str">
        <f>_xlfn.XLOOKUP(Logs[[#This Row],[ID_Client]],Clients_Log!B:B,Clients_Log!G:G,"Pas de correspondance")</f>
        <v>Pas de correspondance</v>
      </c>
      <c r="S897" s="1" t="e">
        <f>Logs[[#This Row],[Duree_Cumulee_Panne_Min]]/1440</f>
        <v>#VALUE!</v>
      </c>
      <c r="T897" s="1" t="str">
        <f>_xlfn.XLOOKUP(Logs[[#This Row],[ID_Client]],Clients_Log!B:B,Clients_Log!H:H,"Pas de correspondance")</f>
        <v>Pas de correspondance</v>
      </c>
      <c r="U897" s="1" t="str">
        <f>_xlfn.XLOOKUP(Logs[[#This Row],[ID_Client]],Clients_Log!B:B,Clients_Log!I:I,"Pas de correspondance")</f>
        <v>Pas de correspondance</v>
      </c>
      <c r="V89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97" s="1" t="e">
        <f>Logs[[#This Row],[Facture_Mensuelle]]*Logs[[#This Row],[Remise (%)]]</f>
        <v>#VALUE!</v>
      </c>
    </row>
    <row r="898" spans="1:23" hidden="1" x14ac:dyDescent="0.25">
      <c r="A898" s="1" t="s">
        <v>1406</v>
      </c>
      <c r="B898" s="2">
        <v>45212</v>
      </c>
      <c r="C898" s="1" t="str">
        <f>_xlfn.XLOOKUP(Logs[[#This Row],[Province_RDC]],Clients_Log!D:D,Clients_Log!B:B,"Pas de correspondance")</f>
        <v>Pas de correspondance</v>
      </c>
      <c r="D898" t="str">
        <f>_xlfn.XLOOKUP(Logs[[#This Row],[Cell_ID]],'Registre_Maintenance'!B:B,'Registre_Maintenance'!C:C,"Pas de correspondance")</f>
        <v>Pas de correspondance</v>
      </c>
      <c r="E898" s="3">
        <v>0.20069444444444445</v>
      </c>
      <c r="F898" s="1" t="s">
        <v>1074</v>
      </c>
      <c r="G898" s="3">
        <f>Logs[[#This Row],[Duree_Panne_Min]]/1440</f>
        <v>5.6944444444444443E-2</v>
      </c>
      <c r="H898">
        <v>82</v>
      </c>
      <c r="I898" t="str">
        <f>_xlfn.XLOOKUP(Logs[[#This Row],[Cell_ID]],'Registre_Maintenance'!B:B,'Registre_Maintenance'!D:D,"Pas de correspondance")</f>
        <v>Pas de correspondance</v>
      </c>
      <c r="J898" t="str">
        <f>_xlfn.XLOOKUP(Logs[[#This Row],[Cell_ID]],'Registre_Maintenance'!B:B,'Registre_Maintenance'!E:E,"Pas de correspondance")</f>
        <v>Pas de correspondance</v>
      </c>
      <c r="K898" t="str">
        <f>_xlfn.XLOOKUP(Logs[[#This Row],[Cell_ID]],'Registre_Maintenance'!B:B,'Registre_Maintenance'!F:F,"Pas de correspondance")</f>
        <v>Pas de correspondance</v>
      </c>
      <c r="L898" t="str">
        <f>_xlfn.XLOOKUP(Logs[[#This Row],[Cell_ID]],'Registre_Maintenance'!B:B,'Registre_Maintenance'!G:G,"Pas de correspondance")</f>
        <v>Pas de correspondance</v>
      </c>
      <c r="M898" s="1" t="s">
        <v>806</v>
      </c>
      <c r="N898" s="1" t="str">
        <f>_xlfn.XLOOKUP(Logs[[#This Row],[ID_Client]],Clients_Log!B:B,Clients_Log!E:E,"Pas de correspondance")</f>
        <v>Pas de correspondance</v>
      </c>
      <c r="O898" s="4" t="str">
        <f>IFERROR(Logs[[#This Row],[Anciennete_Mois]]/12,"")</f>
        <v/>
      </c>
      <c r="P898" s="1" t="str">
        <f>_xlfn.XLOOKUP(Logs[[#This Row],[ID_Client]],Clients_Log!B:B,Clients_Log!F:F,"Pas de correspondance")</f>
        <v>Pas de correspondance</v>
      </c>
      <c r="Q898" s="1" t="str">
        <f>IF(Logs[[#This Row],[Type_Forfait]]="Pro Monde","B2B","B2C")</f>
        <v>B2C</v>
      </c>
      <c r="R898" s="1" t="str">
        <f>_xlfn.XLOOKUP(Logs[[#This Row],[ID_Client]],Clients_Log!B:B,Clients_Log!G:G,"Pas de correspondance")</f>
        <v>Pas de correspondance</v>
      </c>
      <c r="S898" s="1" t="e">
        <f>Logs[[#This Row],[Duree_Cumulee_Panne_Min]]/1440</f>
        <v>#VALUE!</v>
      </c>
      <c r="T898" s="1" t="str">
        <f>_xlfn.XLOOKUP(Logs[[#This Row],[ID_Client]],Clients_Log!B:B,Clients_Log!H:H,"Pas de correspondance")</f>
        <v>Pas de correspondance</v>
      </c>
      <c r="U898" s="1" t="str">
        <f>_xlfn.XLOOKUP(Logs[[#This Row],[ID_Client]],Clients_Log!B:B,Clients_Log!I:I,"Pas de correspondance")</f>
        <v>Pas de correspondance</v>
      </c>
      <c r="V89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98" s="1" t="e">
        <f>Logs[[#This Row],[Facture_Mensuelle]]*Logs[[#This Row],[Remise (%)]]</f>
        <v>#VALUE!</v>
      </c>
    </row>
    <row r="899" spans="1:23" hidden="1" x14ac:dyDescent="0.25">
      <c r="A899" s="1" t="s">
        <v>1406</v>
      </c>
      <c r="B899" s="2">
        <v>45227</v>
      </c>
      <c r="C899" s="1" t="str">
        <f>_xlfn.XLOOKUP(Logs[[#This Row],[Province_RDC]],Clients_Log!D:D,Clients_Log!B:B,"Pas de correspondance")</f>
        <v>Pas de correspondance</v>
      </c>
      <c r="D899" t="str">
        <f>_xlfn.XLOOKUP(Logs[[#This Row],[Cell_ID]],'Registre_Maintenance'!B:B,'Registre_Maintenance'!C:C,"Pas de correspondance")</f>
        <v>Pas de correspondance</v>
      </c>
      <c r="E899" s="3">
        <v>0.7055555555555556</v>
      </c>
      <c r="F899" s="1" t="s">
        <v>1066</v>
      </c>
      <c r="G899" s="3">
        <f>Logs[[#This Row],[Duree_Panne_Min]]/1440</f>
        <v>7.4999999999999997E-2</v>
      </c>
      <c r="H899">
        <v>108</v>
      </c>
      <c r="I899" t="str">
        <f>_xlfn.XLOOKUP(Logs[[#This Row],[Cell_ID]],'Registre_Maintenance'!B:B,'Registre_Maintenance'!D:D,"Pas de correspondance")</f>
        <v>Pas de correspondance</v>
      </c>
      <c r="J899" t="str">
        <f>_xlfn.XLOOKUP(Logs[[#This Row],[Cell_ID]],'Registre_Maintenance'!B:B,'Registre_Maintenance'!E:E,"Pas de correspondance")</f>
        <v>Pas de correspondance</v>
      </c>
      <c r="K899" t="str">
        <f>_xlfn.XLOOKUP(Logs[[#This Row],[Cell_ID]],'Registre_Maintenance'!B:B,'Registre_Maintenance'!F:F,"Pas de correspondance")</f>
        <v>Pas de correspondance</v>
      </c>
      <c r="L899" t="str">
        <f>_xlfn.XLOOKUP(Logs[[#This Row],[Cell_ID]],'Registre_Maintenance'!B:B,'Registre_Maintenance'!G:G,"Pas de correspondance")</f>
        <v>Pas de correspondance</v>
      </c>
      <c r="M899" s="1" t="s">
        <v>809</v>
      </c>
      <c r="N899" s="1" t="str">
        <f>_xlfn.XLOOKUP(Logs[[#This Row],[ID_Client]],Clients_Log!B:B,Clients_Log!E:E,"Pas de correspondance")</f>
        <v>Pas de correspondance</v>
      </c>
      <c r="O899" s="4" t="str">
        <f>IFERROR(Logs[[#This Row],[Anciennete_Mois]]/12,"")</f>
        <v/>
      </c>
      <c r="P899" s="1" t="str">
        <f>_xlfn.XLOOKUP(Logs[[#This Row],[ID_Client]],Clients_Log!B:B,Clients_Log!F:F,"Pas de correspondance")</f>
        <v>Pas de correspondance</v>
      </c>
      <c r="Q899" s="1" t="str">
        <f>IF(Logs[[#This Row],[Type_Forfait]]="Pro Monde","B2B","B2C")</f>
        <v>B2C</v>
      </c>
      <c r="R899" s="1" t="str">
        <f>_xlfn.XLOOKUP(Logs[[#This Row],[ID_Client]],Clients_Log!B:B,Clients_Log!G:G,"Pas de correspondance")</f>
        <v>Pas de correspondance</v>
      </c>
      <c r="S899" s="1" t="e">
        <f>Logs[[#This Row],[Duree_Cumulee_Panne_Min]]/1440</f>
        <v>#VALUE!</v>
      </c>
      <c r="T899" s="1" t="str">
        <f>_xlfn.XLOOKUP(Logs[[#This Row],[ID_Client]],Clients_Log!B:B,Clients_Log!H:H,"Pas de correspondance")</f>
        <v>Pas de correspondance</v>
      </c>
      <c r="U899" s="1" t="str">
        <f>_xlfn.XLOOKUP(Logs[[#This Row],[ID_Client]],Clients_Log!B:B,Clients_Log!I:I,"Pas de correspondance")</f>
        <v>Pas de correspondance</v>
      </c>
      <c r="V89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899" s="1" t="e">
        <f>Logs[[#This Row],[Facture_Mensuelle]]*Logs[[#This Row],[Remise (%)]]</f>
        <v>#VALUE!</v>
      </c>
    </row>
    <row r="900" spans="1:23" x14ac:dyDescent="0.25">
      <c r="A900" s="1" t="s">
        <v>1406</v>
      </c>
      <c r="B900" s="2">
        <v>45218</v>
      </c>
      <c r="C900" s="1" t="str">
        <f>_xlfn.XLOOKUP(Logs[[#This Row],[Province_RDC]],Clients_Log!D:D,Clients_Log!B:B,"Pas de correspondance")</f>
        <v>CLI-01855</v>
      </c>
      <c r="D900" t="str">
        <f>_xlfn.XLOOKUP(Logs[[#This Row],[Cell_ID]],'Registre_Maintenance'!B:B,'Registre_Maintenance'!C:C,"Pas de correspondance")</f>
        <v>Sud-Kivu</v>
      </c>
      <c r="E900" s="3">
        <v>7.6388888888888886E-3</v>
      </c>
      <c r="F900" s="1" t="s">
        <v>917</v>
      </c>
      <c r="G900" s="3">
        <f>Logs[[#This Row],[Duree_Panne_Min]]/1440</f>
        <v>3.0555555555555555E-2</v>
      </c>
      <c r="H900">
        <v>44</v>
      </c>
      <c r="I900">
        <f>_xlfn.XLOOKUP(Logs[[#This Row],[Cell_ID]],'Registre_Maintenance'!B:B,'Registre_Maintenance'!D:D,"Pas de correspondance")</f>
        <v>-9.4702129999999993</v>
      </c>
      <c r="J900">
        <f>_xlfn.XLOOKUP(Logs[[#This Row],[Cell_ID]],'Registre_Maintenance'!B:B,'Registre_Maintenance'!E:E,"Pas de correspondance")</f>
        <v>12.826158</v>
      </c>
      <c r="K900" t="str">
        <f>_xlfn.XLOOKUP(Logs[[#This Row],[Cell_ID]],'Registre_Maintenance'!B:B,'Registre_Maintenance'!F:F,"Pas de correspondance")</f>
        <v>3G</v>
      </c>
      <c r="L900" t="str">
        <f>_xlfn.XLOOKUP(Logs[[#This Row],[Cell_ID]],'Registre_Maintenance'!B:B,'Registre_Maintenance'!G:G,"Pas de correspondance")</f>
        <v>Ericsson</v>
      </c>
      <c r="M900" s="1" t="s">
        <v>809</v>
      </c>
      <c r="N900" s="1">
        <f>_xlfn.XLOOKUP(Logs[[#This Row],[ID_Client]],Clients_Log!B:B,Clients_Log!E:E,"Pas de correspondance")</f>
        <v>101</v>
      </c>
      <c r="O900" s="4">
        <f>IFERROR(Logs[[#This Row],[Anciennete_Mois]]/12,"")</f>
        <v>8.4166666666666661</v>
      </c>
      <c r="P900" s="1" t="str">
        <f>_xlfn.XLOOKUP(Logs[[#This Row],[ID_Client]],Clients_Log!B:B,Clients_Log!F:F,"Pas de correspondance")</f>
        <v>Illimité 50Go</v>
      </c>
      <c r="Q900" s="1" t="str">
        <f>IF(Logs[[#This Row],[Type_Forfait]]="Pro Monde","B2B","B2C")</f>
        <v>B2C</v>
      </c>
      <c r="R900" s="1">
        <f>_xlfn.XLOOKUP(Logs[[#This Row],[ID_Client]],Clients_Log!B:B,Clients_Log!G:G,"Pas de correspondance")</f>
        <v>358</v>
      </c>
      <c r="S900" s="3">
        <f>Logs[[#This Row],[Duree_Cumulee_Panne_Min]]/1440</f>
        <v>0.24861111111111112</v>
      </c>
      <c r="T900" s="1">
        <f>_xlfn.XLOOKUP(Logs[[#This Row],[ID_Client]],Clients_Log!B:B,Clients_Log!H:H,"Pas de correspondance")</f>
        <v>29.24</v>
      </c>
      <c r="U900" s="1">
        <f>_xlfn.XLOOKUP(Logs[[#This Row],[ID_Client]],Clients_Log!B:B,Clients_Log!I:I,"Pas de correspondance")</f>
        <v>3</v>
      </c>
      <c r="V90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00" s="1">
        <f>Logs[[#This Row],[Facture_Mensuelle]]*Logs[[#This Row],[Remise (%)]]</f>
        <v>13.157999999999999</v>
      </c>
    </row>
    <row r="901" spans="1:23" hidden="1" x14ac:dyDescent="0.25">
      <c r="A901" s="1" t="s">
        <v>1406</v>
      </c>
      <c r="B901" s="2">
        <v>45206</v>
      </c>
      <c r="C901" s="1" t="str">
        <f>_xlfn.XLOOKUP(Logs[[#This Row],[Province_RDC]],Clients_Log!D:D,Clients_Log!B:B,"Pas de correspondance")</f>
        <v>Pas de correspondance</v>
      </c>
      <c r="D901" t="str">
        <f>_xlfn.XLOOKUP(Logs[[#This Row],[Cell_ID]],'Registre_Maintenance'!B:B,'Registre_Maintenance'!C:C,"Pas de correspondance")</f>
        <v>Pas de correspondance</v>
      </c>
      <c r="E901" s="3">
        <v>0.28680555555555554</v>
      </c>
      <c r="F901" s="1" t="s">
        <v>866</v>
      </c>
      <c r="G901" s="3">
        <f>Logs[[#This Row],[Duree_Panne_Min]]/1440</f>
        <v>6.6666666666666666E-2</v>
      </c>
      <c r="H901">
        <v>96</v>
      </c>
      <c r="I901" t="str">
        <f>_xlfn.XLOOKUP(Logs[[#This Row],[Cell_ID]],'Registre_Maintenance'!B:B,'Registre_Maintenance'!D:D,"Pas de correspondance")</f>
        <v>Pas de correspondance</v>
      </c>
      <c r="J901" t="str">
        <f>_xlfn.XLOOKUP(Logs[[#This Row],[Cell_ID]],'Registre_Maintenance'!B:B,'Registre_Maintenance'!E:E,"Pas de correspondance")</f>
        <v>Pas de correspondance</v>
      </c>
      <c r="K901" t="str">
        <f>_xlfn.XLOOKUP(Logs[[#This Row],[Cell_ID]],'Registre_Maintenance'!B:B,'Registre_Maintenance'!F:F,"Pas de correspondance")</f>
        <v>Pas de correspondance</v>
      </c>
      <c r="L901" t="str">
        <f>_xlfn.XLOOKUP(Logs[[#This Row],[Cell_ID]],'Registre_Maintenance'!B:B,'Registre_Maintenance'!G:G,"Pas de correspondance")</f>
        <v>Pas de correspondance</v>
      </c>
      <c r="M901" s="1" t="s">
        <v>809</v>
      </c>
      <c r="N901" s="1" t="str">
        <f>_xlfn.XLOOKUP(Logs[[#This Row],[ID_Client]],Clients_Log!B:B,Clients_Log!E:E,"Pas de correspondance")</f>
        <v>Pas de correspondance</v>
      </c>
      <c r="O901" s="4" t="str">
        <f>IFERROR(Logs[[#This Row],[Anciennete_Mois]]/12,"")</f>
        <v/>
      </c>
      <c r="P901" s="1" t="str">
        <f>_xlfn.XLOOKUP(Logs[[#This Row],[ID_Client]],Clients_Log!B:B,Clients_Log!F:F,"Pas de correspondance")</f>
        <v>Pas de correspondance</v>
      </c>
      <c r="Q901" s="1" t="str">
        <f>IF(Logs[[#This Row],[Type_Forfait]]="Pro Monde","B2B","B2C")</f>
        <v>B2C</v>
      </c>
      <c r="R901" s="1" t="str">
        <f>_xlfn.XLOOKUP(Logs[[#This Row],[ID_Client]],Clients_Log!B:B,Clients_Log!G:G,"Pas de correspondance")</f>
        <v>Pas de correspondance</v>
      </c>
      <c r="S901" s="1" t="e">
        <f>Logs[[#This Row],[Duree_Cumulee_Panne_Min]]/1440</f>
        <v>#VALUE!</v>
      </c>
      <c r="T901" s="1" t="str">
        <f>_xlfn.XLOOKUP(Logs[[#This Row],[ID_Client]],Clients_Log!B:B,Clients_Log!H:H,"Pas de correspondance")</f>
        <v>Pas de correspondance</v>
      </c>
      <c r="U901" s="1" t="str">
        <f>_xlfn.XLOOKUP(Logs[[#This Row],[ID_Client]],Clients_Log!B:B,Clients_Log!I:I,"Pas de correspondance")</f>
        <v>Pas de correspondance</v>
      </c>
      <c r="V90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01" s="1" t="e">
        <f>Logs[[#This Row],[Facture_Mensuelle]]*Logs[[#This Row],[Remise (%)]]</f>
        <v>#VALUE!</v>
      </c>
    </row>
    <row r="902" spans="1:23" x14ac:dyDescent="0.25">
      <c r="A902" s="1" t="s">
        <v>1406</v>
      </c>
      <c r="B902" s="2">
        <v>45201</v>
      </c>
      <c r="C902" s="1" t="str">
        <f>_xlfn.XLOOKUP(Logs[[#This Row],[Province_RDC]],Clients_Log!D:D,Clients_Log!B:B,"Pas de correspondance")</f>
        <v>CLI-00131</v>
      </c>
      <c r="D902" t="str">
        <f>_xlfn.XLOOKUP(Logs[[#This Row],[Cell_ID]],'Registre_Maintenance'!B:B,'Registre_Maintenance'!C:C,"Pas de correspondance")</f>
        <v>Lomami</v>
      </c>
      <c r="E902" s="3">
        <v>0.29305555555555557</v>
      </c>
      <c r="F902" s="1" t="s">
        <v>1363</v>
      </c>
      <c r="G902" s="3">
        <f>Logs[[#This Row],[Duree_Panne_Min]]/1440</f>
        <v>6.5972222222222224E-2</v>
      </c>
      <c r="H902">
        <v>95</v>
      </c>
      <c r="I902">
        <f>_xlfn.XLOOKUP(Logs[[#This Row],[Cell_ID]],'Registre_Maintenance'!B:B,'Registre_Maintenance'!D:D,"Pas de correspondance")</f>
        <v>-9.5619429999999994</v>
      </c>
      <c r="J902">
        <f>_xlfn.XLOOKUP(Logs[[#This Row],[Cell_ID]],'Registre_Maintenance'!B:B,'Registre_Maintenance'!E:E,"Pas de correspondance")</f>
        <v>21.445726000000001</v>
      </c>
      <c r="K902" t="str">
        <f>_xlfn.XLOOKUP(Logs[[#This Row],[Cell_ID]],'Registre_Maintenance'!B:B,'Registre_Maintenance'!F:F,"Pas de correspondance")</f>
        <v>4G</v>
      </c>
      <c r="L902" t="str">
        <f>_xlfn.XLOOKUP(Logs[[#This Row],[Cell_ID]],'Registre_Maintenance'!B:B,'Registre_Maintenance'!G:G,"Pas de correspondance")</f>
        <v>Nokia</v>
      </c>
      <c r="M902" s="1" t="s">
        <v>811</v>
      </c>
      <c r="N902" s="1">
        <f>_xlfn.XLOOKUP(Logs[[#This Row],[ID_Client]],Clients_Log!B:B,Clients_Log!E:E,"Pas de correspondance")</f>
        <v>101</v>
      </c>
      <c r="O902" s="4">
        <f>IFERROR(Logs[[#This Row],[Anciennete_Mois]]/12,"")</f>
        <v>8.4166666666666661</v>
      </c>
      <c r="P902" s="1" t="str">
        <f>_xlfn.XLOOKUP(Logs[[#This Row],[ID_Client]],Clients_Log!B:B,Clients_Log!F:F,"Pas de correspondance")</f>
        <v>Pro Monde</v>
      </c>
      <c r="Q902" s="1" t="str">
        <f>IF(Logs[[#This Row],[Type_Forfait]]="Pro Monde","B2B","B2C")</f>
        <v>B2B</v>
      </c>
      <c r="R902" s="1">
        <f>_xlfn.XLOOKUP(Logs[[#This Row],[ID_Client]],Clients_Log!B:B,Clients_Log!G:G,"Pas de correspondance")</f>
        <v>176</v>
      </c>
      <c r="S902" s="3">
        <f>Logs[[#This Row],[Duree_Cumulee_Panne_Min]]/1440</f>
        <v>0.12222222222222222</v>
      </c>
      <c r="T902" s="1">
        <f>_xlfn.XLOOKUP(Logs[[#This Row],[ID_Client]],Clients_Log!B:B,Clients_Log!H:H,"Pas de correspondance")</f>
        <v>86</v>
      </c>
      <c r="U902" s="1">
        <f>_xlfn.XLOOKUP(Logs[[#This Row],[ID_Client]],Clients_Log!B:B,Clients_Log!I:I,"Pas de correspondance")</f>
        <v>3</v>
      </c>
      <c r="V90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902" s="1">
        <f>Logs[[#This Row],[Facture_Mensuelle]]*Logs[[#This Row],[Remise (%)]]</f>
        <v>8.6</v>
      </c>
    </row>
    <row r="903" spans="1:23" hidden="1" x14ac:dyDescent="0.25">
      <c r="A903" s="1" t="s">
        <v>1406</v>
      </c>
      <c r="B903" s="2">
        <v>45214</v>
      </c>
      <c r="C903" s="1" t="str">
        <f>_xlfn.XLOOKUP(Logs[[#This Row],[Province_RDC]],Clients_Log!D:D,Clients_Log!B:B,"Pas de correspondance")</f>
        <v>Pas de correspondance</v>
      </c>
      <c r="D903" t="str">
        <f>_xlfn.XLOOKUP(Logs[[#This Row],[Cell_ID]],'Registre_Maintenance'!B:B,'Registre_Maintenance'!C:C,"Pas de correspondance")</f>
        <v>Pas de correspondance</v>
      </c>
      <c r="E903" s="3">
        <v>8.1944444444444445E-2</v>
      </c>
      <c r="F903" s="1" t="s">
        <v>1417</v>
      </c>
      <c r="G903" s="3">
        <f>Logs[[#This Row],[Duree_Panne_Min]]/1440</f>
        <v>6.0416666666666667E-2</v>
      </c>
      <c r="H903">
        <v>87</v>
      </c>
      <c r="I903" t="str">
        <f>_xlfn.XLOOKUP(Logs[[#This Row],[Cell_ID]],'Registre_Maintenance'!B:B,'Registre_Maintenance'!D:D,"Pas de correspondance")</f>
        <v>Pas de correspondance</v>
      </c>
      <c r="J903" t="str">
        <f>_xlfn.XLOOKUP(Logs[[#This Row],[Cell_ID]],'Registre_Maintenance'!B:B,'Registre_Maintenance'!E:E,"Pas de correspondance")</f>
        <v>Pas de correspondance</v>
      </c>
      <c r="K903" t="str">
        <f>_xlfn.XLOOKUP(Logs[[#This Row],[Cell_ID]],'Registre_Maintenance'!B:B,'Registre_Maintenance'!F:F,"Pas de correspondance")</f>
        <v>Pas de correspondance</v>
      </c>
      <c r="L903" t="str">
        <f>_xlfn.XLOOKUP(Logs[[#This Row],[Cell_ID]],'Registre_Maintenance'!B:B,'Registre_Maintenance'!G:G,"Pas de correspondance")</f>
        <v>Pas de correspondance</v>
      </c>
      <c r="M903" s="1" t="s">
        <v>809</v>
      </c>
      <c r="N903" s="1" t="str">
        <f>_xlfn.XLOOKUP(Logs[[#This Row],[ID_Client]],Clients_Log!B:B,Clients_Log!E:E,"Pas de correspondance")</f>
        <v>Pas de correspondance</v>
      </c>
      <c r="O903" s="4" t="str">
        <f>IFERROR(Logs[[#This Row],[Anciennete_Mois]]/12,"")</f>
        <v/>
      </c>
      <c r="P903" s="1" t="str">
        <f>_xlfn.XLOOKUP(Logs[[#This Row],[ID_Client]],Clients_Log!B:B,Clients_Log!F:F,"Pas de correspondance")</f>
        <v>Pas de correspondance</v>
      </c>
      <c r="Q903" s="1" t="str">
        <f>IF(Logs[[#This Row],[Type_Forfait]]="Pro Monde","B2B","B2C")</f>
        <v>B2C</v>
      </c>
      <c r="R903" s="1" t="str">
        <f>_xlfn.XLOOKUP(Logs[[#This Row],[ID_Client]],Clients_Log!B:B,Clients_Log!G:G,"Pas de correspondance")</f>
        <v>Pas de correspondance</v>
      </c>
      <c r="S903" s="1" t="e">
        <f>Logs[[#This Row],[Duree_Cumulee_Panne_Min]]/1440</f>
        <v>#VALUE!</v>
      </c>
      <c r="T903" s="1" t="str">
        <f>_xlfn.XLOOKUP(Logs[[#This Row],[ID_Client]],Clients_Log!B:B,Clients_Log!H:H,"Pas de correspondance")</f>
        <v>Pas de correspondance</v>
      </c>
      <c r="U903" s="1" t="str">
        <f>_xlfn.XLOOKUP(Logs[[#This Row],[ID_Client]],Clients_Log!B:B,Clients_Log!I:I,"Pas de correspondance")</f>
        <v>Pas de correspondance</v>
      </c>
      <c r="V90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03" s="1" t="e">
        <f>Logs[[#This Row],[Facture_Mensuelle]]*Logs[[#This Row],[Remise (%)]]</f>
        <v>#VALUE!</v>
      </c>
    </row>
    <row r="904" spans="1:23" hidden="1" x14ac:dyDescent="0.25">
      <c r="A904" s="1" t="s">
        <v>1406</v>
      </c>
      <c r="B904" s="2">
        <v>45211</v>
      </c>
      <c r="C904" s="1" t="str">
        <f>_xlfn.XLOOKUP(Logs[[#This Row],[Province_RDC]],Clients_Log!D:D,Clients_Log!B:B,"Pas de correspondance")</f>
        <v>Pas de correspondance</v>
      </c>
      <c r="D904" t="str">
        <f>_xlfn.XLOOKUP(Logs[[#This Row],[Cell_ID]],'Registre_Maintenance'!B:B,'Registre_Maintenance'!C:C,"Pas de correspondance")</f>
        <v>Pas de correspondance</v>
      </c>
      <c r="E904" s="3">
        <v>0.92500000000000004</v>
      </c>
      <c r="F904" s="1" t="s">
        <v>954</v>
      </c>
      <c r="G904" s="3">
        <f>Logs[[#This Row],[Duree_Panne_Min]]/1440</f>
        <v>2.7777777777777776E-2</v>
      </c>
      <c r="H904">
        <v>40</v>
      </c>
      <c r="I904" t="str">
        <f>_xlfn.XLOOKUP(Logs[[#This Row],[Cell_ID]],'Registre_Maintenance'!B:B,'Registre_Maintenance'!D:D,"Pas de correspondance")</f>
        <v>Pas de correspondance</v>
      </c>
      <c r="J904" t="str">
        <f>_xlfn.XLOOKUP(Logs[[#This Row],[Cell_ID]],'Registre_Maintenance'!B:B,'Registre_Maintenance'!E:E,"Pas de correspondance")</f>
        <v>Pas de correspondance</v>
      </c>
      <c r="K904" t="str">
        <f>_xlfn.XLOOKUP(Logs[[#This Row],[Cell_ID]],'Registre_Maintenance'!B:B,'Registre_Maintenance'!F:F,"Pas de correspondance")</f>
        <v>Pas de correspondance</v>
      </c>
      <c r="L904" t="str">
        <f>_xlfn.XLOOKUP(Logs[[#This Row],[Cell_ID]],'Registre_Maintenance'!B:B,'Registre_Maintenance'!G:G,"Pas de correspondance")</f>
        <v>Pas de correspondance</v>
      </c>
      <c r="M904" s="1" t="s">
        <v>811</v>
      </c>
      <c r="N904" s="1" t="str">
        <f>_xlfn.XLOOKUP(Logs[[#This Row],[ID_Client]],Clients_Log!B:B,Clients_Log!E:E,"Pas de correspondance")</f>
        <v>Pas de correspondance</v>
      </c>
      <c r="O904" s="4" t="str">
        <f>IFERROR(Logs[[#This Row],[Anciennete_Mois]]/12,"")</f>
        <v/>
      </c>
      <c r="P904" s="1" t="str">
        <f>_xlfn.XLOOKUP(Logs[[#This Row],[ID_Client]],Clients_Log!B:B,Clients_Log!F:F,"Pas de correspondance")</f>
        <v>Pas de correspondance</v>
      </c>
      <c r="Q904" s="1" t="str">
        <f>IF(Logs[[#This Row],[Type_Forfait]]="Pro Monde","B2B","B2C")</f>
        <v>B2C</v>
      </c>
      <c r="R904" s="1" t="str">
        <f>_xlfn.XLOOKUP(Logs[[#This Row],[ID_Client]],Clients_Log!B:B,Clients_Log!G:G,"Pas de correspondance")</f>
        <v>Pas de correspondance</v>
      </c>
      <c r="S904" s="1" t="e">
        <f>Logs[[#This Row],[Duree_Cumulee_Panne_Min]]/1440</f>
        <v>#VALUE!</v>
      </c>
      <c r="T904" s="1" t="str">
        <f>_xlfn.XLOOKUP(Logs[[#This Row],[ID_Client]],Clients_Log!B:B,Clients_Log!H:H,"Pas de correspondance")</f>
        <v>Pas de correspondance</v>
      </c>
      <c r="U904" s="1" t="str">
        <f>_xlfn.XLOOKUP(Logs[[#This Row],[ID_Client]],Clients_Log!B:B,Clients_Log!I:I,"Pas de correspondance")</f>
        <v>Pas de correspondance</v>
      </c>
      <c r="V90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04" s="1" t="e">
        <f>Logs[[#This Row],[Facture_Mensuelle]]*Logs[[#This Row],[Remise (%)]]</f>
        <v>#VALUE!</v>
      </c>
    </row>
    <row r="905" spans="1:23" hidden="1" x14ac:dyDescent="0.25">
      <c r="A905" s="1" t="s">
        <v>1406</v>
      </c>
      <c r="B905" s="2">
        <v>45208</v>
      </c>
      <c r="C905" s="1" t="str">
        <f>_xlfn.XLOOKUP(Logs[[#This Row],[Province_RDC]],Clients_Log!D:D,Clients_Log!B:B,"Pas de correspondance")</f>
        <v>Pas de correspondance</v>
      </c>
      <c r="D905" t="str">
        <f>_xlfn.XLOOKUP(Logs[[#This Row],[Cell_ID]],'Registre_Maintenance'!B:B,'Registre_Maintenance'!C:C,"Pas de correspondance")</f>
        <v>Pas de correspondance</v>
      </c>
      <c r="E905" s="3">
        <v>0.49444444444444446</v>
      </c>
      <c r="F905" s="1" t="s">
        <v>1152</v>
      </c>
      <c r="G905" s="3">
        <f>Logs[[#This Row],[Duree_Panne_Min]]/1440</f>
        <v>4.0972222222222222E-2</v>
      </c>
      <c r="H905">
        <v>59</v>
      </c>
      <c r="I905" t="str">
        <f>_xlfn.XLOOKUP(Logs[[#This Row],[Cell_ID]],'Registre_Maintenance'!B:B,'Registre_Maintenance'!D:D,"Pas de correspondance")</f>
        <v>Pas de correspondance</v>
      </c>
      <c r="J905" t="str">
        <f>_xlfn.XLOOKUP(Logs[[#This Row],[Cell_ID]],'Registre_Maintenance'!B:B,'Registre_Maintenance'!E:E,"Pas de correspondance")</f>
        <v>Pas de correspondance</v>
      </c>
      <c r="K905" t="str">
        <f>_xlfn.XLOOKUP(Logs[[#This Row],[Cell_ID]],'Registre_Maintenance'!B:B,'Registre_Maintenance'!F:F,"Pas de correspondance")</f>
        <v>Pas de correspondance</v>
      </c>
      <c r="L905" t="str">
        <f>_xlfn.XLOOKUP(Logs[[#This Row],[Cell_ID]],'Registre_Maintenance'!B:B,'Registre_Maintenance'!G:G,"Pas de correspondance")</f>
        <v>Pas de correspondance</v>
      </c>
      <c r="M905" s="1" t="s">
        <v>809</v>
      </c>
      <c r="N905" s="1" t="str">
        <f>_xlfn.XLOOKUP(Logs[[#This Row],[ID_Client]],Clients_Log!B:B,Clients_Log!E:E,"Pas de correspondance")</f>
        <v>Pas de correspondance</v>
      </c>
      <c r="O905" s="4" t="str">
        <f>IFERROR(Logs[[#This Row],[Anciennete_Mois]]/12,"")</f>
        <v/>
      </c>
      <c r="P905" s="1" t="str">
        <f>_xlfn.XLOOKUP(Logs[[#This Row],[ID_Client]],Clients_Log!B:B,Clients_Log!F:F,"Pas de correspondance")</f>
        <v>Pas de correspondance</v>
      </c>
      <c r="Q905" s="1" t="str">
        <f>IF(Logs[[#This Row],[Type_Forfait]]="Pro Monde","B2B","B2C")</f>
        <v>B2C</v>
      </c>
      <c r="R905" s="1" t="str">
        <f>_xlfn.XLOOKUP(Logs[[#This Row],[ID_Client]],Clients_Log!B:B,Clients_Log!G:G,"Pas de correspondance")</f>
        <v>Pas de correspondance</v>
      </c>
      <c r="S905" s="1" t="e">
        <f>Logs[[#This Row],[Duree_Cumulee_Panne_Min]]/1440</f>
        <v>#VALUE!</v>
      </c>
      <c r="T905" s="1" t="str">
        <f>_xlfn.XLOOKUP(Logs[[#This Row],[ID_Client]],Clients_Log!B:B,Clients_Log!H:H,"Pas de correspondance")</f>
        <v>Pas de correspondance</v>
      </c>
      <c r="U905" s="1" t="str">
        <f>_xlfn.XLOOKUP(Logs[[#This Row],[ID_Client]],Clients_Log!B:B,Clients_Log!I:I,"Pas de correspondance")</f>
        <v>Pas de correspondance</v>
      </c>
      <c r="V90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05" s="1" t="e">
        <f>Logs[[#This Row],[Facture_Mensuelle]]*Logs[[#This Row],[Remise (%)]]</f>
        <v>#VALUE!</v>
      </c>
    </row>
    <row r="906" spans="1:23" x14ac:dyDescent="0.25">
      <c r="A906" s="1" t="s">
        <v>1406</v>
      </c>
      <c r="B906" s="2">
        <v>45214</v>
      </c>
      <c r="C906" s="1" t="str">
        <f>_xlfn.XLOOKUP(Logs[[#This Row],[Province_RDC]],Clients_Log!D:D,Clients_Log!B:B,"Pas de correspondance")</f>
        <v>CLI-00131</v>
      </c>
      <c r="D906" t="str">
        <f>_xlfn.XLOOKUP(Logs[[#This Row],[Cell_ID]],'Registre_Maintenance'!B:B,'Registre_Maintenance'!C:C,"Pas de correspondance")</f>
        <v>Lomami</v>
      </c>
      <c r="E906" s="3">
        <v>0.68402777777777779</v>
      </c>
      <c r="F906" s="1" t="s">
        <v>907</v>
      </c>
      <c r="G906" s="3">
        <f>Logs[[#This Row],[Duree_Panne_Min]]/1440</f>
        <v>8.2638888888888887E-2</v>
      </c>
      <c r="H906">
        <v>119</v>
      </c>
      <c r="I906">
        <f>_xlfn.XLOOKUP(Logs[[#This Row],[Cell_ID]],'Registre_Maintenance'!B:B,'Registre_Maintenance'!D:D,"Pas de correspondance")</f>
        <v>-11.218453999999999</v>
      </c>
      <c r="J906">
        <f>_xlfn.XLOOKUP(Logs[[#This Row],[Cell_ID]],'Registre_Maintenance'!B:B,'Registre_Maintenance'!E:E,"Pas de correspondance")</f>
        <v>28.230025000000001</v>
      </c>
      <c r="K906" t="str">
        <f>_xlfn.XLOOKUP(Logs[[#This Row],[Cell_ID]],'Registre_Maintenance'!B:B,'Registre_Maintenance'!F:F,"Pas de correspondance")</f>
        <v>5G</v>
      </c>
      <c r="L906" t="str">
        <f>_xlfn.XLOOKUP(Logs[[#This Row],[Cell_ID]],'Registre_Maintenance'!B:B,'Registre_Maintenance'!G:G,"Pas de correspondance")</f>
        <v>ZTE</v>
      </c>
      <c r="M906" s="1" t="s">
        <v>811</v>
      </c>
      <c r="N906" s="1">
        <f>_xlfn.XLOOKUP(Logs[[#This Row],[ID_Client]],Clients_Log!B:B,Clients_Log!E:E,"Pas de correspondance")</f>
        <v>101</v>
      </c>
      <c r="O906" s="4">
        <f>IFERROR(Logs[[#This Row],[Anciennete_Mois]]/12,"")</f>
        <v>8.4166666666666661</v>
      </c>
      <c r="P906" s="1" t="str">
        <f>_xlfn.XLOOKUP(Logs[[#This Row],[ID_Client]],Clients_Log!B:B,Clients_Log!F:F,"Pas de correspondance")</f>
        <v>Pro Monde</v>
      </c>
      <c r="Q906" s="1" t="str">
        <f>IF(Logs[[#This Row],[Type_Forfait]]="Pro Monde","B2B","B2C")</f>
        <v>B2B</v>
      </c>
      <c r="R906" s="1">
        <f>_xlfn.XLOOKUP(Logs[[#This Row],[ID_Client]],Clients_Log!B:B,Clients_Log!G:G,"Pas de correspondance")</f>
        <v>176</v>
      </c>
      <c r="S906" s="3">
        <f>Logs[[#This Row],[Duree_Cumulee_Panne_Min]]/1440</f>
        <v>0.12222222222222222</v>
      </c>
      <c r="T906" s="1">
        <f>_xlfn.XLOOKUP(Logs[[#This Row],[ID_Client]],Clients_Log!B:B,Clients_Log!H:H,"Pas de correspondance")</f>
        <v>86</v>
      </c>
      <c r="U906" s="1">
        <f>_xlfn.XLOOKUP(Logs[[#This Row],[ID_Client]],Clients_Log!B:B,Clients_Log!I:I,"Pas de correspondance")</f>
        <v>3</v>
      </c>
      <c r="V90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906" s="1">
        <f>Logs[[#This Row],[Facture_Mensuelle]]*Logs[[#This Row],[Remise (%)]]</f>
        <v>8.6</v>
      </c>
    </row>
    <row r="907" spans="1:23" x14ac:dyDescent="0.25">
      <c r="A907" s="1" t="s">
        <v>1406</v>
      </c>
      <c r="B907" s="2">
        <v>45220</v>
      </c>
      <c r="C907" s="1" t="str">
        <f>_xlfn.XLOOKUP(Logs[[#This Row],[Province_RDC]],Clients_Log!D:D,Clients_Log!B:B,"Pas de correspondance")</f>
        <v>CLI-01233</v>
      </c>
      <c r="D907" t="str">
        <f>_xlfn.XLOOKUP(Logs[[#This Row],[Cell_ID]],'Registre_Maintenance'!B:B,'Registre_Maintenance'!C:C,"Pas de correspondance")</f>
        <v>Kongo-Central</v>
      </c>
      <c r="E907" s="3">
        <v>0.15486111111111112</v>
      </c>
      <c r="F907" s="1" t="s">
        <v>1209</v>
      </c>
      <c r="G907" s="3">
        <f>Logs[[#This Row],[Duree_Panne_Min]]/1440</f>
        <v>3.6805555555555557E-2</v>
      </c>
      <c r="H907">
        <v>53</v>
      </c>
      <c r="I907">
        <f>_xlfn.XLOOKUP(Logs[[#This Row],[Cell_ID]],'Registre_Maintenance'!B:B,'Registre_Maintenance'!D:D,"Pas de correspondance")</f>
        <v>-9.8208710000000004</v>
      </c>
      <c r="J907">
        <f>_xlfn.XLOOKUP(Logs[[#This Row],[Cell_ID]],'Registre_Maintenance'!B:B,'Registre_Maintenance'!E:E,"Pas de correspondance")</f>
        <v>23.229807000000001</v>
      </c>
      <c r="K907" t="str">
        <f>_xlfn.XLOOKUP(Logs[[#This Row],[Cell_ID]],'Registre_Maintenance'!B:B,'Registre_Maintenance'!F:F,"Pas de correspondance")</f>
        <v>5G</v>
      </c>
      <c r="L907" t="str">
        <f>_xlfn.XLOOKUP(Logs[[#This Row],[Cell_ID]],'Registre_Maintenance'!B:B,'Registre_Maintenance'!G:G,"Pas de correspondance")</f>
        <v>Nokia</v>
      </c>
      <c r="M907" s="1" t="s">
        <v>806</v>
      </c>
      <c r="N907" s="1">
        <f>_xlfn.XLOOKUP(Logs[[#This Row],[ID_Client]],Clients_Log!B:B,Clients_Log!E:E,"Pas de correspondance")</f>
        <v>101</v>
      </c>
      <c r="O907" s="4">
        <f>IFERROR(Logs[[#This Row],[Anciennete_Mois]]/12,"")</f>
        <v>8.4166666666666661</v>
      </c>
      <c r="P907" s="1" t="str">
        <f>_xlfn.XLOOKUP(Logs[[#This Row],[ID_Client]],Clients_Log!B:B,Clients_Log!F:F,"Pas de correspondance")</f>
        <v>Pro Monde</v>
      </c>
      <c r="Q907" s="1" t="str">
        <f>IF(Logs[[#This Row],[Type_Forfait]]="Pro Monde","B2B","B2C")</f>
        <v>B2B</v>
      </c>
      <c r="R907" s="1">
        <f>_xlfn.XLOOKUP(Logs[[#This Row],[ID_Client]],Clients_Log!B:B,Clients_Log!G:G,"Pas de correspondance")</f>
        <v>333</v>
      </c>
      <c r="S907" s="3">
        <f>Logs[[#This Row],[Duree_Cumulee_Panne_Min]]/1440</f>
        <v>0.23125000000000001</v>
      </c>
      <c r="T907" s="1">
        <f>_xlfn.XLOOKUP(Logs[[#This Row],[ID_Client]],Clients_Log!B:B,Clients_Log!H:H,"Pas de correspondance")</f>
        <v>74.319999999999993</v>
      </c>
      <c r="U907" s="1">
        <f>_xlfn.XLOOKUP(Logs[[#This Row],[ID_Client]],Clients_Log!B:B,Clients_Log!I:I,"Pas de correspondance")</f>
        <v>1</v>
      </c>
      <c r="V90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07" s="1">
        <f>Logs[[#This Row],[Facture_Mensuelle]]*Logs[[#This Row],[Remise (%)]]</f>
        <v>33.443999999999996</v>
      </c>
    </row>
    <row r="908" spans="1:23" hidden="1" x14ac:dyDescent="0.25">
      <c r="A908" s="1" t="s">
        <v>1406</v>
      </c>
      <c r="B908" s="2">
        <v>45200</v>
      </c>
      <c r="C908" s="1" t="str">
        <f>_xlfn.XLOOKUP(Logs[[#This Row],[Province_RDC]],Clients_Log!D:D,Clients_Log!B:B,"Pas de correspondance")</f>
        <v>Pas de correspondance</v>
      </c>
      <c r="D908" t="str">
        <f>_xlfn.XLOOKUP(Logs[[#This Row],[Cell_ID]],'Registre_Maintenance'!B:B,'Registre_Maintenance'!C:C,"Pas de correspondance")</f>
        <v>Pas de correspondance</v>
      </c>
      <c r="E908" s="3">
        <v>0.30763888888888891</v>
      </c>
      <c r="F908" s="1" t="s">
        <v>824</v>
      </c>
      <c r="G908" s="3">
        <f>Logs[[#This Row],[Duree_Panne_Min]]/1440</f>
        <v>7.9166666666666663E-2</v>
      </c>
      <c r="H908">
        <v>114</v>
      </c>
      <c r="I908" t="str">
        <f>_xlfn.XLOOKUP(Logs[[#This Row],[Cell_ID]],'Registre_Maintenance'!B:B,'Registre_Maintenance'!D:D,"Pas de correspondance")</f>
        <v>Pas de correspondance</v>
      </c>
      <c r="J908" t="str">
        <f>_xlfn.XLOOKUP(Logs[[#This Row],[Cell_ID]],'Registre_Maintenance'!B:B,'Registre_Maintenance'!E:E,"Pas de correspondance")</f>
        <v>Pas de correspondance</v>
      </c>
      <c r="K908" t="str">
        <f>_xlfn.XLOOKUP(Logs[[#This Row],[Cell_ID]],'Registre_Maintenance'!B:B,'Registre_Maintenance'!F:F,"Pas de correspondance")</f>
        <v>Pas de correspondance</v>
      </c>
      <c r="L908" t="str">
        <f>_xlfn.XLOOKUP(Logs[[#This Row],[Cell_ID]],'Registre_Maintenance'!B:B,'Registre_Maintenance'!G:G,"Pas de correspondance")</f>
        <v>Pas de correspondance</v>
      </c>
      <c r="M908" s="1" t="s">
        <v>809</v>
      </c>
      <c r="N908" s="1" t="str">
        <f>_xlfn.XLOOKUP(Logs[[#This Row],[ID_Client]],Clients_Log!B:B,Clients_Log!E:E,"Pas de correspondance")</f>
        <v>Pas de correspondance</v>
      </c>
      <c r="O908" s="4" t="str">
        <f>IFERROR(Logs[[#This Row],[Anciennete_Mois]]/12,"")</f>
        <v/>
      </c>
      <c r="P908" s="1" t="str">
        <f>_xlfn.XLOOKUP(Logs[[#This Row],[ID_Client]],Clients_Log!B:B,Clients_Log!F:F,"Pas de correspondance")</f>
        <v>Pas de correspondance</v>
      </c>
      <c r="Q908" s="1" t="str">
        <f>IF(Logs[[#This Row],[Type_Forfait]]="Pro Monde","B2B","B2C")</f>
        <v>B2C</v>
      </c>
      <c r="R908" s="1" t="str">
        <f>_xlfn.XLOOKUP(Logs[[#This Row],[ID_Client]],Clients_Log!B:B,Clients_Log!G:G,"Pas de correspondance")</f>
        <v>Pas de correspondance</v>
      </c>
      <c r="S908" s="1" t="e">
        <f>Logs[[#This Row],[Duree_Cumulee_Panne_Min]]/1440</f>
        <v>#VALUE!</v>
      </c>
      <c r="T908" s="1" t="str">
        <f>_xlfn.XLOOKUP(Logs[[#This Row],[ID_Client]],Clients_Log!B:B,Clients_Log!H:H,"Pas de correspondance")</f>
        <v>Pas de correspondance</v>
      </c>
      <c r="U908" s="1" t="str">
        <f>_xlfn.XLOOKUP(Logs[[#This Row],[ID_Client]],Clients_Log!B:B,Clients_Log!I:I,"Pas de correspondance")</f>
        <v>Pas de correspondance</v>
      </c>
      <c r="V90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08" s="1" t="e">
        <f>Logs[[#This Row],[Facture_Mensuelle]]*Logs[[#This Row],[Remise (%)]]</f>
        <v>#VALUE!</v>
      </c>
    </row>
    <row r="909" spans="1:23" hidden="1" x14ac:dyDescent="0.25">
      <c r="A909" s="1" t="s">
        <v>1406</v>
      </c>
      <c r="B909" s="2">
        <v>45215</v>
      </c>
      <c r="C909" s="1" t="str">
        <f>_xlfn.XLOOKUP(Logs[[#This Row],[Province_RDC]],Clients_Log!D:D,Clients_Log!B:B,"Pas de correspondance")</f>
        <v>Pas de correspondance</v>
      </c>
      <c r="D909" t="str">
        <f>_xlfn.XLOOKUP(Logs[[#This Row],[Cell_ID]],'Registre_Maintenance'!B:B,'Registre_Maintenance'!C:C,"Pas de correspondance")</f>
        <v>Pas de correspondance</v>
      </c>
      <c r="E909" s="3">
        <v>0.81111111111111112</v>
      </c>
      <c r="F909" s="1" t="s">
        <v>992</v>
      </c>
      <c r="G909" s="3">
        <f>Logs[[#This Row],[Duree_Panne_Min]]/1440</f>
        <v>3.4027777777777775E-2</v>
      </c>
      <c r="H909">
        <v>49</v>
      </c>
      <c r="I909" t="str">
        <f>_xlfn.XLOOKUP(Logs[[#This Row],[Cell_ID]],'Registre_Maintenance'!B:B,'Registre_Maintenance'!D:D,"Pas de correspondance")</f>
        <v>Pas de correspondance</v>
      </c>
      <c r="J909" t="str">
        <f>_xlfn.XLOOKUP(Logs[[#This Row],[Cell_ID]],'Registre_Maintenance'!B:B,'Registre_Maintenance'!E:E,"Pas de correspondance")</f>
        <v>Pas de correspondance</v>
      </c>
      <c r="K909" t="str">
        <f>_xlfn.XLOOKUP(Logs[[#This Row],[Cell_ID]],'Registre_Maintenance'!B:B,'Registre_Maintenance'!F:F,"Pas de correspondance")</f>
        <v>Pas de correspondance</v>
      </c>
      <c r="L909" t="str">
        <f>_xlfn.XLOOKUP(Logs[[#This Row],[Cell_ID]],'Registre_Maintenance'!B:B,'Registre_Maintenance'!G:G,"Pas de correspondance")</f>
        <v>Pas de correspondance</v>
      </c>
      <c r="M909" s="1" t="s">
        <v>809</v>
      </c>
      <c r="N909" s="1" t="str">
        <f>_xlfn.XLOOKUP(Logs[[#This Row],[ID_Client]],Clients_Log!B:B,Clients_Log!E:E,"Pas de correspondance")</f>
        <v>Pas de correspondance</v>
      </c>
      <c r="O909" s="4" t="str">
        <f>IFERROR(Logs[[#This Row],[Anciennete_Mois]]/12,"")</f>
        <v/>
      </c>
      <c r="P909" s="1" t="str">
        <f>_xlfn.XLOOKUP(Logs[[#This Row],[ID_Client]],Clients_Log!B:B,Clients_Log!F:F,"Pas de correspondance")</f>
        <v>Pas de correspondance</v>
      </c>
      <c r="Q909" s="1" t="str">
        <f>IF(Logs[[#This Row],[Type_Forfait]]="Pro Monde","B2B","B2C")</f>
        <v>B2C</v>
      </c>
      <c r="R909" s="1" t="str">
        <f>_xlfn.XLOOKUP(Logs[[#This Row],[ID_Client]],Clients_Log!B:B,Clients_Log!G:G,"Pas de correspondance")</f>
        <v>Pas de correspondance</v>
      </c>
      <c r="S909" s="1" t="e">
        <f>Logs[[#This Row],[Duree_Cumulee_Panne_Min]]/1440</f>
        <v>#VALUE!</v>
      </c>
      <c r="T909" s="1" t="str">
        <f>_xlfn.XLOOKUP(Logs[[#This Row],[ID_Client]],Clients_Log!B:B,Clients_Log!H:H,"Pas de correspondance")</f>
        <v>Pas de correspondance</v>
      </c>
      <c r="U909" s="1" t="str">
        <f>_xlfn.XLOOKUP(Logs[[#This Row],[ID_Client]],Clients_Log!B:B,Clients_Log!I:I,"Pas de correspondance")</f>
        <v>Pas de correspondance</v>
      </c>
      <c r="V90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09" s="1" t="e">
        <f>Logs[[#This Row],[Facture_Mensuelle]]*Logs[[#This Row],[Remise (%)]]</f>
        <v>#VALUE!</v>
      </c>
    </row>
    <row r="910" spans="1:23" x14ac:dyDescent="0.25">
      <c r="A910" s="1" t="s">
        <v>1406</v>
      </c>
      <c r="B910" s="2">
        <v>45205</v>
      </c>
      <c r="C910" s="1" t="str">
        <f>_xlfn.XLOOKUP(Logs[[#This Row],[Province_RDC]],Clients_Log!D:D,Clients_Log!B:B,"Pas de correspondance")</f>
        <v>CLI-01233</v>
      </c>
      <c r="D910" t="str">
        <f>_xlfn.XLOOKUP(Logs[[#This Row],[Cell_ID]],'Registre_Maintenance'!B:B,'Registre_Maintenance'!C:C,"Pas de correspondance")</f>
        <v>Kongo-Central</v>
      </c>
      <c r="E910" s="3">
        <v>0.65069444444444446</v>
      </c>
      <c r="F910" s="1" t="s">
        <v>1418</v>
      </c>
      <c r="G910" s="3">
        <f>Logs[[#This Row],[Duree_Panne_Min]]/1440</f>
        <v>4.3749999999999997E-2</v>
      </c>
      <c r="H910">
        <v>63</v>
      </c>
      <c r="I910">
        <f>_xlfn.XLOOKUP(Logs[[#This Row],[Cell_ID]],'Registre_Maintenance'!B:B,'Registre_Maintenance'!D:D,"Pas de correspondance")</f>
        <v>-10.977309</v>
      </c>
      <c r="J910">
        <f>_xlfn.XLOOKUP(Logs[[#This Row],[Cell_ID]],'Registre_Maintenance'!B:B,'Registre_Maintenance'!E:E,"Pas de correspondance")</f>
        <v>12.408281000000001</v>
      </c>
      <c r="K910" t="str">
        <f>_xlfn.XLOOKUP(Logs[[#This Row],[Cell_ID]],'Registre_Maintenance'!B:B,'Registre_Maintenance'!F:F,"Pas de correspondance")</f>
        <v>5G</v>
      </c>
      <c r="L910" t="str">
        <f>_xlfn.XLOOKUP(Logs[[#This Row],[Cell_ID]],'Registre_Maintenance'!B:B,'Registre_Maintenance'!G:G,"Pas de correspondance")</f>
        <v>ZTE</v>
      </c>
      <c r="M910" s="1" t="s">
        <v>806</v>
      </c>
      <c r="N910" s="1">
        <f>_xlfn.XLOOKUP(Logs[[#This Row],[ID_Client]],Clients_Log!B:B,Clients_Log!E:E,"Pas de correspondance")</f>
        <v>101</v>
      </c>
      <c r="O910" s="4">
        <f>IFERROR(Logs[[#This Row],[Anciennete_Mois]]/12,"")</f>
        <v>8.4166666666666661</v>
      </c>
      <c r="P910" s="1" t="str">
        <f>_xlfn.XLOOKUP(Logs[[#This Row],[ID_Client]],Clients_Log!B:B,Clients_Log!F:F,"Pas de correspondance")</f>
        <v>Pro Monde</v>
      </c>
      <c r="Q910" s="1" t="str">
        <f>IF(Logs[[#This Row],[Type_Forfait]]="Pro Monde","B2B","B2C")</f>
        <v>B2B</v>
      </c>
      <c r="R910" s="1">
        <f>_xlfn.XLOOKUP(Logs[[#This Row],[ID_Client]],Clients_Log!B:B,Clients_Log!G:G,"Pas de correspondance")</f>
        <v>333</v>
      </c>
      <c r="S910" s="3">
        <f>Logs[[#This Row],[Duree_Cumulee_Panne_Min]]/1440</f>
        <v>0.23125000000000001</v>
      </c>
      <c r="T910" s="1">
        <f>_xlfn.XLOOKUP(Logs[[#This Row],[ID_Client]],Clients_Log!B:B,Clients_Log!H:H,"Pas de correspondance")</f>
        <v>74.319999999999993</v>
      </c>
      <c r="U910" s="1">
        <f>_xlfn.XLOOKUP(Logs[[#This Row],[ID_Client]],Clients_Log!B:B,Clients_Log!I:I,"Pas de correspondance")</f>
        <v>1</v>
      </c>
      <c r="V91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10" s="1">
        <f>Logs[[#This Row],[Facture_Mensuelle]]*Logs[[#This Row],[Remise (%)]]</f>
        <v>33.443999999999996</v>
      </c>
    </row>
    <row r="911" spans="1:23" x14ac:dyDescent="0.25">
      <c r="A911" s="1" t="s">
        <v>1406</v>
      </c>
      <c r="B911" s="2">
        <v>45217</v>
      </c>
      <c r="C911" s="1" t="str">
        <f>_xlfn.XLOOKUP(Logs[[#This Row],[Province_RDC]],Clients_Log!D:D,Clients_Log!B:B,"Pas de correspondance")</f>
        <v>CLI-00996</v>
      </c>
      <c r="D911" t="str">
        <f>_xlfn.XLOOKUP(Logs[[#This Row],[Cell_ID]],'Registre_Maintenance'!B:B,'Registre_Maintenance'!C:C,"Pas de correspondance")</f>
        <v>Kwilu</v>
      </c>
      <c r="E911" s="3">
        <v>0.47361111111111109</v>
      </c>
      <c r="F911" s="1" t="s">
        <v>943</v>
      </c>
      <c r="G911" s="3">
        <f>Logs[[#This Row],[Duree_Panne_Min]]/1440</f>
        <v>2.5694444444444443E-2</v>
      </c>
      <c r="H911">
        <v>37</v>
      </c>
      <c r="I911">
        <f>_xlfn.XLOOKUP(Logs[[#This Row],[Cell_ID]],'Registre_Maintenance'!B:B,'Registre_Maintenance'!D:D,"Pas de correspondance")</f>
        <v>-8.5675749999999997</v>
      </c>
      <c r="J911">
        <f>_xlfn.XLOOKUP(Logs[[#This Row],[Cell_ID]],'Registre_Maintenance'!B:B,'Registre_Maintenance'!E:E,"Pas de correspondance")</f>
        <v>26.994581</v>
      </c>
      <c r="K911" t="str">
        <f>_xlfn.XLOOKUP(Logs[[#This Row],[Cell_ID]],'Registre_Maintenance'!B:B,'Registre_Maintenance'!F:F,"Pas de correspondance")</f>
        <v>3G</v>
      </c>
      <c r="L911" t="str">
        <f>_xlfn.XLOOKUP(Logs[[#This Row],[Cell_ID]],'Registre_Maintenance'!B:B,'Registre_Maintenance'!G:G,"Pas de correspondance")</f>
        <v>Nokia</v>
      </c>
      <c r="M911" s="1" t="s">
        <v>811</v>
      </c>
      <c r="N911" s="1">
        <f>_xlfn.XLOOKUP(Logs[[#This Row],[ID_Client]],Clients_Log!B:B,Clients_Log!E:E,"Pas de correspondance")</f>
        <v>119</v>
      </c>
      <c r="O911" s="4">
        <f>IFERROR(Logs[[#This Row],[Anciennete_Mois]]/12,"")</f>
        <v>9.9166666666666661</v>
      </c>
      <c r="P911" s="1" t="str">
        <f>_xlfn.XLOOKUP(Logs[[#This Row],[ID_Client]],Clients_Log!B:B,Clients_Log!F:F,"Pas de correspondance")</f>
        <v>Illimité 50Go</v>
      </c>
      <c r="Q911" s="1" t="str">
        <f>IF(Logs[[#This Row],[Type_Forfait]]="Pro Monde","B2B","B2C")</f>
        <v>B2C</v>
      </c>
      <c r="R911" s="1">
        <f>_xlfn.XLOOKUP(Logs[[#This Row],[ID_Client]],Clients_Log!B:B,Clients_Log!G:G,"Pas de correspondance")</f>
        <v>228</v>
      </c>
      <c r="S911" s="3">
        <f>Logs[[#This Row],[Duree_Cumulee_Panne_Min]]/1440</f>
        <v>0.15833333333333333</v>
      </c>
      <c r="T911" s="1">
        <f>_xlfn.XLOOKUP(Logs[[#This Row],[ID_Client]],Clients_Log!B:B,Clients_Log!H:H,"Pas de correspondance")</f>
        <v>94.72</v>
      </c>
      <c r="U911" s="1">
        <f>_xlfn.XLOOKUP(Logs[[#This Row],[ID_Client]],Clients_Log!B:B,Clients_Log!I:I,"Pas de correspondance")</f>
        <v>3</v>
      </c>
      <c r="V91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911" s="1">
        <f>Logs[[#This Row],[Facture_Mensuelle]]*Logs[[#This Row],[Remise (%)]]</f>
        <v>0</v>
      </c>
    </row>
    <row r="912" spans="1:23" hidden="1" x14ac:dyDescent="0.25">
      <c r="A912" s="1" t="s">
        <v>1406</v>
      </c>
      <c r="B912" s="2">
        <v>45205</v>
      </c>
      <c r="C912" s="1" t="str">
        <f>_xlfn.XLOOKUP(Logs[[#This Row],[Province_RDC]],Clients_Log!D:D,Clients_Log!B:B,"Pas de correspondance")</f>
        <v>Pas de correspondance</v>
      </c>
      <c r="D912" t="str">
        <f>_xlfn.XLOOKUP(Logs[[#This Row],[Cell_ID]],'Registre_Maintenance'!B:B,'Registre_Maintenance'!C:C,"Pas de correspondance")</f>
        <v>Pas de correspondance</v>
      </c>
      <c r="E912" s="3">
        <v>0.3659722222222222</v>
      </c>
      <c r="F912" s="1" t="s">
        <v>1236</v>
      </c>
      <c r="G912" s="3">
        <f>Logs[[#This Row],[Duree_Panne_Min]]/1440</f>
        <v>2.2222222222222223E-2</v>
      </c>
      <c r="H912">
        <v>32</v>
      </c>
      <c r="I912" t="str">
        <f>_xlfn.XLOOKUP(Logs[[#This Row],[Cell_ID]],'Registre_Maintenance'!B:B,'Registre_Maintenance'!D:D,"Pas de correspondance")</f>
        <v>Pas de correspondance</v>
      </c>
      <c r="J912" t="str">
        <f>_xlfn.XLOOKUP(Logs[[#This Row],[Cell_ID]],'Registre_Maintenance'!B:B,'Registre_Maintenance'!E:E,"Pas de correspondance")</f>
        <v>Pas de correspondance</v>
      </c>
      <c r="K912" t="str">
        <f>_xlfn.XLOOKUP(Logs[[#This Row],[Cell_ID]],'Registre_Maintenance'!B:B,'Registre_Maintenance'!F:F,"Pas de correspondance")</f>
        <v>Pas de correspondance</v>
      </c>
      <c r="L912" t="str">
        <f>_xlfn.XLOOKUP(Logs[[#This Row],[Cell_ID]],'Registre_Maintenance'!B:B,'Registre_Maintenance'!G:G,"Pas de correspondance")</f>
        <v>Pas de correspondance</v>
      </c>
      <c r="M912" s="1" t="s">
        <v>806</v>
      </c>
      <c r="N912" s="1" t="str">
        <f>_xlfn.XLOOKUP(Logs[[#This Row],[ID_Client]],Clients_Log!B:B,Clients_Log!E:E,"Pas de correspondance")</f>
        <v>Pas de correspondance</v>
      </c>
      <c r="O912" s="4" t="str">
        <f>IFERROR(Logs[[#This Row],[Anciennete_Mois]]/12,"")</f>
        <v/>
      </c>
      <c r="P912" s="1" t="str">
        <f>_xlfn.XLOOKUP(Logs[[#This Row],[ID_Client]],Clients_Log!B:B,Clients_Log!F:F,"Pas de correspondance")</f>
        <v>Pas de correspondance</v>
      </c>
      <c r="Q912" s="1" t="str">
        <f>IF(Logs[[#This Row],[Type_Forfait]]="Pro Monde","B2B","B2C")</f>
        <v>B2C</v>
      </c>
      <c r="R912" s="1" t="str">
        <f>_xlfn.XLOOKUP(Logs[[#This Row],[ID_Client]],Clients_Log!B:B,Clients_Log!G:G,"Pas de correspondance")</f>
        <v>Pas de correspondance</v>
      </c>
      <c r="S912" s="1" t="e">
        <f>Logs[[#This Row],[Duree_Cumulee_Panne_Min]]/1440</f>
        <v>#VALUE!</v>
      </c>
      <c r="T912" s="1" t="str">
        <f>_xlfn.XLOOKUP(Logs[[#This Row],[ID_Client]],Clients_Log!B:B,Clients_Log!H:H,"Pas de correspondance")</f>
        <v>Pas de correspondance</v>
      </c>
      <c r="U912" s="1" t="str">
        <f>_xlfn.XLOOKUP(Logs[[#This Row],[ID_Client]],Clients_Log!B:B,Clients_Log!I:I,"Pas de correspondance")</f>
        <v>Pas de correspondance</v>
      </c>
      <c r="V91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12" s="1" t="e">
        <f>Logs[[#This Row],[Facture_Mensuelle]]*Logs[[#This Row],[Remise (%)]]</f>
        <v>#VALUE!</v>
      </c>
    </row>
    <row r="913" spans="1:23" hidden="1" x14ac:dyDescent="0.25">
      <c r="A913" s="1" t="s">
        <v>1406</v>
      </c>
      <c r="B913" s="2">
        <v>45226</v>
      </c>
      <c r="C913" s="1" t="str">
        <f>_xlfn.XLOOKUP(Logs[[#This Row],[Province_RDC]],Clients_Log!D:D,Clients_Log!B:B,"Pas de correspondance")</f>
        <v>Pas de correspondance</v>
      </c>
      <c r="D913" t="str">
        <f>_xlfn.XLOOKUP(Logs[[#This Row],[Cell_ID]],'Registre_Maintenance'!B:B,'Registre_Maintenance'!C:C,"Pas de correspondance")</f>
        <v>Pas de correspondance</v>
      </c>
      <c r="E913" s="3">
        <v>0.92013888888888884</v>
      </c>
      <c r="F913" s="1" t="s">
        <v>850</v>
      </c>
      <c r="G913" s="3">
        <f>Logs[[#This Row],[Duree_Panne_Min]]/1440</f>
        <v>4.4444444444444446E-2</v>
      </c>
      <c r="H913">
        <v>64</v>
      </c>
      <c r="I913" t="str">
        <f>_xlfn.XLOOKUP(Logs[[#This Row],[Cell_ID]],'Registre_Maintenance'!B:B,'Registre_Maintenance'!D:D,"Pas de correspondance")</f>
        <v>Pas de correspondance</v>
      </c>
      <c r="J913" t="str">
        <f>_xlfn.XLOOKUP(Logs[[#This Row],[Cell_ID]],'Registre_Maintenance'!B:B,'Registre_Maintenance'!E:E,"Pas de correspondance")</f>
        <v>Pas de correspondance</v>
      </c>
      <c r="K913" t="str">
        <f>_xlfn.XLOOKUP(Logs[[#This Row],[Cell_ID]],'Registre_Maintenance'!B:B,'Registre_Maintenance'!F:F,"Pas de correspondance")</f>
        <v>Pas de correspondance</v>
      </c>
      <c r="L913" t="str">
        <f>_xlfn.XLOOKUP(Logs[[#This Row],[Cell_ID]],'Registre_Maintenance'!B:B,'Registre_Maintenance'!G:G,"Pas de correspondance")</f>
        <v>Pas de correspondance</v>
      </c>
      <c r="M913" s="1" t="s">
        <v>811</v>
      </c>
      <c r="N913" s="1" t="str">
        <f>_xlfn.XLOOKUP(Logs[[#This Row],[ID_Client]],Clients_Log!B:B,Clients_Log!E:E,"Pas de correspondance")</f>
        <v>Pas de correspondance</v>
      </c>
      <c r="O913" s="4" t="str">
        <f>IFERROR(Logs[[#This Row],[Anciennete_Mois]]/12,"")</f>
        <v/>
      </c>
      <c r="P913" s="1" t="str">
        <f>_xlfn.XLOOKUP(Logs[[#This Row],[ID_Client]],Clients_Log!B:B,Clients_Log!F:F,"Pas de correspondance")</f>
        <v>Pas de correspondance</v>
      </c>
      <c r="Q913" s="1" t="str">
        <f>IF(Logs[[#This Row],[Type_Forfait]]="Pro Monde","B2B","B2C")</f>
        <v>B2C</v>
      </c>
      <c r="R913" s="1" t="str">
        <f>_xlfn.XLOOKUP(Logs[[#This Row],[ID_Client]],Clients_Log!B:B,Clients_Log!G:G,"Pas de correspondance")</f>
        <v>Pas de correspondance</v>
      </c>
      <c r="S913" s="1" t="e">
        <f>Logs[[#This Row],[Duree_Cumulee_Panne_Min]]/1440</f>
        <v>#VALUE!</v>
      </c>
      <c r="T913" s="1" t="str">
        <f>_xlfn.XLOOKUP(Logs[[#This Row],[ID_Client]],Clients_Log!B:B,Clients_Log!H:H,"Pas de correspondance")</f>
        <v>Pas de correspondance</v>
      </c>
      <c r="U913" s="1" t="str">
        <f>_xlfn.XLOOKUP(Logs[[#This Row],[ID_Client]],Clients_Log!B:B,Clients_Log!I:I,"Pas de correspondance")</f>
        <v>Pas de correspondance</v>
      </c>
      <c r="V91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13" s="1" t="e">
        <f>Logs[[#This Row],[Facture_Mensuelle]]*Logs[[#This Row],[Remise (%)]]</f>
        <v>#VALUE!</v>
      </c>
    </row>
    <row r="914" spans="1:23" hidden="1" x14ac:dyDescent="0.25">
      <c r="A914" s="1" t="s">
        <v>1406</v>
      </c>
      <c r="B914" s="2">
        <v>45209</v>
      </c>
      <c r="C914" s="1" t="str">
        <f>_xlfn.XLOOKUP(Logs[[#This Row],[Province_RDC]],Clients_Log!D:D,Clients_Log!B:B,"Pas de correspondance")</f>
        <v>Pas de correspondance</v>
      </c>
      <c r="D914" t="str">
        <f>_xlfn.XLOOKUP(Logs[[#This Row],[Cell_ID]],'Registre_Maintenance'!B:B,'Registre_Maintenance'!C:C,"Pas de correspondance")</f>
        <v>Pas de correspondance</v>
      </c>
      <c r="E914" s="3">
        <v>1.6666666666666666E-2</v>
      </c>
      <c r="F914" s="1" t="s">
        <v>1419</v>
      </c>
      <c r="G914" s="3">
        <f>Logs[[#This Row],[Duree_Panne_Min]]/1440</f>
        <v>2.9861111111111113E-2</v>
      </c>
      <c r="H914">
        <v>43</v>
      </c>
      <c r="I914" t="str">
        <f>_xlfn.XLOOKUP(Logs[[#This Row],[Cell_ID]],'Registre_Maintenance'!B:B,'Registre_Maintenance'!D:D,"Pas de correspondance")</f>
        <v>Pas de correspondance</v>
      </c>
      <c r="J914" t="str">
        <f>_xlfn.XLOOKUP(Logs[[#This Row],[Cell_ID]],'Registre_Maintenance'!B:B,'Registre_Maintenance'!E:E,"Pas de correspondance")</f>
        <v>Pas de correspondance</v>
      </c>
      <c r="K914" t="str">
        <f>_xlfn.XLOOKUP(Logs[[#This Row],[Cell_ID]],'Registre_Maintenance'!B:B,'Registre_Maintenance'!F:F,"Pas de correspondance")</f>
        <v>Pas de correspondance</v>
      </c>
      <c r="L914" t="str">
        <f>_xlfn.XLOOKUP(Logs[[#This Row],[Cell_ID]],'Registre_Maintenance'!B:B,'Registre_Maintenance'!G:G,"Pas de correspondance")</f>
        <v>Pas de correspondance</v>
      </c>
      <c r="M914" s="1" t="s">
        <v>806</v>
      </c>
      <c r="N914" s="1" t="str">
        <f>_xlfn.XLOOKUP(Logs[[#This Row],[ID_Client]],Clients_Log!B:B,Clients_Log!E:E,"Pas de correspondance")</f>
        <v>Pas de correspondance</v>
      </c>
      <c r="O914" s="4" t="str">
        <f>IFERROR(Logs[[#This Row],[Anciennete_Mois]]/12,"")</f>
        <v/>
      </c>
      <c r="P914" s="1" t="str">
        <f>_xlfn.XLOOKUP(Logs[[#This Row],[ID_Client]],Clients_Log!B:B,Clients_Log!F:F,"Pas de correspondance")</f>
        <v>Pas de correspondance</v>
      </c>
      <c r="Q914" s="1" t="str">
        <f>IF(Logs[[#This Row],[Type_Forfait]]="Pro Monde","B2B","B2C")</f>
        <v>B2C</v>
      </c>
      <c r="R914" s="1" t="str">
        <f>_xlfn.XLOOKUP(Logs[[#This Row],[ID_Client]],Clients_Log!B:B,Clients_Log!G:G,"Pas de correspondance")</f>
        <v>Pas de correspondance</v>
      </c>
      <c r="S914" s="1" t="e">
        <f>Logs[[#This Row],[Duree_Cumulee_Panne_Min]]/1440</f>
        <v>#VALUE!</v>
      </c>
      <c r="T914" s="1" t="str">
        <f>_xlfn.XLOOKUP(Logs[[#This Row],[ID_Client]],Clients_Log!B:B,Clients_Log!H:H,"Pas de correspondance")</f>
        <v>Pas de correspondance</v>
      </c>
      <c r="U914" s="1" t="str">
        <f>_xlfn.XLOOKUP(Logs[[#This Row],[ID_Client]],Clients_Log!B:B,Clients_Log!I:I,"Pas de correspondance")</f>
        <v>Pas de correspondance</v>
      </c>
      <c r="V91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14" s="1" t="e">
        <f>Logs[[#This Row],[Facture_Mensuelle]]*Logs[[#This Row],[Remise (%)]]</f>
        <v>#VALUE!</v>
      </c>
    </row>
    <row r="915" spans="1:23" x14ac:dyDescent="0.25">
      <c r="A915" s="1" t="s">
        <v>1406</v>
      </c>
      <c r="B915" s="2">
        <v>45201</v>
      </c>
      <c r="C915" s="1" t="str">
        <f>_xlfn.XLOOKUP(Logs[[#This Row],[Province_RDC]],Clients_Log!D:D,Clients_Log!B:B,"Pas de correspondance")</f>
        <v>CLI-01147</v>
      </c>
      <c r="D915" t="str">
        <f>_xlfn.XLOOKUP(Logs[[#This Row],[Cell_ID]],'Registre_Maintenance'!B:B,'Registre_Maintenance'!C:C,"Pas de correspondance")</f>
        <v>Ituri</v>
      </c>
      <c r="E915" s="3">
        <v>0.24583333333333332</v>
      </c>
      <c r="F915" s="1" t="s">
        <v>1143</v>
      </c>
      <c r="G915" s="3">
        <f>Logs[[#This Row],[Duree_Panne_Min]]/1440</f>
        <v>6.3194444444444442E-2</v>
      </c>
      <c r="H915">
        <v>91</v>
      </c>
      <c r="I915">
        <f>_xlfn.XLOOKUP(Logs[[#This Row],[Cell_ID]],'Registre_Maintenance'!B:B,'Registre_Maintenance'!D:D,"Pas de correspondance")</f>
        <v>-0.34051900000000002</v>
      </c>
      <c r="J915">
        <f>_xlfn.XLOOKUP(Logs[[#This Row],[Cell_ID]],'Registre_Maintenance'!B:B,'Registre_Maintenance'!E:E,"Pas de correspondance")</f>
        <v>17.079799000000001</v>
      </c>
      <c r="K915" t="str">
        <f>_xlfn.XLOOKUP(Logs[[#This Row],[Cell_ID]],'Registre_Maintenance'!B:B,'Registre_Maintenance'!F:F,"Pas de correspondance")</f>
        <v>5G</v>
      </c>
      <c r="L915" t="str">
        <f>_xlfn.XLOOKUP(Logs[[#This Row],[Cell_ID]],'Registre_Maintenance'!B:B,'Registre_Maintenance'!G:G,"Pas de correspondance")</f>
        <v>Ericsson</v>
      </c>
      <c r="M915" s="1" t="s">
        <v>809</v>
      </c>
      <c r="N915" s="1">
        <f>_xlfn.XLOOKUP(Logs[[#This Row],[ID_Client]],Clients_Log!B:B,Clients_Log!E:E,"Pas de correspondance")</f>
        <v>29</v>
      </c>
      <c r="O915" s="4">
        <f>IFERROR(Logs[[#This Row],[Anciennete_Mois]]/12,"")</f>
        <v>2.4166666666666665</v>
      </c>
      <c r="P915" s="1" t="str">
        <f>_xlfn.XLOOKUP(Logs[[#This Row],[ID_Client]],Clients_Log!B:B,Clients_Log!F:F,"Pas de correspondance")</f>
        <v>Premium 5G 150Go</v>
      </c>
      <c r="Q915" s="1" t="str">
        <f>IF(Logs[[#This Row],[Type_Forfait]]="Pro Monde","B2B","B2C")</f>
        <v>B2C</v>
      </c>
      <c r="R915" s="1">
        <f>_xlfn.XLOOKUP(Logs[[#This Row],[ID_Client]],Clients_Log!B:B,Clients_Log!G:G,"Pas de correspondance")</f>
        <v>214</v>
      </c>
      <c r="S915" s="3">
        <f>Logs[[#This Row],[Duree_Cumulee_Panne_Min]]/1440</f>
        <v>0.14861111111111111</v>
      </c>
      <c r="T915" s="1">
        <f>_xlfn.XLOOKUP(Logs[[#This Row],[ID_Client]],Clients_Log!B:B,Clients_Log!H:H,"Pas de correspondance")</f>
        <v>74.7</v>
      </c>
      <c r="U915" s="1">
        <f>_xlfn.XLOOKUP(Logs[[#This Row],[ID_Client]],Clients_Log!B:B,Clients_Log!I:I,"Pas de correspondance")</f>
        <v>3</v>
      </c>
      <c r="V91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15" s="1">
        <f>Logs[[#This Row],[Facture_Mensuelle]]*Logs[[#This Row],[Remise (%)]]</f>
        <v>33.615000000000002</v>
      </c>
    </row>
    <row r="916" spans="1:23" hidden="1" x14ac:dyDescent="0.25">
      <c r="A916" s="1" t="s">
        <v>1406</v>
      </c>
      <c r="B916" s="2">
        <v>45218</v>
      </c>
      <c r="C916" s="1" t="str">
        <f>_xlfn.XLOOKUP(Logs[[#This Row],[Province_RDC]],Clients_Log!D:D,Clients_Log!B:B,"Pas de correspondance")</f>
        <v>Pas de correspondance</v>
      </c>
      <c r="D916" t="str">
        <f>_xlfn.XLOOKUP(Logs[[#This Row],[Cell_ID]],'Registre_Maintenance'!B:B,'Registre_Maintenance'!C:C,"Pas de correspondance")</f>
        <v>Pas de correspondance</v>
      </c>
      <c r="E916" s="3">
        <v>0.28749999999999998</v>
      </c>
      <c r="F916" s="1" t="s">
        <v>1420</v>
      </c>
      <c r="G916" s="3">
        <f>Logs[[#This Row],[Duree_Panne_Min]]/1440</f>
        <v>4.9305555555555554E-2</v>
      </c>
      <c r="H916">
        <v>71</v>
      </c>
      <c r="I916" t="str">
        <f>_xlfn.XLOOKUP(Logs[[#This Row],[Cell_ID]],'Registre_Maintenance'!B:B,'Registre_Maintenance'!D:D,"Pas de correspondance")</f>
        <v>Pas de correspondance</v>
      </c>
      <c r="J916" t="str">
        <f>_xlfn.XLOOKUP(Logs[[#This Row],[Cell_ID]],'Registre_Maintenance'!B:B,'Registre_Maintenance'!E:E,"Pas de correspondance")</f>
        <v>Pas de correspondance</v>
      </c>
      <c r="K916" t="str">
        <f>_xlfn.XLOOKUP(Logs[[#This Row],[Cell_ID]],'Registre_Maintenance'!B:B,'Registre_Maintenance'!F:F,"Pas de correspondance")</f>
        <v>Pas de correspondance</v>
      </c>
      <c r="L916" t="str">
        <f>_xlfn.XLOOKUP(Logs[[#This Row],[Cell_ID]],'Registre_Maintenance'!B:B,'Registre_Maintenance'!G:G,"Pas de correspondance")</f>
        <v>Pas de correspondance</v>
      </c>
      <c r="M916" s="1" t="s">
        <v>811</v>
      </c>
      <c r="N916" s="1" t="str">
        <f>_xlfn.XLOOKUP(Logs[[#This Row],[ID_Client]],Clients_Log!B:B,Clients_Log!E:E,"Pas de correspondance")</f>
        <v>Pas de correspondance</v>
      </c>
      <c r="O916" s="4" t="str">
        <f>IFERROR(Logs[[#This Row],[Anciennete_Mois]]/12,"")</f>
        <v/>
      </c>
      <c r="P916" s="1" t="str">
        <f>_xlfn.XLOOKUP(Logs[[#This Row],[ID_Client]],Clients_Log!B:B,Clients_Log!F:F,"Pas de correspondance")</f>
        <v>Pas de correspondance</v>
      </c>
      <c r="Q916" s="1" t="str">
        <f>IF(Logs[[#This Row],[Type_Forfait]]="Pro Monde","B2B","B2C")</f>
        <v>B2C</v>
      </c>
      <c r="R916" s="1" t="str">
        <f>_xlfn.XLOOKUP(Logs[[#This Row],[ID_Client]],Clients_Log!B:B,Clients_Log!G:G,"Pas de correspondance")</f>
        <v>Pas de correspondance</v>
      </c>
      <c r="S916" s="1" t="e">
        <f>Logs[[#This Row],[Duree_Cumulee_Panne_Min]]/1440</f>
        <v>#VALUE!</v>
      </c>
      <c r="T916" s="1" t="str">
        <f>_xlfn.XLOOKUP(Logs[[#This Row],[ID_Client]],Clients_Log!B:B,Clients_Log!H:H,"Pas de correspondance")</f>
        <v>Pas de correspondance</v>
      </c>
      <c r="U916" s="1" t="str">
        <f>_xlfn.XLOOKUP(Logs[[#This Row],[ID_Client]],Clients_Log!B:B,Clients_Log!I:I,"Pas de correspondance")</f>
        <v>Pas de correspondance</v>
      </c>
      <c r="V91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16" s="1" t="e">
        <f>Logs[[#This Row],[Facture_Mensuelle]]*Logs[[#This Row],[Remise (%)]]</f>
        <v>#VALUE!</v>
      </c>
    </row>
    <row r="917" spans="1:23" hidden="1" x14ac:dyDescent="0.25">
      <c r="A917" s="1" t="s">
        <v>1421</v>
      </c>
      <c r="B917" s="2">
        <v>45220</v>
      </c>
      <c r="C917" s="1" t="str">
        <f>_xlfn.XLOOKUP(Logs[[#This Row],[Province_RDC]],Clients_Log!D:D,Clients_Log!B:B,"Pas de correspondance")</f>
        <v>Pas de correspondance</v>
      </c>
      <c r="D917" t="str">
        <f>_xlfn.XLOOKUP(Logs[[#This Row],[Cell_ID]],'Registre_Maintenance'!B:B,'Registre_Maintenance'!C:C,"Pas de correspondance")</f>
        <v>Pas de correspondance</v>
      </c>
      <c r="E917" s="3">
        <v>9.3055555555555558E-2</v>
      </c>
      <c r="F917" s="1" t="s">
        <v>1382</v>
      </c>
      <c r="G917" s="3">
        <f>Logs[[#This Row],[Duree_Panne_Min]]/1440</f>
        <v>3.3333333333333333E-2</v>
      </c>
      <c r="H917">
        <v>48</v>
      </c>
      <c r="I917" t="str">
        <f>_xlfn.XLOOKUP(Logs[[#This Row],[Cell_ID]],'Registre_Maintenance'!B:B,'Registre_Maintenance'!D:D,"Pas de correspondance")</f>
        <v>Pas de correspondance</v>
      </c>
      <c r="J917" t="str">
        <f>_xlfn.XLOOKUP(Logs[[#This Row],[Cell_ID]],'Registre_Maintenance'!B:B,'Registre_Maintenance'!E:E,"Pas de correspondance")</f>
        <v>Pas de correspondance</v>
      </c>
      <c r="K917" t="str">
        <f>_xlfn.XLOOKUP(Logs[[#This Row],[Cell_ID]],'Registre_Maintenance'!B:B,'Registre_Maintenance'!F:F,"Pas de correspondance")</f>
        <v>Pas de correspondance</v>
      </c>
      <c r="L917" t="str">
        <f>_xlfn.XLOOKUP(Logs[[#This Row],[Cell_ID]],'Registre_Maintenance'!B:B,'Registre_Maintenance'!G:G,"Pas de correspondance")</f>
        <v>Pas de correspondance</v>
      </c>
      <c r="M917" s="1" t="s">
        <v>806</v>
      </c>
      <c r="N917" s="1" t="str">
        <f>_xlfn.XLOOKUP(Logs[[#This Row],[ID_Client]],Clients_Log!B:B,Clients_Log!E:E,"Pas de correspondance")</f>
        <v>Pas de correspondance</v>
      </c>
      <c r="O917" s="4" t="str">
        <f>IFERROR(Logs[[#This Row],[Anciennete_Mois]]/12,"")</f>
        <v/>
      </c>
      <c r="P917" s="1" t="str">
        <f>_xlfn.XLOOKUP(Logs[[#This Row],[ID_Client]],Clients_Log!B:B,Clients_Log!F:F,"Pas de correspondance")</f>
        <v>Pas de correspondance</v>
      </c>
      <c r="Q917" s="1" t="str">
        <f>IF(Logs[[#This Row],[Type_Forfait]]="Pro Monde","B2B","B2C")</f>
        <v>B2C</v>
      </c>
      <c r="R917" s="1" t="str">
        <f>_xlfn.XLOOKUP(Logs[[#This Row],[ID_Client]],Clients_Log!B:B,Clients_Log!G:G,"Pas de correspondance")</f>
        <v>Pas de correspondance</v>
      </c>
      <c r="S917" s="1" t="e">
        <f>Logs[[#This Row],[Duree_Cumulee_Panne_Min]]/1440</f>
        <v>#VALUE!</v>
      </c>
      <c r="T917" s="1" t="str">
        <f>_xlfn.XLOOKUP(Logs[[#This Row],[ID_Client]],Clients_Log!B:B,Clients_Log!H:H,"Pas de correspondance")</f>
        <v>Pas de correspondance</v>
      </c>
      <c r="U917" s="1" t="str">
        <f>_xlfn.XLOOKUP(Logs[[#This Row],[ID_Client]],Clients_Log!B:B,Clients_Log!I:I,"Pas de correspondance")</f>
        <v>Pas de correspondance</v>
      </c>
      <c r="V91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17" s="1" t="e">
        <f>Logs[[#This Row],[Facture_Mensuelle]]*Logs[[#This Row],[Remise (%)]]</f>
        <v>#VALUE!</v>
      </c>
    </row>
    <row r="918" spans="1:23" hidden="1" x14ac:dyDescent="0.25">
      <c r="A918" s="1" t="s">
        <v>1421</v>
      </c>
      <c r="B918" s="2">
        <v>45211</v>
      </c>
      <c r="C918" s="1" t="str">
        <f>_xlfn.XLOOKUP(Logs[[#This Row],[Province_RDC]],Clients_Log!D:D,Clients_Log!B:B,"Pas de correspondance")</f>
        <v>Pas de correspondance</v>
      </c>
      <c r="D918" t="str">
        <f>_xlfn.XLOOKUP(Logs[[#This Row],[Cell_ID]],'Registre_Maintenance'!B:B,'Registre_Maintenance'!C:C,"Pas de correspondance")</f>
        <v>Pas de correspondance</v>
      </c>
      <c r="E918" s="3">
        <v>0.32430555555555557</v>
      </c>
      <c r="F918" s="1" t="s">
        <v>1422</v>
      </c>
      <c r="G918" s="3">
        <f>Logs[[#This Row],[Duree_Panne_Min]]/1440</f>
        <v>8.3333333333333329E-2</v>
      </c>
      <c r="H918">
        <v>120</v>
      </c>
      <c r="I918" t="str">
        <f>_xlfn.XLOOKUP(Logs[[#This Row],[Cell_ID]],'Registre_Maintenance'!B:B,'Registre_Maintenance'!D:D,"Pas de correspondance")</f>
        <v>Pas de correspondance</v>
      </c>
      <c r="J918" t="str">
        <f>_xlfn.XLOOKUP(Logs[[#This Row],[Cell_ID]],'Registre_Maintenance'!B:B,'Registre_Maintenance'!E:E,"Pas de correspondance")</f>
        <v>Pas de correspondance</v>
      </c>
      <c r="K918" t="str">
        <f>_xlfn.XLOOKUP(Logs[[#This Row],[Cell_ID]],'Registre_Maintenance'!B:B,'Registre_Maintenance'!F:F,"Pas de correspondance")</f>
        <v>Pas de correspondance</v>
      </c>
      <c r="L918" t="str">
        <f>_xlfn.XLOOKUP(Logs[[#This Row],[Cell_ID]],'Registre_Maintenance'!B:B,'Registre_Maintenance'!G:G,"Pas de correspondance")</f>
        <v>Pas de correspondance</v>
      </c>
      <c r="M918" s="1" t="s">
        <v>811</v>
      </c>
      <c r="N918" s="1" t="str">
        <f>_xlfn.XLOOKUP(Logs[[#This Row],[ID_Client]],Clients_Log!B:B,Clients_Log!E:E,"Pas de correspondance")</f>
        <v>Pas de correspondance</v>
      </c>
      <c r="O918" s="4" t="str">
        <f>IFERROR(Logs[[#This Row],[Anciennete_Mois]]/12,"")</f>
        <v/>
      </c>
      <c r="P918" s="1" t="str">
        <f>_xlfn.XLOOKUP(Logs[[#This Row],[ID_Client]],Clients_Log!B:B,Clients_Log!F:F,"Pas de correspondance")</f>
        <v>Pas de correspondance</v>
      </c>
      <c r="Q918" s="1" t="str">
        <f>IF(Logs[[#This Row],[Type_Forfait]]="Pro Monde","B2B","B2C")</f>
        <v>B2C</v>
      </c>
      <c r="R918" s="1" t="str">
        <f>_xlfn.XLOOKUP(Logs[[#This Row],[ID_Client]],Clients_Log!B:B,Clients_Log!G:G,"Pas de correspondance")</f>
        <v>Pas de correspondance</v>
      </c>
      <c r="S918" s="1" t="e">
        <f>Logs[[#This Row],[Duree_Cumulee_Panne_Min]]/1440</f>
        <v>#VALUE!</v>
      </c>
      <c r="T918" s="1" t="str">
        <f>_xlfn.XLOOKUP(Logs[[#This Row],[ID_Client]],Clients_Log!B:B,Clients_Log!H:H,"Pas de correspondance")</f>
        <v>Pas de correspondance</v>
      </c>
      <c r="U918" s="1" t="str">
        <f>_xlfn.XLOOKUP(Logs[[#This Row],[ID_Client]],Clients_Log!B:B,Clients_Log!I:I,"Pas de correspondance")</f>
        <v>Pas de correspondance</v>
      </c>
      <c r="V91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18" s="1" t="e">
        <f>Logs[[#This Row],[Facture_Mensuelle]]*Logs[[#This Row],[Remise (%)]]</f>
        <v>#VALUE!</v>
      </c>
    </row>
    <row r="919" spans="1:23" hidden="1" x14ac:dyDescent="0.25">
      <c r="A919" s="1" t="s">
        <v>1421</v>
      </c>
      <c r="B919" s="2">
        <v>45227</v>
      </c>
      <c r="C919" s="1" t="str">
        <f>_xlfn.XLOOKUP(Logs[[#This Row],[Province_RDC]],Clients_Log!D:D,Clients_Log!B:B,"Pas de correspondance")</f>
        <v>Pas de correspondance</v>
      </c>
      <c r="D919" t="str">
        <f>_xlfn.XLOOKUP(Logs[[#This Row],[Cell_ID]],'Registre_Maintenance'!B:B,'Registre_Maintenance'!C:C,"Pas de correspondance")</f>
        <v>Pas de correspondance</v>
      </c>
      <c r="E919" s="3">
        <v>0.39305555555555555</v>
      </c>
      <c r="F919" s="1" t="s">
        <v>1082</v>
      </c>
      <c r="G919" s="3">
        <f>Logs[[#This Row],[Duree_Panne_Min]]/1440</f>
        <v>4.6527777777777779E-2</v>
      </c>
      <c r="H919">
        <v>67</v>
      </c>
      <c r="I919" t="str">
        <f>_xlfn.XLOOKUP(Logs[[#This Row],[Cell_ID]],'Registre_Maintenance'!B:B,'Registre_Maintenance'!D:D,"Pas de correspondance")</f>
        <v>Pas de correspondance</v>
      </c>
      <c r="J919" t="str">
        <f>_xlfn.XLOOKUP(Logs[[#This Row],[Cell_ID]],'Registre_Maintenance'!B:B,'Registre_Maintenance'!E:E,"Pas de correspondance")</f>
        <v>Pas de correspondance</v>
      </c>
      <c r="K919" t="str">
        <f>_xlfn.XLOOKUP(Logs[[#This Row],[Cell_ID]],'Registre_Maintenance'!B:B,'Registre_Maintenance'!F:F,"Pas de correspondance")</f>
        <v>Pas de correspondance</v>
      </c>
      <c r="L919" t="str">
        <f>_xlfn.XLOOKUP(Logs[[#This Row],[Cell_ID]],'Registre_Maintenance'!B:B,'Registre_Maintenance'!G:G,"Pas de correspondance")</f>
        <v>Pas de correspondance</v>
      </c>
      <c r="M919" s="1" t="s">
        <v>806</v>
      </c>
      <c r="N919" s="1" t="str">
        <f>_xlfn.XLOOKUP(Logs[[#This Row],[ID_Client]],Clients_Log!B:B,Clients_Log!E:E,"Pas de correspondance")</f>
        <v>Pas de correspondance</v>
      </c>
      <c r="O919" s="4" t="str">
        <f>IFERROR(Logs[[#This Row],[Anciennete_Mois]]/12,"")</f>
        <v/>
      </c>
      <c r="P919" s="1" t="str">
        <f>_xlfn.XLOOKUP(Logs[[#This Row],[ID_Client]],Clients_Log!B:B,Clients_Log!F:F,"Pas de correspondance")</f>
        <v>Pas de correspondance</v>
      </c>
      <c r="Q919" s="1" t="str">
        <f>IF(Logs[[#This Row],[Type_Forfait]]="Pro Monde","B2B","B2C")</f>
        <v>B2C</v>
      </c>
      <c r="R919" s="1" t="str">
        <f>_xlfn.XLOOKUP(Logs[[#This Row],[ID_Client]],Clients_Log!B:B,Clients_Log!G:G,"Pas de correspondance")</f>
        <v>Pas de correspondance</v>
      </c>
      <c r="S919" s="1" t="e">
        <f>Logs[[#This Row],[Duree_Cumulee_Panne_Min]]/1440</f>
        <v>#VALUE!</v>
      </c>
      <c r="T919" s="1" t="str">
        <f>_xlfn.XLOOKUP(Logs[[#This Row],[ID_Client]],Clients_Log!B:B,Clients_Log!H:H,"Pas de correspondance")</f>
        <v>Pas de correspondance</v>
      </c>
      <c r="U919" s="1" t="str">
        <f>_xlfn.XLOOKUP(Logs[[#This Row],[ID_Client]],Clients_Log!B:B,Clients_Log!I:I,"Pas de correspondance")</f>
        <v>Pas de correspondance</v>
      </c>
      <c r="V91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19" s="1" t="e">
        <f>Logs[[#This Row],[Facture_Mensuelle]]*Logs[[#This Row],[Remise (%)]]</f>
        <v>#VALUE!</v>
      </c>
    </row>
    <row r="920" spans="1:23" hidden="1" x14ac:dyDescent="0.25">
      <c r="A920" s="1" t="s">
        <v>1421</v>
      </c>
      <c r="B920" s="2">
        <v>45225</v>
      </c>
      <c r="C920" s="1" t="str">
        <f>_xlfn.XLOOKUP(Logs[[#This Row],[Province_RDC]],Clients_Log!D:D,Clients_Log!B:B,"Pas de correspondance")</f>
        <v>Pas de correspondance</v>
      </c>
      <c r="D920" t="str">
        <f>_xlfn.XLOOKUP(Logs[[#This Row],[Cell_ID]],'Registre_Maintenance'!B:B,'Registre_Maintenance'!C:C,"Pas de correspondance")</f>
        <v>Pas de correspondance</v>
      </c>
      <c r="E920" s="3">
        <v>0.43263888888888891</v>
      </c>
      <c r="F920" s="1" t="s">
        <v>978</v>
      </c>
      <c r="G920" s="3">
        <f>Logs[[#This Row],[Duree_Panne_Min]]/1440</f>
        <v>3.4722222222222224E-2</v>
      </c>
      <c r="H920">
        <v>50</v>
      </c>
      <c r="I920" t="str">
        <f>_xlfn.XLOOKUP(Logs[[#This Row],[Cell_ID]],'Registre_Maintenance'!B:B,'Registre_Maintenance'!D:D,"Pas de correspondance")</f>
        <v>Pas de correspondance</v>
      </c>
      <c r="J920" t="str">
        <f>_xlfn.XLOOKUP(Logs[[#This Row],[Cell_ID]],'Registre_Maintenance'!B:B,'Registre_Maintenance'!E:E,"Pas de correspondance")</f>
        <v>Pas de correspondance</v>
      </c>
      <c r="K920" t="str">
        <f>_xlfn.XLOOKUP(Logs[[#This Row],[Cell_ID]],'Registre_Maintenance'!B:B,'Registre_Maintenance'!F:F,"Pas de correspondance")</f>
        <v>Pas de correspondance</v>
      </c>
      <c r="L920" t="str">
        <f>_xlfn.XLOOKUP(Logs[[#This Row],[Cell_ID]],'Registre_Maintenance'!B:B,'Registre_Maintenance'!G:G,"Pas de correspondance")</f>
        <v>Pas de correspondance</v>
      </c>
      <c r="M920" s="1" t="s">
        <v>809</v>
      </c>
      <c r="N920" s="1" t="str">
        <f>_xlfn.XLOOKUP(Logs[[#This Row],[ID_Client]],Clients_Log!B:B,Clients_Log!E:E,"Pas de correspondance")</f>
        <v>Pas de correspondance</v>
      </c>
      <c r="O920" s="4" t="str">
        <f>IFERROR(Logs[[#This Row],[Anciennete_Mois]]/12,"")</f>
        <v/>
      </c>
      <c r="P920" s="1" t="str">
        <f>_xlfn.XLOOKUP(Logs[[#This Row],[ID_Client]],Clients_Log!B:B,Clients_Log!F:F,"Pas de correspondance")</f>
        <v>Pas de correspondance</v>
      </c>
      <c r="Q920" s="1" t="str">
        <f>IF(Logs[[#This Row],[Type_Forfait]]="Pro Monde","B2B","B2C")</f>
        <v>B2C</v>
      </c>
      <c r="R920" s="1" t="str">
        <f>_xlfn.XLOOKUP(Logs[[#This Row],[ID_Client]],Clients_Log!B:B,Clients_Log!G:G,"Pas de correspondance")</f>
        <v>Pas de correspondance</v>
      </c>
      <c r="S920" s="1" t="e">
        <f>Logs[[#This Row],[Duree_Cumulee_Panne_Min]]/1440</f>
        <v>#VALUE!</v>
      </c>
      <c r="T920" s="1" t="str">
        <f>_xlfn.XLOOKUP(Logs[[#This Row],[ID_Client]],Clients_Log!B:B,Clients_Log!H:H,"Pas de correspondance")</f>
        <v>Pas de correspondance</v>
      </c>
      <c r="U920" s="1" t="str">
        <f>_xlfn.XLOOKUP(Logs[[#This Row],[ID_Client]],Clients_Log!B:B,Clients_Log!I:I,"Pas de correspondance")</f>
        <v>Pas de correspondance</v>
      </c>
      <c r="V92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20" s="1" t="e">
        <f>Logs[[#This Row],[Facture_Mensuelle]]*Logs[[#This Row],[Remise (%)]]</f>
        <v>#VALUE!</v>
      </c>
    </row>
    <row r="921" spans="1:23" hidden="1" x14ac:dyDescent="0.25">
      <c r="A921" s="1" t="s">
        <v>1421</v>
      </c>
      <c r="B921" s="2">
        <v>45208</v>
      </c>
      <c r="C921" s="1" t="str">
        <f>_xlfn.XLOOKUP(Logs[[#This Row],[Province_RDC]],Clients_Log!D:D,Clients_Log!B:B,"Pas de correspondance")</f>
        <v>Pas de correspondance</v>
      </c>
      <c r="D921" t="str">
        <f>_xlfn.XLOOKUP(Logs[[#This Row],[Cell_ID]],'Registre_Maintenance'!B:B,'Registre_Maintenance'!C:C,"Pas de correspondance")</f>
        <v>Pas de correspondance</v>
      </c>
      <c r="E921" s="3">
        <v>0.76249999999999996</v>
      </c>
      <c r="F921" s="1" t="s">
        <v>1423</v>
      </c>
      <c r="G921" s="3">
        <f>Logs[[#This Row],[Duree_Panne_Min]]/1440</f>
        <v>7.013888888888889E-2</v>
      </c>
      <c r="H921">
        <v>101</v>
      </c>
      <c r="I921" t="str">
        <f>_xlfn.XLOOKUP(Logs[[#This Row],[Cell_ID]],'Registre_Maintenance'!B:B,'Registre_Maintenance'!D:D,"Pas de correspondance")</f>
        <v>Pas de correspondance</v>
      </c>
      <c r="J921" t="str">
        <f>_xlfn.XLOOKUP(Logs[[#This Row],[Cell_ID]],'Registre_Maintenance'!B:B,'Registre_Maintenance'!E:E,"Pas de correspondance")</f>
        <v>Pas de correspondance</v>
      </c>
      <c r="K921" t="str">
        <f>_xlfn.XLOOKUP(Logs[[#This Row],[Cell_ID]],'Registre_Maintenance'!B:B,'Registre_Maintenance'!F:F,"Pas de correspondance")</f>
        <v>Pas de correspondance</v>
      </c>
      <c r="L921" t="str">
        <f>_xlfn.XLOOKUP(Logs[[#This Row],[Cell_ID]],'Registre_Maintenance'!B:B,'Registre_Maintenance'!G:G,"Pas de correspondance")</f>
        <v>Pas de correspondance</v>
      </c>
      <c r="M921" s="1" t="s">
        <v>806</v>
      </c>
      <c r="N921" s="1" t="str">
        <f>_xlfn.XLOOKUP(Logs[[#This Row],[ID_Client]],Clients_Log!B:B,Clients_Log!E:E,"Pas de correspondance")</f>
        <v>Pas de correspondance</v>
      </c>
      <c r="O921" s="4" t="str">
        <f>IFERROR(Logs[[#This Row],[Anciennete_Mois]]/12,"")</f>
        <v/>
      </c>
      <c r="P921" s="1" t="str">
        <f>_xlfn.XLOOKUP(Logs[[#This Row],[ID_Client]],Clients_Log!B:B,Clients_Log!F:F,"Pas de correspondance")</f>
        <v>Pas de correspondance</v>
      </c>
      <c r="Q921" s="1" t="str">
        <f>IF(Logs[[#This Row],[Type_Forfait]]="Pro Monde","B2B","B2C")</f>
        <v>B2C</v>
      </c>
      <c r="R921" s="1" t="str">
        <f>_xlfn.XLOOKUP(Logs[[#This Row],[ID_Client]],Clients_Log!B:B,Clients_Log!G:G,"Pas de correspondance")</f>
        <v>Pas de correspondance</v>
      </c>
      <c r="S921" s="1" t="e">
        <f>Logs[[#This Row],[Duree_Cumulee_Panne_Min]]/1440</f>
        <v>#VALUE!</v>
      </c>
      <c r="T921" s="1" t="str">
        <f>_xlfn.XLOOKUP(Logs[[#This Row],[ID_Client]],Clients_Log!B:B,Clients_Log!H:H,"Pas de correspondance")</f>
        <v>Pas de correspondance</v>
      </c>
      <c r="U921" s="1" t="str">
        <f>_xlfn.XLOOKUP(Logs[[#This Row],[ID_Client]],Clients_Log!B:B,Clients_Log!I:I,"Pas de correspondance")</f>
        <v>Pas de correspondance</v>
      </c>
      <c r="V92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21" s="1" t="e">
        <f>Logs[[#This Row],[Facture_Mensuelle]]*Logs[[#This Row],[Remise (%)]]</f>
        <v>#VALUE!</v>
      </c>
    </row>
    <row r="922" spans="1:23" hidden="1" x14ac:dyDescent="0.25">
      <c r="A922" s="1" t="s">
        <v>1421</v>
      </c>
      <c r="B922" s="2">
        <v>45214</v>
      </c>
      <c r="C922" s="1" t="str">
        <f>_xlfn.XLOOKUP(Logs[[#This Row],[Province_RDC]],Clients_Log!D:D,Clients_Log!B:B,"Pas de correspondance")</f>
        <v>Pas de correspondance</v>
      </c>
      <c r="D922" t="str">
        <f>_xlfn.XLOOKUP(Logs[[#This Row],[Cell_ID]],'Registre_Maintenance'!B:B,'Registre_Maintenance'!C:C,"Pas de correspondance")</f>
        <v>Pas de correspondance</v>
      </c>
      <c r="E922" s="3">
        <v>0.14583333333333334</v>
      </c>
      <c r="F922" s="1" t="s">
        <v>1055</v>
      </c>
      <c r="G922" s="3">
        <f>Logs[[#This Row],[Duree_Panne_Min]]/1440</f>
        <v>2.013888888888889E-2</v>
      </c>
      <c r="H922">
        <v>29</v>
      </c>
      <c r="I922" t="str">
        <f>_xlfn.XLOOKUP(Logs[[#This Row],[Cell_ID]],'Registre_Maintenance'!B:B,'Registre_Maintenance'!D:D,"Pas de correspondance")</f>
        <v>Pas de correspondance</v>
      </c>
      <c r="J922" t="str">
        <f>_xlfn.XLOOKUP(Logs[[#This Row],[Cell_ID]],'Registre_Maintenance'!B:B,'Registre_Maintenance'!E:E,"Pas de correspondance")</f>
        <v>Pas de correspondance</v>
      </c>
      <c r="K922" t="str">
        <f>_xlfn.XLOOKUP(Logs[[#This Row],[Cell_ID]],'Registre_Maintenance'!B:B,'Registre_Maintenance'!F:F,"Pas de correspondance")</f>
        <v>Pas de correspondance</v>
      </c>
      <c r="L922" t="str">
        <f>_xlfn.XLOOKUP(Logs[[#This Row],[Cell_ID]],'Registre_Maintenance'!B:B,'Registre_Maintenance'!G:G,"Pas de correspondance")</f>
        <v>Pas de correspondance</v>
      </c>
      <c r="M922" s="1" t="s">
        <v>811</v>
      </c>
      <c r="N922" s="1" t="str">
        <f>_xlfn.XLOOKUP(Logs[[#This Row],[ID_Client]],Clients_Log!B:B,Clients_Log!E:E,"Pas de correspondance")</f>
        <v>Pas de correspondance</v>
      </c>
      <c r="O922" s="4" t="str">
        <f>IFERROR(Logs[[#This Row],[Anciennete_Mois]]/12,"")</f>
        <v/>
      </c>
      <c r="P922" s="1" t="str">
        <f>_xlfn.XLOOKUP(Logs[[#This Row],[ID_Client]],Clients_Log!B:B,Clients_Log!F:F,"Pas de correspondance")</f>
        <v>Pas de correspondance</v>
      </c>
      <c r="Q922" s="1" t="str">
        <f>IF(Logs[[#This Row],[Type_Forfait]]="Pro Monde","B2B","B2C")</f>
        <v>B2C</v>
      </c>
      <c r="R922" s="1" t="str">
        <f>_xlfn.XLOOKUP(Logs[[#This Row],[ID_Client]],Clients_Log!B:B,Clients_Log!G:G,"Pas de correspondance")</f>
        <v>Pas de correspondance</v>
      </c>
      <c r="S922" s="1" t="e">
        <f>Logs[[#This Row],[Duree_Cumulee_Panne_Min]]/1440</f>
        <v>#VALUE!</v>
      </c>
      <c r="T922" s="1" t="str">
        <f>_xlfn.XLOOKUP(Logs[[#This Row],[ID_Client]],Clients_Log!B:B,Clients_Log!H:H,"Pas de correspondance")</f>
        <v>Pas de correspondance</v>
      </c>
      <c r="U922" s="1" t="str">
        <f>_xlfn.XLOOKUP(Logs[[#This Row],[ID_Client]],Clients_Log!B:B,Clients_Log!I:I,"Pas de correspondance")</f>
        <v>Pas de correspondance</v>
      </c>
      <c r="V92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22" s="1" t="e">
        <f>Logs[[#This Row],[Facture_Mensuelle]]*Logs[[#This Row],[Remise (%)]]</f>
        <v>#VALUE!</v>
      </c>
    </row>
    <row r="923" spans="1:23" hidden="1" x14ac:dyDescent="0.25">
      <c r="A923" s="1" t="s">
        <v>1421</v>
      </c>
      <c r="B923" s="2">
        <v>45201</v>
      </c>
      <c r="C923" s="1" t="str">
        <f>_xlfn.XLOOKUP(Logs[[#This Row],[Province_RDC]],Clients_Log!D:D,Clients_Log!B:B,"Pas de correspondance")</f>
        <v>Pas de correspondance</v>
      </c>
      <c r="D923" t="str">
        <f>_xlfn.XLOOKUP(Logs[[#This Row],[Cell_ID]],'Registre_Maintenance'!B:B,'Registre_Maintenance'!C:C,"Pas de correspondance")</f>
        <v>Pas de correspondance</v>
      </c>
      <c r="E923" s="3">
        <v>0.85902777777777772</v>
      </c>
      <c r="F923" s="1" t="s">
        <v>1424</v>
      </c>
      <c r="G923" s="3">
        <f>Logs[[#This Row],[Duree_Panne_Min]]/1440</f>
        <v>1.8055555555555554E-2</v>
      </c>
      <c r="H923">
        <v>26</v>
      </c>
      <c r="I923" t="str">
        <f>_xlfn.XLOOKUP(Logs[[#This Row],[Cell_ID]],'Registre_Maintenance'!B:B,'Registre_Maintenance'!D:D,"Pas de correspondance")</f>
        <v>Pas de correspondance</v>
      </c>
      <c r="J923" t="str">
        <f>_xlfn.XLOOKUP(Logs[[#This Row],[Cell_ID]],'Registre_Maintenance'!B:B,'Registre_Maintenance'!E:E,"Pas de correspondance")</f>
        <v>Pas de correspondance</v>
      </c>
      <c r="K923" t="str">
        <f>_xlfn.XLOOKUP(Logs[[#This Row],[Cell_ID]],'Registre_Maintenance'!B:B,'Registre_Maintenance'!F:F,"Pas de correspondance")</f>
        <v>Pas de correspondance</v>
      </c>
      <c r="L923" t="str">
        <f>_xlfn.XLOOKUP(Logs[[#This Row],[Cell_ID]],'Registre_Maintenance'!B:B,'Registre_Maintenance'!G:G,"Pas de correspondance")</f>
        <v>Pas de correspondance</v>
      </c>
      <c r="M923" s="1" t="s">
        <v>809</v>
      </c>
      <c r="N923" s="1" t="str">
        <f>_xlfn.XLOOKUP(Logs[[#This Row],[ID_Client]],Clients_Log!B:B,Clients_Log!E:E,"Pas de correspondance")</f>
        <v>Pas de correspondance</v>
      </c>
      <c r="O923" s="4" t="str">
        <f>IFERROR(Logs[[#This Row],[Anciennete_Mois]]/12,"")</f>
        <v/>
      </c>
      <c r="P923" s="1" t="str">
        <f>_xlfn.XLOOKUP(Logs[[#This Row],[ID_Client]],Clients_Log!B:B,Clients_Log!F:F,"Pas de correspondance")</f>
        <v>Pas de correspondance</v>
      </c>
      <c r="Q923" s="1" t="str">
        <f>IF(Logs[[#This Row],[Type_Forfait]]="Pro Monde","B2B","B2C")</f>
        <v>B2C</v>
      </c>
      <c r="R923" s="1" t="str">
        <f>_xlfn.XLOOKUP(Logs[[#This Row],[ID_Client]],Clients_Log!B:B,Clients_Log!G:G,"Pas de correspondance")</f>
        <v>Pas de correspondance</v>
      </c>
      <c r="S923" s="1" t="e">
        <f>Logs[[#This Row],[Duree_Cumulee_Panne_Min]]/1440</f>
        <v>#VALUE!</v>
      </c>
      <c r="T923" s="1" t="str">
        <f>_xlfn.XLOOKUP(Logs[[#This Row],[ID_Client]],Clients_Log!B:B,Clients_Log!H:H,"Pas de correspondance")</f>
        <v>Pas de correspondance</v>
      </c>
      <c r="U923" s="1" t="str">
        <f>_xlfn.XLOOKUP(Logs[[#This Row],[ID_Client]],Clients_Log!B:B,Clients_Log!I:I,"Pas de correspondance")</f>
        <v>Pas de correspondance</v>
      </c>
      <c r="V92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23" s="1" t="e">
        <f>Logs[[#This Row],[Facture_Mensuelle]]*Logs[[#This Row],[Remise (%)]]</f>
        <v>#VALUE!</v>
      </c>
    </row>
    <row r="924" spans="1:23" hidden="1" x14ac:dyDescent="0.25">
      <c r="A924" s="1" t="s">
        <v>1421</v>
      </c>
      <c r="B924" s="2">
        <v>45218</v>
      </c>
      <c r="C924" s="1" t="str">
        <f>_xlfn.XLOOKUP(Logs[[#This Row],[Province_RDC]],Clients_Log!D:D,Clients_Log!B:B,"Pas de correspondance")</f>
        <v>Pas de correspondance</v>
      </c>
      <c r="D924" t="str">
        <f>_xlfn.XLOOKUP(Logs[[#This Row],[Cell_ID]],'Registre_Maintenance'!B:B,'Registre_Maintenance'!C:C,"Pas de correspondance")</f>
        <v>Pas de correspondance</v>
      </c>
      <c r="E924" s="3">
        <v>0.7944444444444444</v>
      </c>
      <c r="F924" s="1" t="s">
        <v>1425</v>
      </c>
      <c r="G924" s="3">
        <f>Logs[[#This Row],[Duree_Panne_Min]]/1440</f>
        <v>7.4999999999999997E-2</v>
      </c>
      <c r="H924">
        <v>108</v>
      </c>
      <c r="I924" t="str">
        <f>_xlfn.XLOOKUP(Logs[[#This Row],[Cell_ID]],'Registre_Maintenance'!B:B,'Registre_Maintenance'!D:D,"Pas de correspondance")</f>
        <v>Pas de correspondance</v>
      </c>
      <c r="J924" t="str">
        <f>_xlfn.XLOOKUP(Logs[[#This Row],[Cell_ID]],'Registre_Maintenance'!B:B,'Registre_Maintenance'!E:E,"Pas de correspondance")</f>
        <v>Pas de correspondance</v>
      </c>
      <c r="K924" t="str">
        <f>_xlfn.XLOOKUP(Logs[[#This Row],[Cell_ID]],'Registre_Maintenance'!B:B,'Registre_Maintenance'!F:F,"Pas de correspondance")</f>
        <v>Pas de correspondance</v>
      </c>
      <c r="L924" t="str">
        <f>_xlfn.XLOOKUP(Logs[[#This Row],[Cell_ID]],'Registre_Maintenance'!B:B,'Registre_Maintenance'!G:G,"Pas de correspondance")</f>
        <v>Pas de correspondance</v>
      </c>
      <c r="M924" s="1" t="s">
        <v>806</v>
      </c>
      <c r="N924" s="1" t="str">
        <f>_xlfn.XLOOKUP(Logs[[#This Row],[ID_Client]],Clients_Log!B:B,Clients_Log!E:E,"Pas de correspondance")</f>
        <v>Pas de correspondance</v>
      </c>
      <c r="O924" s="4" t="str">
        <f>IFERROR(Logs[[#This Row],[Anciennete_Mois]]/12,"")</f>
        <v/>
      </c>
      <c r="P924" s="1" t="str">
        <f>_xlfn.XLOOKUP(Logs[[#This Row],[ID_Client]],Clients_Log!B:B,Clients_Log!F:F,"Pas de correspondance")</f>
        <v>Pas de correspondance</v>
      </c>
      <c r="Q924" s="1" t="str">
        <f>IF(Logs[[#This Row],[Type_Forfait]]="Pro Monde","B2B","B2C")</f>
        <v>B2C</v>
      </c>
      <c r="R924" s="1" t="str">
        <f>_xlfn.XLOOKUP(Logs[[#This Row],[ID_Client]],Clients_Log!B:B,Clients_Log!G:G,"Pas de correspondance")</f>
        <v>Pas de correspondance</v>
      </c>
      <c r="S924" s="1" t="e">
        <f>Logs[[#This Row],[Duree_Cumulee_Panne_Min]]/1440</f>
        <v>#VALUE!</v>
      </c>
      <c r="T924" s="1" t="str">
        <f>_xlfn.XLOOKUP(Logs[[#This Row],[ID_Client]],Clients_Log!B:B,Clients_Log!H:H,"Pas de correspondance")</f>
        <v>Pas de correspondance</v>
      </c>
      <c r="U924" s="1" t="str">
        <f>_xlfn.XLOOKUP(Logs[[#This Row],[ID_Client]],Clients_Log!B:B,Clients_Log!I:I,"Pas de correspondance")</f>
        <v>Pas de correspondance</v>
      </c>
      <c r="V92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24" s="1" t="e">
        <f>Logs[[#This Row],[Facture_Mensuelle]]*Logs[[#This Row],[Remise (%)]]</f>
        <v>#VALUE!</v>
      </c>
    </row>
    <row r="925" spans="1:23" hidden="1" x14ac:dyDescent="0.25">
      <c r="A925" s="1" t="s">
        <v>1421</v>
      </c>
      <c r="B925" s="2">
        <v>45215</v>
      </c>
      <c r="C925" s="1" t="str">
        <f>_xlfn.XLOOKUP(Logs[[#This Row],[Province_RDC]],Clients_Log!D:D,Clients_Log!B:B,"Pas de correspondance")</f>
        <v>Pas de correspondance</v>
      </c>
      <c r="D925" t="str">
        <f>_xlfn.XLOOKUP(Logs[[#This Row],[Cell_ID]],'Registre_Maintenance'!B:B,'Registre_Maintenance'!C:C,"Pas de correspondance")</f>
        <v>Pas de correspondance</v>
      </c>
      <c r="E925" s="3">
        <v>0.2722222222222222</v>
      </c>
      <c r="F925" s="1" t="s">
        <v>1426</v>
      </c>
      <c r="G925" s="3">
        <f>Logs[[#This Row],[Duree_Panne_Min]]/1440</f>
        <v>3.888888888888889E-2</v>
      </c>
      <c r="H925">
        <v>56</v>
      </c>
      <c r="I925" t="str">
        <f>_xlfn.XLOOKUP(Logs[[#This Row],[Cell_ID]],'Registre_Maintenance'!B:B,'Registre_Maintenance'!D:D,"Pas de correspondance")</f>
        <v>Pas de correspondance</v>
      </c>
      <c r="J925" t="str">
        <f>_xlfn.XLOOKUP(Logs[[#This Row],[Cell_ID]],'Registre_Maintenance'!B:B,'Registre_Maintenance'!E:E,"Pas de correspondance")</f>
        <v>Pas de correspondance</v>
      </c>
      <c r="K925" t="str">
        <f>_xlfn.XLOOKUP(Logs[[#This Row],[Cell_ID]],'Registre_Maintenance'!B:B,'Registre_Maintenance'!F:F,"Pas de correspondance")</f>
        <v>Pas de correspondance</v>
      </c>
      <c r="L925" t="str">
        <f>_xlfn.XLOOKUP(Logs[[#This Row],[Cell_ID]],'Registre_Maintenance'!B:B,'Registre_Maintenance'!G:G,"Pas de correspondance")</f>
        <v>Pas de correspondance</v>
      </c>
      <c r="M925" s="1" t="s">
        <v>811</v>
      </c>
      <c r="N925" s="1" t="str">
        <f>_xlfn.XLOOKUP(Logs[[#This Row],[ID_Client]],Clients_Log!B:B,Clients_Log!E:E,"Pas de correspondance")</f>
        <v>Pas de correspondance</v>
      </c>
      <c r="O925" s="4" t="str">
        <f>IFERROR(Logs[[#This Row],[Anciennete_Mois]]/12,"")</f>
        <v/>
      </c>
      <c r="P925" s="1" t="str">
        <f>_xlfn.XLOOKUP(Logs[[#This Row],[ID_Client]],Clients_Log!B:B,Clients_Log!F:F,"Pas de correspondance")</f>
        <v>Pas de correspondance</v>
      </c>
      <c r="Q925" s="1" t="str">
        <f>IF(Logs[[#This Row],[Type_Forfait]]="Pro Monde","B2B","B2C")</f>
        <v>B2C</v>
      </c>
      <c r="R925" s="1" t="str">
        <f>_xlfn.XLOOKUP(Logs[[#This Row],[ID_Client]],Clients_Log!B:B,Clients_Log!G:G,"Pas de correspondance")</f>
        <v>Pas de correspondance</v>
      </c>
      <c r="S925" s="1" t="e">
        <f>Logs[[#This Row],[Duree_Cumulee_Panne_Min]]/1440</f>
        <v>#VALUE!</v>
      </c>
      <c r="T925" s="1" t="str">
        <f>_xlfn.XLOOKUP(Logs[[#This Row],[ID_Client]],Clients_Log!B:B,Clients_Log!H:H,"Pas de correspondance")</f>
        <v>Pas de correspondance</v>
      </c>
      <c r="U925" s="1" t="str">
        <f>_xlfn.XLOOKUP(Logs[[#This Row],[ID_Client]],Clients_Log!B:B,Clients_Log!I:I,"Pas de correspondance")</f>
        <v>Pas de correspondance</v>
      </c>
      <c r="V92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25" s="1" t="e">
        <f>Logs[[#This Row],[Facture_Mensuelle]]*Logs[[#This Row],[Remise (%)]]</f>
        <v>#VALUE!</v>
      </c>
    </row>
    <row r="926" spans="1:23" hidden="1" x14ac:dyDescent="0.25">
      <c r="A926" s="1" t="s">
        <v>1421</v>
      </c>
      <c r="B926" s="2">
        <v>45203</v>
      </c>
      <c r="C926" s="1" t="str">
        <f>_xlfn.XLOOKUP(Logs[[#This Row],[Province_RDC]],Clients_Log!D:D,Clients_Log!B:B,"Pas de correspondance")</f>
        <v>Pas de correspondance</v>
      </c>
      <c r="D926" t="str">
        <f>_xlfn.XLOOKUP(Logs[[#This Row],[Cell_ID]],'Registre_Maintenance'!B:B,'Registre_Maintenance'!C:C,"Pas de correspondance")</f>
        <v>Pas de correspondance</v>
      </c>
      <c r="E926" s="3">
        <v>0.89166666666666672</v>
      </c>
      <c r="F926" s="1" t="s">
        <v>977</v>
      </c>
      <c r="G926" s="3">
        <f>Logs[[#This Row],[Duree_Panne_Min]]/1440</f>
        <v>4.8611111111111112E-3</v>
      </c>
      <c r="H926">
        <v>7</v>
      </c>
      <c r="I926" t="str">
        <f>_xlfn.XLOOKUP(Logs[[#This Row],[Cell_ID]],'Registre_Maintenance'!B:B,'Registre_Maintenance'!D:D,"Pas de correspondance")</f>
        <v>Pas de correspondance</v>
      </c>
      <c r="J926" t="str">
        <f>_xlfn.XLOOKUP(Logs[[#This Row],[Cell_ID]],'Registre_Maintenance'!B:B,'Registre_Maintenance'!E:E,"Pas de correspondance")</f>
        <v>Pas de correspondance</v>
      </c>
      <c r="K926" t="str">
        <f>_xlfn.XLOOKUP(Logs[[#This Row],[Cell_ID]],'Registre_Maintenance'!B:B,'Registre_Maintenance'!F:F,"Pas de correspondance")</f>
        <v>Pas de correspondance</v>
      </c>
      <c r="L926" t="str">
        <f>_xlfn.XLOOKUP(Logs[[#This Row],[Cell_ID]],'Registre_Maintenance'!B:B,'Registre_Maintenance'!G:G,"Pas de correspondance")</f>
        <v>Pas de correspondance</v>
      </c>
      <c r="M926" s="1" t="s">
        <v>809</v>
      </c>
      <c r="N926" s="1" t="str">
        <f>_xlfn.XLOOKUP(Logs[[#This Row],[ID_Client]],Clients_Log!B:B,Clients_Log!E:E,"Pas de correspondance")</f>
        <v>Pas de correspondance</v>
      </c>
      <c r="O926" s="4" t="str">
        <f>IFERROR(Logs[[#This Row],[Anciennete_Mois]]/12,"")</f>
        <v/>
      </c>
      <c r="P926" s="1" t="str">
        <f>_xlfn.XLOOKUP(Logs[[#This Row],[ID_Client]],Clients_Log!B:B,Clients_Log!F:F,"Pas de correspondance")</f>
        <v>Pas de correspondance</v>
      </c>
      <c r="Q926" s="1" t="str">
        <f>IF(Logs[[#This Row],[Type_Forfait]]="Pro Monde","B2B","B2C")</f>
        <v>B2C</v>
      </c>
      <c r="R926" s="1" t="str">
        <f>_xlfn.XLOOKUP(Logs[[#This Row],[ID_Client]],Clients_Log!B:B,Clients_Log!G:G,"Pas de correspondance")</f>
        <v>Pas de correspondance</v>
      </c>
      <c r="S926" s="1" t="e">
        <f>Logs[[#This Row],[Duree_Cumulee_Panne_Min]]/1440</f>
        <v>#VALUE!</v>
      </c>
      <c r="T926" s="1" t="str">
        <f>_xlfn.XLOOKUP(Logs[[#This Row],[ID_Client]],Clients_Log!B:B,Clients_Log!H:H,"Pas de correspondance")</f>
        <v>Pas de correspondance</v>
      </c>
      <c r="U926" s="1" t="str">
        <f>_xlfn.XLOOKUP(Logs[[#This Row],[ID_Client]],Clients_Log!B:B,Clients_Log!I:I,"Pas de correspondance")</f>
        <v>Pas de correspondance</v>
      </c>
      <c r="V92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26" s="1" t="e">
        <f>Logs[[#This Row],[Facture_Mensuelle]]*Logs[[#This Row],[Remise (%)]]</f>
        <v>#VALUE!</v>
      </c>
    </row>
    <row r="927" spans="1:23" hidden="1" x14ac:dyDescent="0.25">
      <c r="A927" s="1" t="s">
        <v>1421</v>
      </c>
      <c r="B927" s="2">
        <v>45216</v>
      </c>
      <c r="C927" s="1" t="str">
        <f>_xlfn.XLOOKUP(Logs[[#This Row],[Province_RDC]],Clients_Log!D:D,Clients_Log!B:B,"Pas de correspondance")</f>
        <v>Pas de correspondance</v>
      </c>
      <c r="D927" t="str">
        <f>_xlfn.XLOOKUP(Logs[[#This Row],[Cell_ID]],'Registre_Maintenance'!B:B,'Registre_Maintenance'!C:C,"Pas de correspondance")</f>
        <v>Pas de correspondance</v>
      </c>
      <c r="E927" s="3">
        <v>0.39305555555555555</v>
      </c>
      <c r="F927" s="1" t="s">
        <v>1427</v>
      </c>
      <c r="G927" s="3">
        <f>Logs[[#This Row],[Duree_Panne_Min]]/1440</f>
        <v>2.361111111111111E-2</v>
      </c>
      <c r="H927">
        <v>34</v>
      </c>
      <c r="I927" t="str">
        <f>_xlfn.XLOOKUP(Logs[[#This Row],[Cell_ID]],'Registre_Maintenance'!B:B,'Registre_Maintenance'!D:D,"Pas de correspondance")</f>
        <v>Pas de correspondance</v>
      </c>
      <c r="J927" t="str">
        <f>_xlfn.XLOOKUP(Logs[[#This Row],[Cell_ID]],'Registre_Maintenance'!B:B,'Registre_Maintenance'!E:E,"Pas de correspondance")</f>
        <v>Pas de correspondance</v>
      </c>
      <c r="K927" t="str">
        <f>_xlfn.XLOOKUP(Logs[[#This Row],[Cell_ID]],'Registre_Maintenance'!B:B,'Registre_Maintenance'!F:F,"Pas de correspondance")</f>
        <v>Pas de correspondance</v>
      </c>
      <c r="L927" t="str">
        <f>_xlfn.XLOOKUP(Logs[[#This Row],[Cell_ID]],'Registre_Maintenance'!B:B,'Registre_Maintenance'!G:G,"Pas de correspondance")</f>
        <v>Pas de correspondance</v>
      </c>
      <c r="M927" s="1" t="s">
        <v>811</v>
      </c>
      <c r="N927" s="1" t="str">
        <f>_xlfn.XLOOKUP(Logs[[#This Row],[ID_Client]],Clients_Log!B:B,Clients_Log!E:E,"Pas de correspondance")</f>
        <v>Pas de correspondance</v>
      </c>
      <c r="O927" s="4" t="str">
        <f>IFERROR(Logs[[#This Row],[Anciennete_Mois]]/12,"")</f>
        <v/>
      </c>
      <c r="P927" s="1" t="str">
        <f>_xlfn.XLOOKUP(Logs[[#This Row],[ID_Client]],Clients_Log!B:B,Clients_Log!F:F,"Pas de correspondance")</f>
        <v>Pas de correspondance</v>
      </c>
      <c r="Q927" s="1" t="str">
        <f>IF(Logs[[#This Row],[Type_Forfait]]="Pro Monde","B2B","B2C")</f>
        <v>B2C</v>
      </c>
      <c r="R927" s="1" t="str">
        <f>_xlfn.XLOOKUP(Logs[[#This Row],[ID_Client]],Clients_Log!B:B,Clients_Log!G:G,"Pas de correspondance")</f>
        <v>Pas de correspondance</v>
      </c>
      <c r="S927" s="1" t="e">
        <f>Logs[[#This Row],[Duree_Cumulee_Panne_Min]]/1440</f>
        <v>#VALUE!</v>
      </c>
      <c r="T927" s="1" t="str">
        <f>_xlfn.XLOOKUP(Logs[[#This Row],[ID_Client]],Clients_Log!B:B,Clients_Log!H:H,"Pas de correspondance")</f>
        <v>Pas de correspondance</v>
      </c>
      <c r="U927" s="1" t="str">
        <f>_xlfn.XLOOKUP(Logs[[#This Row],[ID_Client]],Clients_Log!B:B,Clients_Log!I:I,"Pas de correspondance")</f>
        <v>Pas de correspondance</v>
      </c>
      <c r="V92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27" s="1" t="e">
        <f>Logs[[#This Row],[Facture_Mensuelle]]*Logs[[#This Row],[Remise (%)]]</f>
        <v>#VALUE!</v>
      </c>
    </row>
    <row r="928" spans="1:23" x14ac:dyDescent="0.25">
      <c r="A928" s="1" t="s">
        <v>1421</v>
      </c>
      <c r="B928" s="2">
        <v>45201</v>
      </c>
      <c r="C928" s="1" t="str">
        <f>_xlfn.XLOOKUP(Logs[[#This Row],[Province_RDC]],Clients_Log!D:D,Clients_Log!B:B,"Pas de correspondance")</f>
        <v>CLI-01170</v>
      </c>
      <c r="D928" t="str">
        <f>_xlfn.XLOOKUP(Logs[[#This Row],[Cell_ID]],'Registre_Maintenance'!B:B,'Registre_Maintenance'!C:C,"Pas de correspondance")</f>
        <v>Nord-Ubangi</v>
      </c>
      <c r="E928" s="3">
        <v>0.17222222222222222</v>
      </c>
      <c r="F928" s="1" t="s">
        <v>1428</v>
      </c>
      <c r="G928" s="3">
        <f>Logs[[#This Row],[Duree_Panne_Min]]/1440</f>
        <v>2.2916666666666665E-2</v>
      </c>
      <c r="H928">
        <v>33</v>
      </c>
      <c r="I928">
        <f>_xlfn.XLOOKUP(Logs[[#This Row],[Cell_ID]],'Registre_Maintenance'!B:B,'Registre_Maintenance'!D:D,"Pas de correspondance")</f>
        <v>-7.9987219999999999</v>
      </c>
      <c r="J928">
        <f>_xlfn.XLOOKUP(Logs[[#This Row],[Cell_ID]],'Registre_Maintenance'!B:B,'Registre_Maintenance'!E:E,"Pas de correspondance")</f>
        <v>12.779335</v>
      </c>
      <c r="K928" t="str">
        <f>_xlfn.XLOOKUP(Logs[[#This Row],[Cell_ID]],'Registre_Maintenance'!B:B,'Registre_Maintenance'!F:F,"Pas de correspondance")</f>
        <v>5G</v>
      </c>
      <c r="L928" t="str">
        <f>_xlfn.XLOOKUP(Logs[[#This Row],[Cell_ID]],'Registre_Maintenance'!B:B,'Registre_Maintenance'!G:G,"Pas de correspondance")</f>
        <v>Nokia</v>
      </c>
      <c r="M928" s="1" t="s">
        <v>811</v>
      </c>
      <c r="N928" s="1">
        <f>_xlfn.XLOOKUP(Logs[[#This Row],[ID_Client]],Clients_Log!B:B,Clients_Log!E:E,"Pas de correspondance")</f>
        <v>98</v>
      </c>
      <c r="O928" s="4">
        <f>IFERROR(Logs[[#This Row],[Anciennete_Mois]]/12,"")</f>
        <v>8.1666666666666661</v>
      </c>
      <c r="P928" s="1" t="str">
        <f>_xlfn.XLOOKUP(Logs[[#This Row],[ID_Client]],Clients_Log!B:B,Clients_Log!F:F,"Pas de correspondance")</f>
        <v>Pro Monde</v>
      </c>
      <c r="Q928" s="1" t="str">
        <f>IF(Logs[[#This Row],[Type_Forfait]]="Pro Monde","B2B","B2C")</f>
        <v>B2B</v>
      </c>
      <c r="R928" s="1">
        <f>_xlfn.XLOOKUP(Logs[[#This Row],[ID_Client]],Clients_Log!B:B,Clients_Log!G:G,"Pas de correspondance")</f>
        <v>482</v>
      </c>
      <c r="S928" s="3">
        <f>Logs[[#This Row],[Duree_Cumulee_Panne_Min]]/1440</f>
        <v>0.3347222222222222</v>
      </c>
      <c r="T928" s="1">
        <f>_xlfn.XLOOKUP(Logs[[#This Row],[ID_Client]],Clients_Log!B:B,Clients_Log!H:H,"Pas de correspondance")</f>
        <v>55.04</v>
      </c>
      <c r="U928" s="1">
        <f>_xlfn.XLOOKUP(Logs[[#This Row],[ID_Client]],Clients_Log!B:B,Clients_Log!I:I,"Pas de correspondance")</f>
        <v>5</v>
      </c>
      <c r="V92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28" s="1">
        <f>Logs[[#This Row],[Facture_Mensuelle]]*Logs[[#This Row],[Remise (%)]]</f>
        <v>24.768000000000001</v>
      </c>
    </row>
    <row r="929" spans="1:23" hidden="1" x14ac:dyDescent="0.25">
      <c r="A929" s="1" t="s">
        <v>1421</v>
      </c>
      <c r="B929" s="2">
        <v>45206</v>
      </c>
      <c r="C929" s="1" t="str">
        <f>_xlfn.XLOOKUP(Logs[[#This Row],[Province_RDC]],Clients_Log!D:D,Clients_Log!B:B,"Pas de correspondance")</f>
        <v>Pas de correspondance</v>
      </c>
      <c r="D929" t="str">
        <f>_xlfn.XLOOKUP(Logs[[#This Row],[Cell_ID]],'Registre_Maintenance'!B:B,'Registre_Maintenance'!C:C,"Pas de correspondance")</f>
        <v>Pas de correspondance</v>
      </c>
      <c r="E929" s="3">
        <v>0.43472222222222223</v>
      </c>
      <c r="F929" s="1" t="s">
        <v>829</v>
      </c>
      <c r="G929" s="3">
        <f>Logs[[#This Row],[Duree_Panne_Min]]/1440</f>
        <v>6.805555555555555E-2</v>
      </c>
      <c r="H929">
        <v>98</v>
      </c>
      <c r="I929" t="str">
        <f>_xlfn.XLOOKUP(Logs[[#This Row],[Cell_ID]],'Registre_Maintenance'!B:B,'Registre_Maintenance'!D:D,"Pas de correspondance")</f>
        <v>Pas de correspondance</v>
      </c>
      <c r="J929" t="str">
        <f>_xlfn.XLOOKUP(Logs[[#This Row],[Cell_ID]],'Registre_Maintenance'!B:B,'Registre_Maintenance'!E:E,"Pas de correspondance")</f>
        <v>Pas de correspondance</v>
      </c>
      <c r="K929" t="str">
        <f>_xlfn.XLOOKUP(Logs[[#This Row],[Cell_ID]],'Registre_Maintenance'!B:B,'Registre_Maintenance'!F:F,"Pas de correspondance")</f>
        <v>Pas de correspondance</v>
      </c>
      <c r="L929" t="str">
        <f>_xlfn.XLOOKUP(Logs[[#This Row],[Cell_ID]],'Registre_Maintenance'!B:B,'Registre_Maintenance'!G:G,"Pas de correspondance")</f>
        <v>Pas de correspondance</v>
      </c>
      <c r="M929" s="1" t="s">
        <v>806</v>
      </c>
      <c r="N929" s="1" t="str">
        <f>_xlfn.XLOOKUP(Logs[[#This Row],[ID_Client]],Clients_Log!B:B,Clients_Log!E:E,"Pas de correspondance")</f>
        <v>Pas de correspondance</v>
      </c>
      <c r="O929" s="4" t="str">
        <f>IFERROR(Logs[[#This Row],[Anciennete_Mois]]/12,"")</f>
        <v/>
      </c>
      <c r="P929" s="1" t="str">
        <f>_xlfn.XLOOKUP(Logs[[#This Row],[ID_Client]],Clients_Log!B:B,Clients_Log!F:F,"Pas de correspondance")</f>
        <v>Pas de correspondance</v>
      </c>
      <c r="Q929" s="1" t="str">
        <f>IF(Logs[[#This Row],[Type_Forfait]]="Pro Monde","B2B","B2C")</f>
        <v>B2C</v>
      </c>
      <c r="R929" s="1" t="str">
        <f>_xlfn.XLOOKUP(Logs[[#This Row],[ID_Client]],Clients_Log!B:B,Clients_Log!G:G,"Pas de correspondance")</f>
        <v>Pas de correspondance</v>
      </c>
      <c r="S929" s="1" t="e">
        <f>Logs[[#This Row],[Duree_Cumulee_Panne_Min]]/1440</f>
        <v>#VALUE!</v>
      </c>
      <c r="T929" s="1" t="str">
        <f>_xlfn.XLOOKUP(Logs[[#This Row],[ID_Client]],Clients_Log!B:B,Clients_Log!H:H,"Pas de correspondance")</f>
        <v>Pas de correspondance</v>
      </c>
      <c r="U929" s="1" t="str">
        <f>_xlfn.XLOOKUP(Logs[[#This Row],[ID_Client]],Clients_Log!B:B,Clients_Log!I:I,"Pas de correspondance")</f>
        <v>Pas de correspondance</v>
      </c>
      <c r="V92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29" s="1" t="e">
        <f>Logs[[#This Row],[Facture_Mensuelle]]*Logs[[#This Row],[Remise (%)]]</f>
        <v>#VALUE!</v>
      </c>
    </row>
    <row r="930" spans="1:23" x14ac:dyDescent="0.25">
      <c r="A930" s="1" t="s">
        <v>1421</v>
      </c>
      <c r="B930" s="2">
        <v>45218</v>
      </c>
      <c r="C930" s="1" t="str">
        <f>_xlfn.XLOOKUP(Logs[[#This Row],[Province_RDC]],Clients_Log!D:D,Clients_Log!B:B,"Pas de correspondance")</f>
        <v>CLI-01855</v>
      </c>
      <c r="D930" t="str">
        <f>_xlfn.XLOOKUP(Logs[[#This Row],[Cell_ID]],'Registre_Maintenance'!B:B,'Registre_Maintenance'!C:C,"Pas de correspondance")</f>
        <v>Sud-Kivu</v>
      </c>
      <c r="E930" s="3">
        <v>0.58958333333333335</v>
      </c>
      <c r="F930" s="1" t="s">
        <v>1322</v>
      </c>
      <c r="G930" s="3">
        <f>Logs[[#This Row],[Duree_Panne_Min]]/1440</f>
        <v>1.4583333333333334E-2</v>
      </c>
      <c r="H930">
        <v>21</v>
      </c>
      <c r="I930">
        <f>_xlfn.XLOOKUP(Logs[[#This Row],[Cell_ID]],'Registre_Maintenance'!B:B,'Registre_Maintenance'!D:D,"Pas de correspondance")</f>
        <v>-11.514817000000001</v>
      </c>
      <c r="J930">
        <f>_xlfn.XLOOKUP(Logs[[#This Row],[Cell_ID]],'Registre_Maintenance'!B:B,'Registre_Maintenance'!E:E,"Pas de correspondance")</f>
        <v>24.891375</v>
      </c>
      <c r="K930" t="str">
        <f>_xlfn.XLOOKUP(Logs[[#This Row],[Cell_ID]],'Registre_Maintenance'!B:B,'Registre_Maintenance'!F:F,"Pas de correspondance")</f>
        <v>3G</v>
      </c>
      <c r="L930" t="str">
        <f>_xlfn.XLOOKUP(Logs[[#This Row],[Cell_ID]],'Registre_Maintenance'!B:B,'Registre_Maintenance'!G:G,"Pas de correspondance")</f>
        <v>Nokia</v>
      </c>
      <c r="M930" s="1" t="s">
        <v>806</v>
      </c>
      <c r="N930" s="1">
        <f>_xlfn.XLOOKUP(Logs[[#This Row],[ID_Client]],Clients_Log!B:B,Clients_Log!E:E,"Pas de correspondance")</f>
        <v>101</v>
      </c>
      <c r="O930" s="4">
        <f>IFERROR(Logs[[#This Row],[Anciennete_Mois]]/12,"")</f>
        <v>8.4166666666666661</v>
      </c>
      <c r="P930" s="1" t="str">
        <f>_xlfn.XLOOKUP(Logs[[#This Row],[ID_Client]],Clients_Log!B:B,Clients_Log!F:F,"Pas de correspondance")</f>
        <v>Illimité 50Go</v>
      </c>
      <c r="Q930" s="1" t="str">
        <f>IF(Logs[[#This Row],[Type_Forfait]]="Pro Monde","B2B","B2C")</f>
        <v>B2C</v>
      </c>
      <c r="R930" s="1">
        <f>_xlfn.XLOOKUP(Logs[[#This Row],[ID_Client]],Clients_Log!B:B,Clients_Log!G:G,"Pas de correspondance")</f>
        <v>358</v>
      </c>
      <c r="S930" s="3">
        <f>Logs[[#This Row],[Duree_Cumulee_Panne_Min]]/1440</f>
        <v>0.24861111111111112</v>
      </c>
      <c r="T930" s="1">
        <f>_xlfn.XLOOKUP(Logs[[#This Row],[ID_Client]],Clients_Log!B:B,Clients_Log!H:H,"Pas de correspondance")</f>
        <v>29.24</v>
      </c>
      <c r="U930" s="1">
        <f>_xlfn.XLOOKUP(Logs[[#This Row],[ID_Client]],Clients_Log!B:B,Clients_Log!I:I,"Pas de correspondance")</f>
        <v>3</v>
      </c>
      <c r="V93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30" s="1">
        <f>Logs[[#This Row],[Facture_Mensuelle]]*Logs[[#This Row],[Remise (%)]]</f>
        <v>13.157999999999999</v>
      </c>
    </row>
    <row r="931" spans="1:23" hidden="1" x14ac:dyDescent="0.25">
      <c r="A931" s="1" t="s">
        <v>1421</v>
      </c>
      <c r="B931" s="2">
        <v>45210</v>
      </c>
      <c r="C931" s="1" t="str">
        <f>_xlfn.XLOOKUP(Logs[[#This Row],[Province_RDC]],Clients_Log!D:D,Clients_Log!B:B,"Pas de correspondance")</f>
        <v>Pas de correspondance</v>
      </c>
      <c r="D931" t="str">
        <f>_xlfn.XLOOKUP(Logs[[#This Row],[Cell_ID]],'Registre_Maintenance'!B:B,'Registre_Maintenance'!C:C,"Pas de correspondance")</f>
        <v>Pas de correspondance</v>
      </c>
      <c r="E931" s="3">
        <v>0.9243055555555556</v>
      </c>
      <c r="F931" s="1" t="s">
        <v>1429</v>
      </c>
      <c r="G931" s="3">
        <f>Logs[[#This Row],[Duree_Panne_Min]]/1440</f>
        <v>2.2222222222222223E-2</v>
      </c>
      <c r="H931">
        <v>32</v>
      </c>
      <c r="I931" t="str">
        <f>_xlfn.XLOOKUP(Logs[[#This Row],[Cell_ID]],'Registre_Maintenance'!B:B,'Registre_Maintenance'!D:D,"Pas de correspondance")</f>
        <v>Pas de correspondance</v>
      </c>
      <c r="J931" t="str">
        <f>_xlfn.XLOOKUP(Logs[[#This Row],[Cell_ID]],'Registre_Maintenance'!B:B,'Registre_Maintenance'!E:E,"Pas de correspondance")</f>
        <v>Pas de correspondance</v>
      </c>
      <c r="K931" t="str">
        <f>_xlfn.XLOOKUP(Logs[[#This Row],[Cell_ID]],'Registre_Maintenance'!B:B,'Registre_Maintenance'!F:F,"Pas de correspondance")</f>
        <v>Pas de correspondance</v>
      </c>
      <c r="L931" t="str">
        <f>_xlfn.XLOOKUP(Logs[[#This Row],[Cell_ID]],'Registre_Maintenance'!B:B,'Registre_Maintenance'!G:G,"Pas de correspondance")</f>
        <v>Pas de correspondance</v>
      </c>
      <c r="M931" s="1" t="s">
        <v>809</v>
      </c>
      <c r="N931" s="1" t="str">
        <f>_xlfn.XLOOKUP(Logs[[#This Row],[ID_Client]],Clients_Log!B:B,Clients_Log!E:E,"Pas de correspondance")</f>
        <v>Pas de correspondance</v>
      </c>
      <c r="O931" s="4" t="str">
        <f>IFERROR(Logs[[#This Row],[Anciennete_Mois]]/12,"")</f>
        <v/>
      </c>
      <c r="P931" s="1" t="str">
        <f>_xlfn.XLOOKUP(Logs[[#This Row],[ID_Client]],Clients_Log!B:B,Clients_Log!F:F,"Pas de correspondance")</f>
        <v>Pas de correspondance</v>
      </c>
      <c r="Q931" s="1" t="str">
        <f>IF(Logs[[#This Row],[Type_Forfait]]="Pro Monde","B2B","B2C")</f>
        <v>B2C</v>
      </c>
      <c r="R931" s="1" t="str">
        <f>_xlfn.XLOOKUP(Logs[[#This Row],[ID_Client]],Clients_Log!B:B,Clients_Log!G:G,"Pas de correspondance")</f>
        <v>Pas de correspondance</v>
      </c>
      <c r="S931" s="1" t="e">
        <f>Logs[[#This Row],[Duree_Cumulee_Panne_Min]]/1440</f>
        <v>#VALUE!</v>
      </c>
      <c r="T931" s="1" t="str">
        <f>_xlfn.XLOOKUP(Logs[[#This Row],[ID_Client]],Clients_Log!B:B,Clients_Log!H:H,"Pas de correspondance")</f>
        <v>Pas de correspondance</v>
      </c>
      <c r="U931" s="1" t="str">
        <f>_xlfn.XLOOKUP(Logs[[#This Row],[ID_Client]],Clients_Log!B:B,Clients_Log!I:I,"Pas de correspondance")</f>
        <v>Pas de correspondance</v>
      </c>
      <c r="V93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31" s="1" t="e">
        <f>Logs[[#This Row],[Facture_Mensuelle]]*Logs[[#This Row],[Remise (%)]]</f>
        <v>#VALUE!</v>
      </c>
    </row>
    <row r="932" spans="1:23" x14ac:dyDescent="0.25">
      <c r="A932" s="1" t="s">
        <v>1421</v>
      </c>
      <c r="B932" s="2">
        <v>45224</v>
      </c>
      <c r="C932" s="1" t="str">
        <f>_xlfn.XLOOKUP(Logs[[#This Row],[Province_RDC]],Clients_Log!D:D,Clients_Log!B:B,"Pas de correspondance")</f>
        <v>CLI-01618</v>
      </c>
      <c r="D932" t="str">
        <f>_xlfn.XLOOKUP(Logs[[#This Row],[Cell_ID]],'Registre_Maintenance'!B:B,'Registre_Maintenance'!C:C,"Pas de correspondance")</f>
        <v>Tanganyika</v>
      </c>
      <c r="E932" s="3">
        <v>0.10486111111111111</v>
      </c>
      <c r="F932" s="1" t="s">
        <v>1430</v>
      </c>
      <c r="G932" s="3">
        <f>Logs[[#This Row],[Duree_Panne_Min]]/1440</f>
        <v>6.805555555555555E-2</v>
      </c>
      <c r="H932">
        <v>98</v>
      </c>
      <c r="I932">
        <f>_xlfn.XLOOKUP(Logs[[#This Row],[Cell_ID]],'Registre_Maintenance'!B:B,'Registre_Maintenance'!D:D,"Pas de correspondance")</f>
        <v>-7.0007840000000003</v>
      </c>
      <c r="J932">
        <f>_xlfn.XLOOKUP(Logs[[#This Row],[Cell_ID]],'Registre_Maintenance'!B:B,'Registre_Maintenance'!E:E,"Pas de correspondance")</f>
        <v>22.787997000000001</v>
      </c>
      <c r="K932" t="str">
        <f>_xlfn.XLOOKUP(Logs[[#This Row],[Cell_ID]],'Registre_Maintenance'!B:B,'Registre_Maintenance'!F:F,"Pas de correspondance")</f>
        <v>5G</v>
      </c>
      <c r="L932" t="str">
        <f>_xlfn.XLOOKUP(Logs[[#This Row],[Cell_ID]],'Registre_Maintenance'!B:B,'Registre_Maintenance'!G:G,"Pas de correspondance")</f>
        <v>ZTE</v>
      </c>
      <c r="M932" s="1" t="s">
        <v>811</v>
      </c>
      <c r="N932" s="1">
        <f>_xlfn.XLOOKUP(Logs[[#This Row],[ID_Client]],Clients_Log!B:B,Clients_Log!E:E,"Pas de correspondance")</f>
        <v>115</v>
      </c>
      <c r="O932" s="4">
        <f>IFERROR(Logs[[#This Row],[Anciennete_Mois]]/12,"")</f>
        <v>9.5833333333333339</v>
      </c>
      <c r="P932" s="1" t="str">
        <f>_xlfn.XLOOKUP(Logs[[#This Row],[ID_Client]],Clients_Log!B:B,Clients_Log!F:F,"Pas de correspondance")</f>
        <v>Bloqué 5Go</v>
      </c>
      <c r="Q932" s="1" t="str">
        <f>IF(Logs[[#This Row],[Type_Forfait]]="Pro Monde","B2B","B2C")</f>
        <v>B2C</v>
      </c>
      <c r="R932" s="1">
        <f>_xlfn.XLOOKUP(Logs[[#This Row],[ID_Client]],Clients_Log!B:B,Clients_Log!G:G,"Pas de correspondance")</f>
        <v>176</v>
      </c>
      <c r="S932" s="3">
        <f>Logs[[#This Row],[Duree_Cumulee_Panne_Min]]/1440</f>
        <v>0.12222222222222222</v>
      </c>
      <c r="T932" s="1">
        <f>_xlfn.XLOOKUP(Logs[[#This Row],[ID_Client]],Clients_Log!B:B,Clients_Log!H:H,"Pas de correspondance")</f>
        <v>33.28</v>
      </c>
      <c r="U932" s="1">
        <f>_xlfn.XLOOKUP(Logs[[#This Row],[ID_Client]],Clients_Log!B:B,Clients_Log!I:I,"Pas de correspondance")</f>
        <v>4</v>
      </c>
      <c r="V93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932" s="1">
        <f>Logs[[#This Row],[Facture_Mensuelle]]*Logs[[#This Row],[Remise (%)]]</f>
        <v>0</v>
      </c>
    </row>
    <row r="933" spans="1:23" hidden="1" x14ac:dyDescent="0.25">
      <c r="A933" s="1" t="s">
        <v>1421</v>
      </c>
      <c r="B933" s="2">
        <v>45210</v>
      </c>
      <c r="C933" s="1" t="str">
        <f>_xlfn.XLOOKUP(Logs[[#This Row],[Province_RDC]],Clients_Log!D:D,Clients_Log!B:B,"Pas de correspondance")</f>
        <v>Pas de correspondance</v>
      </c>
      <c r="D933" t="str">
        <f>_xlfn.XLOOKUP(Logs[[#This Row],[Cell_ID]],'Registre_Maintenance'!B:B,'Registre_Maintenance'!C:C,"Pas de correspondance")</f>
        <v>Pas de correspondance</v>
      </c>
      <c r="E933" s="3">
        <v>0.84097222222222223</v>
      </c>
      <c r="F933" s="1" t="s">
        <v>1010</v>
      </c>
      <c r="G933" s="3">
        <f>Logs[[#This Row],[Duree_Panne_Min]]/1440</f>
        <v>4.8611111111111112E-3</v>
      </c>
      <c r="H933">
        <v>7</v>
      </c>
      <c r="I933" t="str">
        <f>_xlfn.XLOOKUP(Logs[[#This Row],[Cell_ID]],'Registre_Maintenance'!B:B,'Registre_Maintenance'!D:D,"Pas de correspondance")</f>
        <v>Pas de correspondance</v>
      </c>
      <c r="J933" t="str">
        <f>_xlfn.XLOOKUP(Logs[[#This Row],[Cell_ID]],'Registre_Maintenance'!B:B,'Registre_Maintenance'!E:E,"Pas de correspondance")</f>
        <v>Pas de correspondance</v>
      </c>
      <c r="K933" t="str">
        <f>_xlfn.XLOOKUP(Logs[[#This Row],[Cell_ID]],'Registre_Maintenance'!B:B,'Registre_Maintenance'!F:F,"Pas de correspondance")</f>
        <v>Pas de correspondance</v>
      </c>
      <c r="L933" t="str">
        <f>_xlfn.XLOOKUP(Logs[[#This Row],[Cell_ID]],'Registre_Maintenance'!B:B,'Registre_Maintenance'!G:G,"Pas de correspondance")</f>
        <v>Pas de correspondance</v>
      </c>
      <c r="M933" s="1" t="s">
        <v>806</v>
      </c>
      <c r="N933" s="1" t="str">
        <f>_xlfn.XLOOKUP(Logs[[#This Row],[ID_Client]],Clients_Log!B:B,Clients_Log!E:E,"Pas de correspondance")</f>
        <v>Pas de correspondance</v>
      </c>
      <c r="O933" s="4" t="str">
        <f>IFERROR(Logs[[#This Row],[Anciennete_Mois]]/12,"")</f>
        <v/>
      </c>
      <c r="P933" s="1" t="str">
        <f>_xlfn.XLOOKUP(Logs[[#This Row],[ID_Client]],Clients_Log!B:B,Clients_Log!F:F,"Pas de correspondance")</f>
        <v>Pas de correspondance</v>
      </c>
      <c r="Q933" s="1" t="str">
        <f>IF(Logs[[#This Row],[Type_Forfait]]="Pro Monde","B2B","B2C")</f>
        <v>B2C</v>
      </c>
      <c r="R933" s="1" t="str">
        <f>_xlfn.XLOOKUP(Logs[[#This Row],[ID_Client]],Clients_Log!B:B,Clients_Log!G:G,"Pas de correspondance")</f>
        <v>Pas de correspondance</v>
      </c>
      <c r="S933" s="1" t="e">
        <f>Logs[[#This Row],[Duree_Cumulee_Panne_Min]]/1440</f>
        <v>#VALUE!</v>
      </c>
      <c r="T933" s="1" t="str">
        <f>_xlfn.XLOOKUP(Logs[[#This Row],[ID_Client]],Clients_Log!B:B,Clients_Log!H:H,"Pas de correspondance")</f>
        <v>Pas de correspondance</v>
      </c>
      <c r="U933" s="1" t="str">
        <f>_xlfn.XLOOKUP(Logs[[#This Row],[ID_Client]],Clients_Log!B:B,Clients_Log!I:I,"Pas de correspondance")</f>
        <v>Pas de correspondance</v>
      </c>
      <c r="V93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33" s="1" t="e">
        <f>Logs[[#This Row],[Facture_Mensuelle]]*Logs[[#This Row],[Remise (%)]]</f>
        <v>#VALUE!</v>
      </c>
    </row>
    <row r="934" spans="1:23" hidden="1" x14ac:dyDescent="0.25">
      <c r="A934" s="1" t="s">
        <v>1421</v>
      </c>
      <c r="B934" s="2">
        <v>45210</v>
      </c>
      <c r="C934" s="1" t="str">
        <f>_xlfn.XLOOKUP(Logs[[#This Row],[Province_RDC]],Clients_Log!D:D,Clients_Log!B:B,"Pas de correspondance")</f>
        <v>Pas de correspondance</v>
      </c>
      <c r="D934" t="str">
        <f>_xlfn.XLOOKUP(Logs[[#This Row],[Cell_ID]],'Registre_Maintenance'!B:B,'Registre_Maintenance'!C:C,"Pas de correspondance")</f>
        <v>Pas de correspondance</v>
      </c>
      <c r="E934" s="3">
        <v>0.8354166666666667</v>
      </c>
      <c r="F934" s="1" t="s">
        <v>879</v>
      </c>
      <c r="G934" s="3">
        <f>Logs[[#This Row],[Duree_Panne_Min]]/1440</f>
        <v>5.5555555555555552E-2</v>
      </c>
      <c r="H934">
        <v>80</v>
      </c>
      <c r="I934" t="str">
        <f>_xlfn.XLOOKUP(Logs[[#This Row],[Cell_ID]],'Registre_Maintenance'!B:B,'Registre_Maintenance'!D:D,"Pas de correspondance")</f>
        <v>Pas de correspondance</v>
      </c>
      <c r="J934" t="str">
        <f>_xlfn.XLOOKUP(Logs[[#This Row],[Cell_ID]],'Registre_Maintenance'!B:B,'Registre_Maintenance'!E:E,"Pas de correspondance")</f>
        <v>Pas de correspondance</v>
      </c>
      <c r="K934" t="str">
        <f>_xlfn.XLOOKUP(Logs[[#This Row],[Cell_ID]],'Registre_Maintenance'!B:B,'Registre_Maintenance'!F:F,"Pas de correspondance")</f>
        <v>Pas de correspondance</v>
      </c>
      <c r="L934" t="str">
        <f>_xlfn.XLOOKUP(Logs[[#This Row],[Cell_ID]],'Registre_Maintenance'!B:B,'Registre_Maintenance'!G:G,"Pas de correspondance")</f>
        <v>Pas de correspondance</v>
      </c>
      <c r="M934" s="1" t="s">
        <v>809</v>
      </c>
      <c r="N934" s="1" t="str">
        <f>_xlfn.XLOOKUP(Logs[[#This Row],[ID_Client]],Clients_Log!B:B,Clients_Log!E:E,"Pas de correspondance")</f>
        <v>Pas de correspondance</v>
      </c>
      <c r="O934" s="4" t="str">
        <f>IFERROR(Logs[[#This Row],[Anciennete_Mois]]/12,"")</f>
        <v/>
      </c>
      <c r="P934" s="1" t="str">
        <f>_xlfn.XLOOKUP(Logs[[#This Row],[ID_Client]],Clients_Log!B:B,Clients_Log!F:F,"Pas de correspondance")</f>
        <v>Pas de correspondance</v>
      </c>
      <c r="Q934" s="1" t="str">
        <f>IF(Logs[[#This Row],[Type_Forfait]]="Pro Monde","B2B","B2C")</f>
        <v>B2C</v>
      </c>
      <c r="R934" s="1" t="str">
        <f>_xlfn.XLOOKUP(Logs[[#This Row],[ID_Client]],Clients_Log!B:B,Clients_Log!G:G,"Pas de correspondance")</f>
        <v>Pas de correspondance</v>
      </c>
      <c r="S934" s="1" t="e">
        <f>Logs[[#This Row],[Duree_Cumulee_Panne_Min]]/1440</f>
        <v>#VALUE!</v>
      </c>
      <c r="T934" s="1" t="str">
        <f>_xlfn.XLOOKUP(Logs[[#This Row],[ID_Client]],Clients_Log!B:B,Clients_Log!H:H,"Pas de correspondance")</f>
        <v>Pas de correspondance</v>
      </c>
      <c r="U934" s="1" t="str">
        <f>_xlfn.XLOOKUP(Logs[[#This Row],[ID_Client]],Clients_Log!B:B,Clients_Log!I:I,"Pas de correspondance")</f>
        <v>Pas de correspondance</v>
      </c>
      <c r="V93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34" s="1" t="e">
        <f>Logs[[#This Row],[Facture_Mensuelle]]*Logs[[#This Row],[Remise (%)]]</f>
        <v>#VALUE!</v>
      </c>
    </row>
    <row r="935" spans="1:23" hidden="1" x14ac:dyDescent="0.25">
      <c r="A935" s="1" t="s">
        <v>1421</v>
      </c>
      <c r="B935" s="2">
        <v>45200</v>
      </c>
      <c r="C935" s="1" t="str">
        <f>_xlfn.XLOOKUP(Logs[[#This Row],[Province_RDC]],Clients_Log!D:D,Clients_Log!B:B,"Pas de correspondance")</f>
        <v>Pas de correspondance</v>
      </c>
      <c r="D935" t="str">
        <f>_xlfn.XLOOKUP(Logs[[#This Row],[Cell_ID]],'Registre_Maintenance'!B:B,'Registre_Maintenance'!C:C,"Pas de correspondance")</f>
        <v>Pas de correspondance</v>
      </c>
      <c r="E935" s="3">
        <v>0.59513888888888888</v>
      </c>
      <c r="F935" s="1" t="s">
        <v>1321</v>
      </c>
      <c r="G935" s="3">
        <f>Logs[[#This Row],[Duree_Panne_Min]]/1440</f>
        <v>4.791666666666667E-2</v>
      </c>
      <c r="H935">
        <v>69</v>
      </c>
      <c r="I935" t="str">
        <f>_xlfn.XLOOKUP(Logs[[#This Row],[Cell_ID]],'Registre_Maintenance'!B:B,'Registre_Maintenance'!D:D,"Pas de correspondance")</f>
        <v>Pas de correspondance</v>
      </c>
      <c r="J935" t="str">
        <f>_xlfn.XLOOKUP(Logs[[#This Row],[Cell_ID]],'Registre_Maintenance'!B:B,'Registre_Maintenance'!E:E,"Pas de correspondance")</f>
        <v>Pas de correspondance</v>
      </c>
      <c r="K935" t="str">
        <f>_xlfn.XLOOKUP(Logs[[#This Row],[Cell_ID]],'Registre_Maintenance'!B:B,'Registre_Maintenance'!F:F,"Pas de correspondance")</f>
        <v>Pas de correspondance</v>
      </c>
      <c r="L935" t="str">
        <f>_xlfn.XLOOKUP(Logs[[#This Row],[Cell_ID]],'Registre_Maintenance'!B:B,'Registre_Maintenance'!G:G,"Pas de correspondance")</f>
        <v>Pas de correspondance</v>
      </c>
      <c r="M935" s="1" t="s">
        <v>811</v>
      </c>
      <c r="N935" s="1" t="str">
        <f>_xlfn.XLOOKUP(Logs[[#This Row],[ID_Client]],Clients_Log!B:B,Clients_Log!E:E,"Pas de correspondance")</f>
        <v>Pas de correspondance</v>
      </c>
      <c r="O935" s="4" t="str">
        <f>IFERROR(Logs[[#This Row],[Anciennete_Mois]]/12,"")</f>
        <v/>
      </c>
      <c r="P935" s="1" t="str">
        <f>_xlfn.XLOOKUP(Logs[[#This Row],[ID_Client]],Clients_Log!B:B,Clients_Log!F:F,"Pas de correspondance")</f>
        <v>Pas de correspondance</v>
      </c>
      <c r="Q935" s="1" t="str">
        <f>IF(Logs[[#This Row],[Type_Forfait]]="Pro Monde","B2B","B2C")</f>
        <v>B2C</v>
      </c>
      <c r="R935" s="1" t="str">
        <f>_xlfn.XLOOKUP(Logs[[#This Row],[ID_Client]],Clients_Log!B:B,Clients_Log!G:G,"Pas de correspondance")</f>
        <v>Pas de correspondance</v>
      </c>
      <c r="S935" s="1" t="e">
        <f>Logs[[#This Row],[Duree_Cumulee_Panne_Min]]/1440</f>
        <v>#VALUE!</v>
      </c>
      <c r="T935" s="1" t="str">
        <f>_xlfn.XLOOKUP(Logs[[#This Row],[ID_Client]],Clients_Log!B:B,Clients_Log!H:H,"Pas de correspondance")</f>
        <v>Pas de correspondance</v>
      </c>
      <c r="U935" s="1" t="str">
        <f>_xlfn.XLOOKUP(Logs[[#This Row],[ID_Client]],Clients_Log!B:B,Clients_Log!I:I,"Pas de correspondance")</f>
        <v>Pas de correspondance</v>
      </c>
      <c r="V93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35" s="1" t="e">
        <f>Logs[[#This Row],[Facture_Mensuelle]]*Logs[[#This Row],[Remise (%)]]</f>
        <v>#VALUE!</v>
      </c>
    </row>
    <row r="936" spans="1:23" x14ac:dyDescent="0.25">
      <c r="A936" s="1" t="s">
        <v>1421</v>
      </c>
      <c r="B936" s="2">
        <v>45206</v>
      </c>
      <c r="C936" s="1" t="str">
        <f>_xlfn.XLOOKUP(Logs[[#This Row],[Province_RDC]],Clients_Log!D:D,Clients_Log!B:B,"Pas de correspondance")</f>
        <v>CLI-00361</v>
      </c>
      <c r="D936" t="str">
        <f>_xlfn.XLOOKUP(Logs[[#This Row],[Cell_ID]],'Registre_Maintenance'!B:B,'Registre_Maintenance'!C:C,"Pas de correspondance")</f>
        <v>Mai-Ndombe</v>
      </c>
      <c r="E936" s="3">
        <v>0.23333333333333334</v>
      </c>
      <c r="F936" s="1" t="s">
        <v>1431</v>
      </c>
      <c r="G936" s="3">
        <f>Logs[[#This Row],[Duree_Panne_Min]]/1440</f>
        <v>1.8055555555555554E-2</v>
      </c>
      <c r="H936">
        <v>26</v>
      </c>
      <c r="I936">
        <f>_xlfn.XLOOKUP(Logs[[#This Row],[Cell_ID]],'Registre_Maintenance'!B:B,'Registre_Maintenance'!D:D,"Pas de correspondance")</f>
        <v>-4.6311460000000002</v>
      </c>
      <c r="J936">
        <f>_xlfn.XLOOKUP(Logs[[#This Row],[Cell_ID]],'Registre_Maintenance'!B:B,'Registre_Maintenance'!E:E,"Pas de correspondance")</f>
        <v>25.314723000000001</v>
      </c>
      <c r="K936" t="str">
        <f>_xlfn.XLOOKUP(Logs[[#This Row],[Cell_ID]],'Registre_Maintenance'!B:B,'Registre_Maintenance'!F:F,"Pas de correspondance")</f>
        <v>4G</v>
      </c>
      <c r="L936" t="str">
        <f>_xlfn.XLOOKUP(Logs[[#This Row],[Cell_ID]],'Registre_Maintenance'!B:B,'Registre_Maintenance'!G:G,"Pas de correspondance")</f>
        <v>Huawei</v>
      </c>
      <c r="M936" s="1" t="s">
        <v>811</v>
      </c>
      <c r="N936" s="1">
        <f>_xlfn.XLOOKUP(Logs[[#This Row],[ID_Client]],Clients_Log!B:B,Clients_Log!E:E,"Pas de correspondance")</f>
        <v>66</v>
      </c>
      <c r="O936" s="4">
        <f>IFERROR(Logs[[#This Row],[Anciennete_Mois]]/12,"")</f>
        <v>5.5</v>
      </c>
      <c r="P936" s="1" t="str">
        <f>_xlfn.XLOOKUP(Logs[[#This Row],[ID_Client]],Clients_Log!B:B,Clients_Log!F:F,"Pas de correspondance")</f>
        <v>Illimité 50Go</v>
      </c>
      <c r="Q936" s="1" t="str">
        <f>IF(Logs[[#This Row],[Type_Forfait]]="Pro Monde","B2B","B2C")</f>
        <v>B2C</v>
      </c>
      <c r="R936" s="1">
        <f>_xlfn.XLOOKUP(Logs[[#This Row],[ID_Client]],Clients_Log!B:B,Clients_Log!G:G,"Pas de correspondance")</f>
        <v>270</v>
      </c>
      <c r="S936" s="3">
        <f>Logs[[#This Row],[Duree_Cumulee_Panne_Min]]/1440</f>
        <v>0.1875</v>
      </c>
      <c r="T936" s="1">
        <f>_xlfn.XLOOKUP(Logs[[#This Row],[ID_Client]],Clients_Log!B:B,Clients_Log!H:H,"Pas de correspondance")</f>
        <v>75.88</v>
      </c>
      <c r="U936" s="1">
        <f>_xlfn.XLOOKUP(Logs[[#This Row],[ID_Client]],Clients_Log!B:B,Clients_Log!I:I,"Pas de correspondance")</f>
        <v>3</v>
      </c>
      <c r="V93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36" s="1">
        <f>Logs[[#This Row],[Facture_Mensuelle]]*Logs[[#This Row],[Remise (%)]]</f>
        <v>34.146000000000001</v>
      </c>
    </row>
    <row r="937" spans="1:23" x14ac:dyDescent="0.25">
      <c r="A937" s="1" t="s">
        <v>1421</v>
      </c>
      <c r="B937" s="2">
        <v>45224</v>
      </c>
      <c r="C937" s="1" t="str">
        <f>_xlfn.XLOOKUP(Logs[[#This Row],[Province_RDC]],Clients_Log!D:D,Clients_Log!B:B,"Pas de correspondance")</f>
        <v>CLI-00837</v>
      </c>
      <c r="D937" t="str">
        <f>_xlfn.XLOOKUP(Logs[[#This Row],[Cell_ID]],'Registre_Maintenance'!B:B,'Registre_Maintenance'!C:C,"Pas de correspondance")</f>
        <v>Nord-Kivu</v>
      </c>
      <c r="E937" s="3">
        <v>0.2298611111111111</v>
      </c>
      <c r="F937" s="1" t="s">
        <v>1432</v>
      </c>
      <c r="G937" s="3">
        <f>Logs[[#This Row],[Duree_Panne_Min]]/1440</f>
        <v>1.3888888888888888E-2</v>
      </c>
      <c r="H937">
        <v>20</v>
      </c>
      <c r="I937">
        <f>_xlfn.XLOOKUP(Logs[[#This Row],[Cell_ID]],'Registre_Maintenance'!B:B,'Registre_Maintenance'!D:D,"Pas de correspondance")</f>
        <v>-10.298385</v>
      </c>
      <c r="J937">
        <f>_xlfn.XLOOKUP(Logs[[#This Row],[Cell_ID]],'Registre_Maintenance'!B:B,'Registre_Maintenance'!E:E,"Pas de correspondance")</f>
        <v>29.698117</v>
      </c>
      <c r="K937" t="str">
        <f>_xlfn.XLOOKUP(Logs[[#This Row],[Cell_ID]],'Registre_Maintenance'!B:B,'Registre_Maintenance'!F:F,"Pas de correspondance")</f>
        <v>5G</v>
      </c>
      <c r="L937" t="str">
        <f>_xlfn.XLOOKUP(Logs[[#This Row],[Cell_ID]],'Registre_Maintenance'!B:B,'Registre_Maintenance'!G:G,"Pas de correspondance")</f>
        <v>Nokia</v>
      </c>
      <c r="M937" s="1" t="s">
        <v>806</v>
      </c>
      <c r="N937" s="1">
        <f>_xlfn.XLOOKUP(Logs[[#This Row],[ID_Client]],Clients_Log!B:B,Clients_Log!E:E,"Pas de correspondance")</f>
        <v>16</v>
      </c>
      <c r="O937" s="4">
        <f>IFERROR(Logs[[#This Row],[Anciennete_Mois]]/12,"")</f>
        <v>1.3333333333333333</v>
      </c>
      <c r="P937" s="1" t="str">
        <f>_xlfn.XLOOKUP(Logs[[#This Row],[ID_Client]],Clients_Log!B:B,Clients_Log!F:F,"Pas de correspondance")</f>
        <v>Bloqué 5Go</v>
      </c>
      <c r="Q937" s="1" t="str">
        <f>IF(Logs[[#This Row],[Type_Forfait]]="Pro Monde","B2B","B2C")</f>
        <v>B2C</v>
      </c>
      <c r="R937" s="1">
        <f>_xlfn.XLOOKUP(Logs[[#This Row],[ID_Client]],Clients_Log!B:B,Clients_Log!G:G,"Pas de correspondance")</f>
        <v>390</v>
      </c>
      <c r="S937" s="3">
        <f>Logs[[#This Row],[Duree_Cumulee_Panne_Min]]/1440</f>
        <v>0.27083333333333331</v>
      </c>
      <c r="T937" s="1">
        <f>_xlfn.XLOOKUP(Logs[[#This Row],[ID_Client]],Clients_Log!B:B,Clients_Log!H:H,"Pas de correspondance")</f>
        <v>98.17</v>
      </c>
      <c r="U937" s="1">
        <f>_xlfn.XLOOKUP(Logs[[#This Row],[ID_Client]],Clients_Log!B:B,Clients_Log!I:I,"Pas de correspondance")</f>
        <v>5</v>
      </c>
      <c r="V93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37" s="1">
        <f>Logs[[#This Row],[Facture_Mensuelle]]*Logs[[#This Row],[Remise (%)]]</f>
        <v>44.176500000000004</v>
      </c>
    </row>
    <row r="938" spans="1:23" hidden="1" x14ac:dyDescent="0.25">
      <c r="A938" s="1" t="s">
        <v>1421</v>
      </c>
      <c r="B938" s="2">
        <v>45225</v>
      </c>
      <c r="C938" s="1" t="str">
        <f>_xlfn.XLOOKUP(Logs[[#This Row],[Province_RDC]],Clients_Log!D:D,Clients_Log!B:B,"Pas de correspondance")</f>
        <v>Pas de correspondance</v>
      </c>
      <c r="D938" t="str">
        <f>_xlfn.XLOOKUP(Logs[[#This Row],[Cell_ID]],'Registre_Maintenance'!B:B,'Registre_Maintenance'!C:C,"Pas de correspondance")</f>
        <v>Pas de correspondance</v>
      </c>
      <c r="E938" s="3">
        <v>8.8888888888888892E-2</v>
      </c>
      <c r="F938" s="1" t="s">
        <v>1433</v>
      </c>
      <c r="G938" s="3">
        <f>Logs[[#This Row],[Duree_Panne_Min]]/1440</f>
        <v>3.5416666666666666E-2</v>
      </c>
      <c r="H938">
        <v>51</v>
      </c>
      <c r="I938" t="str">
        <f>_xlfn.XLOOKUP(Logs[[#This Row],[Cell_ID]],'Registre_Maintenance'!B:B,'Registre_Maintenance'!D:D,"Pas de correspondance")</f>
        <v>Pas de correspondance</v>
      </c>
      <c r="J938" t="str">
        <f>_xlfn.XLOOKUP(Logs[[#This Row],[Cell_ID]],'Registre_Maintenance'!B:B,'Registre_Maintenance'!E:E,"Pas de correspondance")</f>
        <v>Pas de correspondance</v>
      </c>
      <c r="K938" t="str">
        <f>_xlfn.XLOOKUP(Logs[[#This Row],[Cell_ID]],'Registre_Maintenance'!B:B,'Registre_Maintenance'!F:F,"Pas de correspondance")</f>
        <v>Pas de correspondance</v>
      </c>
      <c r="L938" t="str">
        <f>_xlfn.XLOOKUP(Logs[[#This Row],[Cell_ID]],'Registre_Maintenance'!B:B,'Registre_Maintenance'!G:G,"Pas de correspondance")</f>
        <v>Pas de correspondance</v>
      </c>
      <c r="M938" s="1" t="s">
        <v>806</v>
      </c>
      <c r="N938" s="1" t="str">
        <f>_xlfn.XLOOKUP(Logs[[#This Row],[ID_Client]],Clients_Log!B:B,Clients_Log!E:E,"Pas de correspondance")</f>
        <v>Pas de correspondance</v>
      </c>
      <c r="O938" s="4" t="str">
        <f>IFERROR(Logs[[#This Row],[Anciennete_Mois]]/12,"")</f>
        <v/>
      </c>
      <c r="P938" s="1" t="str">
        <f>_xlfn.XLOOKUP(Logs[[#This Row],[ID_Client]],Clients_Log!B:B,Clients_Log!F:F,"Pas de correspondance")</f>
        <v>Pas de correspondance</v>
      </c>
      <c r="Q938" s="1" t="str">
        <f>IF(Logs[[#This Row],[Type_Forfait]]="Pro Monde","B2B","B2C")</f>
        <v>B2C</v>
      </c>
      <c r="R938" s="1" t="str">
        <f>_xlfn.XLOOKUP(Logs[[#This Row],[ID_Client]],Clients_Log!B:B,Clients_Log!G:G,"Pas de correspondance")</f>
        <v>Pas de correspondance</v>
      </c>
      <c r="S938" s="1" t="e">
        <f>Logs[[#This Row],[Duree_Cumulee_Panne_Min]]/1440</f>
        <v>#VALUE!</v>
      </c>
      <c r="T938" s="1" t="str">
        <f>_xlfn.XLOOKUP(Logs[[#This Row],[ID_Client]],Clients_Log!B:B,Clients_Log!H:H,"Pas de correspondance")</f>
        <v>Pas de correspondance</v>
      </c>
      <c r="U938" s="1" t="str">
        <f>_xlfn.XLOOKUP(Logs[[#This Row],[ID_Client]],Clients_Log!B:B,Clients_Log!I:I,"Pas de correspondance")</f>
        <v>Pas de correspondance</v>
      </c>
      <c r="V93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38" s="1" t="e">
        <f>Logs[[#This Row],[Facture_Mensuelle]]*Logs[[#This Row],[Remise (%)]]</f>
        <v>#VALUE!</v>
      </c>
    </row>
    <row r="939" spans="1:23" x14ac:dyDescent="0.25">
      <c r="A939" s="1" t="s">
        <v>1421</v>
      </c>
      <c r="B939" s="2">
        <v>45219</v>
      </c>
      <c r="C939" s="1" t="str">
        <f>_xlfn.XLOOKUP(Logs[[#This Row],[Province_RDC]],Clients_Log!D:D,Clients_Log!B:B,"Pas de correspondance")</f>
        <v>CLI-01233</v>
      </c>
      <c r="D939" t="str">
        <f>_xlfn.XLOOKUP(Logs[[#This Row],[Cell_ID]],'Registre_Maintenance'!B:B,'Registre_Maintenance'!C:C,"Pas de correspondance")</f>
        <v>Kongo-Central</v>
      </c>
      <c r="E939" s="3">
        <v>0.56944444444444442</v>
      </c>
      <c r="F939" s="1" t="s">
        <v>1361</v>
      </c>
      <c r="G939" s="3">
        <f>Logs[[#This Row],[Duree_Panne_Min]]/1440</f>
        <v>6.6666666666666666E-2</v>
      </c>
      <c r="H939">
        <v>96</v>
      </c>
      <c r="I939">
        <f>_xlfn.XLOOKUP(Logs[[#This Row],[Cell_ID]],'Registre_Maintenance'!B:B,'Registre_Maintenance'!D:D,"Pas de correspondance")</f>
        <v>-7.1587569999999996</v>
      </c>
      <c r="J939">
        <f>_xlfn.XLOOKUP(Logs[[#This Row],[Cell_ID]],'Registre_Maintenance'!B:B,'Registre_Maintenance'!E:E,"Pas de correspondance")</f>
        <v>18.975141000000001</v>
      </c>
      <c r="K939" t="str">
        <f>_xlfn.XLOOKUP(Logs[[#This Row],[Cell_ID]],'Registre_Maintenance'!B:B,'Registre_Maintenance'!F:F,"Pas de correspondance")</f>
        <v>5G</v>
      </c>
      <c r="L939" t="str">
        <f>_xlfn.XLOOKUP(Logs[[#This Row],[Cell_ID]],'Registre_Maintenance'!B:B,'Registre_Maintenance'!G:G,"Pas de correspondance")</f>
        <v>Ericsson</v>
      </c>
      <c r="M939" s="1" t="s">
        <v>806</v>
      </c>
      <c r="N939" s="1">
        <f>_xlfn.XLOOKUP(Logs[[#This Row],[ID_Client]],Clients_Log!B:B,Clients_Log!E:E,"Pas de correspondance")</f>
        <v>101</v>
      </c>
      <c r="O939" s="4">
        <f>IFERROR(Logs[[#This Row],[Anciennete_Mois]]/12,"")</f>
        <v>8.4166666666666661</v>
      </c>
      <c r="P939" s="1" t="str">
        <f>_xlfn.XLOOKUP(Logs[[#This Row],[ID_Client]],Clients_Log!B:B,Clients_Log!F:F,"Pas de correspondance")</f>
        <v>Pro Monde</v>
      </c>
      <c r="Q939" s="1" t="str">
        <f>IF(Logs[[#This Row],[Type_Forfait]]="Pro Monde","B2B","B2C")</f>
        <v>B2B</v>
      </c>
      <c r="R939" s="1">
        <f>_xlfn.XLOOKUP(Logs[[#This Row],[ID_Client]],Clients_Log!B:B,Clients_Log!G:G,"Pas de correspondance")</f>
        <v>333</v>
      </c>
      <c r="S939" s="3">
        <f>Logs[[#This Row],[Duree_Cumulee_Panne_Min]]/1440</f>
        <v>0.23125000000000001</v>
      </c>
      <c r="T939" s="1">
        <f>_xlfn.XLOOKUP(Logs[[#This Row],[ID_Client]],Clients_Log!B:B,Clients_Log!H:H,"Pas de correspondance")</f>
        <v>74.319999999999993</v>
      </c>
      <c r="U939" s="1">
        <f>_xlfn.XLOOKUP(Logs[[#This Row],[ID_Client]],Clients_Log!B:B,Clients_Log!I:I,"Pas de correspondance")</f>
        <v>1</v>
      </c>
      <c r="V93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39" s="1">
        <f>Logs[[#This Row],[Facture_Mensuelle]]*Logs[[#This Row],[Remise (%)]]</f>
        <v>33.443999999999996</v>
      </c>
    </row>
    <row r="940" spans="1:23" x14ac:dyDescent="0.25">
      <c r="A940" s="1" t="s">
        <v>1421</v>
      </c>
      <c r="B940" s="2">
        <v>45213</v>
      </c>
      <c r="C940" s="1" t="str">
        <f>_xlfn.XLOOKUP(Logs[[#This Row],[Province_RDC]],Clients_Log!D:D,Clients_Log!B:B,"Pas de correspondance")</f>
        <v>CLI-00131</v>
      </c>
      <c r="D940" t="str">
        <f>_xlfn.XLOOKUP(Logs[[#This Row],[Cell_ID]],'Registre_Maintenance'!B:B,'Registre_Maintenance'!C:C,"Pas de correspondance")</f>
        <v>Lomami</v>
      </c>
      <c r="E940" s="3">
        <v>0.51875000000000004</v>
      </c>
      <c r="F940" s="1" t="s">
        <v>1346</v>
      </c>
      <c r="G940" s="3">
        <f>Logs[[#This Row],[Duree_Panne_Min]]/1440</f>
        <v>6.1111111111111109E-2</v>
      </c>
      <c r="H940">
        <v>88</v>
      </c>
      <c r="I940">
        <f>_xlfn.XLOOKUP(Logs[[#This Row],[Cell_ID]],'Registre_Maintenance'!B:B,'Registre_Maintenance'!D:D,"Pas de correspondance")</f>
        <v>4.8265669999999998</v>
      </c>
      <c r="J940">
        <f>_xlfn.XLOOKUP(Logs[[#This Row],[Cell_ID]],'Registre_Maintenance'!B:B,'Registre_Maintenance'!E:E,"Pas de correspondance")</f>
        <v>28.535277000000001</v>
      </c>
      <c r="K940" t="str">
        <f>_xlfn.XLOOKUP(Logs[[#This Row],[Cell_ID]],'Registre_Maintenance'!B:B,'Registre_Maintenance'!F:F,"Pas de correspondance")</f>
        <v>3G</v>
      </c>
      <c r="L940" t="str">
        <f>_xlfn.XLOOKUP(Logs[[#This Row],[Cell_ID]],'Registre_Maintenance'!B:B,'Registre_Maintenance'!G:G,"Pas de correspondance")</f>
        <v>Huawei</v>
      </c>
      <c r="M940" s="1" t="s">
        <v>809</v>
      </c>
      <c r="N940" s="1">
        <f>_xlfn.XLOOKUP(Logs[[#This Row],[ID_Client]],Clients_Log!B:B,Clients_Log!E:E,"Pas de correspondance")</f>
        <v>101</v>
      </c>
      <c r="O940" s="4">
        <f>IFERROR(Logs[[#This Row],[Anciennete_Mois]]/12,"")</f>
        <v>8.4166666666666661</v>
      </c>
      <c r="P940" s="1" t="str">
        <f>_xlfn.XLOOKUP(Logs[[#This Row],[ID_Client]],Clients_Log!B:B,Clients_Log!F:F,"Pas de correspondance")</f>
        <v>Pro Monde</v>
      </c>
      <c r="Q940" s="1" t="str">
        <f>IF(Logs[[#This Row],[Type_Forfait]]="Pro Monde","B2B","B2C")</f>
        <v>B2B</v>
      </c>
      <c r="R940" s="1">
        <f>_xlfn.XLOOKUP(Logs[[#This Row],[ID_Client]],Clients_Log!B:B,Clients_Log!G:G,"Pas de correspondance")</f>
        <v>176</v>
      </c>
      <c r="S940" s="3">
        <f>Logs[[#This Row],[Duree_Cumulee_Panne_Min]]/1440</f>
        <v>0.12222222222222222</v>
      </c>
      <c r="T940" s="1">
        <f>_xlfn.XLOOKUP(Logs[[#This Row],[ID_Client]],Clients_Log!B:B,Clients_Log!H:H,"Pas de correspondance")</f>
        <v>86</v>
      </c>
      <c r="U940" s="1">
        <f>_xlfn.XLOOKUP(Logs[[#This Row],[ID_Client]],Clients_Log!B:B,Clients_Log!I:I,"Pas de correspondance")</f>
        <v>3</v>
      </c>
      <c r="V94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940" s="1">
        <f>Logs[[#This Row],[Facture_Mensuelle]]*Logs[[#This Row],[Remise (%)]]</f>
        <v>8.6</v>
      </c>
    </row>
    <row r="941" spans="1:23" hidden="1" x14ac:dyDescent="0.25">
      <c r="A941" s="1" t="s">
        <v>1421</v>
      </c>
      <c r="B941" s="2">
        <v>45230</v>
      </c>
      <c r="C941" s="1" t="str">
        <f>_xlfn.XLOOKUP(Logs[[#This Row],[Province_RDC]],Clients_Log!D:D,Clients_Log!B:B,"Pas de correspondance")</f>
        <v>Pas de correspondance</v>
      </c>
      <c r="D941" t="str">
        <f>_xlfn.XLOOKUP(Logs[[#This Row],[Cell_ID]],'Registre_Maintenance'!B:B,'Registre_Maintenance'!C:C,"Pas de correspondance")</f>
        <v>Pas de correspondance</v>
      </c>
      <c r="E941" s="3">
        <v>0.64166666666666672</v>
      </c>
      <c r="F941" s="1" t="s">
        <v>1434</v>
      </c>
      <c r="G941" s="3">
        <f>Logs[[#This Row],[Duree_Panne_Min]]/1440</f>
        <v>7.3611111111111113E-2</v>
      </c>
      <c r="H941">
        <v>106</v>
      </c>
      <c r="I941" t="str">
        <f>_xlfn.XLOOKUP(Logs[[#This Row],[Cell_ID]],'Registre_Maintenance'!B:B,'Registre_Maintenance'!D:D,"Pas de correspondance")</f>
        <v>Pas de correspondance</v>
      </c>
      <c r="J941" t="str">
        <f>_xlfn.XLOOKUP(Logs[[#This Row],[Cell_ID]],'Registre_Maintenance'!B:B,'Registre_Maintenance'!E:E,"Pas de correspondance")</f>
        <v>Pas de correspondance</v>
      </c>
      <c r="K941" t="str">
        <f>_xlfn.XLOOKUP(Logs[[#This Row],[Cell_ID]],'Registre_Maintenance'!B:B,'Registre_Maintenance'!F:F,"Pas de correspondance")</f>
        <v>Pas de correspondance</v>
      </c>
      <c r="L941" t="str">
        <f>_xlfn.XLOOKUP(Logs[[#This Row],[Cell_ID]],'Registre_Maintenance'!B:B,'Registre_Maintenance'!G:G,"Pas de correspondance")</f>
        <v>Pas de correspondance</v>
      </c>
      <c r="M941" s="1" t="s">
        <v>806</v>
      </c>
      <c r="N941" s="1" t="str">
        <f>_xlfn.XLOOKUP(Logs[[#This Row],[ID_Client]],Clients_Log!B:B,Clients_Log!E:E,"Pas de correspondance")</f>
        <v>Pas de correspondance</v>
      </c>
      <c r="O941" s="4" t="str">
        <f>IFERROR(Logs[[#This Row],[Anciennete_Mois]]/12,"")</f>
        <v/>
      </c>
      <c r="P941" s="1" t="str">
        <f>_xlfn.XLOOKUP(Logs[[#This Row],[ID_Client]],Clients_Log!B:B,Clients_Log!F:F,"Pas de correspondance")</f>
        <v>Pas de correspondance</v>
      </c>
      <c r="Q941" s="1" t="str">
        <f>IF(Logs[[#This Row],[Type_Forfait]]="Pro Monde","B2B","B2C")</f>
        <v>B2C</v>
      </c>
      <c r="R941" s="1" t="str">
        <f>_xlfn.XLOOKUP(Logs[[#This Row],[ID_Client]],Clients_Log!B:B,Clients_Log!G:G,"Pas de correspondance")</f>
        <v>Pas de correspondance</v>
      </c>
      <c r="S941" s="1" t="e">
        <f>Logs[[#This Row],[Duree_Cumulee_Panne_Min]]/1440</f>
        <v>#VALUE!</v>
      </c>
      <c r="T941" s="1" t="str">
        <f>_xlfn.XLOOKUP(Logs[[#This Row],[ID_Client]],Clients_Log!B:B,Clients_Log!H:H,"Pas de correspondance")</f>
        <v>Pas de correspondance</v>
      </c>
      <c r="U941" s="1" t="str">
        <f>_xlfn.XLOOKUP(Logs[[#This Row],[ID_Client]],Clients_Log!B:B,Clients_Log!I:I,"Pas de correspondance")</f>
        <v>Pas de correspondance</v>
      </c>
      <c r="V94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41" s="1" t="e">
        <f>Logs[[#This Row],[Facture_Mensuelle]]*Logs[[#This Row],[Remise (%)]]</f>
        <v>#VALUE!</v>
      </c>
    </row>
    <row r="942" spans="1:23" hidden="1" x14ac:dyDescent="0.25">
      <c r="A942" s="1" t="s">
        <v>1421</v>
      </c>
      <c r="B942" s="2">
        <v>45200</v>
      </c>
      <c r="C942" s="1" t="str">
        <f>_xlfn.XLOOKUP(Logs[[#This Row],[Province_RDC]],Clients_Log!D:D,Clients_Log!B:B,"Pas de correspondance")</f>
        <v>Pas de correspondance</v>
      </c>
      <c r="D942" t="str">
        <f>_xlfn.XLOOKUP(Logs[[#This Row],[Cell_ID]],'Registre_Maintenance'!B:B,'Registre_Maintenance'!C:C,"Pas de correspondance")</f>
        <v>Pas de correspondance</v>
      </c>
      <c r="E942" s="3">
        <v>6.5277777777777782E-2</v>
      </c>
      <c r="F942" s="1" t="s">
        <v>995</v>
      </c>
      <c r="G942" s="3">
        <f>Logs[[#This Row],[Duree_Panne_Min]]/1440</f>
        <v>6.2500000000000003E-3</v>
      </c>
      <c r="H942">
        <v>9</v>
      </c>
      <c r="I942" t="str">
        <f>_xlfn.XLOOKUP(Logs[[#This Row],[Cell_ID]],'Registre_Maintenance'!B:B,'Registre_Maintenance'!D:D,"Pas de correspondance")</f>
        <v>Pas de correspondance</v>
      </c>
      <c r="J942" t="str">
        <f>_xlfn.XLOOKUP(Logs[[#This Row],[Cell_ID]],'Registre_Maintenance'!B:B,'Registre_Maintenance'!E:E,"Pas de correspondance")</f>
        <v>Pas de correspondance</v>
      </c>
      <c r="K942" t="str">
        <f>_xlfn.XLOOKUP(Logs[[#This Row],[Cell_ID]],'Registre_Maintenance'!B:B,'Registre_Maintenance'!F:F,"Pas de correspondance")</f>
        <v>Pas de correspondance</v>
      </c>
      <c r="L942" t="str">
        <f>_xlfn.XLOOKUP(Logs[[#This Row],[Cell_ID]],'Registre_Maintenance'!B:B,'Registre_Maintenance'!G:G,"Pas de correspondance")</f>
        <v>Pas de correspondance</v>
      </c>
      <c r="M942" s="1" t="s">
        <v>806</v>
      </c>
      <c r="N942" s="1" t="str">
        <f>_xlfn.XLOOKUP(Logs[[#This Row],[ID_Client]],Clients_Log!B:B,Clients_Log!E:E,"Pas de correspondance")</f>
        <v>Pas de correspondance</v>
      </c>
      <c r="O942" s="4" t="str">
        <f>IFERROR(Logs[[#This Row],[Anciennete_Mois]]/12,"")</f>
        <v/>
      </c>
      <c r="P942" s="1" t="str">
        <f>_xlfn.XLOOKUP(Logs[[#This Row],[ID_Client]],Clients_Log!B:B,Clients_Log!F:F,"Pas de correspondance")</f>
        <v>Pas de correspondance</v>
      </c>
      <c r="Q942" s="1" t="str">
        <f>IF(Logs[[#This Row],[Type_Forfait]]="Pro Monde","B2B","B2C")</f>
        <v>B2C</v>
      </c>
      <c r="R942" s="1" t="str">
        <f>_xlfn.XLOOKUP(Logs[[#This Row],[ID_Client]],Clients_Log!B:B,Clients_Log!G:G,"Pas de correspondance")</f>
        <v>Pas de correspondance</v>
      </c>
      <c r="S942" s="1" t="e">
        <f>Logs[[#This Row],[Duree_Cumulee_Panne_Min]]/1440</f>
        <v>#VALUE!</v>
      </c>
      <c r="T942" s="1" t="str">
        <f>_xlfn.XLOOKUP(Logs[[#This Row],[ID_Client]],Clients_Log!B:B,Clients_Log!H:H,"Pas de correspondance")</f>
        <v>Pas de correspondance</v>
      </c>
      <c r="U942" s="1" t="str">
        <f>_xlfn.XLOOKUP(Logs[[#This Row],[ID_Client]],Clients_Log!B:B,Clients_Log!I:I,"Pas de correspondance")</f>
        <v>Pas de correspondance</v>
      </c>
      <c r="V94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42" s="1" t="e">
        <f>Logs[[#This Row],[Facture_Mensuelle]]*Logs[[#This Row],[Remise (%)]]</f>
        <v>#VALUE!</v>
      </c>
    </row>
    <row r="943" spans="1:23" x14ac:dyDescent="0.25">
      <c r="A943" s="1" t="s">
        <v>1421</v>
      </c>
      <c r="B943" s="2">
        <v>45206</v>
      </c>
      <c r="C943" s="1" t="str">
        <f>_xlfn.XLOOKUP(Logs[[#This Row],[Province_RDC]],Clients_Log!D:D,Clients_Log!B:B,"Pas de correspondance")</f>
        <v>CLI-00076</v>
      </c>
      <c r="D943" t="str">
        <f>_xlfn.XLOOKUP(Logs[[#This Row],[Cell_ID]],'Registre_Maintenance'!B:B,'Registre_Maintenance'!C:C,"Pas de correspondance")</f>
        <v>Haut-Katanga</v>
      </c>
      <c r="E943" s="3">
        <v>0.97430555555555554</v>
      </c>
      <c r="F943" s="1" t="s">
        <v>1435</v>
      </c>
      <c r="G943" s="3">
        <f>Logs[[#This Row],[Duree_Panne_Min]]/1440</f>
        <v>3.6805555555555557E-2</v>
      </c>
      <c r="H943">
        <v>53</v>
      </c>
      <c r="I943">
        <f>_xlfn.XLOOKUP(Logs[[#This Row],[Cell_ID]],'Registre_Maintenance'!B:B,'Registre_Maintenance'!D:D,"Pas de correspondance")</f>
        <v>-2.926736</v>
      </c>
      <c r="J943">
        <f>_xlfn.XLOOKUP(Logs[[#This Row],[Cell_ID]],'Registre_Maintenance'!B:B,'Registre_Maintenance'!E:E,"Pas de correspondance")</f>
        <v>18.170461</v>
      </c>
      <c r="K943" t="str">
        <f>_xlfn.XLOOKUP(Logs[[#This Row],[Cell_ID]],'Registre_Maintenance'!B:B,'Registre_Maintenance'!F:F,"Pas de correspondance")</f>
        <v>5G</v>
      </c>
      <c r="L943" t="str">
        <f>_xlfn.XLOOKUP(Logs[[#This Row],[Cell_ID]],'Registre_Maintenance'!B:B,'Registre_Maintenance'!G:G,"Pas de correspondance")</f>
        <v>Ericsson</v>
      </c>
      <c r="M943" s="1" t="s">
        <v>809</v>
      </c>
      <c r="N943" s="1">
        <f>_xlfn.XLOOKUP(Logs[[#This Row],[ID_Client]],Clients_Log!B:B,Clients_Log!E:E,"Pas de correspondance")</f>
        <v>46</v>
      </c>
      <c r="O943" s="4">
        <f>IFERROR(Logs[[#This Row],[Anciennete_Mois]]/12,"")</f>
        <v>3.8333333333333335</v>
      </c>
      <c r="P943" s="1" t="str">
        <f>_xlfn.XLOOKUP(Logs[[#This Row],[ID_Client]],Clients_Log!B:B,Clients_Log!F:F,"Pas de correspondance")</f>
        <v>Premium 5G 150Go</v>
      </c>
      <c r="Q943" s="1" t="str">
        <f>IF(Logs[[#This Row],[Type_Forfait]]="Pro Monde","B2B","B2C")</f>
        <v>B2C</v>
      </c>
      <c r="R943" s="1">
        <f>_xlfn.XLOOKUP(Logs[[#This Row],[ID_Client]],Clients_Log!B:B,Clients_Log!G:G,"Pas de correspondance")</f>
        <v>283</v>
      </c>
      <c r="S943" s="3">
        <f>Logs[[#This Row],[Duree_Cumulee_Panne_Min]]/1440</f>
        <v>0.19652777777777777</v>
      </c>
      <c r="T943" s="1">
        <f>_xlfn.XLOOKUP(Logs[[#This Row],[ID_Client]],Clients_Log!B:B,Clients_Log!H:H,"Pas de correspondance")</f>
        <v>56.05</v>
      </c>
      <c r="U943" s="1">
        <f>_xlfn.XLOOKUP(Logs[[#This Row],[ID_Client]],Clients_Log!B:B,Clients_Log!I:I,"Pas de correspondance")</f>
        <v>1</v>
      </c>
      <c r="V94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43" s="1">
        <f>Logs[[#This Row],[Facture_Mensuelle]]*Logs[[#This Row],[Remise (%)]]</f>
        <v>25.2225</v>
      </c>
    </row>
    <row r="944" spans="1:23" hidden="1" x14ac:dyDescent="0.25">
      <c r="A944" s="1" t="s">
        <v>1421</v>
      </c>
      <c r="B944" s="2">
        <v>45230</v>
      </c>
      <c r="C944" s="1" t="str">
        <f>_xlfn.XLOOKUP(Logs[[#This Row],[Province_RDC]],Clients_Log!D:D,Clients_Log!B:B,"Pas de correspondance")</f>
        <v>Pas de correspondance</v>
      </c>
      <c r="D944" t="str">
        <f>_xlfn.XLOOKUP(Logs[[#This Row],[Cell_ID]],'Registre_Maintenance'!B:B,'Registre_Maintenance'!C:C,"Pas de correspondance")</f>
        <v>Pas de correspondance</v>
      </c>
      <c r="E944" s="3">
        <v>3.9583333333333331E-2</v>
      </c>
      <c r="F944" s="1" t="s">
        <v>1348</v>
      </c>
      <c r="G944" s="3">
        <f>Logs[[#This Row],[Duree_Panne_Min]]/1440</f>
        <v>8.1250000000000003E-2</v>
      </c>
      <c r="H944">
        <v>117</v>
      </c>
      <c r="I944" t="str">
        <f>_xlfn.XLOOKUP(Logs[[#This Row],[Cell_ID]],'Registre_Maintenance'!B:B,'Registre_Maintenance'!D:D,"Pas de correspondance")</f>
        <v>Pas de correspondance</v>
      </c>
      <c r="J944" t="str">
        <f>_xlfn.XLOOKUP(Logs[[#This Row],[Cell_ID]],'Registre_Maintenance'!B:B,'Registre_Maintenance'!E:E,"Pas de correspondance")</f>
        <v>Pas de correspondance</v>
      </c>
      <c r="K944" t="str">
        <f>_xlfn.XLOOKUP(Logs[[#This Row],[Cell_ID]],'Registre_Maintenance'!B:B,'Registre_Maintenance'!F:F,"Pas de correspondance")</f>
        <v>Pas de correspondance</v>
      </c>
      <c r="L944" t="str">
        <f>_xlfn.XLOOKUP(Logs[[#This Row],[Cell_ID]],'Registre_Maintenance'!B:B,'Registre_Maintenance'!G:G,"Pas de correspondance")</f>
        <v>Pas de correspondance</v>
      </c>
      <c r="M944" s="1" t="s">
        <v>809</v>
      </c>
      <c r="N944" s="1" t="str">
        <f>_xlfn.XLOOKUP(Logs[[#This Row],[ID_Client]],Clients_Log!B:B,Clients_Log!E:E,"Pas de correspondance")</f>
        <v>Pas de correspondance</v>
      </c>
      <c r="O944" s="4" t="str">
        <f>IFERROR(Logs[[#This Row],[Anciennete_Mois]]/12,"")</f>
        <v/>
      </c>
      <c r="P944" s="1" t="str">
        <f>_xlfn.XLOOKUP(Logs[[#This Row],[ID_Client]],Clients_Log!B:B,Clients_Log!F:F,"Pas de correspondance")</f>
        <v>Pas de correspondance</v>
      </c>
      <c r="Q944" s="1" t="str">
        <f>IF(Logs[[#This Row],[Type_Forfait]]="Pro Monde","B2B","B2C")</f>
        <v>B2C</v>
      </c>
      <c r="R944" s="1" t="str">
        <f>_xlfn.XLOOKUP(Logs[[#This Row],[ID_Client]],Clients_Log!B:B,Clients_Log!G:G,"Pas de correspondance")</f>
        <v>Pas de correspondance</v>
      </c>
      <c r="S944" s="1" t="e">
        <f>Logs[[#This Row],[Duree_Cumulee_Panne_Min]]/1440</f>
        <v>#VALUE!</v>
      </c>
      <c r="T944" s="1" t="str">
        <f>_xlfn.XLOOKUP(Logs[[#This Row],[ID_Client]],Clients_Log!B:B,Clients_Log!H:H,"Pas de correspondance")</f>
        <v>Pas de correspondance</v>
      </c>
      <c r="U944" s="1" t="str">
        <f>_xlfn.XLOOKUP(Logs[[#This Row],[ID_Client]],Clients_Log!B:B,Clients_Log!I:I,"Pas de correspondance")</f>
        <v>Pas de correspondance</v>
      </c>
      <c r="V94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44" s="1" t="e">
        <f>Logs[[#This Row],[Facture_Mensuelle]]*Logs[[#This Row],[Remise (%)]]</f>
        <v>#VALUE!</v>
      </c>
    </row>
    <row r="945" spans="1:23" hidden="1" x14ac:dyDescent="0.25">
      <c r="A945" s="1" t="s">
        <v>1421</v>
      </c>
      <c r="B945" s="2">
        <v>45210</v>
      </c>
      <c r="C945" s="1" t="str">
        <f>_xlfn.XLOOKUP(Logs[[#This Row],[Province_RDC]],Clients_Log!D:D,Clients_Log!B:B,"Pas de correspondance")</f>
        <v>Pas de correspondance</v>
      </c>
      <c r="D945" t="str">
        <f>_xlfn.XLOOKUP(Logs[[#This Row],[Cell_ID]],'Registre_Maintenance'!B:B,'Registre_Maintenance'!C:C,"Pas de correspondance")</f>
        <v>Pas de correspondance</v>
      </c>
      <c r="E945" s="3">
        <v>0.67500000000000004</v>
      </c>
      <c r="F945" s="1" t="s">
        <v>1018</v>
      </c>
      <c r="G945" s="3">
        <f>Logs[[#This Row],[Duree_Panne_Min]]/1440</f>
        <v>5.9722222222222225E-2</v>
      </c>
      <c r="H945">
        <v>86</v>
      </c>
      <c r="I945" t="str">
        <f>_xlfn.XLOOKUP(Logs[[#This Row],[Cell_ID]],'Registre_Maintenance'!B:B,'Registre_Maintenance'!D:D,"Pas de correspondance")</f>
        <v>Pas de correspondance</v>
      </c>
      <c r="J945" t="str">
        <f>_xlfn.XLOOKUP(Logs[[#This Row],[Cell_ID]],'Registre_Maintenance'!B:B,'Registre_Maintenance'!E:E,"Pas de correspondance")</f>
        <v>Pas de correspondance</v>
      </c>
      <c r="K945" t="str">
        <f>_xlfn.XLOOKUP(Logs[[#This Row],[Cell_ID]],'Registre_Maintenance'!B:B,'Registre_Maintenance'!F:F,"Pas de correspondance")</f>
        <v>Pas de correspondance</v>
      </c>
      <c r="L945" t="str">
        <f>_xlfn.XLOOKUP(Logs[[#This Row],[Cell_ID]],'Registre_Maintenance'!B:B,'Registre_Maintenance'!G:G,"Pas de correspondance")</f>
        <v>Pas de correspondance</v>
      </c>
      <c r="M945" s="1" t="s">
        <v>811</v>
      </c>
      <c r="N945" s="1" t="str">
        <f>_xlfn.XLOOKUP(Logs[[#This Row],[ID_Client]],Clients_Log!B:B,Clients_Log!E:E,"Pas de correspondance")</f>
        <v>Pas de correspondance</v>
      </c>
      <c r="O945" s="4" t="str">
        <f>IFERROR(Logs[[#This Row],[Anciennete_Mois]]/12,"")</f>
        <v/>
      </c>
      <c r="P945" s="1" t="str">
        <f>_xlfn.XLOOKUP(Logs[[#This Row],[ID_Client]],Clients_Log!B:B,Clients_Log!F:F,"Pas de correspondance")</f>
        <v>Pas de correspondance</v>
      </c>
      <c r="Q945" s="1" t="str">
        <f>IF(Logs[[#This Row],[Type_Forfait]]="Pro Monde","B2B","B2C")</f>
        <v>B2C</v>
      </c>
      <c r="R945" s="1" t="str">
        <f>_xlfn.XLOOKUP(Logs[[#This Row],[ID_Client]],Clients_Log!B:B,Clients_Log!G:G,"Pas de correspondance")</f>
        <v>Pas de correspondance</v>
      </c>
      <c r="S945" s="1" t="e">
        <f>Logs[[#This Row],[Duree_Cumulee_Panne_Min]]/1440</f>
        <v>#VALUE!</v>
      </c>
      <c r="T945" s="1" t="str">
        <f>_xlfn.XLOOKUP(Logs[[#This Row],[ID_Client]],Clients_Log!B:B,Clients_Log!H:H,"Pas de correspondance")</f>
        <v>Pas de correspondance</v>
      </c>
      <c r="U945" s="1" t="str">
        <f>_xlfn.XLOOKUP(Logs[[#This Row],[ID_Client]],Clients_Log!B:B,Clients_Log!I:I,"Pas de correspondance")</f>
        <v>Pas de correspondance</v>
      </c>
      <c r="V94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45" s="1" t="e">
        <f>Logs[[#This Row],[Facture_Mensuelle]]*Logs[[#This Row],[Remise (%)]]</f>
        <v>#VALUE!</v>
      </c>
    </row>
    <row r="946" spans="1:23" hidden="1" x14ac:dyDescent="0.25">
      <c r="A946" s="1" t="s">
        <v>1421</v>
      </c>
      <c r="B946" s="2">
        <v>45220</v>
      </c>
      <c r="C946" s="1" t="str">
        <f>_xlfn.XLOOKUP(Logs[[#This Row],[Province_RDC]],Clients_Log!D:D,Clients_Log!B:B,"Pas de correspondance")</f>
        <v>Pas de correspondance</v>
      </c>
      <c r="D946" t="str">
        <f>_xlfn.XLOOKUP(Logs[[#This Row],[Cell_ID]],'Registre_Maintenance'!B:B,'Registre_Maintenance'!C:C,"Pas de correspondance")</f>
        <v>Pas de correspondance</v>
      </c>
      <c r="E946" s="3">
        <v>0.96875</v>
      </c>
      <c r="F946" s="1" t="s">
        <v>910</v>
      </c>
      <c r="G946" s="3">
        <f>Logs[[#This Row],[Duree_Panne_Min]]/1440</f>
        <v>7.1527777777777773E-2</v>
      </c>
      <c r="H946">
        <v>103</v>
      </c>
      <c r="I946" t="str">
        <f>_xlfn.XLOOKUP(Logs[[#This Row],[Cell_ID]],'Registre_Maintenance'!B:B,'Registre_Maintenance'!D:D,"Pas de correspondance")</f>
        <v>Pas de correspondance</v>
      </c>
      <c r="J946" t="str">
        <f>_xlfn.XLOOKUP(Logs[[#This Row],[Cell_ID]],'Registre_Maintenance'!B:B,'Registre_Maintenance'!E:E,"Pas de correspondance")</f>
        <v>Pas de correspondance</v>
      </c>
      <c r="K946" t="str">
        <f>_xlfn.XLOOKUP(Logs[[#This Row],[Cell_ID]],'Registre_Maintenance'!B:B,'Registre_Maintenance'!F:F,"Pas de correspondance")</f>
        <v>Pas de correspondance</v>
      </c>
      <c r="L946" t="str">
        <f>_xlfn.XLOOKUP(Logs[[#This Row],[Cell_ID]],'Registre_Maintenance'!B:B,'Registre_Maintenance'!G:G,"Pas de correspondance")</f>
        <v>Pas de correspondance</v>
      </c>
      <c r="M946" s="1" t="s">
        <v>806</v>
      </c>
      <c r="N946" s="1" t="str">
        <f>_xlfn.XLOOKUP(Logs[[#This Row],[ID_Client]],Clients_Log!B:B,Clients_Log!E:E,"Pas de correspondance")</f>
        <v>Pas de correspondance</v>
      </c>
      <c r="O946" s="4" t="str">
        <f>IFERROR(Logs[[#This Row],[Anciennete_Mois]]/12,"")</f>
        <v/>
      </c>
      <c r="P946" s="1" t="str">
        <f>_xlfn.XLOOKUP(Logs[[#This Row],[ID_Client]],Clients_Log!B:B,Clients_Log!F:F,"Pas de correspondance")</f>
        <v>Pas de correspondance</v>
      </c>
      <c r="Q946" s="1" t="str">
        <f>IF(Logs[[#This Row],[Type_Forfait]]="Pro Monde","B2B","B2C")</f>
        <v>B2C</v>
      </c>
      <c r="R946" s="1" t="str">
        <f>_xlfn.XLOOKUP(Logs[[#This Row],[ID_Client]],Clients_Log!B:B,Clients_Log!G:G,"Pas de correspondance")</f>
        <v>Pas de correspondance</v>
      </c>
      <c r="S946" s="1" t="e">
        <f>Logs[[#This Row],[Duree_Cumulee_Panne_Min]]/1440</f>
        <v>#VALUE!</v>
      </c>
      <c r="T946" s="1" t="str">
        <f>_xlfn.XLOOKUP(Logs[[#This Row],[ID_Client]],Clients_Log!B:B,Clients_Log!H:H,"Pas de correspondance")</f>
        <v>Pas de correspondance</v>
      </c>
      <c r="U946" s="1" t="str">
        <f>_xlfn.XLOOKUP(Logs[[#This Row],[ID_Client]],Clients_Log!B:B,Clients_Log!I:I,"Pas de correspondance")</f>
        <v>Pas de correspondance</v>
      </c>
      <c r="V94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46" s="1" t="e">
        <f>Logs[[#This Row],[Facture_Mensuelle]]*Logs[[#This Row],[Remise (%)]]</f>
        <v>#VALUE!</v>
      </c>
    </row>
    <row r="947" spans="1:23" x14ac:dyDescent="0.25">
      <c r="A947" s="1" t="s">
        <v>1421</v>
      </c>
      <c r="B947" s="2">
        <v>45207</v>
      </c>
      <c r="C947" s="1" t="str">
        <f>_xlfn.XLOOKUP(Logs[[#This Row],[Province_RDC]],Clients_Log!D:D,Clients_Log!B:B,"Pas de correspondance")</f>
        <v>CLI-00076</v>
      </c>
      <c r="D947" t="str">
        <f>_xlfn.XLOOKUP(Logs[[#This Row],[Cell_ID]],'Registre_Maintenance'!B:B,'Registre_Maintenance'!C:C,"Pas de correspondance")</f>
        <v>Haut-Katanga</v>
      </c>
      <c r="E947" s="3">
        <v>0.9555555555555556</v>
      </c>
      <c r="F947" s="1" t="s">
        <v>1057</v>
      </c>
      <c r="G947" s="3">
        <f>Logs[[#This Row],[Duree_Panne_Min]]/1440</f>
        <v>5.0694444444444445E-2</v>
      </c>
      <c r="H947">
        <v>73</v>
      </c>
      <c r="I947">
        <f>_xlfn.XLOOKUP(Logs[[#This Row],[Cell_ID]],'Registre_Maintenance'!B:B,'Registre_Maintenance'!D:D,"Pas de correspondance")</f>
        <v>2.016505</v>
      </c>
      <c r="J947">
        <f>_xlfn.XLOOKUP(Logs[[#This Row],[Cell_ID]],'Registre_Maintenance'!B:B,'Registre_Maintenance'!E:E,"Pas de correspondance")</f>
        <v>14.294164</v>
      </c>
      <c r="K947" t="str">
        <f>_xlfn.XLOOKUP(Logs[[#This Row],[Cell_ID]],'Registre_Maintenance'!B:B,'Registre_Maintenance'!F:F,"Pas de correspondance")</f>
        <v>5G</v>
      </c>
      <c r="L947" t="str">
        <f>_xlfn.XLOOKUP(Logs[[#This Row],[Cell_ID]],'Registre_Maintenance'!B:B,'Registre_Maintenance'!G:G,"Pas de correspondance")</f>
        <v>Huawei</v>
      </c>
      <c r="M947" s="1" t="s">
        <v>809</v>
      </c>
      <c r="N947" s="1">
        <f>_xlfn.XLOOKUP(Logs[[#This Row],[ID_Client]],Clients_Log!B:B,Clients_Log!E:E,"Pas de correspondance")</f>
        <v>46</v>
      </c>
      <c r="O947" s="4">
        <f>IFERROR(Logs[[#This Row],[Anciennete_Mois]]/12,"")</f>
        <v>3.8333333333333335</v>
      </c>
      <c r="P947" s="1" t="str">
        <f>_xlfn.XLOOKUP(Logs[[#This Row],[ID_Client]],Clients_Log!B:B,Clients_Log!F:F,"Pas de correspondance")</f>
        <v>Premium 5G 150Go</v>
      </c>
      <c r="Q947" s="1" t="str">
        <f>IF(Logs[[#This Row],[Type_Forfait]]="Pro Monde","B2B","B2C")</f>
        <v>B2C</v>
      </c>
      <c r="R947" s="1">
        <f>_xlfn.XLOOKUP(Logs[[#This Row],[ID_Client]],Clients_Log!B:B,Clients_Log!G:G,"Pas de correspondance")</f>
        <v>283</v>
      </c>
      <c r="S947" s="3">
        <f>Logs[[#This Row],[Duree_Cumulee_Panne_Min]]/1440</f>
        <v>0.19652777777777777</v>
      </c>
      <c r="T947" s="1">
        <f>_xlfn.XLOOKUP(Logs[[#This Row],[ID_Client]],Clients_Log!B:B,Clients_Log!H:H,"Pas de correspondance")</f>
        <v>56.05</v>
      </c>
      <c r="U947" s="1">
        <f>_xlfn.XLOOKUP(Logs[[#This Row],[ID_Client]],Clients_Log!B:B,Clients_Log!I:I,"Pas de correspondance")</f>
        <v>1</v>
      </c>
      <c r="V94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47" s="1">
        <f>Logs[[#This Row],[Facture_Mensuelle]]*Logs[[#This Row],[Remise (%)]]</f>
        <v>25.2225</v>
      </c>
    </row>
    <row r="948" spans="1:23" hidden="1" x14ac:dyDescent="0.25">
      <c r="A948" s="1" t="s">
        <v>1421</v>
      </c>
      <c r="B948" s="2">
        <v>45211</v>
      </c>
      <c r="C948" s="1" t="str">
        <f>_xlfn.XLOOKUP(Logs[[#This Row],[Province_RDC]],Clients_Log!D:D,Clients_Log!B:B,"Pas de correspondance")</f>
        <v>Pas de correspondance</v>
      </c>
      <c r="D948" t="str">
        <f>_xlfn.XLOOKUP(Logs[[#This Row],[Cell_ID]],'Registre_Maintenance'!B:B,'Registre_Maintenance'!C:C,"Pas de correspondance")</f>
        <v>Pas de correspondance</v>
      </c>
      <c r="E948" s="3">
        <v>0.38055555555555554</v>
      </c>
      <c r="F948" s="1" t="s">
        <v>1436</v>
      </c>
      <c r="G948" s="3">
        <f>Logs[[#This Row],[Duree_Panne_Min]]/1440</f>
        <v>5.8333333333333334E-2</v>
      </c>
      <c r="H948">
        <v>84</v>
      </c>
      <c r="I948" t="str">
        <f>_xlfn.XLOOKUP(Logs[[#This Row],[Cell_ID]],'Registre_Maintenance'!B:B,'Registre_Maintenance'!D:D,"Pas de correspondance")</f>
        <v>Pas de correspondance</v>
      </c>
      <c r="J948" t="str">
        <f>_xlfn.XLOOKUP(Logs[[#This Row],[Cell_ID]],'Registre_Maintenance'!B:B,'Registre_Maintenance'!E:E,"Pas de correspondance")</f>
        <v>Pas de correspondance</v>
      </c>
      <c r="K948" t="str">
        <f>_xlfn.XLOOKUP(Logs[[#This Row],[Cell_ID]],'Registre_Maintenance'!B:B,'Registre_Maintenance'!F:F,"Pas de correspondance")</f>
        <v>Pas de correspondance</v>
      </c>
      <c r="L948" t="str">
        <f>_xlfn.XLOOKUP(Logs[[#This Row],[Cell_ID]],'Registre_Maintenance'!B:B,'Registre_Maintenance'!G:G,"Pas de correspondance")</f>
        <v>Pas de correspondance</v>
      </c>
      <c r="M948" s="1" t="s">
        <v>806</v>
      </c>
      <c r="N948" s="1" t="str">
        <f>_xlfn.XLOOKUP(Logs[[#This Row],[ID_Client]],Clients_Log!B:B,Clients_Log!E:E,"Pas de correspondance")</f>
        <v>Pas de correspondance</v>
      </c>
      <c r="O948" s="4" t="str">
        <f>IFERROR(Logs[[#This Row],[Anciennete_Mois]]/12,"")</f>
        <v/>
      </c>
      <c r="P948" s="1" t="str">
        <f>_xlfn.XLOOKUP(Logs[[#This Row],[ID_Client]],Clients_Log!B:B,Clients_Log!F:F,"Pas de correspondance")</f>
        <v>Pas de correspondance</v>
      </c>
      <c r="Q948" s="1" t="str">
        <f>IF(Logs[[#This Row],[Type_Forfait]]="Pro Monde","B2B","B2C")</f>
        <v>B2C</v>
      </c>
      <c r="R948" s="1" t="str">
        <f>_xlfn.XLOOKUP(Logs[[#This Row],[ID_Client]],Clients_Log!B:B,Clients_Log!G:G,"Pas de correspondance")</f>
        <v>Pas de correspondance</v>
      </c>
      <c r="S948" s="1" t="e">
        <f>Logs[[#This Row],[Duree_Cumulee_Panne_Min]]/1440</f>
        <v>#VALUE!</v>
      </c>
      <c r="T948" s="1" t="str">
        <f>_xlfn.XLOOKUP(Logs[[#This Row],[ID_Client]],Clients_Log!B:B,Clients_Log!H:H,"Pas de correspondance")</f>
        <v>Pas de correspondance</v>
      </c>
      <c r="U948" s="1" t="str">
        <f>_xlfn.XLOOKUP(Logs[[#This Row],[ID_Client]],Clients_Log!B:B,Clients_Log!I:I,"Pas de correspondance")</f>
        <v>Pas de correspondance</v>
      </c>
      <c r="V94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48" s="1" t="e">
        <f>Logs[[#This Row],[Facture_Mensuelle]]*Logs[[#This Row],[Remise (%)]]</f>
        <v>#VALUE!</v>
      </c>
    </row>
    <row r="949" spans="1:23" x14ac:dyDescent="0.25">
      <c r="A949" s="1" t="s">
        <v>1421</v>
      </c>
      <c r="B949" s="2">
        <v>45203</v>
      </c>
      <c r="C949" s="1" t="str">
        <f>_xlfn.XLOOKUP(Logs[[#This Row],[Province_RDC]],Clients_Log!D:D,Clients_Log!B:B,"Pas de correspondance")</f>
        <v>CLI-00996</v>
      </c>
      <c r="D949" t="str">
        <f>_xlfn.XLOOKUP(Logs[[#This Row],[Cell_ID]],'Registre_Maintenance'!B:B,'Registre_Maintenance'!C:C,"Pas de correspondance")</f>
        <v>Kwilu</v>
      </c>
      <c r="E949" s="3">
        <v>0.52222222222222225</v>
      </c>
      <c r="F949" s="1" t="s">
        <v>1302</v>
      </c>
      <c r="G949" s="3">
        <f>Logs[[#This Row],[Duree_Panne_Min]]/1440</f>
        <v>7.6388888888888886E-3</v>
      </c>
      <c r="H949">
        <v>11</v>
      </c>
      <c r="I949">
        <f>_xlfn.XLOOKUP(Logs[[#This Row],[Cell_ID]],'Registre_Maintenance'!B:B,'Registre_Maintenance'!D:D,"Pas de correspondance")</f>
        <v>-7.402336</v>
      </c>
      <c r="J949">
        <f>_xlfn.XLOOKUP(Logs[[#This Row],[Cell_ID]],'Registre_Maintenance'!B:B,'Registre_Maintenance'!E:E,"Pas de correspondance")</f>
        <v>27.376697</v>
      </c>
      <c r="K949" t="str">
        <f>_xlfn.XLOOKUP(Logs[[#This Row],[Cell_ID]],'Registre_Maintenance'!B:B,'Registre_Maintenance'!F:F,"Pas de correspondance")</f>
        <v>4G</v>
      </c>
      <c r="L949" t="str">
        <f>_xlfn.XLOOKUP(Logs[[#This Row],[Cell_ID]],'Registre_Maintenance'!B:B,'Registre_Maintenance'!G:G,"Pas de correspondance")</f>
        <v>Huawei</v>
      </c>
      <c r="M949" s="1" t="s">
        <v>809</v>
      </c>
      <c r="N949" s="1">
        <f>_xlfn.XLOOKUP(Logs[[#This Row],[ID_Client]],Clients_Log!B:B,Clients_Log!E:E,"Pas de correspondance")</f>
        <v>119</v>
      </c>
      <c r="O949" s="4">
        <f>IFERROR(Logs[[#This Row],[Anciennete_Mois]]/12,"")</f>
        <v>9.9166666666666661</v>
      </c>
      <c r="P949" s="1" t="str">
        <f>_xlfn.XLOOKUP(Logs[[#This Row],[ID_Client]],Clients_Log!B:B,Clients_Log!F:F,"Pas de correspondance")</f>
        <v>Illimité 50Go</v>
      </c>
      <c r="Q949" s="1" t="str">
        <f>IF(Logs[[#This Row],[Type_Forfait]]="Pro Monde","B2B","B2C")</f>
        <v>B2C</v>
      </c>
      <c r="R949" s="1">
        <f>_xlfn.XLOOKUP(Logs[[#This Row],[ID_Client]],Clients_Log!B:B,Clients_Log!G:G,"Pas de correspondance")</f>
        <v>228</v>
      </c>
      <c r="S949" s="3">
        <f>Logs[[#This Row],[Duree_Cumulee_Panne_Min]]/1440</f>
        <v>0.15833333333333333</v>
      </c>
      <c r="T949" s="1">
        <f>_xlfn.XLOOKUP(Logs[[#This Row],[ID_Client]],Clients_Log!B:B,Clients_Log!H:H,"Pas de correspondance")</f>
        <v>94.72</v>
      </c>
      <c r="U949" s="1">
        <f>_xlfn.XLOOKUP(Logs[[#This Row],[ID_Client]],Clients_Log!B:B,Clients_Log!I:I,"Pas de correspondance")</f>
        <v>3</v>
      </c>
      <c r="V94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949" s="1">
        <f>Logs[[#This Row],[Facture_Mensuelle]]*Logs[[#This Row],[Remise (%)]]</f>
        <v>0</v>
      </c>
    </row>
    <row r="950" spans="1:23" x14ac:dyDescent="0.25">
      <c r="A950" s="1" t="s">
        <v>1421</v>
      </c>
      <c r="B950" s="2">
        <v>45218</v>
      </c>
      <c r="C950" s="1" t="str">
        <f>_xlfn.XLOOKUP(Logs[[#This Row],[Province_RDC]],Clients_Log!D:D,Clients_Log!B:B,"Pas de correspondance")</f>
        <v>CLI-01233</v>
      </c>
      <c r="D950" t="str">
        <f>_xlfn.XLOOKUP(Logs[[#This Row],[Cell_ID]],'Registre_Maintenance'!B:B,'Registre_Maintenance'!C:C,"Pas de correspondance")</f>
        <v>Kongo-Central</v>
      </c>
      <c r="E950" s="3">
        <v>0.38194444444444442</v>
      </c>
      <c r="F950" s="1" t="s">
        <v>813</v>
      </c>
      <c r="G950" s="3">
        <f>Logs[[#This Row],[Duree_Panne_Min]]/1440</f>
        <v>5.6250000000000001E-2</v>
      </c>
      <c r="H950">
        <v>81</v>
      </c>
      <c r="I950">
        <f>_xlfn.XLOOKUP(Logs[[#This Row],[Cell_ID]],'Registre_Maintenance'!B:B,'Registre_Maintenance'!D:D,"Pas de correspondance")</f>
        <v>-2.8211520000000001</v>
      </c>
      <c r="J950">
        <f>_xlfn.XLOOKUP(Logs[[#This Row],[Cell_ID]],'Registre_Maintenance'!B:B,'Registre_Maintenance'!E:E,"Pas de correspondance")</f>
        <v>20.651419000000001</v>
      </c>
      <c r="K950" t="str">
        <f>_xlfn.XLOOKUP(Logs[[#This Row],[Cell_ID]],'Registre_Maintenance'!B:B,'Registre_Maintenance'!F:F,"Pas de correspondance")</f>
        <v>5G</v>
      </c>
      <c r="L950" t="str">
        <f>_xlfn.XLOOKUP(Logs[[#This Row],[Cell_ID]],'Registre_Maintenance'!B:B,'Registre_Maintenance'!G:G,"Pas de correspondance")</f>
        <v>Ericsson</v>
      </c>
      <c r="M950" s="1" t="s">
        <v>809</v>
      </c>
      <c r="N950" s="1">
        <f>_xlfn.XLOOKUP(Logs[[#This Row],[ID_Client]],Clients_Log!B:B,Clients_Log!E:E,"Pas de correspondance")</f>
        <v>101</v>
      </c>
      <c r="O950" s="4">
        <f>IFERROR(Logs[[#This Row],[Anciennete_Mois]]/12,"")</f>
        <v>8.4166666666666661</v>
      </c>
      <c r="P950" s="1" t="str">
        <f>_xlfn.XLOOKUP(Logs[[#This Row],[ID_Client]],Clients_Log!B:B,Clients_Log!F:F,"Pas de correspondance")</f>
        <v>Pro Monde</v>
      </c>
      <c r="Q950" s="1" t="str">
        <f>IF(Logs[[#This Row],[Type_Forfait]]="Pro Monde","B2B","B2C")</f>
        <v>B2B</v>
      </c>
      <c r="R950" s="1">
        <f>_xlfn.XLOOKUP(Logs[[#This Row],[ID_Client]],Clients_Log!B:B,Clients_Log!G:G,"Pas de correspondance")</f>
        <v>333</v>
      </c>
      <c r="S950" s="3">
        <f>Logs[[#This Row],[Duree_Cumulee_Panne_Min]]/1440</f>
        <v>0.23125000000000001</v>
      </c>
      <c r="T950" s="1">
        <f>_xlfn.XLOOKUP(Logs[[#This Row],[ID_Client]],Clients_Log!B:B,Clients_Log!H:H,"Pas de correspondance")</f>
        <v>74.319999999999993</v>
      </c>
      <c r="U950" s="1">
        <f>_xlfn.XLOOKUP(Logs[[#This Row],[ID_Client]],Clients_Log!B:B,Clients_Log!I:I,"Pas de correspondance")</f>
        <v>1</v>
      </c>
      <c r="V95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50" s="1">
        <f>Logs[[#This Row],[Facture_Mensuelle]]*Logs[[#This Row],[Remise (%)]]</f>
        <v>33.443999999999996</v>
      </c>
    </row>
    <row r="951" spans="1:23" hidden="1" x14ac:dyDescent="0.25">
      <c r="A951" s="1" t="s">
        <v>1421</v>
      </c>
      <c r="B951" s="2">
        <v>45202</v>
      </c>
      <c r="C951" s="1" t="str">
        <f>_xlfn.XLOOKUP(Logs[[#This Row],[Province_RDC]],Clients_Log!D:D,Clients_Log!B:B,"Pas de correspondance")</f>
        <v>Pas de correspondance</v>
      </c>
      <c r="D951" t="str">
        <f>_xlfn.XLOOKUP(Logs[[#This Row],[Cell_ID]],'Registre_Maintenance'!B:B,'Registre_Maintenance'!C:C,"Pas de correspondance")</f>
        <v>Pas de correspondance</v>
      </c>
      <c r="E951" s="3">
        <v>5.486111111111111E-2</v>
      </c>
      <c r="F951" s="1" t="s">
        <v>1080</v>
      </c>
      <c r="G951" s="3">
        <f>Logs[[#This Row],[Duree_Panne_Min]]/1440</f>
        <v>7.6388888888888886E-3</v>
      </c>
      <c r="H951">
        <v>11</v>
      </c>
      <c r="I951" t="str">
        <f>_xlfn.XLOOKUP(Logs[[#This Row],[Cell_ID]],'Registre_Maintenance'!B:B,'Registre_Maintenance'!D:D,"Pas de correspondance")</f>
        <v>Pas de correspondance</v>
      </c>
      <c r="J951" t="str">
        <f>_xlfn.XLOOKUP(Logs[[#This Row],[Cell_ID]],'Registre_Maintenance'!B:B,'Registre_Maintenance'!E:E,"Pas de correspondance")</f>
        <v>Pas de correspondance</v>
      </c>
      <c r="K951" t="str">
        <f>_xlfn.XLOOKUP(Logs[[#This Row],[Cell_ID]],'Registre_Maintenance'!B:B,'Registre_Maintenance'!F:F,"Pas de correspondance")</f>
        <v>Pas de correspondance</v>
      </c>
      <c r="L951" t="str">
        <f>_xlfn.XLOOKUP(Logs[[#This Row],[Cell_ID]],'Registre_Maintenance'!B:B,'Registre_Maintenance'!G:G,"Pas de correspondance")</f>
        <v>Pas de correspondance</v>
      </c>
      <c r="M951" s="1" t="s">
        <v>806</v>
      </c>
      <c r="N951" s="1" t="str">
        <f>_xlfn.XLOOKUP(Logs[[#This Row],[ID_Client]],Clients_Log!B:B,Clients_Log!E:E,"Pas de correspondance")</f>
        <v>Pas de correspondance</v>
      </c>
      <c r="O951" s="4" t="str">
        <f>IFERROR(Logs[[#This Row],[Anciennete_Mois]]/12,"")</f>
        <v/>
      </c>
      <c r="P951" s="1" t="str">
        <f>_xlfn.XLOOKUP(Logs[[#This Row],[ID_Client]],Clients_Log!B:B,Clients_Log!F:F,"Pas de correspondance")</f>
        <v>Pas de correspondance</v>
      </c>
      <c r="Q951" s="1" t="str">
        <f>IF(Logs[[#This Row],[Type_Forfait]]="Pro Monde","B2B","B2C")</f>
        <v>B2C</v>
      </c>
      <c r="R951" s="1" t="str">
        <f>_xlfn.XLOOKUP(Logs[[#This Row],[ID_Client]],Clients_Log!B:B,Clients_Log!G:G,"Pas de correspondance")</f>
        <v>Pas de correspondance</v>
      </c>
      <c r="S951" s="1" t="e">
        <f>Logs[[#This Row],[Duree_Cumulee_Panne_Min]]/1440</f>
        <v>#VALUE!</v>
      </c>
      <c r="T951" s="1" t="str">
        <f>_xlfn.XLOOKUP(Logs[[#This Row],[ID_Client]],Clients_Log!B:B,Clients_Log!H:H,"Pas de correspondance")</f>
        <v>Pas de correspondance</v>
      </c>
      <c r="U951" s="1" t="str">
        <f>_xlfn.XLOOKUP(Logs[[#This Row],[ID_Client]],Clients_Log!B:B,Clients_Log!I:I,"Pas de correspondance")</f>
        <v>Pas de correspondance</v>
      </c>
      <c r="V95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51" s="1" t="e">
        <f>Logs[[#This Row],[Facture_Mensuelle]]*Logs[[#This Row],[Remise (%)]]</f>
        <v>#VALUE!</v>
      </c>
    </row>
    <row r="952" spans="1:23" x14ac:dyDescent="0.25">
      <c r="A952" s="1" t="s">
        <v>1421</v>
      </c>
      <c r="B952" s="2">
        <v>45230</v>
      </c>
      <c r="C952" s="1" t="str">
        <f>_xlfn.XLOOKUP(Logs[[#This Row],[Province_RDC]],Clients_Log!D:D,Clients_Log!B:B,"Pas de correspondance")</f>
        <v>CLI-00414</v>
      </c>
      <c r="D952" t="str">
        <f>_xlfn.XLOOKUP(Logs[[#This Row],[Cell_ID]],'Registre_Maintenance'!B:B,'Registre_Maintenance'!C:C,"Pas de correspondance")</f>
        <v>Bas-Uele</v>
      </c>
      <c r="E952" s="3">
        <v>0.39513888888888887</v>
      </c>
      <c r="F952" s="1" t="s">
        <v>1437</v>
      </c>
      <c r="G952" s="3">
        <f>Logs[[#This Row],[Duree_Panne_Min]]/1440</f>
        <v>6.1805555555555558E-2</v>
      </c>
      <c r="H952">
        <v>89</v>
      </c>
      <c r="I952">
        <f>_xlfn.XLOOKUP(Logs[[#This Row],[Cell_ID]],'Registre_Maintenance'!B:B,'Registre_Maintenance'!D:D,"Pas de correspondance")</f>
        <v>-7.3952039999999997</v>
      </c>
      <c r="J952">
        <f>_xlfn.XLOOKUP(Logs[[#This Row],[Cell_ID]],'Registre_Maintenance'!B:B,'Registre_Maintenance'!E:E,"Pas de correspondance")</f>
        <v>21.651043999999999</v>
      </c>
      <c r="K952" t="str">
        <f>_xlfn.XLOOKUP(Logs[[#This Row],[Cell_ID]],'Registre_Maintenance'!B:B,'Registre_Maintenance'!F:F,"Pas de correspondance")</f>
        <v>4G</v>
      </c>
      <c r="L952" t="str">
        <f>_xlfn.XLOOKUP(Logs[[#This Row],[Cell_ID]],'Registre_Maintenance'!B:B,'Registre_Maintenance'!G:G,"Pas de correspondance")</f>
        <v>Huawei</v>
      </c>
      <c r="M952" s="1" t="s">
        <v>811</v>
      </c>
      <c r="N952" s="1">
        <f>_xlfn.XLOOKUP(Logs[[#This Row],[ID_Client]],Clients_Log!B:B,Clients_Log!E:E,"Pas de correspondance")</f>
        <v>99</v>
      </c>
      <c r="O952" s="4">
        <f>IFERROR(Logs[[#This Row],[Anciennete_Mois]]/12,"")</f>
        <v>8.25</v>
      </c>
      <c r="P952" s="1" t="str">
        <f>_xlfn.XLOOKUP(Logs[[#This Row],[ID_Client]],Clients_Log!B:B,Clients_Log!F:F,"Pas de correspondance")</f>
        <v>Premium 5G 150Go</v>
      </c>
      <c r="Q952" s="1" t="str">
        <f>IF(Logs[[#This Row],[Type_Forfait]]="Pro Monde","B2B","B2C")</f>
        <v>B2C</v>
      </c>
      <c r="R952" s="1">
        <f>_xlfn.XLOOKUP(Logs[[#This Row],[ID_Client]],Clients_Log!B:B,Clients_Log!G:G,"Pas de correspondance")</f>
        <v>447</v>
      </c>
      <c r="S952" s="3">
        <f>Logs[[#This Row],[Duree_Cumulee_Panne_Min]]/1440</f>
        <v>0.31041666666666667</v>
      </c>
      <c r="T952" s="1">
        <f>_xlfn.XLOOKUP(Logs[[#This Row],[ID_Client]],Clients_Log!B:B,Clients_Log!H:H,"Pas de correspondance")</f>
        <v>38.1</v>
      </c>
      <c r="U952" s="1">
        <f>_xlfn.XLOOKUP(Logs[[#This Row],[ID_Client]],Clients_Log!B:B,Clients_Log!I:I,"Pas de correspondance")</f>
        <v>3</v>
      </c>
      <c r="V95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52" s="1">
        <f>Logs[[#This Row],[Facture_Mensuelle]]*Logs[[#This Row],[Remise (%)]]</f>
        <v>17.145</v>
      </c>
    </row>
    <row r="953" spans="1:23" hidden="1" x14ac:dyDescent="0.25">
      <c r="A953" s="1" t="s">
        <v>1421</v>
      </c>
      <c r="B953" s="2">
        <v>45223</v>
      </c>
      <c r="C953" s="1" t="str">
        <f>_xlfn.XLOOKUP(Logs[[#This Row],[Province_RDC]],Clients_Log!D:D,Clients_Log!B:B,"Pas de correspondance")</f>
        <v>Pas de correspondance</v>
      </c>
      <c r="D953" t="str">
        <f>_xlfn.XLOOKUP(Logs[[#This Row],[Cell_ID]],'Registre_Maintenance'!B:B,'Registre_Maintenance'!C:C,"Pas de correspondance")</f>
        <v>Pas de correspondance</v>
      </c>
      <c r="E953" s="3">
        <v>0.69305555555555554</v>
      </c>
      <c r="F953" s="1" t="s">
        <v>1414</v>
      </c>
      <c r="G953" s="3">
        <f>Logs[[#This Row],[Duree_Panne_Min]]/1440</f>
        <v>1.2500000000000001E-2</v>
      </c>
      <c r="H953">
        <v>18</v>
      </c>
      <c r="I953" t="str">
        <f>_xlfn.XLOOKUP(Logs[[#This Row],[Cell_ID]],'Registre_Maintenance'!B:B,'Registre_Maintenance'!D:D,"Pas de correspondance")</f>
        <v>Pas de correspondance</v>
      </c>
      <c r="J953" t="str">
        <f>_xlfn.XLOOKUP(Logs[[#This Row],[Cell_ID]],'Registre_Maintenance'!B:B,'Registre_Maintenance'!E:E,"Pas de correspondance")</f>
        <v>Pas de correspondance</v>
      </c>
      <c r="K953" t="str">
        <f>_xlfn.XLOOKUP(Logs[[#This Row],[Cell_ID]],'Registre_Maintenance'!B:B,'Registre_Maintenance'!F:F,"Pas de correspondance")</f>
        <v>Pas de correspondance</v>
      </c>
      <c r="L953" t="str">
        <f>_xlfn.XLOOKUP(Logs[[#This Row],[Cell_ID]],'Registre_Maintenance'!B:B,'Registre_Maintenance'!G:G,"Pas de correspondance")</f>
        <v>Pas de correspondance</v>
      </c>
      <c r="M953" s="1" t="s">
        <v>809</v>
      </c>
      <c r="N953" s="1" t="str">
        <f>_xlfn.XLOOKUP(Logs[[#This Row],[ID_Client]],Clients_Log!B:B,Clients_Log!E:E,"Pas de correspondance")</f>
        <v>Pas de correspondance</v>
      </c>
      <c r="O953" s="4" t="str">
        <f>IFERROR(Logs[[#This Row],[Anciennete_Mois]]/12,"")</f>
        <v/>
      </c>
      <c r="P953" s="1" t="str">
        <f>_xlfn.XLOOKUP(Logs[[#This Row],[ID_Client]],Clients_Log!B:B,Clients_Log!F:F,"Pas de correspondance")</f>
        <v>Pas de correspondance</v>
      </c>
      <c r="Q953" s="1" t="str">
        <f>IF(Logs[[#This Row],[Type_Forfait]]="Pro Monde","B2B","B2C")</f>
        <v>B2C</v>
      </c>
      <c r="R953" s="1" t="str">
        <f>_xlfn.XLOOKUP(Logs[[#This Row],[ID_Client]],Clients_Log!B:B,Clients_Log!G:G,"Pas de correspondance")</f>
        <v>Pas de correspondance</v>
      </c>
      <c r="S953" s="1" t="e">
        <f>Logs[[#This Row],[Duree_Cumulee_Panne_Min]]/1440</f>
        <v>#VALUE!</v>
      </c>
      <c r="T953" s="1" t="str">
        <f>_xlfn.XLOOKUP(Logs[[#This Row],[ID_Client]],Clients_Log!B:B,Clients_Log!H:H,"Pas de correspondance")</f>
        <v>Pas de correspondance</v>
      </c>
      <c r="U953" s="1" t="str">
        <f>_xlfn.XLOOKUP(Logs[[#This Row],[ID_Client]],Clients_Log!B:B,Clients_Log!I:I,"Pas de correspondance")</f>
        <v>Pas de correspondance</v>
      </c>
      <c r="V95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53" s="1" t="e">
        <f>Logs[[#This Row],[Facture_Mensuelle]]*Logs[[#This Row],[Remise (%)]]</f>
        <v>#VALUE!</v>
      </c>
    </row>
    <row r="954" spans="1:23" x14ac:dyDescent="0.25">
      <c r="A954" s="1" t="s">
        <v>1421</v>
      </c>
      <c r="B954" s="2">
        <v>45216</v>
      </c>
      <c r="C954" s="1" t="str">
        <f>_xlfn.XLOOKUP(Logs[[#This Row],[Province_RDC]],Clients_Log!D:D,Clients_Log!B:B,"Pas de correspondance")</f>
        <v>CLI-00185</v>
      </c>
      <c r="D954" t="str">
        <f>_xlfn.XLOOKUP(Logs[[#This Row],[Cell_ID]],'Registre_Maintenance'!B:B,'Registre_Maintenance'!C:C,"Pas de correspondance")</f>
        <v>Maniema</v>
      </c>
      <c r="E954" s="3">
        <v>0.43541666666666667</v>
      </c>
      <c r="F954" s="1" t="s">
        <v>1274</v>
      </c>
      <c r="G954" s="3">
        <f>Logs[[#This Row],[Duree_Panne_Min]]/1440</f>
        <v>6.1111111111111109E-2</v>
      </c>
      <c r="H954">
        <v>88</v>
      </c>
      <c r="I954">
        <f>_xlfn.XLOOKUP(Logs[[#This Row],[Cell_ID]],'Registre_Maintenance'!B:B,'Registre_Maintenance'!D:D,"Pas de correspondance")</f>
        <v>1.938083</v>
      </c>
      <c r="J954">
        <f>_xlfn.XLOOKUP(Logs[[#This Row],[Cell_ID]],'Registre_Maintenance'!B:B,'Registre_Maintenance'!E:E,"Pas de correspondance")</f>
        <v>28.25281</v>
      </c>
      <c r="K954" t="str">
        <f>_xlfn.XLOOKUP(Logs[[#This Row],[Cell_ID]],'Registre_Maintenance'!B:B,'Registre_Maintenance'!F:F,"Pas de correspondance")</f>
        <v>4G</v>
      </c>
      <c r="L954" t="str">
        <f>_xlfn.XLOOKUP(Logs[[#This Row],[Cell_ID]],'Registre_Maintenance'!B:B,'Registre_Maintenance'!G:G,"Pas de correspondance")</f>
        <v>Nokia</v>
      </c>
      <c r="M954" s="1" t="s">
        <v>806</v>
      </c>
      <c r="N954" s="1">
        <f>_xlfn.XLOOKUP(Logs[[#This Row],[ID_Client]],Clients_Log!B:B,Clients_Log!E:E,"Pas de correspondance")</f>
        <v>81</v>
      </c>
      <c r="O954" s="4">
        <f>IFERROR(Logs[[#This Row],[Anciennete_Mois]]/12,"")</f>
        <v>6.75</v>
      </c>
      <c r="P954" s="1" t="str">
        <f>_xlfn.XLOOKUP(Logs[[#This Row],[ID_Client]],Clients_Log!B:B,Clients_Log!F:F,"Pas de correspondance")</f>
        <v>Pro Monde</v>
      </c>
      <c r="Q954" s="1" t="str">
        <f>IF(Logs[[#This Row],[Type_Forfait]]="Pro Monde","B2B","B2C")</f>
        <v>B2B</v>
      </c>
      <c r="R954" s="1">
        <f>_xlfn.XLOOKUP(Logs[[#This Row],[ID_Client]],Clients_Log!B:B,Clients_Log!G:G,"Pas de correspondance")</f>
        <v>154</v>
      </c>
      <c r="S954" s="3">
        <f>Logs[[#This Row],[Duree_Cumulee_Panne_Min]]/1440</f>
        <v>0.10694444444444444</v>
      </c>
      <c r="T954" s="1">
        <f>_xlfn.XLOOKUP(Logs[[#This Row],[ID_Client]],Clients_Log!B:B,Clients_Log!H:H,"Pas de correspondance")</f>
        <v>19.47</v>
      </c>
      <c r="U954" s="1">
        <f>_xlfn.XLOOKUP(Logs[[#This Row],[ID_Client]],Clients_Log!B:B,Clients_Log!I:I,"Pas de correspondance")</f>
        <v>3</v>
      </c>
      <c r="V95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954" s="1">
        <f>Logs[[#This Row],[Facture_Mensuelle]]*Logs[[#This Row],[Remise (%)]]</f>
        <v>1.9470000000000001</v>
      </c>
    </row>
    <row r="955" spans="1:23" hidden="1" x14ac:dyDescent="0.25">
      <c r="A955" s="1" t="s">
        <v>1421</v>
      </c>
      <c r="B955" s="2">
        <v>45228</v>
      </c>
      <c r="C955" s="1" t="str">
        <f>_xlfn.XLOOKUP(Logs[[#This Row],[Province_RDC]],Clients_Log!D:D,Clients_Log!B:B,"Pas de correspondance")</f>
        <v>Pas de correspondance</v>
      </c>
      <c r="D955" t="str">
        <f>_xlfn.XLOOKUP(Logs[[#This Row],[Cell_ID]],'Registre_Maintenance'!B:B,'Registre_Maintenance'!C:C,"Pas de correspondance")</f>
        <v>Pas de correspondance</v>
      </c>
      <c r="E955" s="3">
        <v>0.88055555555555554</v>
      </c>
      <c r="F955" s="1" t="s">
        <v>1101</v>
      </c>
      <c r="G955" s="3">
        <f>Logs[[#This Row],[Duree_Panne_Min]]/1440</f>
        <v>7.7777777777777779E-2</v>
      </c>
      <c r="H955">
        <v>112</v>
      </c>
      <c r="I955" t="str">
        <f>_xlfn.XLOOKUP(Logs[[#This Row],[Cell_ID]],'Registre_Maintenance'!B:B,'Registre_Maintenance'!D:D,"Pas de correspondance")</f>
        <v>Pas de correspondance</v>
      </c>
      <c r="J955" t="str">
        <f>_xlfn.XLOOKUP(Logs[[#This Row],[Cell_ID]],'Registre_Maintenance'!B:B,'Registre_Maintenance'!E:E,"Pas de correspondance")</f>
        <v>Pas de correspondance</v>
      </c>
      <c r="K955" t="str">
        <f>_xlfn.XLOOKUP(Logs[[#This Row],[Cell_ID]],'Registre_Maintenance'!B:B,'Registre_Maintenance'!F:F,"Pas de correspondance")</f>
        <v>Pas de correspondance</v>
      </c>
      <c r="L955" t="str">
        <f>_xlfn.XLOOKUP(Logs[[#This Row],[Cell_ID]],'Registre_Maintenance'!B:B,'Registre_Maintenance'!G:G,"Pas de correspondance")</f>
        <v>Pas de correspondance</v>
      </c>
      <c r="M955" s="1" t="s">
        <v>811</v>
      </c>
      <c r="N955" s="1" t="str">
        <f>_xlfn.XLOOKUP(Logs[[#This Row],[ID_Client]],Clients_Log!B:B,Clients_Log!E:E,"Pas de correspondance")</f>
        <v>Pas de correspondance</v>
      </c>
      <c r="O955" s="4" t="str">
        <f>IFERROR(Logs[[#This Row],[Anciennete_Mois]]/12,"")</f>
        <v/>
      </c>
      <c r="P955" s="1" t="str">
        <f>_xlfn.XLOOKUP(Logs[[#This Row],[ID_Client]],Clients_Log!B:B,Clients_Log!F:F,"Pas de correspondance")</f>
        <v>Pas de correspondance</v>
      </c>
      <c r="Q955" s="1" t="str">
        <f>IF(Logs[[#This Row],[Type_Forfait]]="Pro Monde","B2B","B2C")</f>
        <v>B2C</v>
      </c>
      <c r="R955" s="1" t="str">
        <f>_xlfn.XLOOKUP(Logs[[#This Row],[ID_Client]],Clients_Log!B:B,Clients_Log!G:G,"Pas de correspondance")</f>
        <v>Pas de correspondance</v>
      </c>
      <c r="S955" s="1" t="e">
        <f>Logs[[#This Row],[Duree_Cumulee_Panne_Min]]/1440</f>
        <v>#VALUE!</v>
      </c>
      <c r="T955" s="1" t="str">
        <f>_xlfn.XLOOKUP(Logs[[#This Row],[ID_Client]],Clients_Log!B:B,Clients_Log!H:H,"Pas de correspondance")</f>
        <v>Pas de correspondance</v>
      </c>
      <c r="U955" s="1" t="str">
        <f>_xlfn.XLOOKUP(Logs[[#This Row],[ID_Client]],Clients_Log!B:B,Clients_Log!I:I,"Pas de correspondance")</f>
        <v>Pas de correspondance</v>
      </c>
      <c r="V95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55" s="1" t="e">
        <f>Logs[[#This Row],[Facture_Mensuelle]]*Logs[[#This Row],[Remise (%)]]</f>
        <v>#VALUE!</v>
      </c>
    </row>
    <row r="956" spans="1:23" x14ac:dyDescent="0.25">
      <c r="A956" s="1" t="s">
        <v>1438</v>
      </c>
      <c r="B956" s="2">
        <v>45211</v>
      </c>
      <c r="C956" s="1" t="str">
        <f>_xlfn.XLOOKUP(Logs[[#This Row],[Province_RDC]],Clients_Log!D:D,Clients_Log!B:B,"Pas de correspondance")</f>
        <v>CLI-00439</v>
      </c>
      <c r="D956" t="str">
        <f>_xlfn.XLOOKUP(Logs[[#This Row],[Cell_ID]],'Registre_Maintenance'!B:B,'Registre_Maintenance'!C:C,"Pas de correspondance")</f>
        <v>Haut-Uele</v>
      </c>
      <c r="E956" s="3">
        <v>0.88888888888888884</v>
      </c>
      <c r="F956" s="1" t="s">
        <v>1215</v>
      </c>
      <c r="G956" s="3">
        <f>Logs[[#This Row],[Duree_Panne_Min]]/1440</f>
        <v>6.0416666666666667E-2</v>
      </c>
      <c r="H956">
        <v>87</v>
      </c>
      <c r="I956">
        <f>_xlfn.XLOOKUP(Logs[[#This Row],[Cell_ID]],'Registre_Maintenance'!B:B,'Registre_Maintenance'!D:D,"Pas de correspondance")</f>
        <v>-7.1483749999999997</v>
      </c>
      <c r="J956">
        <f>_xlfn.XLOOKUP(Logs[[#This Row],[Cell_ID]],'Registre_Maintenance'!B:B,'Registre_Maintenance'!E:E,"Pas de correspondance")</f>
        <v>26.014271000000001</v>
      </c>
      <c r="K956" t="str">
        <f>_xlfn.XLOOKUP(Logs[[#This Row],[Cell_ID]],'Registre_Maintenance'!B:B,'Registre_Maintenance'!F:F,"Pas de correspondance")</f>
        <v>5G</v>
      </c>
      <c r="L956" t="str">
        <f>_xlfn.XLOOKUP(Logs[[#This Row],[Cell_ID]],'Registre_Maintenance'!B:B,'Registre_Maintenance'!G:G,"Pas de correspondance")</f>
        <v>Huawei</v>
      </c>
      <c r="M956" s="1" t="s">
        <v>809</v>
      </c>
      <c r="N956" s="1">
        <f>_xlfn.XLOOKUP(Logs[[#This Row],[ID_Client]],Clients_Log!B:B,Clients_Log!E:E,"Pas de correspondance")</f>
        <v>40</v>
      </c>
      <c r="O956" s="4">
        <f>IFERROR(Logs[[#This Row],[Anciennete_Mois]]/12,"")</f>
        <v>3.3333333333333335</v>
      </c>
      <c r="P956" s="1" t="str">
        <f>_xlfn.XLOOKUP(Logs[[#This Row],[ID_Client]],Clients_Log!B:B,Clients_Log!F:F,"Pas de correspondance")</f>
        <v>Premium 5G 150Go</v>
      </c>
      <c r="Q956" s="1" t="str">
        <f>IF(Logs[[#This Row],[Type_Forfait]]="Pro Monde","B2B","B2C")</f>
        <v>B2C</v>
      </c>
      <c r="R956" s="1">
        <f>_xlfn.XLOOKUP(Logs[[#This Row],[ID_Client]],Clients_Log!B:B,Clients_Log!G:G,"Pas de correspondance")</f>
        <v>345</v>
      </c>
      <c r="S956" s="3">
        <f>Logs[[#This Row],[Duree_Cumulee_Panne_Min]]/1440</f>
        <v>0.23958333333333334</v>
      </c>
      <c r="T956" s="1">
        <f>_xlfn.XLOOKUP(Logs[[#This Row],[ID_Client]],Clients_Log!B:B,Clients_Log!H:H,"Pas de correspondance")</f>
        <v>89.55</v>
      </c>
      <c r="U956" s="1">
        <f>_xlfn.XLOOKUP(Logs[[#This Row],[ID_Client]],Clients_Log!B:B,Clients_Log!I:I,"Pas de correspondance")</f>
        <v>3</v>
      </c>
      <c r="V95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56" s="1">
        <f>Logs[[#This Row],[Facture_Mensuelle]]*Logs[[#This Row],[Remise (%)]]</f>
        <v>40.297499999999999</v>
      </c>
    </row>
    <row r="957" spans="1:23" hidden="1" x14ac:dyDescent="0.25">
      <c r="A957" s="1" t="s">
        <v>1438</v>
      </c>
      <c r="B957" s="2">
        <v>45213</v>
      </c>
      <c r="C957" s="1" t="str">
        <f>_xlfn.XLOOKUP(Logs[[#This Row],[Province_RDC]],Clients_Log!D:D,Clients_Log!B:B,"Pas de correspondance")</f>
        <v>Pas de correspondance</v>
      </c>
      <c r="D957" t="str">
        <f>_xlfn.XLOOKUP(Logs[[#This Row],[Cell_ID]],'Registre_Maintenance'!B:B,'Registre_Maintenance'!C:C,"Pas de correspondance")</f>
        <v>Pas de correspondance</v>
      </c>
      <c r="E957" s="3">
        <v>0.96319444444444446</v>
      </c>
      <c r="F957" s="1" t="s">
        <v>1439</v>
      </c>
      <c r="G957" s="3">
        <f>Logs[[#This Row],[Duree_Panne_Min]]/1440</f>
        <v>1.7361111111111112E-2</v>
      </c>
      <c r="H957">
        <v>25</v>
      </c>
      <c r="I957" t="str">
        <f>_xlfn.XLOOKUP(Logs[[#This Row],[Cell_ID]],'Registre_Maintenance'!B:B,'Registre_Maintenance'!D:D,"Pas de correspondance")</f>
        <v>Pas de correspondance</v>
      </c>
      <c r="J957" t="str">
        <f>_xlfn.XLOOKUP(Logs[[#This Row],[Cell_ID]],'Registre_Maintenance'!B:B,'Registre_Maintenance'!E:E,"Pas de correspondance")</f>
        <v>Pas de correspondance</v>
      </c>
      <c r="K957" t="str">
        <f>_xlfn.XLOOKUP(Logs[[#This Row],[Cell_ID]],'Registre_Maintenance'!B:B,'Registre_Maintenance'!F:F,"Pas de correspondance")</f>
        <v>Pas de correspondance</v>
      </c>
      <c r="L957" t="str">
        <f>_xlfn.XLOOKUP(Logs[[#This Row],[Cell_ID]],'Registre_Maintenance'!B:B,'Registre_Maintenance'!G:G,"Pas de correspondance")</f>
        <v>Pas de correspondance</v>
      </c>
      <c r="M957" s="1" t="s">
        <v>809</v>
      </c>
      <c r="N957" s="1" t="str">
        <f>_xlfn.XLOOKUP(Logs[[#This Row],[ID_Client]],Clients_Log!B:B,Clients_Log!E:E,"Pas de correspondance")</f>
        <v>Pas de correspondance</v>
      </c>
      <c r="O957" s="4" t="str">
        <f>IFERROR(Logs[[#This Row],[Anciennete_Mois]]/12,"")</f>
        <v/>
      </c>
      <c r="P957" s="1" t="str">
        <f>_xlfn.XLOOKUP(Logs[[#This Row],[ID_Client]],Clients_Log!B:B,Clients_Log!F:F,"Pas de correspondance")</f>
        <v>Pas de correspondance</v>
      </c>
      <c r="Q957" s="1" t="str">
        <f>IF(Logs[[#This Row],[Type_Forfait]]="Pro Monde","B2B","B2C")</f>
        <v>B2C</v>
      </c>
      <c r="R957" s="1" t="str">
        <f>_xlfn.XLOOKUP(Logs[[#This Row],[ID_Client]],Clients_Log!B:B,Clients_Log!G:G,"Pas de correspondance")</f>
        <v>Pas de correspondance</v>
      </c>
      <c r="S957" s="1" t="e">
        <f>Logs[[#This Row],[Duree_Cumulee_Panne_Min]]/1440</f>
        <v>#VALUE!</v>
      </c>
      <c r="T957" s="1" t="str">
        <f>_xlfn.XLOOKUP(Logs[[#This Row],[ID_Client]],Clients_Log!B:B,Clients_Log!H:H,"Pas de correspondance")</f>
        <v>Pas de correspondance</v>
      </c>
      <c r="U957" s="1" t="str">
        <f>_xlfn.XLOOKUP(Logs[[#This Row],[ID_Client]],Clients_Log!B:B,Clients_Log!I:I,"Pas de correspondance")</f>
        <v>Pas de correspondance</v>
      </c>
      <c r="V95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57" s="1" t="e">
        <f>Logs[[#This Row],[Facture_Mensuelle]]*Logs[[#This Row],[Remise (%)]]</f>
        <v>#VALUE!</v>
      </c>
    </row>
    <row r="958" spans="1:23" x14ac:dyDescent="0.25">
      <c r="A958" s="1" t="s">
        <v>1438</v>
      </c>
      <c r="B958" s="2">
        <v>45203</v>
      </c>
      <c r="C958" s="1" t="str">
        <f>_xlfn.XLOOKUP(Logs[[#This Row],[Province_RDC]],Clients_Log!D:D,Clients_Log!B:B,"Pas de correspondance")</f>
        <v>CLI-00414</v>
      </c>
      <c r="D958" t="str">
        <f>_xlfn.XLOOKUP(Logs[[#This Row],[Cell_ID]],'Registre_Maintenance'!B:B,'Registre_Maintenance'!C:C,"Pas de correspondance")</f>
        <v>Bas-Uele</v>
      </c>
      <c r="E958" s="3">
        <v>4.1666666666666664E-2</v>
      </c>
      <c r="F958" s="1" t="s">
        <v>1127</v>
      </c>
      <c r="G958" s="3">
        <f>Logs[[#This Row],[Duree_Panne_Min]]/1440</f>
        <v>4.791666666666667E-2</v>
      </c>
      <c r="H958">
        <v>69</v>
      </c>
      <c r="I958">
        <f>_xlfn.XLOOKUP(Logs[[#This Row],[Cell_ID]],'Registre_Maintenance'!B:B,'Registre_Maintenance'!D:D,"Pas de correspondance")</f>
        <v>-2.2876210000000001</v>
      </c>
      <c r="J958">
        <f>_xlfn.XLOOKUP(Logs[[#This Row],[Cell_ID]],'Registre_Maintenance'!B:B,'Registre_Maintenance'!E:E,"Pas de correspondance")</f>
        <v>27.582545</v>
      </c>
      <c r="K958" t="str">
        <f>_xlfn.XLOOKUP(Logs[[#This Row],[Cell_ID]],'Registre_Maintenance'!B:B,'Registre_Maintenance'!F:F,"Pas de correspondance")</f>
        <v>4G</v>
      </c>
      <c r="L958" t="str">
        <f>_xlfn.XLOOKUP(Logs[[#This Row],[Cell_ID]],'Registre_Maintenance'!B:B,'Registre_Maintenance'!G:G,"Pas de correspondance")</f>
        <v>Huawei</v>
      </c>
      <c r="M958" s="1" t="s">
        <v>811</v>
      </c>
      <c r="N958" s="1">
        <f>_xlfn.XLOOKUP(Logs[[#This Row],[ID_Client]],Clients_Log!B:B,Clients_Log!E:E,"Pas de correspondance")</f>
        <v>99</v>
      </c>
      <c r="O958" s="4">
        <f>IFERROR(Logs[[#This Row],[Anciennete_Mois]]/12,"")</f>
        <v>8.25</v>
      </c>
      <c r="P958" s="1" t="str">
        <f>_xlfn.XLOOKUP(Logs[[#This Row],[ID_Client]],Clients_Log!B:B,Clients_Log!F:F,"Pas de correspondance")</f>
        <v>Premium 5G 150Go</v>
      </c>
      <c r="Q958" s="1" t="str">
        <f>IF(Logs[[#This Row],[Type_Forfait]]="Pro Monde","B2B","B2C")</f>
        <v>B2C</v>
      </c>
      <c r="R958" s="1">
        <f>_xlfn.XLOOKUP(Logs[[#This Row],[ID_Client]],Clients_Log!B:B,Clients_Log!G:G,"Pas de correspondance")</f>
        <v>447</v>
      </c>
      <c r="S958" s="3">
        <f>Logs[[#This Row],[Duree_Cumulee_Panne_Min]]/1440</f>
        <v>0.31041666666666667</v>
      </c>
      <c r="T958" s="1">
        <f>_xlfn.XLOOKUP(Logs[[#This Row],[ID_Client]],Clients_Log!B:B,Clients_Log!H:H,"Pas de correspondance")</f>
        <v>38.1</v>
      </c>
      <c r="U958" s="1">
        <f>_xlfn.XLOOKUP(Logs[[#This Row],[ID_Client]],Clients_Log!B:B,Clients_Log!I:I,"Pas de correspondance")</f>
        <v>3</v>
      </c>
      <c r="V95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58" s="1">
        <f>Logs[[#This Row],[Facture_Mensuelle]]*Logs[[#This Row],[Remise (%)]]</f>
        <v>17.145</v>
      </c>
    </row>
    <row r="959" spans="1:23" hidden="1" x14ac:dyDescent="0.25">
      <c r="A959" s="1" t="s">
        <v>1438</v>
      </c>
      <c r="B959" s="2">
        <v>45227</v>
      </c>
      <c r="C959" s="1" t="str">
        <f>_xlfn.XLOOKUP(Logs[[#This Row],[Province_RDC]],Clients_Log!D:D,Clients_Log!B:B,"Pas de correspondance")</f>
        <v>Pas de correspondance</v>
      </c>
      <c r="D959" t="str">
        <f>_xlfn.XLOOKUP(Logs[[#This Row],[Cell_ID]],'Registre_Maintenance'!B:B,'Registre_Maintenance'!C:C,"Pas de correspondance")</f>
        <v>Pas de correspondance</v>
      </c>
      <c r="E959" s="3">
        <v>0.19583333333333333</v>
      </c>
      <c r="F959" s="1" t="s">
        <v>981</v>
      </c>
      <c r="G959" s="3">
        <f>Logs[[#This Row],[Duree_Panne_Min]]/1440</f>
        <v>7.8472222222222221E-2</v>
      </c>
      <c r="H959">
        <v>113</v>
      </c>
      <c r="I959" t="str">
        <f>_xlfn.XLOOKUP(Logs[[#This Row],[Cell_ID]],'Registre_Maintenance'!B:B,'Registre_Maintenance'!D:D,"Pas de correspondance")</f>
        <v>Pas de correspondance</v>
      </c>
      <c r="J959" t="str">
        <f>_xlfn.XLOOKUP(Logs[[#This Row],[Cell_ID]],'Registre_Maintenance'!B:B,'Registre_Maintenance'!E:E,"Pas de correspondance")</f>
        <v>Pas de correspondance</v>
      </c>
      <c r="K959" t="str">
        <f>_xlfn.XLOOKUP(Logs[[#This Row],[Cell_ID]],'Registre_Maintenance'!B:B,'Registre_Maintenance'!F:F,"Pas de correspondance")</f>
        <v>Pas de correspondance</v>
      </c>
      <c r="L959" t="str">
        <f>_xlfn.XLOOKUP(Logs[[#This Row],[Cell_ID]],'Registre_Maintenance'!B:B,'Registre_Maintenance'!G:G,"Pas de correspondance")</f>
        <v>Pas de correspondance</v>
      </c>
      <c r="M959" s="1" t="s">
        <v>809</v>
      </c>
      <c r="N959" s="1" t="str">
        <f>_xlfn.XLOOKUP(Logs[[#This Row],[ID_Client]],Clients_Log!B:B,Clients_Log!E:E,"Pas de correspondance")</f>
        <v>Pas de correspondance</v>
      </c>
      <c r="O959" s="4" t="str">
        <f>IFERROR(Logs[[#This Row],[Anciennete_Mois]]/12,"")</f>
        <v/>
      </c>
      <c r="P959" s="1" t="str">
        <f>_xlfn.XLOOKUP(Logs[[#This Row],[ID_Client]],Clients_Log!B:B,Clients_Log!F:F,"Pas de correspondance")</f>
        <v>Pas de correspondance</v>
      </c>
      <c r="Q959" s="1" t="str">
        <f>IF(Logs[[#This Row],[Type_Forfait]]="Pro Monde","B2B","B2C")</f>
        <v>B2C</v>
      </c>
      <c r="R959" s="1" t="str">
        <f>_xlfn.XLOOKUP(Logs[[#This Row],[ID_Client]],Clients_Log!B:B,Clients_Log!G:G,"Pas de correspondance")</f>
        <v>Pas de correspondance</v>
      </c>
      <c r="S959" s="1" t="e">
        <f>Logs[[#This Row],[Duree_Cumulee_Panne_Min]]/1440</f>
        <v>#VALUE!</v>
      </c>
      <c r="T959" s="1" t="str">
        <f>_xlfn.XLOOKUP(Logs[[#This Row],[ID_Client]],Clients_Log!B:B,Clients_Log!H:H,"Pas de correspondance")</f>
        <v>Pas de correspondance</v>
      </c>
      <c r="U959" s="1" t="str">
        <f>_xlfn.XLOOKUP(Logs[[#This Row],[ID_Client]],Clients_Log!B:B,Clients_Log!I:I,"Pas de correspondance")</f>
        <v>Pas de correspondance</v>
      </c>
      <c r="V95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59" s="1" t="e">
        <f>Logs[[#This Row],[Facture_Mensuelle]]*Logs[[#This Row],[Remise (%)]]</f>
        <v>#VALUE!</v>
      </c>
    </row>
    <row r="960" spans="1:23" hidden="1" x14ac:dyDescent="0.25">
      <c r="A960" s="1" t="s">
        <v>1438</v>
      </c>
      <c r="B960" s="2">
        <v>45220</v>
      </c>
      <c r="C960" s="1" t="str">
        <f>_xlfn.XLOOKUP(Logs[[#This Row],[Province_RDC]],Clients_Log!D:D,Clients_Log!B:B,"Pas de correspondance")</f>
        <v>Pas de correspondance</v>
      </c>
      <c r="D960" t="str">
        <f>_xlfn.XLOOKUP(Logs[[#This Row],[Cell_ID]],'Registre_Maintenance'!B:B,'Registre_Maintenance'!C:C,"Pas de correspondance")</f>
        <v>Pas de correspondance</v>
      </c>
      <c r="E960" s="3">
        <v>0.22291666666666668</v>
      </c>
      <c r="F960" s="1" t="s">
        <v>1347</v>
      </c>
      <c r="G960" s="3">
        <f>Logs[[#This Row],[Duree_Panne_Min]]/1440</f>
        <v>4.5138888888888888E-2</v>
      </c>
      <c r="H960">
        <v>65</v>
      </c>
      <c r="I960" t="str">
        <f>_xlfn.XLOOKUP(Logs[[#This Row],[Cell_ID]],'Registre_Maintenance'!B:B,'Registre_Maintenance'!D:D,"Pas de correspondance")</f>
        <v>Pas de correspondance</v>
      </c>
      <c r="J960" t="str">
        <f>_xlfn.XLOOKUP(Logs[[#This Row],[Cell_ID]],'Registre_Maintenance'!B:B,'Registre_Maintenance'!E:E,"Pas de correspondance")</f>
        <v>Pas de correspondance</v>
      </c>
      <c r="K960" t="str">
        <f>_xlfn.XLOOKUP(Logs[[#This Row],[Cell_ID]],'Registre_Maintenance'!B:B,'Registre_Maintenance'!F:F,"Pas de correspondance")</f>
        <v>Pas de correspondance</v>
      </c>
      <c r="L960" t="str">
        <f>_xlfn.XLOOKUP(Logs[[#This Row],[Cell_ID]],'Registre_Maintenance'!B:B,'Registre_Maintenance'!G:G,"Pas de correspondance")</f>
        <v>Pas de correspondance</v>
      </c>
      <c r="M960" s="1" t="s">
        <v>811</v>
      </c>
      <c r="N960" s="1" t="str">
        <f>_xlfn.XLOOKUP(Logs[[#This Row],[ID_Client]],Clients_Log!B:B,Clients_Log!E:E,"Pas de correspondance")</f>
        <v>Pas de correspondance</v>
      </c>
      <c r="O960" s="4" t="str">
        <f>IFERROR(Logs[[#This Row],[Anciennete_Mois]]/12,"")</f>
        <v/>
      </c>
      <c r="P960" s="1" t="str">
        <f>_xlfn.XLOOKUP(Logs[[#This Row],[ID_Client]],Clients_Log!B:B,Clients_Log!F:F,"Pas de correspondance")</f>
        <v>Pas de correspondance</v>
      </c>
      <c r="Q960" s="1" t="str">
        <f>IF(Logs[[#This Row],[Type_Forfait]]="Pro Monde","B2B","B2C")</f>
        <v>B2C</v>
      </c>
      <c r="R960" s="1" t="str">
        <f>_xlfn.XLOOKUP(Logs[[#This Row],[ID_Client]],Clients_Log!B:B,Clients_Log!G:G,"Pas de correspondance")</f>
        <v>Pas de correspondance</v>
      </c>
      <c r="S960" s="1" t="e">
        <f>Logs[[#This Row],[Duree_Cumulee_Panne_Min]]/1440</f>
        <v>#VALUE!</v>
      </c>
      <c r="T960" s="1" t="str">
        <f>_xlfn.XLOOKUP(Logs[[#This Row],[ID_Client]],Clients_Log!B:B,Clients_Log!H:H,"Pas de correspondance")</f>
        <v>Pas de correspondance</v>
      </c>
      <c r="U960" s="1" t="str">
        <f>_xlfn.XLOOKUP(Logs[[#This Row],[ID_Client]],Clients_Log!B:B,Clients_Log!I:I,"Pas de correspondance")</f>
        <v>Pas de correspondance</v>
      </c>
      <c r="V96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60" s="1" t="e">
        <f>Logs[[#This Row],[Facture_Mensuelle]]*Logs[[#This Row],[Remise (%)]]</f>
        <v>#VALUE!</v>
      </c>
    </row>
    <row r="961" spans="1:23" x14ac:dyDescent="0.25">
      <c r="A961" s="1" t="s">
        <v>1438</v>
      </c>
      <c r="B961" s="2">
        <v>45211</v>
      </c>
      <c r="C961" s="1" t="str">
        <f>_xlfn.XLOOKUP(Logs[[#This Row],[Province_RDC]],Clients_Log!D:D,Clients_Log!B:B,"Pas de correspondance")</f>
        <v>CLI-01147</v>
      </c>
      <c r="D961" t="str">
        <f>_xlfn.XLOOKUP(Logs[[#This Row],[Cell_ID]],'Registre_Maintenance'!B:B,'Registre_Maintenance'!C:C,"Pas de correspondance")</f>
        <v>Ituri</v>
      </c>
      <c r="E961" s="3">
        <v>0.61041666666666672</v>
      </c>
      <c r="F961" s="1" t="s">
        <v>887</v>
      </c>
      <c r="G961" s="3">
        <f>Logs[[#This Row],[Duree_Panne_Min]]/1440</f>
        <v>7.9166666666666663E-2</v>
      </c>
      <c r="H961">
        <v>114</v>
      </c>
      <c r="I961">
        <f>_xlfn.XLOOKUP(Logs[[#This Row],[Cell_ID]],'Registre_Maintenance'!B:B,'Registre_Maintenance'!D:D,"Pas de correspondance")</f>
        <v>-7.0076900000000002</v>
      </c>
      <c r="J961">
        <f>_xlfn.XLOOKUP(Logs[[#This Row],[Cell_ID]],'Registre_Maintenance'!B:B,'Registre_Maintenance'!E:E,"Pas de correspondance")</f>
        <v>27.367121999999998</v>
      </c>
      <c r="K961" t="str">
        <f>_xlfn.XLOOKUP(Logs[[#This Row],[Cell_ID]],'Registre_Maintenance'!B:B,'Registre_Maintenance'!F:F,"Pas de correspondance")</f>
        <v>3G</v>
      </c>
      <c r="L961" t="str">
        <f>_xlfn.XLOOKUP(Logs[[#This Row],[Cell_ID]],'Registre_Maintenance'!B:B,'Registre_Maintenance'!G:G,"Pas de correspondance")</f>
        <v>Nokia</v>
      </c>
      <c r="M961" s="1" t="s">
        <v>806</v>
      </c>
      <c r="N961" s="1">
        <f>_xlfn.XLOOKUP(Logs[[#This Row],[ID_Client]],Clients_Log!B:B,Clients_Log!E:E,"Pas de correspondance")</f>
        <v>29</v>
      </c>
      <c r="O961" s="4">
        <f>IFERROR(Logs[[#This Row],[Anciennete_Mois]]/12,"")</f>
        <v>2.4166666666666665</v>
      </c>
      <c r="P961" s="1" t="str">
        <f>_xlfn.XLOOKUP(Logs[[#This Row],[ID_Client]],Clients_Log!B:B,Clients_Log!F:F,"Pas de correspondance")</f>
        <v>Premium 5G 150Go</v>
      </c>
      <c r="Q961" s="1" t="str">
        <f>IF(Logs[[#This Row],[Type_Forfait]]="Pro Monde","B2B","B2C")</f>
        <v>B2C</v>
      </c>
      <c r="R961" s="1">
        <f>_xlfn.XLOOKUP(Logs[[#This Row],[ID_Client]],Clients_Log!B:B,Clients_Log!G:G,"Pas de correspondance")</f>
        <v>214</v>
      </c>
      <c r="S961" s="3">
        <f>Logs[[#This Row],[Duree_Cumulee_Panne_Min]]/1440</f>
        <v>0.14861111111111111</v>
      </c>
      <c r="T961" s="1">
        <f>_xlfn.XLOOKUP(Logs[[#This Row],[ID_Client]],Clients_Log!B:B,Clients_Log!H:H,"Pas de correspondance")</f>
        <v>74.7</v>
      </c>
      <c r="U961" s="1">
        <f>_xlfn.XLOOKUP(Logs[[#This Row],[ID_Client]],Clients_Log!B:B,Clients_Log!I:I,"Pas de correspondance")</f>
        <v>3</v>
      </c>
      <c r="V96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61" s="1">
        <f>Logs[[#This Row],[Facture_Mensuelle]]*Logs[[#This Row],[Remise (%)]]</f>
        <v>33.615000000000002</v>
      </c>
    </row>
    <row r="962" spans="1:23" x14ac:dyDescent="0.25">
      <c r="A962" s="1" t="s">
        <v>1438</v>
      </c>
      <c r="B962" s="2">
        <v>45208</v>
      </c>
      <c r="C962" s="1" t="str">
        <f>_xlfn.XLOOKUP(Logs[[#This Row],[Province_RDC]],Clients_Log!D:D,Clients_Log!B:B,"Pas de correspondance")</f>
        <v>CLI-00414</v>
      </c>
      <c r="D962" t="str">
        <f>_xlfn.XLOOKUP(Logs[[#This Row],[Cell_ID]],'Registre_Maintenance'!B:B,'Registre_Maintenance'!C:C,"Pas de correspondance")</f>
        <v>Bas-Uele</v>
      </c>
      <c r="E962" s="3">
        <v>0.96180555555555558</v>
      </c>
      <c r="F962" s="1" t="s">
        <v>1440</v>
      </c>
      <c r="G962" s="3">
        <f>Logs[[#This Row],[Duree_Panne_Min]]/1440</f>
        <v>4.7222222222222221E-2</v>
      </c>
      <c r="H962">
        <v>68</v>
      </c>
      <c r="I962">
        <f>_xlfn.XLOOKUP(Logs[[#This Row],[Cell_ID]],'Registre_Maintenance'!B:B,'Registre_Maintenance'!D:D,"Pas de correspondance")</f>
        <v>-2.3269820000000001</v>
      </c>
      <c r="J962">
        <f>_xlfn.XLOOKUP(Logs[[#This Row],[Cell_ID]],'Registre_Maintenance'!B:B,'Registre_Maintenance'!E:E,"Pas de correspondance")</f>
        <v>14.609259</v>
      </c>
      <c r="K962" t="str">
        <f>_xlfn.XLOOKUP(Logs[[#This Row],[Cell_ID]],'Registre_Maintenance'!B:B,'Registre_Maintenance'!F:F,"Pas de correspondance")</f>
        <v>3G</v>
      </c>
      <c r="L962" t="str">
        <f>_xlfn.XLOOKUP(Logs[[#This Row],[Cell_ID]],'Registre_Maintenance'!B:B,'Registre_Maintenance'!G:G,"Pas de correspondance")</f>
        <v>Nokia</v>
      </c>
      <c r="M962" s="1" t="s">
        <v>806</v>
      </c>
      <c r="N962" s="1">
        <f>_xlfn.XLOOKUP(Logs[[#This Row],[ID_Client]],Clients_Log!B:B,Clients_Log!E:E,"Pas de correspondance")</f>
        <v>99</v>
      </c>
      <c r="O962" s="4">
        <f>IFERROR(Logs[[#This Row],[Anciennete_Mois]]/12,"")</f>
        <v>8.25</v>
      </c>
      <c r="P962" s="1" t="str">
        <f>_xlfn.XLOOKUP(Logs[[#This Row],[ID_Client]],Clients_Log!B:B,Clients_Log!F:F,"Pas de correspondance")</f>
        <v>Premium 5G 150Go</v>
      </c>
      <c r="Q962" s="1" t="str">
        <f>IF(Logs[[#This Row],[Type_Forfait]]="Pro Monde","B2B","B2C")</f>
        <v>B2C</v>
      </c>
      <c r="R962" s="1">
        <f>_xlfn.XLOOKUP(Logs[[#This Row],[ID_Client]],Clients_Log!B:B,Clients_Log!G:G,"Pas de correspondance")</f>
        <v>447</v>
      </c>
      <c r="S962" s="3">
        <f>Logs[[#This Row],[Duree_Cumulee_Panne_Min]]/1440</f>
        <v>0.31041666666666667</v>
      </c>
      <c r="T962" s="1">
        <f>_xlfn.XLOOKUP(Logs[[#This Row],[ID_Client]],Clients_Log!B:B,Clients_Log!H:H,"Pas de correspondance")</f>
        <v>38.1</v>
      </c>
      <c r="U962" s="1">
        <f>_xlfn.XLOOKUP(Logs[[#This Row],[ID_Client]],Clients_Log!B:B,Clients_Log!I:I,"Pas de correspondance")</f>
        <v>3</v>
      </c>
      <c r="V96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62" s="1">
        <f>Logs[[#This Row],[Facture_Mensuelle]]*Logs[[#This Row],[Remise (%)]]</f>
        <v>17.145</v>
      </c>
    </row>
    <row r="963" spans="1:23" x14ac:dyDescent="0.25">
      <c r="A963" s="1" t="s">
        <v>1438</v>
      </c>
      <c r="B963" s="2">
        <v>45211</v>
      </c>
      <c r="C963" s="1" t="str">
        <f>_xlfn.XLOOKUP(Logs[[#This Row],[Province_RDC]],Clients_Log!D:D,Clients_Log!B:B,"Pas de correspondance")</f>
        <v>CLI-00837</v>
      </c>
      <c r="D963" t="str">
        <f>_xlfn.XLOOKUP(Logs[[#This Row],[Cell_ID]],'Registre_Maintenance'!B:B,'Registre_Maintenance'!C:C,"Pas de correspondance")</f>
        <v>Nord-Kivu</v>
      </c>
      <c r="E963" s="3">
        <v>0.42430555555555555</v>
      </c>
      <c r="F963" s="1" t="s">
        <v>1001</v>
      </c>
      <c r="G963" s="3">
        <f>Logs[[#This Row],[Duree_Panne_Min]]/1440</f>
        <v>8.0555555555555561E-2</v>
      </c>
      <c r="H963">
        <v>116</v>
      </c>
      <c r="I963">
        <f>_xlfn.XLOOKUP(Logs[[#This Row],[Cell_ID]],'Registre_Maintenance'!B:B,'Registre_Maintenance'!D:D,"Pas de correspondance")</f>
        <v>-1.8555980000000001</v>
      </c>
      <c r="J963">
        <f>_xlfn.XLOOKUP(Logs[[#This Row],[Cell_ID]],'Registre_Maintenance'!B:B,'Registre_Maintenance'!E:E,"Pas de correspondance")</f>
        <v>30.421918000000002</v>
      </c>
      <c r="K963" t="str">
        <f>_xlfn.XLOOKUP(Logs[[#This Row],[Cell_ID]],'Registre_Maintenance'!B:B,'Registre_Maintenance'!F:F,"Pas de correspondance")</f>
        <v>3G</v>
      </c>
      <c r="L963" t="str">
        <f>_xlfn.XLOOKUP(Logs[[#This Row],[Cell_ID]],'Registre_Maintenance'!B:B,'Registre_Maintenance'!G:G,"Pas de correspondance")</f>
        <v>ZTE</v>
      </c>
      <c r="M963" s="1" t="s">
        <v>809</v>
      </c>
      <c r="N963" s="1">
        <f>_xlfn.XLOOKUP(Logs[[#This Row],[ID_Client]],Clients_Log!B:B,Clients_Log!E:E,"Pas de correspondance")</f>
        <v>16</v>
      </c>
      <c r="O963" s="4">
        <f>IFERROR(Logs[[#This Row],[Anciennete_Mois]]/12,"")</f>
        <v>1.3333333333333333</v>
      </c>
      <c r="P963" s="1" t="str">
        <f>_xlfn.XLOOKUP(Logs[[#This Row],[ID_Client]],Clients_Log!B:B,Clients_Log!F:F,"Pas de correspondance")</f>
        <v>Bloqué 5Go</v>
      </c>
      <c r="Q963" s="1" t="str">
        <f>IF(Logs[[#This Row],[Type_Forfait]]="Pro Monde","B2B","B2C")</f>
        <v>B2C</v>
      </c>
      <c r="R963" s="1">
        <f>_xlfn.XLOOKUP(Logs[[#This Row],[ID_Client]],Clients_Log!B:B,Clients_Log!G:G,"Pas de correspondance")</f>
        <v>390</v>
      </c>
      <c r="S963" s="3">
        <f>Logs[[#This Row],[Duree_Cumulee_Panne_Min]]/1440</f>
        <v>0.27083333333333331</v>
      </c>
      <c r="T963" s="1">
        <f>_xlfn.XLOOKUP(Logs[[#This Row],[ID_Client]],Clients_Log!B:B,Clients_Log!H:H,"Pas de correspondance")</f>
        <v>98.17</v>
      </c>
      <c r="U963" s="1">
        <f>_xlfn.XLOOKUP(Logs[[#This Row],[ID_Client]],Clients_Log!B:B,Clients_Log!I:I,"Pas de correspondance")</f>
        <v>5</v>
      </c>
      <c r="V96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63" s="1">
        <f>Logs[[#This Row],[Facture_Mensuelle]]*Logs[[#This Row],[Remise (%)]]</f>
        <v>44.176500000000004</v>
      </c>
    </row>
    <row r="964" spans="1:23" x14ac:dyDescent="0.25">
      <c r="A964" s="1" t="s">
        <v>1438</v>
      </c>
      <c r="B964" s="2">
        <v>45203</v>
      </c>
      <c r="C964" s="1" t="str">
        <f>_xlfn.XLOOKUP(Logs[[#This Row],[Province_RDC]],Clients_Log!D:D,Clients_Log!B:B,"Pas de correspondance")</f>
        <v>CLI-01170</v>
      </c>
      <c r="D964" t="str">
        <f>_xlfn.XLOOKUP(Logs[[#This Row],[Cell_ID]],'Registre_Maintenance'!B:B,'Registre_Maintenance'!C:C,"Pas de correspondance")</f>
        <v>Nord-Ubangi</v>
      </c>
      <c r="E964" s="3">
        <v>0.51736111111111116</v>
      </c>
      <c r="F964" s="1" t="s">
        <v>837</v>
      </c>
      <c r="G964" s="3">
        <f>Logs[[#This Row],[Duree_Panne_Min]]/1440</f>
        <v>1.8055555555555554E-2</v>
      </c>
      <c r="H964">
        <v>26</v>
      </c>
      <c r="I964">
        <f>_xlfn.XLOOKUP(Logs[[#This Row],[Cell_ID]],'Registre_Maintenance'!B:B,'Registre_Maintenance'!D:D,"Pas de correspondance")</f>
        <v>-8.1437910000000002</v>
      </c>
      <c r="J964">
        <f>_xlfn.XLOOKUP(Logs[[#This Row],[Cell_ID]],'Registre_Maintenance'!B:B,'Registre_Maintenance'!E:E,"Pas de correspondance")</f>
        <v>28.946161</v>
      </c>
      <c r="K964" t="str">
        <f>_xlfn.XLOOKUP(Logs[[#This Row],[Cell_ID]],'Registre_Maintenance'!B:B,'Registre_Maintenance'!F:F,"Pas de correspondance")</f>
        <v>4G</v>
      </c>
      <c r="L964" t="str">
        <f>_xlfn.XLOOKUP(Logs[[#This Row],[Cell_ID]],'Registre_Maintenance'!B:B,'Registre_Maintenance'!G:G,"Pas de correspondance")</f>
        <v>ZTE</v>
      </c>
      <c r="M964" s="1" t="s">
        <v>806</v>
      </c>
      <c r="N964" s="1">
        <f>_xlfn.XLOOKUP(Logs[[#This Row],[ID_Client]],Clients_Log!B:B,Clients_Log!E:E,"Pas de correspondance")</f>
        <v>98</v>
      </c>
      <c r="O964" s="4">
        <f>IFERROR(Logs[[#This Row],[Anciennete_Mois]]/12,"")</f>
        <v>8.1666666666666661</v>
      </c>
      <c r="P964" s="1" t="str">
        <f>_xlfn.XLOOKUP(Logs[[#This Row],[ID_Client]],Clients_Log!B:B,Clients_Log!F:F,"Pas de correspondance")</f>
        <v>Pro Monde</v>
      </c>
      <c r="Q964" s="1" t="str">
        <f>IF(Logs[[#This Row],[Type_Forfait]]="Pro Monde","B2B","B2C")</f>
        <v>B2B</v>
      </c>
      <c r="R964" s="1">
        <f>_xlfn.XLOOKUP(Logs[[#This Row],[ID_Client]],Clients_Log!B:B,Clients_Log!G:G,"Pas de correspondance")</f>
        <v>482</v>
      </c>
      <c r="S964" s="3">
        <f>Logs[[#This Row],[Duree_Cumulee_Panne_Min]]/1440</f>
        <v>0.3347222222222222</v>
      </c>
      <c r="T964" s="1">
        <f>_xlfn.XLOOKUP(Logs[[#This Row],[ID_Client]],Clients_Log!B:B,Clients_Log!H:H,"Pas de correspondance")</f>
        <v>55.04</v>
      </c>
      <c r="U964" s="1">
        <f>_xlfn.XLOOKUP(Logs[[#This Row],[ID_Client]],Clients_Log!B:B,Clients_Log!I:I,"Pas de correspondance")</f>
        <v>5</v>
      </c>
      <c r="V96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64" s="1">
        <f>Logs[[#This Row],[Facture_Mensuelle]]*Logs[[#This Row],[Remise (%)]]</f>
        <v>24.768000000000001</v>
      </c>
    </row>
    <row r="965" spans="1:23" x14ac:dyDescent="0.25">
      <c r="A965" s="1" t="s">
        <v>1438</v>
      </c>
      <c r="B965" s="2">
        <v>45230</v>
      </c>
      <c r="C965" s="1" t="str">
        <f>_xlfn.XLOOKUP(Logs[[#This Row],[Province_RDC]],Clients_Log!D:D,Clients_Log!B:B,"Pas de correspondance")</f>
        <v>CLI-00611</v>
      </c>
      <c r="D965" t="str">
        <f>_xlfn.XLOOKUP(Logs[[#This Row],[Cell_ID]],'Registre_Maintenance'!B:B,'Registre_Maintenance'!C:C,"Pas de correspondance")</f>
        <v>Kinshasa</v>
      </c>
      <c r="E965" s="3">
        <v>0.59513888888888888</v>
      </c>
      <c r="F965" s="1" t="s">
        <v>1441</v>
      </c>
      <c r="G965" s="3">
        <f>Logs[[#This Row],[Duree_Panne_Min]]/1440</f>
        <v>9.7222222222222224E-3</v>
      </c>
      <c r="H965">
        <v>14</v>
      </c>
      <c r="I965">
        <f>_xlfn.XLOOKUP(Logs[[#This Row],[Cell_ID]],'Registre_Maintenance'!B:B,'Registre_Maintenance'!D:D,"Pas de correspondance")</f>
        <v>-7.1079169999999996</v>
      </c>
      <c r="J965">
        <f>_xlfn.XLOOKUP(Logs[[#This Row],[Cell_ID]],'Registre_Maintenance'!B:B,'Registre_Maintenance'!E:E,"Pas de correspondance")</f>
        <v>13.636272</v>
      </c>
      <c r="K965" t="str">
        <f>_xlfn.XLOOKUP(Logs[[#This Row],[Cell_ID]],'Registre_Maintenance'!B:B,'Registre_Maintenance'!F:F,"Pas de correspondance")</f>
        <v>5G</v>
      </c>
      <c r="L965" t="str">
        <f>_xlfn.XLOOKUP(Logs[[#This Row],[Cell_ID]],'Registre_Maintenance'!B:B,'Registre_Maintenance'!G:G,"Pas de correspondance")</f>
        <v>Nokia</v>
      </c>
      <c r="M965" s="1" t="s">
        <v>806</v>
      </c>
      <c r="N965" s="1">
        <f>_xlfn.XLOOKUP(Logs[[#This Row],[ID_Client]],Clients_Log!B:B,Clients_Log!E:E,"Pas de correspondance")</f>
        <v>79</v>
      </c>
      <c r="O965" s="4">
        <f>IFERROR(Logs[[#This Row],[Anciennete_Mois]]/12,"")</f>
        <v>6.583333333333333</v>
      </c>
      <c r="P965" s="1" t="str">
        <f>_xlfn.XLOOKUP(Logs[[#This Row],[ID_Client]],Clients_Log!B:B,Clients_Log!F:F,"Pas de correspondance")</f>
        <v>Premium 5G 150Go</v>
      </c>
      <c r="Q965" s="1" t="str">
        <f>IF(Logs[[#This Row],[Type_Forfait]]="Pro Monde","B2B","B2C")</f>
        <v>B2C</v>
      </c>
      <c r="R965" s="1">
        <f>_xlfn.XLOOKUP(Logs[[#This Row],[ID_Client]],Clients_Log!B:B,Clients_Log!G:G,"Pas de correspondance")</f>
        <v>226</v>
      </c>
      <c r="S965" s="3">
        <f>Logs[[#This Row],[Duree_Cumulee_Panne_Min]]/1440</f>
        <v>0.15694444444444444</v>
      </c>
      <c r="T965" s="1">
        <f>_xlfn.XLOOKUP(Logs[[#This Row],[ID_Client]],Clients_Log!B:B,Clients_Log!H:H,"Pas de correspondance")</f>
        <v>94.38</v>
      </c>
      <c r="U965" s="1">
        <f>_xlfn.XLOOKUP(Logs[[#This Row],[ID_Client]],Clients_Log!B:B,Clients_Log!I:I,"Pas de correspondance")</f>
        <v>3</v>
      </c>
      <c r="V96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965" s="1">
        <f>Logs[[#This Row],[Facture_Mensuelle]]*Logs[[#This Row],[Remise (%)]]</f>
        <v>0</v>
      </c>
    </row>
    <row r="966" spans="1:23" x14ac:dyDescent="0.25">
      <c r="A966" s="1" t="s">
        <v>1438</v>
      </c>
      <c r="B966" s="2">
        <v>45226</v>
      </c>
      <c r="C966" s="1" t="str">
        <f>_xlfn.XLOOKUP(Logs[[#This Row],[Province_RDC]],Clients_Log!D:D,Clients_Log!B:B,"Pas de correspondance")</f>
        <v>CLI-00185</v>
      </c>
      <c r="D966" t="str">
        <f>_xlfn.XLOOKUP(Logs[[#This Row],[Cell_ID]],'Registre_Maintenance'!B:B,'Registre_Maintenance'!C:C,"Pas de correspondance")</f>
        <v>Maniema</v>
      </c>
      <c r="E966" s="3">
        <v>0.53055555555555556</v>
      </c>
      <c r="F966" s="1" t="s">
        <v>1442</v>
      </c>
      <c r="G966" s="3">
        <f>Logs[[#This Row],[Duree_Panne_Min]]/1440</f>
        <v>7.013888888888889E-2</v>
      </c>
      <c r="H966">
        <v>101</v>
      </c>
      <c r="I966">
        <f>_xlfn.XLOOKUP(Logs[[#This Row],[Cell_ID]],'Registre_Maintenance'!B:B,'Registre_Maintenance'!D:D,"Pas de correspondance")</f>
        <v>-10.650321</v>
      </c>
      <c r="J966">
        <f>_xlfn.XLOOKUP(Logs[[#This Row],[Cell_ID]],'Registre_Maintenance'!B:B,'Registre_Maintenance'!E:E,"Pas de correspondance")</f>
        <v>15.917044000000001</v>
      </c>
      <c r="K966" t="str">
        <f>_xlfn.XLOOKUP(Logs[[#This Row],[Cell_ID]],'Registre_Maintenance'!B:B,'Registre_Maintenance'!F:F,"Pas de correspondance")</f>
        <v>4G</v>
      </c>
      <c r="L966" t="str">
        <f>_xlfn.XLOOKUP(Logs[[#This Row],[Cell_ID]],'Registre_Maintenance'!B:B,'Registre_Maintenance'!G:G,"Pas de correspondance")</f>
        <v>Nokia</v>
      </c>
      <c r="M966" s="1" t="s">
        <v>811</v>
      </c>
      <c r="N966" s="1">
        <f>_xlfn.XLOOKUP(Logs[[#This Row],[ID_Client]],Clients_Log!B:B,Clients_Log!E:E,"Pas de correspondance")</f>
        <v>81</v>
      </c>
      <c r="O966" s="4">
        <f>IFERROR(Logs[[#This Row],[Anciennete_Mois]]/12,"")</f>
        <v>6.75</v>
      </c>
      <c r="P966" s="1" t="str">
        <f>_xlfn.XLOOKUP(Logs[[#This Row],[ID_Client]],Clients_Log!B:B,Clients_Log!F:F,"Pas de correspondance")</f>
        <v>Pro Monde</v>
      </c>
      <c r="Q966" s="1" t="str">
        <f>IF(Logs[[#This Row],[Type_Forfait]]="Pro Monde","B2B","B2C")</f>
        <v>B2B</v>
      </c>
      <c r="R966" s="1">
        <f>_xlfn.XLOOKUP(Logs[[#This Row],[ID_Client]],Clients_Log!B:B,Clients_Log!G:G,"Pas de correspondance")</f>
        <v>154</v>
      </c>
      <c r="S966" s="3">
        <f>Logs[[#This Row],[Duree_Cumulee_Panne_Min]]/1440</f>
        <v>0.10694444444444444</v>
      </c>
      <c r="T966" s="1">
        <f>_xlfn.XLOOKUP(Logs[[#This Row],[ID_Client]],Clients_Log!B:B,Clients_Log!H:H,"Pas de correspondance")</f>
        <v>19.47</v>
      </c>
      <c r="U966" s="1">
        <f>_xlfn.XLOOKUP(Logs[[#This Row],[ID_Client]],Clients_Log!B:B,Clients_Log!I:I,"Pas de correspondance")</f>
        <v>3</v>
      </c>
      <c r="V96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966" s="1">
        <f>Logs[[#This Row],[Facture_Mensuelle]]*Logs[[#This Row],[Remise (%)]]</f>
        <v>1.9470000000000001</v>
      </c>
    </row>
    <row r="967" spans="1:23" x14ac:dyDescent="0.25">
      <c r="A967" s="1" t="s">
        <v>1438</v>
      </c>
      <c r="B967" s="2">
        <v>45227</v>
      </c>
      <c r="C967" s="1" t="str">
        <f>_xlfn.XLOOKUP(Logs[[#This Row],[Province_RDC]],Clients_Log!D:D,Clients_Log!B:B,"Pas de correspondance")</f>
        <v>CLI-00559</v>
      </c>
      <c r="D967" t="str">
        <f>_xlfn.XLOOKUP(Logs[[#This Row],[Cell_ID]],'Registre_Maintenance'!B:B,'Registre_Maintenance'!C:C,"Pas de correspondance")</f>
        <v>Kasaï</v>
      </c>
      <c r="E967" s="3">
        <v>0.66041666666666665</v>
      </c>
      <c r="F967" s="1" t="s">
        <v>1142</v>
      </c>
      <c r="G967" s="3">
        <f>Logs[[#This Row],[Duree_Panne_Min]]/1440</f>
        <v>4.6527777777777779E-2</v>
      </c>
      <c r="H967">
        <v>67</v>
      </c>
      <c r="I967">
        <f>_xlfn.XLOOKUP(Logs[[#This Row],[Cell_ID]],'Registre_Maintenance'!B:B,'Registre_Maintenance'!D:D,"Pas de correspondance")</f>
        <v>-5.125</v>
      </c>
      <c r="J967">
        <f>_xlfn.XLOOKUP(Logs[[#This Row],[Cell_ID]],'Registre_Maintenance'!B:B,'Registre_Maintenance'!E:E,"Pas de correspondance")</f>
        <v>23.513119</v>
      </c>
      <c r="K967" t="str">
        <f>_xlfn.XLOOKUP(Logs[[#This Row],[Cell_ID]],'Registre_Maintenance'!B:B,'Registre_Maintenance'!F:F,"Pas de correspondance")</f>
        <v>5G</v>
      </c>
      <c r="L967" t="str">
        <f>_xlfn.XLOOKUP(Logs[[#This Row],[Cell_ID]],'Registre_Maintenance'!B:B,'Registre_Maintenance'!G:G,"Pas de correspondance")</f>
        <v>Huawei</v>
      </c>
      <c r="M967" s="1" t="s">
        <v>811</v>
      </c>
      <c r="N967" s="1">
        <f>_xlfn.XLOOKUP(Logs[[#This Row],[ID_Client]],Clients_Log!B:B,Clients_Log!E:E,"Pas de correspondance")</f>
        <v>99</v>
      </c>
      <c r="O967" s="4">
        <f>IFERROR(Logs[[#This Row],[Anciennete_Mois]]/12,"")</f>
        <v>8.25</v>
      </c>
      <c r="P967" s="1" t="str">
        <f>_xlfn.XLOOKUP(Logs[[#This Row],[ID_Client]],Clients_Log!B:B,Clients_Log!F:F,"Pas de correspondance")</f>
        <v>Bloqué 5Go</v>
      </c>
      <c r="Q967" s="1" t="str">
        <f>IF(Logs[[#This Row],[Type_Forfait]]="Pro Monde","B2B","B2C")</f>
        <v>B2C</v>
      </c>
      <c r="R967" s="1">
        <f>_xlfn.XLOOKUP(Logs[[#This Row],[ID_Client]],Clients_Log!B:B,Clients_Log!G:G,"Pas de correspondance")</f>
        <v>369</v>
      </c>
      <c r="S967" s="3">
        <f>Logs[[#This Row],[Duree_Cumulee_Panne_Min]]/1440</f>
        <v>0.25624999999999998</v>
      </c>
      <c r="T967" s="1">
        <f>_xlfn.XLOOKUP(Logs[[#This Row],[ID_Client]],Clients_Log!B:B,Clients_Log!H:H,"Pas de correspondance")</f>
        <v>67.209999999999994</v>
      </c>
      <c r="U967" s="1">
        <f>_xlfn.XLOOKUP(Logs[[#This Row],[ID_Client]],Clients_Log!B:B,Clients_Log!I:I,"Pas de correspondance")</f>
        <v>3</v>
      </c>
      <c r="V96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67" s="1">
        <f>Logs[[#This Row],[Facture_Mensuelle]]*Logs[[#This Row],[Remise (%)]]</f>
        <v>30.244499999999999</v>
      </c>
    </row>
    <row r="968" spans="1:23" x14ac:dyDescent="0.25">
      <c r="A968" s="1" t="s">
        <v>1438</v>
      </c>
      <c r="B968" s="2">
        <v>45213</v>
      </c>
      <c r="C968" s="1" t="str">
        <f>_xlfn.XLOOKUP(Logs[[#This Row],[Province_RDC]],Clients_Log!D:D,Clients_Log!B:B,"Pas de correspondance")</f>
        <v>CLI-00530</v>
      </c>
      <c r="D968" t="str">
        <f>_xlfn.XLOOKUP(Logs[[#This Row],[Cell_ID]],'Registre_Maintenance'!B:B,'Registre_Maintenance'!C:C,"Pas de correspondance")</f>
        <v>Sankuru</v>
      </c>
      <c r="E968" s="3">
        <v>0.87222222222222223</v>
      </c>
      <c r="F968" s="1" t="s">
        <v>1443</v>
      </c>
      <c r="G968" s="3">
        <f>Logs[[#This Row],[Duree_Panne_Min]]/1440</f>
        <v>3.1944444444444442E-2</v>
      </c>
      <c r="H968">
        <v>46</v>
      </c>
      <c r="I968">
        <f>_xlfn.XLOOKUP(Logs[[#This Row],[Cell_ID]],'Registre_Maintenance'!B:B,'Registre_Maintenance'!D:D,"Pas de correspondance")</f>
        <v>-7.513261</v>
      </c>
      <c r="J968">
        <f>_xlfn.XLOOKUP(Logs[[#This Row],[Cell_ID]],'Registre_Maintenance'!B:B,'Registre_Maintenance'!E:E,"Pas de correspondance")</f>
        <v>24.338812000000001</v>
      </c>
      <c r="K968" t="str">
        <f>_xlfn.XLOOKUP(Logs[[#This Row],[Cell_ID]],'Registre_Maintenance'!B:B,'Registre_Maintenance'!F:F,"Pas de correspondance")</f>
        <v>5G</v>
      </c>
      <c r="L968" t="str">
        <f>_xlfn.XLOOKUP(Logs[[#This Row],[Cell_ID]],'Registre_Maintenance'!B:B,'Registre_Maintenance'!G:G,"Pas de correspondance")</f>
        <v>Huawei</v>
      </c>
      <c r="M968" s="1" t="s">
        <v>809</v>
      </c>
      <c r="N968" s="1">
        <f>_xlfn.XLOOKUP(Logs[[#This Row],[ID_Client]],Clients_Log!B:B,Clients_Log!E:E,"Pas de correspondance")</f>
        <v>35</v>
      </c>
      <c r="O968" s="4">
        <f>IFERROR(Logs[[#This Row],[Anciennete_Mois]]/12,"")</f>
        <v>2.9166666666666665</v>
      </c>
      <c r="P968" s="1" t="str">
        <f>_xlfn.XLOOKUP(Logs[[#This Row],[ID_Client]],Clients_Log!B:B,Clients_Log!F:F,"Pas de correspondance")</f>
        <v>Pro Monde</v>
      </c>
      <c r="Q968" s="1" t="str">
        <f>IF(Logs[[#This Row],[Type_Forfait]]="Pro Monde","B2B","B2C")</f>
        <v>B2B</v>
      </c>
      <c r="R968" s="1">
        <f>_xlfn.XLOOKUP(Logs[[#This Row],[ID_Client]],Clients_Log!B:B,Clients_Log!G:G,"Pas de correspondance")</f>
        <v>465</v>
      </c>
      <c r="S968" s="3">
        <f>Logs[[#This Row],[Duree_Cumulee_Panne_Min]]/1440</f>
        <v>0.32291666666666669</v>
      </c>
      <c r="T968" s="1">
        <f>_xlfn.XLOOKUP(Logs[[#This Row],[ID_Client]],Clients_Log!B:B,Clients_Log!H:H,"Pas de correspondance")</f>
        <v>58.59</v>
      </c>
      <c r="U968" s="1">
        <f>_xlfn.XLOOKUP(Logs[[#This Row],[ID_Client]],Clients_Log!B:B,Clients_Log!I:I,"Pas de correspondance")</f>
        <v>5</v>
      </c>
      <c r="V96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68" s="1">
        <f>Logs[[#This Row],[Facture_Mensuelle]]*Logs[[#This Row],[Remise (%)]]</f>
        <v>26.365500000000001</v>
      </c>
    </row>
    <row r="969" spans="1:23" hidden="1" x14ac:dyDescent="0.25">
      <c r="A969" s="1" t="s">
        <v>1438</v>
      </c>
      <c r="B969" s="2">
        <v>45225</v>
      </c>
      <c r="C969" s="1" t="str">
        <f>_xlfn.XLOOKUP(Logs[[#This Row],[Province_RDC]],Clients_Log!D:D,Clients_Log!B:B,"Pas de correspondance")</f>
        <v>Pas de correspondance</v>
      </c>
      <c r="D969" t="str">
        <f>_xlfn.XLOOKUP(Logs[[#This Row],[Cell_ID]],'Registre_Maintenance'!B:B,'Registre_Maintenance'!C:C,"Pas de correspondance")</f>
        <v>Pas de correspondance</v>
      </c>
      <c r="E969" s="3">
        <v>0.21319444444444444</v>
      </c>
      <c r="F969" s="1" t="s">
        <v>1444</v>
      </c>
      <c r="G969" s="3">
        <f>Logs[[#This Row],[Duree_Panne_Min]]/1440</f>
        <v>2.4305555555555556E-2</v>
      </c>
      <c r="H969">
        <v>35</v>
      </c>
      <c r="I969" t="str">
        <f>_xlfn.XLOOKUP(Logs[[#This Row],[Cell_ID]],'Registre_Maintenance'!B:B,'Registre_Maintenance'!D:D,"Pas de correspondance")</f>
        <v>Pas de correspondance</v>
      </c>
      <c r="J969" t="str">
        <f>_xlfn.XLOOKUP(Logs[[#This Row],[Cell_ID]],'Registre_Maintenance'!B:B,'Registre_Maintenance'!E:E,"Pas de correspondance")</f>
        <v>Pas de correspondance</v>
      </c>
      <c r="K969" t="str">
        <f>_xlfn.XLOOKUP(Logs[[#This Row],[Cell_ID]],'Registre_Maintenance'!B:B,'Registre_Maintenance'!F:F,"Pas de correspondance")</f>
        <v>Pas de correspondance</v>
      </c>
      <c r="L969" t="str">
        <f>_xlfn.XLOOKUP(Logs[[#This Row],[Cell_ID]],'Registre_Maintenance'!B:B,'Registre_Maintenance'!G:G,"Pas de correspondance")</f>
        <v>Pas de correspondance</v>
      </c>
      <c r="M969" s="1" t="s">
        <v>811</v>
      </c>
      <c r="N969" s="1" t="str">
        <f>_xlfn.XLOOKUP(Logs[[#This Row],[ID_Client]],Clients_Log!B:B,Clients_Log!E:E,"Pas de correspondance")</f>
        <v>Pas de correspondance</v>
      </c>
      <c r="O969" s="4" t="str">
        <f>IFERROR(Logs[[#This Row],[Anciennete_Mois]]/12,"")</f>
        <v/>
      </c>
      <c r="P969" s="1" t="str">
        <f>_xlfn.XLOOKUP(Logs[[#This Row],[ID_Client]],Clients_Log!B:B,Clients_Log!F:F,"Pas de correspondance")</f>
        <v>Pas de correspondance</v>
      </c>
      <c r="Q969" s="1" t="str">
        <f>IF(Logs[[#This Row],[Type_Forfait]]="Pro Monde","B2B","B2C")</f>
        <v>B2C</v>
      </c>
      <c r="R969" s="1" t="str">
        <f>_xlfn.XLOOKUP(Logs[[#This Row],[ID_Client]],Clients_Log!B:B,Clients_Log!G:G,"Pas de correspondance")</f>
        <v>Pas de correspondance</v>
      </c>
      <c r="S969" s="1" t="e">
        <f>Logs[[#This Row],[Duree_Cumulee_Panne_Min]]/1440</f>
        <v>#VALUE!</v>
      </c>
      <c r="T969" s="1" t="str">
        <f>_xlfn.XLOOKUP(Logs[[#This Row],[ID_Client]],Clients_Log!B:B,Clients_Log!H:H,"Pas de correspondance")</f>
        <v>Pas de correspondance</v>
      </c>
      <c r="U969" s="1" t="str">
        <f>_xlfn.XLOOKUP(Logs[[#This Row],[ID_Client]],Clients_Log!B:B,Clients_Log!I:I,"Pas de correspondance")</f>
        <v>Pas de correspondance</v>
      </c>
      <c r="V96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69" s="1" t="e">
        <f>Logs[[#This Row],[Facture_Mensuelle]]*Logs[[#This Row],[Remise (%)]]</f>
        <v>#VALUE!</v>
      </c>
    </row>
    <row r="970" spans="1:23" hidden="1" x14ac:dyDescent="0.25">
      <c r="A970" s="1" t="s">
        <v>1438</v>
      </c>
      <c r="B970" s="2">
        <v>45204</v>
      </c>
      <c r="C970" s="1" t="str">
        <f>_xlfn.XLOOKUP(Logs[[#This Row],[Province_RDC]],Clients_Log!D:D,Clients_Log!B:B,"Pas de correspondance")</f>
        <v>Pas de correspondance</v>
      </c>
      <c r="D970" t="str">
        <f>_xlfn.XLOOKUP(Logs[[#This Row],[Cell_ID]],'Registre_Maintenance'!B:B,'Registre_Maintenance'!C:C,"Pas de correspondance")</f>
        <v>Pas de correspondance</v>
      </c>
      <c r="E970" s="3">
        <v>0.94861111111111107</v>
      </c>
      <c r="F970" s="1" t="s">
        <v>1445</v>
      </c>
      <c r="G970" s="3">
        <f>Logs[[#This Row],[Duree_Panne_Min]]/1440</f>
        <v>3.2638888888888891E-2</v>
      </c>
      <c r="H970">
        <v>47</v>
      </c>
      <c r="I970" t="str">
        <f>_xlfn.XLOOKUP(Logs[[#This Row],[Cell_ID]],'Registre_Maintenance'!B:B,'Registre_Maintenance'!D:D,"Pas de correspondance")</f>
        <v>Pas de correspondance</v>
      </c>
      <c r="J970" t="str">
        <f>_xlfn.XLOOKUP(Logs[[#This Row],[Cell_ID]],'Registre_Maintenance'!B:B,'Registre_Maintenance'!E:E,"Pas de correspondance")</f>
        <v>Pas de correspondance</v>
      </c>
      <c r="K970" t="str">
        <f>_xlfn.XLOOKUP(Logs[[#This Row],[Cell_ID]],'Registre_Maintenance'!B:B,'Registre_Maintenance'!F:F,"Pas de correspondance")</f>
        <v>Pas de correspondance</v>
      </c>
      <c r="L970" t="str">
        <f>_xlfn.XLOOKUP(Logs[[#This Row],[Cell_ID]],'Registre_Maintenance'!B:B,'Registre_Maintenance'!G:G,"Pas de correspondance")</f>
        <v>Pas de correspondance</v>
      </c>
      <c r="M970" s="1" t="s">
        <v>809</v>
      </c>
      <c r="N970" s="1" t="str">
        <f>_xlfn.XLOOKUP(Logs[[#This Row],[ID_Client]],Clients_Log!B:B,Clients_Log!E:E,"Pas de correspondance")</f>
        <v>Pas de correspondance</v>
      </c>
      <c r="O970" s="4" t="str">
        <f>IFERROR(Logs[[#This Row],[Anciennete_Mois]]/12,"")</f>
        <v/>
      </c>
      <c r="P970" s="1" t="str">
        <f>_xlfn.XLOOKUP(Logs[[#This Row],[ID_Client]],Clients_Log!B:B,Clients_Log!F:F,"Pas de correspondance")</f>
        <v>Pas de correspondance</v>
      </c>
      <c r="Q970" s="1" t="str">
        <f>IF(Logs[[#This Row],[Type_Forfait]]="Pro Monde","B2B","B2C")</f>
        <v>B2C</v>
      </c>
      <c r="R970" s="1" t="str">
        <f>_xlfn.XLOOKUP(Logs[[#This Row],[ID_Client]],Clients_Log!B:B,Clients_Log!G:G,"Pas de correspondance")</f>
        <v>Pas de correspondance</v>
      </c>
      <c r="S970" s="1" t="e">
        <f>Logs[[#This Row],[Duree_Cumulee_Panne_Min]]/1440</f>
        <v>#VALUE!</v>
      </c>
      <c r="T970" s="1" t="str">
        <f>_xlfn.XLOOKUP(Logs[[#This Row],[ID_Client]],Clients_Log!B:B,Clients_Log!H:H,"Pas de correspondance")</f>
        <v>Pas de correspondance</v>
      </c>
      <c r="U970" s="1" t="str">
        <f>_xlfn.XLOOKUP(Logs[[#This Row],[ID_Client]],Clients_Log!B:B,Clients_Log!I:I,"Pas de correspondance")</f>
        <v>Pas de correspondance</v>
      </c>
      <c r="V97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70" s="1" t="e">
        <f>Logs[[#This Row],[Facture_Mensuelle]]*Logs[[#This Row],[Remise (%)]]</f>
        <v>#VALUE!</v>
      </c>
    </row>
    <row r="971" spans="1:23" x14ac:dyDescent="0.25">
      <c r="A971" s="1" t="s">
        <v>1438</v>
      </c>
      <c r="B971" s="2">
        <v>45201</v>
      </c>
      <c r="C971" s="1" t="str">
        <f>_xlfn.XLOOKUP(Logs[[#This Row],[Province_RDC]],Clients_Log!D:D,Clients_Log!B:B,"Pas de correspondance")</f>
        <v>CLI-00837</v>
      </c>
      <c r="D971" t="str">
        <f>_xlfn.XLOOKUP(Logs[[#This Row],[Cell_ID]],'Registre_Maintenance'!B:B,'Registre_Maintenance'!C:C,"Pas de correspondance")</f>
        <v>Nord-Kivu</v>
      </c>
      <c r="E971" s="3">
        <v>0.21249999999999999</v>
      </c>
      <c r="F971" s="1" t="s">
        <v>871</v>
      </c>
      <c r="G971" s="3">
        <f>Logs[[#This Row],[Duree_Panne_Min]]/1440</f>
        <v>2.7777777777777776E-2</v>
      </c>
      <c r="H971">
        <v>40</v>
      </c>
      <c r="I971">
        <f>_xlfn.XLOOKUP(Logs[[#This Row],[Cell_ID]],'Registre_Maintenance'!B:B,'Registre_Maintenance'!D:D,"Pas de correspondance")</f>
        <v>0.82868600000000003</v>
      </c>
      <c r="J971">
        <f>_xlfn.XLOOKUP(Logs[[#This Row],[Cell_ID]],'Registre_Maintenance'!B:B,'Registre_Maintenance'!E:E,"Pas de correspondance")</f>
        <v>26.958843999999999</v>
      </c>
      <c r="K971" t="str">
        <f>_xlfn.XLOOKUP(Logs[[#This Row],[Cell_ID]],'Registre_Maintenance'!B:B,'Registre_Maintenance'!F:F,"Pas de correspondance")</f>
        <v>5G</v>
      </c>
      <c r="L971" t="str">
        <f>_xlfn.XLOOKUP(Logs[[#This Row],[Cell_ID]],'Registre_Maintenance'!B:B,'Registre_Maintenance'!G:G,"Pas de correspondance")</f>
        <v>ZTE</v>
      </c>
      <c r="M971" s="1" t="s">
        <v>809</v>
      </c>
      <c r="N971" s="1">
        <f>_xlfn.XLOOKUP(Logs[[#This Row],[ID_Client]],Clients_Log!B:B,Clients_Log!E:E,"Pas de correspondance")</f>
        <v>16</v>
      </c>
      <c r="O971" s="4">
        <f>IFERROR(Logs[[#This Row],[Anciennete_Mois]]/12,"")</f>
        <v>1.3333333333333333</v>
      </c>
      <c r="P971" s="1" t="str">
        <f>_xlfn.XLOOKUP(Logs[[#This Row],[ID_Client]],Clients_Log!B:B,Clients_Log!F:F,"Pas de correspondance")</f>
        <v>Bloqué 5Go</v>
      </c>
      <c r="Q971" s="1" t="str">
        <f>IF(Logs[[#This Row],[Type_Forfait]]="Pro Monde","B2B","B2C")</f>
        <v>B2C</v>
      </c>
      <c r="R971" s="1">
        <f>_xlfn.XLOOKUP(Logs[[#This Row],[ID_Client]],Clients_Log!B:B,Clients_Log!G:G,"Pas de correspondance")</f>
        <v>390</v>
      </c>
      <c r="S971" s="3">
        <f>Logs[[#This Row],[Duree_Cumulee_Panne_Min]]/1440</f>
        <v>0.27083333333333331</v>
      </c>
      <c r="T971" s="1">
        <f>_xlfn.XLOOKUP(Logs[[#This Row],[ID_Client]],Clients_Log!B:B,Clients_Log!H:H,"Pas de correspondance")</f>
        <v>98.17</v>
      </c>
      <c r="U971" s="1">
        <f>_xlfn.XLOOKUP(Logs[[#This Row],[ID_Client]],Clients_Log!B:B,Clients_Log!I:I,"Pas de correspondance")</f>
        <v>5</v>
      </c>
      <c r="V97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71" s="1">
        <f>Logs[[#This Row],[Facture_Mensuelle]]*Logs[[#This Row],[Remise (%)]]</f>
        <v>44.176500000000004</v>
      </c>
    </row>
    <row r="972" spans="1:23" hidden="1" x14ac:dyDescent="0.25">
      <c r="A972" s="1" t="s">
        <v>1438</v>
      </c>
      <c r="B972" s="2">
        <v>45213</v>
      </c>
      <c r="C972" s="1" t="str">
        <f>_xlfn.XLOOKUP(Logs[[#This Row],[Province_RDC]],Clients_Log!D:D,Clients_Log!B:B,"Pas de correspondance")</f>
        <v>Pas de correspondance</v>
      </c>
      <c r="D972" t="str">
        <f>_xlfn.XLOOKUP(Logs[[#This Row],[Cell_ID]],'Registre_Maintenance'!B:B,'Registre_Maintenance'!C:C,"Pas de correspondance")</f>
        <v>Pas de correspondance</v>
      </c>
      <c r="E972" s="3">
        <v>0.77083333333333337</v>
      </c>
      <c r="F972" s="1" t="s">
        <v>1446</v>
      </c>
      <c r="G972" s="3">
        <f>Logs[[#This Row],[Duree_Panne_Min]]/1440</f>
        <v>7.6388888888888886E-3</v>
      </c>
      <c r="H972">
        <v>11</v>
      </c>
      <c r="I972" t="str">
        <f>_xlfn.XLOOKUP(Logs[[#This Row],[Cell_ID]],'Registre_Maintenance'!B:B,'Registre_Maintenance'!D:D,"Pas de correspondance")</f>
        <v>Pas de correspondance</v>
      </c>
      <c r="J972" t="str">
        <f>_xlfn.XLOOKUP(Logs[[#This Row],[Cell_ID]],'Registre_Maintenance'!B:B,'Registre_Maintenance'!E:E,"Pas de correspondance")</f>
        <v>Pas de correspondance</v>
      </c>
      <c r="K972" t="str">
        <f>_xlfn.XLOOKUP(Logs[[#This Row],[Cell_ID]],'Registre_Maintenance'!B:B,'Registre_Maintenance'!F:F,"Pas de correspondance")</f>
        <v>Pas de correspondance</v>
      </c>
      <c r="L972" t="str">
        <f>_xlfn.XLOOKUP(Logs[[#This Row],[Cell_ID]],'Registre_Maintenance'!B:B,'Registre_Maintenance'!G:G,"Pas de correspondance")</f>
        <v>Pas de correspondance</v>
      </c>
      <c r="M972" s="1" t="s">
        <v>811</v>
      </c>
      <c r="N972" s="1" t="str">
        <f>_xlfn.XLOOKUP(Logs[[#This Row],[ID_Client]],Clients_Log!B:B,Clients_Log!E:E,"Pas de correspondance")</f>
        <v>Pas de correspondance</v>
      </c>
      <c r="O972" s="4" t="str">
        <f>IFERROR(Logs[[#This Row],[Anciennete_Mois]]/12,"")</f>
        <v/>
      </c>
      <c r="P972" s="1" t="str">
        <f>_xlfn.XLOOKUP(Logs[[#This Row],[ID_Client]],Clients_Log!B:B,Clients_Log!F:F,"Pas de correspondance")</f>
        <v>Pas de correspondance</v>
      </c>
      <c r="Q972" s="1" t="str">
        <f>IF(Logs[[#This Row],[Type_Forfait]]="Pro Monde","B2B","B2C")</f>
        <v>B2C</v>
      </c>
      <c r="R972" s="1" t="str">
        <f>_xlfn.XLOOKUP(Logs[[#This Row],[ID_Client]],Clients_Log!B:B,Clients_Log!G:G,"Pas de correspondance")</f>
        <v>Pas de correspondance</v>
      </c>
      <c r="S972" s="1" t="e">
        <f>Logs[[#This Row],[Duree_Cumulee_Panne_Min]]/1440</f>
        <v>#VALUE!</v>
      </c>
      <c r="T972" s="1" t="str">
        <f>_xlfn.XLOOKUP(Logs[[#This Row],[ID_Client]],Clients_Log!B:B,Clients_Log!H:H,"Pas de correspondance")</f>
        <v>Pas de correspondance</v>
      </c>
      <c r="U972" s="1" t="str">
        <f>_xlfn.XLOOKUP(Logs[[#This Row],[ID_Client]],Clients_Log!B:B,Clients_Log!I:I,"Pas de correspondance")</f>
        <v>Pas de correspondance</v>
      </c>
      <c r="V97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72" s="1" t="e">
        <f>Logs[[#This Row],[Facture_Mensuelle]]*Logs[[#This Row],[Remise (%)]]</f>
        <v>#VALUE!</v>
      </c>
    </row>
    <row r="973" spans="1:23" hidden="1" x14ac:dyDescent="0.25">
      <c r="A973" s="1" t="s">
        <v>1438</v>
      </c>
      <c r="B973" s="2">
        <v>45225</v>
      </c>
      <c r="C973" s="1" t="str">
        <f>_xlfn.XLOOKUP(Logs[[#This Row],[Province_RDC]],Clients_Log!D:D,Clients_Log!B:B,"Pas de correspondance")</f>
        <v>Pas de correspondance</v>
      </c>
      <c r="D973" t="str">
        <f>_xlfn.XLOOKUP(Logs[[#This Row],[Cell_ID]],'Registre_Maintenance'!B:B,'Registre_Maintenance'!C:C,"Pas de correspondance")</f>
        <v>Pas de correspondance</v>
      </c>
      <c r="E973" s="3">
        <v>0.77986111111111112</v>
      </c>
      <c r="F973" s="1" t="s">
        <v>1447</v>
      </c>
      <c r="G973" s="3">
        <f>Logs[[#This Row],[Duree_Panne_Min]]/1440</f>
        <v>4.791666666666667E-2</v>
      </c>
      <c r="H973">
        <v>69</v>
      </c>
      <c r="I973" t="str">
        <f>_xlfn.XLOOKUP(Logs[[#This Row],[Cell_ID]],'Registre_Maintenance'!B:B,'Registre_Maintenance'!D:D,"Pas de correspondance")</f>
        <v>Pas de correspondance</v>
      </c>
      <c r="J973" t="str">
        <f>_xlfn.XLOOKUP(Logs[[#This Row],[Cell_ID]],'Registre_Maintenance'!B:B,'Registre_Maintenance'!E:E,"Pas de correspondance")</f>
        <v>Pas de correspondance</v>
      </c>
      <c r="K973" t="str">
        <f>_xlfn.XLOOKUP(Logs[[#This Row],[Cell_ID]],'Registre_Maintenance'!B:B,'Registre_Maintenance'!F:F,"Pas de correspondance")</f>
        <v>Pas de correspondance</v>
      </c>
      <c r="L973" t="str">
        <f>_xlfn.XLOOKUP(Logs[[#This Row],[Cell_ID]],'Registre_Maintenance'!B:B,'Registre_Maintenance'!G:G,"Pas de correspondance")</f>
        <v>Pas de correspondance</v>
      </c>
      <c r="M973" s="1" t="s">
        <v>809</v>
      </c>
      <c r="N973" s="1" t="str">
        <f>_xlfn.XLOOKUP(Logs[[#This Row],[ID_Client]],Clients_Log!B:B,Clients_Log!E:E,"Pas de correspondance")</f>
        <v>Pas de correspondance</v>
      </c>
      <c r="O973" s="4" t="str">
        <f>IFERROR(Logs[[#This Row],[Anciennete_Mois]]/12,"")</f>
        <v/>
      </c>
      <c r="P973" s="1" t="str">
        <f>_xlfn.XLOOKUP(Logs[[#This Row],[ID_Client]],Clients_Log!B:B,Clients_Log!F:F,"Pas de correspondance")</f>
        <v>Pas de correspondance</v>
      </c>
      <c r="Q973" s="1" t="str">
        <f>IF(Logs[[#This Row],[Type_Forfait]]="Pro Monde","B2B","B2C")</f>
        <v>B2C</v>
      </c>
      <c r="R973" s="1" t="str">
        <f>_xlfn.XLOOKUP(Logs[[#This Row],[ID_Client]],Clients_Log!B:B,Clients_Log!G:G,"Pas de correspondance")</f>
        <v>Pas de correspondance</v>
      </c>
      <c r="S973" s="1" t="e">
        <f>Logs[[#This Row],[Duree_Cumulee_Panne_Min]]/1440</f>
        <v>#VALUE!</v>
      </c>
      <c r="T973" s="1" t="str">
        <f>_xlfn.XLOOKUP(Logs[[#This Row],[ID_Client]],Clients_Log!B:B,Clients_Log!H:H,"Pas de correspondance")</f>
        <v>Pas de correspondance</v>
      </c>
      <c r="U973" s="1" t="str">
        <f>_xlfn.XLOOKUP(Logs[[#This Row],[ID_Client]],Clients_Log!B:B,Clients_Log!I:I,"Pas de correspondance")</f>
        <v>Pas de correspondance</v>
      </c>
      <c r="V97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73" s="1" t="e">
        <f>Logs[[#This Row],[Facture_Mensuelle]]*Logs[[#This Row],[Remise (%)]]</f>
        <v>#VALUE!</v>
      </c>
    </row>
    <row r="974" spans="1:23" x14ac:dyDescent="0.25">
      <c r="A974" s="1" t="s">
        <v>1438</v>
      </c>
      <c r="B974" s="2">
        <v>45214</v>
      </c>
      <c r="C974" s="1" t="str">
        <f>_xlfn.XLOOKUP(Logs[[#This Row],[Province_RDC]],Clients_Log!D:D,Clients_Log!B:B,"Pas de correspondance")</f>
        <v>CLI-00185</v>
      </c>
      <c r="D974" t="str">
        <f>_xlfn.XLOOKUP(Logs[[#This Row],[Cell_ID]],'Registre_Maintenance'!B:B,'Registre_Maintenance'!C:C,"Pas de correspondance")</f>
        <v>Maniema</v>
      </c>
      <c r="E974" s="3">
        <v>0.23541666666666666</v>
      </c>
      <c r="F974" s="1" t="s">
        <v>1448</v>
      </c>
      <c r="G974" s="3">
        <f>Logs[[#This Row],[Duree_Panne_Min]]/1440</f>
        <v>2.2916666666666665E-2</v>
      </c>
      <c r="H974">
        <v>33</v>
      </c>
      <c r="I974">
        <f>_xlfn.XLOOKUP(Logs[[#This Row],[Cell_ID]],'Registre_Maintenance'!B:B,'Registre_Maintenance'!D:D,"Pas de correspondance")</f>
        <v>-10.318835</v>
      </c>
      <c r="J974">
        <f>_xlfn.XLOOKUP(Logs[[#This Row],[Cell_ID]],'Registre_Maintenance'!B:B,'Registre_Maintenance'!E:E,"Pas de correspondance")</f>
        <v>21.252382000000001</v>
      </c>
      <c r="K974" t="str">
        <f>_xlfn.XLOOKUP(Logs[[#This Row],[Cell_ID]],'Registre_Maintenance'!B:B,'Registre_Maintenance'!F:F,"Pas de correspondance")</f>
        <v>4G</v>
      </c>
      <c r="L974" t="str">
        <f>_xlfn.XLOOKUP(Logs[[#This Row],[Cell_ID]],'Registre_Maintenance'!B:B,'Registre_Maintenance'!G:G,"Pas de correspondance")</f>
        <v>Ericsson</v>
      </c>
      <c r="M974" s="1" t="s">
        <v>806</v>
      </c>
      <c r="N974" s="1">
        <f>_xlfn.XLOOKUP(Logs[[#This Row],[ID_Client]],Clients_Log!B:B,Clients_Log!E:E,"Pas de correspondance")</f>
        <v>81</v>
      </c>
      <c r="O974" s="4">
        <f>IFERROR(Logs[[#This Row],[Anciennete_Mois]]/12,"")</f>
        <v>6.75</v>
      </c>
      <c r="P974" s="1" t="str">
        <f>_xlfn.XLOOKUP(Logs[[#This Row],[ID_Client]],Clients_Log!B:B,Clients_Log!F:F,"Pas de correspondance")</f>
        <v>Pro Monde</v>
      </c>
      <c r="Q974" s="1" t="str">
        <f>IF(Logs[[#This Row],[Type_Forfait]]="Pro Monde","B2B","B2C")</f>
        <v>B2B</v>
      </c>
      <c r="R974" s="1">
        <f>_xlfn.XLOOKUP(Logs[[#This Row],[ID_Client]],Clients_Log!B:B,Clients_Log!G:G,"Pas de correspondance")</f>
        <v>154</v>
      </c>
      <c r="S974" s="3">
        <f>Logs[[#This Row],[Duree_Cumulee_Panne_Min]]/1440</f>
        <v>0.10694444444444444</v>
      </c>
      <c r="T974" s="1">
        <f>_xlfn.XLOOKUP(Logs[[#This Row],[ID_Client]],Clients_Log!B:B,Clients_Log!H:H,"Pas de correspondance")</f>
        <v>19.47</v>
      </c>
      <c r="U974" s="1">
        <f>_xlfn.XLOOKUP(Logs[[#This Row],[ID_Client]],Clients_Log!B:B,Clients_Log!I:I,"Pas de correspondance")</f>
        <v>3</v>
      </c>
      <c r="V97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974" s="1">
        <f>Logs[[#This Row],[Facture_Mensuelle]]*Logs[[#This Row],[Remise (%)]]</f>
        <v>1.9470000000000001</v>
      </c>
    </row>
    <row r="975" spans="1:23" hidden="1" x14ac:dyDescent="0.25">
      <c r="A975" s="1" t="s">
        <v>1438</v>
      </c>
      <c r="B975" s="2">
        <v>45212</v>
      </c>
      <c r="C975" s="1" t="str">
        <f>_xlfn.XLOOKUP(Logs[[#This Row],[Province_RDC]],Clients_Log!D:D,Clients_Log!B:B,"Pas de correspondance")</f>
        <v>Pas de correspondance</v>
      </c>
      <c r="D975" t="str">
        <f>_xlfn.XLOOKUP(Logs[[#This Row],[Cell_ID]],'Registre_Maintenance'!B:B,'Registre_Maintenance'!C:C,"Pas de correspondance")</f>
        <v>Pas de correspondance</v>
      </c>
      <c r="E975" s="3">
        <v>0.48541666666666666</v>
      </c>
      <c r="F975" s="1" t="s">
        <v>1449</v>
      </c>
      <c r="G975" s="3">
        <f>Logs[[#This Row],[Duree_Panne_Min]]/1440</f>
        <v>5.2083333333333336E-2</v>
      </c>
      <c r="H975">
        <v>75</v>
      </c>
      <c r="I975" t="str">
        <f>_xlfn.XLOOKUP(Logs[[#This Row],[Cell_ID]],'Registre_Maintenance'!B:B,'Registre_Maintenance'!D:D,"Pas de correspondance")</f>
        <v>Pas de correspondance</v>
      </c>
      <c r="J975" t="str">
        <f>_xlfn.XLOOKUP(Logs[[#This Row],[Cell_ID]],'Registre_Maintenance'!B:B,'Registre_Maintenance'!E:E,"Pas de correspondance")</f>
        <v>Pas de correspondance</v>
      </c>
      <c r="K975" t="str">
        <f>_xlfn.XLOOKUP(Logs[[#This Row],[Cell_ID]],'Registre_Maintenance'!B:B,'Registre_Maintenance'!F:F,"Pas de correspondance")</f>
        <v>Pas de correspondance</v>
      </c>
      <c r="L975" t="str">
        <f>_xlfn.XLOOKUP(Logs[[#This Row],[Cell_ID]],'Registre_Maintenance'!B:B,'Registre_Maintenance'!G:G,"Pas de correspondance")</f>
        <v>Pas de correspondance</v>
      </c>
      <c r="M975" s="1" t="s">
        <v>806</v>
      </c>
      <c r="N975" s="1" t="str">
        <f>_xlfn.XLOOKUP(Logs[[#This Row],[ID_Client]],Clients_Log!B:B,Clients_Log!E:E,"Pas de correspondance")</f>
        <v>Pas de correspondance</v>
      </c>
      <c r="O975" s="4" t="str">
        <f>IFERROR(Logs[[#This Row],[Anciennete_Mois]]/12,"")</f>
        <v/>
      </c>
      <c r="P975" s="1" t="str">
        <f>_xlfn.XLOOKUP(Logs[[#This Row],[ID_Client]],Clients_Log!B:B,Clients_Log!F:F,"Pas de correspondance")</f>
        <v>Pas de correspondance</v>
      </c>
      <c r="Q975" s="1" t="str">
        <f>IF(Logs[[#This Row],[Type_Forfait]]="Pro Monde","B2B","B2C")</f>
        <v>B2C</v>
      </c>
      <c r="R975" s="1" t="str">
        <f>_xlfn.XLOOKUP(Logs[[#This Row],[ID_Client]],Clients_Log!B:B,Clients_Log!G:G,"Pas de correspondance")</f>
        <v>Pas de correspondance</v>
      </c>
      <c r="S975" s="1" t="e">
        <f>Logs[[#This Row],[Duree_Cumulee_Panne_Min]]/1440</f>
        <v>#VALUE!</v>
      </c>
      <c r="T975" s="1" t="str">
        <f>_xlfn.XLOOKUP(Logs[[#This Row],[ID_Client]],Clients_Log!B:B,Clients_Log!H:H,"Pas de correspondance")</f>
        <v>Pas de correspondance</v>
      </c>
      <c r="U975" s="1" t="str">
        <f>_xlfn.XLOOKUP(Logs[[#This Row],[ID_Client]],Clients_Log!B:B,Clients_Log!I:I,"Pas de correspondance")</f>
        <v>Pas de correspondance</v>
      </c>
      <c r="V97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75" s="1" t="e">
        <f>Logs[[#This Row],[Facture_Mensuelle]]*Logs[[#This Row],[Remise (%)]]</f>
        <v>#VALUE!</v>
      </c>
    </row>
    <row r="976" spans="1:23" x14ac:dyDescent="0.25">
      <c r="A976" s="1" t="s">
        <v>1438</v>
      </c>
      <c r="B976" s="2">
        <v>45200</v>
      </c>
      <c r="C976" s="1" t="str">
        <f>_xlfn.XLOOKUP(Logs[[#This Row],[Province_RDC]],Clients_Log!D:D,Clients_Log!B:B,"Pas de correspondance")</f>
        <v>CLI-00530</v>
      </c>
      <c r="D976" t="str">
        <f>_xlfn.XLOOKUP(Logs[[#This Row],[Cell_ID]],'Registre_Maintenance'!B:B,'Registre_Maintenance'!C:C,"Pas de correspondance")</f>
        <v>Sankuru</v>
      </c>
      <c r="E976" s="3">
        <v>0.91388888888888886</v>
      </c>
      <c r="F976" s="1" t="s">
        <v>1450</v>
      </c>
      <c r="G976" s="3">
        <f>Logs[[#This Row],[Duree_Panne_Min]]/1440</f>
        <v>6.0416666666666667E-2</v>
      </c>
      <c r="H976">
        <v>87</v>
      </c>
      <c r="I976">
        <f>_xlfn.XLOOKUP(Logs[[#This Row],[Cell_ID]],'Registre_Maintenance'!B:B,'Registre_Maintenance'!D:D,"Pas de correspondance")</f>
        <v>3.175935</v>
      </c>
      <c r="J976">
        <f>_xlfn.XLOOKUP(Logs[[#This Row],[Cell_ID]],'Registre_Maintenance'!B:B,'Registre_Maintenance'!E:E,"Pas de correspondance")</f>
        <v>16.862832000000001</v>
      </c>
      <c r="K976" t="str">
        <f>_xlfn.XLOOKUP(Logs[[#This Row],[Cell_ID]],'Registre_Maintenance'!B:B,'Registre_Maintenance'!F:F,"Pas de correspondance")</f>
        <v>5G</v>
      </c>
      <c r="L976" t="str">
        <f>_xlfn.XLOOKUP(Logs[[#This Row],[Cell_ID]],'Registre_Maintenance'!B:B,'Registre_Maintenance'!G:G,"Pas de correspondance")</f>
        <v>Ericsson</v>
      </c>
      <c r="M976" s="1" t="s">
        <v>806</v>
      </c>
      <c r="N976" s="1">
        <f>_xlfn.XLOOKUP(Logs[[#This Row],[ID_Client]],Clients_Log!B:B,Clients_Log!E:E,"Pas de correspondance")</f>
        <v>35</v>
      </c>
      <c r="O976" s="4">
        <f>IFERROR(Logs[[#This Row],[Anciennete_Mois]]/12,"")</f>
        <v>2.9166666666666665</v>
      </c>
      <c r="P976" s="1" t="str">
        <f>_xlfn.XLOOKUP(Logs[[#This Row],[ID_Client]],Clients_Log!B:B,Clients_Log!F:F,"Pas de correspondance")</f>
        <v>Pro Monde</v>
      </c>
      <c r="Q976" s="1" t="str">
        <f>IF(Logs[[#This Row],[Type_Forfait]]="Pro Monde","B2B","B2C")</f>
        <v>B2B</v>
      </c>
      <c r="R976" s="1">
        <f>_xlfn.XLOOKUP(Logs[[#This Row],[ID_Client]],Clients_Log!B:B,Clients_Log!G:G,"Pas de correspondance")</f>
        <v>465</v>
      </c>
      <c r="S976" s="3">
        <f>Logs[[#This Row],[Duree_Cumulee_Panne_Min]]/1440</f>
        <v>0.32291666666666669</v>
      </c>
      <c r="T976" s="1">
        <f>_xlfn.XLOOKUP(Logs[[#This Row],[ID_Client]],Clients_Log!B:B,Clients_Log!H:H,"Pas de correspondance")</f>
        <v>58.59</v>
      </c>
      <c r="U976" s="1">
        <f>_xlfn.XLOOKUP(Logs[[#This Row],[ID_Client]],Clients_Log!B:B,Clients_Log!I:I,"Pas de correspondance")</f>
        <v>5</v>
      </c>
      <c r="V97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76" s="1">
        <f>Logs[[#This Row],[Facture_Mensuelle]]*Logs[[#This Row],[Remise (%)]]</f>
        <v>26.365500000000001</v>
      </c>
    </row>
    <row r="977" spans="1:23" x14ac:dyDescent="0.25">
      <c r="A977" s="1" t="s">
        <v>1438</v>
      </c>
      <c r="B977" s="2">
        <v>45226</v>
      </c>
      <c r="C977" s="1" t="str">
        <f>_xlfn.XLOOKUP(Logs[[#This Row],[Province_RDC]],Clients_Log!D:D,Clients_Log!B:B,"Pas de correspondance")</f>
        <v>CLI-01170</v>
      </c>
      <c r="D977" t="str">
        <f>_xlfn.XLOOKUP(Logs[[#This Row],[Cell_ID]],'Registre_Maintenance'!B:B,'Registre_Maintenance'!C:C,"Pas de correspondance")</f>
        <v>Nord-Ubangi</v>
      </c>
      <c r="E977" s="3">
        <v>0.99791666666666667</v>
      </c>
      <c r="F977" s="1" t="s">
        <v>1451</v>
      </c>
      <c r="G977" s="3">
        <f>Logs[[#This Row],[Duree_Panne_Min]]/1440</f>
        <v>3.6805555555555557E-2</v>
      </c>
      <c r="H977">
        <v>53</v>
      </c>
      <c r="I977">
        <f>_xlfn.XLOOKUP(Logs[[#This Row],[Cell_ID]],'Registre_Maintenance'!B:B,'Registre_Maintenance'!D:D,"Pas de correspondance")</f>
        <v>-7.8373179999999998</v>
      </c>
      <c r="J977">
        <f>_xlfn.XLOOKUP(Logs[[#This Row],[Cell_ID]],'Registre_Maintenance'!B:B,'Registre_Maintenance'!E:E,"Pas de correspondance")</f>
        <v>20.527591999999999</v>
      </c>
      <c r="K977" t="str">
        <f>_xlfn.XLOOKUP(Logs[[#This Row],[Cell_ID]],'Registre_Maintenance'!B:B,'Registre_Maintenance'!F:F,"Pas de correspondance")</f>
        <v>4G</v>
      </c>
      <c r="L977" t="str">
        <f>_xlfn.XLOOKUP(Logs[[#This Row],[Cell_ID]],'Registre_Maintenance'!B:B,'Registre_Maintenance'!G:G,"Pas de correspondance")</f>
        <v>Ericsson</v>
      </c>
      <c r="M977" s="1" t="s">
        <v>811</v>
      </c>
      <c r="N977" s="1">
        <f>_xlfn.XLOOKUP(Logs[[#This Row],[ID_Client]],Clients_Log!B:B,Clients_Log!E:E,"Pas de correspondance")</f>
        <v>98</v>
      </c>
      <c r="O977" s="4">
        <f>IFERROR(Logs[[#This Row],[Anciennete_Mois]]/12,"")</f>
        <v>8.1666666666666661</v>
      </c>
      <c r="P977" s="1" t="str">
        <f>_xlfn.XLOOKUP(Logs[[#This Row],[ID_Client]],Clients_Log!B:B,Clients_Log!F:F,"Pas de correspondance")</f>
        <v>Pro Monde</v>
      </c>
      <c r="Q977" s="1" t="str">
        <f>IF(Logs[[#This Row],[Type_Forfait]]="Pro Monde","B2B","B2C")</f>
        <v>B2B</v>
      </c>
      <c r="R977" s="1">
        <f>_xlfn.XLOOKUP(Logs[[#This Row],[ID_Client]],Clients_Log!B:B,Clients_Log!G:G,"Pas de correspondance")</f>
        <v>482</v>
      </c>
      <c r="S977" s="3">
        <f>Logs[[#This Row],[Duree_Cumulee_Panne_Min]]/1440</f>
        <v>0.3347222222222222</v>
      </c>
      <c r="T977" s="1">
        <f>_xlfn.XLOOKUP(Logs[[#This Row],[ID_Client]],Clients_Log!B:B,Clients_Log!H:H,"Pas de correspondance")</f>
        <v>55.04</v>
      </c>
      <c r="U977" s="1">
        <f>_xlfn.XLOOKUP(Logs[[#This Row],[ID_Client]],Clients_Log!B:B,Clients_Log!I:I,"Pas de correspondance")</f>
        <v>5</v>
      </c>
      <c r="V97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77" s="1">
        <f>Logs[[#This Row],[Facture_Mensuelle]]*Logs[[#This Row],[Remise (%)]]</f>
        <v>24.768000000000001</v>
      </c>
    </row>
    <row r="978" spans="1:23" hidden="1" x14ac:dyDescent="0.25">
      <c r="A978" s="1" t="s">
        <v>1438</v>
      </c>
      <c r="B978" s="2">
        <v>45204</v>
      </c>
      <c r="C978" s="1" t="str">
        <f>_xlfn.XLOOKUP(Logs[[#This Row],[Province_RDC]],Clients_Log!D:D,Clients_Log!B:B,"Pas de correspondance")</f>
        <v>Pas de correspondance</v>
      </c>
      <c r="D978" t="str">
        <f>_xlfn.XLOOKUP(Logs[[#This Row],[Cell_ID]],'Registre_Maintenance'!B:B,'Registre_Maintenance'!C:C,"Pas de correspondance")</f>
        <v>Pas de correspondance</v>
      </c>
      <c r="E978" s="3">
        <v>0.66527777777777775</v>
      </c>
      <c r="F978" s="1" t="s">
        <v>1145</v>
      </c>
      <c r="G978" s="3">
        <f>Logs[[#This Row],[Duree_Panne_Min]]/1440</f>
        <v>3.888888888888889E-2</v>
      </c>
      <c r="H978">
        <v>56</v>
      </c>
      <c r="I978" t="str">
        <f>_xlfn.XLOOKUP(Logs[[#This Row],[Cell_ID]],'Registre_Maintenance'!B:B,'Registre_Maintenance'!D:D,"Pas de correspondance")</f>
        <v>Pas de correspondance</v>
      </c>
      <c r="J978" t="str">
        <f>_xlfn.XLOOKUP(Logs[[#This Row],[Cell_ID]],'Registre_Maintenance'!B:B,'Registre_Maintenance'!E:E,"Pas de correspondance")</f>
        <v>Pas de correspondance</v>
      </c>
      <c r="K978" t="str">
        <f>_xlfn.XLOOKUP(Logs[[#This Row],[Cell_ID]],'Registre_Maintenance'!B:B,'Registre_Maintenance'!F:F,"Pas de correspondance")</f>
        <v>Pas de correspondance</v>
      </c>
      <c r="L978" t="str">
        <f>_xlfn.XLOOKUP(Logs[[#This Row],[Cell_ID]],'Registre_Maintenance'!B:B,'Registre_Maintenance'!G:G,"Pas de correspondance")</f>
        <v>Pas de correspondance</v>
      </c>
      <c r="M978" s="1" t="s">
        <v>806</v>
      </c>
      <c r="N978" s="1" t="str">
        <f>_xlfn.XLOOKUP(Logs[[#This Row],[ID_Client]],Clients_Log!B:B,Clients_Log!E:E,"Pas de correspondance")</f>
        <v>Pas de correspondance</v>
      </c>
      <c r="O978" s="4" t="str">
        <f>IFERROR(Logs[[#This Row],[Anciennete_Mois]]/12,"")</f>
        <v/>
      </c>
      <c r="P978" s="1" t="str">
        <f>_xlfn.XLOOKUP(Logs[[#This Row],[ID_Client]],Clients_Log!B:B,Clients_Log!F:F,"Pas de correspondance")</f>
        <v>Pas de correspondance</v>
      </c>
      <c r="Q978" s="1" t="str">
        <f>IF(Logs[[#This Row],[Type_Forfait]]="Pro Monde","B2B","B2C")</f>
        <v>B2C</v>
      </c>
      <c r="R978" s="1" t="str">
        <f>_xlfn.XLOOKUP(Logs[[#This Row],[ID_Client]],Clients_Log!B:B,Clients_Log!G:G,"Pas de correspondance")</f>
        <v>Pas de correspondance</v>
      </c>
      <c r="S978" s="1" t="e">
        <f>Logs[[#This Row],[Duree_Cumulee_Panne_Min]]/1440</f>
        <v>#VALUE!</v>
      </c>
      <c r="T978" s="1" t="str">
        <f>_xlfn.XLOOKUP(Logs[[#This Row],[ID_Client]],Clients_Log!B:B,Clients_Log!H:H,"Pas de correspondance")</f>
        <v>Pas de correspondance</v>
      </c>
      <c r="U978" s="1" t="str">
        <f>_xlfn.XLOOKUP(Logs[[#This Row],[ID_Client]],Clients_Log!B:B,Clients_Log!I:I,"Pas de correspondance")</f>
        <v>Pas de correspondance</v>
      </c>
      <c r="V97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78" s="1" t="e">
        <f>Logs[[#This Row],[Facture_Mensuelle]]*Logs[[#This Row],[Remise (%)]]</f>
        <v>#VALUE!</v>
      </c>
    </row>
    <row r="979" spans="1:23" hidden="1" x14ac:dyDescent="0.25">
      <c r="A979" s="1" t="s">
        <v>1438</v>
      </c>
      <c r="B979" s="2">
        <v>45215</v>
      </c>
      <c r="C979" s="1" t="str">
        <f>_xlfn.XLOOKUP(Logs[[#This Row],[Province_RDC]],Clients_Log!D:D,Clients_Log!B:B,"Pas de correspondance")</f>
        <v>Pas de correspondance</v>
      </c>
      <c r="D979" t="str">
        <f>_xlfn.XLOOKUP(Logs[[#This Row],[Cell_ID]],'Registre_Maintenance'!B:B,'Registre_Maintenance'!C:C,"Pas de correspondance")</f>
        <v>Pas de correspondance</v>
      </c>
      <c r="E979" s="3">
        <v>0.16388888888888889</v>
      </c>
      <c r="F979" s="1" t="s">
        <v>1452</v>
      </c>
      <c r="G979" s="3">
        <f>Logs[[#This Row],[Duree_Panne_Min]]/1440</f>
        <v>7.5694444444444439E-2</v>
      </c>
      <c r="H979">
        <v>109</v>
      </c>
      <c r="I979" t="str">
        <f>_xlfn.XLOOKUP(Logs[[#This Row],[Cell_ID]],'Registre_Maintenance'!B:B,'Registre_Maintenance'!D:D,"Pas de correspondance")</f>
        <v>Pas de correspondance</v>
      </c>
      <c r="J979" t="str">
        <f>_xlfn.XLOOKUP(Logs[[#This Row],[Cell_ID]],'Registre_Maintenance'!B:B,'Registre_Maintenance'!E:E,"Pas de correspondance")</f>
        <v>Pas de correspondance</v>
      </c>
      <c r="K979" t="str">
        <f>_xlfn.XLOOKUP(Logs[[#This Row],[Cell_ID]],'Registre_Maintenance'!B:B,'Registre_Maintenance'!F:F,"Pas de correspondance")</f>
        <v>Pas de correspondance</v>
      </c>
      <c r="L979" t="str">
        <f>_xlfn.XLOOKUP(Logs[[#This Row],[Cell_ID]],'Registre_Maintenance'!B:B,'Registre_Maintenance'!G:G,"Pas de correspondance")</f>
        <v>Pas de correspondance</v>
      </c>
      <c r="M979" s="1" t="s">
        <v>809</v>
      </c>
      <c r="N979" s="1" t="str">
        <f>_xlfn.XLOOKUP(Logs[[#This Row],[ID_Client]],Clients_Log!B:B,Clients_Log!E:E,"Pas de correspondance")</f>
        <v>Pas de correspondance</v>
      </c>
      <c r="O979" s="4" t="str">
        <f>IFERROR(Logs[[#This Row],[Anciennete_Mois]]/12,"")</f>
        <v/>
      </c>
      <c r="P979" s="1" t="str">
        <f>_xlfn.XLOOKUP(Logs[[#This Row],[ID_Client]],Clients_Log!B:B,Clients_Log!F:F,"Pas de correspondance")</f>
        <v>Pas de correspondance</v>
      </c>
      <c r="Q979" s="1" t="str">
        <f>IF(Logs[[#This Row],[Type_Forfait]]="Pro Monde","B2B","B2C")</f>
        <v>B2C</v>
      </c>
      <c r="R979" s="1" t="str">
        <f>_xlfn.XLOOKUP(Logs[[#This Row],[ID_Client]],Clients_Log!B:B,Clients_Log!G:G,"Pas de correspondance")</f>
        <v>Pas de correspondance</v>
      </c>
      <c r="S979" s="1" t="e">
        <f>Logs[[#This Row],[Duree_Cumulee_Panne_Min]]/1440</f>
        <v>#VALUE!</v>
      </c>
      <c r="T979" s="1" t="str">
        <f>_xlfn.XLOOKUP(Logs[[#This Row],[ID_Client]],Clients_Log!B:B,Clients_Log!H:H,"Pas de correspondance")</f>
        <v>Pas de correspondance</v>
      </c>
      <c r="U979" s="1" t="str">
        <f>_xlfn.XLOOKUP(Logs[[#This Row],[ID_Client]],Clients_Log!B:B,Clients_Log!I:I,"Pas de correspondance")</f>
        <v>Pas de correspondance</v>
      </c>
      <c r="V97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79" s="1" t="e">
        <f>Logs[[#This Row],[Facture_Mensuelle]]*Logs[[#This Row],[Remise (%)]]</f>
        <v>#VALUE!</v>
      </c>
    </row>
    <row r="980" spans="1:23" hidden="1" x14ac:dyDescent="0.25">
      <c r="A980" s="1" t="s">
        <v>1438</v>
      </c>
      <c r="B980" s="2">
        <v>45213</v>
      </c>
      <c r="C980" s="1" t="str">
        <f>_xlfn.XLOOKUP(Logs[[#This Row],[Province_RDC]],Clients_Log!D:D,Clients_Log!B:B,"Pas de correspondance")</f>
        <v>Pas de correspondance</v>
      </c>
      <c r="D980" t="str">
        <f>_xlfn.XLOOKUP(Logs[[#This Row],[Cell_ID]],'Registre_Maintenance'!B:B,'Registre_Maintenance'!C:C,"Pas de correspondance")</f>
        <v>Pas de correspondance</v>
      </c>
      <c r="E980" s="3">
        <v>0.58472222222222225</v>
      </c>
      <c r="F980" s="1" t="s">
        <v>1453</v>
      </c>
      <c r="G980" s="3">
        <f>Logs[[#This Row],[Duree_Panne_Min]]/1440</f>
        <v>2.4305555555555556E-2</v>
      </c>
      <c r="H980">
        <v>35</v>
      </c>
      <c r="I980" t="str">
        <f>_xlfn.XLOOKUP(Logs[[#This Row],[Cell_ID]],'Registre_Maintenance'!B:B,'Registre_Maintenance'!D:D,"Pas de correspondance")</f>
        <v>Pas de correspondance</v>
      </c>
      <c r="J980" t="str">
        <f>_xlfn.XLOOKUP(Logs[[#This Row],[Cell_ID]],'Registre_Maintenance'!B:B,'Registre_Maintenance'!E:E,"Pas de correspondance")</f>
        <v>Pas de correspondance</v>
      </c>
      <c r="K980" t="str">
        <f>_xlfn.XLOOKUP(Logs[[#This Row],[Cell_ID]],'Registre_Maintenance'!B:B,'Registre_Maintenance'!F:F,"Pas de correspondance")</f>
        <v>Pas de correspondance</v>
      </c>
      <c r="L980" t="str">
        <f>_xlfn.XLOOKUP(Logs[[#This Row],[Cell_ID]],'Registre_Maintenance'!B:B,'Registre_Maintenance'!G:G,"Pas de correspondance")</f>
        <v>Pas de correspondance</v>
      </c>
      <c r="M980" s="1" t="s">
        <v>809</v>
      </c>
      <c r="N980" s="1" t="str">
        <f>_xlfn.XLOOKUP(Logs[[#This Row],[ID_Client]],Clients_Log!B:B,Clients_Log!E:E,"Pas de correspondance")</f>
        <v>Pas de correspondance</v>
      </c>
      <c r="O980" s="4" t="str">
        <f>IFERROR(Logs[[#This Row],[Anciennete_Mois]]/12,"")</f>
        <v/>
      </c>
      <c r="P980" s="1" t="str">
        <f>_xlfn.XLOOKUP(Logs[[#This Row],[ID_Client]],Clients_Log!B:B,Clients_Log!F:F,"Pas de correspondance")</f>
        <v>Pas de correspondance</v>
      </c>
      <c r="Q980" s="1" t="str">
        <f>IF(Logs[[#This Row],[Type_Forfait]]="Pro Monde","B2B","B2C")</f>
        <v>B2C</v>
      </c>
      <c r="R980" s="1" t="str">
        <f>_xlfn.XLOOKUP(Logs[[#This Row],[ID_Client]],Clients_Log!B:B,Clients_Log!G:G,"Pas de correspondance")</f>
        <v>Pas de correspondance</v>
      </c>
      <c r="S980" s="1" t="e">
        <f>Logs[[#This Row],[Duree_Cumulee_Panne_Min]]/1440</f>
        <v>#VALUE!</v>
      </c>
      <c r="T980" s="1" t="str">
        <f>_xlfn.XLOOKUP(Logs[[#This Row],[ID_Client]],Clients_Log!B:B,Clients_Log!H:H,"Pas de correspondance")</f>
        <v>Pas de correspondance</v>
      </c>
      <c r="U980" s="1" t="str">
        <f>_xlfn.XLOOKUP(Logs[[#This Row],[ID_Client]],Clients_Log!B:B,Clients_Log!I:I,"Pas de correspondance")</f>
        <v>Pas de correspondance</v>
      </c>
      <c r="V98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80" s="1" t="e">
        <f>Logs[[#This Row],[Facture_Mensuelle]]*Logs[[#This Row],[Remise (%)]]</f>
        <v>#VALUE!</v>
      </c>
    </row>
    <row r="981" spans="1:23" hidden="1" x14ac:dyDescent="0.25">
      <c r="A981" s="1" t="s">
        <v>1438</v>
      </c>
      <c r="B981" s="2">
        <v>45202</v>
      </c>
      <c r="C981" s="1" t="str">
        <f>_xlfn.XLOOKUP(Logs[[#This Row],[Province_RDC]],Clients_Log!D:D,Clients_Log!B:B,"Pas de correspondance")</f>
        <v>Pas de correspondance</v>
      </c>
      <c r="D981" t="str">
        <f>_xlfn.XLOOKUP(Logs[[#This Row],[Cell_ID]],'Registre_Maintenance'!B:B,'Registre_Maintenance'!C:C,"Pas de correspondance")</f>
        <v>Pas de correspondance</v>
      </c>
      <c r="E981" s="3">
        <v>0.36180555555555555</v>
      </c>
      <c r="F981" s="1" t="s">
        <v>1454</v>
      </c>
      <c r="G981" s="3">
        <f>Logs[[#This Row],[Duree_Panne_Min]]/1440</f>
        <v>1.0416666666666666E-2</v>
      </c>
      <c r="H981">
        <v>15</v>
      </c>
      <c r="I981" t="str">
        <f>_xlfn.XLOOKUP(Logs[[#This Row],[Cell_ID]],'Registre_Maintenance'!B:B,'Registre_Maintenance'!D:D,"Pas de correspondance")</f>
        <v>Pas de correspondance</v>
      </c>
      <c r="J981" t="str">
        <f>_xlfn.XLOOKUP(Logs[[#This Row],[Cell_ID]],'Registre_Maintenance'!B:B,'Registre_Maintenance'!E:E,"Pas de correspondance")</f>
        <v>Pas de correspondance</v>
      </c>
      <c r="K981" t="str">
        <f>_xlfn.XLOOKUP(Logs[[#This Row],[Cell_ID]],'Registre_Maintenance'!B:B,'Registre_Maintenance'!F:F,"Pas de correspondance")</f>
        <v>Pas de correspondance</v>
      </c>
      <c r="L981" t="str">
        <f>_xlfn.XLOOKUP(Logs[[#This Row],[Cell_ID]],'Registre_Maintenance'!B:B,'Registre_Maintenance'!G:G,"Pas de correspondance")</f>
        <v>Pas de correspondance</v>
      </c>
      <c r="M981" s="1" t="s">
        <v>809</v>
      </c>
      <c r="N981" s="1" t="str">
        <f>_xlfn.XLOOKUP(Logs[[#This Row],[ID_Client]],Clients_Log!B:B,Clients_Log!E:E,"Pas de correspondance")</f>
        <v>Pas de correspondance</v>
      </c>
      <c r="O981" s="4" t="str">
        <f>IFERROR(Logs[[#This Row],[Anciennete_Mois]]/12,"")</f>
        <v/>
      </c>
      <c r="P981" s="1" t="str">
        <f>_xlfn.XLOOKUP(Logs[[#This Row],[ID_Client]],Clients_Log!B:B,Clients_Log!F:F,"Pas de correspondance")</f>
        <v>Pas de correspondance</v>
      </c>
      <c r="Q981" s="1" t="str">
        <f>IF(Logs[[#This Row],[Type_Forfait]]="Pro Monde","B2B","B2C")</f>
        <v>B2C</v>
      </c>
      <c r="R981" s="1" t="str">
        <f>_xlfn.XLOOKUP(Logs[[#This Row],[ID_Client]],Clients_Log!B:B,Clients_Log!G:G,"Pas de correspondance")</f>
        <v>Pas de correspondance</v>
      </c>
      <c r="S981" s="1" t="e">
        <f>Logs[[#This Row],[Duree_Cumulee_Panne_Min]]/1440</f>
        <v>#VALUE!</v>
      </c>
      <c r="T981" s="1" t="str">
        <f>_xlfn.XLOOKUP(Logs[[#This Row],[ID_Client]],Clients_Log!B:B,Clients_Log!H:H,"Pas de correspondance")</f>
        <v>Pas de correspondance</v>
      </c>
      <c r="U981" s="1" t="str">
        <f>_xlfn.XLOOKUP(Logs[[#This Row],[ID_Client]],Clients_Log!B:B,Clients_Log!I:I,"Pas de correspondance")</f>
        <v>Pas de correspondance</v>
      </c>
      <c r="V98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81" s="1" t="e">
        <f>Logs[[#This Row],[Facture_Mensuelle]]*Logs[[#This Row],[Remise (%)]]</f>
        <v>#VALUE!</v>
      </c>
    </row>
    <row r="982" spans="1:23" x14ac:dyDescent="0.25">
      <c r="A982" s="1" t="s">
        <v>1438</v>
      </c>
      <c r="B982" s="2">
        <v>45210</v>
      </c>
      <c r="C982" s="1" t="str">
        <f>_xlfn.XLOOKUP(Logs[[#This Row],[Province_RDC]],Clients_Log!D:D,Clients_Log!B:B,"Pas de correspondance")</f>
        <v>CLI-00569</v>
      </c>
      <c r="D982" t="str">
        <f>_xlfn.XLOOKUP(Logs[[#This Row],[Cell_ID]],'Registre_Maintenance'!B:B,'Registre_Maintenance'!C:C,"Pas de correspondance")</f>
        <v>Kwango</v>
      </c>
      <c r="E982" s="3">
        <v>3.125E-2</v>
      </c>
      <c r="F982" s="1" t="s">
        <v>1147</v>
      </c>
      <c r="G982" s="3">
        <f>Logs[[#This Row],[Duree_Panne_Min]]/1440</f>
        <v>4.3749999999999997E-2</v>
      </c>
      <c r="H982">
        <v>63</v>
      </c>
      <c r="I982">
        <f>_xlfn.XLOOKUP(Logs[[#This Row],[Cell_ID]],'Registre_Maintenance'!B:B,'Registre_Maintenance'!D:D,"Pas de correspondance")</f>
        <v>-9.0798120000000004</v>
      </c>
      <c r="J982">
        <f>_xlfn.XLOOKUP(Logs[[#This Row],[Cell_ID]],'Registre_Maintenance'!B:B,'Registre_Maintenance'!E:E,"Pas de correspondance")</f>
        <v>14.945484</v>
      </c>
      <c r="K982" t="str">
        <f>_xlfn.XLOOKUP(Logs[[#This Row],[Cell_ID]],'Registre_Maintenance'!B:B,'Registre_Maintenance'!F:F,"Pas de correspondance")</f>
        <v>5G</v>
      </c>
      <c r="L982" t="str">
        <f>_xlfn.XLOOKUP(Logs[[#This Row],[Cell_ID]],'Registre_Maintenance'!B:B,'Registre_Maintenance'!G:G,"Pas de correspondance")</f>
        <v>Ericsson</v>
      </c>
      <c r="M982" s="1" t="s">
        <v>811</v>
      </c>
      <c r="N982" s="1">
        <f>_xlfn.XLOOKUP(Logs[[#This Row],[ID_Client]],Clients_Log!B:B,Clients_Log!E:E,"Pas de correspondance")</f>
        <v>110</v>
      </c>
      <c r="O982" s="4">
        <f>IFERROR(Logs[[#This Row],[Anciennete_Mois]]/12,"")</f>
        <v>9.1666666666666661</v>
      </c>
      <c r="P982" s="1" t="str">
        <f>_xlfn.XLOOKUP(Logs[[#This Row],[ID_Client]],Clients_Log!B:B,Clients_Log!F:F,"Pas de correspondance")</f>
        <v>Pro Monde</v>
      </c>
      <c r="Q982" s="1" t="str">
        <f>IF(Logs[[#This Row],[Type_Forfait]]="Pro Monde","B2B","B2C")</f>
        <v>B2B</v>
      </c>
      <c r="R982" s="1">
        <f>_xlfn.XLOOKUP(Logs[[#This Row],[ID_Client]],Clients_Log!B:B,Clients_Log!G:G,"Pas de correspondance")</f>
        <v>423</v>
      </c>
      <c r="S982" s="3">
        <f>Logs[[#This Row],[Duree_Cumulee_Panne_Min]]/1440</f>
        <v>0.29375000000000001</v>
      </c>
      <c r="T982" s="1">
        <f>_xlfn.XLOOKUP(Logs[[#This Row],[ID_Client]],Clients_Log!B:B,Clients_Log!H:H,"Pas de correspondance")</f>
        <v>37.35</v>
      </c>
      <c r="U982" s="1">
        <f>_xlfn.XLOOKUP(Logs[[#This Row],[ID_Client]],Clients_Log!B:B,Clients_Log!I:I,"Pas de correspondance")</f>
        <v>4</v>
      </c>
      <c r="V98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82" s="1">
        <f>Logs[[#This Row],[Facture_Mensuelle]]*Logs[[#This Row],[Remise (%)]]</f>
        <v>16.807500000000001</v>
      </c>
    </row>
    <row r="983" spans="1:23" x14ac:dyDescent="0.25">
      <c r="A983" s="1" t="s">
        <v>1438</v>
      </c>
      <c r="B983" s="2">
        <v>45227</v>
      </c>
      <c r="C983" s="1" t="str">
        <f>_xlfn.XLOOKUP(Logs[[#This Row],[Province_RDC]],Clients_Log!D:D,Clients_Log!B:B,"Pas de correspondance")</f>
        <v>CLI-00611</v>
      </c>
      <c r="D983" t="str">
        <f>_xlfn.XLOOKUP(Logs[[#This Row],[Cell_ID]],'Registre_Maintenance'!B:B,'Registre_Maintenance'!C:C,"Pas de correspondance")</f>
        <v>Kinshasa</v>
      </c>
      <c r="E983" s="3">
        <v>0.8979166666666667</v>
      </c>
      <c r="F983" s="1" t="s">
        <v>1441</v>
      </c>
      <c r="G983" s="3">
        <f>Logs[[#This Row],[Duree_Panne_Min]]/1440</f>
        <v>4.2361111111111113E-2</v>
      </c>
      <c r="H983">
        <v>61</v>
      </c>
      <c r="I983">
        <f>_xlfn.XLOOKUP(Logs[[#This Row],[Cell_ID]],'Registre_Maintenance'!B:B,'Registre_Maintenance'!D:D,"Pas de correspondance")</f>
        <v>-7.1079169999999996</v>
      </c>
      <c r="J983">
        <f>_xlfn.XLOOKUP(Logs[[#This Row],[Cell_ID]],'Registre_Maintenance'!B:B,'Registre_Maintenance'!E:E,"Pas de correspondance")</f>
        <v>13.636272</v>
      </c>
      <c r="K983" t="str">
        <f>_xlfn.XLOOKUP(Logs[[#This Row],[Cell_ID]],'Registre_Maintenance'!B:B,'Registre_Maintenance'!F:F,"Pas de correspondance")</f>
        <v>5G</v>
      </c>
      <c r="L983" t="str">
        <f>_xlfn.XLOOKUP(Logs[[#This Row],[Cell_ID]],'Registre_Maintenance'!B:B,'Registre_Maintenance'!G:G,"Pas de correspondance")</f>
        <v>Nokia</v>
      </c>
      <c r="M983" s="1" t="s">
        <v>806</v>
      </c>
      <c r="N983" s="1">
        <f>_xlfn.XLOOKUP(Logs[[#This Row],[ID_Client]],Clients_Log!B:B,Clients_Log!E:E,"Pas de correspondance")</f>
        <v>79</v>
      </c>
      <c r="O983" s="4">
        <f>IFERROR(Logs[[#This Row],[Anciennete_Mois]]/12,"")</f>
        <v>6.583333333333333</v>
      </c>
      <c r="P983" s="1" t="str">
        <f>_xlfn.XLOOKUP(Logs[[#This Row],[ID_Client]],Clients_Log!B:B,Clients_Log!F:F,"Pas de correspondance")</f>
        <v>Premium 5G 150Go</v>
      </c>
      <c r="Q983" s="1" t="str">
        <f>IF(Logs[[#This Row],[Type_Forfait]]="Pro Monde","B2B","B2C")</f>
        <v>B2C</v>
      </c>
      <c r="R983" s="1">
        <f>_xlfn.XLOOKUP(Logs[[#This Row],[ID_Client]],Clients_Log!B:B,Clients_Log!G:G,"Pas de correspondance")</f>
        <v>226</v>
      </c>
      <c r="S983" s="3">
        <f>Logs[[#This Row],[Duree_Cumulee_Panne_Min]]/1440</f>
        <v>0.15694444444444444</v>
      </c>
      <c r="T983" s="1">
        <f>_xlfn.XLOOKUP(Logs[[#This Row],[ID_Client]],Clients_Log!B:B,Clients_Log!H:H,"Pas de correspondance")</f>
        <v>94.38</v>
      </c>
      <c r="U983" s="1">
        <f>_xlfn.XLOOKUP(Logs[[#This Row],[ID_Client]],Clients_Log!B:B,Clients_Log!I:I,"Pas de correspondance")</f>
        <v>3</v>
      </c>
      <c r="V98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983" s="1">
        <f>Logs[[#This Row],[Facture_Mensuelle]]*Logs[[#This Row],[Remise (%)]]</f>
        <v>0</v>
      </c>
    </row>
    <row r="984" spans="1:23" hidden="1" x14ac:dyDescent="0.25">
      <c r="A984" s="1" t="s">
        <v>1438</v>
      </c>
      <c r="B984" s="2">
        <v>45224</v>
      </c>
      <c r="C984" s="1" t="str">
        <f>_xlfn.XLOOKUP(Logs[[#This Row],[Province_RDC]],Clients_Log!D:D,Clients_Log!B:B,"Pas de correspondance")</f>
        <v>Pas de correspondance</v>
      </c>
      <c r="D984" t="str">
        <f>_xlfn.XLOOKUP(Logs[[#This Row],[Cell_ID]],'Registre_Maintenance'!B:B,'Registre_Maintenance'!C:C,"Pas de correspondance")</f>
        <v>Pas de correspondance</v>
      </c>
      <c r="E984" s="3">
        <v>0.98333333333333328</v>
      </c>
      <c r="F984" s="1" t="s">
        <v>991</v>
      </c>
      <c r="G984" s="3">
        <f>Logs[[#This Row],[Duree_Panne_Min]]/1440</f>
        <v>7.4305555555555555E-2</v>
      </c>
      <c r="H984">
        <v>107</v>
      </c>
      <c r="I984" t="str">
        <f>_xlfn.XLOOKUP(Logs[[#This Row],[Cell_ID]],'Registre_Maintenance'!B:B,'Registre_Maintenance'!D:D,"Pas de correspondance")</f>
        <v>Pas de correspondance</v>
      </c>
      <c r="J984" t="str">
        <f>_xlfn.XLOOKUP(Logs[[#This Row],[Cell_ID]],'Registre_Maintenance'!B:B,'Registre_Maintenance'!E:E,"Pas de correspondance")</f>
        <v>Pas de correspondance</v>
      </c>
      <c r="K984" t="str">
        <f>_xlfn.XLOOKUP(Logs[[#This Row],[Cell_ID]],'Registre_Maintenance'!B:B,'Registre_Maintenance'!F:F,"Pas de correspondance")</f>
        <v>Pas de correspondance</v>
      </c>
      <c r="L984" t="str">
        <f>_xlfn.XLOOKUP(Logs[[#This Row],[Cell_ID]],'Registre_Maintenance'!B:B,'Registre_Maintenance'!G:G,"Pas de correspondance")</f>
        <v>Pas de correspondance</v>
      </c>
      <c r="M984" s="1" t="s">
        <v>811</v>
      </c>
      <c r="N984" s="1" t="str">
        <f>_xlfn.XLOOKUP(Logs[[#This Row],[ID_Client]],Clients_Log!B:B,Clients_Log!E:E,"Pas de correspondance")</f>
        <v>Pas de correspondance</v>
      </c>
      <c r="O984" s="4" t="str">
        <f>IFERROR(Logs[[#This Row],[Anciennete_Mois]]/12,"")</f>
        <v/>
      </c>
      <c r="P984" s="1" t="str">
        <f>_xlfn.XLOOKUP(Logs[[#This Row],[ID_Client]],Clients_Log!B:B,Clients_Log!F:F,"Pas de correspondance")</f>
        <v>Pas de correspondance</v>
      </c>
      <c r="Q984" s="1" t="str">
        <f>IF(Logs[[#This Row],[Type_Forfait]]="Pro Monde","B2B","B2C")</f>
        <v>B2C</v>
      </c>
      <c r="R984" s="1" t="str">
        <f>_xlfn.XLOOKUP(Logs[[#This Row],[ID_Client]],Clients_Log!B:B,Clients_Log!G:G,"Pas de correspondance")</f>
        <v>Pas de correspondance</v>
      </c>
      <c r="S984" s="1" t="e">
        <f>Logs[[#This Row],[Duree_Cumulee_Panne_Min]]/1440</f>
        <v>#VALUE!</v>
      </c>
      <c r="T984" s="1" t="str">
        <f>_xlfn.XLOOKUP(Logs[[#This Row],[ID_Client]],Clients_Log!B:B,Clients_Log!H:H,"Pas de correspondance")</f>
        <v>Pas de correspondance</v>
      </c>
      <c r="U984" s="1" t="str">
        <f>_xlfn.XLOOKUP(Logs[[#This Row],[ID_Client]],Clients_Log!B:B,Clients_Log!I:I,"Pas de correspondance")</f>
        <v>Pas de correspondance</v>
      </c>
      <c r="V98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84" s="1" t="e">
        <f>Logs[[#This Row],[Facture_Mensuelle]]*Logs[[#This Row],[Remise (%)]]</f>
        <v>#VALUE!</v>
      </c>
    </row>
    <row r="985" spans="1:23" x14ac:dyDescent="0.25">
      <c r="A985" s="1" t="s">
        <v>1438</v>
      </c>
      <c r="B985" s="2">
        <v>45223</v>
      </c>
      <c r="C985" s="1" t="str">
        <f>_xlfn.XLOOKUP(Logs[[#This Row],[Province_RDC]],Clients_Log!D:D,Clients_Log!B:B,"Pas de correspondance")</f>
        <v>CLI-00865</v>
      </c>
      <c r="D985" t="str">
        <f>_xlfn.XLOOKUP(Logs[[#This Row],[Cell_ID]],'Registre_Maintenance'!B:B,'Registre_Maintenance'!C:C,"Pas de correspondance")</f>
        <v>Mongala</v>
      </c>
      <c r="E985" s="3">
        <v>0.75972222222222219</v>
      </c>
      <c r="F985" s="1" t="s">
        <v>1115</v>
      </c>
      <c r="G985" s="3">
        <f>Logs[[#This Row],[Duree_Panne_Min]]/1440</f>
        <v>5.4166666666666669E-2</v>
      </c>
      <c r="H985">
        <v>78</v>
      </c>
      <c r="I985">
        <f>_xlfn.XLOOKUP(Logs[[#This Row],[Cell_ID]],'Registre_Maintenance'!B:B,'Registre_Maintenance'!D:D,"Pas de correspondance")</f>
        <v>-5.3762689999999997</v>
      </c>
      <c r="J985">
        <f>_xlfn.XLOOKUP(Logs[[#This Row],[Cell_ID]],'Registre_Maintenance'!B:B,'Registre_Maintenance'!E:E,"Pas de correspondance")</f>
        <v>28.189575999999999</v>
      </c>
      <c r="K985" t="str">
        <f>_xlfn.XLOOKUP(Logs[[#This Row],[Cell_ID]],'Registre_Maintenance'!B:B,'Registre_Maintenance'!F:F,"Pas de correspondance")</f>
        <v>5G</v>
      </c>
      <c r="L985" t="str">
        <f>_xlfn.XLOOKUP(Logs[[#This Row],[Cell_ID]],'Registre_Maintenance'!B:B,'Registre_Maintenance'!G:G,"Pas de correspondance")</f>
        <v>Huawei</v>
      </c>
      <c r="M985" s="1" t="s">
        <v>809</v>
      </c>
      <c r="N985" s="1">
        <f>_xlfn.XLOOKUP(Logs[[#This Row],[ID_Client]],Clients_Log!B:B,Clients_Log!E:E,"Pas de correspondance")</f>
        <v>34</v>
      </c>
      <c r="O985" s="4">
        <f>IFERROR(Logs[[#This Row],[Anciennete_Mois]]/12,"")</f>
        <v>2.8333333333333335</v>
      </c>
      <c r="P985" s="1" t="str">
        <f>_xlfn.XLOOKUP(Logs[[#This Row],[ID_Client]],Clients_Log!B:B,Clients_Log!F:F,"Pas de correspondance")</f>
        <v>Pro Monde</v>
      </c>
      <c r="Q985" s="1" t="str">
        <f>IF(Logs[[#This Row],[Type_Forfait]]="Pro Monde","B2B","B2C")</f>
        <v>B2B</v>
      </c>
      <c r="R985" s="1">
        <f>_xlfn.XLOOKUP(Logs[[#This Row],[ID_Client]],Clients_Log!B:B,Clients_Log!G:G,"Pas de correspondance")</f>
        <v>453</v>
      </c>
      <c r="S985" s="3">
        <f>Logs[[#This Row],[Duree_Cumulee_Panne_Min]]/1440</f>
        <v>0.31458333333333333</v>
      </c>
      <c r="T985" s="1">
        <f>_xlfn.XLOOKUP(Logs[[#This Row],[ID_Client]],Clients_Log!B:B,Clients_Log!H:H,"Pas de correspondance")</f>
        <v>56.84</v>
      </c>
      <c r="U985" s="1">
        <f>_xlfn.XLOOKUP(Logs[[#This Row],[ID_Client]],Clients_Log!B:B,Clients_Log!I:I,"Pas de correspondance")</f>
        <v>0</v>
      </c>
      <c r="V98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85" s="1">
        <f>Logs[[#This Row],[Facture_Mensuelle]]*Logs[[#This Row],[Remise (%)]]</f>
        <v>25.578000000000003</v>
      </c>
    </row>
    <row r="986" spans="1:23" x14ac:dyDescent="0.25">
      <c r="A986" s="1" t="s">
        <v>1438</v>
      </c>
      <c r="B986" s="2">
        <v>45230</v>
      </c>
      <c r="C986" s="1" t="str">
        <f>_xlfn.XLOOKUP(Logs[[#This Row],[Province_RDC]],Clients_Log!D:D,Clients_Log!B:B,"Pas de correspondance")</f>
        <v>CLI-00894</v>
      </c>
      <c r="D986" t="str">
        <f>_xlfn.XLOOKUP(Logs[[#This Row],[Cell_ID]],'Registre_Maintenance'!B:B,'Registre_Maintenance'!C:C,"Pas de correspondance")</f>
        <v>Tshuapa</v>
      </c>
      <c r="E986" s="3">
        <v>0.91319444444444442</v>
      </c>
      <c r="F986" s="1" t="s">
        <v>1222</v>
      </c>
      <c r="G986" s="3">
        <f>Logs[[#This Row],[Duree_Panne_Min]]/1440</f>
        <v>4.3055555555555555E-2</v>
      </c>
      <c r="H986">
        <v>62</v>
      </c>
      <c r="I986">
        <f>_xlfn.XLOOKUP(Logs[[#This Row],[Cell_ID]],'Registre_Maintenance'!B:B,'Registre_Maintenance'!D:D,"Pas de correspondance")</f>
        <v>-1.9540519999999999</v>
      </c>
      <c r="J986">
        <f>_xlfn.XLOOKUP(Logs[[#This Row],[Cell_ID]],'Registre_Maintenance'!B:B,'Registre_Maintenance'!E:E,"Pas de correspondance")</f>
        <v>12.667945</v>
      </c>
      <c r="K986" t="str">
        <f>_xlfn.XLOOKUP(Logs[[#This Row],[Cell_ID]],'Registre_Maintenance'!B:B,'Registre_Maintenance'!F:F,"Pas de correspondance")</f>
        <v>4G</v>
      </c>
      <c r="L986" t="str">
        <f>_xlfn.XLOOKUP(Logs[[#This Row],[Cell_ID]],'Registre_Maintenance'!B:B,'Registre_Maintenance'!G:G,"Pas de correspondance")</f>
        <v>Huawei</v>
      </c>
      <c r="M986" s="1" t="s">
        <v>806</v>
      </c>
      <c r="N986" s="1">
        <f>_xlfn.XLOOKUP(Logs[[#This Row],[ID_Client]],Clients_Log!B:B,Clients_Log!E:E,"Pas de correspondance")</f>
        <v>63</v>
      </c>
      <c r="O986" s="4">
        <f>IFERROR(Logs[[#This Row],[Anciennete_Mois]]/12,"")</f>
        <v>5.25</v>
      </c>
      <c r="P986" s="1" t="str">
        <f>_xlfn.XLOOKUP(Logs[[#This Row],[ID_Client]],Clients_Log!B:B,Clients_Log!F:F,"Pas de correspondance")</f>
        <v>Pro Monde</v>
      </c>
      <c r="Q986" s="1" t="str">
        <f>IF(Logs[[#This Row],[Type_Forfait]]="Pro Monde","B2B","B2C")</f>
        <v>B2B</v>
      </c>
      <c r="R986" s="1">
        <f>_xlfn.XLOOKUP(Logs[[#This Row],[ID_Client]],Clients_Log!B:B,Clients_Log!G:G,"Pas de correspondance")</f>
        <v>205</v>
      </c>
      <c r="S986" s="3">
        <f>Logs[[#This Row],[Duree_Cumulee_Panne_Min]]/1440</f>
        <v>0.1423611111111111</v>
      </c>
      <c r="T986" s="1">
        <f>_xlfn.XLOOKUP(Logs[[#This Row],[ID_Client]],Clients_Log!B:B,Clients_Log!H:H,"Pas de correspondance")</f>
        <v>89.19</v>
      </c>
      <c r="U986" s="1">
        <f>_xlfn.XLOOKUP(Logs[[#This Row],[ID_Client]],Clients_Log!B:B,Clients_Log!I:I,"Pas de correspondance")</f>
        <v>0</v>
      </c>
      <c r="V98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986" s="1">
        <f>Logs[[#This Row],[Facture_Mensuelle]]*Logs[[#This Row],[Remise (%)]]</f>
        <v>8.9190000000000005</v>
      </c>
    </row>
    <row r="987" spans="1:23" x14ac:dyDescent="0.25">
      <c r="A987" s="1" t="s">
        <v>1438</v>
      </c>
      <c r="B987" s="2">
        <v>45210</v>
      </c>
      <c r="C987" s="1" t="str">
        <f>_xlfn.XLOOKUP(Logs[[#This Row],[Province_RDC]],Clients_Log!D:D,Clients_Log!B:B,"Pas de correspondance")</f>
        <v>CLI-00439</v>
      </c>
      <c r="D987" t="str">
        <f>_xlfn.XLOOKUP(Logs[[#This Row],[Cell_ID]],'Registre_Maintenance'!B:B,'Registre_Maintenance'!C:C,"Pas de correspondance")</f>
        <v>Haut-Uele</v>
      </c>
      <c r="E987" s="3">
        <v>0.68958333333333333</v>
      </c>
      <c r="F987" s="1" t="s">
        <v>1086</v>
      </c>
      <c r="G987" s="3">
        <f>Logs[[#This Row],[Duree_Panne_Min]]/1440</f>
        <v>1.1111111111111112E-2</v>
      </c>
      <c r="H987">
        <v>16</v>
      </c>
      <c r="I987">
        <f>_xlfn.XLOOKUP(Logs[[#This Row],[Cell_ID]],'Registre_Maintenance'!B:B,'Registre_Maintenance'!D:D,"Pas de correspondance")</f>
        <v>-4.869434</v>
      </c>
      <c r="J987">
        <f>_xlfn.XLOOKUP(Logs[[#This Row],[Cell_ID]],'Registre_Maintenance'!B:B,'Registre_Maintenance'!E:E,"Pas de correspondance")</f>
        <v>22.326522000000001</v>
      </c>
      <c r="K987" t="str">
        <f>_xlfn.XLOOKUP(Logs[[#This Row],[Cell_ID]],'Registre_Maintenance'!B:B,'Registre_Maintenance'!F:F,"Pas de correspondance")</f>
        <v>5G</v>
      </c>
      <c r="L987" t="str">
        <f>_xlfn.XLOOKUP(Logs[[#This Row],[Cell_ID]],'Registre_Maintenance'!B:B,'Registre_Maintenance'!G:G,"Pas de correspondance")</f>
        <v>Ericsson</v>
      </c>
      <c r="M987" s="1" t="s">
        <v>806</v>
      </c>
      <c r="N987" s="1">
        <f>_xlfn.XLOOKUP(Logs[[#This Row],[ID_Client]],Clients_Log!B:B,Clients_Log!E:E,"Pas de correspondance")</f>
        <v>40</v>
      </c>
      <c r="O987" s="4">
        <f>IFERROR(Logs[[#This Row],[Anciennete_Mois]]/12,"")</f>
        <v>3.3333333333333335</v>
      </c>
      <c r="P987" s="1" t="str">
        <f>_xlfn.XLOOKUP(Logs[[#This Row],[ID_Client]],Clients_Log!B:B,Clients_Log!F:F,"Pas de correspondance")</f>
        <v>Premium 5G 150Go</v>
      </c>
      <c r="Q987" s="1" t="str">
        <f>IF(Logs[[#This Row],[Type_Forfait]]="Pro Monde","B2B","B2C")</f>
        <v>B2C</v>
      </c>
      <c r="R987" s="1">
        <f>_xlfn.XLOOKUP(Logs[[#This Row],[ID_Client]],Clients_Log!B:B,Clients_Log!G:G,"Pas de correspondance")</f>
        <v>345</v>
      </c>
      <c r="S987" s="3">
        <f>Logs[[#This Row],[Duree_Cumulee_Panne_Min]]/1440</f>
        <v>0.23958333333333334</v>
      </c>
      <c r="T987" s="1">
        <f>_xlfn.XLOOKUP(Logs[[#This Row],[ID_Client]],Clients_Log!B:B,Clients_Log!H:H,"Pas de correspondance")</f>
        <v>89.55</v>
      </c>
      <c r="U987" s="1">
        <f>_xlfn.XLOOKUP(Logs[[#This Row],[ID_Client]],Clients_Log!B:B,Clients_Log!I:I,"Pas de correspondance")</f>
        <v>3</v>
      </c>
      <c r="V98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87" s="1">
        <f>Logs[[#This Row],[Facture_Mensuelle]]*Logs[[#This Row],[Remise (%)]]</f>
        <v>40.297499999999999</v>
      </c>
    </row>
    <row r="988" spans="1:23" x14ac:dyDescent="0.25">
      <c r="A988" s="1" t="s">
        <v>1438</v>
      </c>
      <c r="B988" s="2">
        <v>45222</v>
      </c>
      <c r="C988" s="1" t="str">
        <f>_xlfn.XLOOKUP(Logs[[#This Row],[Province_RDC]],Clients_Log!D:D,Clients_Log!B:B,"Pas de correspondance")</f>
        <v>CLI-01325</v>
      </c>
      <c r="D988" t="str">
        <f>_xlfn.XLOOKUP(Logs[[#This Row],[Cell_ID]],'Registre_Maintenance'!B:B,'Registre_Maintenance'!C:C,"Pas de correspondance")</f>
        <v>Haut-Lomami</v>
      </c>
      <c r="E988" s="3">
        <v>0.94374999999999998</v>
      </c>
      <c r="F988" s="1" t="s">
        <v>1455</v>
      </c>
      <c r="G988" s="3">
        <f>Logs[[#This Row],[Duree_Panne_Min]]/1440</f>
        <v>7.9166666666666663E-2</v>
      </c>
      <c r="H988">
        <v>114</v>
      </c>
      <c r="I988">
        <f>_xlfn.XLOOKUP(Logs[[#This Row],[Cell_ID]],'Registre_Maintenance'!B:B,'Registre_Maintenance'!D:D,"Pas de correspondance")</f>
        <v>-9.6407190000000007</v>
      </c>
      <c r="J988">
        <f>_xlfn.XLOOKUP(Logs[[#This Row],[Cell_ID]],'Registre_Maintenance'!B:B,'Registre_Maintenance'!E:E,"Pas de correspondance")</f>
        <v>21.336704999999998</v>
      </c>
      <c r="K988" t="str">
        <f>_xlfn.XLOOKUP(Logs[[#This Row],[Cell_ID]],'Registre_Maintenance'!B:B,'Registre_Maintenance'!F:F,"Pas de correspondance")</f>
        <v>4G</v>
      </c>
      <c r="L988" t="str">
        <f>_xlfn.XLOOKUP(Logs[[#This Row],[Cell_ID]],'Registre_Maintenance'!B:B,'Registre_Maintenance'!G:G,"Pas de correspondance")</f>
        <v>ZTE</v>
      </c>
      <c r="M988" s="1" t="s">
        <v>806</v>
      </c>
      <c r="N988" s="1">
        <f>_xlfn.XLOOKUP(Logs[[#This Row],[ID_Client]],Clients_Log!B:B,Clients_Log!E:E,"Pas de correspondance")</f>
        <v>44</v>
      </c>
      <c r="O988" s="4">
        <f>IFERROR(Logs[[#This Row],[Anciennete_Mois]]/12,"")</f>
        <v>3.6666666666666665</v>
      </c>
      <c r="P988" s="1" t="str">
        <f>_xlfn.XLOOKUP(Logs[[#This Row],[ID_Client]],Clients_Log!B:B,Clients_Log!F:F,"Pas de correspondance")</f>
        <v>Bloqué 5Go</v>
      </c>
      <c r="Q988" s="1" t="str">
        <f>IF(Logs[[#This Row],[Type_Forfait]]="Pro Monde","B2B","B2C")</f>
        <v>B2C</v>
      </c>
      <c r="R988" s="1">
        <f>_xlfn.XLOOKUP(Logs[[#This Row],[ID_Client]],Clients_Log!B:B,Clients_Log!G:G,"Pas de correspondance")</f>
        <v>348</v>
      </c>
      <c r="S988" s="3">
        <f>Logs[[#This Row],[Duree_Cumulee_Panne_Min]]/1440</f>
        <v>0.24166666666666667</v>
      </c>
      <c r="T988" s="1">
        <f>_xlfn.XLOOKUP(Logs[[#This Row],[ID_Client]],Clients_Log!B:B,Clients_Log!H:H,"Pas de correspondance")</f>
        <v>58.67</v>
      </c>
      <c r="U988" s="1">
        <f>_xlfn.XLOOKUP(Logs[[#This Row],[ID_Client]],Clients_Log!B:B,Clients_Log!I:I,"Pas de correspondance")</f>
        <v>0</v>
      </c>
      <c r="V98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88" s="1">
        <f>Logs[[#This Row],[Facture_Mensuelle]]*Logs[[#This Row],[Remise (%)]]</f>
        <v>26.401500000000002</v>
      </c>
    </row>
    <row r="989" spans="1:23" hidden="1" x14ac:dyDescent="0.25">
      <c r="A989" s="1" t="s">
        <v>1438</v>
      </c>
      <c r="B989" s="2">
        <v>45203</v>
      </c>
      <c r="C989" s="1" t="str">
        <f>_xlfn.XLOOKUP(Logs[[#This Row],[Province_RDC]],Clients_Log!D:D,Clients_Log!B:B,"Pas de correspondance")</f>
        <v>Pas de correspondance</v>
      </c>
      <c r="D989" t="str">
        <f>_xlfn.XLOOKUP(Logs[[#This Row],[Cell_ID]],'Registre_Maintenance'!B:B,'Registre_Maintenance'!C:C,"Pas de correspondance")</f>
        <v>Pas de correspondance</v>
      </c>
      <c r="E989" s="3">
        <v>0.5708333333333333</v>
      </c>
      <c r="F989" s="1" t="s">
        <v>1456</v>
      </c>
      <c r="G989" s="3">
        <f>Logs[[#This Row],[Duree_Panne_Min]]/1440</f>
        <v>4.7222222222222221E-2</v>
      </c>
      <c r="H989">
        <v>68</v>
      </c>
      <c r="I989" t="str">
        <f>_xlfn.XLOOKUP(Logs[[#This Row],[Cell_ID]],'Registre_Maintenance'!B:B,'Registre_Maintenance'!D:D,"Pas de correspondance")</f>
        <v>Pas de correspondance</v>
      </c>
      <c r="J989" t="str">
        <f>_xlfn.XLOOKUP(Logs[[#This Row],[Cell_ID]],'Registre_Maintenance'!B:B,'Registre_Maintenance'!E:E,"Pas de correspondance")</f>
        <v>Pas de correspondance</v>
      </c>
      <c r="K989" t="str">
        <f>_xlfn.XLOOKUP(Logs[[#This Row],[Cell_ID]],'Registre_Maintenance'!B:B,'Registre_Maintenance'!F:F,"Pas de correspondance")</f>
        <v>Pas de correspondance</v>
      </c>
      <c r="L989" t="str">
        <f>_xlfn.XLOOKUP(Logs[[#This Row],[Cell_ID]],'Registre_Maintenance'!B:B,'Registre_Maintenance'!G:G,"Pas de correspondance")</f>
        <v>Pas de correspondance</v>
      </c>
      <c r="M989" s="1" t="s">
        <v>811</v>
      </c>
      <c r="N989" s="1" t="str">
        <f>_xlfn.XLOOKUP(Logs[[#This Row],[ID_Client]],Clients_Log!B:B,Clients_Log!E:E,"Pas de correspondance")</f>
        <v>Pas de correspondance</v>
      </c>
      <c r="O989" s="4" t="str">
        <f>IFERROR(Logs[[#This Row],[Anciennete_Mois]]/12,"")</f>
        <v/>
      </c>
      <c r="P989" s="1" t="str">
        <f>_xlfn.XLOOKUP(Logs[[#This Row],[ID_Client]],Clients_Log!B:B,Clients_Log!F:F,"Pas de correspondance")</f>
        <v>Pas de correspondance</v>
      </c>
      <c r="Q989" s="1" t="str">
        <f>IF(Logs[[#This Row],[Type_Forfait]]="Pro Monde","B2B","B2C")</f>
        <v>B2C</v>
      </c>
      <c r="R989" s="1" t="str">
        <f>_xlfn.XLOOKUP(Logs[[#This Row],[ID_Client]],Clients_Log!B:B,Clients_Log!G:G,"Pas de correspondance")</f>
        <v>Pas de correspondance</v>
      </c>
      <c r="S989" s="1" t="e">
        <f>Logs[[#This Row],[Duree_Cumulee_Panne_Min]]/1440</f>
        <v>#VALUE!</v>
      </c>
      <c r="T989" s="1" t="str">
        <f>_xlfn.XLOOKUP(Logs[[#This Row],[ID_Client]],Clients_Log!B:B,Clients_Log!H:H,"Pas de correspondance")</f>
        <v>Pas de correspondance</v>
      </c>
      <c r="U989" s="1" t="str">
        <f>_xlfn.XLOOKUP(Logs[[#This Row],[ID_Client]],Clients_Log!B:B,Clients_Log!I:I,"Pas de correspondance")</f>
        <v>Pas de correspondance</v>
      </c>
      <c r="V98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89" s="1" t="e">
        <f>Logs[[#This Row],[Facture_Mensuelle]]*Logs[[#This Row],[Remise (%)]]</f>
        <v>#VALUE!</v>
      </c>
    </row>
    <row r="990" spans="1:23" hidden="1" x14ac:dyDescent="0.25">
      <c r="A990" s="1" t="s">
        <v>1438</v>
      </c>
      <c r="B990" s="2">
        <v>45223</v>
      </c>
      <c r="C990" s="1" t="str">
        <f>_xlfn.XLOOKUP(Logs[[#This Row],[Province_RDC]],Clients_Log!D:D,Clients_Log!B:B,"Pas de correspondance")</f>
        <v>Pas de correspondance</v>
      </c>
      <c r="D990" t="str">
        <f>_xlfn.XLOOKUP(Logs[[#This Row],[Cell_ID]],'Registre_Maintenance'!B:B,'Registre_Maintenance'!C:C,"Pas de correspondance")</f>
        <v>Pas de correspondance</v>
      </c>
      <c r="E990" s="3">
        <v>0.3125</v>
      </c>
      <c r="F990" s="1" t="s">
        <v>1457</v>
      </c>
      <c r="G990" s="3">
        <f>Logs[[#This Row],[Duree_Panne_Min]]/1440</f>
        <v>4.3055555555555555E-2</v>
      </c>
      <c r="H990">
        <v>62</v>
      </c>
      <c r="I990" t="str">
        <f>_xlfn.XLOOKUP(Logs[[#This Row],[Cell_ID]],'Registre_Maintenance'!B:B,'Registre_Maintenance'!D:D,"Pas de correspondance")</f>
        <v>Pas de correspondance</v>
      </c>
      <c r="J990" t="str">
        <f>_xlfn.XLOOKUP(Logs[[#This Row],[Cell_ID]],'Registre_Maintenance'!B:B,'Registre_Maintenance'!E:E,"Pas de correspondance")</f>
        <v>Pas de correspondance</v>
      </c>
      <c r="K990" t="str">
        <f>_xlfn.XLOOKUP(Logs[[#This Row],[Cell_ID]],'Registre_Maintenance'!B:B,'Registre_Maintenance'!F:F,"Pas de correspondance")</f>
        <v>Pas de correspondance</v>
      </c>
      <c r="L990" t="str">
        <f>_xlfn.XLOOKUP(Logs[[#This Row],[Cell_ID]],'Registre_Maintenance'!B:B,'Registre_Maintenance'!G:G,"Pas de correspondance")</f>
        <v>Pas de correspondance</v>
      </c>
      <c r="M990" s="1" t="s">
        <v>806</v>
      </c>
      <c r="N990" s="1" t="str">
        <f>_xlfn.XLOOKUP(Logs[[#This Row],[ID_Client]],Clients_Log!B:B,Clients_Log!E:E,"Pas de correspondance")</f>
        <v>Pas de correspondance</v>
      </c>
      <c r="O990" s="4" t="str">
        <f>IFERROR(Logs[[#This Row],[Anciennete_Mois]]/12,"")</f>
        <v/>
      </c>
      <c r="P990" s="1" t="str">
        <f>_xlfn.XLOOKUP(Logs[[#This Row],[ID_Client]],Clients_Log!B:B,Clients_Log!F:F,"Pas de correspondance")</f>
        <v>Pas de correspondance</v>
      </c>
      <c r="Q990" s="1" t="str">
        <f>IF(Logs[[#This Row],[Type_Forfait]]="Pro Monde","B2B","B2C")</f>
        <v>B2C</v>
      </c>
      <c r="R990" s="1" t="str">
        <f>_xlfn.XLOOKUP(Logs[[#This Row],[ID_Client]],Clients_Log!B:B,Clients_Log!G:G,"Pas de correspondance")</f>
        <v>Pas de correspondance</v>
      </c>
      <c r="S990" s="1" t="e">
        <f>Logs[[#This Row],[Duree_Cumulee_Panne_Min]]/1440</f>
        <v>#VALUE!</v>
      </c>
      <c r="T990" s="1" t="str">
        <f>_xlfn.XLOOKUP(Logs[[#This Row],[ID_Client]],Clients_Log!B:B,Clients_Log!H:H,"Pas de correspondance")</f>
        <v>Pas de correspondance</v>
      </c>
      <c r="U990" s="1" t="str">
        <f>_xlfn.XLOOKUP(Logs[[#This Row],[ID_Client]],Clients_Log!B:B,Clients_Log!I:I,"Pas de correspondance")</f>
        <v>Pas de correspondance</v>
      </c>
      <c r="V99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90" s="1" t="e">
        <f>Logs[[#This Row],[Facture_Mensuelle]]*Logs[[#This Row],[Remise (%)]]</f>
        <v>#VALUE!</v>
      </c>
    </row>
    <row r="991" spans="1:23" x14ac:dyDescent="0.25">
      <c r="A991" s="1" t="s">
        <v>1438</v>
      </c>
      <c r="B991" s="2">
        <v>45211</v>
      </c>
      <c r="C991" s="1" t="str">
        <f>_xlfn.XLOOKUP(Logs[[#This Row],[Province_RDC]],Clients_Log!D:D,Clients_Log!B:B,"Pas de correspondance")</f>
        <v>CLI-00280</v>
      </c>
      <c r="D991" t="str">
        <f>_xlfn.XLOOKUP(Logs[[#This Row],[Cell_ID]],'Registre_Maintenance'!B:B,'Registre_Maintenance'!C:C,"Pas de correspondance")</f>
        <v>Sud-Ubangi</v>
      </c>
      <c r="E991" s="3">
        <v>0.90486111111111112</v>
      </c>
      <c r="F991" s="1" t="s">
        <v>1015</v>
      </c>
      <c r="G991" s="3">
        <f>Logs[[#This Row],[Duree_Panne_Min]]/1440</f>
        <v>3.125E-2</v>
      </c>
      <c r="H991">
        <v>45</v>
      </c>
      <c r="I991">
        <f>_xlfn.XLOOKUP(Logs[[#This Row],[Cell_ID]],'Registre_Maintenance'!B:B,'Registre_Maintenance'!D:D,"Pas de correspondance")</f>
        <v>-12.342053999999999</v>
      </c>
      <c r="J991">
        <f>_xlfn.XLOOKUP(Logs[[#This Row],[Cell_ID]],'Registre_Maintenance'!B:B,'Registre_Maintenance'!E:E,"Pas de correspondance")</f>
        <v>18.756862000000002</v>
      </c>
      <c r="K991" t="str">
        <f>_xlfn.XLOOKUP(Logs[[#This Row],[Cell_ID]],'Registre_Maintenance'!B:B,'Registre_Maintenance'!F:F,"Pas de correspondance")</f>
        <v>3G</v>
      </c>
      <c r="L991" t="str">
        <f>_xlfn.XLOOKUP(Logs[[#This Row],[Cell_ID]],'Registre_Maintenance'!B:B,'Registre_Maintenance'!G:G,"Pas de correspondance")</f>
        <v>Ericsson</v>
      </c>
      <c r="M991" s="1" t="s">
        <v>811</v>
      </c>
      <c r="N991" s="1">
        <f>_xlfn.XLOOKUP(Logs[[#This Row],[ID_Client]],Clients_Log!B:B,Clients_Log!E:E,"Pas de correspondance")</f>
        <v>113</v>
      </c>
      <c r="O991" s="4">
        <f>IFERROR(Logs[[#This Row],[Anciennete_Mois]]/12,"")</f>
        <v>9.4166666666666661</v>
      </c>
      <c r="P991" s="1" t="str">
        <f>_xlfn.XLOOKUP(Logs[[#This Row],[ID_Client]],Clients_Log!B:B,Clients_Log!F:F,"Pas de correspondance")</f>
        <v>Illimité 50Go</v>
      </c>
      <c r="Q991" s="1" t="str">
        <f>IF(Logs[[#This Row],[Type_Forfait]]="Pro Monde","B2B","B2C")</f>
        <v>B2C</v>
      </c>
      <c r="R991" s="1">
        <f>_xlfn.XLOOKUP(Logs[[#This Row],[ID_Client]],Clients_Log!B:B,Clients_Log!G:G,"Pas de correspondance")</f>
        <v>380</v>
      </c>
      <c r="S991" s="3">
        <f>Logs[[#This Row],[Duree_Cumulee_Panne_Min]]/1440</f>
        <v>0.2638888888888889</v>
      </c>
      <c r="T991" s="1">
        <f>_xlfn.XLOOKUP(Logs[[#This Row],[ID_Client]],Clients_Log!B:B,Clients_Log!H:H,"Pas de correspondance")</f>
        <v>12.11</v>
      </c>
      <c r="U991" s="1">
        <f>_xlfn.XLOOKUP(Logs[[#This Row],[ID_Client]],Clients_Log!B:B,Clients_Log!I:I,"Pas de correspondance")</f>
        <v>0</v>
      </c>
      <c r="V99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991" s="1">
        <f>Logs[[#This Row],[Facture_Mensuelle]]*Logs[[#This Row],[Remise (%)]]</f>
        <v>5.4494999999999996</v>
      </c>
    </row>
    <row r="992" spans="1:23" hidden="1" x14ac:dyDescent="0.25">
      <c r="A992" s="1" t="s">
        <v>1438</v>
      </c>
      <c r="B992" s="2">
        <v>45220</v>
      </c>
      <c r="C992" s="1" t="str">
        <f>_xlfn.XLOOKUP(Logs[[#This Row],[Province_RDC]],Clients_Log!D:D,Clients_Log!B:B,"Pas de correspondance")</f>
        <v>Pas de correspondance</v>
      </c>
      <c r="D992" t="str">
        <f>_xlfn.XLOOKUP(Logs[[#This Row],[Cell_ID]],'Registre_Maintenance'!B:B,'Registre_Maintenance'!C:C,"Pas de correspondance")</f>
        <v>Pas de correspondance</v>
      </c>
      <c r="E992" s="3">
        <v>0.50624999999999998</v>
      </c>
      <c r="F992" s="1" t="s">
        <v>1256</v>
      </c>
      <c r="G992" s="3">
        <f>Logs[[#This Row],[Duree_Panne_Min]]/1440</f>
        <v>1.3888888888888888E-2</v>
      </c>
      <c r="H992">
        <v>20</v>
      </c>
      <c r="I992" t="str">
        <f>_xlfn.XLOOKUP(Logs[[#This Row],[Cell_ID]],'Registre_Maintenance'!B:B,'Registre_Maintenance'!D:D,"Pas de correspondance")</f>
        <v>Pas de correspondance</v>
      </c>
      <c r="J992" t="str">
        <f>_xlfn.XLOOKUP(Logs[[#This Row],[Cell_ID]],'Registre_Maintenance'!B:B,'Registre_Maintenance'!E:E,"Pas de correspondance")</f>
        <v>Pas de correspondance</v>
      </c>
      <c r="K992" t="str">
        <f>_xlfn.XLOOKUP(Logs[[#This Row],[Cell_ID]],'Registre_Maintenance'!B:B,'Registre_Maintenance'!F:F,"Pas de correspondance")</f>
        <v>Pas de correspondance</v>
      </c>
      <c r="L992" t="str">
        <f>_xlfn.XLOOKUP(Logs[[#This Row],[Cell_ID]],'Registre_Maintenance'!B:B,'Registre_Maintenance'!G:G,"Pas de correspondance")</f>
        <v>Pas de correspondance</v>
      </c>
      <c r="M992" s="1" t="s">
        <v>806</v>
      </c>
      <c r="N992" s="1" t="str">
        <f>_xlfn.XLOOKUP(Logs[[#This Row],[ID_Client]],Clients_Log!B:B,Clients_Log!E:E,"Pas de correspondance")</f>
        <v>Pas de correspondance</v>
      </c>
      <c r="O992" s="4" t="str">
        <f>IFERROR(Logs[[#This Row],[Anciennete_Mois]]/12,"")</f>
        <v/>
      </c>
      <c r="P992" s="1" t="str">
        <f>_xlfn.XLOOKUP(Logs[[#This Row],[ID_Client]],Clients_Log!B:B,Clients_Log!F:F,"Pas de correspondance")</f>
        <v>Pas de correspondance</v>
      </c>
      <c r="Q992" s="1" t="str">
        <f>IF(Logs[[#This Row],[Type_Forfait]]="Pro Monde","B2B","B2C")</f>
        <v>B2C</v>
      </c>
      <c r="R992" s="1" t="str">
        <f>_xlfn.XLOOKUP(Logs[[#This Row],[ID_Client]],Clients_Log!B:B,Clients_Log!G:G,"Pas de correspondance")</f>
        <v>Pas de correspondance</v>
      </c>
      <c r="S992" s="1" t="e">
        <f>Logs[[#This Row],[Duree_Cumulee_Panne_Min]]/1440</f>
        <v>#VALUE!</v>
      </c>
      <c r="T992" s="1" t="str">
        <f>_xlfn.XLOOKUP(Logs[[#This Row],[ID_Client]],Clients_Log!B:B,Clients_Log!H:H,"Pas de correspondance")</f>
        <v>Pas de correspondance</v>
      </c>
      <c r="U992" s="1" t="str">
        <f>_xlfn.XLOOKUP(Logs[[#This Row],[ID_Client]],Clients_Log!B:B,Clients_Log!I:I,"Pas de correspondance")</f>
        <v>Pas de correspondance</v>
      </c>
      <c r="V99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92" s="1" t="e">
        <f>Logs[[#This Row],[Facture_Mensuelle]]*Logs[[#This Row],[Remise (%)]]</f>
        <v>#VALUE!</v>
      </c>
    </row>
    <row r="993" spans="1:23" hidden="1" x14ac:dyDescent="0.25">
      <c r="A993" s="1" t="s">
        <v>1438</v>
      </c>
      <c r="B993" s="2">
        <v>45226</v>
      </c>
      <c r="C993" s="1" t="str">
        <f>_xlfn.XLOOKUP(Logs[[#This Row],[Province_RDC]],Clients_Log!D:D,Clients_Log!B:B,"Pas de correspondance")</f>
        <v>Pas de correspondance</v>
      </c>
      <c r="D993" t="str">
        <f>_xlfn.XLOOKUP(Logs[[#This Row],[Cell_ID]],'Registre_Maintenance'!B:B,'Registre_Maintenance'!C:C,"Pas de correspondance")</f>
        <v>Pas de correspondance</v>
      </c>
      <c r="E993" s="3">
        <v>0.74791666666666667</v>
      </c>
      <c r="F993" s="1" t="s">
        <v>1458</v>
      </c>
      <c r="G993" s="3">
        <f>Logs[[#This Row],[Duree_Panne_Min]]/1440</f>
        <v>4.7222222222222221E-2</v>
      </c>
      <c r="H993">
        <v>68</v>
      </c>
      <c r="I993" t="str">
        <f>_xlfn.XLOOKUP(Logs[[#This Row],[Cell_ID]],'Registre_Maintenance'!B:B,'Registre_Maintenance'!D:D,"Pas de correspondance")</f>
        <v>Pas de correspondance</v>
      </c>
      <c r="J993" t="str">
        <f>_xlfn.XLOOKUP(Logs[[#This Row],[Cell_ID]],'Registre_Maintenance'!B:B,'Registre_Maintenance'!E:E,"Pas de correspondance")</f>
        <v>Pas de correspondance</v>
      </c>
      <c r="K993" t="str">
        <f>_xlfn.XLOOKUP(Logs[[#This Row],[Cell_ID]],'Registre_Maintenance'!B:B,'Registre_Maintenance'!F:F,"Pas de correspondance")</f>
        <v>Pas de correspondance</v>
      </c>
      <c r="L993" t="str">
        <f>_xlfn.XLOOKUP(Logs[[#This Row],[Cell_ID]],'Registre_Maintenance'!B:B,'Registre_Maintenance'!G:G,"Pas de correspondance")</f>
        <v>Pas de correspondance</v>
      </c>
      <c r="M993" s="1" t="s">
        <v>809</v>
      </c>
      <c r="N993" s="1" t="str">
        <f>_xlfn.XLOOKUP(Logs[[#This Row],[ID_Client]],Clients_Log!B:B,Clients_Log!E:E,"Pas de correspondance")</f>
        <v>Pas de correspondance</v>
      </c>
      <c r="O993" s="4" t="str">
        <f>IFERROR(Logs[[#This Row],[Anciennete_Mois]]/12,"")</f>
        <v/>
      </c>
      <c r="P993" s="1" t="str">
        <f>_xlfn.XLOOKUP(Logs[[#This Row],[ID_Client]],Clients_Log!B:B,Clients_Log!F:F,"Pas de correspondance")</f>
        <v>Pas de correspondance</v>
      </c>
      <c r="Q993" s="1" t="str">
        <f>IF(Logs[[#This Row],[Type_Forfait]]="Pro Monde","B2B","B2C")</f>
        <v>B2C</v>
      </c>
      <c r="R993" s="1" t="str">
        <f>_xlfn.XLOOKUP(Logs[[#This Row],[ID_Client]],Clients_Log!B:B,Clients_Log!G:G,"Pas de correspondance")</f>
        <v>Pas de correspondance</v>
      </c>
      <c r="S993" s="1" t="e">
        <f>Logs[[#This Row],[Duree_Cumulee_Panne_Min]]/1440</f>
        <v>#VALUE!</v>
      </c>
      <c r="T993" s="1" t="str">
        <f>_xlfn.XLOOKUP(Logs[[#This Row],[ID_Client]],Clients_Log!B:B,Clients_Log!H:H,"Pas de correspondance")</f>
        <v>Pas de correspondance</v>
      </c>
      <c r="U993" s="1" t="str">
        <f>_xlfn.XLOOKUP(Logs[[#This Row],[ID_Client]],Clients_Log!B:B,Clients_Log!I:I,"Pas de correspondance")</f>
        <v>Pas de correspondance</v>
      </c>
      <c r="V99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93" s="1" t="e">
        <f>Logs[[#This Row],[Facture_Mensuelle]]*Logs[[#This Row],[Remise (%)]]</f>
        <v>#VALUE!</v>
      </c>
    </row>
    <row r="994" spans="1:23" hidden="1" x14ac:dyDescent="0.25">
      <c r="A994" s="1" t="s">
        <v>1438</v>
      </c>
      <c r="B994" s="2">
        <v>45219</v>
      </c>
      <c r="C994" s="1" t="str">
        <f>_xlfn.XLOOKUP(Logs[[#This Row],[Province_RDC]],Clients_Log!D:D,Clients_Log!B:B,"Pas de correspondance")</f>
        <v>Pas de correspondance</v>
      </c>
      <c r="D994" t="str">
        <f>_xlfn.XLOOKUP(Logs[[#This Row],[Cell_ID]],'Registre_Maintenance'!B:B,'Registre_Maintenance'!C:C,"Pas de correspondance")</f>
        <v>Pas de correspondance</v>
      </c>
      <c r="E994" s="3">
        <v>4.1666666666666664E-2</v>
      </c>
      <c r="F994" s="1" t="s">
        <v>969</v>
      </c>
      <c r="G994" s="3">
        <f>Logs[[#This Row],[Duree_Panne_Min]]/1440</f>
        <v>6.9444444444444448E-2</v>
      </c>
      <c r="H994">
        <v>100</v>
      </c>
      <c r="I994" t="str">
        <f>_xlfn.XLOOKUP(Logs[[#This Row],[Cell_ID]],'Registre_Maintenance'!B:B,'Registre_Maintenance'!D:D,"Pas de correspondance")</f>
        <v>Pas de correspondance</v>
      </c>
      <c r="J994" t="str">
        <f>_xlfn.XLOOKUP(Logs[[#This Row],[Cell_ID]],'Registre_Maintenance'!B:B,'Registre_Maintenance'!E:E,"Pas de correspondance")</f>
        <v>Pas de correspondance</v>
      </c>
      <c r="K994" t="str">
        <f>_xlfn.XLOOKUP(Logs[[#This Row],[Cell_ID]],'Registre_Maintenance'!B:B,'Registre_Maintenance'!F:F,"Pas de correspondance")</f>
        <v>Pas de correspondance</v>
      </c>
      <c r="L994" t="str">
        <f>_xlfn.XLOOKUP(Logs[[#This Row],[Cell_ID]],'Registre_Maintenance'!B:B,'Registre_Maintenance'!G:G,"Pas de correspondance")</f>
        <v>Pas de correspondance</v>
      </c>
      <c r="M994" s="1" t="s">
        <v>811</v>
      </c>
      <c r="N994" s="1" t="str">
        <f>_xlfn.XLOOKUP(Logs[[#This Row],[ID_Client]],Clients_Log!B:B,Clients_Log!E:E,"Pas de correspondance")</f>
        <v>Pas de correspondance</v>
      </c>
      <c r="O994" s="4" t="str">
        <f>IFERROR(Logs[[#This Row],[Anciennete_Mois]]/12,"")</f>
        <v/>
      </c>
      <c r="P994" s="1" t="str">
        <f>_xlfn.XLOOKUP(Logs[[#This Row],[ID_Client]],Clients_Log!B:B,Clients_Log!F:F,"Pas de correspondance")</f>
        <v>Pas de correspondance</v>
      </c>
      <c r="Q994" s="1" t="str">
        <f>IF(Logs[[#This Row],[Type_Forfait]]="Pro Monde","B2B","B2C")</f>
        <v>B2C</v>
      </c>
      <c r="R994" s="1" t="str">
        <f>_xlfn.XLOOKUP(Logs[[#This Row],[ID_Client]],Clients_Log!B:B,Clients_Log!G:G,"Pas de correspondance")</f>
        <v>Pas de correspondance</v>
      </c>
      <c r="S994" s="1" t="e">
        <f>Logs[[#This Row],[Duree_Cumulee_Panne_Min]]/1440</f>
        <v>#VALUE!</v>
      </c>
      <c r="T994" s="1" t="str">
        <f>_xlfn.XLOOKUP(Logs[[#This Row],[ID_Client]],Clients_Log!B:B,Clients_Log!H:H,"Pas de correspondance")</f>
        <v>Pas de correspondance</v>
      </c>
      <c r="U994" s="1" t="str">
        <f>_xlfn.XLOOKUP(Logs[[#This Row],[ID_Client]],Clients_Log!B:B,Clients_Log!I:I,"Pas de correspondance")</f>
        <v>Pas de correspondance</v>
      </c>
      <c r="V99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94" s="1" t="e">
        <f>Logs[[#This Row],[Facture_Mensuelle]]*Logs[[#This Row],[Remise (%)]]</f>
        <v>#VALUE!</v>
      </c>
    </row>
    <row r="995" spans="1:23" hidden="1" x14ac:dyDescent="0.25">
      <c r="A995" s="1" t="s">
        <v>1438</v>
      </c>
      <c r="B995" s="2">
        <v>45225</v>
      </c>
      <c r="C995" s="1" t="str">
        <f>_xlfn.XLOOKUP(Logs[[#This Row],[Province_RDC]],Clients_Log!D:D,Clients_Log!B:B,"Pas de correspondance")</f>
        <v>Pas de correspondance</v>
      </c>
      <c r="D995" t="str">
        <f>_xlfn.XLOOKUP(Logs[[#This Row],[Cell_ID]],'Registre_Maintenance'!B:B,'Registre_Maintenance'!C:C,"Pas de correspondance")</f>
        <v>Pas de correspondance</v>
      </c>
      <c r="E995" s="3">
        <v>0.77986111111111112</v>
      </c>
      <c r="F995" s="1" t="s">
        <v>1447</v>
      </c>
      <c r="G995" s="3">
        <f>Logs[[#This Row],[Duree_Panne_Min]]/1440</f>
        <v>4.791666666666667E-2</v>
      </c>
      <c r="H995">
        <v>69</v>
      </c>
      <c r="I995" t="str">
        <f>_xlfn.XLOOKUP(Logs[[#This Row],[Cell_ID]],'Registre_Maintenance'!B:B,'Registre_Maintenance'!D:D,"Pas de correspondance")</f>
        <v>Pas de correspondance</v>
      </c>
      <c r="J995" t="str">
        <f>_xlfn.XLOOKUP(Logs[[#This Row],[Cell_ID]],'Registre_Maintenance'!B:B,'Registre_Maintenance'!E:E,"Pas de correspondance")</f>
        <v>Pas de correspondance</v>
      </c>
      <c r="K995" t="str">
        <f>_xlfn.XLOOKUP(Logs[[#This Row],[Cell_ID]],'Registre_Maintenance'!B:B,'Registre_Maintenance'!F:F,"Pas de correspondance")</f>
        <v>Pas de correspondance</v>
      </c>
      <c r="L995" t="str">
        <f>_xlfn.XLOOKUP(Logs[[#This Row],[Cell_ID]],'Registre_Maintenance'!B:B,'Registre_Maintenance'!G:G,"Pas de correspondance")</f>
        <v>Pas de correspondance</v>
      </c>
      <c r="M995" s="1" t="s">
        <v>809</v>
      </c>
      <c r="N995" s="1" t="str">
        <f>_xlfn.XLOOKUP(Logs[[#This Row],[ID_Client]],Clients_Log!B:B,Clients_Log!E:E,"Pas de correspondance")</f>
        <v>Pas de correspondance</v>
      </c>
      <c r="O995" s="4" t="str">
        <f>IFERROR(Logs[[#This Row],[Anciennete_Mois]]/12,"")</f>
        <v/>
      </c>
      <c r="P995" s="1" t="str">
        <f>_xlfn.XLOOKUP(Logs[[#This Row],[ID_Client]],Clients_Log!B:B,Clients_Log!F:F,"Pas de correspondance")</f>
        <v>Pas de correspondance</v>
      </c>
      <c r="Q995" s="1" t="str">
        <f>IF(Logs[[#This Row],[Type_Forfait]]="Pro Monde","B2B","B2C")</f>
        <v>B2C</v>
      </c>
      <c r="R995" s="1" t="str">
        <f>_xlfn.XLOOKUP(Logs[[#This Row],[ID_Client]],Clients_Log!B:B,Clients_Log!G:G,"Pas de correspondance")</f>
        <v>Pas de correspondance</v>
      </c>
      <c r="S995" s="1" t="e">
        <f>Logs[[#This Row],[Duree_Cumulee_Panne_Min]]/1440</f>
        <v>#VALUE!</v>
      </c>
      <c r="T995" s="1" t="str">
        <f>_xlfn.XLOOKUP(Logs[[#This Row],[ID_Client]],Clients_Log!B:B,Clients_Log!H:H,"Pas de correspondance")</f>
        <v>Pas de correspondance</v>
      </c>
      <c r="U995" s="1" t="str">
        <f>_xlfn.XLOOKUP(Logs[[#This Row],[ID_Client]],Clients_Log!B:B,Clients_Log!I:I,"Pas de correspondance")</f>
        <v>Pas de correspondance</v>
      </c>
      <c r="V99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95" s="1" t="e">
        <f>Logs[[#This Row],[Facture_Mensuelle]]*Logs[[#This Row],[Remise (%)]]</f>
        <v>#VALUE!</v>
      </c>
    </row>
    <row r="996" spans="1:23" hidden="1" x14ac:dyDescent="0.25">
      <c r="A996" s="1" t="s">
        <v>1459</v>
      </c>
      <c r="B996" s="2">
        <v>45203</v>
      </c>
      <c r="C996" s="1" t="str">
        <f>_xlfn.XLOOKUP(Logs[[#This Row],[Province_RDC]],Clients_Log!D:D,Clients_Log!B:B,"Pas de correspondance")</f>
        <v>Pas de correspondance</v>
      </c>
      <c r="D996" t="str">
        <f>_xlfn.XLOOKUP(Logs[[#This Row],[Cell_ID]],'Registre_Maintenance'!B:B,'Registre_Maintenance'!C:C,"Pas de correspondance")</f>
        <v>Pas de correspondance</v>
      </c>
      <c r="E996" s="3">
        <v>0.60347222222222219</v>
      </c>
      <c r="F996" s="1" t="s">
        <v>1460</v>
      </c>
      <c r="G996" s="3">
        <f>Logs[[#This Row],[Duree_Panne_Min]]/1440</f>
        <v>7.3611111111111113E-2</v>
      </c>
      <c r="H996">
        <v>106</v>
      </c>
      <c r="I996" t="str">
        <f>_xlfn.XLOOKUP(Logs[[#This Row],[Cell_ID]],'Registre_Maintenance'!B:B,'Registre_Maintenance'!D:D,"Pas de correspondance")</f>
        <v>Pas de correspondance</v>
      </c>
      <c r="J996" t="str">
        <f>_xlfn.XLOOKUP(Logs[[#This Row],[Cell_ID]],'Registre_Maintenance'!B:B,'Registre_Maintenance'!E:E,"Pas de correspondance")</f>
        <v>Pas de correspondance</v>
      </c>
      <c r="K996" t="str">
        <f>_xlfn.XLOOKUP(Logs[[#This Row],[Cell_ID]],'Registre_Maintenance'!B:B,'Registre_Maintenance'!F:F,"Pas de correspondance")</f>
        <v>Pas de correspondance</v>
      </c>
      <c r="L996" t="str">
        <f>_xlfn.XLOOKUP(Logs[[#This Row],[Cell_ID]],'Registre_Maintenance'!B:B,'Registre_Maintenance'!G:G,"Pas de correspondance")</f>
        <v>Pas de correspondance</v>
      </c>
      <c r="M996" s="1" t="s">
        <v>809</v>
      </c>
      <c r="N996" s="1" t="str">
        <f>_xlfn.XLOOKUP(Logs[[#This Row],[ID_Client]],Clients_Log!B:B,Clients_Log!E:E,"Pas de correspondance")</f>
        <v>Pas de correspondance</v>
      </c>
      <c r="O996" s="4" t="str">
        <f>IFERROR(Logs[[#This Row],[Anciennete_Mois]]/12,"")</f>
        <v/>
      </c>
      <c r="P996" s="1" t="str">
        <f>_xlfn.XLOOKUP(Logs[[#This Row],[ID_Client]],Clients_Log!B:B,Clients_Log!F:F,"Pas de correspondance")</f>
        <v>Pas de correspondance</v>
      </c>
      <c r="Q996" s="1" t="str">
        <f>IF(Logs[[#This Row],[Type_Forfait]]="Pro Monde","B2B","B2C")</f>
        <v>B2C</v>
      </c>
      <c r="R996" s="1" t="str">
        <f>_xlfn.XLOOKUP(Logs[[#This Row],[ID_Client]],Clients_Log!B:B,Clients_Log!G:G,"Pas de correspondance")</f>
        <v>Pas de correspondance</v>
      </c>
      <c r="S996" s="1" t="e">
        <f>Logs[[#This Row],[Duree_Cumulee_Panne_Min]]/1440</f>
        <v>#VALUE!</v>
      </c>
      <c r="T996" s="1" t="str">
        <f>_xlfn.XLOOKUP(Logs[[#This Row],[ID_Client]],Clients_Log!B:B,Clients_Log!H:H,"Pas de correspondance")</f>
        <v>Pas de correspondance</v>
      </c>
      <c r="U996" s="1" t="str">
        <f>_xlfn.XLOOKUP(Logs[[#This Row],[ID_Client]],Clients_Log!B:B,Clients_Log!I:I,"Pas de correspondance")</f>
        <v>Pas de correspondance</v>
      </c>
      <c r="V99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96" s="1" t="e">
        <f>Logs[[#This Row],[Facture_Mensuelle]]*Logs[[#This Row],[Remise (%)]]</f>
        <v>#VALUE!</v>
      </c>
    </row>
    <row r="997" spans="1:23" x14ac:dyDescent="0.25">
      <c r="A997" s="1" t="s">
        <v>1459</v>
      </c>
      <c r="B997" s="2">
        <v>45221</v>
      </c>
      <c r="C997" s="1" t="str">
        <f>_xlfn.XLOOKUP(Logs[[#This Row],[Province_RDC]],Clients_Log!D:D,Clients_Log!B:B,"Pas de correspondance")</f>
        <v>CLI-00060</v>
      </c>
      <c r="D997" t="str">
        <f>_xlfn.XLOOKUP(Logs[[#This Row],[Cell_ID]],'Registre_Maintenance'!B:B,'Registre_Maintenance'!C:C,"Pas de correspondance")</f>
        <v>Kasaï-Central</v>
      </c>
      <c r="E997" s="3">
        <v>0.77222222222222225</v>
      </c>
      <c r="F997" s="1" t="s">
        <v>983</v>
      </c>
      <c r="G997" s="3">
        <f>Logs[[#This Row],[Duree_Panne_Min]]/1440</f>
        <v>7.4305555555555555E-2</v>
      </c>
      <c r="H997">
        <v>107</v>
      </c>
      <c r="I997">
        <f>_xlfn.XLOOKUP(Logs[[#This Row],[Cell_ID]],'Registre_Maintenance'!B:B,'Registre_Maintenance'!D:D,"Pas de correspondance")</f>
        <v>-4.4451280000000004</v>
      </c>
      <c r="J997">
        <f>_xlfn.XLOOKUP(Logs[[#This Row],[Cell_ID]],'Registre_Maintenance'!B:B,'Registre_Maintenance'!E:E,"Pas de correspondance")</f>
        <v>16.536944999999999</v>
      </c>
      <c r="K997" t="str">
        <f>_xlfn.XLOOKUP(Logs[[#This Row],[Cell_ID]],'Registre_Maintenance'!B:B,'Registre_Maintenance'!F:F,"Pas de correspondance")</f>
        <v>4G</v>
      </c>
      <c r="L997" t="str">
        <f>_xlfn.XLOOKUP(Logs[[#This Row],[Cell_ID]],'Registre_Maintenance'!B:B,'Registre_Maintenance'!G:G,"Pas de correspondance")</f>
        <v>Ericsson</v>
      </c>
      <c r="M997" s="1" t="s">
        <v>806</v>
      </c>
      <c r="N997" s="1">
        <f>_xlfn.XLOOKUP(Logs[[#This Row],[ID_Client]],Clients_Log!B:B,Clients_Log!E:E,"Pas de correspondance")</f>
        <v>72</v>
      </c>
      <c r="O997" s="4">
        <f>IFERROR(Logs[[#This Row],[Anciennete_Mois]]/12,"")</f>
        <v>6</v>
      </c>
      <c r="P997" s="1" t="str">
        <f>_xlfn.XLOOKUP(Logs[[#This Row],[ID_Client]],Clients_Log!B:B,Clients_Log!F:F,"Pas de correspondance")</f>
        <v>Pro Monde</v>
      </c>
      <c r="Q997" s="1" t="str">
        <f>IF(Logs[[#This Row],[Type_Forfait]]="Pro Monde","B2B","B2C")</f>
        <v>B2B</v>
      </c>
      <c r="R997" s="1">
        <f>_xlfn.XLOOKUP(Logs[[#This Row],[ID_Client]],Clients_Log!B:B,Clients_Log!G:G,"Pas de correspondance")</f>
        <v>160</v>
      </c>
      <c r="S997" s="3">
        <f>Logs[[#This Row],[Duree_Cumulee_Panne_Min]]/1440</f>
        <v>0.1111111111111111</v>
      </c>
      <c r="T997" s="1">
        <f>_xlfn.XLOOKUP(Logs[[#This Row],[ID_Client]],Clients_Log!B:B,Clients_Log!H:H,"Pas de correspondance")</f>
        <v>90.13</v>
      </c>
      <c r="U997" s="1">
        <f>_xlfn.XLOOKUP(Logs[[#This Row],[ID_Client]],Clients_Log!B:B,Clients_Log!I:I,"Pas de correspondance")</f>
        <v>2</v>
      </c>
      <c r="V99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997" s="1">
        <f>Logs[[#This Row],[Facture_Mensuelle]]*Logs[[#This Row],[Remise (%)]]</f>
        <v>9.0129999999999999</v>
      </c>
    </row>
    <row r="998" spans="1:23" hidden="1" x14ac:dyDescent="0.25">
      <c r="A998" s="1" t="s">
        <v>1459</v>
      </c>
      <c r="B998" s="2">
        <v>45204</v>
      </c>
      <c r="C998" s="1" t="str">
        <f>_xlfn.XLOOKUP(Logs[[#This Row],[Province_RDC]],Clients_Log!D:D,Clients_Log!B:B,"Pas de correspondance")</f>
        <v>Pas de correspondance</v>
      </c>
      <c r="D998" t="str">
        <f>_xlfn.XLOOKUP(Logs[[#This Row],[Cell_ID]],'Registre_Maintenance'!B:B,'Registre_Maintenance'!C:C,"Pas de correspondance")</f>
        <v>Pas de correspondance</v>
      </c>
      <c r="E998" s="3">
        <v>0.625</v>
      </c>
      <c r="F998" s="1" t="s">
        <v>1461</v>
      </c>
      <c r="G998" s="3">
        <f>Logs[[#This Row],[Duree_Panne_Min]]/1440</f>
        <v>6.5277777777777782E-2</v>
      </c>
      <c r="H998">
        <v>94</v>
      </c>
      <c r="I998" t="str">
        <f>_xlfn.XLOOKUP(Logs[[#This Row],[Cell_ID]],'Registre_Maintenance'!B:B,'Registre_Maintenance'!D:D,"Pas de correspondance")</f>
        <v>Pas de correspondance</v>
      </c>
      <c r="J998" t="str">
        <f>_xlfn.XLOOKUP(Logs[[#This Row],[Cell_ID]],'Registre_Maintenance'!B:B,'Registre_Maintenance'!E:E,"Pas de correspondance")</f>
        <v>Pas de correspondance</v>
      </c>
      <c r="K998" t="str">
        <f>_xlfn.XLOOKUP(Logs[[#This Row],[Cell_ID]],'Registre_Maintenance'!B:B,'Registre_Maintenance'!F:F,"Pas de correspondance")</f>
        <v>Pas de correspondance</v>
      </c>
      <c r="L998" t="str">
        <f>_xlfn.XLOOKUP(Logs[[#This Row],[Cell_ID]],'Registre_Maintenance'!B:B,'Registre_Maintenance'!G:G,"Pas de correspondance")</f>
        <v>Pas de correspondance</v>
      </c>
      <c r="M998" s="1" t="s">
        <v>811</v>
      </c>
      <c r="N998" s="1" t="str">
        <f>_xlfn.XLOOKUP(Logs[[#This Row],[ID_Client]],Clients_Log!B:B,Clients_Log!E:E,"Pas de correspondance")</f>
        <v>Pas de correspondance</v>
      </c>
      <c r="O998" s="4" t="str">
        <f>IFERROR(Logs[[#This Row],[Anciennete_Mois]]/12,"")</f>
        <v/>
      </c>
      <c r="P998" s="1" t="str">
        <f>_xlfn.XLOOKUP(Logs[[#This Row],[ID_Client]],Clients_Log!B:B,Clients_Log!F:F,"Pas de correspondance")</f>
        <v>Pas de correspondance</v>
      </c>
      <c r="Q998" s="1" t="str">
        <f>IF(Logs[[#This Row],[Type_Forfait]]="Pro Monde","B2B","B2C")</f>
        <v>B2C</v>
      </c>
      <c r="R998" s="1" t="str">
        <f>_xlfn.XLOOKUP(Logs[[#This Row],[ID_Client]],Clients_Log!B:B,Clients_Log!G:G,"Pas de correspondance")</f>
        <v>Pas de correspondance</v>
      </c>
      <c r="S998" s="1" t="e">
        <f>Logs[[#This Row],[Duree_Cumulee_Panne_Min]]/1440</f>
        <v>#VALUE!</v>
      </c>
      <c r="T998" s="1" t="str">
        <f>_xlfn.XLOOKUP(Logs[[#This Row],[ID_Client]],Clients_Log!B:B,Clients_Log!H:H,"Pas de correspondance")</f>
        <v>Pas de correspondance</v>
      </c>
      <c r="U998" s="1" t="str">
        <f>_xlfn.XLOOKUP(Logs[[#This Row],[ID_Client]],Clients_Log!B:B,Clients_Log!I:I,"Pas de correspondance")</f>
        <v>Pas de correspondance</v>
      </c>
      <c r="V99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98" s="1" t="e">
        <f>Logs[[#This Row],[Facture_Mensuelle]]*Logs[[#This Row],[Remise (%)]]</f>
        <v>#VALUE!</v>
      </c>
    </row>
    <row r="999" spans="1:23" hidden="1" x14ac:dyDescent="0.25">
      <c r="A999" s="1" t="s">
        <v>1459</v>
      </c>
      <c r="B999" s="2">
        <v>45216</v>
      </c>
      <c r="C999" s="1" t="str">
        <f>_xlfn.XLOOKUP(Logs[[#This Row],[Province_RDC]],Clients_Log!D:D,Clients_Log!B:B,"Pas de correspondance")</f>
        <v>Pas de correspondance</v>
      </c>
      <c r="D999" t="str">
        <f>_xlfn.XLOOKUP(Logs[[#This Row],[Cell_ID]],'Registre_Maintenance'!B:B,'Registre_Maintenance'!C:C,"Pas de correspondance")</f>
        <v>Pas de correspondance</v>
      </c>
      <c r="E999" s="3">
        <v>0.9604166666666667</v>
      </c>
      <c r="F999" s="1" t="s">
        <v>1462</v>
      </c>
      <c r="G999" s="3">
        <f>Logs[[#This Row],[Duree_Panne_Min]]/1440</f>
        <v>2.8472222222222222E-2</v>
      </c>
      <c r="H999">
        <v>41</v>
      </c>
      <c r="I999" t="str">
        <f>_xlfn.XLOOKUP(Logs[[#This Row],[Cell_ID]],'Registre_Maintenance'!B:B,'Registre_Maintenance'!D:D,"Pas de correspondance")</f>
        <v>Pas de correspondance</v>
      </c>
      <c r="J999" t="str">
        <f>_xlfn.XLOOKUP(Logs[[#This Row],[Cell_ID]],'Registre_Maintenance'!B:B,'Registre_Maintenance'!E:E,"Pas de correspondance")</f>
        <v>Pas de correspondance</v>
      </c>
      <c r="K999" t="str">
        <f>_xlfn.XLOOKUP(Logs[[#This Row],[Cell_ID]],'Registre_Maintenance'!B:B,'Registre_Maintenance'!F:F,"Pas de correspondance")</f>
        <v>Pas de correspondance</v>
      </c>
      <c r="L999" t="str">
        <f>_xlfn.XLOOKUP(Logs[[#This Row],[Cell_ID]],'Registre_Maintenance'!B:B,'Registre_Maintenance'!G:G,"Pas de correspondance")</f>
        <v>Pas de correspondance</v>
      </c>
      <c r="M999" s="1" t="s">
        <v>809</v>
      </c>
      <c r="N999" s="1" t="str">
        <f>_xlfn.XLOOKUP(Logs[[#This Row],[ID_Client]],Clients_Log!B:B,Clients_Log!E:E,"Pas de correspondance")</f>
        <v>Pas de correspondance</v>
      </c>
      <c r="O999" s="4" t="str">
        <f>IFERROR(Logs[[#This Row],[Anciennete_Mois]]/12,"")</f>
        <v/>
      </c>
      <c r="P999" s="1" t="str">
        <f>_xlfn.XLOOKUP(Logs[[#This Row],[ID_Client]],Clients_Log!B:B,Clients_Log!F:F,"Pas de correspondance")</f>
        <v>Pas de correspondance</v>
      </c>
      <c r="Q999" s="1" t="str">
        <f>IF(Logs[[#This Row],[Type_Forfait]]="Pro Monde","B2B","B2C")</f>
        <v>B2C</v>
      </c>
      <c r="R999" s="1" t="str">
        <f>_xlfn.XLOOKUP(Logs[[#This Row],[ID_Client]],Clients_Log!B:B,Clients_Log!G:G,"Pas de correspondance")</f>
        <v>Pas de correspondance</v>
      </c>
      <c r="S999" s="1" t="e">
        <f>Logs[[#This Row],[Duree_Cumulee_Panne_Min]]/1440</f>
        <v>#VALUE!</v>
      </c>
      <c r="T999" s="1" t="str">
        <f>_xlfn.XLOOKUP(Logs[[#This Row],[ID_Client]],Clients_Log!B:B,Clients_Log!H:H,"Pas de correspondance")</f>
        <v>Pas de correspondance</v>
      </c>
      <c r="U999" s="1" t="str">
        <f>_xlfn.XLOOKUP(Logs[[#This Row],[ID_Client]],Clients_Log!B:B,Clients_Log!I:I,"Pas de correspondance")</f>
        <v>Pas de correspondance</v>
      </c>
      <c r="V99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999" s="1" t="e">
        <f>Logs[[#This Row],[Facture_Mensuelle]]*Logs[[#This Row],[Remise (%)]]</f>
        <v>#VALUE!</v>
      </c>
    </row>
    <row r="1000" spans="1:23" x14ac:dyDescent="0.25">
      <c r="A1000" s="1" t="s">
        <v>1459</v>
      </c>
      <c r="B1000" s="2">
        <v>45217</v>
      </c>
      <c r="C1000" s="1" t="str">
        <f>_xlfn.XLOOKUP(Logs[[#This Row],[Province_RDC]],Clients_Log!D:D,Clients_Log!B:B,"Pas de correspondance")</f>
        <v>CLI-00060</v>
      </c>
      <c r="D1000" t="str">
        <f>_xlfn.XLOOKUP(Logs[[#This Row],[Cell_ID]],'Registre_Maintenance'!B:B,'Registre_Maintenance'!C:C,"Pas de correspondance")</f>
        <v>Kasaï-Central</v>
      </c>
      <c r="E1000" s="3">
        <v>0.57847222222222228</v>
      </c>
      <c r="F1000" s="1" t="s">
        <v>1463</v>
      </c>
      <c r="G1000" s="3">
        <f>Logs[[#This Row],[Duree_Panne_Min]]/1440</f>
        <v>6.458333333333334E-2</v>
      </c>
      <c r="H1000">
        <v>93</v>
      </c>
      <c r="I1000">
        <f>_xlfn.XLOOKUP(Logs[[#This Row],[Cell_ID]],'Registre_Maintenance'!B:B,'Registre_Maintenance'!D:D,"Pas de correspondance")</f>
        <v>-10.735106</v>
      </c>
      <c r="J1000">
        <f>_xlfn.XLOOKUP(Logs[[#This Row],[Cell_ID]],'Registre_Maintenance'!B:B,'Registre_Maintenance'!E:E,"Pas de correspondance")</f>
        <v>27.868673999999999</v>
      </c>
      <c r="K1000" t="str">
        <f>_xlfn.XLOOKUP(Logs[[#This Row],[Cell_ID]],'Registre_Maintenance'!B:B,'Registre_Maintenance'!F:F,"Pas de correspondance")</f>
        <v>3G</v>
      </c>
      <c r="L1000" t="str">
        <f>_xlfn.XLOOKUP(Logs[[#This Row],[Cell_ID]],'Registre_Maintenance'!B:B,'Registre_Maintenance'!G:G,"Pas de correspondance")</f>
        <v>Ericsson</v>
      </c>
      <c r="M1000" s="1" t="s">
        <v>809</v>
      </c>
      <c r="N1000" s="1">
        <f>_xlfn.XLOOKUP(Logs[[#This Row],[ID_Client]],Clients_Log!B:B,Clients_Log!E:E,"Pas de correspondance")</f>
        <v>72</v>
      </c>
      <c r="O1000" s="4">
        <f>IFERROR(Logs[[#This Row],[Anciennete_Mois]]/12,"")</f>
        <v>6</v>
      </c>
      <c r="P1000" s="1" t="str">
        <f>_xlfn.XLOOKUP(Logs[[#This Row],[ID_Client]],Clients_Log!B:B,Clients_Log!F:F,"Pas de correspondance")</f>
        <v>Pro Monde</v>
      </c>
      <c r="Q1000" s="1" t="str">
        <f>IF(Logs[[#This Row],[Type_Forfait]]="Pro Monde","B2B","B2C")</f>
        <v>B2B</v>
      </c>
      <c r="R1000" s="1">
        <f>_xlfn.XLOOKUP(Logs[[#This Row],[ID_Client]],Clients_Log!B:B,Clients_Log!G:G,"Pas de correspondance")</f>
        <v>160</v>
      </c>
      <c r="S1000" s="3">
        <f>Logs[[#This Row],[Duree_Cumulee_Panne_Min]]/1440</f>
        <v>0.1111111111111111</v>
      </c>
      <c r="T1000" s="1">
        <f>_xlfn.XLOOKUP(Logs[[#This Row],[ID_Client]],Clients_Log!B:B,Clients_Log!H:H,"Pas de correspondance")</f>
        <v>90.13</v>
      </c>
      <c r="U1000" s="1">
        <f>_xlfn.XLOOKUP(Logs[[#This Row],[ID_Client]],Clients_Log!B:B,Clients_Log!I:I,"Pas de correspondance")</f>
        <v>2</v>
      </c>
      <c r="V100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1000" s="1">
        <f>Logs[[#This Row],[Facture_Mensuelle]]*Logs[[#This Row],[Remise (%)]]</f>
        <v>9.0129999999999999</v>
      </c>
    </row>
    <row r="1001" spans="1:23" hidden="1" x14ac:dyDescent="0.25">
      <c r="A1001" s="1" t="s">
        <v>1459</v>
      </c>
      <c r="B1001" s="2">
        <v>45218</v>
      </c>
      <c r="C1001" s="1" t="str">
        <f>_xlfn.XLOOKUP(Logs[[#This Row],[Province_RDC]],Clients_Log!D:D,Clients_Log!B:B,"Pas de correspondance")</f>
        <v>Pas de correspondance</v>
      </c>
      <c r="D1001" t="str">
        <f>_xlfn.XLOOKUP(Logs[[#This Row],[Cell_ID]],'Registre_Maintenance'!B:B,'Registre_Maintenance'!C:C,"Pas de correspondance")</f>
        <v>Pas de correspondance</v>
      </c>
      <c r="E1001" s="3">
        <v>0.66597222222222219</v>
      </c>
      <c r="F1001" s="1" t="s">
        <v>1464</v>
      </c>
      <c r="G1001" s="3">
        <f>Logs[[#This Row],[Duree_Panne_Min]]/1440</f>
        <v>6.25E-2</v>
      </c>
      <c r="H1001">
        <v>90</v>
      </c>
      <c r="I1001" t="str">
        <f>_xlfn.XLOOKUP(Logs[[#This Row],[Cell_ID]],'Registre_Maintenance'!B:B,'Registre_Maintenance'!D:D,"Pas de correspondance")</f>
        <v>Pas de correspondance</v>
      </c>
      <c r="J1001" t="str">
        <f>_xlfn.XLOOKUP(Logs[[#This Row],[Cell_ID]],'Registre_Maintenance'!B:B,'Registre_Maintenance'!E:E,"Pas de correspondance")</f>
        <v>Pas de correspondance</v>
      </c>
      <c r="K1001" t="str">
        <f>_xlfn.XLOOKUP(Logs[[#This Row],[Cell_ID]],'Registre_Maintenance'!B:B,'Registre_Maintenance'!F:F,"Pas de correspondance")</f>
        <v>Pas de correspondance</v>
      </c>
      <c r="L1001" t="str">
        <f>_xlfn.XLOOKUP(Logs[[#This Row],[Cell_ID]],'Registre_Maintenance'!B:B,'Registre_Maintenance'!G:G,"Pas de correspondance")</f>
        <v>Pas de correspondance</v>
      </c>
      <c r="M1001" s="1" t="s">
        <v>811</v>
      </c>
      <c r="N1001" s="1" t="str">
        <f>_xlfn.XLOOKUP(Logs[[#This Row],[ID_Client]],Clients_Log!B:B,Clients_Log!E:E,"Pas de correspondance")</f>
        <v>Pas de correspondance</v>
      </c>
      <c r="O1001" s="4" t="str">
        <f>IFERROR(Logs[[#This Row],[Anciennete_Mois]]/12,"")</f>
        <v/>
      </c>
      <c r="P1001" s="1" t="str">
        <f>_xlfn.XLOOKUP(Logs[[#This Row],[ID_Client]],Clients_Log!B:B,Clients_Log!F:F,"Pas de correspondance")</f>
        <v>Pas de correspondance</v>
      </c>
      <c r="Q1001" s="1" t="str">
        <f>IF(Logs[[#This Row],[Type_Forfait]]="Pro Monde","B2B","B2C")</f>
        <v>B2C</v>
      </c>
      <c r="R1001" s="1" t="str">
        <f>_xlfn.XLOOKUP(Logs[[#This Row],[ID_Client]],Clients_Log!B:B,Clients_Log!G:G,"Pas de correspondance")</f>
        <v>Pas de correspondance</v>
      </c>
      <c r="S1001" s="1" t="e">
        <f>Logs[[#This Row],[Duree_Cumulee_Panne_Min]]/1440</f>
        <v>#VALUE!</v>
      </c>
      <c r="T1001" s="1" t="str">
        <f>_xlfn.XLOOKUP(Logs[[#This Row],[ID_Client]],Clients_Log!B:B,Clients_Log!H:H,"Pas de correspondance")</f>
        <v>Pas de correspondance</v>
      </c>
      <c r="U1001" s="1" t="str">
        <f>_xlfn.XLOOKUP(Logs[[#This Row],[ID_Client]],Clients_Log!B:B,Clients_Log!I:I,"Pas de correspondance")</f>
        <v>Pas de correspondance</v>
      </c>
      <c r="V100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01" s="1" t="e">
        <f>Logs[[#This Row],[Facture_Mensuelle]]*Logs[[#This Row],[Remise (%)]]</f>
        <v>#VALUE!</v>
      </c>
    </row>
    <row r="1002" spans="1:23" hidden="1" x14ac:dyDescent="0.25">
      <c r="A1002" s="1" t="s">
        <v>1459</v>
      </c>
      <c r="B1002" s="2">
        <v>45218</v>
      </c>
      <c r="C1002" s="1" t="str">
        <f>_xlfn.XLOOKUP(Logs[[#This Row],[Province_RDC]],Clients_Log!D:D,Clients_Log!B:B,"Pas de correspondance")</f>
        <v>Pas de correspondance</v>
      </c>
      <c r="D1002" t="str">
        <f>_xlfn.XLOOKUP(Logs[[#This Row],[Cell_ID]],'Registre_Maintenance'!B:B,'Registre_Maintenance'!C:C,"Pas de correspondance")</f>
        <v>Pas de correspondance</v>
      </c>
      <c r="E1002" s="3">
        <v>0.24027777777777778</v>
      </c>
      <c r="F1002" s="1" t="s">
        <v>941</v>
      </c>
      <c r="G1002" s="3">
        <f>Logs[[#This Row],[Duree_Panne_Min]]/1440</f>
        <v>3.6805555555555557E-2</v>
      </c>
      <c r="H1002">
        <v>53</v>
      </c>
      <c r="I1002" t="str">
        <f>_xlfn.XLOOKUP(Logs[[#This Row],[Cell_ID]],'Registre_Maintenance'!B:B,'Registre_Maintenance'!D:D,"Pas de correspondance")</f>
        <v>Pas de correspondance</v>
      </c>
      <c r="J1002" t="str">
        <f>_xlfn.XLOOKUP(Logs[[#This Row],[Cell_ID]],'Registre_Maintenance'!B:B,'Registre_Maintenance'!E:E,"Pas de correspondance")</f>
        <v>Pas de correspondance</v>
      </c>
      <c r="K1002" t="str">
        <f>_xlfn.XLOOKUP(Logs[[#This Row],[Cell_ID]],'Registre_Maintenance'!B:B,'Registre_Maintenance'!F:F,"Pas de correspondance")</f>
        <v>Pas de correspondance</v>
      </c>
      <c r="L1002" t="str">
        <f>_xlfn.XLOOKUP(Logs[[#This Row],[Cell_ID]],'Registre_Maintenance'!B:B,'Registre_Maintenance'!G:G,"Pas de correspondance")</f>
        <v>Pas de correspondance</v>
      </c>
      <c r="M1002" s="1" t="s">
        <v>811</v>
      </c>
      <c r="N1002" s="1" t="str">
        <f>_xlfn.XLOOKUP(Logs[[#This Row],[ID_Client]],Clients_Log!B:B,Clients_Log!E:E,"Pas de correspondance")</f>
        <v>Pas de correspondance</v>
      </c>
      <c r="O1002" s="4" t="str">
        <f>IFERROR(Logs[[#This Row],[Anciennete_Mois]]/12,"")</f>
        <v/>
      </c>
      <c r="P1002" s="1" t="str">
        <f>_xlfn.XLOOKUP(Logs[[#This Row],[ID_Client]],Clients_Log!B:B,Clients_Log!F:F,"Pas de correspondance")</f>
        <v>Pas de correspondance</v>
      </c>
      <c r="Q1002" s="1" t="str">
        <f>IF(Logs[[#This Row],[Type_Forfait]]="Pro Monde","B2B","B2C")</f>
        <v>B2C</v>
      </c>
      <c r="R1002" s="1" t="str">
        <f>_xlfn.XLOOKUP(Logs[[#This Row],[ID_Client]],Clients_Log!B:B,Clients_Log!G:G,"Pas de correspondance")</f>
        <v>Pas de correspondance</v>
      </c>
      <c r="S1002" s="1" t="e">
        <f>Logs[[#This Row],[Duree_Cumulee_Panne_Min]]/1440</f>
        <v>#VALUE!</v>
      </c>
      <c r="T1002" s="1" t="str">
        <f>_xlfn.XLOOKUP(Logs[[#This Row],[ID_Client]],Clients_Log!B:B,Clients_Log!H:H,"Pas de correspondance")</f>
        <v>Pas de correspondance</v>
      </c>
      <c r="U1002" s="1" t="str">
        <f>_xlfn.XLOOKUP(Logs[[#This Row],[ID_Client]],Clients_Log!B:B,Clients_Log!I:I,"Pas de correspondance")</f>
        <v>Pas de correspondance</v>
      </c>
      <c r="V100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02" s="1" t="e">
        <f>Logs[[#This Row],[Facture_Mensuelle]]*Logs[[#This Row],[Remise (%)]]</f>
        <v>#VALUE!</v>
      </c>
    </row>
    <row r="1003" spans="1:23" x14ac:dyDescent="0.25">
      <c r="A1003" s="1" t="s">
        <v>1459</v>
      </c>
      <c r="B1003" s="2">
        <v>45226</v>
      </c>
      <c r="C1003" s="1" t="str">
        <f>_xlfn.XLOOKUP(Logs[[#This Row],[Province_RDC]],Clients_Log!D:D,Clients_Log!B:B,"Pas de correspondance")</f>
        <v>CLI-00894</v>
      </c>
      <c r="D1003" t="str">
        <f>_xlfn.XLOOKUP(Logs[[#This Row],[Cell_ID]],'Registre_Maintenance'!B:B,'Registre_Maintenance'!C:C,"Pas de correspondance")</f>
        <v>Tshuapa</v>
      </c>
      <c r="E1003" s="3">
        <v>0.17083333333333334</v>
      </c>
      <c r="F1003" s="1" t="s">
        <v>856</v>
      </c>
      <c r="G1003" s="3">
        <f>Logs[[#This Row],[Duree_Panne_Min]]/1440</f>
        <v>3.7499999999999999E-2</v>
      </c>
      <c r="H1003">
        <v>54</v>
      </c>
      <c r="I1003">
        <f>_xlfn.XLOOKUP(Logs[[#This Row],[Cell_ID]],'Registre_Maintenance'!B:B,'Registre_Maintenance'!D:D,"Pas de correspondance")</f>
        <v>-5.1030600000000002</v>
      </c>
      <c r="J1003">
        <f>_xlfn.XLOOKUP(Logs[[#This Row],[Cell_ID]],'Registre_Maintenance'!B:B,'Registre_Maintenance'!E:E,"Pas de correspondance")</f>
        <v>22.849231</v>
      </c>
      <c r="K1003" t="str">
        <f>_xlfn.XLOOKUP(Logs[[#This Row],[Cell_ID]],'Registre_Maintenance'!B:B,'Registre_Maintenance'!F:F,"Pas de correspondance")</f>
        <v>5G</v>
      </c>
      <c r="L1003" t="str">
        <f>_xlfn.XLOOKUP(Logs[[#This Row],[Cell_ID]],'Registre_Maintenance'!B:B,'Registre_Maintenance'!G:G,"Pas de correspondance")</f>
        <v>ZTE</v>
      </c>
      <c r="M1003" s="1" t="s">
        <v>806</v>
      </c>
      <c r="N1003" s="1">
        <f>_xlfn.XLOOKUP(Logs[[#This Row],[ID_Client]],Clients_Log!B:B,Clients_Log!E:E,"Pas de correspondance")</f>
        <v>63</v>
      </c>
      <c r="O1003" s="4">
        <f>IFERROR(Logs[[#This Row],[Anciennete_Mois]]/12,"")</f>
        <v>5.25</v>
      </c>
      <c r="P1003" s="1" t="str">
        <f>_xlfn.XLOOKUP(Logs[[#This Row],[ID_Client]],Clients_Log!B:B,Clients_Log!F:F,"Pas de correspondance")</f>
        <v>Pro Monde</v>
      </c>
      <c r="Q1003" s="1" t="str">
        <f>IF(Logs[[#This Row],[Type_Forfait]]="Pro Monde","B2B","B2C")</f>
        <v>B2B</v>
      </c>
      <c r="R1003" s="1">
        <f>_xlfn.XLOOKUP(Logs[[#This Row],[ID_Client]],Clients_Log!B:B,Clients_Log!G:G,"Pas de correspondance")</f>
        <v>205</v>
      </c>
      <c r="S1003" s="3">
        <f>Logs[[#This Row],[Duree_Cumulee_Panne_Min]]/1440</f>
        <v>0.1423611111111111</v>
      </c>
      <c r="T1003" s="1">
        <f>_xlfn.XLOOKUP(Logs[[#This Row],[ID_Client]],Clients_Log!B:B,Clients_Log!H:H,"Pas de correspondance")</f>
        <v>89.19</v>
      </c>
      <c r="U1003" s="1">
        <f>_xlfn.XLOOKUP(Logs[[#This Row],[ID_Client]],Clients_Log!B:B,Clients_Log!I:I,"Pas de correspondance")</f>
        <v>0</v>
      </c>
      <c r="V1003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0.1</v>
      </c>
      <c r="W1003" s="1">
        <f>Logs[[#This Row],[Facture_Mensuelle]]*Logs[[#This Row],[Remise (%)]]</f>
        <v>8.9190000000000005</v>
      </c>
    </row>
    <row r="1004" spans="1:23" x14ac:dyDescent="0.25">
      <c r="A1004" s="1" t="s">
        <v>1459</v>
      </c>
      <c r="B1004" s="2">
        <v>45212</v>
      </c>
      <c r="C1004" s="1" t="str">
        <f>_xlfn.XLOOKUP(Logs[[#This Row],[Province_RDC]],Clients_Log!D:D,Clients_Log!B:B,"Pas de correspondance")</f>
        <v>CLI-00569</v>
      </c>
      <c r="D1004" t="str">
        <f>_xlfn.XLOOKUP(Logs[[#This Row],[Cell_ID]],'Registre_Maintenance'!B:B,'Registre_Maintenance'!C:C,"Pas de correspondance")</f>
        <v>Kwango</v>
      </c>
      <c r="E1004" s="3">
        <v>0.90138888888888891</v>
      </c>
      <c r="F1004" s="1" t="s">
        <v>870</v>
      </c>
      <c r="G1004" s="3">
        <f>Logs[[#This Row],[Duree_Panne_Min]]/1440</f>
        <v>4.027777777777778E-2</v>
      </c>
      <c r="H1004">
        <v>58</v>
      </c>
      <c r="I1004">
        <f>_xlfn.XLOOKUP(Logs[[#This Row],[Cell_ID]],'Registre_Maintenance'!B:B,'Registre_Maintenance'!D:D,"Pas de correspondance")</f>
        <v>-10.963041</v>
      </c>
      <c r="J1004">
        <f>_xlfn.XLOOKUP(Logs[[#This Row],[Cell_ID]],'Registre_Maintenance'!B:B,'Registre_Maintenance'!E:E,"Pas de correspondance")</f>
        <v>12.269857</v>
      </c>
      <c r="K1004" t="str">
        <f>_xlfn.XLOOKUP(Logs[[#This Row],[Cell_ID]],'Registre_Maintenance'!B:B,'Registre_Maintenance'!F:F,"Pas de correspondance")</f>
        <v>4G</v>
      </c>
      <c r="L1004" t="str">
        <f>_xlfn.XLOOKUP(Logs[[#This Row],[Cell_ID]],'Registre_Maintenance'!B:B,'Registre_Maintenance'!G:G,"Pas de correspondance")</f>
        <v>Huawei</v>
      </c>
      <c r="M1004" s="1" t="s">
        <v>806</v>
      </c>
      <c r="N1004" s="1">
        <f>_xlfn.XLOOKUP(Logs[[#This Row],[ID_Client]],Clients_Log!B:B,Clients_Log!E:E,"Pas de correspondance")</f>
        <v>110</v>
      </c>
      <c r="O1004" s="4">
        <f>IFERROR(Logs[[#This Row],[Anciennete_Mois]]/12,"")</f>
        <v>9.1666666666666661</v>
      </c>
      <c r="P1004" s="1" t="str">
        <f>_xlfn.XLOOKUP(Logs[[#This Row],[ID_Client]],Clients_Log!B:B,Clients_Log!F:F,"Pas de correspondance")</f>
        <v>Pro Monde</v>
      </c>
      <c r="Q1004" s="1" t="str">
        <f>IF(Logs[[#This Row],[Type_Forfait]]="Pro Monde","B2B","B2C")</f>
        <v>B2B</v>
      </c>
      <c r="R1004" s="1">
        <f>_xlfn.XLOOKUP(Logs[[#This Row],[ID_Client]],Clients_Log!B:B,Clients_Log!G:G,"Pas de correspondance")</f>
        <v>423</v>
      </c>
      <c r="S1004" s="3">
        <f>Logs[[#This Row],[Duree_Cumulee_Panne_Min]]/1440</f>
        <v>0.29375000000000001</v>
      </c>
      <c r="T1004" s="1">
        <f>_xlfn.XLOOKUP(Logs[[#This Row],[ID_Client]],Clients_Log!B:B,Clients_Log!H:H,"Pas de correspondance")</f>
        <v>37.35</v>
      </c>
      <c r="U1004" s="1">
        <f>_xlfn.XLOOKUP(Logs[[#This Row],[ID_Client]],Clients_Log!B:B,Clients_Log!I:I,"Pas de correspondance")</f>
        <v>4</v>
      </c>
      <c r="V100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04" s="1">
        <f>Logs[[#This Row],[Facture_Mensuelle]]*Logs[[#This Row],[Remise (%)]]</f>
        <v>16.807500000000001</v>
      </c>
    </row>
    <row r="1005" spans="1:23" x14ac:dyDescent="0.25">
      <c r="A1005" s="1" t="s">
        <v>1459</v>
      </c>
      <c r="B1005" s="2">
        <v>45219</v>
      </c>
      <c r="C1005" s="1" t="str">
        <f>_xlfn.XLOOKUP(Logs[[#This Row],[Province_RDC]],Clients_Log!D:D,Clients_Log!B:B,"Pas de correspondance")</f>
        <v>CLI-00280</v>
      </c>
      <c r="D1005" t="str">
        <f>_xlfn.XLOOKUP(Logs[[#This Row],[Cell_ID]],'Registre_Maintenance'!B:B,'Registre_Maintenance'!C:C,"Pas de correspondance")</f>
        <v>Sud-Ubangi</v>
      </c>
      <c r="E1005" s="3">
        <v>0.43888888888888888</v>
      </c>
      <c r="F1005" s="1" t="s">
        <v>1466</v>
      </c>
      <c r="G1005" s="3">
        <f>Logs[[#This Row],[Duree_Panne_Min]]/1440</f>
        <v>7.2916666666666671E-2</v>
      </c>
      <c r="H1005">
        <v>105</v>
      </c>
      <c r="I1005">
        <f>_xlfn.XLOOKUP(Logs[[#This Row],[Cell_ID]],'Registre_Maintenance'!B:B,'Registre_Maintenance'!D:D,"Pas de correspondance")</f>
        <v>-0.54908599999999996</v>
      </c>
      <c r="J1005">
        <f>_xlfn.XLOOKUP(Logs[[#This Row],[Cell_ID]],'Registre_Maintenance'!B:B,'Registre_Maintenance'!E:E,"Pas de correspondance")</f>
        <v>14.816867</v>
      </c>
      <c r="K1005" t="str">
        <f>_xlfn.XLOOKUP(Logs[[#This Row],[Cell_ID]],'Registre_Maintenance'!B:B,'Registre_Maintenance'!F:F,"Pas de correspondance")</f>
        <v>5G</v>
      </c>
      <c r="L1005" t="str">
        <f>_xlfn.XLOOKUP(Logs[[#This Row],[Cell_ID]],'Registre_Maintenance'!B:B,'Registre_Maintenance'!G:G,"Pas de correspondance")</f>
        <v>ZTE</v>
      </c>
      <c r="M1005" s="1" t="s">
        <v>809</v>
      </c>
      <c r="N1005" s="1">
        <f>_xlfn.XLOOKUP(Logs[[#This Row],[ID_Client]],Clients_Log!B:B,Clients_Log!E:E,"Pas de correspondance")</f>
        <v>113</v>
      </c>
      <c r="O1005" s="4">
        <f>IFERROR(Logs[[#This Row],[Anciennete_Mois]]/12,"")</f>
        <v>9.4166666666666661</v>
      </c>
      <c r="P1005" s="1" t="str">
        <f>_xlfn.XLOOKUP(Logs[[#This Row],[ID_Client]],Clients_Log!B:B,Clients_Log!F:F,"Pas de correspondance")</f>
        <v>Illimité 50Go</v>
      </c>
      <c r="Q1005" s="1" t="str">
        <f>IF(Logs[[#This Row],[Type_Forfait]]="Pro Monde","B2B","B2C")</f>
        <v>B2C</v>
      </c>
      <c r="R1005" s="1">
        <f>_xlfn.XLOOKUP(Logs[[#This Row],[ID_Client]],Clients_Log!B:B,Clients_Log!G:G,"Pas de correspondance")</f>
        <v>380</v>
      </c>
      <c r="S1005" s="3">
        <f>Logs[[#This Row],[Duree_Cumulee_Panne_Min]]/1440</f>
        <v>0.2638888888888889</v>
      </c>
      <c r="T1005" s="1">
        <f>_xlfn.XLOOKUP(Logs[[#This Row],[ID_Client]],Clients_Log!B:B,Clients_Log!H:H,"Pas de correspondance")</f>
        <v>12.11</v>
      </c>
      <c r="U1005" s="1">
        <f>_xlfn.XLOOKUP(Logs[[#This Row],[ID_Client]],Clients_Log!B:B,Clients_Log!I:I,"Pas de correspondance")</f>
        <v>0</v>
      </c>
      <c r="V100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05" s="1">
        <f>Logs[[#This Row],[Facture_Mensuelle]]*Logs[[#This Row],[Remise (%)]]</f>
        <v>5.4494999999999996</v>
      </c>
    </row>
    <row r="1006" spans="1:23" hidden="1" x14ac:dyDescent="0.25">
      <c r="A1006" s="1" t="s">
        <v>1459</v>
      </c>
      <c r="B1006" s="2">
        <v>45228</v>
      </c>
      <c r="C1006" s="1" t="str">
        <f>_xlfn.XLOOKUP(Logs[[#This Row],[Province_RDC]],Clients_Log!D:D,Clients_Log!B:B,"Pas de correspondance")</f>
        <v>Pas de correspondance</v>
      </c>
      <c r="D1006" t="str">
        <f>_xlfn.XLOOKUP(Logs[[#This Row],[Cell_ID]],'Registre_Maintenance'!B:B,'Registre_Maintenance'!C:C,"Pas de correspondance")</f>
        <v>Pas de correspondance</v>
      </c>
      <c r="E1006" s="3">
        <v>0.5180555555555556</v>
      </c>
      <c r="F1006" s="1" t="s">
        <v>1408</v>
      </c>
      <c r="G1006" s="3">
        <f>Logs[[#This Row],[Duree_Panne_Min]]/1440</f>
        <v>6.3888888888888884E-2</v>
      </c>
      <c r="H1006">
        <v>92</v>
      </c>
      <c r="I1006" t="str">
        <f>_xlfn.XLOOKUP(Logs[[#This Row],[Cell_ID]],'Registre_Maintenance'!B:B,'Registre_Maintenance'!D:D,"Pas de correspondance")</f>
        <v>Pas de correspondance</v>
      </c>
      <c r="J1006" t="str">
        <f>_xlfn.XLOOKUP(Logs[[#This Row],[Cell_ID]],'Registre_Maintenance'!B:B,'Registre_Maintenance'!E:E,"Pas de correspondance")</f>
        <v>Pas de correspondance</v>
      </c>
      <c r="K1006" t="str">
        <f>_xlfn.XLOOKUP(Logs[[#This Row],[Cell_ID]],'Registre_Maintenance'!B:B,'Registre_Maintenance'!F:F,"Pas de correspondance")</f>
        <v>Pas de correspondance</v>
      </c>
      <c r="L1006" t="str">
        <f>_xlfn.XLOOKUP(Logs[[#This Row],[Cell_ID]],'Registre_Maintenance'!B:B,'Registre_Maintenance'!G:G,"Pas de correspondance")</f>
        <v>Pas de correspondance</v>
      </c>
      <c r="M1006" s="1" t="s">
        <v>811</v>
      </c>
      <c r="N1006" s="1" t="str">
        <f>_xlfn.XLOOKUP(Logs[[#This Row],[ID_Client]],Clients_Log!B:B,Clients_Log!E:E,"Pas de correspondance")</f>
        <v>Pas de correspondance</v>
      </c>
      <c r="O1006" s="4" t="str">
        <f>IFERROR(Logs[[#This Row],[Anciennete_Mois]]/12,"")</f>
        <v/>
      </c>
      <c r="P1006" s="1" t="str">
        <f>_xlfn.XLOOKUP(Logs[[#This Row],[ID_Client]],Clients_Log!B:B,Clients_Log!F:F,"Pas de correspondance")</f>
        <v>Pas de correspondance</v>
      </c>
      <c r="Q1006" s="1" t="str">
        <f>IF(Logs[[#This Row],[Type_Forfait]]="Pro Monde","B2B","B2C")</f>
        <v>B2C</v>
      </c>
      <c r="R1006" s="1" t="str">
        <f>_xlfn.XLOOKUP(Logs[[#This Row],[ID_Client]],Clients_Log!B:B,Clients_Log!G:G,"Pas de correspondance")</f>
        <v>Pas de correspondance</v>
      </c>
      <c r="S1006" s="1" t="e">
        <f>Logs[[#This Row],[Duree_Cumulee_Panne_Min]]/1440</f>
        <v>#VALUE!</v>
      </c>
      <c r="T1006" s="1" t="str">
        <f>_xlfn.XLOOKUP(Logs[[#This Row],[ID_Client]],Clients_Log!B:B,Clients_Log!H:H,"Pas de correspondance")</f>
        <v>Pas de correspondance</v>
      </c>
      <c r="U1006" s="1" t="str">
        <f>_xlfn.XLOOKUP(Logs[[#This Row],[ID_Client]],Clients_Log!B:B,Clients_Log!I:I,"Pas de correspondance")</f>
        <v>Pas de correspondance</v>
      </c>
      <c r="V100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06" s="1" t="e">
        <f>Logs[[#This Row],[Facture_Mensuelle]]*Logs[[#This Row],[Remise (%)]]</f>
        <v>#VALUE!</v>
      </c>
    </row>
    <row r="1007" spans="1:23" hidden="1" x14ac:dyDescent="0.25">
      <c r="A1007" s="1" t="s">
        <v>1459</v>
      </c>
      <c r="B1007" s="2">
        <v>45219</v>
      </c>
      <c r="C1007" s="1" t="str">
        <f>_xlfn.XLOOKUP(Logs[[#This Row],[Province_RDC]],Clients_Log!D:D,Clients_Log!B:B,"Pas de correspondance")</f>
        <v>Pas de correspondance</v>
      </c>
      <c r="D1007" t="str">
        <f>_xlfn.XLOOKUP(Logs[[#This Row],[Cell_ID]],'Registre_Maintenance'!B:B,'Registre_Maintenance'!C:C,"Pas de correspondance")</f>
        <v>Pas de correspondance</v>
      </c>
      <c r="E1007" s="3">
        <v>0.95</v>
      </c>
      <c r="F1007" s="1" t="s">
        <v>861</v>
      </c>
      <c r="G1007" s="3">
        <f>Logs[[#This Row],[Duree_Panne_Min]]/1440</f>
        <v>3.125E-2</v>
      </c>
      <c r="H1007">
        <v>45</v>
      </c>
      <c r="I1007" t="str">
        <f>_xlfn.XLOOKUP(Logs[[#This Row],[Cell_ID]],'Registre_Maintenance'!B:B,'Registre_Maintenance'!D:D,"Pas de correspondance")</f>
        <v>Pas de correspondance</v>
      </c>
      <c r="J1007" t="str">
        <f>_xlfn.XLOOKUP(Logs[[#This Row],[Cell_ID]],'Registre_Maintenance'!B:B,'Registre_Maintenance'!E:E,"Pas de correspondance")</f>
        <v>Pas de correspondance</v>
      </c>
      <c r="K1007" t="str">
        <f>_xlfn.XLOOKUP(Logs[[#This Row],[Cell_ID]],'Registre_Maintenance'!B:B,'Registre_Maintenance'!F:F,"Pas de correspondance")</f>
        <v>Pas de correspondance</v>
      </c>
      <c r="L1007" t="str">
        <f>_xlfn.XLOOKUP(Logs[[#This Row],[Cell_ID]],'Registre_Maintenance'!B:B,'Registre_Maintenance'!G:G,"Pas de correspondance")</f>
        <v>Pas de correspondance</v>
      </c>
      <c r="M1007" s="1" t="s">
        <v>811</v>
      </c>
      <c r="N1007" s="1" t="str">
        <f>_xlfn.XLOOKUP(Logs[[#This Row],[ID_Client]],Clients_Log!B:B,Clients_Log!E:E,"Pas de correspondance")</f>
        <v>Pas de correspondance</v>
      </c>
      <c r="O1007" s="4" t="str">
        <f>IFERROR(Logs[[#This Row],[Anciennete_Mois]]/12,"")</f>
        <v/>
      </c>
      <c r="P1007" s="1" t="str">
        <f>_xlfn.XLOOKUP(Logs[[#This Row],[ID_Client]],Clients_Log!B:B,Clients_Log!F:F,"Pas de correspondance")</f>
        <v>Pas de correspondance</v>
      </c>
      <c r="Q1007" s="1" t="str">
        <f>IF(Logs[[#This Row],[Type_Forfait]]="Pro Monde","B2B","B2C")</f>
        <v>B2C</v>
      </c>
      <c r="R1007" s="1" t="str">
        <f>_xlfn.XLOOKUP(Logs[[#This Row],[ID_Client]],Clients_Log!B:B,Clients_Log!G:G,"Pas de correspondance")</f>
        <v>Pas de correspondance</v>
      </c>
      <c r="S1007" s="1" t="e">
        <f>Logs[[#This Row],[Duree_Cumulee_Panne_Min]]/1440</f>
        <v>#VALUE!</v>
      </c>
      <c r="T1007" s="1" t="str">
        <f>_xlfn.XLOOKUP(Logs[[#This Row],[ID_Client]],Clients_Log!B:B,Clients_Log!H:H,"Pas de correspondance")</f>
        <v>Pas de correspondance</v>
      </c>
      <c r="U1007" s="1" t="str">
        <f>_xlfn.XLOOKUP(Logs[[#This Row],[ID_Client]],Clients_Log!B:B,Clients_Log!I:I,"Pas de correspondance")</f>
        <v>Pas de correspondance</v>
      </c>
      <c r="V100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07" s="1" t="e">
        <f>Logs[[#This Row],[Facture_Mensuelle]]*Logs[[#This Row],[Remise (%)]]</f>
        <v>#VALUE!</v>
      </c>
    </row>
    <row r="1008" spans="1:23" hidden="1" x14ac:dyDescent="0.25">
      <c r="A1008" s="1" t="s">
        <v>1459</v>
      </c>
      <c r="B1008" s="2">
        <v>45207</v>
      </c>
      <c r="C1008" s="1" t="str">
        <f>_xlfn.XLOOKUP(Logs[[#This Row],[Province_RDC]],Clients_Log!D:D,Clients_Log!B:B,"Pas de correspondance")</f>
        <v>Pas de correspondance</v>
      </c>
      <c r="D1008" t="str">
        <f>_xlfn.XLOOKUP(Logs[[#This Row],[Cell_ID]],'Registre_Maintenance'!B:B,'Registre_Maintenance'!C:C,"Pas de correspondance")</f>
        <v>Pas de correspondance</v>
      </c>
      <c r="E1008" s="3">
        <v>0.35069444444444442</v>
      </c>
      <c r="F1008" s="1" t="s">
        <v>1467</v>
      </c>
      <c r="G1008" s="3">
        <f>Logs[[#This Row],[Duree_Panne_Min]]/1440</f>
        <v>5.2083333333333336E-2</v>
      </c>
      <c r="H1008">
        <v>75</v>
      </c>
      <c r="I1008" t="str">
        <f>_xlfn.XLOOKUP(Logs[[#This Row],[Cell_ID]],'Registre_Maintenance'!B:B,'Registre_Maintenance'!D:D,"Pas de correspondance")</f>
        <v>Pas de correspondance</v>
      </c>
      <c r="J1008" t="str">
        <f>_xlfn.XLOOKUP(Logs[[#This Row],[Cell_ID]],'Registre_Maintenance'!B:B,'Registre_Maintenance'!E:E,"Pas de correspondance")</f>
        <v>Pas de correspondance</v>
      </c>
      <c r="K1008" t="str">
        <f>_xlfn.XLOOKUP(Logs[[#This Row],[Cell_ID]],'Registre_Maintenance'!B:B,'Registre_Maintenance'!F:F,"Pas de correspondance")</f>
        <v>Pas de correspondance</v>
      </c>
      <c r="L1008" t="str">
        <f>_xlfn.XLOOKUP(Logs[[#This Row],[Cell_ID]],'Registre_Maintenance'!B:B,'Registre_Maintenance'!G:G,"Pas de correspondance")</f>
        <v>Pas de correspondance</v>
      </c>
      <c r="M1008" s="1" t="s">
        <v>811</v>
      </c>
      <c r="N1008" s="1" t="str">
        <f>_xlfn.XLOOKUP(Logs[[#This Row],[ID_Client]],Clients_Log!B:B,Clients_Log!E:E,"Pas de correspondance")</f>
        <v>Pas de correspondance</v>
      </c>
      <c r="O1008" s="4" t="str">
        <f>IFERROR(Logs[[#This Row],[Anciennete_Mois]]/12,"")</f>
        <v/>
      </c>
      <c r="P1008" s="1" t="str">
        <f>_xlfn.XLOOKUP(Logs[[#This Row],[ID_Client]],Clients_Log!B:B,Clients_Log!F:F,"Pas de correspondance")</f>
        <v>Pas de correspondance</v>
      </c>
      <c r="Q1008" s="1" t="str">
        <f>IF(Logs[[#This Row],[Type_Forfait]]="Pro Monde","B2B","B2C")</f>
        <v>B2C</v>
      </c>
      <c r="R1008" s="1" t="str">
        <f>_xlfn.XLOOKUP(Logs[[#This Row],[ID_Client]],Clients_Log!B:B,Clients_Log!G:G,"Pas de correspondance")</f>
        <v>Pas de correspondance</v>
      </c>
      <c r="S1008" s="1" t="e">
        <f>Logs[[#This Row],[Duree_Cumulee_Panne_Min]]/1440</f>
        <v>#VALUE!</v>
      </c>
      <c r="T1008" s="1" t="str">
        <f>_xlfn.XLOOKUP(Logs[[#This Row],[ID_Client]],Clients_Log!B:B,Clients_Log!H:H,"Pas de correspondance")</f>
        <v>Pas de correspondance</v>
      </c>
      <c r="U1008" s="1" t="str">
        <f>_xlfn.XLOOKUP(Logs[[#This Row],[ID_Client]],Clients_Log!B:B,Clients_Log!I:I,"Pas de correspondance")</f>
        <v>Pas de correspondance</v>
      </c>
      <c r="V100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08" s="1" t="e">
        <f>Logs[[#This Row],[Facture_Mensuelle]]*Logs[[#This Row],[Remise (%)]]</f>
        <v>#VALUE!</v>
      </c>
    </row>
    <row r="1009" spans="1:23" x14ac:dyDescent="0.25">
      <c r="A1009" s="1" t="s">
        <v>1459</v>
      </c>
      <c r="B1009" s="2">
        <v>45230</v>
      </c>
      <c r="C1009" s="1" t="str">
        <f>_xlfn.XLOOKUP(Logs[[#This Row],[Province_RDC]],Clients_Log!D:D,Clients_Log!B:B,"Pas de correspondance")</f>
        <v>CLI-00414</v>
      </c>
      <c r="D1009" t="str">
        <f>_xlfn.XLOOKUP(Logs[[#This Row],[Cell_ID]],'Registre_Maintenance'!B:B,'Registre_Maintenance'!C:C,"Pas de correspondance")</f>
        <v>Bas-Uele</v>
      </c>
      <c r="E1009" s="3">
        <v>0.42916666666666664</v>
      </c>
      <c r="F1009" s="1" t="s">
        <v>1199</v>
      </c>
      <c r="G1009" s="3">
        <f>Logs[[#This Row],[Duree_Panne_Min]]/1440</f>
        <v>7.6388888888888886E-3</v>
      </c>
      <c r="H1009">
        <v>11</v>
      </c>
      <c r="I1009">
        <f>_xlfn.XLOOKUP(Logs[[#This Row],[Cell_ID]],'Registre_Maintenance'!B:B,'Registre_Maintenance'!D:D,"Pas de correspondance")</f>
        <v>-2.8532869999999999</v>
      </c>
      <c r="J1009">
        <f>_xlfn.XLOOKUP(Logs[[#This Row],[Cell_ID]],'Registre_Maintenance'!B:B,'Registre_Maintenance'!E:E,"Pas de correspondance")</f>
        <v>22.117896000000002</v>
      </c>
      <c r="K1009" t="str">
        <f>_xlfn.XLOOKUP(Logs[[#This Row],[Cell_ID]],'Registre_Maintenance'!B:B,'Registre_Maintenance'!F:F,"Pas de correspondance")</f>
        <v>5G</v>
      </c>
      <c r="L1009" t="str">
        <f>_xlfn.XLOOKUP(Logs[[#This Row],[Cell_ID]],'Registre_Maintenance'!B:B,'Registre_Maintenance'!G:G,"Pas de correspondance")</f>
        <v>Huawei</v>
      </c>
      <c r="M1009" s="1" t="s">
        <v>811</v>
      </c>
      <c r="N1009" s="1">
        <f>_xlfn.XLOOKUP(Logs[[#This Row],[ID_Client]],Clients_Log!B:B,Clients_Log!E:E,"Pas de correspondance")</f>
        <v>99</v>
      </c>
      <c r="O1009" s="4">
        <f>IFERROR(Logs[[#This Row],[Anciennete_Mois]]/12,"")</f>
        <v>8.25</v>
      </c>
      <c r="P1009" s="1" t="str">
        <f>_xlfn.XLOOKUP(Logs[[#This Row],[ID_Client]],Clients_Log!B:B,Clients_Log!F:F,"Pas de correspondance")</f>
        <v>Premium 5G 150Go</v>
      </c>
      <c r="Q1009" s="1" t="str">
        <f>IF(Logs[[#This Row],[Type_Forfait]]="Pro Monde","B2B","B2C")</f>
        <v>B2C</v>
      </c>
      <c r="R1009" s="1">
        <f>_xlfn.XLOOKUP(Logs[[#This Row],[ID_Client]],Clients_Log!B:B,Clients_Log!G:G,"Pas de correspondance")</f>
        <v>447</v>
      </c>
      <c r="S1009" s="3">
        <f>Logs[[#This Row],[Duree_Cumulee_Panne_Min]]/1440</f>
        <v>0.31041666666666667</v>
      </c>
      <c r="T1009" s="1">
        <f>_xlfn.XLOOKUP(Logs[[#This Row],[ID_Client]],Clients_Log!B:B,Clients_Log!H:H,"Pas de correspondance")</f>
        <v>38.1</v>
      </c>
      <c r="U1009" s="1">
        <f>_xlfn.XLOOKUP(Logs[[#This Row],[ID_Client]],Clients_Log!B:B,Clients_Log!I:I,"Pas de correspondance")</f>
        <v>3</v>
      </c>
      <c r="V100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09" s="1">
        <f>Logs[[#This Row],[Facture_Mensuelle]]*Logs[[#This Row],[Remise (%)]]</f>
        <v>17.145</v>
      </c>
    </row>
    <row r="1010" spans="1:23" x14ac:dyDescent="0.25">
      <c r="A1010" s="1" t="s">
        <v>1459</v>
      </c>
      <c r="B1010" s="2">
        <v>45214</v>
      </c>
      <c r="C1010" s="1" t="str">
        <f>_xlfn.XLOOKUP(Logs[[#This Row],[Province_RDC]],Clients_Log!D:D,Clients_Log!B:B,"Pas de correspondance")</f>
        <v>CLI-00414</v>
      </c>
      <c r="D1010" t="str">
        <f>_xlfn.XLOOKUP(Logs[[#This Row],[Cell_ID]],'Registre_Maintenance'!B:B,'Registre_Maintenance'!C:C,"Pas de correspondance")</f>
        <v>Bas-Uele</v>
      </c>
      <c r="E1010" s="3">
        <v>0.17222222222222222</v>
      </c>
      <c r="F1010" s="1" t="s">
        <v>975</v>
      </c>
      <c r="G1010" s="3">
        <f>Logs[[#This Row],[Duree_Panne_Min]]/1440</f>
        <v>4.1666666666666666E-3</v>
      </c>
      <c r="H1010">
        <v>6</v>
      </c>
      <c r="I1010">
        <f>_xlfn.XLOOKUP(Logs[[#This Row],[Cell_ID]],'Registre_Maintenance'!B:B,'Registre_Maintenance'!D:D,"Pas de correspondance")</f>
        <v>-3.6945459999999999</v>
      </c>
      <c r="J1010">
        <f>_xlfn.XLOOKUP(Logs[[#This Row],[Cell_ID]],'Registre_Maintenance'!B:B,'Registre_Maintenance'!E:E,"Pas de correspondance")</f>
        <v>16.809108999999999</v>
      </c>
      <c r="K1010" t="str">
        <f>_xlfn.XLOOKUP(Logs[[#This Row],[Cell_ID]],'Registre_Maintenance'!B:B,'Registre_Maintenance'!F:F,"Pas de correspondance")</f>
        <v>5G</v>
      </c>
      <c r="L1010" t="str">
        <f>_xlfn.XLOOKUP(Logs[[#This Row],[Cell_ID]],'Registre_Maintenance'!B:B,'Registre_Maintenance'!G:G,"Pas de correspondance")</f>
        <v>ZTE</v>
      </c>
      <c r="M1010" s="1" t="s">
        <v>806</v>
      </c>
      <c r="N1010" s="1">
        <f>_xlfn.XLOOKUP(Logs[[#This Row],[ID_Client]],Clients_Log!B:B,Clients_Log!E:E,"Pas de correspondance")</f>
        <v>99</v>
      </c>
      <c r="O1010" s="4">
        <f>IFERROR(Logs[[#This Row],[Anciennete_Mois]]/12,"")</f>
        <v>8.25</v>
      </c>
      <c r="P1010" s="1" t="str">
        <f>_xlfn.XLOOKUP(Logs[[#This Row],[ID_Client]],Clients_Log!B:B,Clients_Log!F:F,"Pas de correspondance")</f>
        <v>Premium 5G 150Go</v>
      </c>
      <c r="Q1010" s="1" t="str">
        <f>IF(Logs[[#This Row],[Type_Forfait]]="Pro Monde","B2B","B2C")</f>
        <v>B2C</v>
      </c>
      <c r="R1010" s="1">
        <f>_xlfn.XLOOKUP(Logs[[#This Row],[ID_Client]],Clients_Log!B:B,Clients_Log!G:G,"Pas de correspondance")</f>
        <v>447</v>
      </c>
      <c r="S1010" s="3">
        <f>Logs[[#This Row],[Duree_Cumulee_Panne_Min]]/1440</f>
        <v>0.31041666666666667</v>
      </c>
      <c r="T1010" s="1">
        <f>_xlfn.XLOOKUP(Logs[[#This Row],[ID_Client]],Clients_Log!B:B,Clients_Log!H:H,"Pas de correspondance")</f>
        <v>38.1</v>
      </c>
      <c r="U1010" s="1">
        <f>_xlfn.XLOOKUP(Logs[[#This Row],[ID_Client]],Clients_Log!B:B,Clients_Log!I:I,"Pas de correspondance")</f>
        <v>3</v>
      </c>
      <c r="V101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10" s="1">
        <f>Logs[[#This Row],[Facture_Mensuelle]]*Logs[[#This Row],[Remise (%)]]</f>
        <v>17.145</v>
      </c>
    </row>
    <row r="1011" spans="1:23" hidden="1" x14ac:dyDescent="0.25">
      <c r="A1011" s="1" t="s">
        <v>1459</v>
      </c>
      <c r="B1011" s="2">
        <v>45213</v>
      </c>
      <c r="C1011" s="1" t="str">
        <f>_xlfn.XLOOKUP(Logs[[#This Row],[Province_RDC]],Clients_Log!D:D,Clients_Log!B:B,"Pas de correspondance")</f>
        <v>Pas de correspondance</v>
      </c>
      <c r="D1011" t="str">
        <f>_xlfn.XLOOKUP(Logs[[#This Row],[Cell_ID]],'Registre_Maintenance'!B:B,'Registre_Maintenance'!C:C,"Pas de correspondance")</f>
        <v>Pas de correspondance</v>
      </c>
      <c r="E1011" s="3">
        <v>0.82222222222222219</v>
      </c>
      <c r="F1011" s="1" t="s">
        <v>1468</v>
      </c>
      <c r="G1011" s="3">
        <f>Logs[[#This Row],[Duree_Panne_Min]]/1440</f>
        <v>6.9444444444444448E-2</v>
      </c>
      <c r="H1011">
        <v>100</v>
      </c>
      <c r="I1011" t="str">
        <f>_xlfn.XLOOKUP(Logs[[#This Row],[Cell_ID]],'Registre_Maintenance'!B:B,'Registre_Maintenance'!D:D,"Pas de correspondance")</f>
        <v>Pas de correspondance</v>
      </c>
      <c r="J1011" t="str">
        <f>_xlfn.XLOOKUP(Logs[[#This Row],[Cell_ID]],'Registre_Maintenance'!B:B,'Registre_Maintenance'!E:E,"Pas de correspondance")</f>
        <v>Pas de correspondance</v>
      </c>
      <c r="K1011" t="str">
        <f>_xlfn.XLOOKUP(Logs[[#This Row],[Cell_ID]],'Registre_Maintenance'!B:B,'Registre_Maintenance'!F:F,"Pas de correspondance")</f>
        <v>Pas de correspondance</v>
      </c>
      <c r="L1011" t="str">
        <f>_xlfn.XLOOKUP(Logs[[#This Row],[Cell_ID]],'Registre_Maintenance'!B:B,'Registre_Maintenance'!G:G,"Pas de correspondance")</f>
        <v>Pas de correspondance</v>
      </c>
      <c r="M1011" s="1" t="s">
        <v>809</v>
      </c>
      <c r="N1011" s="1" t="str">
        <f>_xlfn.XLOOKUP(Logs[[#This Row],[ID_Client]],Clients_Log!B:B,Clients_Log!E:E,"Pas de correspondance")</f>
        <v>Pas de correspondance</v>
      </c>
      <c r="O1011" s="4" t="str">
        <f>IFERROR(Logs[[#This Row],[Anciennete_Mois]]/12,"")</f>
        <v/>
      </c>
      <c r="P1011" s="1" t="str">
        <f>_xlfn.XLOOKUP(Logs[[#This Row],[ID_Client]],Clients_Log!B:B,Clients_Log!F:F,"Pas de correspondance")</f>
        <v>Pas de correspondance</v>
      </c>
      <c r="Q1011" s="1" t="str">
        <f>IF(Logs[[#This Row],[Type_Forfait]]="Pro Monde","B2B","B2C")</f>
        <v>B2C</v>
      </c>
      <c r="R1011" s="1" t="str">
        <f>_xlfn.XLOOKUP(Logs[[#This Row],[ID_Client]],Clients_Log!B:B,Clients_Log!G:G,"Pas de correspondance")</f>
        <v>Pas de correspondance</v>
      </c>
      <c r="S1011" s="1" t="e">
        <f>Logs[[#This Row],[Duree_Cumulee_Panne_Min]]/1440</f>
        <v>#VALUE!</v>
      </c>
      <c r="T1011" s="1" t="str">
        <f>_xlfn.XLOOKUP(Logs[[#This Row],[ID_Client]],Clients_Log!B:B,Clients_Log!H:H,"Pas de correspondance")</f>
        <v>Pas de correspondance</v>
      </c>
      <c r="U1011" s="1" t="str">
        <f>_xlfn.XLOOKUP(Logs[[#This Row],[ID_Client]],Clients_Log!B:B,Clients_Log!I:I,"Pas de correspondance")</f>
        <v>Pas de correspondance</v>
      </c>
      <c r="V101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11" s="1" t="e">
        <f>Logs[[#This Row],[Facture_Mensuelle]]*Logs[[#This Row],[Remise (%)]]</f>
        <v>#VALUE!</v>
      </c>
    </row>
    <row r="1012" spans="1:23" hidden="1" x14ac:dyDescent="0.25">
      <c r="A1012" s="1" t="s">
        <v>1459</v>
      </c>
      <c r="B1012" s="2">
        <v>45228</v>
      </c>
      <c r="C1012" s="1" t="str">
        <f>_xlfn.XLOOKUP(Logs[[#This Row],[Province_RDC]],Clients_Log!D:D,Clients_Log!B:B,"Pas de correspondance")</f>
        <v>Pas de correspondance</v>
      </c>
      <c r="D1012" t="str">
        <f>_xlfn.XLOOKUP(Logs[[#This Row],[Cell_ID]],'Registre_Maintenance'!B:B,'Registre_Maintenance'!C:C,"Pas de correspondance")</f>
        <v>Pas de correspondance</v>
      </c>
      <c r="E1012" s="3">
        <v>0.98055555555555551</v>
      </c>
      <c r="F1012" s="1" t="s">
        <v>1012</v>
      </c>
      <c r="G1012" s="3">
        <f>Logs[[#This Row],[Duree_Panne_Min]]/1440</f>
        <v>2.5694444444444443E-2</v>
      </c>
      <c r="H1012">
        <v>37</v>
      </c>
      <c r="I1012" t="str">
        <f>_xlfn.XLOOKUP(Logs[[#This Row],[Cell_ID]],'Registre_Maintenance'!B:B,'Registre_Maintenance'!D:D,"Pas de correspondance")</f>
        <v>Pas de correspondance</v>
      </c>
      <c r="J1012" t="str">
        <f>_xlfn.XLOOKUP(Logs[[#This Row],[Cell_ID]],'Registre_Maintenance'!B:B,'Registre_Maintenance'!E:E,"Pas de correspondance")</f>
        <v>Pas de correspondance</v>
      </c>
      <c r="K1012" t="str">
        <f>_xlfn.XLOOKUP(Logs[[#This Row],[Cell_ID]],'Registre_Maintenance'!B:B,'Registre_Maintenance'!F:F,"Pas de correspondance")</f>
        <v>Pas de correspondance</v>
      </c>
      <c r="L1012" t="str">
        <f>_xlfn.XLOOKUP(Logs[[#This Row],[Cell_ID]],'Registre_Maintenance'!B:B,'Registre_Maintenance'!G:G,"Pas de correspondance")</f>
        <v>Pas de correspondance</v>
      </c>
      <c r="M1012" s="1" t="s">
        <v>809</v>
      </c>
      <c r="N1012" s="1" t="str">
        <f>_xlfn.XLOOKUP(Logs[[#This Row],[ID_Client]],Clients_Log!B:B,Clients_Log!E:E,"Pas de correspondance")</f>
        <v>Pas de correspondance</v>
      </c>
      <c r="O1012" s="4" t="str">
        <f>IFERROR(Logs[[#This Row],[Anciennete_Mois]]/12,"")</f>
        <v/>
      </c>
      <c r="P1012" s="1" t="str">
        <f>_xlfn.XLOOKUP(Logs[[#This Row],[ID_Client]],Clients_Log!B:B,Clients_Log!F:F,"Pas de correspondance")</f>
        <v>Pas de correspondance</v>
      </c>
      <c r="Q1012" s="1" t="str">
        <f>IF(Logs[[#This Row],[Type_Forfait]]="Pro Monde","B2B","B2C")</f>
        <v>B2C</v>
      </c>
      <c r="R1012" s="1" t="str">
        <f>_xlfn.XLOOKUP(Logs[[#This Row],[ID_Client]],Clients_Log!B:B,Clients_Log!G:G,"Pas de correspondance")</f>
        <v>Pas de correspondance</v>
      </c>
      <c r="S1012" s="1" t="e">
        <f>Logs[[#This Row],[Duree_Cumulee_Panne_Min]]/1440</f>
        <v>#VALUE!</v>
      </c>
      <c r="T1012" s="1" t="str">
        <f>_xlfn.XLOOKUP(Logs[[#This Row],[ID_Client]],Clients_Log!B:B,Clients_Log!H:H,"Pas de correspondance")</f>
        <v>Pas de correspondance</v>
      </c>
      <c r="U1012" s="1" t="str">
        <f>_xlfn.XLOOKUP(Logs[[#This Row],[ID_Client]],Clients_Log!B:B,Clients_Log!I:I,"Pas de correspondance")</f>
        <v>Pas de correspondance</v>
      </c>
      <c r="V101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12" s="1" t="e">
        <f>Logs[[#This Row],[Facture_Mensuelle]]*Logs[[#This Row],[Remise (%)]]</f>
        <v>#VALUE!</v>
      </c>
    </row>
    <row r="1013" spans="1:23" hidden="1" x14ac:dyDescent="0.25">
      <c r="A1013" s="1" t="s">
        <v>1459</v>
      </c>
      <c r="B1013" s="2">
        <v>45209</v>
      </c>
      <c r="C1013" s="1" t="str">
        <f>_xlfn.XLOOKUP(Logs[[#This Row],[Province_RDC]],Clients_Log!D:D,Clients_Log!B:B,"Pas de correspondance")</f>
        <v>Pas de correspondance</v>
      </c>
      <c r="D1013" t="str">
        <f>_xlfn.XLOOKUP(Logs[[#This Row],[Cell_ID]],'Registre_Maintenance'!B:B,'Registre_Maintenance'!C:C,"Pas de correspondance")</f>
        <v>Pas de correspondance</v>
      </c>
      <c r="E1013" s="3">
        <v>0.94097222222222221</v>
      </c>
      <c r="F1013" s="1" t="s">
        <v>1234</v>
      </c>
      <c r="G1013" s="3">
        <f>Logs[[#This Row],[Duree_Panne_Min]]/1440</f>
        <v>2.0833333333333332E-2</v>
      </c>
      <c r="H1013">
        <v>30</v>
      </c>
      <c r="I1013" t="str">
        <f>_xlfn.XLOOKUP(Logs[[#This Row],[Cell_ID]],'Registre_Maintenance'!B:B,'Registre_Maintenance'!D:D,"Pas de correspondance")</f>
        <v>Pas de correspondance</v>
      </c>
      <c r="J1013" t="str">
        <f>_xlfn.XLOOKUP(Logs[[#This Row],[Cell_ID]],'Registre_Maintenance'!B:B,'Registre_Maintenance'!E:E,"Pas de correspondance")</f>
        <v>Pas de correspondance</v>
      </c>
      <c r="K1013" t="str">
        <f>_xlfn.XLOOKUP(Logs[[#This Row],[Cell_ID]],'Registre_Maintenance'!B:B,'Registre_Maintenance'!F:F,"Pas de correspondance")</f>
        <v>Pas de correspondance</v>
      </c>
      <c r="L1013" t="str">
        <f>_xlfn.XLOOKUP(Logs[[#This Row],[Cell_ID]],'Registre_Maintenance'!B:B,'Registre_Maintenance'!G:G,"Pas de correspondance")</f>
        <v>Pas de correspondance</v>
      </c>
      <c r="M1013" s="1" t="s">
        <v>811</v>
      </c>
      <c r="N1013" s="1" t="str">
        <f>_xlfn.XLOOKUP(Logs[[#This Row],[ID_Client]],Clients_Log!B:B,Clients_Log!E:E,"Pas de correspondance")</f>
        <v>Pas de correspondance</v>
      </c>
      <c r="O1013" s="4" t="str">
        <f>IFERROR(Logs[[#This Row],[Anciennete_Mois]]/12,"")</f>
        <v/>
      </c>
      <c r="P1013" s="1" t="str">
        <f>_xlfn.XLOOKUP(Logs[[#This Row],[ID_Client]],Clients_Log!B:B,Clients_Log!F:F,"Pas de correspondance")</f>
        <v>Pas de correspondance</v>
      </c>
      <c r="Q1013" s="1" t="str">
        <f>IF(Logs[[#This Row],[Type_Forfait]]="Pro Monde","B2B","B2C")</f>
        <v>B2C</v>
      </c>
      <c r="R1013" s="1" t="str">
        <f>_xlfn.XLOOKUP(Logs[[#This Row],[ID_Client]],Clients_Log!B:B,Clients_Log!G:G,"Pas de correspondance")</f>
        <v>Pas de correspondance</v>
      </c>
      <c r="S1013" s="1" t="e">
        <f>Logs[[#This Row],[Duree_Cumulee_Panne_Min]]/1440</f>
        <v>#VALUE!</v>
      </c>
      <c r="T1013" s="1" t="str">
        <f>_xlfn.XLOOKUP(Logs[[#This Row],[ID_Client]],Clients_Log!B:B,Clients_Log!H:H,"Pas de correspondance")</f>
        <v>Pas de correspondance</v>
      </c>
      <c r="U1013" s="1" t="str">
        <f>_xlfn.XLOOKUP(Logs[[#This Row],[ID_Client]],Clients_Log!B:B,Clients_Log!I:I,"Pas de correspondance")</f>
        <v>Pas de correspondance</v>
      </c>
      <c r="V101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13" s="1" t="e">
        <f>Logs[[#This Row],[Facture_Mensuelle]]*Logs[[#This Row],[Remise (%)]]</f>
        <v>#VALUE!</v>
      </c>
    </row>
    <row r="1014" spans="1:23" x14ac:dyDescent="0.25">
      <c r="A1014" s="1" t="s">
        <v>1459</v>
      </c>
      <c r="B1014" s="2">
        <v>45227</v>
      </c>
      <c r="C1014" s="1" t="str">
        <f>_xlfn.XLOOKUP(Logs[[#This Row],[Province_RDC]],Clients_Log!D:D,Clients_Log!B:B,"Pas de correspondance")</f>
        <v>CLI-01855</v>
      </c>
      <c r="D1014" t="str">
        <f>_xlfn.XLOOKUP(Logs[[#This Row],[Cell_ID]],'Registre_Maintenance'!B:B,'Registre_Maintenance'!C:C,"Pas de correspondance")</f>
        <v>Sud-Kivu</v>
      </c>
      <c r="E1014" s="3">
        <v>0.44791666666666669</v>
      </c>
      <c r="F1014" s="1" t="s">
        <v>1232</v>
      </c>
      <c r="G1014" s="3">
        <f>Logs[[#This Row],[Duree_Panne_Min]]/1440</f>
        <v>5.8333333333333334E-2</v>
      </c>
      <c r="H1014">
        <v>84</v>
      </c>
      <c r="I1014">
        <f>_xlfn.XLOOKUP(Logs[[#This Row],[Cell_ID]],'Registre_Maintenance'!B:B,'Registre_Maintenance'!D:D,"Pas de correspondance")</f>
        <v>2.4414509999999998</v>
      </c>
      <c r="J1014">
        <f>_xlfn.XLOOKUP(Logs[[#This Row],[Cell_ID]],'Registre_Maintenance'!B:B,'Registre_Maintenance'!E:E,"Pas de correspondance")</f>
        <v>30.167489</v>
      </c>
      <c r="K1014" t="str">
        <f>_xlfn.XLOOKUP(Logs[[#This Row],[Cell_ID]],'Registre_Maintenance'!B:B,'Registre_Maintenance'!F:F,"Pas de correspondance")</f>
        <v>5G</v>
      </c>
      <c r="L1014" t="str">
        <f>_xlfn.XLOOKUP(Logs[[#This Row],[Cell_ID]],'Registre_Maintenance'!B:B,'Registre_Maintenance'!G:G,"Pas de correspondance")</f>
        <v>Nokia</v>
      </c>
      <c r="M1014" s="1" t="s">
        <v>809</v>
      </c>
      <c r="N1014" s="1">
        <f>_xlfn.XLOOKUP(Logs[[#This Row],[ID_Client]],Clients_Log!B:B,Clients_Log!E:E,"Pas de correspondance")</f>
        <v>101</v>
      </c>
      <c r="O1014" s="4">
        <f>IFERROR(Logs[[#This Row],[Anciennete_Mois]]/12,"")</f>
        <v>8.4166666666666661</v>
      </c>
      <c r="P1014" s="1" t="str">
        <f>_xlfn.XLOOKUP(Logs[[#This Row],[ID_Client]],Clients_Log!B:B,Clients_Log!F:F,"Pas de correspondance")</f>
        <v>Illimité 50Go</v>
      </c>
      <c r="Q1014" s="1" t="str">
        <f>IF(Logs[[#This Row],[Type_Forfait]]="Pro Monde","B2B","B2C")</f>
        <v>B2C</v>
      </c>
      <c r="R1014" s="1">
        <f>_xlfn.XLOOKUP(Logs[[#This Row],[ID_Client]],Clients_Log!B:B,Clients_Log!G:G,"Pas de correspondance")</f>
        <v>358</v>
      </c>
      <c r="S1014" s="3">
        <f>Logs[[#This Row],[Duree_Cumulee_Panne_Min]]/1440</f>
        <v>0.24861111111111112</v>
      </c>
      <c r="T1014" s="1">
        <f>_xlfn.XLOOKUP(Logs[[#This Row],[ID_Client]],Clients_Log!B:B,Clients_Log!H:H,"Pas de correspondance")</f>
        <v>29.24</v>
      </c>
      <c r="U1014" s="1">
        <f>_xlfn.XLOOKUP(Logs[[#This Row],[ID_Client]],Clients_Log!B:B,Clients_Log!I:I,"Pas de correspondance")</f>
        <v>3</v>
      </c>
      <c r="V101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14" s="1">
        <f>Logs[[#This Row],[Facture_Mensuelle]]*Logs[[#This Row],[Remise (%)]]</f>
        <v>13.157999999999999</v>
      </c>
    </row>
    <row r="1015" spans="1:23" x14ac:dyDescent="0.25">
      <c r="A1015" s="1" t="s">
        <v>1459</v>
      </c>
      <c r="B1015" s="2">
        <v>45223</v>
      </c>
      <c r="C1015" s="1" t="str">
        <f>_xlfn.XLOOKUP(Logs[[#This Row],[Province_RDC]],Clients_Log!D:D,Clients_Log!B:B,"Pas de correspondance")</f>
        <v>CLI-00076</v>
      </c>
      <c r="D1015" t="str">
        <f>_xlfn.XLOOKUP(Logs[[#This Row],[Cell_ID]],'Registre_Maintenance'!B:B,'Registre_Maintenance'!C:C,"Pas de correspondance")</f>
        <v>Haut-Katanga</v>
      </c>
      <c r="E1015" s="3">
        <v>0.73611111111111116</v>
      </c>
      <c r="F1015" s="1" t="s">
        <v>1022</v>
      </c>
      <c r="G1015" s="3">
        <f>Logs[[#This Row],[Duree_Panne_Min]]/1440</f>
        <v>8.0555555555555561E-2</v>
      </c>
      <c r="H1015">
        <v>116</v>
      </c>
      <c r="I1015">
        <f>_xlfn.XLOOKUP(Logs[[#This Row],[Cell_ID]],'Registre_Maintenance'!B:B,'Registre_Maintenance'!D:D,"Pas de correspondance")</f>
        <v>0.16841400000000001</v>
      </c>
      <c r="J1015">
        <f>_xlfn.XLOOKUP(Logs[[#This Row],[Cell_ID]],'Registre_Maintenance'!B:B,'Registre_Maintenance'!E:E,"Pas de correspondance")</f>
        <v>30.029876999999999</v>
      </c>
      <c r="K1015" t="str">
        <f>_xlfn.XLOOKUP(Logs[[#This Row],[Cell_ID]],'Registre_Maintenance'!B:B,'Registre_Maintenance'!F:F,"Pas de correspondance")</f>
        <v>5G</v>
      </c>
      <c r="L1015" t="str">
        <f>_xlfn.XLOOKUP(Logs[[#This Row],[Cell_ID]],'Registre_Maintenance'!B:B,'Registre_Maintenance'!G:G,"Pas de correspondance")</f>
        <v>Huawei</v>
      </c>
      <c r="M1015" s="1" t="s">
        <v>809</v>
      </c>
      <c r="N1015" s="1">
        <f>_xlfn.XLOOKUP(Logs[[#This Row],[ID_Client]],Clients_Log!B:B,Clients_Log!E:E,"Pas de correspondance")</f>
        <v>46</v>
      </c>
      <c r="O1015" s="4">
        <f>IFERROR(Logs[[#This Row],[Anciennete_Mois]]/12,"")</f>
        <v>3.8333333333333335</v>
      </c>
      <c r="P1015" s="1" t="str">
        <f>_xlfn.XLOOKUP(Logs[[#This Row],[ID_Client]],Clients_Log!B:B,Clients_Log!F:F,"Pas de correspondance")</f>
        <v>Premium 5G 150Go</v>
      </c>
      <c r="Q1015" s="1" t="str">
        <f>IF(Logs[[#This Row],[Type_Forfait]]="Pro Monde","B2B","B2C")</f>
        <v>B2C</v>
      </c>
      <c r="R1015" s="1">
        <f>_xlfn.XLOOKUP(Logs[[#This Row],[ID_Client]],Clients_Log!B:B,Clients_Log!G:G,"Pas de correspondance")</f>
        <v>283</v>
      </c>
      <c r="S1015" s="3">
        <f>Logs[[#This Row],[Duree_Cumulee_Panne_Min]]/1440</f>
        <v>0.19652777777777777</v>
      </c>
      <c r="T1015" s="1">
        <f>_xlfn.XLOOKUP(Logs[[#This Row],[ID_Client]],Clients_Log!B:B,Clients_Log!H:H,"Pas de correspondance")</f>
        <v>56.05</v>
      </c>
      <c r="U1015" s="1">
        <f>_xlfn.XLOOKUP(Logs[[#This Row],[ID_Client]],Clients_Log!B:B,Clients_Log!I:I,"Pas de correspondance")</f>
        <v>1</v>
      </c>
      <c r="V101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15" s="1">
        <f>Logs[[#This Row],[Facture_Mensuelle]]*Logs[[#This Row],[Remise (%)]]</f>
        <v>25.2225</v>
      </c>
    </row>
    <row r="1016" spans="1:23" hidden="1" x14ac:dyDescent="0.25">
      <c r="A1016" s="1" t="s">
        <v>1459</v>
      </c>
      <c r="B1016" s="2">
        <v>45206</v>
      </c>
      <c r="C1016" s="1" t="str">
        <f>_xlfn.XLOOKUP(Logs[[#This Row],[Province_RDC]],Clients_Log!D:D,Clients_Log!B:B,"Pas de correspondance")</f>
        <v>Pas de correspondance</v>
      </c>
      <c r="D1016" t="str">
        <f>_xlfn.XLOOKUP(Logs[[#This Row],[Cell_ID]],'Registre_Maintenance'!B:B,'Registre_Maintenance'!C:C,"Pas de correspondance")</f>
        <v>Pas de correspondance</v>
      </c>
      <c r="E1016" s="3">
        <v>0.2590277777777778</v>
      </c>
      <c r="F1016" s="1" t="s">
        <v>1469</v>
      </c>
      <c r="G1016" s="3">
        <f>Logs[[#This Row],[Duree_Panne_Min]]/1440</f>
        <v>7.2222222222222215E-2</v>
      </c>
      <c r="H1016">
        <v>104</v>
      </c>
      <c r="I1016" t="str">
        <f>_xlfn.XLOOKUP(Logs[[#This Row],[Cell_ID]],'Registre_Maintenance'!B:B,'Registre_Maintenance'!D:D,"Pas de correspondance")</f>
        <v>Pas de correspondance</v>
      </c>
      <c r="J1016" t="str">
        <f>_xlfn.XLOOKUP(Logs[[#This Row],[Cell_ID]],'Registre_Maintenance'!B:B,'Registre_Maintenance'!E:E,"Pas de correspondance")</f>
        <v>Pas de correspondance</v>
      </c>
      <c r="K1016" t="str">
        <f>_xlfn.XLOOKUP(Logs[[#This Row],[Cell_ID]],'Registre_Maintenance'!B:B,'Registre_Maintenance'!F:F,"Pas de correspondance")</f>
        <v>Pas de correspondance</v>
      </c>
      <c r="L1016" t="str">
        <f>_xlfn.XLOOKUP(Logs[[#This Row],[Cell_ID]],'Registre_Maintenance'!B:B,'Registre_Maintenance'!G:G,"Pas de correspondance")</f>
        <v>Pas de correspondance</v>
      </c>
      <c r="M1016" s="1" t="s">
        <v>806</v>
      </c>
      <c r="N1016" s="1" t="str">
        <f>_xlfn.XLOOKUP(Logs[[#This Row],[ID_Client]],Clients_Log!B:B,Clients_Log!E:E,"Pas de correspondance")</f>
        <v>Pas de correspondance</v>
      </c>
      <c r="O1016" s="4" t="str">
        <f>IFERROR(Logs[[#This Row],[Anciennete_Mois]]/12,"")</f>
        <v/>
      </c>
      <c r="P1016" s="1" t="str">
        <f>_xlfn.XLOOKUP(Logs[[#This Row],[ID_Client]],Clients_Log!B:B,Clients_Log!F:F,"Pas de correspondance")</f>
        <v>Pas de correspondance</v>
      </c>
      <c r="Q1016" s="1" t="str">
        <f>IF(Logs[[#This Row],[Type_Forfait]]="Pro Monde","B2B","B2C")</f>
        <v>B2C</v>
      </c>
      <c r="R1016" s="1" t="str">
        <f>_xlfn.XLOOKUP(Logs[[#This Row],[ID_Client]],Clients_Log!B:B,Clients_Log!G:G,"Pas de correspondance")</f>
        <v>Pas de correspondance</v>
      </c>
      <c r="S1016" s="1" t="e">
        <f>Logs[[#This Row],[Duree_Cumulee_Panne_Min]]/1440</f>
        <v>#VALUE!</v>
      </c>
      <c r="T1016" s="1" t="str">
        <f>_xlfn.XLOOKUP(Logs[[#This Row],[ID_Client]],Clients_Log!B:B,Clients_Log!H:H,"Pas de correspondance")</f>
        <v>Pas de correspondance</v>
      </c>
      <c r="U1016" s="1" t="str">
        <f>_xlfn.XLOOKUP(Logs[[#This Row],[ID_Client]],Clients_Log!B:B,Clients_Log!I:I,"Pas de correspondance")</f>
        <v>Pas de correspondance</v>
      </c>
      <c r="V101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16" s="1" t="e">
        <f>Logs[[#This Row],[Facture_Mensuelle]]*Logs[[#This Row],[Remise (%)]]</f>
        <v>#VALUE!</v>
      </c>
    </row>
    <row r="1017" spans="1:23" hidden="1" x14ac:dyDescent="0.25">
      <c r="A1017" s="1" t="s">
        <v>1459</v>
      </c>
      <c r="B1017" s="2">
        <v>45219</v>
      </c>
      <c r="C1017" s="1" t="str">
        <f>_xlfn.XLOOKUP(Logs[[#This Row],[Province_RDC]],Clients_Log!D:D,Clients_Log!B:B,"Pas de correspondance")</f>
        <v>Pas de correspondance</v>
      </c>
      <c r="D1017" t="str">
        <f>_xlfn.XLOOKUP(Logs[[#This Row],[Cell_ID]],'Registre_Maintenance'!B:B,'Registre_Maintenance'!C:C,"Pas de correspondance")</f>
        <v>Pas de correspondance</v>
      </c>
      <c r="E1017" s="3">
        <v>0.9291666666666667</v>
      </c>
      <c r="F1017" s="1" t="s">
        <v>1470</v>
      </c>
      <c r="G1017" s="3">
        <f>Logs[[#This Row],[Duree_Panne_Min]]/1440</f>
        <v>7.9861111111111105E-2</v>
      </c>
      <c r="H1017">
        <v>115</v>
      </c>
      <c r="I1017" t="str">
        <f>_xlfn.XLOOKUP(Logs[[#This Row],[Cell_ID]],'Registre_Maintenance'!B:B,'Registre_Maintenance'!D:D,"Pas de correspondance")</f>
        <v>Pas de correspondance</v>
      </c>
      <c r="J1017" t="str">
        <f>_xlfn.XLOOKUP(Logs[[#This Row],[Cell_ID]],'Registre_Maintenance'!B:B,'Registre_Maintenance'!E:E,"Pas de correspondance")</f>
        <v>Pas de correspondance</v>
      </c>
      <c r="K1017" t="str">
        <f>_xlfn.XLOOKUP(Logs[[#This Row],[Cell_ID]],'Registre_Maintenance'!B:B,'Registre_Maintenance'!F:F,"Pas de correspondance")</f>
        <v>Pas de correspondance</v>
      </c>
      <c r="L1017" t="str">
        <f>_xlfn.XLOOKUP(Logs[[#This Row],[Cell_ID]],'Registre_Maintenance'!B:B,'Registre_Maintenance'!G:G,"Pas de correspondance")</f>
        <v>Pas de correspondance</v>
      </c>
      <c r="M1017" s="1" t="s">
        <v>806</v>
      </c>
      <c r="N1017" s="1" t="str">
        <f>_xlfn.XLOOKUP(Logs[[#This Row],[ID_Client]],Clients_Log!B:B,Clients_Log!E:E,"Pas de correspondance")</f>
        <v>Pas de correspondance</v>
      </c>
      <c r="O1017" s="4" t="str">
        <f>IFERROR(Logs[[#This Row],[Anciennete_Mois]]/12,"")</f>
        <v/>
      </c>
      <c r="P1017" s="1" t="str">
        <f>_xlfn.XLOOKUP(Logs[[#This Row],[ID_Client]],Clients_Log!B:B,Clients_Log!F:F,"Pas de correspondance")</f>
        <v>Pas de correspondance</v>
      </c>
      <c r="Q1017" s="1" t="str">
        <f>IF(Logs[[#This Row],[Type_Forfait]]="Pro Monde","B2B","B2C")</f>
        <v>B2C</v>
      </c>
      <c r="R1017" s="1" t="str">
        <f>_xlfn.XLOOKUP(Logs[[#This Row],[ID_Client]],Clients_Log!B:B,Clients_Log!G:G,"Pas de correspondance")</f>
        <v>Pas de correspondance</v>
      </c>
      <c r="S1017" s="1" t="e">
        <f>Logs[[#This Row],[Duree_Cumulee_Panne_Min]]/1440</f>
        <v>#VALUE!</v>
      </c>
      <c r="T1017" s="1" t="str">
        <f>_xlfn.XLOOKUP(Logs[[#This Row],[ID_Client]],Clients_Log!B:B,Clients_Log!H:H,"Pas de correspondance")</f>
        <v>Pas de correspondance</v>
      </c>
      <c r="U1017" s="1" t="str">
        <f>_xlfn.XLOOKUP(Logs[[#This Row],[ID_Client]],Clients_Log!B:B,Clients_Log!I:I,"Pas de correspondance")</f>
        <v>Pas de correspondance</v>
      </c>
      <c r="V101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17" s="1" t="e">
        <f>Logs[[#This Row],[Facture_Mensuelle]]*Logs[[#This Row],[Remise (%)]]</f>
        <v>#VALUE!</v>
      </c>
    </row>
    <row r="1018" spans="1:23" hidden="1" x14ac:dyDescent="0.25">
      <c r="A1018" s="1" t="s">
        <v>1459</v>
      </c>
      <c r="B1018" s="2">
        <v>45221</v>
      </c>
      <c r="C1018" s="1" t="str">
        <f>_xlfn.XLOOKUP(Logs[[#This Row],[Province_RDC]],Clients_Log!D:D,Clients_Log!B:B,"Pas de correspondance")</f>
        <v>Pas de correspondance</v>
      </c>
      <c r="D1018" t="str">
        <f>_xlfn.XLOOKUP(Logs[[#This Row],[Cell_ID]],'Registre_Maintenance'!B:B,'Registre_Maintenance'!C:C,"Pas de correspondance")</f>
        <v>Pas de correspondance</v>
      </c>
      <c r="E1018" s="3">
        <v>0.49861111111111112</v>
      </c>
      <c r="F1018" s="1" t="s">
        <v>1471</v>
      </c>
      <c r="G1018" s="3">
        <f>Logs[[#This Row],[Duree_Panne_Min]]/1440</f>
        <v>8.0555555555555561E-2</v>
      </c>
      <c r="H1018">
        <v>116</v>
      </c>
      <c r="I1018" t="str">
        <f>_xlfn.XLOOKUP(Logs[[#This Row],[Cell_ID]],'Registre_Maintenance'!B:B,'Registre_Maintenance'!D:D,"Pas de correspondance")</f>
        <v>Pas de correspondance</v>
      </c>
      <c r="J1018" t="str">
        <f>_xlfn.XLOOKUP(Logs[[#This Row],[Cell_ID]],'Registre_Maintenance'!B:B,'Registre_Maintenance'!E:E,"Pas de correspondance")</f>
        <v>Pas de correspondance</v>
      </c>
      <c r="K1018" t="str">
        <f>_xlfn.XLOOKUP(Logs[[#This Row],[Cell_ID]],'Registre_Maintenance'!B:B,'Registre_Maintenance'!F:F,"Pas de correspondance")</f>
        <v>Pas de correspondance</v>
      </c>
      <c r="L1018" t="str">
        <f>_xlfn.XLOOKUP(Logs[[#This Row],[Cell_ID]],'Registre_Maintenance'!B:B,'Registre_Maintenance'!G:G,"Pas de correspondance")</f>
        <v>Pas de correspondance</v>
      </c>
      <c r="M1018" s="1" t="s">
        <v>809</v>
      </c>
      <c r="N1018" s="1" t="str">
        <f>_xlfn.XLOOKUP(Logs[[#This Row],[ID_Client]],Clients_Log!B:B,Clients_Log!E:E,"Pas de correspondance")</f>
        <v>Pas de correspondance</v>
      </c>
      <c r="O1018" s="4" t="str">
        <f>IFERROR(Logs[[#This Row],[Anciennete_Mois]]/12,"")</f>
        <v/>
      </c>
      <c r="P1018" s="1" t="str">
        <f>_xlfn.XLOOKUP(Logs[[#This Row],[ID_Client]],Clients_Log!B:B,Clients_Log!F:F,"Pas de correspondance")</f>
        <v>Pas de correspondance</v>
      </c>
      <c r="Q1018" s="1" t="str">
        <f>IF(Logs[[#This Row],[Type_Forfait]]="Pro Monde","B2B","B2C")</f>
        <v>B2C</v>
      </c>
      <c r="R1018" s="1" t="str">
        <f>_xlfn.XLOOKUP(Logs[[#This Row],[ID_Client]],Clients_Log!B:B,Clients_Log!G:G,"Pas de correspondance")</f>
        <v>Pas de correspondance</v>
      </c>
      <c r="S1018" s="1" t="e">
        <f>Logs[[#This Row],[Duree_Cumulee_Panne_Min]]/1440</f>
        <v>#VALUE!</v>
      </c>
      <c r="T1018" s="1" t="str">
        <f>_xlfn.XLOOKUP(Logs[[#This Row],[ID_Client]],Clients_Log!B:B,Clients_Log!H:H,"Pas de correspondance")</f>
        <v>Pas de correspondance</v>
      </c>
      <c r="U1018" s="1" t="str">
        <f>_xlfn.XLOOKUP(Logs[[#This Row],[ID_Client]],Clients_Log!B:B,Clients_Log!I:I,"Pas de correspondance")</f>
        <v>Pas de correspondance</v>
      </c>
      <c r="V101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18" s="1" t="e">
        <f>Logs[[#This Row],[Facture_Mensuelle]]*Logs[[#This Row],[Remise (%)]]</f>
        <v>#VALUE!</v>
      </c>
    </row>
    <row r="1019" spans="1:23" x14ac:dyDescent="0.25">
      <c r="A1019" s="1" t="s">
        <v>1459</v>
      </c>
      <c r="B1019" s="2">
        <v>45221</v>
      </c>
      <c r="C1019" s="1" t="str">
        <f>_xlfn.XLOOKUP(Logs[[#This Row],[Province_RDC]],Clients_Log!D:D,Clients_Log!B:B,"Pas de correspondance")</f>
        <v>CLI-00569</v>
      </c>
      <c r="D1019" t="str">
        <f>_xlfn.XLOOKUP(Logs[[#This Row],[Cell_ID]],'Registre_Maintenance'!B:B,'Registre_Maintenance'!C:C,"Pas de correspondance")</f>
        <v>Kwango</v>
      </c>
      <c r="E1019" s="3">
        <v>0.19791666666666666</v>
      </c>
      <c r="F1019" s="1" t="s">
        <v>1068</v>
      </c>
      <c r="G1019" s="3">
        <f>Logs[[#This Row],[Duree_Panne_Min]]/1440</f>
        <v>4.2361111111111113E-2</v>
      </c>
      <c r="H1019">
        <v>61</v>
      </c>
      <c r="I1019">
        <f>_xlfn.XLOOKUP(Logs[[#This Row],[Cell_ID]],'Registre_Maintenance'!B:B,'Registre_Maintenance'!D:D,"Pas de correspondance")</f>
        <v>-7.5129409999999996</v>
      </c>
      <c r="J1019">
        <f>_xlfn.XLOOKUP(Logs[[#This Row],[Cell_ID]],'Registre_Maintenance'!B:B,'Registre_Maintenance'!E:E,"Pas de correspondance")</f>
        <v>18.701522000000001</v>
      </c>
      <c r="K1019" t="str">
        <f>_xlfn.XLOOKUP(Logs[[#This Row],[Cell_ID]],'Registre_Maintenance'!B:B,'Registre_Maintenance'!F:F,"Pas de correspondance")</f>
        <v>4G</v>
      </c>
      <c r="L1019" t="str">
        <f>_xlfn.XLOOKUP(Logs[[#This Row],[Cell_ID]],'Registre_Maintenance'!B:B,'Registre_Maintenance'!G:G,"Pas de correspondance")</f>
        <v>Nokia</v>
      </c>
      <c r="M1019" s="1" t="s">
        <v>811</v>
      </c>
      <c r="N1019" s="1">
        <f>_xlfn.XLOOKUP(Logs[[#This Row],[ID_Client]],Clients_Log!B:B,Clients_Log!E:E,"Pas de correspondance")</f>
        <v>110</v>
      </c>
      <c r="O1019" s="4">
        <f>IFERROR(Logs[[#This Row],[Anciennete_Mois]]/12,"")</f>
        <v>9.1666666666666661</v>
      </c>
      <c r="P1019" s="1" t="str">
        <f>_xlfn.XLOOKUP(Logs[[#This Row],[ID_Client]],Clients_Log!B:B,Clients_Log!F:F,"Pas de correspondance")</f>
        <v>Pro Monde</v>
      </c>
      <c r="Q1019" s="1" t="str">
        <f>IF(Logs[[#This Row],[Type_Forfait]]="Pro Monde","B2B","B2C")</f>
        <v>B2B</v>
      </c>
      <c r="R1019" s="1">
        <f>_xlfn.XLOOKUP(Logs[[#This Row],[ID_Client]],Clients_Log!B:B,Clients_Log!G:G,"Pas de correspondance")</f>
        <v>423</v>
      </c>
      <c r="S1019" s="3">
        <f>Logs[[#This Row],[Duree_Cumulee_Panne_Min]]/1440</f>
        <v>0.29375000000000001</v>
      </c>
      <c r="T1019" s="1">
        <f>_xlfn.XLOOKUP(Logs[[#This Row],[ID_Client]],Clients_Log!B:B,Clients_Log!H:H,"Pas de correspondance")</f>
        <v>37.35</v>
      </c>
      <c r="U1019" s="1">
        <f>_xlfn.XLOOKUP(Logs[[#This Row],[ID_Client]],Clients_Log!B:B,Clients_Log!I:I,"Pas de correspondance")</f>
        <v>4</v>
      </c>
      <c r="V101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19" s="1">
        <f>Logs[[#This Row],[Facture_Mensuelle]]*Logs[[#This Row],[Remise (%)]]</f>
        <v>16.807500000000001</v>
      </c>
    </row>
    <row r="1020" spans="1:23" hidden="1" x14ac:dyDescent="0.25">
      <c r="A1020" s="1" t="s">
        <v>1459</v>
      </c>
      <c r="B1020" s="2">
        <v>45220</v>
      </c>
      <c r="C1020" s="1" t="str">
        <f>_xlfn.XLOOKUP(Logs[[#This Row],[Province_RDC]],Clients_Log!D:D,Clients_Log!B:B,"Pas de correspondance")</f>
        <v>Pas de correspondance</v>
      </c>
      <c r="D1020" t="str">
        <f>_xlfn.XLOOKUP(Logs[[#This Row],[Cell_ID]],'Registre_Maintenance'!B:B,'Registre_Maintenance'!C:C,"Pas de correspondance")</f>
        <v>Pas de correspondance</v>
      </c>
      <c r="E1020" s="3">
        <v>0.23055555555555557</v>
      </c>
      <c r="F1020" s="1" t="s">
        <v>862</v>
      </c>
      <c r="G1020" s="3">
        <f>Logs[[#This Row],[Duree_Panne_Min]]/1440</f>
        <v>7.7083333333333337E-2</v>
      </c>
      <c r="H1020">
        <v>111</v>
      </c>
      <c r="I1020" t="str">
        <f>_xlfn.XLOOKUP(Logs[[#This Row],[Cell_ID]],'Registre_Maintenance'!B:B,'Registre_Maintenance'!D:D,"Pas de correspondance")</f>
        <v>Pas de correspondance</v>
      </c>
      <c r="J1020" t="str">
        <f>_xlfn.XLOOKUP(Logs[[#This Row],[Cell_ID]],'Registre_Maintenance'!B:B,'Registre_Maintenance'!E:E,"Pas de correspondance")</f>
        <v>Pas de correspondance</v>
      </c>
      <c r="K1020" t="str">
        <f>_xlfn.XLOOKUP(Logs[[#This Row],[Cell_ID]],'Registre_Maintenance'!B:B,'Registre_Maintenance'!F:F,"Pas de correspondance")</f>
        <v>Pas de correspondance</v>
      </c>
      <c r="L1020" t="str">
        <f>_xlfn.XLOOKUP(Logs[[#This Row],[Cell_ID]],'Registre_Maintenance'!B:B,'Registre_Maintenance'!G:G,"Pas de correspondance")</f>
        <v>Pas de correspondance</v>
      </c>
      <c r="M1020" s="1" t="s">
        <v>811</v>
      </c>
      <c r="N1020" s="1" t="str">
        <f>_xlfn.XLOOKUP(Logs[[#This Row],[ID_Client]],Clients_Log!B:B,Clients_Log!E:E,"Pas de correspondance")</f>
        <v>Pas de correspondance</v>
      </c>
      <c r="O1020" s="4" t="str">
        <f>IFERROR(Logs[[#This Row],[Anciennete_Mois]]/12,"")</f>
        <v/>
      </c>
      <c r="P1020" s="1" t="str">
        <f>_xlfn.XLOOKUP(Logs[[#This Row],[ID_Client]],Clients_Log!B:B,Clients_Log!F:F,"Pas de correspondance")</f>
        <v>Pas de correspondance</v>
      </c>
      <c r="Q1020" s="1" t="str">
        <f>IF(Logs[[#This Row],[Type_Forfait]]="Pro Monde","B2B","B2C")</f>
        <v>B2C</v>
      </c>
      <c r="R1020" s="1" t="str">
        <f>_xlfn.XLOOKUP(Logs[[#This Row],[ID_Client]],Clients_Log!B:B,Clients_Log!G:G,"Pas de correspondance")</f>
        <v>Pas de correspondance</v>
      </c>
      <c r="S1020" s="1" t="e">
        <f>Logs[[#This Row],[Duree_Cumulee_Panne_Min]]/1440</f>
        <v>#VALUE!</v>
      </c>
      <c r="T1020" s="1" t="str">
        <f>_xlfn.XLOOKUP(Logs[[#This Row],[ID_Client]],Clients_Log!B:B,Clients_Log!H:H,"Pas de correspondance")</f>
        <v>Pas de correspondance</v>
      </c>
      <c r="U1020" s="1" t="str">
        <f>_xlfn.XLOOKUP(Logs[[#This Row],[ID_Client]],Clients_Log!B:B,Clients_Log!I:I,"Pas de correspondance")</f>
        <v>Pas de correspondance</v>
      </c>
      <c r="V102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20" s="1" t="e">
        <f>Logs[[#This Row],[Facture_Mensuelle]]*Logs[[#This Row],[Remise (%)]]</f>
        <v>#VALUE!</v>
      </c>
    </row>
    <row r="1021" spans="1:23" hidden="1" x14ac:dyDescent="0.25">
      <c r="A1021" s="1" t="s">
        <v>1459</v>
      </c>
      <c r="B1021" s="2">
        <v>45217</v>
      </c>
      <c r="C1021" s="1" t="str">
        <f>_xlfn.XLOOKUP(Logs[[#This Row],[Province_RDC]],Clients_Log!D:D,Clients_Log!B:B,"Pas de correspondance")</f>
        <v>Pas de correspondance</v>
      </c>
      <c r="D1021" t="str">
        <f>_xlfn.XLOOKUP(Logs[[#This Row],[Cell_ID]],'Registre_Maintenance'!B:B,'Registre_Maintenance'!C:C,"Pas de correspondance")</f>
        <v>Pas de correspondance</v>
      </c>
      <c r="E1021" s="3">
        <v>0.94444444444444442</v>
      </c>
      <c r="F1021" s="1" t="s">
        <v>1472</v>
      </c>
      <c r="G1021" s="3">
        <f>Logs[[#This Row],[Duree_Panne_Min]]/1440</f>
        <v>2.2916666666666665E-2</v>
      </c>
      <c r="H1021">
        <v>33</v>
      </c>
      <c r="I1021" t="str">
        <f>_xlfn.XLOOKUP(Logs[[#This Row],[Cell_ID]],'Registre_Maintenance'!B:B,'Registre_Maintenance'!D:D,"Pas de correspondance")</f>
        <v>Pas de correspondance</v>
      </c>
      <c r="J1021" t="str">
        <f>_xlfn.XLOOKUP(Logs[[#This Row],[Cell_ID]],'Registre_Maintenance'!B:B,'Registre_Maintenance'!E:E,"Pas de correspondance")</f>
        <v>Pas de correspondance</v>
      </c>
      <c r="K1021" t="str">
        <f>_xlfn.XLOOKUP(Logs[[#This Row],[Cell_ID]],'Registre_Maintenance'!B:B,'Registre_Maintenance'!F:F,"Pas de correspondance")</f>
        <v>Pas de correspondance</v>
      </c>
      <c r="L1021" t="str">
        <f>_xlfn.XLOOKUP(Logs[[#This Row],[Cell_ID]],'Registre_Maintenance'!B:B,'Registre_Maintenance'!G:G,"Pas de correspondance")</f>
        <v>Pas de correspondance</v>
      </c>
      <c r="M1021" s="1" t="s">
        <v>806</v>
      </c>
      <c r="N1021" s="1" t="str">
        <f>_xlfn.XLOOKUP(Logs[[#This Row],[ID_Client]],Clients_Log!B:B,Clients_Log!E:E,"Pas de correspondance")</f>
        <v>Pas de correspondance</v>
      </c>
      <c r="O1021" s="4" t="str">
        <f>IFERROR(Logs[[#This Row],[Anciennete_Mois]]/12,"")</f>
        <v/>
      </c>
      <c r="P1021" s="1" t="str">
        <f>_xlfn.XLOOKUP(Logs[[#This Row],[ID_Client]],Clients_Log!B:B,Clients_Log!F:F,"Pas de correspondance")</f>
        <v>Pas de correspondance</v>
      </c>
      <c r="Q1021" s="1" t="str">
        <f>IF(Logs[[#This Row],[Type_Forfait]]="Pro Monde","B2B","B2C")</f>
        <v>B2C</v>
      </c>
      <c r="R1021" s="1" t="str">
        <f>_xlfn.XLOOKUP(Logs[[#This Row],[ID_Client]],Clients_Log!B:B,Clients_Log!G:G,"Pas de correspondance")</f>
        <v>Pas de correspondance</v>
      </c>
      <c r="S1021" s="1" t="e">
        <f>Logs[[#This Row],[Duree_Cumulee_Panne_Min]]/1440</f>
        <v>#VALUE!</v>
      </c>
      <c r="T1021" s="1" t="str">
        <f>_xlfn.XLOOKUP(Logs[[#This Row],[ID_Client]],Clients_Log!B:B,Clients_Log!H:H,"Pas de correspondance")</f>
        <v>Pas de correspondance</v>
      </c>
      <c r="U1021" s="1" t="str">
        <f>_xlfn.XLOOKUP(Logs[[#This Row],[ID_Client]],Clients_Log!B:B,Clients_Log!I:I,"Pas de correspondance")</f>
        <v>Pas de correspondance</v>
      </c>
      <c r="V102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21" s="1" t="e">
        <f>Logs[[#This Row],[Facture_Mensuelle]]*Logs[[#This Row],[Remise (%)]]</f>
        <v>#VALUE!</v>
      </c>
    </row>
    <row r="1022" spans="1:23" hidden="1" x14ac:dyDescent="0.25">
      <c r="A1022" s="1" t="s">
        <v>1459</v>
      </c>
      <c r="B1022" s="2">
        <v>45210</v>
      </c>
      <c r="C1022" s="1" t="str">
        <f>_xlfn.XLOOKUP(Logs[[#This Row],[Province_RDC]],Clients_Log!D:D,Clients_Log!B:B,"Pas de correspondance")</f>
        <v>Pas de correspondance</v>
      </c>
      <c r="D1022" t="str">
        <f>_xlfn.XLOOKUP(Logs[[#This Row],[Cell_ID]],'Registre_Maintenance'!B:B,'Registre_Maintenance'!C:C,"Pas de correspondance")</f>
        <v>Pas de correspondance</v>
      </c>
      <c r="E1022" s="3">
        <v>0.92152777777777772</v>
      </c>
      <c r="F1022" s="1" t="s">
        <v>1275</v>
      </c>
      <c r="G1022" s="3">
        <f>Logs[[#This Row],[Duree_Panne_Min]]/1440</f>
        <v>5.9722222222222225E-2</v>
      </c>
      <c r="H1022">
        <v>86</v>
      </c>
      <c r="I1022" t="str">
        <f>_xlfn.XLOOKUP(Logs[[#This Row],[Cell_ID]],'Registre_Maintenance'!B:B,'Registre_Maintenance'!D:D,"Pas de correspondance")</f>
        <v>Pas de correspondance</v>
      </c>
      <c r="J1022" t="str">
        <f>_xlfn.XLOOKUP(Logs[[#This Row],[Cell_ID]],'Registre_Maintenance'!B:B,'Registre_Maintenance'!E:E,"Pas de correspondance")</f>
        <v>Pas de correspondance</v>
      </c>
      <c r="K1022" t="str">
        <f>_xlfn.XLOOKUP(Logs[[#This Row],[Cell_ID]],'Registre_Maintenance'!B:B,'Registre_Maintenance'!F:F,"Pas de correspondance")</f>
        <v>Pas de correspondance</v>
      </c>
      <c r="L1022" t="str">
        <f>_xlfn.XLOOKUP(Logs[[#This Row],[Cell_ID]],'Registre_Maintenance'!B:B,'Registre_Maintenance'!G:G,"Pas de correspondance")</f>
        <v>Pas de correspondance</v>
      </c>
      <c r="M1022" s="1" t="s">
        <v>809</v>
      </c>
      <c r="N1022" s="1" t="str">
        <f>_xlfn.XLOOKUP(Logs[[#This Row],[ID_Client]],Clients_Log!B:B,Clients_Log!E:E,"Pas de correspondance")</f>
        <v>Pas de correspondance</v>
      </c>
      <c r="O1022" s="4" t="str">
        <f>IFERROR(Logs[[#This Row],[Anciennete_Mois]]/12,"")</f>
        <v/>
      </c>
      <c r="P1022" s="1" t="str">
        <f>_xlfn.XLOOKUP(Logs[[#This Row],[ID_Client]],Clients_Log!B:B,Clients_Log!F:F,"Pas de correspondance")</f>
        <v>Pas de correspondance</v>
      </c>
      <c r="Q1022" s="1" t="str">
        <f>IF(Logs[[#This Row],[Type_Forfait]]="Pro Monde","B2B","B2C")</f>
        <v>B2C</v>
      </c>
      <c r="R1022" s="1" t="str">
        <f>_xlfn.XLOOKUP(Logs[[#This Row],[ID_Client]],Clients_Log!B:B,Clients_Log!G:G,"Pas de correspondance")</f>
        <v>Pas de correspondance</v>
      </c>
      <c r="S1022" s="1" t="e">
        <f>Logs[[#This Row],[Duree_Cumulee_Panne_Min]]/1440</f>
        <v>#VALUE!</v>
      </c>
      <c r="T1022" s="1" t="str">
        <f>_xlfn.XLOOKUP(Logs[[#This Row],[ID_Client]],Clients_Log!B:B,Clients_Log!H:H,"Pas de correspondance")</f>
        <v>Pas de correspondance</v>
      </c>
      <c r="U1022" s="1" t="str">
        <f>_xlfn.XLOOKUP(Logs[[#This Row],[ID_Client]],Clients_Log!B:B,Clients_Log!I:I,"Pas de correspondance")</f>
        <v>Pas de correspondance</v>
      </c>
      <c r="V102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22" s="1" t="e">
        <f>Logs[[#This Row],[Facture_Mensuelle]]*Logs[[#This Row],[Remise (%)]]</f>
        <v>#VALUE!</v>
      </c>
    </row>
    <row r="1023" spans="1:23" hidden="1" x14ac:dyDescent="0.25">
      <c r="A1023" s="1" t="s">
        <v>1459</v>
      </c>
      <c r="B1023" s="2">
        <v>45224</v>
      </c>
      <c r="C1023" s="1" t="str">
        <f>_xlfn.XLOOKUP(Logs[[#This Row],[Province_RDC]],Clients_Log!D:D,Clients_Log!B:B,"Pas de correspondance")</f>
        <v>Pas de correspondance</v>
      </c>
      <c r="D1023" t="str">
        <f>_xlfn.XLOOKUP(Logs[[#This Row],[Cell_ID]],'Registre_Maintenance'!B:B,'Registre_Maintenance'!C:C,"Pas de correspondance")</f>
        <v>Pas de correspondance</v>
      </c>
      <c r="E1023" s="3">
        <v>0.4826388888888889</v>
      </c>
      <c r="F1023" s="1" t="s">
        <v>823</v>
      </c>
      <c r="G1023" s="3">
        <f>Logs[[#This Row],[Duree_Panne_Min]]/1440</f>
        <v>6.5972222222222224E-2</v>
      </c>
      <c r="H1023">
        <v>95</v>
      </c>
      <c r="I1023" t="str">
        <f>_xlfn.XLOOKUP(Logs[[#This Row],[Cell_ID]],'Registre_Maintenance'!B:B,'Registre_Maintenance'!D:D,"Pas de correspondance")</f>
        <v>Pas de correspondance</v>
      </c>
      <c r="J1023" t="str">
        <f>_xlfn.XLOOKUP(Logs[[#This Row],[Cell_ID]],'Registre_Maintenance'!B:B,'Registre_Maintenance'!E:E,"Pas de correspondance")</f>
        <v>Pas de correspondance</v>
      </c>
      <c r="K1023" t="str">
        <f>_xlfn.XLOOKUP(Logs[[#This Row],[Cell_ID]],'Registre_Maintenance'!B:B,'Registre_Maintenance'!F:F,"Pas de correspondance")</f>
        <v>Pas de correspondance</v>
      </c>
      <c r="L1023" t="str">
        <f>_xlfn.XLOOKUP(Logs[[#This Row],[Cell_ID]],'Registre_Maintenance'!B:B,'Registre_Maintenance'!G:G,"Pas de correspondance")</f>
        <v>Pas de correspondance</v>
      </c>
      <c r="M1023" s="1" t="s">
        <v>809</v>
      </c>
      <c r="N1023" s="1" t="str">
        <f>_xlfn.XLOOKUP(Logs[[#This Row],[ID_Client]],Clients_Log!B:B,Clients_Log!E:E,"Pas de correspondance")</f>
        <v>Pas de correspondance</v>
      </c>
      <c r="O1023" s="4" t="str">
        <f>IFERROR(Logs[[#This Row],[Anciennete_Mois]]/12,"")</f>
        <v/>
      </c>
      <c r="P1023" s="1" t="str">
        <f>_xlfn.XLOOKUP(Logs[[#This Row],[ID_Client]],Clients_Log!B:B,Clients_Log!F:F,"Pas de correspondance")</f>
        <v>Pas de correspondance</v>
      </c>
      <c r="Q1023" s="1" t="str">
        <f>IF(Logs[[#This Row],[Type_Forfait]]="Pro Monde","B2B","B2C")</f>
        <v>B2C</v>
      </c>
      <c r="R1023" s="1" t="str">
        <f>_xlfn.XLOOKUP(Logs[[#This Row],[ID_Client]],Clients_Log!B:B,Clients_Log!G:G,"Pas de correspondance")</f>
        <v>Pas de correspondance</v>
      </c>
      <c r="S1023" s="1" t="e">
        <f>Logs[[#This Row],[Duree_Cumulee_Panne_Min]]/1440</f>
        <v>#VALUE!</v>
      </c>
      <c r="T1023" s="1" t="str">
        <f>_xlfn.XLOOKUP(Logs[[#This Row],[ID_Client]],Clients_Log!B:B,Clients_Log!H:H,"Pas de correspondance")</f>
        <v>Pas de correspondance</v>
      </c>
      <c r="U1023" s="1" t="str">
        <f>_xlfn.XLOOKUP(Logs[[#This Row],[ID_Client]],Clients_Log!B:B,Clients_Log!I:I,"Pas de correspondance")</f>
        <v>Pas de correspondance</v>
      </c>
      <c r="V102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23" s="1" t="e">
        <f>Logs[[#This Row],[Facture_Mensuelle]]*Logs[[#This Row],[Remise (%)]]</f>
        <v>#VALUE!</v>
      </c>
    </row>
    <row r="1024" spans="1:23" x14ac:dyDescent="0.25">
      <c r="A1024" s="1" t="s">
        <v>1459</v>
      </c>
      <c r="B1024" s="2">
        <v>45215</v>
      </c>
      <c r="C1024" s="1" t="str">
        <f>_xlfn.XLOOKUP(Logs[[#This Row],[Province_RDC]],Clients_Log!D:D,Clients_Log!B:B,"Pas de correspondance")</f>
        <v>CLI-00745</v>
      </c>
      <c r="D1024" t="str">
        <f>_xlfn.XLOOKUP(Logs[[#This Row],[Cell_ID]],'Registre_Maintenance'!B:B,'Registre_Maintenance'!C:C,"Pas de correspondance")</f>
        <v>Tshopo</v>
      </c>
      <c r="E1024" s="3">
        <v>0.77500000000000002</v>
      </c>
      <c r="F1024" s="1" t="s">
        <v>1169</v>
      </c>
      <c r="G1024" s="3">
        <f>Logs[[#This Row],[Duree_Panne_Min]]/1440</f>
        <v>6.5972222222222224E-2</v>
      </c>
      <c r="H1024">
        <v>95</v>
      </c>
      <c r="I1024">
        <f>_xlfn.XLOOKUP(Logs[[#This Row],[Cell_ID]],'Registre_Maintenance'!B:B,'Registre_Maintenance'!D:D,"Pas de correspondance")</f>
        <v>-0.85624699999999998</v>
      </c>
      <c r="J1024">
        <f>_xlfn.XLOOKUP(Logs[[#This Row],[Cell_ID]],'Registre_Maintenance'!B:B,'Registre_Maintenance'!E:E,"Pas de correspondance")</f>
        <v>28.624870000000001</v>
      </c>
      <c r="K1024" t="str">
        <f>_xlfn.XLOOKUP(Logs[[#This Row],[Cell_ID]],'Registre_Maintenance'!B:B,'Registre_Maintenance'!F:F,"Pas de correspondance")</f>
        <v>3G</v>
      </c>
      <c r="L1024" t="str">
        <f>_xlfn.XLOOKUP(Logs[[#This Row],[Cell_ID]],'Registre_Maintenance'!B:B,'Registre_Maintenance'!G:G,"Pas de correspondance")</f>
        <v>Ericsson</v>
      </c>
      <c r="M1024" s="1" t="s">
        <v>809</v>
      </c>
      <c r="N1024" s="1">
        <f>_xlfn.XLOOKUP(Logs[[#This Row],[ID_Client]],Clients_Log!B:B,Clients_Log!E:E,"Pas de correspondance")</f>
        <v>6</v>
      </c>
      <c r="O1024" s="4">
        <f>IFERROR(Logs[[#This Row],[Anciennete_Mois]]/12,"")</f>
        <v>0.5</v>
      </c>
      <c r="P1024" s="1" t="str">
        <f>_xlfn.XLOOKUP(Logs[[#This Row],[ID_Client]],Clients_Log!B:B,Clients_Log!F:F,"Pas de correspondance")</f>
        <v>Premium 5G 150Go</v>
      </c>
      <c r="Q1024" s="1" t="str">
        <f>IF(Logs[[#This Row],[Type_Forfait]]="Pro Monde","B2B","B2C")</f>
        <v>B2C</v>
      </c>
      <c r="R1024" s="1">
        <f>_xlfn.XLOOKUP(Logs[[#This Row],[ID_Client]],Clients_Log!B:B,Clients_Log!G:G,"Pas de correspondance")</f>
        <v>207</v>
      </c>
      <c r="S1024" s="3">
        <f>Logs[[#This Row],[Duree_Cumulee_Panne_Min]]/1440</f>
        <v>0.14374999999999999</v>
      </c>
      <c r="T1024" s="1">
        <f>_xlfn.XLOOKUP(Logs[[#This Row],[ID_Client]],Clients_Log!B:B,Clients_Log!H:H,"Pas de correspondance")</f>
        <v>61.55</v>
      </c>
      <c r="U1024" s="1">
        <f>_xlfn.XLOOKUP(Logs[[#This Row],[ID_Client]],Clients_Log!B:B,Clients_Log!I:I,"Pas de correspondance")</f>
        <v>0</v>
      </c>
      <c r="V102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24" s="1">
        <f>Logs[[#This Row],[Facture_Mensuelle]]*Logs[[#This Row],[Remise (%)]]</f>
        <v>27.697499999999998</v>
      </c>
    </row>
    <row r="1025" spans="1:23" hidden="1" x14ac:dyDescent="0.25">
      <c r="A1025" s="1" t="s">
        <v>1459</v>
      </c>
      <c r="B1025" s="2">
        <v>45230</v>
      </c>
      <c r="C1025" s="1" t="str">
        <f>_xlfn.XLOOKUP(Logs[[#This Row],[Province_RDC]],Clients_Log!D:D,Clients_Log!B:B,"Pas de correspondance")</f>
        <v>Pas de correspondance</v>
      </c>
      <c r="D1025" t="str">
        <f>_xlfn.XLOOKUP(Logs[[#This Row],[Cell_ID]],'Registre_Maintenance'!B:B,'Registre_Maintenance'!C:C,"Pas de correspondance")</f>
        <v>Pas de correspondance</v>
      </c>
      <c r="E1025" s="3">
        <v>0.90625</v>
      </c>
      <c r="F1025" s="1" t="s">
        <v>1410</v>
      </c>
      <c r="G1025" s="3">
        <f>Logs[[#This Row],[Duree_Panne_Min]]/1440</f>
        <v>6.0416666666666667E-2</v>
      </c>
      <c r="H1025">
        <v>87</v>
      </c>
      <c r="I1025" t="str">
        <f>_xlfn.XLOOKUP(Logs[[#This Row],[Cell_ID]],'Registre_Maintenance'!B:B,'Registre_Maintenance'!D:D,"Pas de correspondance")</f>
        <v>Pas de correspondance</v>
      </c>
      <c r="J1025" t="str">
        <f>_xlfn.XLOOKUP(Logs[[#This Row],[Cell_ID]],'Registre_Maintenance'!B:B,'Registre_Maintenance'!E:E,"Pas de correspondance")</f>
        <v>Pas de correspondance</v>
      </c>
      <c r="K1025" t="str">
        <f>_xlfn.XLOOKUP(Logs[[#This Row],[Cell_ID]],'Registre_Maintenance'!B:B,'Registre_Maintenance'!F:F,"Pas de correspondance")</f>
        <v>Pas de correspondance</v>
      </c>
      <c r="L1025" t="str">
        <f>_xlfn.XLOOKUP(Logs[[#This Row],[Cell_ID]],'Registre_Maintenance'!B:B,'Registre_Maintenance'!G:G,"Pas de correspondance")</f>
        <v>Pas de correspondance</v>
      </c>
      <c r="M1025" s="1" t="s">
        <v>806</v>
      </c>
      <c r="N1025" s="1" t="str">
        <f>_xlfn.XLOOKUP(Logs[[#This Row],[ID_Client]],Clients_Log!B:B,Clients_Log!E:E,"Pas de correspondance")</f>
        <v>Pas de correspondance</v>
      </c>
      <c r="O1025" s="4" t="str">
        <f>IFERROR(Logs[[#This Row],[Anciennete_Mois]]/12,"")</f>
        <v/>
      </c>
      <c r="P1025" s="1" t="str">
        <f>_xlfn.XLOOKUP(Logs[[#This Row],[ID_Client]],Clients_Log!B:B,Clients_Log!F:F,"Pas de correspondance")</f>
        <v>Pas de correspondance</v>
      </c>
      <c r="Q1025" s="1" t="str">
        <f>IF(Logs[[#This Row],[Type_Forfait]]="Pro Monde","B2B","B2C")</f>
        <v>B2C</v>
      </c>
      <c r="R1025" s="1" t="str">
        <f>_xlfn.XLOOKUP(Logs[[#This Row],[ID_Client]],Clients_Log!B:B,Clients_Log!G:G,"Pas de correspondance")</f>
        <v>Pas de correspondance</v>
      </c>
      <c r="S1025" s="1" t="e">
        <f>Logs[[#This Row],[Duree_Cumulee_Panne_Min]]/1440</f>
        <v>#VALUE!</v>
      </c>
      <c r="T1025" s="1" t="str">
        <f>_xlfn.XLOOKUP(Logs[[#This Row],[ID_Client]],Clients_Log!B:B,Clients_Log!H:H,"Pas de correspondance")</f>
        <v>Pas de correspondance</v>
      </c>
      <c r="U1025" s="1" t="str">
        <f>_xlfn.XLOOKUP(Logs[[#This Row],[ID_Client]],Clients_Log!B:B,Clients_Log!I:I,"Pas de correspondance")</f>
        <v>Pas de correspondance</v>
      </c>
      <c r="V102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25" s="1" t="e">
        <f>Logs[[#This Row],[Facture_Mensuelle]]*Logs[[#This Row],[Remise (%)]]</f>
        <v>#VALUE!</v>
      </c>
    </row>
    <row r="1026" spans="1:23" x14ac:dyDescent="0.25">
      <c r="A1026" s="1" t="s">
        <v>1459</v>
      </c>
      <c r="B1026" s="2">
        <v>45213</v>
      </c>
      <c r="C1026" s="1" t="str">
        <f>_xlfn.XLOOKUP(Logs[[#This Row],[Province_RDC]],Clients_Log!D:D,Clients_Log!B:B,"Pas de correspondance")</f>
        <v>CLI-00837</v>
      </c>
      <c r="D1026" t="str">
        <f>_xlfn.XLOOKUP(Logs[[#This Row],[Cell_ID]],'Registre_Maintenance'!B:B,'Registre_Maintenance'!C:C,"Pas de correspondance")</f>
        <v>Nord-Kivu</v>
      </c>
      <c r="E1026" s="3">
        <v>0.90763888888888888</v>
      </c>
      <c r="F1026" s="1" t="s">
        <v>1432</v>
      </c>
      <c r="G1026" s="3">
        <f>Logs[[#This Row],[Duree_Panne_Min]]/1440</f>
        <v>3.6111111111111108E-2</v>
      </c>
      <c r="H1026">
        <v>52</v>
      </c>
      <c r="I1026">
        <f>_xlfn.XLOOKUP(Logs[[#This Row],[Cell_ID]],'Registre_Maintenance'!B:B,'Registre_Maintenance'!D:D,"Pas de correspondance")</f>
        <v>-10.298385</v>
      </c>
      <c r="J1026">
        <f>_xlfn.XLOOKUP(Logs[[#This Row],[Cell_ID]],'Registre_Maintenance'!B:B,'Registre_Maintenance'!E:E,"Pas de correspondance")</f>
        <v>29.698117</v>
      </c>
      <c r="K1026" t="str">
        <f>_xlfn.XLOOKUP(Logs[[#This Row],[Cell_ID]],'Registre_Maintenance'!B:B,'Registre_Maintenance'!F:F,"Pas de correspondance")</f>
        <v>5G</v>
      </c>
      <c r="L1026" t="str">
        <f>_xlfn.XLOOKUP(Logs[[#This Row],[Cell_ID]],'Registre_Maintenance'!B:B,'Registre_Maintenance'!G:G,"Pas de correspondance")</f>
        <v>Nokia</v>
      </c>
      <c r="M1026" s="1" t="s">
        <v>806</v>
      </c>
      <c r="N1026" s="1">
        <f>_xlfn.XLOOKUP(Logs[[#This Row],[ID_Client]],Clients_Log!B:B,Clients_Log!E:E,"Pas de correspondance")</f>
        <v>16</v>
      </c>
      <c r="O1026" s="4">
        <f>IFERROR(Logs[[#This Row],[Anciennete_Mois]]/12,"")</f>
        <v>1.3333333333333333</v>
      </c>
      <c r="P1026" s="1" t="str">
        <f>_xlfn.XLOOKUP(Logs[[#This Row],[ID_Client]],Clients_Log!B:B,Clients_Log!F:F,"Pas de correspondance")</f>
        <v>Bloqué 5Go</v>
      </c>
      <c r="Q1026" s="1" t="str">
        <f>IF(Logs[[#This Row],[Type_Forfait]]="Pro Monde","B2B","B2C")</f>
        <v>B2C</v>
      </c>
      <c r="R1026" s="1">
        <f>_xlfn.XLOOKUP(Logs[[#This Row],[ID_Client]],Clients_Log!B:B,Clients_Log!G:G,"Pas de correspondance")</f>
        <v>390</v>
      </c>
      <c r="S1026" s="3">
        <f>Logs[[#This Row],[Duree_Cumulee_Panne_Min]]/1440</f>
        <v>0.27083333333333331</v>
      </c>
      <c r="T1026" s="1">
        <f>_xlfn.XLOOKUP(Logs[[#This Row],[ID_Client]],Clients_Log!B:B,Clients_Log!H:H,"Pas de correspondance")</f>
        <v>98.17</v>
      </c>
      <c r="U1026" s="1">
        <f>_xlfn.XLOOKUP(Logs[[#This Row],[ID_Client]],Clients_Log!B:B,Clients_Log!I:I,"Pas de correspondance")</f>
        <v>5</v>
      </c>
      <c r="V102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26" s="1">
        <f>Logs[[#This Row],[Facture_Mensuelle]]*Logs[[#This Row],[Remise (%)]]</f>
        <v>44.176500000000004</v>
      </c>
    </row>
    <row r="1027" spans="1:23" hidden="1" x14ac:dyDescent="0.25">
      <c r="A1027" s="1" t="s">
        <v>1459</v>
      </c>
      <c r="B1027" s="2">
        <v>45228</v>
      </c>
      <c r="C1027" s="1" t="str">
        <f>_xlfn.XLOOKUP(Logs[[#This Row],[Province_RDC]],Clients_Log!D:D,Clients_Log!B:B,"Pas de correspondance")</f>
        <v>Pas de correspondance</v>
      </c>
      <c r="D1027" t="str">
        <f>_xlfn.XLOOKUP(Logs[[#This Row],[Cell_ID]],'Registre_Maintenance'!B:B,'Registre_Maintenance'!C:C,"Pas de correspondance")</f>
        <v>Pas de correspondance</v>
      </c>
      <c r="E1027" s="3">
        <v>0.72083333333333333</v>
      </c>
      <c r="F1027" s="1" t="s">
        <v>1473</v>
      </c>
      <c r="G1027" s="3">
        <f>Logs[[#This Row],[Duree_Panne_Min]]/1440</f>
        <v>7.013888888888889E-2</v>
      </c>
      <c r="H1027">
        <v>101</v>
      </c>
      <c r="I1027" t="str">
        <f>_xlfn.XLOOKUP(Logs[[#This Row],[Cell_ID]],'Registre_Maintenance'!B:B,'Registre_Maintenance'!D:D,"Pas de correspondance")</f>
        <v>Pas de correspondance</v>
      </c>
      <c r="J1027" t="str">
        <f>_xlfn.XLOOKUP(Logs[[#This Row],[Cell_ID]],'Registre_Maintenance'!B:B,'Registre_Maintenance'!E:E,"Pas de correspondance")</f>
        <v>Pas de correspondance</v>
      </c>
      <c r="K1027" t="str">
        <f>_xlfn.XLOOKUP(Logs[[#This Row],[Cell_ID]],'Registre_Maintenance'!B:B,'Registre_Maintenance'!F:F,"Pas de correspondance")</f>
        <v>Pas de correspondance</v>
      </c>
      <c r="L1027" t="str">
        <f>_xlfn.XLOOKUP(Logs[[#This Row],[Cell_ID]],'Registre_Maintenance'!B:B,'Registre_Maintenance'!G:G,"Pas de correspondance")</f>
        <v>Pas de correspondance</v>
      </c>
      <c r="M1027" s="1" t="s">
        <v>809</v>
      </c>
      <c r="N1027" s="1" t="str">
        <f>_xlfn.XLOOKUP(Logs[[#This Row],[ID_Client]],Clients_Log!B:B,Clients_Log!E:E,"Pas de correspondance")</f>
        <v>Pas de correspondance</v>
      </c>
      <c r="O1027" s="4" t="str">
        <f>IFERROR(Logs[[#This Row],[Anciennete_Mois]]/12,"")</f>
        <v/>
      </c>
      <c r="P1027" s="1" t="str">
        <f>_xlfn.XLOOKUP(Logs[[#This Row],[ID_Client]],Clients_Log!B:B,Clients_Log!F:F,"Pas de correspondance")</f>
        <v>Pas de correspondance</v>
      </c>
      <c r="Q1027" s="1" t="str">
        <f>IF(Logs[[#This Row],[Type_Forfait]]="Pro Monde","B2B","B2C")</f>
        <v>B2C</v>
      </c>
      <c r="R1027" s="1" t="str">
        <f>_xlfn.XLOOKUP(Logs[[#This Row],[ID_Client]],Clients_Log!B:B,Clients_Log!G:G,"Pas de correspondance")</f>
        <v>Pas de correspondance</v>
      </c>
      <c r="S1027" s="1" t="e">
        <f>Logs[[#This Row],[Duree_Cumulee_Panne_Min]]/1440</f>
        <v>#VALUE!</v>
      </c>
      <c r="T1027" s="1" t="str">
        <f>_xlfn.XLOOKUP(Logs[[#This Row],[ID_Client]],Clients_Log!B:B,Clients_Log!H:H,"Pas de correspondance")</f>
        <v>Pas de correspondance</v>
      </c>
      <c r="U1027" s="1" t="str">
        <f>_xlfn.XLOOKUP(Logs[[#This Row],[ID_Client]],Clients_Log!B:B,Clients_Log!I:I,"Pas de correspondance")</f>
        <v>Pas de correspondance</v>
      </c>
      <c r="V102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27" s="1" t="e">
        <f>Logs[[#This Row],[Facture_Mensuelle]]*Logs[[#This Row],[Remise (%)]]</f>
        <v>#VALUE!</v>
      </c>
    </row>
    <row r="1028" spans="1:23" hidden="1" x14ac:dyDescent="0.25">
      <c r="A1028" s="1" t="s">
        <v>1459</v>
      </c>
      <c r="B1028" s="2">
        <v>45228</v>
      </c>
      <c r="C1028" s="1" t="str">
        <f>_xlfn.XLOOKUP(Logs[[#This Row],[Province_RDC]],Clients_Log!D:D,Clients_Log!B:B,"Pas de correspondance")</f>
        <v>Pas de correspondance</v>
      </c>
      <c r="D1028" t="str">
        <f>_xlfn.XLOOKUP(Logs[[#This Row],[Cell_ID]],'Registre_Maintenance'!B:B,'Registre_Maintenance'!C:C,"Pas de correspondance")</f>
        <v>Pas de correspondance</v>
      </c>
      <c r="E1028" s="3">
        <v>0.57708333333333328</v>
      </c>
      <c r="F1028" s="1" t="s">
        <v>955</v>
      </c>
      <c r="G1028" s="3">
        <f>Logs[[#This Row],[Duree_Panne_Min]]/1440</f>
        <v>5.5555555555555552E-2</v>
      </c>
      <c r="H1028">
        <v>80</v>
      </c>
      <c r="I1028" t="str">
        <f>_xlfn.XLOOKUP(Logs[[#This Row],[Cell_ID]],'Registre_Maintenance'!B:B,'Registre_Maintenance'!D:D,"Pas de correspondance")</f>
        <v>Pas de correspondance</v>
      </c>
      <c r="J1028" t="str">
        <f>_xlfn.XLOOKUP(Logs[[#This Row],[Cell_ID]],'Registre_Maintenance'!B:B,'Registre_Maintenance'!E:E,"Pas de correspondance")</f>
        <v>Pas de correspondance</v>
      </c>
      <c r="K1028" t="str">
        <f>_xlfn.XLOOKUP(Logs[[#This Row],[Cell_ID]],'Registre_Maintenance'!B:B,'Registre_Maintenance'!F:F,"Pas de correspondance")</f>
        <v>Pas de correspondance</v>
      </c>
      <c r="L1028" t="str">
        <f>_xlfn.XLOOKUP(Logs[[#This Row],[Cell_ID]],'Registre_Maintenance'!B:B,'Registre_Maintenance'!G:G,"Pas de correspondance")</f>
        <v>Pas de correspondance</v>
      </c>
      <c r="M1028" s="1" t="s">
        <v>811</v>
      </c>
      <c r="N1028" s="1" t="str">
        <f>_xlfn.XLOOKUP(Logs[[#This Row],[ID_Client]],Clients_Log!B:B,Clients_Log!E:E,"Pas de correspondance")</f>
        <v>Pas de correspondance</v>
      </c>
      <c r="O1028" s="4" t="str">
        <f>IFERROR(Logs[[#This Row],[Anciennete_Mois]]/12,"")</f>
        <v/>
      </c>
      <c r="P1028" s="1" t="str">
        <f>_xlfn.XLOOKUP(Logs[[#This Row],[ID_Client]],Clients_Log!B:B,Clients_Log!F:F,"Pas de correspondance")</f>
        <v>Pas de correspondance</v>
      </c>
      <c r="Q1028" s="1" t="str">
        <f>IF(Logs[[#This Row],[Type_Forfait]]="Pro Monde","B2B","B2C")</f>
        <v>B2C</v>
      </c>
      <c r="R1028" s="1" t="str">
        <f>_xlfn.XLOOKUP(Logs[[#This Row],[ID_Client]],Clients_Log!B:B,Clients_Log!G:G,"Pas de correspondance")</f>
        <v>Pas de correspondance</v>
      </c>
      <c r="S1028" s="1" t="e">
        <f>Logs[[#This Row],[Duree_Cumulee_Panne_Min]]/1440</f>
        <v>#VALUE!</v>
      </c>
      <c r="T1028" s="1" t="str">
        <f>_xlfn.XLOOKUP(Logs[[#This Row],[ID_Client]],Clients_Log!B:B,Clients_Log!H:H,"Pas de correspondance")</f>
        <v>Pas de correspondance</v>
      </c>
      <c r="U1028" s="1" t="str">
        <f>_xlfn.XLOOKUP(Logs[[#This Row],[ID_Client]],Clients_Log!B:B,Clients_Log!I:I,"Pas de correspondance")</f>
        <v>Pas de correspondance</v>
      </c>
      <c r="V102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28" s="1" t="e">
        <f>Logs[[#This Row],[Facture_Mensuelle]]*Logs[[#This Row],[Remise (%)]]</f>
        <v>#VALUE!</v>
      </c>
    </row>
    <row r="1029" spans="1:23" x14ac:dyDescent="0.25">
      <c r="A1029" s="1" t="s">
        <v>1459</v>
      </c>
      <c r="B1029" s="2">
        <v>45200</v>
      </c>
      <c r="C1029" s="1" t="str">
        <f>_xlfn.XLOOKUP(Logs[[#This Row],[Province_RDC]],Clients_Log!D:D,Clients_Log!B:B,"Pas de correspondance")</f>
        <v>CLI-01147</v>
      </c>
      <c r="D1029" t="str">
        <f>_xlfn.XLOOKUP(Logs[[#This Row],[Cell_ID]],'Registre_Maintenance'!B:B,'Registre_Maintenance'!C:C,"Pas de correspondance")</f>
        <v>Ituri</v>
      </c>
      <c r="E1029" s="3">
        <v>0.67083333333333328</v>
      </c>
      <c r="F1029" s="1" t="s">
        <v>1474</v>
      </c>
      <c r="G1029" s="3">
        <f>Logs[[#This Row],[Duree_Panne_Min]]/1440</f>
        <v>5.1388888888888887E-2</v>
      </c>
      <c r="H1029">
        <v>74</v>
      </c>
      <c r="I1029">
        <f>_xlfn.XLOOKUP(Logs[[#This Row],[Cell_ID]],'Registre_Maintenance'!B:B,'Registre_Maintenance'!D:D,"Pas de correspondance")</f>
        <v>-4.6426759999999998</v>
      </c>
      <c r="J1029">
        <f>_xlfn.XLOOKUP(Logs[[#This Row],[Cell_ID]],'Registre_Maintenance'!B:B,'Registre_Maintenance'!E:E,"Pas de correspondance")</f>
        <v>22.124254000000001</v>
      </c>
      <c r="K1029" t="str">
        <f>_xlfn.XLOOKUP(Logs[[#This Row],[Cell_ID]],'Registre_Maintenance'!B:B,'Registre_Maintenance'!F:F,"Pas de correspondance")</f>
        <v>4G</v>
      </c>
      <c r="L1029" t="str">
        <f>_xlfn.XLOOKUP(Logs[[#This Row],[Cell_ID]],'Registre_Maintenance'!B:B,'Registre_Maintenance'!G:G,"Pas de correspondance")</f>
        <v>ZTE</v>
      </c>
      <c r="M1029" s="1" t="s">
        <v>811</v>
      </c>
      <c r="N1029" s="1">
        <f>_xlfn.XLOOKUP(Logs[[#This Row],[ID_Client]],Clients_Log!B:B,Clients_Log!E:E,"Pas de correspondance")</f>
        <v>29</v>
      </c>
      <c r="O1029" s="4">
        <f>IFERROR(Logs[[#This Row],[Anciennete_Mois]]/12,"")</f>
        <v>2.4166666666666665</v>
      </c>
      <c r="P1029" s="1" t="str">
        <f>_xlfn.XLOOKUP(Logs[[#This Row],[ID_Client]],Clients_Log!B:B,Clients_Log!F:F,"Pas de correspondance")</f>
        <v>Premium 5G 150Go</v>
      </c>
      <c r="Q1029" s="1" t="str">
        <f>IF(Logs[[#This Row],[Type_Forfait]]="Pro Monde","B2B","B2C")</f>
        <v>B2C</v>
      </c>
      <c r="R1029" s="1">
        <f>_xlfn.XLOOKUP(Logs[[#This Row],[ID_Client]],Clients_Log!B:B,Clients_Log!G:G,"Pas de correspondance")</f>
        <v>214</v>
      </c>
      <c r="S1029" s="3">
        <f>Logs[[#This Row],[Duree_Cumulee_Panne_Min]]/1440</f>
        <v>0.14861111111111111</v>
      </c>
      <c r="T1029" s="1">
        <f>_xlfn.XLOOKUP(Logs[[#This Row],[ID_Client]],Clients_Log!B:B,Clients_Log!H:H,"Pas de correspondance")</f>
        <v>74.7</v>
      </c>
      <c r="U1029" s="1">
        <f>_xlfn.XLOOKUP(Logs[[#This Row],[ID_Client]],Clients_Log!B:B,Clients_Log!I:I,"Pas de correspondance")</f>
        <v>3</v>
      </c>
      <c r="V102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29" s="1">
        <f>Logs[[#This Row],[Facture_Mensuelle]]*Logs[[#This Row],[Remise (%)]]</f>
        <v>33.615000000000002</v>
      </c>
    </row>
    <row r="1030" spans="1:23" x14ac:dyDescent="0.25">
      <c r="A1030" s="1" t="s">
        <v>1459</v>
      </c>
      <c r="B1030" s="2">
        <v>45200</v>
      </c>
      <c r="C1030" s="1" t="str">
        <f>_xlfn.XLOOKUP(Logs[[#This Row],[Province_RDC]],Clients_Log!D:D,Clients_Log!B:B,"Pas de correspondance")</f>
        <v>CLI-00076</v>
      </c>
      <c r="D1030" t="str">
        <f>_xlfn.XLOOKUP(Logs[[#This Row],[Cell_ID]],'Registre_Maintenance'!B:B,'Registre_Maintenance'!C:C,"Pas de correspondance")</f>
        <v>Haut-Katanga</v>
      </c>
      <c r="E1030" s="3">
        <v>0.50624999999999998</v>
      </c>
      <c r="F1030" s="1" t="s">
        <v>1303</v>
      </c>
      <c r="G1030" s="3">
        <f>Logs[[#This Row],[Duree_Panne_Min]]/1440</f>
        <v>6.8750000000000006E-2</v>
      </c>
      <c r="H1030">
        <v>99</v>
      </c>
      <c r="I1030">
        <f>_xlfn.XLOOKUP(Logs[[#This Row],[Cell_ID]],'Registre_Maintenance'!B:B,'Registre_Maintenance'!D:D,"Pas de correspondance")</f>
        <v>-10.945031</v>
      </c>
      <c r="J1030">
        <f>_xlfn.XLOOKUP(Logs[[#This Row],[Cell_ID]],'Registre_Maintenance'!B:B,'Registre_Maintenance'!E:E,"Pas de correspondance")</f>
        <v>27.922274000000002</v>
      </c>
      <c r="K1030" t="str">
        <f>_xlfn.XLOOKUP(Logs[[#This Row],[Cell_ID]],'Registre_Maintenance'!B:B,'Registre_Maintenance'!F:F,"Pas de correspondance")</f>
        <v>4G</v>
      </c>
      <c r="L1030" t="str">
        <f>_xlfn.XLOOKUP(Logs[[#This Row],[Cell_ID]],'Registre_Maintenance'!B:B,'Registre_Maintenance'!G:G,"Pas de correspondance")</f>
        <v>Ericsson</v>
      </c>
      <c r="M1030" s="1" t="s">
        <v>806</v>
      </c>
      <c r="N1030" s="1">
        <f>_xlfn.XLOOKUP(Logs[[#This Row],[ID_Client]],Clients_Log!B:B,Clients_Log!E:E,"Pas de correspondance")</f>
        <v>46</v>
      </c>
      <c r="O1030" s="4">
        <f>IFERROR(Logs[[#This Row],[Anciennete_Mois]]/12,"")</f>
        <v>3.8333333333333335</v>
      </c>
      <c r="P1030" s="1" t="str">
        <f>_xlfn.XLOOKUP(Logs[[#This Row],[ID_Client]],Clients_Log!B:B,Clients_Log!F:F,"Pas de correspondance")</f>
        <v>Premium 5G 150Go</v>
      </c>
      <c r="Q1030" s="1" t="str">
        <f>IF(Logs[[#This Row],[Type_Forfait]]="Pro Monde","B2B","B2C")</f>
        <v>B2C</v>
      </c>
      <c r="R1030" s="1">
        <f>_xlfn.XLOOKUP(Logs[[#This Row],[ID_Client]],Clients_Log!B:B,Clients_Log!G:G,"Pas de correspondance")</f>
        <v>283</v>
      </c>
      <c r="S1030" s="3">
        <f>Logs[[#This Row],[Duree_Cumulee_Panne_Min]]/1440</f>
        <v>0.19652777777777777</v>
      </c>
      <c r="T1030" s="1">
        <f>_xlfn.XLOOKUP(Logs[[#This Row],[ID_Client]],Clients_Log!B:B,Clients_Log!H:H,"Pas de correspondance")</f>
        <v>56.05</v>
      </c>
      <c r="U1030" s="1">
        <f>_xlfn.XLOOKUP(Logs[[#This Row],[ID_Client]],Clients_Log!B:B,Clients_Log!I:I,"Pas de correspondance")</f>
        <v>1</v>
      </c>
      <c r="V103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30" s="1">
        <f>Logs[[#This Row],[Facture_Mensuelle]]*Logs[[#This Row],[Remise (%)]]</f>
        <v>25.2225</v>
      </c>
    </row>
    <row r="1031" spans="1:23" x14ac:dyDescent="0.25">
      <c r="A1031" s="1" t="s">
        <v>1459</v>
      </c>
      <c r="B1031" s="2">
        <v>45201</v>
      </c>
      <c r="C1031" s="1" t="str">
        <f>_xlfn.XLOOKUP(Logs[[#This Row],[Province_RDC]],Clients_Log!D:D,Clients_Log!B:B,"Pas de correspondance")</f>
        <v>CLI-00837</v>
      </c>
      <c r="D1031" t="str">
        <f>_xlfn.XLOOKUP(Logs[[#This Row],[Cell_ID]],'Registre_Maintenance'!B:B,'Registre_Maintenance'!C:C,"Pas de correspondance")</f>
        <v>Nord-Kivu</v>
      </c>
      <c r="E1031" s="3">
        <v>0.87708333333333333</v>
      </c>
      <c r="F1031" s="1" t="s">
        <v>974</v>
      </c>
      <c r="G1031" s="3">
        <f>Logs[[#This Row],[Duree_Panne_Min]]/1440</f>
        <v>5.6944444444444443E-2</v>
      </c>
      <c r="H1031">
        <v>82</v>
      </c>
      <c r="I1031">
        <f>_xlfn.XLOOKUP(Logs[[#This Row],[Cell_ID]],'Registre_Maintenance'!B:B,'Registre_Maintenance'!D:D,"Pas de correspondance")</f>
        <v>-12.336202</v>
      </c>
      <c r="J1031">
        <f>_xlfn.XLOOKUP(Logs[[#This Row],[Cell_ID]],'Registre_Maintenance'!B:B,'Registre_Maintenance'!E:E,"Pas de correspondance")</f>
        <v>13.693683999999999</v>
      </c>
      <c r="K1031" t="str">
        <f>_xlfn.XLOOKUP(Logs[[#This Row],[Cell_ID]],'Registre_Maintenance'!B:B,'Registre_Maintenance'!F:F,"Pas de correspondance")</f>
        <v>5G</v>
      </c>
      <c r="L1031" t="str">
        <f>_xlfn.XLOOKUP(Logs[[#This Row],[Cell_ID]],'Registre_Maintenance'!B:B,'Registre_Maintenance'!G:G,"Pas de correspondance")</f>
        <v>Huawei</v>
      </c>
      <c r="M1031" s="1" t="s">
        <v>811</v>
      </c>
      <c r="N1031" s="1">
        <f>_xlfn.XLOOKUP(Logs[[#This Row],[ID_Client]],Clients_Log!B:B,Clients_Log!E:E,"Pas de correspondance")</f>
        <v>16</v>
      </c>
      <c r="O1031" s="4">
        <f>IFERROR(Logs[[#This Row],[Anciennete_Mois]]/12,"")</f>
        <v>1.3333333333333333</v>
      </c>
      <c r="P1031" s="1" t="str">
        <f>_xlfn.XLOOKUP(Logs[[#This Row],[ID_Client]],Clients_Log!B:B,Clients_Log!F:F,"Pas de correspondance")</f>
        <v>Bloqué 5Go</v>
      </c>
      <c r="Q1031" s="1" t="str">
        <f>IF(Logs[[#This Row],[Type_Forfait]]="Pro Monde","B2B","B2C")</f>
        <v>B2C</v>
      </c>
      <c r="R1031" s="1">
        <f>_xlfn.XLOOKUP(Logs[[#This Row],[ID_Client]],Clients_Log!B:B,Clients_Log!G:G,"Pas de correspondance")</f>
        <v>390</v>
      </c>
      <c r="S1031" s="3">
        <f>Logs[[#This Row],[Duree_Cumulee_Panne_Min]]/1440</f>
        <v>0.27083333333333331</v>
      </c>
      <c r="T1031" s="1">
        <f>_xlfn.XLOOKUP(Logs[[#This Row],[ID_Client]],Clients_Log!B:B,Clients_Log!H:H,"Pas de correspondance")</f>
        <v>98.17</v>
      </c>
      <c r="U1031" s="1">
        <f>_xlfn.XLOOKUP(Logs[[#This Row],[ID_Client]],Clients_Log!B:B,Clients_Log!I:I,"Pas de correspondance")</f>
        <v>5</v>
      </c>
      <c r="V103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31" s="1">
        <f>Logs[[#This Row],[Facture_Mensuelle]]*Logs[[#This Row],[Remise (%)]]</f>
        <v>44.176500000000004</v>
      </c>
    </row>
    <row r="1032" spans="1:23" hidden="1" x14ac:dyDescent="0.25">
      <c r="A1032" s="1" t="s">
        <v>1459</v>
      </c>
      <c r="B1032" s="2">
        <v>45206</v>
      </c>
      <c r="C1032" s="1" t="str">
        <f>_xlfn.XLOOKUP(Logs[[#This Row],[Province_RDC]],Clients_Log!D:D,Clients_Log!B:B,"Pas de correspondance")</f>
        <v>Pas de correspondance</v>
      </c>
      <c r="D1032" t="str">
        <f>_xlfn.XLOOKUP(Logs[[#This Row],[Cell_ID]],'Registre_Maintenance'!B:B,'Registre_Maintenance'!C:C,"Pas de correspondance")</f>
        <v>Pas de correspondance</v>
      </c>
      <c r="E1032" s="3">
        <v>0.36666666666666664</v>
      </c>
      <c r="F1032" s="1" t="s">
        <v>1475</v>
      </c>
      <c r="G1032" s="3">
        <f>Logs[[#This Row],[Duree_Panne_Min]]/1440</f>
        <v>2.0833333333333332E-2</v>
      </c>
      <c r="H1032">
        <v>30</v>
      </c>
      <c r="I1032" t="str">
        <f>_xlfn.XLOOKUP(Logs[[#This Row],[Cell_ID]],'Registre_Maintenance'!B:B,'Registre_Maintenance'!D:D,"Pas de correspondance")</f>
        <v>Pas de correspondance</v>
      </c>
      <c r="J1032" t="str">
        <f>_xlfn.XLOOKUP(Logs[[#This Row],[Cell_ID]],'Registre_Maintenance'!B:B,'Registre_Maintenance'!E:E,"Pas de correspondance")</f>
        <v>Pas de correspondance</v>
      </c>
      <c r="K1032" t="str">
        <f>_xlfn.XLOOKUP(Logs[[#This Row],[Cell_ID]],'Registre_Maintenance'!B:B,'Registre_Maintenance'!F:F,"Pas de correspondance")</f>
        <v>Pas de correspondance</v>
      </c>
      <c r="L1032" t="str">
        <f>_xlfn.XLOOKUP(Logs[[#This Row],[Cell_ID]],'Registre_Maintenance'!B:B,'Registre_Maintenance'!G:G,"Pas de correspondance")</f>
        <v>Pas de correspondance</v>
      </c>
      <c r="M1032" s="1" t="s">
        <v>811</v>
      </c>
      <c r="N1032" s="1" t="str">
        <f>_xlfn.XLOOKUP(Logs[[#This Row],[ID_Client]],Clients_Log!B:B,Clients_Log!E:E,"Pas de correspondance")</f>
        <v>Pas de correspondance</v>
      </c>
      <c r="O1032" s="4" t="str">
        <f>IFERROR(Logs[[#This Row],[Anciennete_Mois]]/12,"")</f>
        <v/>
      </c>
      <c r="P1032" s="1" t="str">
        <f>_xlfn.XLOOKUP(Logs[[#This Row],[ID_Client]],Clients_Log!B:B,Clients_Log!F:F,"Pas de correspondance")</f>
        <v>Pas de correspondance</v>
      </c>
      <c r="Q1032" s="1" t="str">
        <f>IF(Logs[[#This Row],[Type_Forfait]]="Pro Monde","B2B","B2C")</f>
        <v>B2C</v>
      </c>
      <c r="R1032" s="1" t="str">
        <f>_xlfn.XLOOKUP(Logs[[#This Row],[ID_Client]],Clients_Log!B:B,Clients_Log!G:G,"Pas de correspondance")</f>
        <v>Pas de correspondance</v>
      </c>
      <c r="S1032" s="1" t="e">
        <f>Logs[[#This Row],[Duree_Cumulee_Panne_Min]]/1440</f>
        <v>#VALUE!</v>
      </c>
      <c r="T1032" s="1" t="str">
        <f>_xlfn.XLOOKUP(Logs[[#This Row],[ID_Client]],Clients_Log!B:B,Clients_Log!H:H,"Pas de correspondance")</f>
        <v>Pas de correspondance</v>
      </c>
      <c r="U1032" s="1" t="str">
        <f>_xlfn.XLOOKUP(Logs[[#This Row],[ID_Client]],Clients_Log!B:B,Clients_Log!I:I,"Pas de correspondance")</f>
        <v>Pas de correspondance</v>
      </c>
      <c r="V103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32" s="1" t="e">
        <f>Logs[[#This Row],[Facture_Mensuelle]]*Logs[[#This Row],[Remise (%)]]</f>
        <v>#VALUE!</v>
      </c>
    </row>
    <row r="1033" spans="1:23" hidden="1" x14ac:dyDescent="0.25">
      <c r="A1033" s="1" t="s">
        <v>1459</v>
      </c>
      <c r="B1033" s="2">
        <v>45225</v>
      </c>
      <c r="C1033" s="1" t="str">
        <f>_xlfn.XLOOKUP(Logs[[#This Row],[Province_RDC]],Clients_Log!D:D,Clients_Log!B:B,"Pas de correspondance")</f>
        <v>Pas de correspondance</v>
      </c>
      <c r="D1033" t="str">
        <f>_xlfn.XLOOKUP(Logs[[#This Row],[Cell_ID]],'Registre_Maintenance'!B:B,'Registre_Maintenance'!C:C,"Pas de correspondance")</f>
        <v>Pas de correspondance</v>
      </c>
      <c r="E1033" s="3">
        <v>0.22083333333333333</v>
      </c>
      <c r="F1033" s="1" t="s">
        <v>1476</v>
      </c>
      <c r="G1033" s="3">
        <f>Logs[[#This Row],[Duree_Panne_Min]]/1440</f>
        <v>7.2222222222222215E-2</v>
      </c>
      <c r="H1033">
        <v>104</v>
      </c>
      <c r="I1033" t="str">
        <f>_xlfn.XLOOKUP(Logs[[#This Row],[Cell_ID]],'Registre_Maintenance'!B:B,'Registre_Maintenance'!D:D,"Pas de correspondance")</f>
        <v>Pas de correspondance</v>
      </c>
      <c r="J1033" t="str">
        <f>_xlfn.XLOOKUP(Logs[[#This Row],[Cell_ID]],'Registre_Maintenance'!B:B,'Registre_Maintenance'!E:E,"Pas de correspondance")</f>
        <v>Pas de correspondance</v>
      </c>
      <c r="K1033" t="str">
        <f>_xlfn.XLOOKUP(Logs[[#This Row],[Cell_ID]],'Registre_Maintenance'!B:B,'Registre_Maintenance'!F:F,"Pas de correspondance")</f>
        <v>Pas de correspondance</v>
      </c>
      <c r="L1033" t="str">
        <f>_xlfn.XLOOKUP(Logs[[#This Row],[Cell_ID]],'Registre_Maintenance'!B:B,'Registre_Maintenance'!G:G,"Pas de correspondance")</f>
        <v>Pas de correspondance</v>
      </c>
      <c r="M1033" s="1" t="s">
        <v>809</v>
      </c>
      <c r="N1033" s="1" t="str">
        <f>_xlfn.XLOOKUP(Logs[[#This Row],[ID_Client]],Clients_Log!B:B,Clients_Log!E:E,"Pas de correspondance")</f>
        <v>Pas de correspondance</v>
      </c>
      <c r="O1033" s="4" t="str">
        <f>IFERROR(Logs[[#This Row],[Anciennete_Mois]]/12,"")</f>
        <v/>
      </c>
      <c r="P1033" s="1" t="str">
        <f>_xlfn.XLOOKUP(Logs[[#This Row],[ID_Client]],Clients_Log!B:B,Clients_Log!F:F,"Pas de correspondance")</f>
        <v>Pas de correspondance</v>
      </c>
      <c r="Q1033" s="1" t="str">
        <f>IF(Logs[[#This Row],[Type_Forfait]]="Pro Monde","B2B","B2C")</f>
        <v>B2C</v>
      </c>
      <c r="R1033" s="1" t="str">
        <f>_xlfn.XLOOKUP(Logs[[#This Row],[ID_Client]],Clients_Log!B:B,Clients_Log!G:G,"Pas de correspondance")</f>
        <v>Pas de correspondance</v>
      </c>
      <c r="S1033" s="1" t="e">
        <f>Logs[[#This Row],[Duree_Cumulee_Panne_Min]]/1440</f>
        <v>#VALUE!</v>
      </c>
      <c r="T1033" s="1" t="str">
        <f>_xlfn.XLOOKUP(Logs[[#This Row],[ID_Client]],Clients_Log!B:B,Clients_Log!H:H,"Pas de correspondance")</f>
        <v>Pas de correspondance</v>
      </c>
      <c r="U1033" s="1" t="str">
        <f>_xlfn.XLOOKUP(Logs[[#This Row],[ID_Client]],Clients_Log!B:B,Clients_Log!I:I,"Pas de correspondance")</f>
        <v>Pas de correspondance</v>
      </c>
      <c r="V103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33" s="1" t="e">
        <f>Logs[[#This Row],[Facture_Mensuelle]]*Logs[[#This Row],[Remise (%)]]</f>
        <v>#VALUE!</v>
      </c>
    </row>
    <row r="1034" spans="1:23" hidden="1" x14ac:dyDescent="0.25">
      <c r="A1034" s="1" t="s">
        <v>1459</v>
      </c>
      <c r="B1034" s="2">
        <v>45221</v>
      </c>
      <c r="C1034" s="1" t="str">
        <f>_xlfn.XLOOKUP(Logs[[#This Row],[Province_RDC]],Clients_Log!D:D,Clients_Log!B:B,"Pas de correspondance")</f>
        <v>Pas de correspondance</v>
      </c>
      <c r="D1034" t="str">
        <f>_xlfn.XLOOKUP(Logs[[#This Row],[Cell_ID]],'Registre_Maintenance'!B:B,'Registre_Maintenance'!C:C,"Pas de correspondance")</f>
        <v>Pas de correspondance</v>
      </c>
      <c r="E1034" s="3">
        <v>0.33958333333333335</v>
      </c>
      <c r="F1034" s="1" t="s">
        <v>1326</v>
      </c>
      <c r="G1034" s="3">
        <f>Logs[[#This Row],[Duree_Panne_Min]]/1440</f>
        <v>6.7361111111111108E-2</v>
      </c>
      <c r="H1034">
        <v>97</v>
      </c>
      <c r="I1034" t="str">
        <f>_xlfn.XLOOKUP(Logs[[#This Row],[Cell_ID]],'Registre_Maintenance'!B:B,'Registre_Maintenance'!D:D,"Pas de correspondance")</f>
        <v>Pas de correspondance</v>
      </c>
      <c r="J1034" t="str">
        <f>_xlfn.XLOOKUP(Logs[[#This Row],[Cell_ID]],'Registre_Maintenance'!B:B,'Registre_Maintenance'!E:E,"Pas de correspondance")</f>
        <v>Pas de correspondance</v>
      </c>
      <c r="K1034" t="str">
        <f>_xlfn.XLOOKUP(Logs[[#This Row],[Cell_ID]],'Registre_Maintenance'!B:B,'Registre_Maintenance'!F:F,"Pas de correspondance")</f>
        <v>Pas de correspondance</v>
      </c>
      <c r="L1034" t="str">
        <f>_xlfn.XLOOKUP(Logs[[#This Row],[Cell_ID]],'Registre_Maintenance'!B:B,'Registre_Maintenance'!G:G,"Pas de correspondance")</f>
        <v>Pas de correspondance</v>
      </c>
      <c r="M1034" s="1" t="s">
        <v>809</v>
      </c>
      <c r="N1034" s="1" t="str">
        <f>_xlfn.XLOOKUP(Logs[[#This Row],[ID_Client]],Clients_Log!B:B,Clients_Log!E:E,"Pas de correspondance")</f>
        <v>Pas de correspondance</v>
      </c>
      <c r="O1034" s="4" t="str">
        <f>IFERROR(Logs[[#This Row],[Anciennete_Mois]]/12,"")</f>
        <v/>
      </c>
      <c r="P1034" s="1" t="str">
        <f>_xlfn.XLOOKUP(Logs[[#This Row],[ID_Client]],Clients_Log!B:B,Clients_Log!F:F,"Pas de correspondance")</f>
        <v>Pas de correspondance</v>
      </c>
      <c r="Q1034" s="1" t="str">
        <f>IF(Logs[[#This Row],[Type_Forfait]]="Pro Monde","B2B","B2C")</f>
        <v>B2C</v>
      </c>
      <c r="R1034" s="1" t="str">
        <f>_xlfn.XLOOKUP(Logs[[#This Row],[ID_Client]],Clients_Log!B:B,Clients_Log!G:G,"Pas de correspondance")</f>
        <v>Pas de correspondance</v>
      </c>
      <c r="S1034" s="1" t="e">
        <f>Logs[[#This Row],[Duree_Cumulee_Panne_Min]]/1440</f>
        <v>#VALUE!</v>
      </c>
      <c r="T1034" s="1" t="str">
        <f>_xlfn.XLOOKUP(Logs[[#This Row],[ID_Client]],Clients_Log!B:B,Clients_Log!H:H,"Pas de correspondance")</f>
        <v>Pas de correspondance</v>
      </c>
      <c r="U1034" s="1" t="str">
        <f>_xlfn.XLOOKUP(Logs[[#This Row],[ID_Client]],Clients_Log!B:B,Clients_Log!I:I,"Pas de correspondance")</f>
        <v>Pas de correspondance</v>
      </c>
      <c r="V103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34" s="1" t="e">
        <f>Logs[[#This Row],[Facture_Mensuelle]]*Logs[[#This Row],[Remise (%)]]</f>
        <v>#VALUE!</v>
      </c>
    </row>
    <row r="1035" spans="1:23" hidden="1" x14ac:dyDescent="0.25">
      <c r="A1035" s="1" t="s">
        <v>1459</v>
      </c>
      <c r="B1035" s="2">
        <v>45226</v>
      </c>
      <c r="C1035" s="1" t="str">
        <f>_xlfn.XLOOKUP(Logs[[#This Row],[Province_RDC]],Clients_Log!D:D,Clients_Log!B:B,"Pas de correspondance")</f>
        <v>Pas de correspondance</v>
      </c>
      <c r="D1035" t="str">
        <f>_xlfn.XLOOKUP(Logs[[#This Row],[Cell_ID]],'Registre_Maintenance'!B:B,'Registre_Maintenance'!C:C,"Pas de correspondance")</f>
        <v>Pas de correspondance</v>
      </c>
      <c r="E1035" s="3">
        <v>7.2222222222222215E-2</v>
      </c>
      <c r="F1035" s="1" t="s">
        <v>1477</v>
      </c>
      <c r="G1035" s="3">
        <f>Logs[[#This Row],[Duree_Panne_Min]]/1440</f>
        <v>2.013888888888889E-2</v>
      </c>
      <c r="H1035">
        <v>29</v>
      </c>
      <c r="I1035" t="str">
        <f>_xlfn.XLOOKUP(Logs[[#This Row],[Cell_ID]],'Registre_Maintenance'!B:B,'Registre_Maintenance'!D:D,"Pas de correspondance")</f>
        <v>Pas de correspondance</v>
      </c>
      <c r="J1035" t="str">
        <f>_xlfn.XLOOKUP(Logs[[#This Row],[Cell_ID]],'Registre_Maintenance'!B:B,'Registre_Maintenance'!E:E,"Pas de correspondance")</f>
        <v>Pas de correspondance</v>
      </c>
      <c r="K1035" t="str">
        <f>_xlfn.XLOOKUP(Logs[[#This Row],[Cell_ID]],'Registre_Maintenance'!B:B,'Registre_Maintenance'!F:F,"Pas de correspondance")</f>
        <v>Pas de correspondance</v>
      </c>
      <c r="L1035" t="str">
        <f>_xlfn.XLOOKUP(Logs[[#This Row],[Cell_ID]],'Registre_Maintenance'!B:B,'Registre_Maintenance'!G:G,"Pas de correspondance")</f>
        <v>Pas de correspondance</v>
      </c>
      <c r="M1035" s="1" t="s">
        <v>811</v>
      </c>
      <c r="N1035" s="1" t="str">
        <f>_xlfn.XLOOKUP(Logs[[#This Row],[ID_Client]],Clients_Log!B:B,Clients_Log!E:E,"Pas de correspondance")</f>
        <v>Pas de correspondance</v>
      </c>
      <c r="O1035" s="4" t="str">
        <f>IFERROR(Logs[[#This Row],[Anciennete_Mois]]/12,"")</f>
        <v/>
      </c>
      <c r="P1035" s="1" t="str">
        <f>_xlfn.XLOOKUP(Logs[[#This Row],[ID_Client]],Clients_Log!B:B,Clients_Log!F:F,"Pas de correspondance")</f>
        <v>Pas de correspondance</v>
      </c>
      <c r="Q1035" s="1" t="str">
        <f>IF(Logs[[#This Row],[Type_Forfait]]="Pro Monde","B2B","B2C")</f>
        <v>B2C</v>
      </c>
      <c r="R1035" s="1" t="str">
        <f>_xlfn.XLOOKUP(Logs[[#This Row],[ID_Client]],Clients_Log!B:B,Clients_Log!G:G,"Pas de correspondance")</f>
        <v>Pas de correspondance</v>
      </c>
      <c r="S1035" s="1" t="e">
        <f>Logs[[#This Row],[Duree_Cumulee_Panne_Min]]/1440</f>
        <v>#VALUE!</v>
      </c>
      <c r="T1035" s="1" t="str">
        <f>_xlfn.XLOOKUP(Logs[[#This Row],[ID_Client]],Clients_Log!B:B,Clients_Log!H:H,"Pas de correspondance")</f>
        <v>Pas de correspondance</v>
      </c>
      <c r="U1035" s="1" t="str">
        <f>_xlfn.XLOOKUP(Logs[[#This Row],[ID_Client]],Clients_Log!B:B,Clients_Log!I:I,"Pas de correspondance")</f>
        <v>Pas de correspondance</v>
      </c>
      <c r="V103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35" s="1" t="e">
        <f>Logs[[#This Row],[Facture_Mensuelle]]*Logs[[#This Row],[Remise (%)]]</f>
        <v>#VALUE!</v>
      </c>
    </row>
    <row r="1036" spans="1:23" hidden="1" x14ac:dyDescent="0.25">
      <c r="A1036" s="1" t="s">
        <v>1459</v>
      </c>
      <c r="B1036" s="2">
        <v>45225</v>
      </c>
      <c r="C1036" s="1" t="str">
        <f>_xlfn.XLOOKUP(Logs[[#This Row],[Province_RDC]],Clients_Log!D:D,Clients_Log!B:B,"Pas de correspondance")</f>
        <v>Pas de correspondance</v>
      </c>
      <c r="D1036" t="str">
        <f>_xlfn.XLOOKUP(Logs[[#This Row],[Cell_ID]],'Registre_Maintenance'!B:B,'Registre_Maintenance'!C:C,"Pas de correspondance")</f>
        <v>Pas de correspondance</v>
      </c>
      <c r="E1036" s="3">
        <v>0.3840277777777778</v>
      </c>
      <c r="F1036" s="1" t="s">
        <v>1365</v>
      </c>
      <c r="G1036" s="3">
        <f>Logs[[#This Row],[Duree_Panne_Min]]/1440</f>
        <v>2.9166666666666667E-2</v>
      </c>
      <c r="H1036">
        <v>42</v>
      </c>
      <c r="I1036" t="str">
        <f>_xlfn.XLOOKUP(Logs[[#This Row],[Cell_ID]],'Registre_Maintenance'!B:B,'Registre_Maintenance'!D:D,"Pas de correspondance")</f>
        <v>Pas de correspondance</v>
      </c>
      <c r="J1036" t="str">
        <f>_xlfn.XLOOKUP(Logs[[#This Row],[Cell_ID]],'Registre_Maintenance'!B:B,'Registre_Maintenance'!E:E,"Pas de correspondance")</f>
        <v>Pas de correspondance</v>
      </c>
      <c r="K1036" t="str">
        <f>_xlfn.XLOOKUP(Logs[[#This Row],[Cell_ID]],'Registre_Maintenance'!B:B,'Registre_Maintenance'!F:F,"Pas de correspondance")</f>
        <v>Pas de correspondance</v>
      </c>
      <c r="L1036" t="str">
        <f>_xlfn.XLOOKUP(Logs[[#This Row],[Cell_ID]],'Registre_Maintenance'!B:B,'Registre_Maintenance'!G:G,"Pas de correspondance")</f>
        <v>Pas de correspondance</v>
      </c>
      <c r="M1036" s="1" t="s">
        <v>806</v>
      </c>
      <c r="N1036" s="1" t="str">
        <f>_xlfn.XLOOKUP(Logs[[#This Row],[ID_Client]],Clients_Log!B:B,Clients_Log!E:E,"Pas de correspondance")</f>
        <v>Pas de correspondance</v>
      </c>
      <c r="O1036" s="4" t="str">
        <f>IFERROR(Logs[[#This Row],[Anciennete_Mois]]/12,"")</f>
        <v/>
      </c>
      <c r="P1036" s="1" t="str">
        <f>_xlfn.XLOOKUP(Logs[[#This Row],[ID_Client]],Clients_Log!B:B,Clients_Log!F:F,"Pas de correspondance")</f>
        <v>Pas de correspondance</v>
      </c>
      <c r="Q1036" s="1" t="str">
        <f>IF(Logs[[#This Row],[Type_Forfait]]="Pro Monde","B2B","B2C")</f>
        <v>B2C</v>
      </c>
      <c r="R1036" s="1" t="str">
        <f>_xlfn.XLOOKUP(Logs[[#This Row],[ID_Client]],Clients_Log!B:B,Clients_Log!G:G,"Pas de correspondance")</f>
        <v>Pas de correspondance</v>
      </c>
      <c r="S1036" s="1" t="e">
        <f>Logs[[#This Row],[Duree_Cumulee_Panne_Min]]/1440</f>
        <v>#VALUE!</v>
      </c>
      <c r="T1036" s="1" t="str">
        <f>_xlfn.XLOOKUP(Logs[[#This Row],[ID_Client]],Clients_Log!B:B,Clients_Log!H:H,"Pas de correspondance")</f>
        <v>Pas de correspondance</v>
      </c>
      <c r="U1036" s="1" t="str">
        <f>_xlfn.XLOOKUP(Logs[[#This Row],[ID_Client]],Clients_Log!B:B,Clients_Log!I:I,"Pas de correspondance")</f>
        <v>Pas de correspondance</v>
      </c>
      <c r="V103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36" s="1" t="e">
        <f>Logs[[#This Row],[Facture_Mensuelle]]*Logs[[#This Row],[Remise (%)]]</f>
        <v>#VALUE!</v>
      </c>
    </row>
    <row r="1037" spans="1:23" hidden="1" x14ac:dyDescent="0.25">
      <c r="A1037" s="1" t="s">
        <v>1459</v>
      </c>
      <c r="B1037" s="2">
        <v>45224</v>
      </c>
      <c r="C1037" s="1" t="str">
        <f>_xlfn.XLOOKUP(Logs[[#This Row],[Province_RDC]],Clients_Log!D:D,Clients_Log!B:B,"Pas de correspondance")</f>
        <v>Pas de correspondance</v>
      </c>
      <c r="D1037" t="str">
        <f>_xlfn.XLOOKUP(Logs[[#This Row],[Cell_ID]],'Registre_Maintenance'!B:B,'Registre_Maintenance'!C:C,"Pas de correspondance")</f>
        <v>Pas de correspondance</v>
      </c>
      <c r="E1037" s="3">
        <v>0.70972222222222225</v>
      </c>
      <c r="F1037" s="1" t="s">
        <v>1478</v>
      </c>
      <c r="G1037" s="3">
        <f>Logs[[#This Row],[Duree_Panne_Min]]/1440</f>
        <v>4.3055555555555555E-2</v>
      </c>
      <c r="H1037">
        <v>62</v>
      </c>
      <c r="I1037" t="str">
        <f>_xlfn.XLOOKUP(Logs[[#This Row],[Cell_ID]],'Registre_Maintenance'!B:B,'Registre_Maintenance'!D:D,"Pas de correspondance")</f>
        <v>Pas de correspondance</v>
      </c>
      <c r="J1037" t="str">
        <f>_xlfn.XLOOKUP(Logs[[#This Row],[Cell_ID]],'Registre_Maintenance'!B:B,'Registre_Maintenance'!E:E,"Pas de correspondance")</f>
        <v>Pas de correspondance</v>
      </c>
      <c r="K1037" t="str">
        <f>_xlfn.XLOOKUP(Logs[[#This Row],[Cell_ID]],'Registre_Maintenance'!B:B,'Registre_Maintenance'!F:F,"Pas de correspondance")</f>
        <v>Pas de correspondance</v>
      </c>
      <c r="L1037" t="str">
        <f>_xlfn.XLOOKUP(Logs[[#This Row],[Cell_ID]],'Registre_Maintenance'!B:B,'Registre_Maintenance'!G:G,"Pas de correspondance")</f>
        <v>Pas de correspondance</v>
      </c>
      <c r="M1037" s="1" t="s">
        <v>809</v>
      </c>
      <c r="N1037" s="1" t="str">
        <f>_xlfn.XLOOKUP(Logs[[#This Row],[ID_Client]],Clients_Log!B:B,Clients_Log!E:E,"Pas de correspondance")</f>
        <v>Pas de correspondance</v>
      </c>
      <c r="O1037" s="4" t="str">
        <f>IFERROR(Logs[[#This Row],[Anciennete_Mois]]/12,"")</f>
        <v/>
      </c>
      <c r="P1037" s="1" t="str">
        <f>_xlfn.XLOOKUP(Logs[[#This Row],[ID_Client]],Clients_Log!B:B,Clients_Log!F:F,"Pas de correspondance")</f>
        <v>Pas de correspondance</v>
      </c>
      <c r="Q1037" s="1" t="str">
        <f>IF(Logs[[#This Row],[Type_Forfait]]="Pro Monde","B2B","B2C")</f>
        <v>B2C</v>
      </c>
      <c r="R1037" s="1" t="str">
        <f>_xlfn.XLOOKUP(Logs[[#This Row],[ID_Client]],Clients_Log!B:B,Clients_Log!G:G,"Pas de correspondance")</f>
        <v>Pas de correspondance</v>
      </c>
      <c r="S1037" s="1" t="e">
        <f>Logs[[#This Row],[Duree_Cumulee_Panne_Min]]/1440</f>
        <v>#VALUE!</v>
      </c>
      <c r="T1037" s="1" t="str">
        <f>_xlfn.XLOOKUP(Logs[[#This Row],[ID_Client]],Clients_Log!B:B,Clients_Log!H:H,"Pas de correspondance")</f>
        <v>Pas de correspondance</v>
      </c>
      <c r="U1037" s="1" t="str">
        <f>_xlfn.XLOOKUP(Logs[[#This Row],[ID_Client]],Clients_Log!B:B,Clients_Log!I:I,"Pas de correspondance")</f>
        <v>Pas de correspondance</v>
      </c>
      <c r="V103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37" s="1" t="e">
        <f>Logs[[#This Row],[Facture_Mensuelle]]*Logs[[#This Row],[Remise (%)]]</f>
        <v>#VALUE!</v>
      </c>
    </row>
    <row r="1038" spans="1:23" hidden="1" x14ac:dyDescent="0.25">
      <c r="A1038" s="1" t="s">
        <v>1459</v>
      </c>
      <c r="B1038" s="2">
        <v>45211</v>
      </c>
      <c r="C1038" s="1" t="str">
        <f>_xlfn.XLOOKUP(Logs[[#This Row],[Province_RDC]],Clients_Log!D:D,Clients_Log!B:B,"Pas de correspondance")</f>
        <v>Pas de correspondance</v>
      </c>
      <c r="D1038" t="str">
        <f>_xlfn.XLOOKUP(Logs[[#This Row],[Cell_ID]],'Registre_Maintenance'!B:B,'Registre_Maintenance'!C:C,"Pas de correspondance")</f>
        <v>Pas de correspondance</v>
      </c>
      <c r="E1038" s="3">
        <v>0.58750000000000002</v>
      </c>
      <c r="F1038" s="1" t="s">
        <v>1479</v>
      </c>
      <c r="G1038" s="3">
        <f>Logs[[#This Row],[Duree_Panne_Min]]/1440</f>
        <v>1.8749999999999999E-2</v>
      </c>
      <c r="H1038">
        <v>27</v>
      </c>
      <c r="I1038" t="str">
        <f>_xlfn.XLOOKUP(Logs[[#This Row],[Cell_ID]],'Registre_Maintenance'!B:B,'Registre_Maintenance'!D:D,"Pas de correspondance")</f>
        <v>Pas de correspondance</v>
      </c>
      <c r="J1038" t="str">
        <f>_xlfn.XLOOKUP(Logs[[#This Row],[Cell_ID]],'Registre_Maintenance'!B:B,'Registre_Maintenance'!E:E,"Pas de correspondance")</f>
        <v>Pas de correspondance</v>
      </c>
      <c r="K1038" t="str">
        <f>_xlfn.XLOOKUP(Logs[[#This Row],[Cell_ID]],'Registre_Maintenance'!B:B,'Registre_Maintenance'!F:F,"Pas de correspondance")</f>
        <v>Pas de correspondance</v>
      </c>
      <c r="L1038" t="str">
        <f>_xlfn.XLOOKUP(Logs[[#This Row],[Cell_ID]],'Registre_Maintenance'!B:B,'Registre_Maintenance'!G:G,"Pas de correspondance")</f>
        <v>Pas de correspondance</v>
      </c>
      <c r="M1038" s="1" t="s">
        <v>811</v>
      </c>
      <c r="N1038" s="1" t="str">
        <f>_xlfn.XLOOKUP(Logs[[#This Row],[ID_Client]],Clients_Log!B:B,Clients_Log!E:E,"Pas de correspondance")</f>
        <v>Pas de correspondance</v>
      </c>
      <c r="O1038" s="4" t="str">
        <f>IFERROR(Logs[[#This Row],[Anciennete_Mois]]/12,"")</f>
        <v/>
      </c>
      <c r="P1038" s="1" t="str">
        <f>_xlfn.XLOOKUP(Logs[[#This Row],[ID_Client]],Clients_Log!B:B,Clients_Log!F:F,"Pas de correspondance")</f>
        <v>Pas de correspondance</v>
      </c>
      <c r="Q1038" s="1" t="str">
        <f>IF(Logs[[#This Row],[Type_Forfait]]="Pro Monde","B2B","B2C")</f>
        <v>B2C</v>
      </c>
      <c r="R1038" s="1" t="str">
        <f>_xlfn.XLOOKUP(Logs[[#This Row],[ID_Client]],Clients_Log!B:B,Clients_Log!G:G,"Pas de correspondance")</f>
        <v>Pas de correspondance</v>
      </c>
      <c r="S1038" s="1" t="e">
        <f>Logs[[#This Row],[Duree_Cumulee_Panne_Min]]/1440</f>
        <v>#VALUE!</v>
      </c>
      <c r="T1038" s="1" t="str">
        <f>_xlfn.XLOOKUP(Logs[[#This Row],[ID_Client]],Clients_Log!B:B,Clients_Log!H:H,"Pas de correspondance")</f>
        <v>Pas de correspondance</v>
      </c>
      <c r="U1038" s="1" t="str">
        <f>_xlfn.XLOOKUP(Logs[[#This Row],[ID_Client]],Clients_Log!B:B,Clients_Log!I:I,"Pas de correspondance")</f>
        <v>Pas de correspondance</v>
      </c>
      <c r="V103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38" s="1" t="e">
        <f>Logs[[#This Row],[Facture_Mensuelle]]*Logs[[#This Row],[Remise (%)]]</f>
        <v>#VALUE!</v>
      </c>
    </row>
    <row r="1039" spans="1:23" hidden="1" x14ac:dyDescent="0.25">
      <c r="A1039" s="1" t="s">
        <v>1459</v>
      </c>
      <c r="B1039" s="2">
        <v>45219</v>
      </c>
      <c r="C1039" s="1" t="str">
        <f>_xlfn.XLOOKUP(Logs[[#This Row],[Province_RDC]],Clients_Log!D:D,Clients_Log!B:B,"Pas de correspondance")</f>
        <v>Pas de correspondance</v>
      </c>
      <c r="D1039" t="str">
        <f>_xlfn.XLOOKUP(Logs[[#This Row],[Cell_ID]],'Registre_Maintenance'!B:B,'Registre_Maintenance'!C:C,"Pas de correspondance")</f>
        <v>Pas de correspondance</v>
      </c>
      <c r="E1039" s="3">
        <v>0.90763888888888888</v>
      </c>
      <c r="F1039" s="1" t="s">
        <v>1480</v>
      </c>
      <c r="G1039" s="3">
        <f>Logs[[#This Row],[Duree_Panne_Min]]/1440</f>
        <v>6.3888888888888884E-2</v>
      </c>
      <c r="H1039">
        <v>92</v>
      </c>
      <c r="I1039" t="str">
        <f>_xlfn.XLOOKUP(Logs[[#This Row],[Cell_ID]],'Registre_Maintenance'!B:B,'Registre_Maintenance'!D:D,"Pas de correspondance")</f>
        <v>Pas de correspondance</v>
      </c>
      <c r="J1039" t="str">
        <f>_xlfn.XLOOKUP(Logs[[#This Row],[Cell_ID]],'Registre_Maintenance'!B:B,'Registre_Maintenance'!E:E,"Pas de correspondance")</f>
        <v>Pas de correspondance</v>
      </c>
      <c r="K1039" t="str">
        <f>_xlfn.XLOOKUP(Logs[[#This Row],[Cell_ID]],'Registre_Maintenance'!B:B,'Registre_Maintenance'!F:F,"Pas de correspondance")</f>
        <v>Pas de correspondance</v>
      </c>
      <c r="L1039" t="str">
        <f>_xlfn.XLOOKUP(Logs[[#This Row],[Cell_ID]],'Registre_Maintenance'!B:B,'Registre_Maintenance'!G:G,"Pas de correspondance")</f>
        <v>Pas de correspondance</v>
      </c>
      <c r="M1039" s="1" t="s">
        <v>809</v>
      </c>
      <c r="N1039" s="1" t="str">
        <f>_xlfn.XLOOKUP(Logs[[#This Row],[ID_Client]],Clients_Log!B:B,Clients_Log!E:E,"Pas de correspondance")</f>
        <v>Pas de correspondance</v>
      </c>
      <c r="O1039" s="4" t="str">
        <f>IFERROR(Logs[[#This Row],[Anciennete_Mois]]/12,"")</f>
        <v/>
      </c>
      <c r="P1039" s="1" t="str">
        <f>_xlfn.XLOOKUP(Logs[[#This Row],[ID_Client]],Clients_Log!B:B,Clients_Log!F:F,"Pas de correspondance")</f>
        <v>Pas de correspondance</v>
      </c>
      <c r="Q1039" s="1" t="str">
        <f>IF(Logs[[#This Row],[Type_Forfait]]="Pro Monde","B2B","B2C")</f>
        <v>B2C</v>
      </c>
      <c r="R1039" s="1" t="str">
        <f>_xlfn.XLOOKUP(Logs[[#This Row],[ID_Client]],Clients_Log!B:B,Clients_Log!G:G,"Pas de correspondance")</f>
        <v>Pas de correspondance</v>
      </c>
      <c r="S1039" s="1" t="e">
        <f>Logs[[#This Row],[Duree_Cumulee_Panne_Min]]/1440</f>
        <v>#VALUE!</v>
      </c>
      <c r="T1039" s="1" t="str">
        <f>_xlfn.XLOOKUP(Logs[[#This Row],[ID_Client]],Clients_Log!B:B,Clients_Log!H:H,"Pas de correspondance")</f>
        <v>Pas de correspondance</v>
      </c>
      <c r="U1039" s="1" t="str">
        <f>_xlfn.XLOOKUP(Logs[[#This Row],[ID_Client]],Clients_Log!B:B,Clients_Log!I:I,"Pas de correspondance")</f>
        <v>Pas de correspondance</v>
      </c>
      <c r="V103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39" s="1" t="e">
        <f>Logs[[#This Row],[Facture_Mensuelle]]*Logs[[#This Row],[Remise (%)]]</f>
        <v>#VALUE!</v>
      </c>
    </row>
    <row r="1040" spans="1:23" hidden="1" x14ac:dyDescent="0.25">
      <c r="A1040" s="1" t="s">
        <v>1459</v>
      </c>
      <c r="B1040" s="2">
        <v>45217</v>
      </c>
      <c r="C1040" s="1" t="str">
        <f>_xlfn.XLOOKUP(Logs[[#This Row],[Province_RDC]],Clients_Log!D:D,Clients_Log!B:B,"Pas de correspondance")</f>
        <v>Pas de correspondance</v>
      </c>
      <c r="D1040" t="str">
        <f>_xlfn.XLOOKUP(Logs[[#This Row],[Cell_ID]],'Registre_Maintenance'!B:B,'Registre_Maintenance'!C:C,"Pas de correspondance")</f>
        <v>Pas de correspondance</v>
      </c>
      <c r="E1040" s="3">
        <v>0.32430555555555557</v>
      </c>
      <c r="F1040" s="1" t="s">
        <v>1481</v>
      </c>
      <c r="G1040" s="3">
        <f>Logs[[#This Row],[Duree_Panne_Min]]/1440</f>
        <v>9.7222222222222224E-3</v>
      </c>
      <c r="H1040">
        <v>14</v>
      </c>
      <c r="I1040" t="str">
        <f>_xlfn.XLOOKUP(Logs[[#This Row],[Cell_ID]],'Registre_Maintenance'!B:B,'Registre_Maintenance'!D:D,"Pas de correspondance")</f>
        <v>Pas de correspondance</v>
      </c>
      <c r="J1040" t="str">
        <f>_xlfn.XLOOKUP(Logs[[#This Row],[Cell_ID]],'Registre_Maintenance'!B:B,'Registre_Maintenance'!E:E,"Pas de correspondance")</f>
        <v>Pas de correspondance</v>
      </c>
      <c r="K1040" t="str">
        <f>_xlfn.XLOOKUP(Logs[[#This Row],[Cell_ID]],'Registre_Maintenance'!B:B,'Registre_Maintenance'!F:F,"Pas de correspondance")</f>
        <v>Pas de correspondance</v>
      </c>
      <c r="L1040" t="str">
        <f>_xlfn.XLOOKUP(Logs[[#This Row],[Cell_ID]],'Registre_Maintenance'!B:B,'Registre_Maintenance'!G:G,"Pas de correspondance")</f>
        <v>Pas de correspondance</v>
      </c>
      <c r="M1040" s="1" t="s">
        <v>809</v>
      </c>
      <c r="N1040" s="1" t="str">
        <f>_xlfn.XLOOKUP(Logs[[#This Row],[ID_Client]],Clients_Log!B:B,Clients_Log!E:E,"Pas de correspondance")</f>
        <v>Pas de correspondance</v>
      </c>
      <c r="O1040" s="4" t="str">
        <f>IFERROR(Logs[[#This Row],[Anciennete_Mois]]/12,"")</f>
        <v/>
      </c>
      <c r="P1040" s="1" t="str">
        <f>_xlfn.XLOOKUP(Logs[[#This Row],[ID_Client]],Clients_Log!B:B,Clients_Log!F:F,"Pas de correspondance")</f>
        <v>Pas de correspondance</v>
      </c>
      <c r="Q1040" s="1" t="str">
        <f>IF(Logs[[#This Row],[Type_Forfait]]="Pro Monde","B2B","B2C")</f>
        <v>B2C</v>
      </c>
      <c r="R1040" s="1" t="str">
        <f>_xlfn.XLOOKUP(Logs[[#This Row],[ID_Client]],Clients_Log!B:B,Clients_Log!G:G,"Pas de correspondance")</f>
        <v>Pas de correspondance</v>
      </c>
      <c r="S1040" s="1" t="e">
        <f>Logs[[#This Row],[Duree_Cumulee_Panne_Min]]/1440</f>
        <v>#VALUE!</v>
      </c>
      <c r="T1040" s="1" t="str">
        <f>_xlfn.XLOOKUP(Logs[[#This Row],[ID_Client]],Clients_Log!B:B,Clients_Log!H:H,"Pas de correspondance")</f>
        <v>Pas de correspondance</v>
      </c>
      <c r="U1040" s="1" t="str">
        <f>_xlfn.XLOOKUP(Logs[[#This Row],[ID_Client]],Clients_Log!B:B,Clients_Log!I:I,"Pas de correspondance")</f>
        <v>Pas de correspondance</v>
      </c>
      <c r="V104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40" s="1" t="e">
        <f>Logs[[#This Row],[Facture_Mensuelle]]*Logs[[#This Row],[Remise (%)]]</f>
        <v>#VALUE!</v>
      </c>
    </row>
    <row r="1041" spans="1:23" x14ac:dyDescent="0.25">
      <c r="A1041" s="1" t="s">
        <v>1459</v>
      </c>
      <c r="B1041" s="2">
        <v>45220</v>
      </c>
      <c r="C1041" s="1" t="str">
        <f>_xlfn.XLOOKUP(Logs[[#This Row],[Province_RDC]],Clients_Log!D:D,Clients_Log!B:B,"Pas de correspondance")</f>
        <v>CLI-01618</v>
      </c>
      <c r="D1041" t="str">
        <f>_xlfn.XLOOKUP(Logs[[#This Row],[Cell_ID]],'Registre_Maintenance'!B:B,'Registre_Maintenance'!C:C,"Pas de correspondance")</f>
        <v>Tanganyika</v>
      </c>
      <c r="E1041" s="3">
        <v>0.72499999999999998</v>
      </c>
      <c r="F1041" s="1" t="s">
        <v>926</v>
      </c>
      <c r="G1041" s="3">
        <f>Logs[[#This Row],[Duree_Panne_Min]]/1440</f>
        <v>1.9444444444444445E-2</v>
      </c>
      <c r="H1041">
        <v>28</v>
      </c>
      <c r="I1041">
        <f>_xlfn.XLOOKUP(Logs[[#This Row],[Cell_ID]],'Registre_Maintenance'!B:B,'Registre_Maintenance'!D:D,"Pas de correspondance")</f>
        <v>-9.002459</v>
      </c>
      <c r="J1041">
        <f>_xlfn.XLOOKUP(Logs[[#This Row],[Cell_ID]],'Registre_Maintenance'!B:B,'Registre_Maintenance'!E:E,"Pas de correspondance")</f>
        <v>25.182109000000001</v>
      </c>
      <c r="K1041" t="str">
        <f>_xlfn.XLOOKUP(Logs[[#This Row],[Cell_ID]],'Registre_Maintenance'!B:B,'Registre_Maintenance'!F:F,"Pas de correspondance")</f>
        <v>5G</v>
      </c>
      <c r="L1041" t="str">
        <f>_xlfn.XLOOKUP(Logs[[#This Row],[Cell_ID]],'Registre_Maintenance'!B:B,'Registre_Maintenance'!G:G,"Pas de correspondance")</f>
        <v>Huawei</v>
      </c>
      <c r="M1041" s="1" t="s">
        <v>811</v>
      </c>
      <c r="N1041" s="1">
        <f>_xlfn.XLOOKUP(Logs[[#This Row],[ID_Client]],Clients_Log!B:B,Clients_Log!E:E,"Pas de correspondance")</f>
        <v>115</v>
      </c>
      <c r="O1041" s="4">
        <f>IFERROR(Logs[[#This Row],[Anciennete_Mois]]/12,"")</f>
        <v>9.5833333333333339</v>
      </c>
      <c r="P1041" s="1" t="str">
        <f>_xlfn.XLOOKUP(Logs[[#This Row],[ID_Client]],Clients_Log!B:B,Clients_Log!F:F,"Pas de correspondance")</f>
        <v>Bloqué 5Go</v>
      </c>
      <c r="Q1041" s="1" t="str">
        <f>IF(Logs[[#This Row],[Type_Forfait]]="Pro Monde","B2B","B2C")</f>
        <v>B2C</v>
      </c>
      <c r="R1041" s="1">
        <f>_xlfn.XLOOKUP(Logs[[#This Row],[ID_Client]],Clients_Log!B:B,Clients_Log!G:G,"Pas de correspondance")</f>
        <v>176</v>
      </c>
      <c r="S1041" s="3">
        <f>Logs[[#This Row],[Duree_Cumulee_Panne_Min]]/1440</f>
        <v>0.12222222222222222</v>
      </c>
      <c r="T1041" s="1">
        <f>_xlfn.XLOOKUP(Logs[[#This Row],[ID_Client]],Clients_Log!B:B,Clients_Log!H:H,"Pas de correspondance")</f>
        <v>33.28</v>
      </c>
      <c r="U1041" s="1">
        <f>_xlfn.XLOOKUP(Logs[[#This Row],[ID_Client]],Clients_Log!B:B,Clients_Log!I:I,"Pas de correspondance")</f>
        <v>4</v>
      </c>
      <c r="V1041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</v>
      </c>
      <c r="W1041" s="1">
        <f>Logs[[#This Row],[Facture_Mensuelle]]*Logs[[#This Row],[Remise (%)]]</f>
        <v>0</v>
      </c>
    </row>
    <row r="1042" spans="1:23" hidden="1" x14ac:dyDescent="0.25">
      <c r="A1042" s="1" t="s">
        <v>1459</v>
      </c>
      <c r="B1042" s="2">
        <v>45207</v>
      </c>
      <c r="C1042" s="1" t="str">
        <f>_xlfn.XLOOKUP(Logs[[#This Row],[Province_RDC]],Clients_Log!D:D,Clients_Log!B:B,"Pas de correspondance")</f>
        <v>Pas de correspondance</v>
      </c>
      <c r="D1042" t="str">
        <f>_xlfn.XLOOKUP(Logs[[#This Row],[Cell_ID]],'Registre_Maintenance'!B:B,'Registre_Maintenance'!C:C,"Pas de correspondance")</f>
        <v>Pas de correspondance</v>
      </c>
      <c r="E1042" s="3">
        <v>0.70138888888888884</v>
      </c>
      <c r="F1042" s="1" t="s">
        <v>1482</v>
      </c>
      <c r="G1042" s="3">
        <f>Logs[[#This Row],[Duree_Panne_Min]]/1440</f>
        <v>1.8749999999999999E-2</v>
      </c>
      <c r="H1042">
        <v>27</v>
      </c>
      <c r="I1042" t="str">
        <f>_xlfn.XLOOKUP(Logs[[#This Row],[Cell_ID]],'Registre_Maintenance'!B:B,'Registre_Maintenance'!D:D,"Pas de correspondance")</f>
        <v>Pas de correspondance</v>
      </c>
      <c r="J1042" t="str">
        <f>_xlfn.XLOOKUP(Logs[[#This Row],[Cell_ID]],'Registre_Maintenance'!B:B,'Registre_Maintenance'!E:E,"Pas de correspondance")</f>
        <v>Pas de correspondance</v>
      </c>
      <c r="K1042" t="str">
        <f>_xlfn.XLOOKUP(Logs[[#This Row],[Cell_ID]],'Registre_Maintenance'!B:B,'Registre_Maintenance'!F:F,"Pas de correspondance")</f>
        <v>Pas de correspondance</v>
      </c>
      <c r="L1042" t="str">
        <f>_xlfn.XLOOKUP(Logs[[#This Row],[Cell_ID]],'Registre_Maintenance'!B:B,'Registre_Maintenance'!G:G,"Pas de correspondance")</f>
        <v>Pas de correspondance</v>
      </c>
      <c r="M1042" s="1" t="s">
        <v>811</v>
      </c>
      <c r="N1042" s="1" t="str">
        <f>_xlfn.XLOOKUP(Logs[[#This Row],[ID_Client]],Clients_Log!B:B,Clients_Log!E:E,"Pas de correspondance")</f>
        <v>Pas de correspondance</v>
      </c>
      <c r="O1042" s="4" t="str">
        <f>IFERROR(Logs[[#This Row],[Anciennete_Mois]]/12,"")</f>
        <v/>
      </c>
      <c r="P1042" s="1" t="str">
        <f>_xlfn.XLOOKUP(Logs[[#This Row],[ID_Client]],Clients_Log!B:B,Clients_Log!F:F,"Pas de correspondance")</f>
        <v>Pas de correspondance</v>
      </c>
      <c r="Q1042" s="1" t="str">
        <f>IF(Logs[[#This Row],[Type_Forfait]]="Pro Monde","B2B","B2C")</f>
        <v>B2C</v>
      </c>
      <c r="R1042" s="1" t="str">
        <f>_xlfn.XLOOKUP(Logs[[#This Row],[ID_Client]],Clients_Log!B:B,Clients_Log!G:G,"Pas de correspondance")</f>
        <v>Pas de correspondance</v>
      </c>
      <c r="S1042" s="1" t="e">
        <f>Logs[[#This Row],[Duree_Cumulee_Panne_Min]]/1440</f>
        <v>#VALUE!</v>
      </c>
      <c r="T1042" s="1" t="str">
        <f>_xlfn.XLOOKUP(Logs[[#This Row],[ID_Client]],Clients_Log!B:B,Clients_Log!H:H,"Pas de correspondance")</f>
        <v>Pas de correspondance</v>
      </c>
      <c r="U1042" s="1" t="str">
        <f>_xlfn.XLOOKUP(Logs[[#This Row],[ID_Client]],Clients_Log!B:B,Clients_Log!I:I,"Pas de correspondance")</f>
        <v>Pas de correspondance</v>
      </c>
      <c r="V104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42" s="1" t="e">
        <f>Logs[[#This Row],[Facture_Mensuelle]]*Logs[[#This Row],[Remise (%)]]</f>
        <v>#VALUE!</v>
      </c>
    </row>
    <row r="1043" spans="1:23" hidden="1" x14ac:dyDescent="0.25">
      <c r="A1043" s="1" t="s">
        <v>1459</v>
      </c>
      <c r="B1043" s="2">
        <v>45219</v>
      </c>
      <c r="C1043" s="1" t="str">
        <f>_xlfn.XLOOKUP(Logs[[#This Row],[Province_RDC]],Clients_Log!D:D,Clients_Log!B:B,"Pas de correspondance")</f>
        <v>Pas de correspondance</v>
      </c>
      <c r="D1043" t="str">
        <f>_xlfn.XLOOKUP(Logs[[#This Row],[Cell_ID]],'Registre_Maintenance'!B:B,'Registre_Maintenance'!C:C,"Pas de correspondance")</f>
        <v>Pas de correspondance</v>
      </c>
      <c r="E1043" s="3">
        <v>0.9291666666666667</v>
      </c>
      <c r="F1043" s="1" t="s">
        <v>1470</v>
      </c>
      <c r="G1043" s="3">
        <f>Logs[[#This Row],[Duree_Panne_Min]]/1440</f>
        <v>7.9861111111111105E-2</v>
      </c>
      <c r="H1043">
        <v>115</v>
      </c>
      <c r="I1043" t="str">
        <f>_xlfn.XLOOKUP(Logs[[#This Row],[Cell_ID]],'Registre_Maintenance'!B:B,'Registre_Maintenance'!D:D,"Pas de correspondance")</f>
        <v>Pas de correspondance</v>
      </c>
      <c r="J1043" t="str">
        <f>_xlfn.XLOOKUP(Logs[[#This Row],[Cell_ID]],'Registre_Maintenance'!B:B,'Registre_Maintenance'!E:E,"Pas de correspondance")</f>
        <v>Pas de correspondance</v>
      </c>
      <c r="K1043" t="str">
        <f>_xlfn.XLOOKUP(Logs[[#This Row],[Cell_ID]],'Registre_Maintenance'!B:B,'Registre_Maintenance'!F:F,"Pas de correspondance")</f>
        <v>Pas de correspondance</v>
      </c>
      <c r="L1043" t="str">
        <f>_xlfn.XLOOKUP(Logs[[#This Row],[Cell_ID]],'Registre_Maintenance'!B:B,'Registre_Maintenance'!G:G,"Pas de correspondance")</f>
        <v>Pas de correspondance</v>
      </c>
      <c r="M1043" s="1" t="s">
        <v>806</v>
      </c>
      <c r="N1043" s="1" t="str">
        <f>_xlfn.XLOOKUP(Logs[[#This Row],[ID_Client]],Clients_Log!B:B,Clients_Log!E:E,"Pas de correspondance")</f>
        <v>Pas de correspondance</v>
      </c>
      <c r="O1043" s="4" t="str">
        <f>IFERROR(Logs[[#This Row],[Anciennete_Mois]]/12,"")</f>
        <v/>
      </c>
      <c r="P1043" s="1" t="str">
        <f>_xlfn.XLOOKUP(Logs[[#This Row],[ID_Client]],Clients_Log!B:B,Clients_Log!F:F,"Pas de correspondance")</f>
        <v>Pas de correspondance</v>
      </c>
      <c r="Q1043" s="1" t="str">
        <f>IF(Logs[[#This Row],[Type_Forfait]]="Pro Monde","B2B","B2C")</f>
        <v>B2C</v>
      </c>
      <c r="R1043" s="1" t="str">
        <f>_xlfn.XLOOKUP(Logs[[#This Row],[ID_Client]],Clients_Log!B:B,Clients_Log!G:G,"Pas de correspondance")</f>
        <v>Pas de correspondance</v>
      </c>
      <c r="S1043" s="1" t="e">
        <f>Logs[[#This Row],[Duree_Cumulee_Panne_Min]]/1440</f>
        <v>#VALUE!</v>
      </c>
      <c r="T1043" s="1" t="str">
        <f>_xlfn.XLOOKUP(Logs[[#This Row],[ID_Client]],Clients_Log!B:B,Clients_Log!H:H,"Pas de correspondance")</f>
        <v>Pas de correspondance</v>
      </c>
      <c r="U1043" s="1" t="str">
        <f>_xlfn.XLOOKUP(Logs[[#This Row],[ID_Client]],Clients_Log!B:B,Clients_Log!I:I,"Pas de correspondance")</f>
        <v>Pas de correspondance</v>
      </c>
      <c r="V104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43" s="1" t="e">
        <f>Logs[[#This Row],[Facture_Mensuelle]]*Logs[[#This Row],[Remise (%)]]</f>
        <v>#VALUE!</v>
      </c>
    </row>
    <row r="1044" spans="1:23" hidden="1" x14ac:dyDescent="0.25">
      <c r="A1044" s="1" t="s">
        <v>1483</v>
      </c>
      <c r="B1044" s="2">
        <v>45230</v>
      </c>
      <c r="C1044" s="1" t="str">
        <f>_xlfn.XLOOKUP(Logs[[#This Row],[Province_RDC]],Clients_Log!D:D,Clients_Log!B:B,"Pas de correspondance")</f>
        <v>Pas de correspondance</v>
      </c>
      <c r="D1044" t="str">
        <f>_xlfn.XLOOKUP(Logs[[#This Row],[Cell_ID]],'Registre_Maintenance'!B:B,'Registre_Maintenance'!C:C,"Pas de correspondance")</f>
        <v>Pas de correspondance</v>
      </c>
      <c r="E1044" s="3">
        <v>0.7319444444444444</v>
      </c>
      <c r="F1044" s="1" t="s">
        <v>1104</v>
      </c>
      <c r="G1044" s="3">
        <f>Logs[[#This Row],[Duree_Panne_Min]]/1440</f>
        <v>3.6111111111111108E-2</v>
      </c>
      <c r="H1044">
        <v>52</v>
      </c>
      <c r="I1044" t="str">
        <f>_xlfn.XLOOKUP(Logs[[#This Row],[Cell_ID]],'Registre_Maintenance'!B:B,'Registre_Maintenance'!D:D,"Pas de correspondance")</f>
        <v>Pas de correspondance</v>
      </c>
      <c r="J1044" t="str">
        <f>_xlfn.XLOOKUP(Logs[[#This Row],[Cell_ID]],'Registre_Maintenance'!B:B,'Registre_Maintenance'!E:E,"Pas de correspondance")</f>
        <v>Pas de correspondance</v>
      </c>
      <c r="K1044" t="str">
        <f>_xlfn.XLOOKUP(Logs[[#This Row],[Cell_ID]],'Registre_Maintenance'!B:B,'Registre_Maintenance'!F:F,"Pas de correspondance")</f>
        <v>Pas de correspondance</v>
      </c>
      <c r="L1044" t="str">
        <f>_xlfn.XLOOKUP(Logs[[#This Row],[Cell_ID]],'Registre_Maintenance'!B:B,'Registre_Maintenance'!G:G,"Pas de correspondance")</f>
        <v>Pas de correspondance</v>
      </c>
      <c r="M1044" s="1" t="s">
        <v>806</v>
      </c>
      <c r="N1044" s="1" t="str">
        <f>_xlfn.XLOOKUP(Logs[[#This Row],[ID_Client]],Clients_Log!B:B,Clients_Log!E:E,"Pas de correspondance")</f>
        <v>Pas de correspondance</v>
      </c>
      <c r="O1044" s="4" t="str">
        <f>IFERROR(Logs[[#This Row],[Anciennete_Mois]]/12,"")</f>
        <v/>
      </c>
      <c r="P1044" s="1" t="str">
        <f>_xlfn.XLOOKUP(Logs[[#This Row],[ID_Client]],Clients_Log!B:B,Clients_Log!F:F,"Pas de correspondance")</f>
        <v>Pas de correspondance</v>
      </c>
      <c r="Q1044" s="1" t="str">
        <f>IF(Logs[[#This Row],[Type_Forfait]]="Pro Monde","B2B","B2C")</f>
        <v>B2C</v>
      </c>
      <c r="R1044" s="1" t="str">
        <f>_xlfn.XLOOKUP(Logs[[#This Row],[ID_Client]],Clients_Log!B:B,Clients_Log!G:G,"Pas de correspondance")</f>
        <v>Pas de correspondance</v>
      </c>
      <c r="S1044" s="1" t="e">
        <f>Logs[[#This Row],[Duree_Cumulee_Panne_Min]]/1440</f>
        <v>#VALUE!</v>
      </c>
      <c r="T1044" s="1" t="str">
        <f>_xlfn.XLOOKUP(Logs[[#This Row],[ID_Client]],Clients_Log!B:B,Clients_Log!H:H,"Pas de correspondance")</f>
        <v>Pas de correspondance</v>
      </c>
      <c r="U1044" s="1" t="str">
        <f>_xlfn.XLOOKUP(Logs[[#This Row],[ID_Client]],Clients_Log!B:B,Clients_Log!I:I,"Pas de correspondance")</f>
        <v>Pas de correspondance</v>
      </c>
      <c r="V104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44" s="1" t="e">
        <f>Logs[[#This Row],[Facture_Mensuelle]]*Logs[[#This Row],[Remise (%)]]</f>
        <v>#VALUE!</v>
      </c>
    </row>
    <row r="1045" spans="1:23" hidden="1" x14ac:dyDescent="0.25">
      <c r="A1045" s="1" t="s">
        <v>1483</v>
      </c>
      <c r="B1045" s="2">
        <v>45200</v>
      </c>
      <c r="C1045" s="1" t="str">
        <f>_xlfn.XLOOKUP(Logs[[#This Row],[Province_RDC]],Clients_Log!D:D,Clients_Log!B:B,"Pas de correspondance")</f>
        <v>Pas de correspondance</v>
      </c>
      <c r="D1045" t="str">
        <f>_xlfn.XLOOKUP(Logs[[#This Row],[Cell_ID]],'Registre_Maintenance'!B:B,'Registre_Maintenance'!C:C,"Pas de correspondance")</f>
        <v>Pas de correspondance</v>
      </c>
      <c r="E1045" s="3">
        <v>0.83611111111111114</v>
      </c>
      <c r="F1045" s="1" t="s">
        <v>1072</v>
      </c>
      <c r="G1045" s="3">
        <f>Logs[[#This Row],[Duree_Panne_Min]]/1440</f>
        <v>4.1666666666666666E-3</v>
      </c>
      <c r="H1045">
        <v>6</v>
      </c>
      <c r="I1045" t="str">
        <f>_xlfn.XLOOKUP(Logs[[#This Row],[Cell_ID]],'Registre_Maintenance'!B:B,'Registre_Maintenance'!D:D,"Pas de correspondance")</f>
        <v>Pas de correspondance</v>
      </c>
      <c r="J1045" t="str">
        <f>_xlfn.XLOOKUP(Logs[[#This Row],[Cell_ID]],'Registre_Maintenance'!B:B,'Registre_Maintenance'!E:E,"Pas de correspondance")</f>
        <v>Pas de correspondance</v>
      </c>
      <c r="K1045" t="str">
        <f>_xlfn.XLOOKUP(Logs[[#This Row],[Cell_ID]],'Registre_Maintenance'!B:B,'Registre_Maintenance'!F:F,"Pas de correspondance")</f>
        <v>Pas de correspondance</v>
      </c>
      <c r="L1045" t="str">
        <f>_xlfn.XLOOKUP(Logs[[#This Row],[Cell_ID]],'Registre_Maintenance'!B:B,'Registre_Maintenance'!G:G,"Pas de correspondance")</f>
        <v>Pas de correspondance</v>
      </c>
      <c r="M1045" s="1" t="s">
        <v>806</v>
      </c>
      <c r="N1045" s="1" t="str">
        <f>_xlfn.XLOOKUP(Logs[[#This Row],[ID_Client]],Clients_Log!B:B,Clients_Log!E:E,"Pas de correspondance")</f>
        <v>Pas de correspondance</v>
      </c>
      <c r="O1045" s="4" t="str">
        <f>IFERROR(Logs[[#This Row],[Anciennete_Mois]]/12,"")</f>
        <v/>
      </c>
      <c r="P1045" s="1" t="str">
        <f>_xlfn.XLOOKUP(Logs[[#This Row],[ID_Client]],Clients_Log!B:B,Clients_Log!F:F,"Pas de correspondance")</f>
        <v>Pas de correspondance</v>
      </c>
      <c r="Q1045" s="1" t="str">
        <f>IF(Logs[[#This Row],[Type_Forfait]]="Pro Monde","B2B","B2C")</f>
        <v>B2C</v>
      </c>
      <c r="R1045" s="1" t="str">
        <f>_xlfn.XLOOKUP(Logs[[#This Row],[ID_Client]],Clients_Log!B:B,Clients_Log!G:G,"Pas de correspondance")</f>
        <v>Pas de correspondance</v>
      </c>
      <c r="S1045" s="1" t="e">
        <f>Logs[[#This Row],[Duree_Cumulee_Panne_Min]]/1440</f>
        <v>#VALUE!</v>
      </c>
      <c r="T1045" s="1" t="str">
        <f>_xlfn.XLOOKUP(Logs[[#This Row],[ID_Client]],Clients_Log!B:B,Clients_Log!H:H,"Pas de correspondance")</f>
        <v>Pas de correspondance</v>
      </c>
      <c r="U1045" s="1" t="str">
        <f>_xlfn.XLOOKUP(Logs[[#This Row],[ID_Client]],Clients_Log!B:B,Clients_Log!I:I,"Pas de correspondance")</f>
        <v>Pas de correspondance</v>
      </c>
      <c r="V104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45" s="1" t="e">
        <f>Logs[[#This Row],[Facture_Mensuelle]]*Logs[[#This Row],[Remise (%)]]</f>
        <v>#VALUE!</v>
      </c>
    </row>
    <row r="1046" spans="1:23" hidden="1" x14ac:dyDescent="0.25">
      <c r="A1046" s="1" t="s">
        <v>1483</v>
      </c>
      <c r="B1046" s="2">
        <v>45206</v>
      </c>
      <c r="C1046" s="1" t="str">
        <f>_xlfn.XLOOKUP(Logs[[#This Row],[Province_RDC]],Clients_Log!D:D,Clients_Log!B:B,"Pas de correspondance")</f>
        <v>Pas de correspondance</v>
      </c>
      <c r="D1046" t="str">
        <f>_xlfn.XLOOKUP(Logs[[#This Row],[Cell_ID]],'Registre_Maintenance'!B:B,'Registre_Maintenance'!C:C,"Pas de correspondance")</f>
        <v>Pas de correspondance</v>
      </c>
      <c r="E1046" s="3">
        <v>0.90277777777777779</v>
      </c>
      <c r="F1046" s="1" t="s">
        <v>1484</v>
      </c>
      <c r="G1046" s="3">
        <f>Logs[[#This Row],[Duree_Panne_Min]]/1440</f>
        <v>5.2083333333333336E-2</v>
      </c>
      <c r="H1046">
        <v>75</v>
      </c>
      <c r="I1046" t="str">
        <f>_xlfn.XLOOKUP(Logs[[#This Row],[Cell_ID]],'Registre_Maintenance'!B:B,'Registre_Maintenance'!D:D,"Pas de correspondance")</f>
        <v>Pas de correspondance</v>
      </c>
      <c r="J1046" t="str">
        <f>_xlfn.XLOOKUP(Logs[[#This Row],[Cell_ID]],'Registre_Maintenance'!B:B,'Registre_Maintenance'!E:E,"Pas de correspondance")</f>
        <v>Pas de correspondance</v>
      </c>
      <c r="K1046" t="str">
        <f>_xlfn.XLOOKUP(Logs[[#This Row],[Cell_ID]],'Registre_Maintenance'!B:B,'Registre_Maintenance'!F:F,"Pas de correspondance")</f>
        <v>Pas de correspondance</v>
      </c>
      <c r="L1046" t="str">
        <f>_xlfn.XLOOKUP(Logs[[#This Row],[Cell_ID]],'Registre_Maintenance'!B:B,'Registre_Maintenance'!G:G,"Pas de correspondance")</f>
        <v>Pas de correspondance</v>
      </c>
      <c r="M1046" s="1" t="s">
        <v>811</v>
      </c>
      <c r="N1046" s="1" t="str">
        <f>_xlfn.XLOOKUP(Logs[[#This Row],[ID_Client]],Clients_Log!B:B,Clients_Log!E:E,"Pas de correspondance")</f>
        <v>Pas de correspondance</v>
      </c>
      <c r="O1046" s="4" t="str">
        <f>IFERROR(Logs[[#This Row],[Anciennete_Mois]]/12,"")</f>
        <v/>
      </c>
      <c r="P1046" s="1" t="str">
        <f>_xlfn.XLOOKUP(Logs[[#This Row],[ID_Client]],Clients_Log!B:B,Clients_Log!F:F,"Pas de correspondance")</f>
        <v>Pas de correspondance</v>
      </c>
      <c r="Q1046" s="1" t="str">
        <f>IF(Logs[[#This Row],[Type_Forfait]]="Pro Monde","B2B","B2C")</f>
        <v>B2C</v>
      </c>
      <c r="R1046" s="1" t="str">
        <f>_xlfn.XLOOKUP(Logs[[#This Row],[ID_Client]],Clients_Log!B:B,Clients_Log!G:G,"Pas de correspondance")</f>
        <v>Pas de correspondance</v>
      </c>
      <c r="S1046" s="1" t="e">
        <f>Logs[[#This Row],[Duree_Cumulee_Panne_Min]]/1440</f>
        <v>#VALUE!</v>
      </c>
      <c r="T1046" s="1" t="str">
        <f>_xlfn.XLOOKUP(Logs[[#This Row],[ID_Client]],Clients_Log!B:B,Clients_Log!H:H,"Pas de correspondance")</f>
        <v>Pas de correspondance</v>
      </c>
      <c r="U1046" s="1" t="str">
        <f>_xlfn.XLOOKUP(Logs[[#This Row],[ID_Client]],Clients_Log!B:B,Clients_Log!I:I,"Pas de correspondance")</f>
        <v>Pas de correspondance</v>
      </c>
      <c r="V104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46" s="1" t="e">
        <f>Logs[[#This Row],[Facture_Mensuelle]]*Logs[[#This Row],[Remise (%)]]</f>
        <v>#VALUE!</v>
      </c>
    </row>
    <row r="1047" spans="1:23" hidden="1" x14ac:dyDescent="0.25">
      <c r="A1047" s="1" t="s">
        <v>1483</v>
      </c>
      <c r="B1047" s="2">
        <v>45224</v>
      </c>
      <c r="C1047" s="1" t="str">
        <f>_xlfn.XLOOKUP(Logs[[#This Row],[Province_RDC]],Clients_Log!D:D,Clients_Log!B:B,"Pas de correspondance")</f>
        <v>Pas de correspondance</v>
      </c>
      <c r="D1047" t="str">
        <f>_xlfn.XLOOKUP(Logs[[#This Row],[Cell_ID]],'Registre_Maintenance'!B:B,'Registre_Maintenance'!C:C,"Pas de correspondance")</f>
        <v>Pas de correspondance</v>
      </c>
      <c r="E1047" s="3">
        <v>0.28819444444444442</v>
      </c>
      <c r="F1047" s="1" t="s">
        <v>1145</v>
      </c>
      <c r="G1047" s="3">
        <f>Logs[[#This Row],[Duree_Panne_Min]]/1440</f>
        <v>8.0555555555555561E-2</v>
      </c>
      <c r="H1047">
        <v>116</v>
      </c>
      <c r="I1047" t="str">
        <f>_xlfn.XLOOKUP(Logs[[#This Row],[Cell_ID]],'Registre_Maintenance'!B:B,'Registre_Maintenance'!D:D,"Pas de correspondance")</f>
        <v>Pas de correspondance</v>
      </c>
      <c r="J1047" t="str">
        <f>_xlfn.XLOOKUP(Logs[[#This Row],[Cell_ID]],'Registre_Maintenance'!B:B,'Registre_Maintenance'!E:E,"Pas de correspondance")</f>
        <v>Pas de correspondance</v>
      </c>
      <c r="K1047" t="str">
        <f>_xlfn.XLOOKUP(Logs[[#This Row],[Cell_ID]],'Registre_Maintenance'!B:B,'Registre_Maintenance'!F:F,"Pas de correspondance")</f>
        <v>Pas de correspondance</v>
      </c>
      <c r="L1047" t="str">
        <f>_xlfn.XLOOKUP(Logs[[#This Row],[Cell_ID]],'Registre_Maintenance'!B:B,'Registre_Maintenance'!G:G,"Pas de correspondance")</f>
        <v>Pas de correspondance</v>
      </c>
      <c r="M1047" s="1" t="s">
        <v>811</v>
      </c>
      <c r="N1047" s="1" t="str">
        <f>_xlfn.XLOOKUP(Logs[[#This Row],[ID_Client]],Clients_Log!B:B,Clients_Log!E:E,"Pas de correspondance")</f>
        <v>Pas de correspondance</v>
      </c>
      <c r="O1047" s="4" t="str">
        <f>IFERROR(Logs[[#This Row],[Anciennete_Mois]]/12,"")</f>
        <v/>
      </c>
      <c r="P1047" s="1" t="str">
        <f>_xlfn.XLOOKUP(Logs[[#This Row],[ID_Client]],Clients_Log!B:B,Clients_Log!F:F,"Pas de correspondance")</f>
        <v>Pas de correspondance</v>
      </c>
      <c r="Q1047" s="1" t="str">
        <f>IF(Logs[[#This Row],[Type_Forfait]]="Pro Monde","B2B","B2C")</f>
        <v>B2C</v>
      </c>
      <c r="R1047" s="1" t="str">
        <f>_xlfn.XLOOKUP(Logs[[#This Row],[ID_Client]],Clients_Log!B:B,Clients_Log!G:G,"Pas de correspondance")</f>
        <v>Pas de correspondance</v>
      </c>
      <c r="S1047" s="1" t="e">
        <f>Logs[[#This Row],[Duree_Cumulee_Panne_Min]]/1440</f>
        <v>#VALUE!</v>
      </c>
      <c r="T1047" s="1" t="str">
        <f>_xlfn.XLOOKUP(Logs[[#This Row],[ID_Client]],Clients_Log!B:B,Clients_Log!H:H,"Pas de correspondance")</f>
        <v>Pas de correspondance</v>
      </c>
      <c r="U1047" s="1" t="str">
        <f>_xlfn.XLOOKUP(Logs[[#This Row],[ID_Client]],Clients_Log!B:B,Clients_Log!I:I,"Pas de correspondance")</f>
        <v>Pas de correspondance</v>
      </c>
      <c r="V104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47" s="1" t="e">
        <f>Logs[[#This Row],[Facture_Mensuelle]]*Logs[[#This Row],[Remise (%)]]</f>
        <v>#VALUE!</v>
      </c>
    </row>
    <row r="1048" spans="1:23" hidden="1" x14ac:dyDescent="0.25">
      <c r="A1048" s="1" t="s">
        <v>1483</v>
      </c>
      <c r="B1048" s="2">
        <v>45221</v>
      </c>
      <c r="C1048" s="1" t="str">
        <f>_xlfn.XLOOKUP(Logs[[#This Row],[Province_RDC]],Clients_Log!D:D,Clients_Log!B:B,"Pas de correspondance")</f>
        <v>Pas de correspondance</v>
      </c>
      <c r="D1048" t="str">
        <f>_xlfn.XLOOKUP(Logs[[#This Row],[Cell_ID]],'Registre_Maintenance'!B:B,'Registre_Maintenance'!C:C,"Pas de correspondance")</f>
        <v>Pas de correspondance</v>
      </c>
      <c r="E1048" s="3">
        <v>0.57847222222222228</v>
      </c>
      <c r="F1048" s="1" t="s">
        <v>1011</v>
      </c>
      <c r="G1048" s="3">
        <f>Logs[[#This Row],[Duree_Panne_Min]]/1440</f>
        <v>5.2777777777777778E-2</v>
      </c>
      <c r="H1048">
        <v>76</v>
      </c>
      <c r="I1048" t="str">
        <f>_xlfn.XLOOKUP(Logs[[#This Row],[Cell_ID]],'Registre_Maintenance'!B:B,'Registre_Maintenance'!D:D,"Pas de correspondance")</f>
        <v>Pas de correspondance</v>
      </c>
      <c r="J1048" t="str">
        <f>_xlfn.XLOOKUP(Logs[[#This Row],[Cell_ID]],'Registre_Maintenance'!B:B,'Registre_Maintenance'!E:E,"Pas de correspondance")</f>
        <v>Pas de correspondance</v>
      </c>
      <c r="K1048" t="str">
        <f>_xlfn.XLOOKUP(Logs[[#This Row],[Cell_ID]],'Registre_Maintenance'!B:B,'Registre_Maintenance'!F:F,"Pas de correspondance")</f>
        <v>Pas de correspondance</v>
      </c>
      <c r="L1048" t="str">
        <f>_xlfn.XLOOKUP(Logs[[#This Row],[Cell_ID]],'Registre_Maintenance'!B:B,'Registre_Maintenance'!G:G,"Pas de correspondance")</f>
        <v>Pas de correspondance</v>
      </c>
      <c r="M1048" s="1" t="s">
        <v>811</v>
      </c>
      <c r="N1048" s="1" t="str">
        <f>_xlfn.XLOOKUP(Logs[[#This Row],[ID_Client]],Clients_Log!B:B,Clients_Log!E:E,"Pas de correspondance")</f>
        <v>Pas de correspondance</v>
      </c>
      <c r="O1048" s="4" t="str">
        <f>IFERROR(Logs[[#This Row],[Anciennete_Mois]]/12,"")</f>
        <v/>
      </c>
      <c r="P1048" s="1" t="str">
        <f>_xlfn.XLOOKUP(Logs[[#This Row],[ID_Client]],Clients_Log!B:B,Clients_Log!F:F,"Pas de correspondance")</f>
        <v>Pas de correspondance</v>
      </c>
      <c r="Q1048" s="1" t="str">
        <f>IF(Logs[[#This Row],[Type_Forfait]]="Pro Monde","B2B","B2C")</f>
        <v>B2C</v>
      </c>
      <c r="R1048" s="1" t="str">
        <f>_xlfn.XLOOKUP(Logs[[#This Row],[ID_Client]],Clients_Log!B:B,Clients_Log!G:G,"Pas de correspondance")</f>
        <v>Pas de correspondance</v>
      </c>
      <c r="S1048" s="1" t="e">
        <f>Logs[[#This Row],[Duree_Cumulee_Panne_Min]]/1440</f>
        <v>#VALUE!</v>
      </c>
      <c r="T1048" s="1" t="str">
        <f>_xlfn.XLOOKUP(Logs[[#This Row],[ID_Client]],Clients_Log!B:B,Clients_Log!H:H,"Pas de correspondance")</f>
        <v>Pas de correspondance</v>
      </c>
      <c r="U1048" s="1" t="str">
        <f>_xlfn.XLOOKUP(Logs[[#This Row],[ID_Client]],Clients_Log!B:B,Clients_Log!I:I,"Pas de correspondance")</f>
        <v>Pas de correspondance</v>
      </c>
      <c r="V104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48" s="1" t="e">
        <f>Logs[[#This Row],[Facture_Mensuelle]]*Logs[[#This Row],[Remise (%)]]</f>
        <v>#VALUE!</v>
      </c>
    </row>
    <row r="1049" spans="1:23" hidden="1" x14ac:dyDescent="0.25">
      <c r="A1049" s="1" t="s">
        <v>1483</v>
      </c>
      <c r="B1049" s="2">
        <v>45203</v>
      </c>
      <c r="C1049" s="1" t="str">
        <f>_xlfn.XLOOKUP(Logs[[#This Row],[Province_RDC]],Clients_Log!D:D,Clients_Log!B:B,"Pas de correspondance")</f>
        <v>Pas de correspondance</v>
      </c>
      <c r="D1049" t="str">
        <f>_xlfn.XLOOKUP(Logs[[#This Row],[Cell_ID]],'Registre_Maintenance'!B:B,'Registre_Maintenance'!C:C,"Pas de correspondance")</f>
        <v>Pas de correspondance</v>
      </c>
      <c r="E1049" s="3">
        <v>0.27361111111111114</v>
      </c>
      <c r="F1049" s="1" t="s">
        <v>851</v>
      </c>
      <c r="G1049" s="3">
        <f>Logs[[#This Row],[Duree_Panne_Min]]/1440</f>
        <v>1.5972222222222221E-2</v>
      </c>
      <c r="H1049">
        <v>23</v>
      </c>
      <c r="I1049" t="str">
        <f>_xlfn.XLOOKUP(Logs[[#This Row],[Cell_ID]],'Registre_Maintenance'!B:B,'Registre_Maintenance'!D:D,"Pas de correspondance")</f>
        <v>Pas de correspondance</v>
      </c>
      <c r="J1049" t="str">
        <f>_xlfn.XLOOKUP(Logs[[#This Row],[Cell_ID]],'Registre_Maintenance'!B:B,'Registre_Maintenance'!E:E,"Pas de correspondance")</f>
        <v>Pas de correspondance</v>
      </c>
      <c r="K1049" t="str">
        <f>_xlfn.XLOOKUP(Logs[[#This Row],[Cell_ID]],'Registre_Maintenance'!B:B,'Registre_Maintenance'!F:F,"Pas de correspondance")</f>
        <v>Pas de correspondance</v>
      </c>
      <c r="L1049" t="str">
        <f>_xlfn.XLOOKUP(Logs[[#This Row],[Cell_ID]],'Registre_Maintenance'!B:B,'Registre_Maintenance'!G:G,"Pas de correspondance")</f>
        <v>Pas de correspondance</v>
      </c>
      <c r="M1049" s="1" t="s">
        <v>811</v>
      </c>
      <c r="N1049" s="1" t="str">
        <f>_xlfn.XLOOKUP(Logs[[#This Row],[ID_Client]],Clients_Log!B:B,Clients_Log!E:E,"Pas de correspondance")</f>
        <v>Pas de correspondance</v>
      </c>
      <c r="O1049" s="4" t="str">
        <f>IFERROR(Logs[[#This Row],[Anciennete_Mois]]/12,"")</f>
        <v/>
      </c>
      <c r="P1049" s="1" t="str">
        <f>_xlfn.XLOOKUP(Logs[[#This Row],[ID_Client]],Clients_Log!B:B,Clients_Log!F:F,"Pas de correspondance")</f>
        <v>Pas de correspondance</v>
      </c>
      <c r="Q1049" s="1" t="str">
        <f>IF(Logs[[#This Row],[Type_Forfait]]="Pro Monde","B2B","B2C")</f>
        <v>B2C</v>
      </c>
      <c r="R1049" s="1" t="str">
        <f>_xlfn.XLOOKUP(Logs[[#This Row],[ID_Client]],Clients_Log!B:B,Clients_Log!G:G,"Pas de correspondance")</f>
        <v>Pas de correspondance</v>
      </c>
      <c r="S1049" s="1" t="e">
        <f>Logs[[#This Row],[Duree_Cumulee_Panne_Min]]/1440</f>
        <v>#VALUE!</v>
      </c>
      <c r="T1049" s="1" t="str">
        <f>_xlfn.XLOOKUP(Logs[[#This Row],[ID_Client]],Clients_Log!B:B,Clients_Log!H:H,"Pas de correspondance")</f>
        <v>Pas de correspondance</v>
      </c>
      <c r="U1049" s="1" t="str">
        <f>_xlfn.XLOOKUP(Logs[[#This Row],[ID_Client]],Clients_Log!B:B,Clients_Log!I:I,"Pas de correspondance")</f>
        <v>Pas de correspondance</v>
      </c>
      <c r="V104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49" s="1" t="e">
        <f>Logs[[#This Row],[Facture_Mensuelle]]*Logs[[#This Row],[Remise (%)]]</f>
        <v>#VALUE!</v>
      </c>
    </row>
    <row r="1050" spans="1:23" hidden="1" x14ac:dyDescent="0.25">
      <c r="A1050" s="1" t="s">
        <v>1483</v>
      </c>
      <c r="B1050" s="2">
        <v>45226</v>
      </c>
      <c r="C1050" s="1" t="str">
        <f>_xlfn.XLOOKUP(Logs[[#This Row],[Province_RDC]],Clients_Log!D:D,Clients_Log!B:B,"Pas de correspondance")</f>
        <v>Pas de correspondance</v>
      </c>
      <c r="D1050" t="str">
        <f>_xlfn.XLOOKUP(Logs[[#This Row],[Cell_ID]],'Registre_Maintenance'!B:B,'Registre_Maintenance'!C:C,"Pas de correspondance")</f>
        <v>Pas de correspondance</v>
      </c>
      <c r="E1050" s="3">
        <v>0.9555555555555556</v>
      </c>
      <c r="F1050" s="1" t="s">
        <v>1485</v>
      </c>
      <c r="G1050" s="3">
        <f>Logs[[#This Row],[Duree_Panne_Min]]/1440</f>
        <v>1.3888888888888888E-2</v>
      </c>
      <c r="H1050">
        <v>20</v>
      </c>
      <c r="I1050" t="str">
        <f>_xlfn.XLOOKUP(Logs[[#This Row],[Cell_ID]],'Registre_Maintenance'!B:B,'Registre_Maintenance'!D:D,"Pas de correspondance")</f>
        <v>Pas de correspondance</v>
      </c>
      <c r="J1050" t="str">
        <f>_xlfn.XLOOKUP(Logs[[#This Row],[Cell_ID]],'Registre_Maintenance'!B:B,'Registre_Maintenance'!E:E,"Pas de correspondance")</f>
        <v>Pas de correspondance</v>
      </c>
      <c r="K1050" t="str">
        <f>_xlfn.XLOOKUP(Logs[[#This Row],[Cell_ID]],'Registre_Maintenance'!B:B,'Registre_Maintenance'!F:F,"Pas de correspondance")</f>
        <v>Pas de correspondance</v>
      </c>
      <c r="L1050" t="str">
        <f>_xlfn.XLOOKUP(Logs[[#This Row],[Cell_ID]],'Registre_Maintenance'!B:B,'Registre_Maintenance'!G:G,"Pas de correspondance")</f>
        <v>Pas de correspondance</v>
      </c>
      <c r="M1050" s="1" t="s">
        <v>809</v>
      </c>
      <c r="N1050" s="1" t="str">
        <f>_xlfn.XLOOKUP(Logs[[#This Row],[ID_Client]],Clients_Log!B:B,Clients_Log!E:E,"Pas de correspondance")</f>
        <v>Pas de correspondance</v>
      </c>
      <c r="O1050" s="4" t="str">
        <f>IFERROR(Logs[[#This Row],[Anciennete_Mois]]/12,"")</f>
        <v/>
      </c>
      <c r="P1050" s="1" t="str">
        <f>_xlfn.XLOOKUP(Logs[[#This Row],[ID_Client]],Clients_Log!B:B,Clients_Log!F:F,"Pas de correspondance")</f>
        <v>Pas de correspondance</v>
      </c>
      <c r="Q1050" s="1" t="str">
        <f>IF(Logs[[#This Row],[Type_Forfait]]="Pro Monde","B2B","B2C")</f>
        <v>B2C</v>
      </c>
      <c r="R1050" s="1" t="str">
        <f>_xlfn.XLOOKUP(Logs[[#This Row],[ID_Client]],Clients_Log!B:B,Clients_Log!G:G,"Pas de correspondance")</f>
        <v>Pas de correspondance</v>
      </c>
      <c r="S1050" s="1" t="e">
        <f>Logs[[#This Row],[Duree_Cumulee_Panne_Min]]/1440</f>
        <v>#VALUE!</v>
      </c>
      <c r="T1050" s="1" t="str">
        <f>_xlfn.XLOOKUP(Logs[[#This Row],[ID_Client]],Clients_Log!B:B,Clients_Log!H:H,"Pas de correspondance")</f>
        <v>Pas de correspondance</v>
      </c>
      <c r="U1050" s="1" t="str">
        <f>_xlfn.XLOOKUP(Logs[[#This Row],[ID_Client]],Clients_Log!B:B,Clients_Log!I:I,"Pas de correspondance")</f>
        <v>Pas de correspondance</v>
      </c>
      <c r="V1050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50" s="1" t="e">
        <f>Logs[[#This Row],[Facture_Mensuelle]]*Logs[[#This Row],[Remise (%)]]</f>
        <v>#VALUE!</v>
      </c>
    </row>
    <row r="1051" spans="1:23" hidden="1" x14ac:dyDescent="0.25">
      <c r="A1051" s="1" t="s">
        <v>1483</v>
      </c>
      <c r="B1051" s="2">
        <v>45223</v>
      </c>
      <c r="C1051" s="1" t="str">
        <f>_xlfn.XLOOKUP(Logs[[#This Row],[Province_RDC]],Clients_Log!D:D,Clients_Log!B:B,"Pas de correspondance")</f>
        <v>Pas de correspondance</v>
      </c>
      <c r="D1051" t="str">
        <f>_xlfn.XLOOKUP(Logs[[#This Row],[Cell_ID]],'Registre_Maintenance'!B:B,'Registre_Maintenance'!C:C,"Pas de correspondance")</f>
        <v>Pas de correspondance</v>
      </c>
      <c r="E1051" s="3">
        <v>0.57013888888888886</v>
      </c>
      <c r="F1051" s="1" t="s">
        <v>991</v>
      </c>
      <c r="G1051" s="3">
        <f>Logs[[#This Row],[Duree_Panne_Min]]/1440</f>
        <v>6.9444444444444441E-3</v>
      </c>
      <c r="H1051">
        <v>10</v>
      </c>
      <c r="I1051" t="str">
        <f>_xlfn.XLOOKUP(Logs[[#This Row],[Cell_ID]],'Registre_Maintenance'!B:B,'Registre_Maintenance'!D:D,"Pas de correspondance")</f>
        <v>Pas de correspondance</v>
      </c>
      <c r="J1051" t="str">
        <f>_xlfn.XLOOKUP(Logs[[#This Row],[Cell_ID]],'Registre_Maintenance'!B:B,'Registre_Maintenance'!E:E,"Pas de correspondance")</f>
        <v>Pas de correspondance</v>
      </c>
      <c r="K1051" t="str">
        <f>_xlfn.XLOOKUP(Logs[[#This Row],[Cell_ID]],'Registre_Maintenance'!B:B,'Registre_Maintenance'!F:F,"Pas de correspondance")</f>
        <v>Pas de correspondance</v>
      </c>
      <c r="L1051" t="str">
        <f>_xlfn.XLOOKUP(Logs[[#This Row],[Cell_ID]],'Registre_Maintenance'!B:B,'Registre_Maintenance'!G:G,"Pas de correspondance")</f>
        <v>Pas de correspondance</v>
      </c>
      <c r="M1051" s="1" t="s">
        <v>809</v>
      </c>
      <c r="N1051" s="1" t="str">
        <f>_xlfn.XLOOKUP(Logs[[#This Row],[ID_Client]],Clients_Log!B:B,Clients_Log!E:E,"Pas de correspondance")</f>
        <v>Pas de correspondance</v>
      </c>
      <c r="O1051" s="4" t="str">
        <f>IFERROR(Logs[[#This Row],[Anciennete_Mois]]/12,"")</f>
        <v/>
      </c>
      <c r="P1051" s="1" t="str">
        <f>_xlfn.XLOOKUP(Logs[[#This Row],[ID_Client]],Clients_Log!B:B,Clients_Log!F:F,"Pas de correspondance")</f>
        <v>Pas de correspondance</v>
      </c>
      <c r="Q1051" s="1" t="str">
        <f>IF(Logs[[#This Row],[Type_Forfait]]="Pro Monde","B2B","B2C")</f>
        <v>B2C</v>
      </c>
      <c r="R1051" s="1" t="str">
        <f>_xlfn.XLOOKUP(Logs[[#This Row],[ID_Client]],Clients_Log!B:B,Clients_Log!G:G,"Pas de correspondance")</f>
        <v>Pas de correspondance</v>
      </c>
      <c r="S1051" s="1" t="e">
        <f>Logs[[#This Row],[Duree_Cumulee_Panne_Min]]/1440</f>
        <v>#VALUE!</v>
      </c>
      <c r="T1051" s="1" t="str">
        <f>_xlfn.XLOOKUP(Logs[[#This Row],[ID_Client]],Clients_Log!B:B,Clients_Log!H:H,"Pas de correspondance")</f>
        <v>Pas de correspondance</v>
      </c>
      <c r="U1051" s="1" t="str">
        <f>_xlfn.XLOOKUP(Logs[[#This Row],[ID_Client]],Clients_Log!B:B,Clients_Log!I:I,"Pas de correspondance")</f>
        <v>Pas de correspondance</v>
      </c>
      <c r="V105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51" s="1" t="e">
        <f>Logs[[#This Row],[Facture_Mensuelle]]*Logs[[#This Row],[Remise (%)]]</f>
        <v>#VALUE!</v>
      </c>
    </row>
    <row r="1052" spans="1:23" x14ac:dyDescent="0.25">
      <c r="A1052" s="1" t="s">
        <v>1483</v>
      </c>
      <c r="B1052" s="2">
        <v>45226</v>
      </c>
      <c r="C1052" s="1" t="str">
        <f>_xlfn.XLOOKUP(Logs[[#This Row],[Province_RDC]],Clients_Log!D:D,Clients_Log!B:B,"Pas de correspondance")</f>
        <v>CLI-01837</v>
      </c>
      <c r="D1052" t="str">
        <f>_xlfn.XLOOKUP(Logs[[#This Row],[Cell_ID]],'Registre_Maintenance'!B:B,'Registre_Maintenance'!C:C,"Pas de correspondance")</f>
        <v>Kasaï-Oriental</v>
      </c>
      <c r="E1052" s="3">
        <v>0.11597222222222223</v>
      </c>
      <c r="F1052" s="1" t="s">
        <v>1129</v>
      </c>
      <c r="G1052" s="3">
        <f>Logs[[#This Row],[Duree_Panne_Min]]/1440</f>
        <v>3.472222222222222E-3</v>
      </c>
      <c r="H1052">
        <v>5</v>
      </c>
      <c r="I1052">
        <f>_xlfn.XLOOKUP(Logs[[#This Row],[Cell_ID]],'Registre_Maintenance'!B:B,'Registre_Maintenance'!D:D,"Pas de correspondance")</f>
        <v>2.486888</v>
      </c>
      <c r="J1052">
        <f>_xlfn.XLOOKUP(Logs[[#This Row],[Cell_ID]],'Registre_Maintenance'!B:B,'Registre_Maintenance'!E:E,"Pas de correspondance")</f>
        <v>23.798074</v>
      </c>
      <c r="K1052" t="str">
        <f>_xlfn.XLOOKUP(Logs[[#This Row],[Cell_ID]],'Registre_Maintenance'!B:B,'Registre_Maintenance'!F:F,"Pas de correspondance")</f>
        <v>5G</v>
      </c>
      <c r="L1052" t="str">
        <f>_xlfn.XLOOKUP(Logs[[#This Row],[Cell_ID]],'Registre_Maintenance'!B:B,'Registre_Maintenance'!G:G,"Pas de correspondance")</f>
        <v>ZTE</v>
      </c>
      <c r="M1052" s="1" t="s">
        <v>811</v>
      </c>
      <c r="N1052" s="1">
        <f>_xlfn.XLOOKUP(Logs[[#This Row],[ID_Client]],Clients_Log!B:B,Clients_Log!E:E,"Pas de correspondance")</f>
        <v>97</v>
      </c>
      <c r="O1052" s="4">
        <f>IFERROR(Logs[[#This Row],[Anciennete_Mois]]/12,"")</f>
        <v>8.0833333333333339</v>
      </c>
      <c r="P1052" s="1" t="str">
        <f>_xlfn.XLOOKUP(Logs[[#This Row],[ID_Client]],Clients_Log!B:B,Clients_Log!F:F,"Pas de correspondance")</f>
        <v>Pro Monde</v>
      </c>
      <c r="Q1052" s="1" t="str">
        <f>IF(Logs[[#This Row],[Type_Forfait]]="Pro Monde","B2B","B2C")</f>
        <v>B2B</v>
      </c>
      <c r="R1052" s="1">
        <f>_xlfn.XLOOKUP(Logs[[#This Row],[ID_Client]],Clients_Log!B:B,Clients_Log!G:G,"Pas de correspondance")</f>
        <v>319</v>
      </c>
      <c r="S1052" s="3">
        <f>Logs[[#This Row],[Duree_Cumulee_Panne_Min]]/1440</f>
        <v>0.22152777777777777</v>
      </c>
      <c r="T1052" s="1">
        <f>_xlfn.XLOOKUP(Logs[[#This Row],[ID_Client]],Clients_Log!B:B,Clients_Log!H:H,"Pas de correspondance")</f>
        <v>31.25</v>
      </c>
      <c r="U1052" s="1">
        <f>_xlfn.XLOOKUP(Logs[[#This Row],[ID_Client]],Clients_Log!B:B,Clients_Log!I:I,"Pas de correspondance")</f>
        <v>1</v>
      </c>
      <c r="V1052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52" s="1">
        <f>Logs[[#This Row],[Facture_Mensuelle]]*Logs[[#This Row],[Remise (%)]]</f>
        <v>14.0625</v>
      </c>
    </row>
    <row r="1053" spans="1:23" hidden="1" x14ac:dyDescent="0.25">
      <c r="A1053" s="1" t="s">
        <v>1483</v>
      </c>
      <c r="B1053" s="2">
        <v>45221</v>
      </c>
      <c r="C1053" s="1" t="str">
        <f>_xlfn.XLOOKUP(Logs[[#This Row],[Province_RDC]],Clients_Log!D:D,Clients_Log!B:B,"Pas de correspondance")</f>
        <v>Pas de correspondance</v>
      </c>
      <c r="D1053" t="str">
        <f>_xlfn.XLOOKUP(Logs[[#This Row],[Cell_ID]],'Registre_Maintenance'!B:B,'Registre_Maintenance'!C:C,"Pas de correspondance")</f>
        <v>Pas de correspondance</v>
      </c>
      <c r="E1053" s="3">
        <v>0.1673611111111111</v>
      </c>
      <c r="F1053" s="1" t="s">
        <v>921</v>
      </c>
      <c r="G1053" s="3">
        <f>Logs[[#This Row],[Duree_Panne_Min]]/1440</f>
        <v>5.4166666666666669E-2</v>
      </c>
      <c r="H1053">
        <v>78</v>
      </c>
      <c r="I1053" t="str">
        <f>_xlfn.XLOOKUP(Logs[[#This Row],[Cell_ID]],'Registre_Maintenance'!B:B,'Registre_Maintenance'!D:D,"Pas de correspondance")</f>
        <v>Pas de correspondance</v>
      </c>
      <c r="J1053" t="str">
        <f>_xlfn.XLOOKUP(Logs[[#This Row],[Cell_ID]],'Registre_Maintenance'!B:B,'Registre_Maintenance'!E:E,"Pas de correspondance")</f>
        <v>Pas de correspondance</v>
      </c>
      <c r="K1053" t="str">
        <f>_xlfn.XLOOKUP(Logs[[#This Row],[Cell_ID]],'Registre_Maintenance'!B:B,'Registre_Maintenance'!F:F,"Pas de correspondance")</f>
        <v>Pas de correspondance</v>
      </c>
      <c r="L1053" t="str">
        <f>_xlfn.XLOOKUP(Logs[[#This Row],[Cell_ID]],'Registre_Maintenance'!B:B,'Registre_Maintenance'!G:G,"Pas de correspondance")</f>
        <v>Pas de correspondance</v>
      </c>
      <c r="M1053" s="1" t="s">
        <v>809</v>
      </c>
      <c r="N1053" s="1" t="str">
        <f>_xlfn.XLOOKUP(Logs[[#This Row],[ID_Client]],Clients_Log!B:B,Clients_Log!E:E,"Pas de correspondance")</f>
        <v>Pas de correspondance</v>
      </c>
      <c r="O1053" s="4" t="str">
        <f>IFERROR(Logs[[#This Row],[Anciennete_Mois]]/12,"")</f>
        <v/>
      </c>
      <c r="P1053" s="1" t="str">
        <f>_xlfn.XLOOKUP(Logs[[#This Row],[ID_Client]],Clients_Log!B:B,Clients_Log!F:F,"Pas de correspondance")</f>
        <v>Pas de correspondance</v>
      </c>
      <c r="Q1053" s="1" t="str">
        <f>IF(Logs[[#This Row],[Type_Forfait]]="Pro Monde","B2B","B2C")</f>
        <v>B2C</v>
      </c>
      <c r="R1053" s="1" t="str">
        <f>_xlfn.XLOOKUP(Logs[[#This Row],[ID_Client]],Clients_Log!B:B,Clients_Log!G:G,"Pas de correspondance")</f>
        <v>Pas de correspondance</v>
      </c>
      <c r="S1053" s="1" t="e">
        <f>Logs[[#This Row],[Duree_Cumulee_Panne_Min]]/1440</f>
        <v>#VALUE!</v>
      </c>
      <c r="T1053" s="1" t="str">
        <f>_xlfn.XLOOKUP(Logs[[#This Row],[ID_Client]],Clients_Log!B:B,Clients_Log!H:H,"Pas de correspondance")</f>
        <v>Pas de correspondance</v>
      </c>
      <c r="U1053" s="1" t="str">
        <f>_xlfn.XLOOKUP(Logs[[#This Row],[ID_Client]],Clients_Log!B:B,Clients_Log!I:I,"Pas de correspondance")</f>
        <v>Pas de correspondance</v>
      </c>
      <c r="V105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53" s="1" t="e">
        <f>Logs[[#This Row],[Facture_Mensuelle]]*Logs[[#This Row],[Remise (%)]]</f>
        <v>#VALUE!</v>
      </c>
    </row>
    <row r="1054" spans="1:23" hidden="1" x14ac:dyDescent="0.25">
      <c r="A1054" s="1" t="s">
        <v>1483</v>
      </c>
      <c r="B1054" s="2">
        <v>45214</v>
      </c>
      <c r="C1054" s="1" t="str">
        <f>_xlfn.XLOOKUP(Logs[[#This Row],[Province_RDC]],Clients_Log!D:D,Clients_Log!B:B,"Pas de correspondance")</f>
        <v>Pas de correspondance</v>
      </c>
      <c r="D1054" t="str">
        <f>_xlfn.XLOOKUP(Logs[[#This Row],[Cell_ID]],'Registre_Maintenance'!B:B,'Registre_Maintenance'!C:C,"Pas de correspondance")</f>
        <v>Pas de correspondance</v>
      </c>
      <c r="E1054" s="3">
        <v>0.93125000000000002</v>
      </c>
      <c r="F1054" s="1" t="s">
        <v>1275</v>
      </c>
      <c r="G1054" s="3">
        <f>Logs[[#This Row],[Duree_Panne_Min]]/1440</f>
        <v>5.6250000000000001E-2</v>
      </c>
      <c r="H1054">
        <v>81</v>
      </c>
      <c r="I1054" t="str">
        <f>_xlfn.XLOOKUP(Logs[[#This Row],[Cell_ID]],'Registre_Maintenance'!B:B,'Registre_Maintenance'!D:D,"Pas de correspondance")</f>
        <v>Pas de correspondance</v>
      </c>
      <c r="J1054" t="str">
        <f>_xlfn.XLOOKUP(Logs[[#This Row],[Cell_ID]],'Registre_Maintenance'!B:B,'Registre_Maintenance'!E:E,"Pas de correspondance")</f>
        <v>Pas de correspondance</v>
      </c>
      <c r="K1054" t="str">
        <f>_xlfn.XLOOKUP(Logs[[#This Row],[Cell_ID]],'Registre_Maintenance'!B:B,'Registre_Maintenance'!F:F,"Pas de correspondance")</f>
        <v>Pas de correspondance</v>
      </c>
      <c r="L1054" t="str">
        <f>_xlfn.XLOOKUP(Logs[[#This Row],[Cell_ID]],'Registre_Maintenance'!B:B,'Registre_Maintenance'!G:G,"Pas de correspondance")</f>
        <v>Pas de correspondance</v>
      </c>
      <c r="M1054" s="1" t="s">
        <v>809</v>
      </c>
      <c r="N1054" s="1" t="str">
        <f>_xlfn.XLOOKUP(Logs[[#This Row],[ID_Client]],Clients_Log!B:B,Clients_Log!E:E,"Pas de correspondance")</f>
        <v>Pas de correspondance</v>
      </c>
      <c r="O1054" s="4" t="str">
        <f>IFERROR(Logs[[#This Row],[Anciennete_Mois]]/12,"")</f>
        <v/>
      </c>
      <c r="P1054" s="1" t="str">
        <f>_xlfn.XLOOKUP(Logs[[#This Row],[ID_Client]],Clients_Log!B:B,Clients_Log!F:F,"Pas de correspondance")</f>
        <v>Pas de correspondance</v>
      </c>
      <c r="Q1054" s="1" t="str">
        <f>IF(Logs[[#This Row],[Type_Forfait]]="Pro Monde","B2B","B2C")</f>
        <v>B2C</v>
      </c>
      <c r="R1054" s="1" t="str">
        <f>_xlfn.XLOOKUP(Logs[[#This Row],[ID_Client]],Clients_Log!B:B,Clients_Log!G:G,"Pas de correspondance")</f>
        <v>Pas de correspondance</v>
      </c>
      <c r="S1054" s="1" t="e">
        <f>Logs[[#This Row],[Duree_Cumulee_Panne_Min]]/1440</f>
        <v>#VALUE!</v>
      </c>
      <c r="T1054" s="1" t="str">
        <f>_xlfn.XLOOKUP(Logs[[#This Row],[ID_Client]],Clients_Log!B:B,Clients_Log!H:H,"Pas de correspondance")</f>
        <v>Pas de correspondance</v>
      </c>
      <c r="U1054" s="1" t="str">
        <f>_xlfn.XLOOKUP(Logs[[#This Row],[ID_Client]],Clients_Log!B:B,Clients_Log!I:I,"Pas de correspondance")</f>
        <v>Pas de correspondance</v>
      </c>
      <c r="V105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54" s="1" t="e">
        <f>Logs[[#This Row],[Facture_Mensuelle]]*Logs[[#This Row],[Remise (%)]]</f>
        <v>#VALUE!</v>
      </c>
    </row>
    <row r="1055" spans="1:23" x14ac:dyDescent="0.25">
      <c r="A1055" s="1" t="s">
        <v>1483</v>
      </c>
      <c r="B1055" s="2">
        <v>45201</v>
      </c>
      <c r="C1055" s="1" t="str">
        <f>_xlfn.XLOOKUP(Logs[[#This Row],[Province_RDC]],Clients_Log!D:D,Clients_Log!B:B,"Pas de correspondance")</f>
        <v>CLI-00837</v>
      </c>
      <c r="D1055" t="str">
        <f>_xlfn.XLOOKUP(Logs[[#This Row],[Cell_ID]],'Registre_Maintenance'!B:B,'Registre_Maintenance'!C:C,"Pas de correspondance")</f>
        <v>Nord-Kivu</v>
      </c>
      <c r="E1055" s="3">
        <v>8.611111111111111E-2</v>
      </c>
      <c r="F1055" s="1" t="s">
        <v>1001</v>
      </c>
      <c r="G1055" s="3">
        <f>Logs[[#This Row],[Duree_Panne_Min]]/1440</f>
        <v>3.8194444444444448E-2</v>
      </c>
      <c r="H1055">
        <v>55</v>
      </c>
      <c r="I1055">
        <f>_xlfn.XLOOKUP(Logs[[#This Row],[Cell_ID]],'Registre_Maintenance'!B:B,'Registre_Maintenance'!D:D,"Pas de correspondance")</f>
        <v>-1.8555980000000001</v>
      </c>
      <c r="J1055">
        <f>_xlfn.XLOOKUP(Logs[[#This Row],[Cell_ID]],'Registre_Maintenance'!B:B,'Registre_Maintenance'!E:E,"Pas de correspondance")</f>
        <v>30.421918000000002</v>
      </c>
      <c r="K1055" t="str">
        <f>_xlfn.XLOOKUP(Logs[[#This Row],[Cell_ID]],'Registre_Maintenance'!B:B,'Registre_Maintenance'!F:F,"Pas de correspondance")</f>
        <v>3G</v>
      </c>
      <c r="L1055" t="str">
        <f>_xlfn.XLOOKUP(Logs[[#This Row],[Cell_ID]],'Registre_Maintenance'!B:B,'Registre_Maintenance'!G:G,"Pas de correspondance")</f>
        <v>ZTE</v>
      </c>
      <c r="M1055" s="1" t="s">
        <v>806</v>
      </c>
      <c r="N1055" s="1">
        <f>_xlfn.XLOOKUP(Logs[[#This Row],[ID_Client]],Clients_Log!B:B,Clients_Log!E:E,"Pas de correspondance")</f>
        <v>16</v>
      </c>
      <c r="O1055" s="4">
        <f>IFERROR(Logs[[#This Row],[Anciennete_Mois]]/12,"")</f>
        <v>1.3333333333333333</v>
      </c>
      <c r="P1055" s="1" t="str">
        <f>_xlfn.XLOOKUP(Logs[[#This Row],[ID_Client]],Clients_Log!B:B,Clients_Log!F:F,"Pas de correspondance")</f>
        <v>Bloqué 5Go</v>
      </c>
      <c r="Q1055" s="1" t="str">
        <f>IF(Logs[[#This Row],[Type_Forfait]]="Pro Monde","B2B","B2C")</f>
        <v>B2C</v>
      </c>
      <c r="R1055" s="1">
        <f>_xlfn.XLOOKUP(Logs[[#This Row],[ID_Client]],Clients_Log!B:B,Clients_Log!G:G,"Pas de correspondance")</f>
        <v>390</v>
      </c>
      <c r="S1055" s="3">
        <f>Logs[[#This Row],[Duree_Cumulee_Panne_Min]]/1440</f>
        <v>0.27083333333333331</v>
      </c>
      <c r="T1055" s="1">
        <f>_xlfn.XLOOKUP(Logs[[#This Row],[ID_Client]],Clients_Log!B:B,Clients_Log!H:H,"Pas de correspondance")</f>
        <v>98.17</v>
      </c>
      <c r="U1055" s="1">
        <f>_xlfn.XLOOKUP(Logs[[#This Row],[ID_Client]],Clients_Log!B:B,Clients_Log!I:I,"Pas de correspondance")</f>
        <v>5</v>
      </c>
      <c r="V1055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55" s="1">
        <f>Logs[[#This Row],[Facture_Mensuelle]]*Logs[[#This Row],[Remise (%)]]</f>
        <v>44.176500000000004</v>
      </c>
    </row>
    <row r="1056" spans="1:23" hidden="1" x14ac:dyDescent="0.25">
      <c r="A1056" s="1" t="s">
        <v>1483</v>
      </c>
      <c r="B1056" s="2">
        <v>45201</v>
      </c>
      <c r="C1056" s="1" t="str">
        <f>_xlfn.XLOOKUP(Logs[[#This Row],[Province_RDC]],Clients_Log!D:D,Clients_Log!B:B,"Pas de correspondance")</f>
        <v>Pas de correspondance</v>
      </c>
      <c r="D1056" t="str">
        <f>_xlfn.XLOOKUP(Logs[[#This Row],[Cell_ID]],'Registre_Maintenance'!B:B,'Registre_Maintenance'!C:C,"Pas de correspondance")</f>
        <v>Pas de correspondance</v>
      </c>
      <c r="E1056" s="3">
        <v>0.24305555555555555</v>
      </c>
      <c r="F1056" s="1" t="s">
        <v>1108</v>
      </c>
      <c r="G1056" s="3">
        <f>Logs[[#This Row],[Duree_Panne_Min]]/1440</f>
        <v>5.0694444444444445E-2</v>
      </c>
      <c r="H1056">
        <v>73</v>
      </c>
      <c r="I1056" t="str">
        <f>_xlfn.XLOOKUP(Logs[[#This Row],[Cell_ID]],'Registre_Maintenance'!B:B,'Registre_Maintenance'!D:D,"Pas de correspondance")</f>
        <v>Pas de correspondance</v>
      </c>
      <c r="J1056" t="str">
        <f>_xlfn.XLOOKUP(Logs[[#This Row],[Cell_ID]],'Registre_Maintenance'!B:B,'Registre_Maintenance'!E:E,"Pas de correspondance")</f>
        <v>Pas de correspondance</v>
      </c>
      <c r="K1056" t="str">
        <f>_xlfn.XLOOKUP(Logs[[#This Row],[Cell_ID]],'Registre_Maintenance'!B:B,'Registre_Maintenance'!F:F,"Pas de correspondance")</f>
        <v>Pas de correspondance</v>
      </c>
      <c r="L1056" t="str">
        <f>_xlfn.XLOOKUP(Logs[[#This Row],[Cell_ID]],'Registre_Maintenance'!B:B,'Registre_Maintenance'!G:G,"Pas de correspondance")</f>
        <v>Pas de correspondance</v>
      </c>
      <c r="M1056" s="1" t="s">
        <v>809</v>
      </c>
      <c r="N1056" s="1" t="str">
        <f>_xlfn.XLOOKUP(Logs[[#This Row],[ID_Client]],Clients_Log!B:B,Clients_Log!E:E,"Pas de correspondance")</f>
        <v>Pas de correspondance</v>
      </c>
      <c r="O1056" s="4" t="str">
        <f>IFERROR(Logs[[#This Row],[Anciennete_Mois]]/12,"")</f>
        <v/>
      </c>
      <c r="P1056" s="1" t="str">
        <f>_xlfn.XLOOKUP(Logs[[#This Row],[ID_Client]],Clients_Log!B:B,Clients_Log!F:F,"Pas de correspondance")</f>
        <v>Pas de correspondance</v>
      </c>
      <c r="Q1056" s="1" t="str">
        <f>IF(Logs[[#This Row],[Type_Forfait]]="Pro Monde","B2B","B2C")</f>
        <v>B2C</v>
      </c>
      <c r="R1056" s="1" t="str">
        <f>_xlfn.XLOOKUP(Logs[[#This Row],[ID_Client]],Clients_Log!B:B,Clients_Log!G:G,"Pas de correspondance")</f>
        <v>Pas de correspondance</v>
      </c>
      <c r="S1056" s="1" t="e">
        <f>Logs[[#This Row],[Duree_Cumulee_Panne_Min]]/1440</f>
        <v>#VALUE!</v>
      </c>
      <c r="T1056" s="1" t="str">
        <f>_xlfn.XLOOKUP(Logs[[#This Row],[ID_Client]],Clients_Log!B:B,Clients_Log!H:H,"Pas de correspondance")</f>
        <v>Pas de correspondance</v>
      </c>
      <c r="U1056" s="1" t="str">
        <f>_xlfn.XLOOKUP(Logs[[#This Row],[ID_Client]],Clients_Log!B:B,Clients_Log!I:I,"Pas de correspondance")</f>
        <v>Pas de correspondance</v>
      </c>
      <c r="V105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56" s="1" t="e">
        <f>Logs[[#This Row],[Facture_Mensuelle]]*Logs[[#This Row],[Remise (%)]]</f>
        <v>#VALUE!</v>
      </c>
    </row>
    <row r="1057" spans="1:23" hidden="1" x14ac:dyDescent="0.25">
      <c r="A1057" s="1" t="s">
        <v>1483</v>
      </c>
      <c r="B1057" s="2">
        <v>45208</v>
      </c>
      <c r="C1057" s="1" t="str">
        <f>_xlfn.XLOOKUP(Logs[[#This Row],[Province_RDC]],Clients_Log!D:D,Clients_Log!B:B,"Pas de correspondance")</f>
        <v>Pas de correspondance</v>
      </c>
      <c r="D1057" t="str">
        <f>_xlfn.XLOOKUP(Logs[[#This Row],[Cell_ID]],'Registre_Maintenance'!B:B,'Registre_Maintenance'!C:C,"Pas de correspondance")</f>
        <v>Pas de correspondance</v>
      </c>
      <c r="E1057" s="3">
        <v>0.71111111111111114</v>
      </c>
      <c r="F1057" s="1" t="s">
        <v>1160</v>
      </c>
      <c r="G1057" s="3">
        <f>Logs[[#This Row],[Duree_Panne_Min]]/1440</f>
        <v>5.2083333333333336E-2</v>
      </c>
      <c r="H1057">
        <v>75</v>
      </c>
      <c r="I1057" t="str">
        <f>_xlfn.XLOOKUP(Logs[[#This Row],[Cell_ID]],'Registre_Maintenance'!B:B,'Registre_Maintenance'!D:D,"Pas de correspondance")</f>
        <v>Pas de correspondance</v>
      </c>
      <c r="J1057" t="str">
        <f>_xlfn.XLOOKUP(Logs[[#This Row],[Cell_ID]],'Registre_Maintenance'!B:B,'Registre_Maintenance'!E:E,"Pas de correspondance")</f>
        <v>Pas de correspondance</v>
      </c>
      <c r="K1057" t="str">
        <f>_xlfn.XLOOKUP(Logs[[#This Row],[Cell_ID]],'Registre_Maintenance'!B:B,'Registre_Maintenance'!F:F,"Pas de correspondance")</f>
        <v>Pas de correspondance</v>
      </c>
      <c r="L1057" t="str">
        <f>_xlfn.XLOOKUP(Logs[[#This Row],[Cell_ID]],'Registre_Maintenance'!B:B,'Registre_Maintenance'!G:G,"Pas de correspondance")</f>
        <v>Pas de correspondance</v>
      </c>
      <c r="M1057" s="1" t="s">
        <v>809</v>
      </c>
      <c r="N1057" s="1" t="str">
        <f>_xlfn.XLOOKUP(Logs[[#This Row],[ID_Client]],Clients_Log!B:B,Clients_Log!E:E,"Pas de correspondance")</f>
        <v>Pas de correspondance</v>
      </c>
      <c r="O1057" s="4" t="str">
        <f>IFERROR(Logs[[#This Row],[Anciennete_Mois]]/12,"")</f>
        <v/>
      </c>
      <c r="P1057" s="1" t="str">
        <f>_xlfn.XLOOKUP(Logs[[#This Row],[ID_Client]],Clients_Log!B:B,Clients_Log!F:F,"Pas de correspondance")</f>
        <v>Pas de correspondance</v>
      </c>
      <c r="Q1057" s="1" t="str">
        <f>IF(Logs[[#This Row],[Type_Forfait]]="Pro Monde","B2B","B2C")</f>
        <v>B2C</v>
      </c>
      <c r="R1057" s="1" t="str">
        <f>_xlfn.XLOOKUP(Logs[[#This Row],[ID_Client]],Clients_Log!B:B,Clients_Log!G:G,"Pas de correspondance")</f>
        <v>Pas de correspondance</v>
      </c>
      <c r="S1057" s="1" t="e">
        <f>Logs[[#This Row],[Duree_Cumulee_Panne_Min]]/1440</f>
        <v>#VALUE!</v>
      </c>
      <c r="T1057" s="1" t="str">
        <f>_xlfn.XLOOKUP(Logs[[#This Row],[ID_Client]],Clients_Log!B:B,Clients_Log!H:H,"Pas de correspondance")</f>
        <v>Pas de correspondance</v>
      </c>
      <c r="U1057" s="1" t="str">
        <f>_xlfn.XLOOKUP(Logs[[#This Row],[ID_Client]],Clients_Log!B:B,Clients_Log!I:I,"Pas de correspondance")</f>
        <v>Pas de correspondance</v>
      </c>
      <c r="V105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57" s="1" t="e">
        <f>Logs[[#This Row],[Facture_Mensuelle]]*Logs[[#This Row],[Remise (%)]]</f>
        <v>#VALUE!</v>
      </c>
    </row>
    <row r="1058" spans="1:23" x14ac:dyDescent="0.25">
      <c r="A1058" s="1" t="s">
        <v>1483</v>
      </c>
      <c r="B1058" s="2">
        <v>45218</v>
      </c>
      <c r="C1058" s="1" t="str">
        <f>_xlfn.XLOOKUP(Logs[[#This Row],[Province_RDC]],Clients_Log!D:D,Clients_Log!B:B,"Pas de correspondance")</f>
        <v>CLI-00837</v>
      </c>
      <c r="D1058" t="str">
        <f>_xlfn.XLOOKUP(Logs[[#This Row],[Cell_ID]],'Registre_Maintenance'!B:B,'Registre_Maintenance'!C:C,"Pas de correspondance")</f>
        <v>Nord-Kivu</v>
      </c>
      <c r="E1058" s="3">
        <v>0.33194444444444443</v>
      </c>
      <c r="F1058" s="1" t="s">
        <v>1001</v>
      </c>
      <c r="G1058" s="3">
        <f>Logs[[#This Row],[Duree_Panne_Min]]/1440</f>
        <v>1.0416666666666666E-2</v>
      </c>
      <c r="H1058">
        <v>15</v>
      </c>
      <c r="I1058">
        <f>_xlfn.XLOOKUP(Logs[[#This Row],[Cell_ID]],'Registre_Maintenance'!B:B,'Registre_Maintenance'!D:D,"Pas de correspondance")</f>
        <v>-1.8555980000000001</v>
      </c>
      <c r="J1058">
        <f>_xlfn.XLOOKUP(Logs[[#This Row],[Cell_ID]],'Registre_Maintenance'!B:B,'Registre_Maintenance'!E:E,"Pas de correspondance")</f>
        <v>30.421918000000002</v>
      </c>
      <c r="K1058" t="str">
        <f>_xlfn.XLOOKUP(Logs[[#This Row],[Cell_ID]],'Registre_Maintenance'!B:B,'Registre_Maintenance'!F:F,"Pas de correspondance")</f>
        <v>3G</v>
      </c>
      <c r="L1058" t="str">
        <f>_xlfn.XLOOKUP(Logs[[#This Row],[Cell_ID]],'Registre_Maintenance'!B:B,'Registre_Maintenance'!G:G,"Pas de correspondance")</f>
        <v>ZTE</v>
      </c>
      <c r="M1058" s="1" t="s">
        <v>811</v>
      </c>
      <c r="N1058" s="1">
        <f>_xlfn.XLOOKUP(Logs[[#This Row],[ID_Client]],Clients_Log!B:B,Clients_Log!E:E,"Pas de correspondance")</f>
        <v>16</v>
      </c>
      <c r="O1058" s="4">
        <f>IFERROR(Logs[[#This Row],[Anciennete_Mois]]/12,"")</f>
        <v>1.3333333333333333</v>
      </c>
      <c r="P1058" s="1" t="str">
        <f>_xlfn.XLOOKUP(Logs[[#This Row],[ID_Client]],Clients_Log!B:B,Clients_Log!F:F,"Pas de correspondance")</f>
        <v>Bloqué 5Go</v>
      </c>
      <c r="Q1058" s="1" t="str">
        <f>IF(Logs[[#This Row],[Type_Forfait]]="Pro Monde","B2B","B2C")</f>
        <v>B2C</v>
      </c>
      <c r="R1058" s="1">
        <f>_xlfn.XLOOKUP(Logs[[#This Row],[ID_Client]],Clients_Log!B:B,Clients_Log!G:G,"Pas de correspondance")</f>
        <v>390</v>
      </c>
      <c r="S1058" s="3">
        <f>Logs[[#This Row],[Duree_Cumulee_Panne_Min]]/1440</f>
        <v>0.27083333333333331</v>
      </c>
      <c r="T1058" s="1">
        <f>_xlfn.XLOOKUP(Logs[[#This Row],[ID_Client]],Clients_Log!B:B,Clients_Log!H:H,"Pas de correspondance")</f>
        <v>98.17</v>
      </c>
      <c r="U1058" s="1">
        <f>_xlfn.XLOOKUP(Logs[[#This Row],[ID_Client]],Clients_Log!B:B,Clients_Log!I:I,"Pas de correspondance")</f>
        <v>5</v>
      </c>
      <c r="V105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58" s="1">
        <f>Logs[[#This Row],[Facture_Mensuelle]]*Logs[[#This Row],[Remise (%)]]</f>
        <v>44.176500000000004</v>
      </c>
    </row>
    <row r="1059" spans="1:23" hidden="1" x14ac:dyDescent="0.25">
      <c r="A1059" s="1" t="s">
        <v>1483</v>
      </c>
      <c r="B1059" s="2">
        <v>45208</v>
      </c>
      <c r="C1059" s="1" t="str">
        <f>_xlfn.XLOOKUP(Logs[[#This Row],[Province_RDC]],Clients_Log!D:D,Clients_Log!B:B,"Pas de correspondance")</f>
        <v>Pas de correspondance</v>
      </c>
      <c r="D1059" t="str">
        <f>_xlfn.XLOOKUP(Logs[[#This Row],[Cell_ID]],'Registre_Maintenance'!B:B,'Registre_Maintenance'!C:C,"Pas de correspondance")</f>
        <v>Pas de correspondance</v>
      </c>
      <c r="E1059" s="3">
        <v>0.55833333333333335</v>
      </c>
      <c r="F1059" s="1" t="s">
        <v>1476</v>
      </c>
      <c r="G1059" s="3">
        <f>Logs[[#This Row],[Duree_Panne_Min]]/1440</f>
        <v>3.0555555555555555E-2</v>
      </c>
      <c r="H1059">
        <v>44</v>
      </c>
      <c r="I1059" t="str">
        <f>_xlfn.XLOOKUP(Logs[[#This Row],[Cell_ID]],'Registre_Maintenance'!B:B,'Registre_Maintenance'!D:D,"Pas de correspondance")</f>
        <v>Pas de correspondance</v>
      </c>
      <c r="J1059" t="str">
        <f>_xlfn.XLOOKUP(Logs[[#This Row],[Cell_ID]],'Registre_Maintenance'!B:B,'Registre_Maintenance'!E:E,"Pas de correspondance")</f>
        <v>Pas de correspondance</v>
      </c>
      <c r="K1059" t="str">
        <f>_xlfn.XLOOKUP(Logs[[#This Row],[Cell_ID]],'Registre_Maintenance'!B:B,'Registre_Maintenance'!F:F,"Pas de correspondance")</f>
        <v>Pas de correspondance</v>
      </c>
      <c r="L1059" t="str">
        <f>_xlfn.XLOOKUP(Logs[[#This Row],[Cell_ID]],'Registre_Maintenance'!B:B,'Registre_Maintenance'!G:G,"Pas de correspondance")</f>
        <v>Pas de correspondance</v>
      </c>
      <c r="M1059" s="1" t="s">
        <v>811</v>
      </c>
      <c r="N1059" s="1" t="str">
        <f>_xlfn.XLOOKUP(Logs[[#This Row],[ID_Client]],Clients_Log!B:B,Clients_Log!E:E,"Pas de correspondance")</f>
        <v>Pas de correspondance</v>
      </c>
      <c r="O1059" s="4" t="str">
        <f>IFERROR(Logs[[#This Row],[Anciennete_Mois]]/12,"")</f>
        <v/>
      </c>
      <c r="P1059" s="1" t="str">
        <f>_xlfn.XLOOKUP(Logs[[#This Row],[ID_Client]],Clients_Log!B:B,Clients_Log!F:F,"Pas de correspondance")</f>
        <v>Pas de correspondance</v>
      </c>
      <c r="Q1059" s="1" t="str">
        <f>IF(Logs[[#This Row],[Type_Forfait]]="Pro Monde","B2B","B2C")</f>
        <v>B2C</v>
      </c>
      <c r="R1059" s="1" t="str">
        <f>_xlfn.XLOOKUP(Logs[[#This Row],[ID_Client]],Clients_Log!B:B,Clients_Log!G:G,"Pas de correspondance")</f>
        <v>Pas de correspondance</v>
      </c>
      <c r="S1059" s="1" t="e">
        <f>Logs[[#This Row],[Duree_Cumulee_Panne_Min]]/1440</f>
        <v>#VALUE!</v>
      </c>
      <c r="T1059" s="1" t="str">
        <f>_xlfn.XLOOKUP(Logs[[#This Row],[ID_Client]],Clients_Log!B:B,Clients_Log!H:H,"Pas de correspondance")</f>
        <v>Pas de correspondance</v>
      </c>
      <c r="U1059" s="1" t="str">
        <f>_xlfn.XLOOKUP(Logs[[#This Row],[ID_Client]],Clients_Log!B:B,Clients_Log!I:I,"Pas de correspondance")</f>
        <v>Pas de correspondance</v>
      </c>
      <c r="V1059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59" s="1" t="e">
        <f>Logs[[#This Row],[Facture_Mensuelle]]*Logs[[#This Row],[Remise (%)]]</f>
        <v>#VALUE!</v>
      </c>
    </row>
    <row r="1060" spans="1:23" x14ac:dyDescent="0.25">
      <c r="A1060" s="1" t="s">
        <v>1483</v>
      </c>
      <c r="B1060" s="2">
        <v>45214</v>
      </c>
      <c r="C1060" s="1" t="str">
        <f>_xlfn.XLOOKUP(Logs[[#This Row],[Province_RDC]],Clients_Log!D:D,Clients_Log!B:B,"Pas de correspondance")</f>
        <v>CLI-01837</v>
      </c>
      <c r="D1060" t="str">
        <f>_xlfn.XLOOKUP(Logs[[#This Row],[Cell_ID]],'Registre_Maintenance'!B:B,'Registre_Maintenance'!C:C,"Pas de correspondance")</f>
        <v>Kasaï-Oriental</v>
      </c>
      <c r="E1060" s="3">
        <v>0.85069444444444442</v>
      </c>
      <c r="F1060" s="1" t="s">
        <v>1165</v>
      </c>
      <c r="G1060" s="3">
        <f>Logs[[#This Row],[Duree_Panne_Min]]/1440</f>
        <v>2.1527777777777778E-2</v>
      </c>
      <c r="H1060">
        <v>31</v>
      </c>
      <c r="I1060">
        <f>_xlfn.XLOOKUP(Logs[[#This Row],[Cell_ID]],'Registre_Maintenance'!B:B,'Registre_Maintenance'!D:D,"Pas de correspondance")</f>
        <v>-5.4073029999999997</v>
      </c>
      <c r="J1060">
        <f>_xlfn.XLOOKUP(Logs[[#This Row],[Cell_ID]],'Registre_Maintenance'!B:B,'Registre_Maintenance'!E:E,"Pas de correspondance")</f>
        <v>29.762294000000001</v>
      </c>
      <c r="K1060" t="str">
        <f>_xlfn.XLOOKUP(Logs[[#This Row],[Cell_ID]],'Registre_Maintenance'!B:B,'Registre_Maintenance'!F:F,"Pas de correspondance")</f>
        <v>3G</v>
      </c>
      <c r="L1060" t="str">
        <f>_xlfn.XLOOKUP(Logs[[#This Row],[Cell_ID]],'Registre_Maintenance'!B:B,'Registre_Maintenance'!G:G,"Pas de correspondance")</f>
        <v>Ericsson</v>
      </c>
      <c r="M1060" s="1" t="s">
        <v>811</v>
      </c>
      <c r="N1060" s="1">
        <f>_xlfn.XLOOKUP(Logs[[#This Row],[ID_Client]],Clients_Log!B:B,Clients_Log!E:E,"Pas de correspondance")</f>
        <v>97</v>
      </c>
      <c r="O1060" s="4">
        <f>IFERROR(Logs[[#This Row],[Anciennete_Mois]]/12,"")</f>
        <v>8.0833333333333339</v>
      </c>
      <c r="P1060" s="1" t="str">
        <f>_xlfn.XLOOKUP(Logs[[#This Row],[ID_Client]],Clients_Log!B:B,Clients_Log!F:F,"Pas de correspondance")</f>
        <v>Pro Monde</v>
      </c>
      <c r="Q1060" s="1" t="str">
        <f>IF(Logs[[#This Row],[Type_Forfait]]="Pro Monde","B2B","B2C")</f>
        <v>B2B</v>
      </c>
      <c r="R1060" s="1">
        <f>_xlfn.XLOOKUP(Logs[[#This Row],[ID_Client]],Clients_Log!B:B,Clients_Log!G:G,"Pas de correspondance")</f>
        <v>319</v>
      </c>
      <c r="S1060" s="3">
        <f>Logs[[#This Row],[Duree_Cumulee_Panne_Min]]/1440</f>
        <v>0.22152777777777777</v>
      </c>
      <c r="T1060" s="1">
        <f>_xlfn.XLOOKUP(Logs[[#This Row],[ID_Client]],Clients_Log!B:B,Clients_Log!H:H,"Pas de correspondance")</f>
        <v>31.25</v>
      </c>
      <c r="U1060" s="1">
        <f>_xlfn.XLOOKUP(Logs[[#This Row],[ID_Client]],Clients_Log!B:B,Clients_Log!I:I,"Pas de correspondance")</f>
        <v>1</v>
      </c>
      <c r="V106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60" s="1">
        <f>Logs[[#This Row],[Facture_Mensuelle]]*Logs[[#This Row],[Remise (%)]]</f>
        <v>14.0625</v>
      </c>
    </row>
    <row r="1061" spans="1:23" hidden="1" x14ac:dyDescent="0.25">
      <c r="A1061" s="1" t="s">
        <v>1483</v>
      </c>
      <c r="B1061" s="2">
        <v>45213</v>
      </c>
      <c r="C1061" s="1" t="str">
        <f>_xlfn.XLOOKUP(Logs[[#This Row],[Province_RDC]],Clients_Log!D:D,Clients_Log!B:B,"Pas de correspondance")</f>
        <v>Pas de correspondance</v>
      </c>
      <c r="D1061" t="str">
        <f>_xlfn.XLOOKUP(Logs[[#This Row],[Cell_ID]],'Registre_Maintenance'!B:B,'Registre_Maintenance'!C:C,"Pas de correspondance")</f>
        <v>Pas de correspondance</v>
      </c>
      <c r="E1061" s="3">
        <v>0.41736111111111113</v>
      </c>
      <c r="F1061" s="1" t="s">
        <v>1145</v>
      </c>
      <c r="G1061" s="3">
        <f>Logs[[#This Row],[Duree_Panne_Min]]/1440</f>
        <v>6.9444444444444448E-2</v>
      </c>
      <c r="H1061">
        <v>100</v>
      </c>
      <c r="I1061" t="str">
        <f>_xlfn.XLOOKUP(Logs[[#This Row],[Cell_ID]],'Registre_Maintenance'!B:B,'Registre_Maintenance'!D:D,"Pas de correspondance")</f>
        <v>Pas de correspondance</v>
      </c>
      <c r="J1061" t="str">
        <f>_xlfn.XLOOKUP(Logs[[#This Row],[Cell_ID]],'Registre_Maintenance'!B:B,'Registre_Maintenance'!E:E,"Pas de correspondance")</f>
        <v>Pas de correspondance</v>
      </c>
      <c r="K1061" t="str">
        <f>_xlfn.XLOOKUP(Logs[[#This Row],[Cell_ID]],'Registre_Maintenance'!B:B,'Registre_Maintenance'!F:F,"Pas de correspondance")</f>
        <v>Pas de correspondance</v>
      </c>
      <c r="L1061" t="str">
        <f>_xlfn.XLOOKUP(Logs[[#This Row],[Cell_ID]],'Registre_Maintenance'!B:B,'Registre_Maintenance'!G:G,"Pas de correspondance")</f>
        <v>Pas de correspondance</v>
      </c>
      <c r="M1061" s="1" t="s">
        <v>806</v>
      </c>
      <c r="N1061" s="1" t="str">
        <f>_xlfn.XLOOKUP(Logs[[#This Row],[ID_Client]],Clients_Log!B:B,Clients_Log!E:E,"Pas de correspondance")</f>
        <v>Pas de correspondance</v>
      </c>
      <c r="O1061" s="4" t="str">
        <f>IFERROR(Logs[[#This Row],[Anciennete_Mois]]/12,"")</f>
        <v/>
      </c>
      <c r="P1061" s="1" t="str">
        <f>_xlfn.XLOOKUP(Logs[[#This Row],[ID_Client]],Clients_Log!B:B,Clients_Log!F:F,"Pas de correspondance")</f>
        <v>Pas de correspondance</v>
      </c>
      <c r="Q1061" s="1" t="str">
        <f>IF(Logs[[#This Row],[Type_Forfait]]="Pro Monde","B2B","B2C")</f>
        <v>B2C</v>
      </c>
      <c r="R1061" s="1" t="str">
        <f>_xlfn.XLOOKUP(Logs[[#This Row],[ID_Client]],Clients_Log!B:B,Clients_Log!G:G,"Pas de correspondance")</f>
        <v>Pas de correspondance</v>
      </c>
      <c r="S1061" s="1" t="e">
        <f>Logs[[#This Row],[Duree_Cumulee_Panne_Min]]/1440</f>
        <v>#VALUE!</v>
      </c>
      <c r="T1061" s="1" t="str">
        <f>_xlfn.XLOOKUP(Logs[[#This Row],[ID_Client]],Clients_Log!B:B,Clients_Log!H:H,"Pas de correspondance")</f>
        <v>Pas de correspondance</v>
      </c>
      <c r="U1061" s="1" t="str">
        <f>_xlfn.XLOOKUP(Logs[[#This Row],[ID_Client]],Clients_Log!B:B,Clients_Log!I:I,"Pas de correspondance")</f>
        <v>Pas de correspondance</v>
      </c>
      <c r="V106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61" s="1" t="e">
        <f>Logs[[#This Row],[Facture_Mensuelle]]*Logs[[#This Row],[Remise (%)]]</f>
        <v>#VALUE!</v>
      </c>
    </row>
    <row r="1062" spans="1:23" hidden="1" x14ac:dyDescent="0.25">
      <c r="A1062" s="1" t="s">
        <v>1483</v>
      </c>
      <c r="B1062" s="2">
        <v>45212</v>
      </c>
      <c r="C1062" s="1" t="str">
        <f>_xlfn.XLOOKUP(Logs[[#This Row],[Province_RDC]],Clients_Log!D:D,Clients_Log!B:B,"Pas de correspondance")</f>
        <v>Pas de correspondance</v>
      </c>
      <c r="D1062" t="str">
        <f>_xlfn.XLOOKUP(Logs[[#This Row],[Cell_ID]],'Registre_Maintenance'!B:B,'Registre_Maintenance'!C:C,"Pas de correspondance")</f>
        <v>Pas de correspondance</v>
      </c>
      <c r="E1062" s="3">
        <v>0.87986111111111109</v>
      </c>
      <c r="F1062" s="1" t="s">
        <v>1158</v>
      </c>
      <c r="G1062" s="3">
        <f>Logs[[#This Row],[Duree_Panne_Min]]/1440</f>
        <v>6.8750000000000006E-2</v>
      </c>
      <c r="H1062">
        <v>99</v>
      </c>
      <c r="I1062" t="str">
        <f>_xlfn.XLOOKUP(Logs[[#This Row],[Cell_ID]],'Registre_Maintenance'!B:B,'Registre_Maintenance'!D:D,"Pas de correspondance")</f>
        <v>Pas de correspondance</v>
      </c>
      <c r="J1062" t="str">
        <f>_xlfn.XLOOKUP(Logs[[#This Row],[Cell_ID]],'Registre_Maintenance'!B:B,'Registre_Maintenance'!E:E,"Pas de correspondance")</f>
        <v>Pas de correspondance</v>
      </c>
      <c r="K1062" t="str">
        <f>_xlfn.XLOOKUP(Logs[[#This Row],[Cell_ID]],'Registre_Maintenance'!B:B,'Registre_Maintenance'!F:F,"Pas de correspondance")</f>
        <v>Pas de correspondance</v>
      </c>
      <c r="L1062" t="str">
        <f>_xlfn.XLOOKUP(Logs[[#This Row],[Cell_ID]],'Registre_Maintenance'!B:B,'Registre_Maintenance'!G:G,"Pas de correspondance")</f>
        <v>Pas de correspondance</v>
      </c>
      <c r="M1062" s="1" t="s">
        <v>806</v>
      </c>
      <c r="N1062" s="1" t="str">
        <f>_xlfn.XLOOKUP(Logs[[#This Row],[ID_Client]],Clients_Log!B:B,Clients_Log!E:E,"Pas de correspondance")</f>
        <v>Pas de correspondance</v>
      </c>
      <c r="O1062" s="4" t="str">
        <f>IFERROR(Logs[[#This Row],[Anciennete_Mois]]/12,"")</f>
        <v/>
      </c>
      <c r="P1062" s="1" t="str">
        <f>_xlfn.XLOOKUP(Logs[[#This Row],[ID_Client]],Clients_Log!B:B,Clients_Log!F:F,"Pas de correspondance")</f>
        <v>Pas de correspondance</v>
      </c>
      <c r="Q1062" s="1" t="str">
        <f>IF(Logs[[#This Row],[Type_Forfait]]="Pro Monde","B2B","B2C")</f>
        <v>B2C</v>
      </c>
      <c r="R1062" s="1" t="str">
        <f>_xlfn.XLOOKUP(Logs[[#This Row],[ID_Client]],Clients_Log!B:B,Clients_Log!G:G,"Pas de correspondance")</f>
        <v>Pas de correspondance</v>
      </c>
      <c r="S1062" s="1" t="e">
        <f>Logs[[#This Row],[Duree_Cumulee_Panne_Min]]/1440</f>
        <v>#VALUE!</v>
      </c>
      <c r="T1062" s="1" t="str">
        <f>_xlfn.XLOOKUP(Logs[[#This Row],[ID_Client]],Clients_Log!B:B,Clients_Log!H:H,"Pas de correspondance")</f>
        <v>Pas de correspondance</v>
      </c>
      <c r="U1062" s="1" t="str">
        <f>_xlfn.XLOOKUP(Logs[[#This Row],[ID_Client]],Clients_Log!B:B,Clients_Log!I:I,"Pas de correspondance")</f>
        <v>Pas de correspondance</v>
      </c>
      <c r="V106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62" s="1" t="e">
        <f>Logs[[#This Row],[Facture_Mensuelle]]*Logs[[#This Row],[Remise (%)]]</f>
        <v>#VALUE!</v>
      </c>
    </row>
    <row r="1063" spans="1:23" hidden="1" x14ac:dyDescent="0.25">
      <c r="A1063" s="1" t="s">
        <v>1483</v>
      </c>
      <c r="B1063" s="2">
        <v>45217</v>
      </c>
      <c r="C1063" s="1" t="str">
        <f>_xlfn.XLOOKUP(Logs[[#This Row],[Province_RDC]],Clients_Log!D:D,Clients_Log!B:B,"Pas de correspondance")</f>
        <v>Pas de correspondance</v>
      </c>
      <c r="D1063" t="str">
        <f>_xlfn.XLOOKUP(Logs[[#This Row],[Cell_ID]],'Registre_Maintenance'!B:B,'Registre_Maintenance'!C:C,"Pas de correspondance")</f>
        <v>Pas de correspondance</v>
      </c>
      <c r="E1063" s="3">
        <v>2.8472222222222222E-2</v>
      </c>
      <c r="F1063" s="1" t="s">
        <v>1119</v>
      </c>
      <c r="G1063" s="3">
        <f>Logs[[#This Row],[Duree_Panne_Min]]/1440</f>
        <v>8.3333333333333329E-2</v>
      </c>
      <c r="H1063">
        <v>120</v>
      </c>
      <c r="I1063" t="str">
        <f>_xlfn.XLOOKUP(Logs[[#This Row],[Cell_ID]],'Registre_Maintenance'!B:B,'Registre_Maintenance'!D:D,"Pas de correspondance")</f>
        <v>Pas de correspondance</v>
      </c>
      <c r="J1063" t="str">
        <f>_xlfn.XLOOKUP(Logs[[#This Row],[Cell_ID]],'Registre_Maintenance'!B:B,'Registre_Maintenance'!E:E,"Pas de correspondance")</f>
        <v>Pas de correspondance</v>
      </c>
      <c r="K1063" t="str">
        <f>_xlfn.XLOOKUP(Logs[[#This Row],[Cell_ID]],'Registre_Maintenance'!B:B,'Registre_Maintenance'!F:F,"Pas de correspondance")</f>
        <v>Pas de correspondance</v>
      </c>
      <c r="L1063" t="str">
        <f>_xlfn.XLOOKUP(Logs[[#This Row],[Cell_ID]],'Registre_Maintenance'!B:B,'Registre_Maintenance'!G:G,"Pas de correspondance")</f>
        <v>Pas de correspondance</v>
      </c>
      <c r="M1063" s="1" t="s">
        <v>811</v>
      </c>
      <c r="N1063" s="1" t="str">
        <f>_xlfn.XLOOKUP(Logs[[#This Row],[ID_Client]],Clients_Log!B:B,Clients_Log!E:E,"Pas de correspondance")</f>
        <v>Pas de correspondance</v>
      </c>
      <c r="O1063" s="4" t="str">
        <f>IFERROR(Logs[[#This Row],[Anciennete_Mois]]/12,"")</f>
        <v/>
      </c>
      <c r="P1063" s="1" t="str">
        <f>_xlfn.XLOOKUP(Logs[[#This Row],[ID_Client]],Clients_Log!B:B,Clients_Log!F:F,"Pas de correspondance")</f>
        <v>Pas de correspondance</v>
      </c>
      <c r="Q1063" s="1" t="str">
        <f>IF(Logs[[#This Row],[Type_Forfait]]="Pro Monde","B2B","B2C")</f>
        <v>B2C</v>
      </c>
      <c r="R1063" s="1" t="str">
        <f>_xlfn.XLOOKUP(Logs[[#This Row],[ID_Client]],Clients_Log!B:B,Clients_Log!G:G,"Pas de correspondance")</f>
        <v>Pas de correspondance</v>
      </c>
      <c r="S1063" s="1" t="e">
        <f>Logs[[#This Row],[Duree_Cumulee_Panne_Min]]/1440</f>
        <v>#VALUE!</v>
      </c>
      <c r="T1063" s="1" t="str">
        <f>_xlfn.XLOOKUP(Logs[[#This Row],[ID_Client]],Clients_Log!B:B,Clients_Log!H:H,"Pas de correspondance")</f>
        <v>Pas de correspondance</v>
      </c>
      <c r="U1063" s="1" t="str">
        <f>_xlfn.XLOOKUP(Logs[[#This Row],[ID_Client]],Clients_Log!B:B,Clients_Log!I:I,"Pas de correspondance")</f>
        <v>Pas de correspondance</v>
      </c>
      <c r="V106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63" s="1" t="e">
        <f>Logs[[#This Row],[Facture_Mensuelle]]*Logs[[#This Row],[Remise (%)]]</f>
        <v>#VALUE!</v>
      </c>
    </row>
    <row r="1064" spans="1:23" x14ac:dyDescent="0.25">
      <c r="A1064" s="1" t="s">
        <v>1483</v>
      </c>
      <c r="B1064" s="2">
        <v>45223</v>
      </c>
      <c r="C1064" s="1" t="str">
        <f>_xlfn.XLOOKUP(Logs[[#This Row],[Province_RDC]],Clients_Log!D:D,Clients_Log!B:B,"Pas de correspondance")</f>
        <v>CLI-00439</v>
      </c>
      <c r="D1064" t="str">
        <f>_xlfn.XLOOKUP(Logs[[#This Row],[Cell_ID]],'Registre_Maintenance'!B:B,'Registre_Maintenance'!C:C,"Pas de correspondance")</f>
        <v>Haut-Uele</v>
      </c>
      <c r="E1064" s="3">
        <v>0.7944444444444444</v>
      </c>
      <c r="F1064" s="1" t="s">
        <v>1486</v>
      </c>
      <c r="G1064" s="3">
        <f>Logs[[#This Row],[Duree_Panne_Min]]/1440</f>
        <v>6.7361111111111108E-2</v>
      </c>
      <c r="H1064">
        <v>97</v>
      </c>
      <c r="I1064">
        <f>_xlfn.XLOOKUP(Logs[[#This Row],[Cell_ID]],'Registre_Maintenance'!B:B,'Registre_Maintenance'!D:D,"Pas de correspondance")</f>
        <v>1.0134879999999999</v>
      </c>
      <c r="J1064">
        <f>_xlfn.XLOOKUP(Logs[[#This Row],[Cell_ID]],'Registre_Maintenance'!B:B,'Registre_Maintenance'!E:E,"Pas de correspondance")</f>
        <v>20.363515</v>
      </c>
      <c r="K1064" t="str">
        <f>_xlfn.XLOOKUP(Logs[[#This Row],[Cell_ID]],'Registre_Maintenance'!B:B,'Registre_Maintenance'!F:F,"Pas de correspondance")</f>
        <v>4G</v>
      </c>
      <c r="L1064" t="str">
        <f>_xlfn.XLOOKUP(Logs[[#This Row],[Cell_ID]],'Registre_Maintenance'!B:B,'Registre_Maintenance'!G:G,"Pas de correspondance")</f>
        <v>Nokia</v>
      </c>
      <c r="M1064" s="1" t="s">
        <v>806</v>
      </c>
      <c r="N1064" s="1">
        <f>_xlfn.XLOOKUP(Logs[[#This Row],[ID_Client]],Clients_Log!B:B,Clients_Log!E:E,"Pas de correspondance")</f>
        <v>40</v>
      </c>
      <c r="O1064" s="4">
        <f>IFERROR(Logs[[#This Row],[Anciennete_Mois]]/12,"")</f>
        <v>3.3333333333333335</v>
      </c>
      <c r="P1064" s="1" t="str">
        <f>_xlfn.XLOOKUP(Logs[[#This Row],[ID_Client]],Clients_Log!B:B,Clients_Log!F:F,"Pas de correspondance")</f>
        <v>Premium 5G 150Go</v>
      </c>
      <c r="Q1064" s="1" t="str">
        <f>IF(Logs[[#This Row],[Type_Forfait]]="Pro Monde","B2B","B2C")</f>
        <v>B2C</v>
      </c>
      <c r="R1064" s="1">
        <f>_xlfn.XLOOKUP(Logs[[#This Row],[ID_Client]],Clients_Log!B:B,Clients_Log!G:G,"Pas de correspondance")</f>
        <v>345</v>
      </c>
      <c r="S1064" s="3">
        <f>Logs[[#This Row],[Duree_Cumulee_Panne_Min]]/1440</f>
        <v>0.23958333333333334</v>
      </c>
      <c r="T1064" s="1">
        <f>_xlfn.XLOOKUP(Logs[[#This Row],[ID_Client]],Clients_Log!B:B,Clients_Log!H:H,"Pas de correspondance")</f>
        <v>89.55</v>
      </c>
      <c r="U1064" s="1">
        <f>_xlfn.XLOOKUP(Logs[[#This Row],[ID_Client]],Clients_Log!B:B,Clients_Log!I:I,"Pas de correspondance")</f>
        <v>3</v>
      </c>
      <c r="V1064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64" s="1">
        <f>Logs[[#This Row],[Facture_Mensuelle]]*Logs[[#This Row],[Remise (%)]]</f>
        <v>40.297499999999999</v>
      </c>
    </row>
    <row r="1065" spans="1:23" hidden="1" x14ac:dyDescent="0.25">
      <c r="A1065" s="1" t="s">
        <v>1483</v>
      </c>
      <c r="B1065" s="2">
        <v>45224</v>
      </c>
      <c r="C1065" s="1" t="str">
        <f>_xlfn.XLOOKUP(Logs[[#This Row],[Province_RDC]],Clients_Log!D:D,Clients_Log!B:B,"Pas de correspondance")</f>
        <v>Pas de correspondance</v>
      </c>
      <c r="D1065" t="str">
        <f>_xlfn.XLOOKUP(Logs[[#This Row],[Cell_ID]],'Registre_Maintenance'!B:B,'Registre_Maintenance'!C:C,"Pas de correspondance")</f>
        <v>Pas de correspondance</v>
      </c>
      <c r="E1065" s="3">
        <v>0.98402777777777772</v>
      </c>
      <c r="F1065" s="1" t="s">
        <v>1487</v>
      </c>
      <c r="G1065" s="3">
        <f>Logs[[#This Row],[Duree_Panne_Min]]/1440</f>
        <v>3.4027777777777775E-2</v>
      </c>
      <c r="H1065">
        <v>49</v>
      </c>
      <c r="I1065" t="str">
        <f>_xlfn.XLOOKUP(Logs[[#This Row],[Cell_ID]],'Registre_Maintenance'!B:B,'Registre_Maintenance'!D:D,"Pas de correspondance")</f>
        <v>Pas de correspondance</v>
      </c>
      <c r="J1065" t="str">
        <f>_xlfn.XLOOKUP(Logs[[#This Row],[Cell_ID]],'Registre_Maintenance'!B:B,'Registre_Maintenance'!E:E,"Pas de correspondance")</f>
        <v>Pas de correspondance</v>
      </c>
      <c r="K1065" t="str">
        <f>_xlfn.XLOOKUP(Logs[[#This Row],[Cell_ID]],'Registre_Maintenance'!B:B,'Registre_Maintenance'!F:F,"Pas de correspondance")</f>
        <v>Pas de correspondance</v>
      </c>
      <c r="L1065" t="str">
        <f>_xlfn.XLOOKUP(Logs[[#This Row],[Cell_ID]],'Registre_Maintenance'!B:B,'Registre_Maintenance'!G:G,"Pas de correspondance")</f>
        <v>Pas de correspondance</v>
      </c>
      <c r="M1065" s="1" t="s">
        <v>806</v>
      </c>
      <c r="N1065" s="1" t="str">
        <f>_xlfn.XLOOKUP(Logs[[#This Row],[ID_Client]],Clients_Log!B:B,Clients_Log!E:E,"Pas de correspondance")</f>
        <v>Pas de correspondance</v>
      </c>
      <c r="O1065" s="4" t="str">
        <f>IFERROR(Logs[[#This Row],[Anciennete_Mois]]/12,"")</f>
        <v/>
      </c>
      <c r="P1065" s="1" t="str">
        <f>_xlfn.XLOOKUP(Logs[[#This Row],[ID_Client]],Clients_Log!B:B,Clients_Log!F:F,"Pas de correspondance")</f>
        <v>Pas de correspondance</v>
      </c>
      <c r="Q1065" s="1" t="str">
        <f>IF(Logs[[#This Row],[Type_Forfait]]="Pro Monde","B2B","B2C")</f>
        <v>B2C</v>
      </c>
      <c r="R1065" s="1" t="str">
        <f>_xlfn.XLOOKUP(Logs[[#This Row],[ID_Client]],Clients_Log!B:B,Clients_Log!G:G,"Pas de correspondance")</f>
        <v>Pas de correspondance</v>
      </c>
      <c r="S1065" s="1" t="e">
        <f>Logs[[#This Row],[Duree_Cumulee_Panne_Min]]/1440</f>
        <v>#VALUE!</v>
      </c>
      <c r="T1065" s="1" t="str">
        <f>_xlfn.XLOOKUP(Logs[[#This Row],[ID_Client]],Clients_Log!B:B,Clients_Log!H:H,"Pas de correspondance")</f>
        <v>Pas de correspondance</v>
      </c>
      <c r="U1065" s="1" t="str">
        <f>_xlfn.XLOOKUP(Logs[[#This Row],[ID_Client]],Clients_Log!B:B,Clients_Log!I:I,"Pas de correspondance")</f>
        <v>Pas de correspondance</v>
      </c>
      <c r="V106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65" s="1" t="e">
        <f>Logs[[#This Row],[Facture_Mensuelle]]*Logs[[#This Row],[Remise (%)]]</f>
        <v>#VALUE!</v>
      </c>
    </row>
    <row r="1066" spans="1:23" hidden="1" x14ac:dyDescent="0.25">
      <c r="A1066" s="1" t="s">
        <v>1483</v>
      </c>
      <c r="B1066" s="2">
        <v>45201</v>
      </c>
      <c r="C1066" s="1" t="str">
        <f>_xlfn.XLOOKUP(Logs[[#This Row],[Province_RDC]],Clients_Log!D:D,Clients_Log!B:B,"Pas de correspondance")</f>
        <v>Pas de correspondance</v>
      </c>
      <c r="D1066" t="str">
        <f>_xlfn.XLOOKUP(Logs[[#This Row],[Cell_ID]],'Registre_Maintenance'!B:B,'Registre_Maintenance'!C:C,"Pas de correspondance")</f>
        <v>Pas de correspondance</v>
      </c>
      <c r="E1066" s="3">
        <v>0.95416666666666672</v>
      </c>
      <c r="F1066" s="1" t="s">
        <v>1488</v>
      </c>
      <c r="G1066" s="3">
        <f>Logs[[#This Row],[Duree_Panne_Min]]/1440</f>
        <v>2.2222222222222223E-2</v>
      </c>
      <c r="H1066">
        <v>32</v>
      </c>
      <c r="I1066" t="str">
        <f>_xlfn.XLOOKUP(Logs[[#This Row],[Cell_ID]],'Registre_Maintenance'!B:B,'Registre_Maintenance'!D:D,"Pas de correspondance")</f>
        <v>Pas de correspondance</v>
      </c>
      <c r="J1066" t="str">
        <f>_xlfn.XLOOKUP(Logs[[#This Row],[Cell_ID]],'Registre_Maintenance'!B:B,'Registre_Maintenance'!E:E,"Pas de correspondance")</f>
        <v>Pas de correspondance</v>
      </c>
      <c r="K1066" t="str">
        <f>_xlfn.XLOOKUP(Logs[[#This Row],[Cell_ID]],'Registre_Maintenance'!B:B,'Registre_Maintenance'!F:F,"Pas de correspondance")</f>
        <v>Pas de correspondance</v>
      </c>
      <c r="L1066" t="str">
        <f>_xlfn.XLOOKUP(Logs[[#This Row],[Cell_ID]],'Registre_Maintenance'!B:B,'Registre_Maintenance'!G:G,"Pas de correspondance")</f>
        <v>Pas de correspondance</v>
      </c>
      <c r="M1066" s="1" t="s">
        <v>809</v>
      </c>
      <c r="N1066" s="1" t="str">
        <f>_xlfn.XLOOKUP(Logs[[#This Row],[ID_Client]],Clients_Log!B:B,Clients_Log!E:E,"Pas de correspondance")</f>
        <v>Pas de correspondance</v>
      </c>
      <c r="O1066" s="4" t="str">
        <f>IFERROR(Logs[[#This Row],[Anciennete_Mois]]/12,"")</f>
        <v/>
      </c>
      <c r="P1066" s="1" t="str">
        <f>_xlfn.XLOOKUP(Logs[[#This Row],[ID_Client]],Clients_Log!B:B,Clients_Log!F:F,"Pas de correspondance")</f>
        <v>Pas de correspondance</v>
      </c>
      <c r="Q1066" s="1" t="str">
        <f>IF(Logs[[#This Row],[Type_Forfait]]="Pro Monde","B2B","B2C")</f>
        <v>B2C</v>
      </c>
      <c r="R1066" s="1" t="str">
        <f>_xlfn.XLOOKUP(Logs[[#This Row],[ID_Client]],Clients_Log!B:B,Clients_Log!G:G,"Pas de correspondance")</f>
        <v>Pas de correspondance</v>
      </c>
      <c r="S1066" s="1" t="e">
        <f>Logs[[#This Row],[Duree_Cumulee_Panne_Min]]/1440</f>
        <v>#VALUE!</v>
      </c>
      <c r="T1066" s="1" t="str">
        <f>_xlfn.XLOOKUP(Logs[[#This Row],[ID_Client]],Clients_Log!B:B,Clients_Log!H:H,"Pas de correspondance")</f>
        <v>Pas de correspondance</v>
      </c>
      <c r="U1066" s="1" t="str">
        <f>_xlfn.XLOOKUP(Logs[[#This Row],[ID_Client]],Clients_Log!B:B,Clients_Log!I:I,"Pas de correspondance")</f>
        <v>Pas de correspondance</v>
      </c>
      <c r="V1066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66" s="1" t="e">
        <f>Logs[[#This Row],[Facture_Mensuelle]]*Logs[[#This Row],[Remise (%)]]</f>
        <v>#VALUE!</v>
      </c>
    </row>
    <row r="1067" spans="1:23" hidden="1" x14ac:dyDescent="0.25">
      <c r="A1067" s="1" t="s">
        <v>1483</v>
      </c>
      <c r="B1067" s="2">
        <v>45202</v>
      </c>
      <c r="C1067" s="1" t="str">
        <f>_xlfn.XLOOKUP(Logs[[#This Row],[Province_RDC]],Clients_Log!D:D,Clients_Log!B:B,"Pas de correspondance")</f>
        <v>Pas de correspondance</v>
      </c>
      <c r="D1067" t="str">
        <f>_xlfn.XLOOKUP(Logs[[#This Row],[Cell_ID]],'Registre_Maintenance'!B:B,'Registre_Maintenance'!C:C,"Pas de correspondance")</f>
        <v>Pas de correspondance</v>
      </c>
      <c r="E1067" s="3">
        <v>0.49930555555555556</v>
      </c>
      <c r="F1067" s="1" t="s">
        <v>1354</v>
      </c>
      <c r="G1067" s="3">
        <f>Logs[[#This Row],[Duree_Panne_Min]]/1440</f>
        <v>3.9583333333333331E-2</v>
      </c>
      <c r="H1067">
        <v>57</v>
      </c>
      <c r="I1067" t="str">
        <f>_xlfn.XLOOKUP(Logs[[#This Row],[Cell_ID]],'Registre_Maintenance'!B:B,'Registre_Maintenance'!D:D,"Pas de correspondance")</f>
        <v>Pas de correspondance</v>
      </c>
      <c r="J1067" t="str">
        <f>_xlfn.XLOOKUP(Logs[[#This Row],[Cell_ID]],'Registre_Maintenance'!B:B,'Registre_Maintenance'!E:E,"Pas de correspondance")</f>
        <v>Pas de correspondance</v>
      </c>
      <c r="K1067" t="str">
        <f>_xlfn.XLOOKUP(Logs[[#This Row],[Cell_ID]],'Registre_Maintenance'!B:B,'Registre_Maintenance'!F:F,"Pas de correspondance")</f>
        <v>Pas de correspondance</v>
      </c>
      <c r="L1067" t="str">
        <f>_xlfn.XLOOKUP(Logs[[#This Row],[Cell_ID]],'Registre_Maintenance'!B:B,'Registre_Maintenance'!G:G,"Pas de correspondance")</f>
        <v>Pas de correspondance</v>
      </c>
      <c r="M1067" s="1" t="s">
        <v>809</v>
      </c>
      <c r="N1067" s="1" t="str">
        <f>_xlfn.XLOOKUP(Logs[[#This Row],[ID_Client]],Clients_Log!B:B,Clients_Log!E:E,"Pas de correspondance")</f>
        <v>Pas de correspondance</v>
      </c>
      <c r="O1067" s="4" t="str">
        <f>IFERROR(Logs[[#This Row],[Anciennete_Mois]]/12,"")</f>
        <v/>
      </c>
      <c r="P1067" s="1" t="str">
        <f>_xlfn.XLOOKUP(Logs[[#This Row],[ID_Client]],Clients_Log!B:B,Clients_Log!F:F,"Pas de correspondance")</f>
        <v>Pas de correspondance</v>
      </c>
      <c r="Q1067" s="1" t="str">
        <f>IF(Logs[[#This Row],[Type_Forfait]]="Pro Monde","B2B","B2C")</f>
        <v>B2C</v>
      </c>
      <c r="R1067" s="1" t="str">
        <f>_xlfn.XLOOKUP(Logs[[#This Row],[ID_Client]],Clients_Log!B:B,Clients_Log!G:G,"Pas de correspondance")</f>
        <v>Pas de correspondance</v>
      </c>
      <c r="S1067" s="1" t="e">
        <f>Logs[[#This Row],[Duree_Cumulee_Panne_Min]]/1440</f>
        <v>#VALUE!</v>
      </c>
      <c r="T1067" s="1" t="str">
        <f>_xlfn.XLOOKUP(Logs[[#This Row],[ID_Client]],Clients_Log!B:B,Clients_Log!H:H,"Pas de correspondance")</f>
        <v>Pas de correspondance</v>
      </c>
      <c r="U1067" s="1" t="str">
        <f>_xlfn.XLOOKUP(Logs[[#This Row],[ID_Client]],Clients_Log!B:B,Clients_Log!I:I,"Pas de correspondance")</f>
        <v>Pas de correspondance</v>
      </c>
      <c r="V1067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67" s="1" t="e">
        <f>Logs[[#This Row],[Facture_Mensuelle]]*Logs[[#This Row],[Remise (%)]]</f>
        <v>#VALUE!</v>
      </c>
    </row>
    <row r="1068" spans="1:23" x14ac:dyDescent="0.25">
      <c r="A1068" s="1" t="s">
        <v>1483</v>
      </c>
      <c r="B1068" s="2">
        <v>45216</v>
      </c>
      <c r="C1068" s="1" t="str">
        <f>_xlfn.XLOOKUP(Logs[[#This Row],[Province_RDC]],Clients_Log!D:D,Clients_Log!B:B,"Pas de correspondance")</f>
        <v>CLI-00865</v>
      </c>
      <c r="D1068" t="str">
        <f>_xlfn.XLOOKUP(Logs[[#This Row],[Cell_ID]],'Registre_Maintenance'!B:B,'Registre_Maintenance'!C:C,"Pas de correspondance")</f>
        <v>Mongala</v>
      </c>
      <c r="E1068" s="3">
        <v>0.13750000000000001</v>
      </c>
      <c r="F1068" s="1" t="s">
        <v>1489</v>
      </c>
      <c r="G1068" s="3">
        <f>Logs[[#This Row],[Duree_Panne_Min]]/1440</f>
        <v>8.3333333333333329E-2</v>
      </c>
      <c r="H1068">
        <v>120</v>
      </c>
      <c r="I1068">
        <f>_xlfn.XLOOKUP(Logs[[#This Row],[Cell_ID]],'Registre_Maintenance'!B:B,'Registre_Maintenance'!D:D,"Pas de correspondance")</f>
        <v>-7.2267089999999996</v>
      </c>
      <c r="J1068">
        <f>_xlfn.XLOOKUP(Logs[[#This Row],[Cell_ID]],'Registre_Maintenance'!B:B,'Registre_Maintenance'!E:E,"Pas de correspondance")</f>
        <v>28.421362999999999</v>
      </c>
      <c r="K1068" t="str">
        <f>_xlfn.XLOOKUP(Logs[[#This Row],[Cell_ID]],'Registre_Maintenance'!B:B,'Registre_Maintenance'!F:F,"Pas de correspondance")</f>
        <v>5G</v>
      </c>
      <c r="L1068" t="str">
        <f>_xlfn.XLOOKUP(Logs[[#This Row],[Cell_ID]],'Registre_Maintenance'!B:B,'Registre_Maintenance'!G:G,"Pas de correspondance")</f>
        <v>Ericsson</v>
      </c>
      <c r="M1068" s="1" t="s">
        <v>809</v>
      </c>
      <c r="N1068" s="1">
        <f>_xlfn.XLOOKUP(Logs[[#This Row],[ID_Client]],Clients_Log!B:B,Clients_Log!E:E,"Pas de correspondance")</f>
        <v>34</v>
      </c>
      <c r="O1068" s="4">
        <f>IFERROR(Logs[[#This Row],[Anciennete_Mois]]/12,"")</f>
        <v>2.8333333333333335</v>
      </c>
      <c r="P1068" s="1" t="str">
        <f>_xlfn.XLOOKUP(Logs[[#This Row],[ID_Client]],Clients_Log!B:B,Clients_Log!F:F,"Pas de correspondance")</f>
        <v>Pro Monde</v>
      </c>
      <c r="Q1068" s="1" t="str">
        <f>IF(Logs[[#This Row],[Type_Forfait]]="Pro Monde","B2B","B2C")</f>
        <v>B2B</v>
      </c>
      <c r="R1068" s="1">
        <f>_xlfn.XLOOKUP(Logs[[#This Row],[ID_Client]],Clients_Log!B:B,Clients_Log!G:G,"Pas de correspondance")</f>
        <v>453</v>
      </c>
      <c r="S1068" s="3">
        <f>Logs[[#This Row],[Duree_Cumulee_Panne_Min]]/1440</f>
        <v>0.31458333333333333</v>
      </c>
      <c r="T1068" s="1">
        <f>_xlfn.XLOOKUP(Logs[[#This Row],[ID_Client]],Clients_Log!B:B,Clients_Log!H:H,"Pas de correspondance")</f>
        <v>56.84</v>
      </c>
      <c r="U1068" s="1">
        <f>_xlfn.XLOOKUP(Logs[[#This Row],[ID_Client]],Clients_Log!B:B,Clients_Log!I:I,"Pas de correspondance")</f>
        <v>0</v>
      </c>
      <c r="V1068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68" s="1">
        <f>Logs[[#This Row],[Facture_Mensuelle]]*Logs[[#This Row],[Remise (%)]]</f>
        <v>25.578000000000003</v>
      </c>
    </row>
    <row r="1069" spans="1:23" x14ac:dyDescent="0.25">
      <c r="A1069" s="1" t="s">
        <v>1483</v>
      </c>
      <c r="B1069" s="2">
        <v>45225</v>
      </c>
      <c r="C1069" s="1" t="str">
        <f>_xlfn.XLOOKUP(Logs[[#This Row],[Province_RDC]],Clients_Log!D:D,Clients_Log!B:B,"Pas de correspondance")</f>
        <v>CLI-01325</v>
      </c>
      <c r="D1069" t="str">
        <f>_xlfn.XLOOKUP(Logs[[#This Row],[Cell_ID]],'Registre_Maintenance'!B:B,'Registre_Maintenance'!C:C,"Pas de correspondance")</f>
        <v>Haut-Lomami</v>
      </c>
      <c r="E1069" s="3">
        <v>0.8881944444444444</v>
      </c>
      <c r="F1069" s="1" t="s">
        <v>1490</v>
      </c>
      <c r="G1069" s="3">
        <f>Logs[[#This Row],[Duree_Panne_Min]]/1440</f>
        <v>6.0416666666666667E-2</v>
      </c>
      <c r="H1069">
        <v>87</v>
      </c>
      <c r="I1069">
        <f>_xlfn.XLOOKUP(Logs[[#This Row],[Cell_ID]],'Registre_Maintenance'!B:B,'Registre_Maintenance'!D:D,"Pas de correspondance")</f>
        <v>-5.8145569999999998</v>
      </c>
      <c r="J1069">
        <f>_xlfn.XLOOKUP(Logs[[#This Row],[Cell_ID]],'Registre_Maintenance'!B:B,'Registre_Maintenance'!E:E,"Pas de correspondance")</f>
        <v>21.942052</v>
      </c>
      <c r="K1069" t="str">
        <f>_xlfn.XLOOKUP(Logs[[#This Row],[Cell_ID]],'Registre_Maintenance'!B:B,'Registre_Maintenance'!F:F,"Pas de correspondance")</f>
        <v>5G</v>
      </c>
      <c r="L1069" t="str">
        <f>_xlfn.XLOOKUP(Logs[[#This Row],[Cell_ID]],'Registre_Maintenance'!B:B,'Registre_Maintenance'!G:G,"Pas de correspondance")</f>
        <v>Huawei</v>
      </c>
      <c r="M1069" s="1" t="s">
        <v>811</v>
      </c>
      <c r="N1069" s="1">
        <f>_xlfn.XLOOKUP(Logs[[#This Row],[ID_Client]],Clients_Log!B:B,Clients_Log!E:E,"Pas de correspondance")</f>
        <v>44</v>
      </c>
      <c r="O1069" s="4">
        <f>IFERROR(Logs[[#This Row],[Anciennete_Mois]]/12,"")</f>
        <v>3.6666666666666665</v>
      </c>
      <c r="P1069" s="1" t="str">
        <f>_xlfn.XLOOKUP(Logs[[#This Row],[ID_Client]],Clients_Log!B:B,Clients_Log!F:F,"Pas de correspondance")</f>
        <v>Bloqué 5Go</v>
      </c>
      <c r="Q1069" s="1" t="str">
        <f>IF(Logs[[#This Row],[Type_Forfait]]="Pro Monde","B2B","B2C")</f>
        <v>B2C</v>
      </c>
      <c r="R1069" s="1">
        <f>_xlfn.XLOOKUP(Logs[[#This Row],[ID_Client]],Clients_Log!B:B,Clients_Log!G:G,"Pas de correspondance")</f>
        <v>348</v>
      </c>
      <c r="S1069" s="3">
        <f>Logs[[#This Row],[Duree_Cumulee_Panne_Min]]/1440</f>
        <v>0.24166666666666667</v>
      </c>
      <c r="T1069" s="1">
        <f>_xlfn.XLOOKUP(Logs[[#This Row],[ID_Client]],Clients_Log!B:B,Clients_Log!H:H,"Pas de correspondance")</f>
        <v>58.67</v>
      </c>
      <c r="U1069" s="1">
        <f>_xlfn.XLOOKUP(Logs[[#This Row],[ID_Client]],Clients_Log!B:B,Clients_Log!I:I,"Pas de correspondance")</f>
        <v>0</v>
      </c>
      <c r="V1069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69" s="1">
        <f>Logs[[#This Row],[Facture_Mensuelle]]*Logs[[#This Row],[Remise (%)]]</f>
        <v>26.401500000000002</v>
      </c>
    </row>
    <row r="1070" spans="1:23" x14ac:dyDescent="0.25">
      <c r="A1070" s="1" t="s">
        <v>1483</v>
      </c>
      <c r="B1070" s="2">
        <v>45219</v>
      </c>
      <c r="C1070" s="1" t="str">
        <f>_xlfn.XLOOKUP(Logs[[#This Row],[Province_RDC]],Clients_Log!D:D,Clients_Log!B:B,"Pas de correspondance")</f>
        <v>CLI-00414</v>
      </c>
      <c r="D1070" t="str">
        <f>_xlfn.XLOOKUP(Logs[[#This Row],[Cell_ID]],'Registre_Maintenance'!B:B,'Registre_Maintenance'!C:C,"Pas de correspondance")</f>
        <v>Bas-Uele</v>
      </c>
      <c r="E1070" s="3">
        <v>9.583333333333334E-2</v>
      </c>
      <c r="F1070" s="1" t="s">
        <v>975</v>
      </c>
      <c r="G1070" s="3">
        <f>Logs[[#This Row],[Duree_Panne_Min]]/1440</f>
        <v>7.8472222222222221E-2</v>
      </c>
      <c r="H1070">
        <v>113</v>
      </c>
      <c r="I1070">
        <f>_xlfn.XLOOKUP(Logs[[#This Row],[Cell_ID]],'Registre_Maintenance'!B:B,'Registre_Maintenance'!D:D,"Pas de correspondance")</f>
        <v>-3.6945459999999999</v>
      </c>
      <c r="J1070">
        <f>_xlfn.XLOOKUP(Logs[[#This Row],[Cell_ID]],'Registre_Maintenance'!B:B,'Registre_Maintenance'!E:E,"Pas de correspondance")</f>
        <v>16.809108999999999</v>
      </c>
      <c r="K1070" t="str">
        <f>_xlfn.XLOOKUP(Logs[[#This Row],[Cell_ID]],'Registre_Maintenance'!B:B,'Registre_Maintenance'!F:F,"Pas de correspondance")</f>
        <v>5G</v>
      </c>
      <c r="L1070" t="str">
        <f>_xlfn.XLOOKUP(Logs[[#This Row],[Cell_ID]],'Registre_Maintenance'!B:B,'Registre_Maintenance'!G:G,"Pas de correspondance")</f>
        <v>ZTE</v>
      </c>
      <c r="M1070" s="1" t="s">
        <v>811</v>
      </c>
      <c r="N1070" s="1">
        <f>_xlfn.XLOOKUP(Logs[[#This Row],[ID_Client]],Clients_Log!B:B,Clients_Log!E:E,"Pas de correspondance")</f>
        <v>99</v>
      </c>
      <c r="O1070" s="4">
        <f>IFERROR(Logs[[#This Row],[Anciennete_Mois]]/12,"")</f>
        <v>8.25</v>
      </c>
      <c r="P1070" s="1" t="str">
        <f>_xlfn.XLOOKUP(Logs[[#This Row],[ID_Client]],Clients_Log!B:B,Clients_Log!F:F,"Pas de correspondance")</f>
        <v>Premium 5G 150Go</v>
      </c>
      <c r="Q1070" s="1" t="str">
        <f>IF(Logs[[#This Row],[Type_Forfait]]="Pro Monde","B2B","B2C")</f>
        <v>B2C</v>
      </c>
      <c r="R1070" s="1">
        <f>_xlfn.XLOOKUP(Logs[[#This Row],[ID_Client]],Clients_Log!B:B,Clients_Log!G:G,"Pas de correspondance")</f>
        <v>447</v>
      </c>
      <c r="S1070" s="3">
        <f>Logs[[#This Row],[Duree_Cumulee_Panne_Min]]/1440</f>
        <v>0.31041666666666667</v>
      </c>
      <c r="T1070" s="1">
        <f>_xlfn.XLOOKUP(Logs[[#This Row],[ID_Client]],Clients_Log!B:B,Clients_Log!H:H,"Pas de correspondance")</f>
        <v>38.1</v>
      </c>
      <c r="U1070" s="1">
        <f>_xlfn.XLOOKUP(Logs[[#This Row],[ID_Client]],Clients_Log!B:B,Clients_Log!I:I,"Pas de correspondance")</f>
        <v>3</v>
      </c>
      <c r="V1070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70" s="1">
        <f>Logs[[#This Row],[Facture_Mensuelle]]*Logs[[#This Row],[Remise (%)]]</f>
        <v>17.145</v>
      </c>
    </row>
    <row r="1071" spans="1:23" hidden="1" x14ac:dyDescent="0.25">
      <c r="A1071" s="1" t="s">
        <v>1483</v>
      </c>
      <c r="B1071" s="2">
        <v>45224</v>
      </c>
      <c r="C1071" s="1" t="str">
        <f>_xlfn.XLOOKUP(Logs[[#This Row],[Province_RDC]],Clients_Log!D:D,Clients_Log!B:B,"Pas de correspondance")</f>
        <v>Pas de correspondance</v>
      </c>
      <c r="D1071" t="str">
        <f>_xlfn.XLOOKUP(Logs[[#This Row],[Cell_ID]],'Registre_Maintenance'!B:B,'Registre_Maintenance'!C:C,"Pas de correspondance")</f>
        <v>Pas de correspondance</v>
      </c>
      <c r="E1071" s="3">
        <v>0.6</v>
      </c>
      <c r="F1071" s="1" t="s">
        <v>1491</v>
      </c>
      <c r="G1071" s="3">
        <f>Logs[[#This Row],[Duree_Panne_Min]]/1440</f>
        <v>4.8611111111111112E-2</v>
      </c>
      <c r="H1071">
        <v>70</v>
      </c>
      <c r="I1071" t="str">
        <f>_xlfn.XLOOKUP(Logs[[#This Row],[Cell_ID]],'Registre_Maintenance'!B:B,'Registre_Maintenance'!D:D,"Pas de correspondance")</f>
        <v>Pas de correspondance</v>
      </c>
      <c r="J1071" t="str">
        <f>_xlfn.XLOOKUP(Logs[[#This Row],[Cell_ID]],'Registre_Maintenance'!B:B,'Registre_Maintenance'!E:E,"Pas de correspondance")</f>
        <v>Pas de correspondance</v>
      </c>
      <c r="K1071" t="str">
        <f>_xlfn.XLOOKUP(Logs[[#This Row],[Cell_ID]],'Registre_Maintenance'!B:B,'Registre_Maintenance'!F:F,"Pas de correspondance")</f>
        <v>Pas de correspondance</v>
      </c>
      <c r="L1071" t="str">
        <f>_xlfn.XLOOKUP(Logs[[#This Row],[Cell_ID]],'Registre_Maintenance'!B:B,'Registre_Maintenance'!G:G,"Pas de correspondance")</f>
        <v>Pas de correspondance</v>
      </c>
      <c r="M1071" s="1" t="s">
        <v>811</v>
      </c>
      <c r="N1071" s="1" t="str">
        <f>_xlfn.XLOOKUP(Logs[[#This Row],[ID_Client]],Clients_Log!B:B,Clients_Log!E:E,"Pas de correspondance")</f>
        <v>Pas de correspondance</v>
      </c>
      <c r="O1071" s="4" t="str">
        <f>IFERROR(Logs[[#This Row],[Anciennete_Mois]]/12,"")</f>
        <v/>
      </c>
      <c r="P1071" s="1" t="str">
        <f>_xlfn.XLOOKUP(Logs[[#This Row],[ID_Client]],Clients_Log!B:B,Clients_Log!F:F,"Pas de correspondance")</f>
        <v>Pas de correspondance</v>
      </c>
      <c r="Q1071" s="1" t="str">
        <f>IF(Logs[[#This Row],[Type_Forfait]]="Pro Monde","B2B","B2C")</f>
        <v>B2C</v>
      </c>
      <c r="R1071" s="1" t="str">
        <f>_xlfn.XLOOKUP(Logs[[#This Row],[ID_Client]],Clients_Log!B:B,Clients_Log!G:G,"Pas de correspondance")</f>
        <v>Pas de correspondance</v>
      </c>
      <c r="S1071" s="1" t="e">
        <f>Logs[[#This Row],[Duree_Cumulee_Panne_Min]]/1440</f>
        <v>#VALUE!</v>
      </c>
      <c r="T1071" s="1" t="str">
        <f>_xlfn.XLOOKUP(Logs[[#This Row],[ID_Client]],Clients_Log!B:B,Clients_Log!H:H,"Pas de correspondance")</f>
        <v>Pas de correspondance</v>
      </c>
      <c r="U1071" s="1" t="str">
        <f>_xlfn.XLOOKUP(Logs[[#This Row],[ID_Client]],Clients_Log!B:B,Clients_Log!I:I,"Pas de correspondance")</f>
        <v>Pas de correspondance</v>
      </c>
      <c r="V1071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71" s="1" t="e">
        <f>Logs[[#This Row],[Facture_Mensuelle]]*Logs[[#This Row],[Remise (%)]]</f>
        <v>#VALUE!</v>
      </c>
    </row>
    <row r="1072" spans="1:23" hidden="1" x14ac:dyDescent="0.25">
      <c r="A1072" s="1" t="s">
        <v>1483</v>
      </c>
      <c r="B1072" s="2">
        <v>45212</v>
      </c>
      <c r="C1072" s="1" t="str">
        <f>_xlfn.XLOOKUP(Logs[[#This Row],[Province_RDC]],Clients_Log!D:D,Clients_Log!B:B,"Pas de correspondance")</f>
        <v>Pas de correspondance</v>
      </c>
      <c r="D1072" t="str">
        <f>_xlfn.XLOOKUP(Logs[[#This Row],[Cell_ID]],'Registre_Maintenance'!B:B,'Registre_Maintenance'!C:C,"Pas de correspondance")</f>
        <v>Pas de correspondance</v>
      </c>
      <c r="E1072" s="3">
        <v>0.87569444444444444</v>
      </c>
      <c r="F1072" s="1" t="s">
        <v>1492</v>
      </c>
      <c r="G1072" s="3">
        <f>Logs[[#This Row],[Duree_Panne_Min]]/1440</f>
        <v>1.5972222222222221E-2</v>
      </c>
      <c r="H1072">
        <v>23</v>
      </c>
      <c r="I1072" t="str">
        <f>_xlfn.XLOOKUP(Logs[[#This Row],[Cell_ID]],'Registre_Maintenance'!B:B,'Registre_Maintenance'!D:D,"Pas de correspondance")</f>
        <v>Pas de correspondance</v>
      </c>
      <c r="J1072" t="str">
        <f>_xlfn.XLOOKUP(Logs[[#This Row],[Cell_ID]],'Registre_Maintenance'!B:B,'Registre_Maintenance'!E:E,"Pas de correspondance")</f>
        <v>Pas de correspondance</v>
      </c>
      <c r="K1072" t="str">
        <f>_xlfn.XLOOKUP(Logs[[#This Row],[Cell_ID]],'Registre_Maintenance'!B:B,'Registre_Maintenance'!F:F,"Pas de correspondance")</f>
        <v>Pas de correspondance</v>
      </c>
      <c r="L1072" t="str">
        <f>_xlfn.XLOOKUP(Logs[[#This Row],[Cell_ID]],'Registre_Maintenance'!B:B,'Registre_Maintenance'!G:G,"Pas de correspondance")</f>
        <v>Pas de correspondance</v>
      </c>
      <c r="M1072" s="1" t="s">
        <v>806</v>
      </c>
      <c r="N1072" s="1" t="str">
        <f>_xlfn.XLOOKUP(Logs[[#This Row],[ID_Client]],Clients_Log!B:B,Clients_Log!E:E,"Pas de correspondance")</f>
        <v>Pas de correspondance</v>
      </c>
      <c r="O1072" s="4" t="str">
        <f>IFERROR(Logs[[#This Row],[Anciennete_Mois]]/12,"")</f>
        <v/>
      </c>
      <c r="P1072" s="1" t="str">
        <f>_xlfn.XLOOKUP(Logs[[#This Row],[ID_Client]],Clients_Log!B:B,Clients_Log!F:F,"Pas de correspondance")</f>
        <v>Pas de correspondance</v>
      </c>
      <c r="Q1072" s="1" t="str">
        <f>IF(Logs[[#This Row],[Type_Forfait]]="Pro Monde","B2B","B2C")</f>
        <v>B2C</v>
      </c>
      <c r="R1072" s="1" t="str">
        <f>_xlfn.XLOOKUP(Logs[[#This Row],[ID_Client]],Clients_Log!B:B,Clients_Log!G:G,"Pas de correspondance")</f>
        <v>Pas de correspondance</v>
      </c>
      <c r="S1072" s="1" t="e">
        <f>Logs[[#This Row],[Duree_Cumulee_Panne_Min]]/1440</f>
        <v>#VALUE!</v>
      </c>
      <c r="T1072" s="1" t="str">
        <f>_xlfn.XLOOKUP(Logs[[#This Row],[ID_Client]],Clients_Log!B:B,Clients_Log!H:H,"Pas de correspondance")</f>
        <v>Pas de correspondance</v>
      </c>
      <c r="U1072" s="1" t="str">
        <f>_xlfn.XLOOKUP(Logs[[#This Row],[ID_Client]],Clients_Log!B:B,Clients_Log!I:I,"Pas de correspondance")</f>
        <v>Pas de correspondance</v>
      </c>
      <c r="V1072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72" s="1" t="e">
        <f>Logs[[#This Row],[Facture_Mensuelle]]*Logs[[#This Row],[Remise (%)]]</f>
        <v>#VALUE!</v>
      </c>
    </row>
    <row r="1073" spans="1:23" hidden="1" x14ac:dyDescent="0.25">
      <c r="A1073" s="1" t="s">
        <v>1483</v>
      </c>
      <c r="B1073" s="2">
        <v>45215</v>
      </c>
      <c r="C1073" s="1" t="str">
        <f>_xlfn.XLOOKUP(Logs[[#This Row],[Province_RDC]],Clients_Log!D:D,Clients_Log!B:B,"Pas de correspondance")</f>
        <v>Pas de correspondance</v>
      </c>
      <c r="D1073" t="str">
        <f>_xlfn.XLOOKUP(Logs[[#This Row],[Cell_ID]],'Registre_Maintenance'!B:B,'Registre_Maintenance'!C:C,"Pas de correspondance")</f>
        <v>Pas de correspondance</v>
      </c>
      <c r="E1073" s="3">
        <v>0.23194444444444445</v>
      </c>
      <c r="F1073" s="1" t="s">
        <v>1145</v>
      </c>
      <c r="G1073" s="3">
        <f>Logs[[#This Row],[Duree_Panne_Min]]/1440</f>
        <v>1.7361111111111112E-2</v>
      </c>
      <c r="H1073">
        <v>25</v>
      </c>
      <c r="I1073" t="str">
        <f>_xlfn.XLOOKUP(Logs[[#This Row],[Cell_ID]],'Registre_Maintenance'!B:B,'Registre_Maintenance'!D:D,"Pas de correspondance")</f>
        <v>Pas de correspondance</v>
      </c>
      <c r="J1073" t="str">
        <f>_xlfn.XLOOKUP(Logs[[#This Row],[Cell_ID]],'Registre_Maintenance'!B:B,'Registre_Maintenance'!E:E,"Pas de correspondance")</f>
        <v>Pas de correspondance</v>
      </c>
      <c r="K1073" t="str">
        <f>_xlfn.XLOOKUP(Logs[[#This Row],[Cell_ID]],'Registre_Maintenance'!B:B,'Registre_Maintenance'!F:F,"Pas de correspondance")</f>
        <v>Pas de correspondance</v>
      </c>
      <c r="L1073" t="str">
        <f>_xlfn.XLOOKUP(Logs[[#This Row],[Cell_ID]],'Registre_Maintenance'!B:B,'Registre_Maintenance'!G:G,"Pas de correspondance")</f>
        <v>Pas de correspondance</v>
      </c>
      <c r="M1073" s="1" t="s">
        <v>809</v>
      </c>
      <c r="N1073" s="1" t="str">
        <f>_xlfn.XLOOKUP(Logs[[#This Row],[ID_Client]],Clients_Log!B:B,Clients_Log!E:E,"Pas de correspondance")</f>
        <v>Pas de correspondance</v>
      </c>
      <c r="O1073" s="4" t="str">
        <f>IFERROR(Logs[[#This Row],[Anciennete_Mois]]/12,"")</f>
        <v/>
      </c>
      <c r="P1073" s="1" t="str">
        <f>_xlfn.XLOOKUP(Logs[[#This Row],[ID_Client]],Clients_Log!B:B,Clients_Log!F:F,"Pas de correspondance")</f>
        <v>Pas de correspondance</v>
      </c>
      <c r="Q1073" s="1" t="str">
        <f>IF(Logs[[#This Row],[Type_Forfait]]="Pro Monde","B2B","B2C")</f>
        <v>B2C</v>
      </c>
      <c r="R1073" s="1" t="str">
        <f>_xlfn.XLOOKUP(Logs[[#This Row],[ID_Client]],Clients_Log!B:B,Clients_Log!G:G,"Pas de correspondance")</f>
        <v>Pas de correspondance</v>
      </c>
      <c r="S1073" s="1" t="e">
        <f>Logs[[#This Row],[Duree_Cumulee_Panne_Min]]/1440</f>
        <v>#VALUE!</v>
      </c>
      <c r="T1073" s="1" t="str">
        <f>_xlfn.XLOOKUP(Logs[[#This Row],[ID_Client]],Clients_Log!B:B,Clients_Log!H:H,"Pas de correspondance")</f>
        <v>Pas de correspondance</v>
      </c>
      <c r="U1073" s="1" t="str">
        <f>_xlfn.XLOOKUP(Logs[[#This Row],[ID_Client]],Clients_Log!B:B,Clients_Log!I:I,"Pas de correspondance")</f>
        <v>Pas de correspondance</v>
      </c>
      <c r="V1073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73" s="1" t="e">
        <f>Logs[[#This Row],[Facture_Mensuelle]]*Logs[[#This Row],[Remise (%)]]</f>
        <v>#VALUE!</v>
      </c>
    </row>
    <row r="1074" spans="1:23" hidden="1" x14ac:dyDescent="0.25">
      <c r="A1074" s="1" t="s">
        <v>1483</v>
      </c>
      <c r="B1074" s="2">
        <v>45207</v>
      </c>
      <c r="C1074" s="1" t="str">
        <f>_xlfn.XLOOKUP(Logs[[#This Row],[Province_RDC]],Clients_Log!D:D,Clients_Log!B:B,"Pas de correspondance")</f>
        <v>Pas de correspondance</v>
      </c>
      <c r="D1074" t="str">
        <f>_xlfn.XLOOKUP(Logs[[#This Row],[Cell_ID]],'Registre_Maintenance'!B:B,'Registre_Maintenance'!C:C,"Pas de correspondance")</f>
        <v>Pas de correspondance</v>
      </c>
      <c r="E1074" s="3">
        <v>0.19930555555555557</v>
      </c>
      <c r="F1074" s="1" t="s">
        <v>1417</v>
      </c>
      <c r="G1074" s="3">
        <f>Logs[[#This Row],[Duree_Panne_Min]]/1440</f>
        <v>1.9444444444444445E-2</v>
      </c>
      <c r="H1074">
        <v>28</v>
      </c>
      <c r="I1074" t="str">
        <f>_xlfn.XLOOKUP(Logs[[#This Row],[Cell_ID]],'Registre_Maintenance'!B:B,'Registre_Maintenance'!D:D,"Pas de correspondance")</f>
        <v>Pas de correspondance</v>
      </c>
      <c r="J1074" t="str">
        <f>_xlfn.XLOOKUP(Logs[[#This Row],[Cell_ID]],'Registre_Maintenance'!B:B,'Registre_Maintenance'!E:E,"Pas de correspondance")</f>
        <v>Pas de correspondance</v>
      </c>
      <c r="K1074" t="str">
        <f>_xlfn.XLOOKUP(Logs[[#This Row],[Cell_ID]],'Registre_Maintenance'!B:B,'Registre_Maintenance'!F:F,"Pas de correspondance")</f>
        <v>Pas de correspondance</v>
      </c>
      <c r="L1074" t="str">
        <f>_xlfn.XLOOKUP(Logs[[#This Row],[Cell_ID]],'Registre_Maintenance'!B:B,'Registre_Maintenance'!G:G,"Pas de correspondance")</f>
        <v>Pas de correspondance</v>
      </c>
      <c r="M1074" s="1" t="s">
        <v>809</v>
      </c>
      <c r="N1074" s="1" t="str">
        <f>_xlfn.XLOOKUP(Logs[[#This Row],[ID_Client]],Clients_Log!B:B,Clients_Log!E:E,"Pas de correspondance")</f>
        <v>Pas de correspondance</v>
      </c>
      <c r="O1074" s="4" t="str">
        <f>IFERROR(Logs[[#This Row],[Anciennete_Mois]]/12,"")</f>
        <v/>
      </c>
      <c r="P1074" s="1" t="str">
        <f>_xlfn.XLOOKUP(Logs[[#This Row],[ID_Client]],Clients_Log!B:B,Clients_Log!F:F,"Pas de correspondance")</f>
        <v>Pas de correspondance</v>
      </c>
      <c r="Q1074" s="1" t="str">
        <f>IF(Logs[[#This Row],[Type_Forfait]]="Pro Monde","B2B","B2C")</f>
        <v>B2C</v>
      </c>
      <c r="R1074" s="1" t="str">
        <f>_xlfn.XLOOKUP(Logs[[#This Row],[ID_Client]],Clients_Log!B:B,Clients_Log!G:G,"Pas de correspondance")</f>
        <v>Pas de correspondance</v>
      </c>
      <c r="S1074" s="1" t="e">
        <f>Logs[[#This Row],[Duree_Cumulee_Panne_Min]]/1440</f>
        <v>#VALUE!</v>
      </c>
      <c r="T1074" s="1" t="str">
        <f>_xlfn.XLOOKUP(Logs[[#This Row],[ID_Client]],Clients_Log!B:B,Clients_Log!H:H,"Pas de correspondance")</f>
        <v>Pas de correspondance</v>
      </c>
      <c r="U1074" s="1" t="str">
        <f>_xlfn.XLOOKUP(Logs[[#This Row],[ID_Client]],Clients_Log!B:B,Clients_Log!I:I,"Pas de correspondance")</f>
        <v>Pas de correspondance</v>
      </c>
      <c r="V1074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74" s="1" t="e">
        <f>Logs[[#This Row],[Facture_Mensuelle]]*Logs[[#This Row],[Remise (%)]]</f>
        <v>#VALUE!</v>
      </c>
    </row>
    <row r="1075" spans="1:23" hidden="1" x14ac:dyDescent="0.25">
      <c r="A1075" s="1" t="s">
        <v>1483</v>
      </c>
      <c r="B1075" s="2">
        <v>45212</v>
      </c>
      <c r="C1075" s="1" t="str">
        <f>_xlfn.XLOOKUP(Logs[[#This Row],[Province_RDC]],Clients_Log!D:D,Clients_Log!B:B,"Pas de correspondance")</f>
        <v>Pas de correspondance</v>
      </c>
      <c r="D1075" t="str">
        <f>_xlfn.XLOOKUP(Logs[[#This Row],[Cell_ID]],'Registre_Maintenance'!B:B,'Registre_Maintenance'!C:C,"Pas de correspondance")</f>
        <v>Pas de correspondance</v>
      </c>
      <c r="E1075" s="3">
        <v>0.72083333333333333</v>
      </c>
      <c r="F1075" s="1" t="s">
        <v>1493</v>
      </c>
      <c r="G1075" s="3">
        <f>Logs[[#This Row],[Duree_Panne_Min]]/1440</f>
        <v>2.2916666666666665E-2</v>
      </c>
      <c r="H1075">
        <v>33</v>
      </c>
      <c r="I1075" t="str">
        <f>_xlfn.XLOOKUP(Logs[[#This Row],[Cell_ID]],'Registre_Maintenance'!B:B,'Registre_Maintenance'!D:D,"Pas de correspondance")</f>
        <v>Pas de correspondance</v>
      </c>
      <c r="J1075" t="str">
        <f>_xlfn.XLOOKUP(Logs[[#This Row],[Cell_ID]],'Registre_Maintenance'!B:B,'Registre_Maintenance'!E:E,"Pas de correspondance")</f>
        <v>Pas de correspondance</v>
      </c>
      <c r="K1075" t="str">
        <f>_xlfn.XLOOKUP(Logs[[#This Row],[Cell_ID]],'Registre_Maintenance'!B:B,'Registre_Maintenance'!F:F,"Pas de correspondance")</f>
        <v>Pas de correspondance</v>
      </c>
      <c r="L1075" t="str">
        <f>_xlfn.XLOOKUP(Logs[[#This Row],[Cell_ID]],'Registre_Maintenance'!B:B,'Registre_Maintenance'!G:G,"Pas de correspondance")</f>
        <v>Pas de correspondance</v>
      </c>
      <c r="M1075" s="1" t="s">
        <v>811</v>
      </c>
      <c r="N1075" s="1" t="str">
        <f>_xlfn.XLOOKUP(Logs[[#This Row],[ID_Client]],Clients_Log!B:B,Clients_Log!E:E,"Pas de correspondance")</f>
        <v>Pas de correspondance</v>
      </c>
      <c r="O1075" s="4" t="str">
        <f>IFERROR(Logs[[#This Row],[Anciennete_Mois]]/12,"")</f>
        <v/>
      </c>
      <c r="P1075" s="1" t="str">
        <f>_xlfn.XLOOKUP(Logs[[#This Row],[ID_Client]],Clients_Log!B:B,Clients_Log!F:F,"Pas de correspondance")</f>
        <v>Pas de correspondance</v>
      </c>
      <c r="Q1075" s="1" t="str">
        <f>IF(Logs[[#This Row],[Type_Forfait]]="Pro Monde","B2B","B2C")</f>
        <v>B2C</v>
      </c>
      <c r="R1075" s="1" t="str">
        <f>_xlfn.XLOOKUP(Logs[[#This Row],[ID_Client]],Clients_Log!B:B,Clients_Log!G:G,"Pas de correspondance")</f>
        <v>Pas de correspondance</v>
      </c>
      <c r="S1075" s="1" t="e">
        <f>Logs[[#This Row],[Duree_Cumulee_Panne_Min]]/1440</f>
        <v>#VALUE!</v>
      </c>
      <c r="T1075" s="1" t="str">
        <f>_xlfn.XLOOKUP(Logs[[#This Row],[ID_Client]],Clients_Log!B:B,Clients_Log!H:H,"Pas de correspondance")</f>
        <v>Pas de correspondance</v>
      </c>
      <c r="U1075" s="1" t="str">
        <f>_xlfn.XLOOKUP(Logs[[#This Row],[ID_Client]],Clients_Log!B:B,Clients_Log!I:I,"Pas de correspondance")</f>
        <v>Pas de correspondance</v>
      </c>
      <c r="V1075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75" s="1" t="e">
        <f>Logs[[#This Row],[Facture_Mensuelle]]*Logs[[#This Row],[Remise (%)]]</f>
        <v>#VALUE!</v>
      </c>
    </row>
    <row r="1076" spans="1:23" x14ac:dyDescent="0.25">
      <c r="A1076" s="1" t="s">
        <v>1483</v>
      </c>
      <c r="B1076" s="2">
        <v>45230</v>
      </c>
      <c r="C1076" s="1" t="str">
        <f>_xlfn.XLOOKUP(Logs[[#This Row],[Province_RDC]],Clients_Log!D:D,Clients_Log!B:B,"Pas de correspondance")</f>
        <v>CLI-00643</v>
      </c>
      <c r="D1076" t="str">
        <f>_xlfn.XLOOKUP(Logs[[#This Row],[Cell_ID]],'Registre_Maintenance'!B:B,'Registre_Maintenance'!C:C,"Pas de correspondance")</f>
        <v>Equateur</v>
      </c>
      <c r="E1076" s="3">
        <v>0.83958333333333335</v>
      </c>
      <c r="F1076" s="1" t="s">
        <v>1196</v>
      </c>
      <c r="G1076" s="3">
        <f>Logs[[#This Row],[Duree_Panne_Min]]/1440</f>
        <v>5.7638888888888892E-2</v>
      </c>
      <c r="H1076">
        <v>83</v>
      </c>
      <c r="I1076">
        <f>_xlfn.XLOOKUP(Logs[[#This Row],[Cell_ID]],'Registre_Maintenance'!B:B,'Registre_Maintenance'!D:D,"Pas de correspondance")</f>
        <v>-0.79459900000000006</v>
      </c>
      <c r="J1076">
        <f>_xlfn.XLOOKUP(Logs[[#This Row],[Cell_ID]],'Registre_Maintenance'!B:B,'Registre_Maintenance'!E:E,"Pas de correspondance")</f>
        <v>26.775570999999999</v>
      </c>
      <c r="K1076" t="str">
        <f>_xlfn.XLOOKUP(Logs[[#This Row],[Cell_ID]],'Registre_Maintenance'!B:B,'Registre_Maintenance'!F:F,"Pas de correspondance")</f>
        <v>5G</v>
      </c>
      <c r="L1076" t="str">
        <f>_xlfn.XLOOKUP(Logs[[#This Row],[Cell_ID]],'Registre_Maintenance'!B:B,'Registre_Maintenance'!G:G,"Pas de correspondance")</f>
        <v>Huawei</v>
      </c>
      <c r="M1076" s="1" t="s">
        <v>811</v>
      </c>
      <c r="N1076" s="1">
        <f>_xlfn.XLOOKUP(Logs[[#This Row],[ID_Client]],Clients_Log!B:B,Clients_Log!E:E,"Pas de correspondance")</f>
        <v>14</v>
      </c>
      <c r="O1076" s="4">
        <f>IFERROR(Logs[[#This Row],[Anciennete_Mois]]/12,"")</f>
        <v>1.1666666666666667</v>
      </c>
      <c r="P1076" s="1" t="str">
        <f>_xlfn.XLOOKUP(Logs[[#This Row],[ID_Client]],Clients_Log!B:B,Clients_Log!F:F,"Pas de correspondance")</f>
        <v>Pro Monde</v>
      </c>
      <c r="Q1076" s="1" t="str">
        <f>IF(Logs[[#This Row],[Type_Forfait]]="Pro Monde","B2B","B2C")</f>
        <v>B2B</v>
      </c>
      <c r="R1076" s="1">
        <f>_xlfn.XLOOKUP(Logs[[#This Row],[ID_Client]],Clients_Log!B:B,Clients_Log!G:G,"Pas de correspondance")</f>
        <v>316</v>
      </c>
      <c r="S1076" s="3">
        <f>Logs[[#This Row],[Duree_Cumulee_Panne_Min]]/1440</f>
        <v>0.21944444444444444</v>
      </c>
      <c r="T1076" s="1">
        <f>_xlfn.XLOOKUP(Logs[[#This Row],[ID_Client]],Clients_Log!B:B,Clients_Log!H:H,"Pas de correspondance")</f>
        <v>62.34</v>
      </c>
      <c r="U1076" s="1">
        <f>_xlfn.XLOOKUP(Logs[[#This Row],[ID_Client]],Clients_Log!B:B,Clients_Log!I:I,"Pas de correspondance")</f>
        <v>4</v>
      </c>
      <c r="V1076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76" s="1">
        <f>Logs[[#This Row],[Facture_Mensuelle]]*Logs[[#This Row],[Remise (%)]]</f>
        <v>28.053000000000001</v>
      </c>
    </row>
    <row r="1077" spans="1:23" x14ac:dyDescent="0.25">
      <c r="A1077" s="1" t="s">
        <v>1483</v>
      </c>
      <c r="B1077" s="2">
        <v>45209</v>
      </c>
      <c r="C1077" s="1" t="str">
        <f>_xlfn.XLOOKUP(Logs[[#This Row],[Province_RDC]],Clients_Log!D:D,Clients_Log!B:B,"Pas de correspondance")</f>
        <v>CLI-00414</v>
      </c>
      <c r="D1077" t="str">
        <f>_xlfn.XLOOKUP(Logs[[#This Row],[Cell_ID]],'Registre_Maintenance'!B:B,'Registre_Maintenance'!C:C,"Pas de correspondance")</f>
        <v>Bas-Uele</v>
      </c>
      <c r="E1077" s="3">
        <v>0.91388888888888886</v>
      </c>
      <c r="F1077" s="1" t="s">
        <v>1131</v>
      </c>
      <c r="G1077" s="3">
        <f>Logs[[#This Row],[Duree_Panne_Min]]/1440</f>
        <v>7.7083333333333337E-2</v>
      </c>
      <c r="H1077">
        <v>111</v>
      </c>
      <c r="I1077">
        <f>_xlfn.XLOOKUP(Logs[[#This Row],[Cell_ID]],'Registre_Maintenance'!B:B,'Registre_Maintenance'!D:D,"Pas de correspondance")</f>
        <v>-6.4197189999999997</v>
      </c>
      <c r="J1077">
        <f>_xlfn.XLOOKUP(Logs[[#This Row],[Cell_ID]],'Registre_Maintenance'!B:B,'Registre_Maintenance'!E:E,"Pas de correspondance")</f>
        <v>22.287264</v>
      </c>
      <c r="K1077" t="str">
        <f>_xlfn.XLOOKUP(Logs[[#This Row],[Cell_ID]],'Registre_Maintenance'!B:B,'Registre_Maintenance'!F:F,"Pas de correspondance")</f>
        <v>3G</v>
      </c>
      <c r="L1077" t="str">
        <f>_xlfn.XLOOKUP(Logs[[#This Row],[Cell_ID]],'Registre_Maintenance'!B:B,'Registre_Maintenance'!G:G,"Pas de correspondance")</f>
        <v>Ericsson</v>
      </c>
      <c r="M1077" s="1" t="s">
        <v>811</v>
      </c>
      <c r="N1077" s="1">
        <f>_xlfn.XLOOKUP(Logs[[#This Row],[ID_Client]],Clients_Log!B:B,Clients_Log!E:E,"Pas de correspondance")</f>
        <v>99</v>
      </c>
      <c r="O1077" s="4">
        <f>IFERROR(Logs[[#This Row],[Anciennete_Mois]]/12,"")</f>
        <v>8.25</v>
      </c>
      <c r="P1077" s="1" t="str">
        <f>_xlfn.XLOOKUP(Logs[[#This Row],[ID_Client]],Clients_Log!B:B,Clients_Log!F:F,"Pas de correspondance")</f>
        <v>Premium 5G 150Go</v>
      </c>
      <c r="Q1077" s="1" t="str">
        <f>IF(Logs[[#This Row],[Type_Forfait]]="Pro Monde","B2B","B2C")</f>
        <v>B2C</v>
      </c>
      <c r="R1077" s="1">
        <f>_xlfn.XLOOKUP(Logs[[#This Row],[ID_Client]],Clients_Log!B:B,Clients_Log!G:G,"Pas de correspondance")</f>
        <v>447</v>
      </c>
      <c r="S1077" s="3">
        <f>Logs[[#This Row],[Duree_Cumulee_Panne_Min]]/1440</f>
        <v>0.31041666666666667</v>
      </c>
      <c r="T1077" s="1">
        <f>_xlfn.XLOOKUP(Logs[[#This Row],[ID_Client]],Clients_Log!B:B,Clients_Log!H:H,"Pas de correspondance")</f>
        <v>38.1</v>
      </c>
      <c r="U1077" s="1">
        <f>_xlfn.XLOOKUP(Logs[[#This Row],[ID_Client]],Clients_Log!B:B,Clients_Log!I:I,"Pas de correspondance")</f>
        <v>3</v>
      </c>
      <c r="V1077" s="1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0.45</v>
      </c>
      <c r="W1077" s="1">
        <f>Logs[[#This Row],[Facture_Mensuelle]]*Logs[[#This Row],[Remise (%)]]</f>
        <v>17.145</v>
      </c>
    </row>
    <row r="1078" spans="1:23" hidden="1" x14ac:dyDescent="0.25">
      <c r="A1078" s="1" t="s">
        <v>1483</v>
      </c>
      <c r="B1078" s="2">
        <v>45229</v>
      </c>
      <c r="C1078" s="1" t="str">
        <f>_xlfn.XLOOKUP(Logs[[#This Row],[Province_RDC]],Clients_Log!D:D,Clients_Log!B:B,"Pas de correspondance")</f>
        <v>Pas de correspondance</v>
      </c>
      <c r="D1078" t="str">
        <f>_xlfn.XLOOKUP(Logs[[#This Row],[Cell_ID]],'Registre_Maintenance'!B:B,'Registre_Maintenance'!C:C,"Pas de correspondance")</f>
        <v>Pas de correspondance</v>
      </c>
      <c r="E1078" s="3">
        <v>0.9868055555555556</v>
      </c>
      <c r="F1078" s="1" t="s">
        <v>1256</v>
      </c>
      <c r="G1078" s="3">
        <f>Logs[[#This Row],[Duree_Panne_Min]]/1440</f>
        <v>2.5694444444444443E-2</v>
      </c>
      <c r="H1078">
        <v>37</v>
      </c>
      <c r="I1078" t="str">
        <f>_xlfn.XLOOKUP(Logs[[#This Row],[Cell_ID]],'Registre_Maintenance'!B:B,'Registre_Maintenance'!D:D,"Pas de correspondance")</f>
        <v>Pas de correspondance</v>
      </c>
      <c r="J1078" t="str">
        <f>_xlfn.XLOOKUP(Logs[[#This Row],[Cell_ID]],'Registre_Maintenance'!B:B,'Registre_Maintenance'!E:E,"Pas de correspondance")</f>
        <v>Pas de correspondance</v>
      </c>
      <c r="K1078" t="str">
        <f>_xlfn.XLOOKUP(Logs[[#This Row],[Cell_ID]],'Registre_Maintenance'!B:B,'Registre_Maintenance'!F:F,"Pas de correspondance")</f>
        <v>Pas de correspondance</v>
      </c>
      <c r="L1078" t="str">
        <f>_xlfn.XLOOKUP(Logs[[#This Row],[Cell_ID]],'Registre_Maintenance'!B:B,'Registre_Maintenance'!G:G,"Pas de correspondance")</f>
        <v>Pas de correspondance</v>
      </c>
      <c r="M1078" s="1" t="s">
        <v>811</v>
      </c>
      <c r="N1078" s="1" t="str">
        <f>_xlfn.XLOOKUP(Logs[[#This Row],[ID_Client]],Clients_Log!B:B,Clients_Log!E:E,"Pas de correspondance")</f>
        <v>Pas de correspondance</v>
      </c>
      <c r="O1078" s="4" t="str">
        <f>IFERROR(Logs[[#This Row],[Anciennete_Mois]]/12,"")</f>
        <v/>
      </c>
      <c r="P1078" s="1" t="str">
        <f>_xlfn.XLOOKUP(Logs[[#This Row],[ID_Client]],Clients_Log!B:B,Clients_Log!F:F,"Pas de correspondance")</f>
        <v>Pas de correspondance</v>
      </c>
      <c r="Q1078" s="1" t="str">
        <f>IF(Logs[[#This Row],[Type_Forfait]]="Pro Monde","B2B","B2C")</f>
        <v>B2C</v>
      </c>
      <c r="R1078" s="1" t="str">
        <f>_xlfn.XLOOKUP(Logs[[#This Row],[ID_Client]],Clients_Log!B:B,Clients_Log!G:G,"Pas de correspondance")</f>
        <v>Pas de correspondance</v>
      </c>
      <c r="S1078" s="1" t="e">
        <f>Logs[[#This Row],[Duree_Cumulee_Panne_Min]]/1440</f>
        <v>#VALUE!</v>
      </c>
      <c r="T1078" s="1" t="str">
        <f>_xlfn.XLOOKUP(Logs[[#This Row],[ID_Client]],Clients_Log!B:B,Clients_Log!H:H,"Pas de correspondance")</f>
        <v>Pas de correspondance</v>
      </c>
      <c r="U1078" s="1" t="str">
        <f>_xlfn.XLOOKUP(Logs[[#This Row],[ID_Client]],Clients_Log!B:B,Clients_Log!I:I,"Pas de correspondance")</f>
        <v>Pas de correspondance</v>
      </c>
      <c r="V1078" s="1" t="e">
        <f>IF(AND(Logs[[#This Row],[Duree_Cumulee_Panne_Heure]]&gt;TIME(12,0,0),Logs[[#This Row],[Anciennete_Annee]]&gt;5),0.7,IF(OR(AND(Logs[[#This Row],[Duree_Cumulee_Panne_Heure]]&gt;=TIME(4,0,0),Logs[[#This Row],[Duree_Cumulee_Panne_Heure]]&lt;=TIME(12,0,0)),AND(Logs[[#This Row],[Anciennete_Annee]]&lt;5,Logs[[#This Row],[Type_Forfait]]="Premium 5G 150Go")),0.45,IF(Logs[[#This Row],[Type_Clients]]="B2B",0.1,)))</f>
        <v>#VALUE!</v>
      </c>
      <c r="W1078" s="1" t="e">
        <f>Logs[[#This Row],[Facture_Mensuelle]]*Logs[[#This Row],[Remise (%)]]</f>
        <v>#VALUE!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4B62-2A97-4018-B65B-E9AD25DB8BAC}">
  <dimension ref="A1"/>
  <sheetViews>
    <sheetView workbookViewId="0">
      <selection activeCell="E13" sqref="E13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9494AF-F20D-45C6-BC2D-098E71BE77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Clients_Churn </vt:lpstr>
      <vt:lpstr>Logs_Reseau</vt:lpstr>
      <vt:lpstr>Registre_Maintenance</vt:lpstr>
      <vt:lpstr>Clients_Log</vt:lpstr>
      <vt:lpstr>Logs_Registre</vt:lpstr>
      <vt:lpstr>Registre_Log</vt:lpstr>
      <vt:lpstr>Heure_Indisponible</vt:lpstr>
      <vt:lpstr>Sous catégorisation</vt:lpstr>
      <vt:lpstr>Master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fanfan kandosi</dc:creator>
  <cp:lastModifiedBy>fanfan kandosi</cp:lastModifiedBy>
  <dcterms:created xsi:type="dcterms:W3CDTF">2026-03-31T12:02:01Z</dcterms:created>
  <dcterms:modified xsi:type="dcterms:W3CDTF">2026-03-31T22:49:35Z</dcterms:modified>
</cp:coreProperties>
</file>